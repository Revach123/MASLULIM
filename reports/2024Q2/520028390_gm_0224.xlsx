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30.06.24\אחרו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_xlnm._FilterDatabase" localSheetId="26" hidden="1">'פיקדונות מעל 3 חודשים'!$B:$B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_xlnm.Extract" localSheetId="26">'פיקדונות מעל 3 חודשים'!$X$2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<sst xmlns="http://schemas.openxmlformats.org/spreadsheetml/2006/main" count="48440" uniqueCount="3904">
  <si>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</si>
  <si>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</si>
  <si>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</si>
  <si>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</si>
  <si>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</si>
  <si>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</si>
  <si>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</si>
  <si>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</si>
  <si>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</si>
  <si>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</si>
  <si>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</si>
  <si>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</si>
  <si>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</si>
  <si>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</si>
  <si>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</si>
  <si>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</si>
  <si>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</si>
  <si>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</si>
  <si>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</si>
  <si>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</si>
  <si>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</si>
  <si>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</si>
  <si>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</si>
  <si>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</si>
  <si>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</si>
  <si>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</si>
  <si>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</si>
  <si>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</si>
  <si>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</si>
  <si>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</si>
  <si>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</si>
  <si>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</si>
  <si>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</si>
  <si>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</si>
  <si>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</si>
  <si>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</si>
  <si>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</si>
  <si>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</si>
  <si>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</si>
  <si>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</si>
  <si>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</si>
  <si>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</si>
  <si>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</si>
  <si>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</si>
  <si>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</si>
  <si>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</si>
  <si>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</si>
  <si>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</si>
  <si>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</si>
  <si>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</si>
  <si>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</si>
  <si>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</si>
  <si>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</si>
  <si>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</si>
  <si>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</si>
  <si>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</si>
  <si>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</si>
  <si>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</si>
  <si>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</si>
  <si>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</si>
  <si>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</si>
  <si>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</si>
  <si>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</si>
  <si>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</si>
  <si>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</si>
  <si>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</si>
  <si>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</si>
  <si>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</si>
  <si>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</si>
  <si>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</si>
  <si>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</si>
  <si>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</si>
  <si>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</si>
  <si>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</si>
  <si>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</si>
  <si>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</si>
  <si>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</si>
  <si>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</si>
  <si>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</si>
  <si>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</si>
  <si>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</si>
  <si>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</si>
  <si>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</si>
  <si>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</si>
  <si>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</si>
  <si>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</si>
  <si>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</si>
  <si>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</si>
  <si>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</si>
  <si>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</si>
  <si>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</si>
  <si>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</si>
  <si>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</si>
  <si>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</si>
  <si>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</si>
  <si>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</si>
  <si>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</si>
  <si>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</si>
  <si>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</si>
  <si>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</si>
  <si>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</si>
  <si>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</si>
  <si>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</si>
  <si>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</si>
  <si>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</si>
  <si>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</si>
  <si>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</si>
  <si>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</si>
  <si>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</si>
  <si>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</si>
  <si>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</si>
  <si>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</si>
  <si>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</si>
  <si>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</si>
  <si>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</si>
  <si>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</si>
  <si>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</si>
  <si>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</si>
  <si>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</si>
  <si>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</si>
  <si>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</si>
  <si>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</si>
  <si>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</si>
  <si>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</si>
  <si>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</si>
  <si>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</si>
  <si>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</si>
  <si>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</si>
  <si>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</si>
  <si>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</si>
  <si>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</si>
  <si>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</si>
  <si>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</si>
  <si>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</si>
  <si>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</si>
  <si>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</si>
  <si>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</si>
  <si>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</si>
  <si>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</si>
  <si>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</si>
  <si>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</si>
  <si>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</si>
  <si>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</si>
  <si>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</si>
  <si>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</si>
  <si>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</si>
  <si>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</si>
  <si>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</si>
  <si>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</si>
  <si>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</si>
  <si>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</si>
  <si>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</si>
  <si>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</si>
  <si>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</si>
  <si>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</si>
  <si>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</si>
  <si>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</si>
  <si>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</si>
  <si>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</si>
  <si>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</si>
  <si>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</si>
  <si>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</si>
  <si>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</si>
  <si>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</si>
  <si>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</si>
  <si>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</si>
  <si>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</si>
  <si>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</si>
  <si>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</si>
  <si>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</si>
  <si>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</si>
  <si>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</si>
  <si>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</si>
  <si>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</si>
  <si>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</si>
  <si>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</si>
  <si>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</si>
  <si>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</si>
  <si>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</si>
  <si>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</si>
  <si>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</si>
  <si>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</si>
  <si>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</si>
  <si>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</si>
  <si>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</si>
  <si>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</si>
  <si>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</si>
  <si>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</si>
  <si>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</si>
  <si>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</si>
  <si>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</si>
  <si>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</si>
  <si>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</si>
  <si>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</si>
  <si>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</si>
  <si>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</si>
  <si>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</si>
  <si>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</si>
  <si>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</si>
  <si>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</si>
  <si>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</si>
  <si>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</si>
  <si>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</si>
  <si>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</si>
  <si>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</si>
  <si>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</si>
  <si>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</si>
  <si>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</si>
  <si>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</si>
  <si>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</si>
  <si>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</si>
  <si>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</si>
  <si>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</si>
  <si>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</si>
  <si>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</si>
  <si>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</si>
  <si>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</si>
  <si>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</si>
  <si>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</si>
  <si>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</si>
  <si>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</si>
  <si>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</si>
  <si>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</si>
  <si>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</si>
  <si>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</si>
  <si>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</si>
  <si>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</si>
  <si>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</si>
  <si>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</si>
  <si>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</si>
  <si>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</si>
  <si>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</si>
  <si>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</si>
  <si>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</si>
  <si>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</si>
  <si>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</si>
  <si>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</si>
  <si>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</si>
  <si>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</si>
  <si>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</si>
  <si>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</si>
  <si>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</si>
  <si>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</si>
  <si>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</si>
  <si>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</si>
  <si>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</si>
  <si>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</si>
  <si>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</si>
  <si>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</si>
  <si>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</si>
  <si>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</si>
  <si>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</si>
  <si>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</si>
  <si>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</si>
  <si>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</si>
  <si>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</si>
  <si>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</si>
  <si>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</si>
  <si>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</si>
  <si>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</si>
  <si>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</si>
  <si>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</si>
  <si>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</si>
  <si>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</si>
  <si>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</si>
  <si>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</si>
  <si>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</si>
  <si>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</si>
  <si>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</si>
  <si>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</si>
  <si>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</si>
  <si>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</si>
  <si>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</si>
  <si>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</si>
  <si>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</si>
  <si>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</si>
  <si>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</si>
  <si>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</si>
  <si>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</si>
  <si>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</si>
  <si>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</si>
  <si>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</si>
  <si>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</si>
  <si>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</si>
  <si>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</si>
  <si>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</si>
  <si>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</si>
  <si>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</si>
  <si>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</si>
  <si>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</si>
  <si>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</si>
  <si>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</si>
  <si>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</si>
  <si>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</si>
  <si>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</si>
  <si>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</si>
  <si>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</si>
  <si>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</si>
  <si>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</si>
  <si>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</si>
  <si>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</si>
  <si>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</si>
  <si>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</si>
  <si>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</si>
  <si>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</si>
  <si>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</si>
  <si>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</si>
  <si>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</si>
  <si>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</si>
  <si>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</si>
  <si>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</si>
  <si>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</si>
  <si>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</si>
  <si>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</si>
  <si>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</si>
  <si>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</si>
  <si>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</si>
  <si>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</si>
  <si>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</si>
  <si>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</si>
  <si>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</si>
  <si>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</si>
  <si>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</si>
  <si>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</si>
  <si>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</si>
  <si>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</si>
  <si>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</si>
  <si>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</si>
  <si>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</si>
  <si>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</si>
  <si>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</si>
  <si>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</si>
  <si>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</si>
  <si>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</si>
  <si>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</si>
  <si>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</si>
  <si>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</si>
  <si>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</si>
  <si>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</si>
  <si>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</si>
  <si>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</si>
  <si>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</si>
  <si>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</si>
  <si>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</si>
  <si>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</si>
  <si>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</si>
  <si>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</si>
  <si>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</si>
  <si>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</si>
  <si>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</si>
  <si>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</si>
  <si>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</si>
  <si>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</si>
  <si>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</si>
  <si>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</si>
  <si>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</si>
  <si>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</si>
  <si>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</si>
  <si>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</si>
  <si>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</si>
  <si>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</si>
  <si>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</si>
  <si>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</si>
  <si>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</si>
  <si>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</si>
  <si>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</si>
  <si>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</si>
  <si>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</si>
  <si>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</si>
  <si>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</si>
  <si>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</si>
  <si>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</si>
  <si>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</si>
  <si>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</si>
  <si>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</si>
  <si>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</si>
  <si>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</si>
  <si>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</si>
  <si>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</si>
  <si>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</si>
  <si>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</si>
  <si>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</si>
  <si>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</si>
  <si>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</si>
  <si>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</si>
  <si>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</si>
  <si>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</si>
  <si>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</si>
  <si>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</si>
  <si>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</si>
  <si>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</si>
  <si>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</si>
  <si>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</si>
  <si>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</si>
  <si>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</si>
  <si>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</si>
  <si>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</si>
  <si>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</si>
  <si>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</si>
  <si>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</si>
  <si>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</si>
  <si>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</si>
  <si>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</si>
  <si>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</si>
  <si>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</si>
  <si>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</si>
  <si>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</si>
  <si>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</si>
  <si>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</si>
  <si>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</si>
  <si>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</si>
  <si>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</si>
  <si>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</si>
  <si>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</si>
  <si>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</si>
  <si>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</si>
  <si>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</si>
  <si>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</si>
  <si>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</si>
  <si>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</si>
  <si>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</si>
  <si>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</si>
  <si>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</si>
  <si>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</si>
  <si>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</si>
  <si>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</si>
  <si>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</si>
  <si>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</si>
  <si>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</si>
  <si>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</si>
  <si>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</si>
  <si>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</si>
  <si>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</si>
  <si>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</si>
  <si>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</si>
  <si>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</si>
  <si>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</si>
  <si>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</si>
  <si>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</si>
  <si>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</si>
  <si>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</si>
  <si>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</si>
  <si>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</si>
  <si>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</si>
  <si>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</si>
  <si>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</si>
  <si>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</si>
  <si>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</si>
  <si>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</si>
  <si>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</si>
  <si>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</si>
  <si>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</si>
  <si>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</si>
  <si>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</si>
  <si>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</si>
  <si>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</si>
  <si>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</si>
  <si>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</si>
  <si>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</si>
  <si>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</si>
  <si>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</si>
  <si>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</si>
  <si>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</si>
  <si>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</si>
  <si>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</si>
  <si>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</si>
  <si>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</si>
  <si>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</si>
  <si>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</si>
  <si>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</si>
  <si>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</si>
  <si>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</si>
  <si>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</si>
  <si>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</si>
  <si>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</si>
  <si>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</si>
  <si>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</si>
  <si>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</si>
  <si>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</si>
  <si>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</si>
  <si>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</si>
  <si>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</si>
  <si>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</si>
  <si>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</si>
  <si>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</si>
  <si>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</si>
  <si>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</si>
  <si>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</si>
  <si>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</si>
  <si>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</si>
  <si>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</si>
  <si>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</si>
  <si>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</si>
  <si>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</si>
  <si>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</si>
  <si>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</si>
  <si>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</si>
  <si>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</si>
  <si>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</si>
  <si>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</si>
  <si>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</si>
  <si>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</si>
  <si>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</si>
  <si>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</si>
  <si>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</si>
  <si>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</si>
  <si>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</si>
  <si>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</si>
  <si>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</si>
  <si>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</si>
  <si>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</si>
  <si>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</si>
  <si>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</si>
  <si>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</si>
  <si>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</si>
  <si>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</si>
  <si>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</si>
  <si>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</si>
  <si>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</si>
  <si>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</si>
  <si>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</si>
  <si>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</si>
  <si>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</si>
  <si>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</si>
  <si>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</si>
  <si>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</si>
  <si>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</si>
  <si>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</si>
  <si>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</si>
  <si>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</si>
  <si>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</si>
  <si>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</si>
  <si>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</si>
  <si>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</si>
  <si>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</si>
  <si>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</si>
  <si>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</si>
  <si>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</si>
  <si>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</si>
  <si>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</si>
  <si>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</si>
  <si>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</si>
  <si>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</si>
  <si>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</si>
  <si>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</si>
  <si>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</si>
  <si>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</si>
  <si>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</si>
  <si>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</si>
  <si>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</si>
  <si>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</si>
  <si>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</si>
  <si>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</si>
  <si>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</si>
  <si>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</si>
  <si>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</si>
  <si>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</si>
  <si>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</si>
  <si>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</si>
  <si>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</si>
  <si>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</si>
  <si>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</si>
  <si>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</si>
  <si>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</si>
  <si>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</si>
  <si>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</si>
  <si>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</si>
  <si>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</si>
  <si>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</si>
  <si>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</si>
  <si>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</si>
  <si>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</si>
  <si>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</si>
  <si>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</si>
  <si>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</si>
  <si>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</si>
  <si>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</si>
  <si>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</si>
  <si>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</si>
  <si>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</si>
  <si>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</si>
  <si>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</si>
  <si>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</si>
  <si>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</si>
  <si>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</si>
  <si>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</si>
  <si>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</si>
  <si>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</si>
  <si>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</si>
  <si>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</si>
  <si>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</si>
  <si>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</si>
  <si>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</si>
  <si>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</si>
  <si>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</si>
  <si>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</si>
  <si>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</si>
  <si>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</si>
  <si>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</si>
  <si>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</si>
  <si>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</si>
  <si>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</si>
  <si>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</si>
  <si>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</si>
  <si>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</si>
  <si>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</si>
  <si>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</si>
  <si>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</si>
  <si>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</si>
  <si>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</si>
  <si>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</si>
  <si>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</si>
  <si>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</si>
  <si>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</si>
  <si>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</si>
  <si>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</si>
  <si>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</si>
  <si>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</si>
  <si>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</si>
  <si>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</si>
  <si>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</si>
  <si>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</si>
  <si>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</si>
  <si>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</si>
  <si>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</si>
  <si>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</si>
  <si>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</si>
  <si>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</si>
  <si>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</si>
  <si>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</si>
  <si>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</si>
  <si>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</si>
  <si>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</si>
  <si>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</si>
  <si>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</si>
  <si>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</si>
  <si>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</si>
  <si>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</si>
  <si>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</si>
  <si>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</si>
  <si>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</si>
  <si>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</si>
  <si>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</si>
  <si>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</si>
  <si>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</si>
  <si>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</si>
  <si>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</si>
  <si>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</si>
  <si>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</si>
  <si>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</si>
  <si>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</si>
  <si>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</si>
  <si>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</si>
  <si>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</si>
  <si>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</si>
  <si>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</si>
  <si>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</si>
  <si>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</si>
  <si>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</si>
  <si>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</si>
  <si>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</si>
  <si>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</si>
  <si>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</si>
  <si>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</si>
  <si>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</si>
  <si>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</si>
  <si>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</si>
  <si>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</si>
  <si>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</si>
  <si>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</si>
  <si>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</si>
  <si>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</si>
  <si>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</si>
  <si>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</si>
  <si>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</si>
  <si>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</si>
  <si>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</si>
  <si>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</si>
  <si>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</si>
  <si>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</si>
  <si>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</si>
  <si>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</si>
  <si>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</si>
  <si>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</si>
  <si>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</si>
  <si>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</si>
  <si>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</si>
  <si>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</si>
  <si>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</si>
  <si>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</si>
  <si>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</si>
  <si>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</si>
  <si>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</si>
  <si>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</si>
  <si>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</si>
  <si>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</si>
  <si>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</si>
  <si>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</si>
  <si>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</si>
  <si>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</si>
  <si>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</si>
  <si>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</si>
  <si>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</si>
  <si>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</si>
  <si>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</si>
  <si>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</si>
  <si>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</si>
  <si>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</si>
  <si>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</si>
  <si>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</si>
  <si>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</si>
  <si>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</si>
  <si>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</si>
  <si>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</si>
  <si>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</si>
  <si>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</si>
  <si>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</si>
  <si>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</si>
  <si>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</si>
  <si>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</si>
  <si>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</si>
  <si>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</si>
  <si>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</si>
  <si>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</si>
  <si>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</si>
  <si>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</si>
  <si>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</si>
  <si>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</si>
  <si>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</si>
  <si>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</si>
  <si>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</si>
  <si>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</si>
  <si>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</si>
  <si>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</si>
  <si>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</si>
  <si>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</si>
  <si>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</si>
  <si>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</si>
  <si>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</si>
  <si>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</si>
  <si>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</si>
  <si>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</si>
  <si>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</si>
  <si>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</si>
  <si>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</si>
  <si>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</si>
  <si>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</si>
  <si>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</si>
  <si>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</si>
  <si>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</si>
  <si>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</si>
  <si>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</si>
  <si>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</si>
  <si>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</si>
  <si>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</si>
  <si>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</si>
  <si>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</si>
  <si>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</si>
  <si>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</si>
  <si>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</si>
  <si>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</si>
  <si>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</si>
  <si>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</si>
  <si>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</si>
  <si>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</si>
  <si>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</si>
  <si>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</si>
  <si>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</si>
  <si>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</si>
  <si>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</si>
  <si>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</si>
  <si>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</si>
  <si>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</si>
  <si>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</si>
  <si>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</si>
  <si>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</si>
  <si>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</si>
  <si>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</si>
  <si>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</si>
  <si>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</si>
  <si>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</si>
  <si>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</si>
  <si>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</si>
  <si>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</si>
  <si>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</si>
  <si>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</si>
  <si>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</si>
  <si>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</si>
  <si>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</si>
  <si>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</si>
  <si>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</si>
  <si>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</si>
  <si>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</si>
  <si>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</si>
  <si>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</si>
  <si>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</si>
  <si>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</si>
  <si>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</si>
  <si>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</si>
  <si>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</si>
  <si>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</si>
  <si>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</si>
  <si>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</si>
  <si>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</si>
  <si>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</si>
  <si>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</si>
  <si>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</si>
  <si>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</si>
  <si>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</si>
  <si>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</si>
  <si>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</si>
  <si>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</si>
  <si>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</si>
  <si>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</si>
  <si>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</si>
  <si>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</si>
  <si>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</si>
  <si>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</si>
  <si>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</si>
  <si>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</si>
  <si>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</si>
  <si>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</si>
  <si>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</si>
  <si>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</si>
  <si>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</si>
  <si>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</si>
  <si>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</si>
  <si>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</si>
  <si>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</si>
  <si>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</si>
  <si>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</si>
  <si>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</si>
  <si>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</si>
  <si>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</si>
  <si>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</si>
  <si>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</si>
  <si>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</si>
  <si>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</si>
  <si>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</si>
  <si>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</si>
  <si>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</si>
  <si>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</si>
  <si>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</si>
  <si>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</si>
  <si>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</si>
  <si>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</si>
  <si>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</si>
  <si>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</si>
  <si>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</si>
  <si>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</si>
  <si>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</si>
  <si>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</si>
  <si>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</si>
  <si>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</si>
  <si>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</si>
  <si>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</si>
  <si>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</si>
  <si>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</si>
  <si>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</si>
  <si>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</si>
  <si>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</si>
  <si>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</si>
  <si>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</si>
  <si>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</si>
  <si>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</si>
  <si>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</si>
  <si>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</si>
  <si>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</si>
  <si>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</si>
  <si>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</si>
  <si>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</si>
  <si>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</si>
  <si>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</si>
  <si>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</si>
  <si>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</si>
  <si>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</si>
  <si>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</si>
  <si>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</si>
  <si>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</si>
  <si>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</si>
  <si>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</si>
  <si>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</si>
  <si>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</si>
  <si>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</si>
  <si>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</si>
  <si>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</si>
  <si>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</si>
  <si>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</si>
  <si>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</si>
  <si>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</si>
  <si>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</si>
  <si>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</si>
  <si>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</si>
  <si>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</si>
  <si>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</si>
  <si>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</si>
  <si>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</si>
  <si>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</si>
  <si>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</si>
  <si>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</si>
  <si>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</si>
  <si>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</si>
  <si>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</si>
  <si>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</si>
  <si>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</si>
  <si>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</si>
  <si>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</si>
  <si>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</si>
  <si>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</si>
  <si>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</si>
  <si>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</si>
  <si>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</si>
  <si>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</si>
  <si>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</si>
  <si>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</si>
  <si>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</si>
  <si>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</si>
  <si>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</si>
  <si>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</si>
  <si>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</si>
  <si>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</si>
  <si>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</si>
  <si>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</si>
  <si>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</si>
  <si>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</si>
  <si>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</si>
  <si>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</si>
  <si>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</si>
  <si>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</si>
  <si>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</si>
  <si>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</si>
  <si>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</si>
  <si>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</si>
  <si>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</si>
  <si>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</si>
  <si>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</si>
  <si>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</si>
  <si>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</si>
  <si>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</si>
  <si>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</si>
  <si>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</si>
  <si>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</si>
  <si>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</si>
  <si>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</si>
  <si>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</si>
  <si>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</si>
  <si>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</si>
  <si>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</si>
  <si>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</si>
  <si>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</si>
  <si>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</si>
  <si>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</si>
  <si>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</si>
  <si>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</si>
  <si>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</si>
  <si>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</si>
  <si>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</si>
  <si>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</si>
  <si>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</si>
  <si>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</si>
  <si>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</si>
  <si>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</si>
  <si>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</si>
  <si>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</si>
  <si>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</si>
  <si>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</si>
  <si>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</si>
  <si>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</si>
  <si>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</si>
  <si>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</si>
  <si>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</si>
  <si>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</si>
  <si>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</si>
  <si>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</si>
  <si>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</si>
  <si>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</si>
  <si>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</si>
  <si>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</si>
  <si>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</si>
  <si>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</si>
  <si>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</si>
  <si>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</si>
  <si>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</si>
  <si>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</si>
  <si>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</si>
  <si>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</si>
  <si>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</si>
  <si>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</si>
  <si>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</si>
  <si>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</si>
  <si>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</si>
  <si>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</si>
  <si>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</si>
  <si>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</si>
  <si>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</si>
  <si>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</si>
  <si>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</si>
  <si>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</si>
  <si>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</si>
  <si>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</si>
  <si>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</si>
  <si>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</si>
  <si>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</si>
  <si>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</si>
  <si>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</si>
  <si>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</si>
  <si>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</si>
  <si>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</si>
  <si>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</si>
  <si>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</si>
  <si>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</si>
  <si>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</si>
  <si>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</si>
  <si>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</si>
  <si>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</si>
  <si>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</si>
  <si>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</si>
  <si>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</si>
  <si>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</si>
  <si>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</si>
  <si>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</si>
  <si>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</si>
  <si>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</si>
  <si>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</si>
  <si>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</si>
  <si>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</si>
  <si>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</si>
  <si>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</si>
  <si>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</si>
  <si>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</si>
  <si>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</si>
  <si>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</si>
  <si>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</si>
  <si>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</si>
  <si>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</si>
  <si>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</si>
  <si>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</si>
  <si>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</si>
  <si>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</si>
  <si>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</si>
  <si>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</si>
  <si>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</si>
  <si>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</si>
  <si>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</si>
  <si>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</si>
  <si>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</si>
  <si>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</si>
  <si>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</si>
  <si>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</si>
  <si>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</si>
  <si>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</si>
  <si>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</si>
  <si>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</si>
  <si>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</si>
  <si>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</si>
  <si>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</si>
  <si>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</si>
  <si>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</si>
  <si>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</si>
  <si>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</si>
  <si>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</si>
  <si>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</si>
  <si>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</si>
  <si>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</si>
  <si>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</si>
  <si>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</si>
  <si>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</si>
  <si>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</si>
  <si>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</si>
  <si>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</si>
  <si>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</si>
  <si>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</si>
  <si>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</si>
  <si>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</si>
  <si>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</si>
  <si>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</si>
  <si>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</si>
  <si>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</si>
  <si>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</si>
  <si>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</si>
  <si>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</si>
  <si>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</si>
  <si>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</si>
  <si>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</si>
  <si>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</si>
  <si>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</si>
  <si>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</si>
  <si>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</si>
  <si>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</si>
  <si>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</si>
  <si>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</si>
  <si>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</si>
  <si>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</si>
  <si>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</si>
  <si>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</si>
  <si>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</si>
  <si>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</si>
  <si>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</si>
  <si>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</si>
  <si>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</si>
  <si>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</si>
  <si>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</si>
  <si>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</si>
  <si>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</si>
  <si>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</si>
  <si>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</si>
  <si>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</si>
  <si>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</si>
  <si>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</si>
  <si>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</si>
  <si>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</si>
  <si>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</si>
  <si>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</si>
  <si>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</si>
  <si>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</si>
  <si>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</si>
  <si>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</si>
  <si>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</si>
  <si>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</si>
  <si>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</si>
  <si>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</si>
  <si>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</si>
  <si>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</si>
  <si>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</si>
  <si>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</si>
  <si>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</si>
  <si>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</si>
  <si>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</si>
  <si>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</si>
  <si>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</si>
  <si>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</si>
  <si>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</si>
  <si>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</si>
  <si>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</si>
  <si>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</si>
  <si>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</si>
  <si>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</si>
  <si>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</si>
  <si>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</si>
  <si>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</si>
  <si>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</si>
  <si>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</si>
  <si>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</si>
  <si>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</si>
  <si>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</si>
  <si>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</si>
  <si>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</si>
  <si>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</si>
  <si>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</si>
  <si>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</si>
  <si>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</si>
  <si>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</si>
  <si>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</si>
  <si>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</si>
  <si>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</si>
  <si>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</si>
  <si>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</si>
  <si>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</si>
  <si>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</si>
  <si>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</si>
  <si>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</si>
  <si>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</si>
  <si>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</si>
  <si>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</si>
  <si>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</si>
  <si>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</si>
  <si>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</si>
  <si>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</si>
  <si>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</si>
  <si>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</si>
  <si>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</si>
  <si>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</si>
  <si>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</si>
  <si>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</si>
  <si>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</si>
  <si>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</si>
  <si>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</si>
  <si>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</si>
  <si>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</si>
  <si>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</si>
  <si>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</si>
  <si>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</si>
  <si>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</si>
  <si>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</si>
  <si>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</si>
  <si>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</si>
  <si>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</si>
  <si>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</si>
  <si>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</si>
  <si>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</si>
  <si>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</si>
  <si>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</si>
  <si>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</si>
  <si>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</si>
  <si>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</si>
  <si>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</si>
  <si>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</si>
  <si>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</si>
  <si>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</si>
  <si>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</si>
  <si>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</si>
  <si>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</si>
  <si>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</si>
  <si>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</si>
  <si>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</si>
  <si>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285</t>
  </si>
  <si>
    <t>2041</t>
  </si>
  <si>
    <t>הבנק הבינלאומי</t>
  </si>
  <si>
    <t>31-46</t>
  </si>
  <si>
    <t>Aaa.il</t>
  </si>
  <si>
    <t>ILS</t>
  </si>
  <si>
    <t>USD</t>
  </si>
  <si>
    <t>3.759</t>
  </si>
  <si>
    <t>2042</t>
  </si>
  <si>
    <t>EUR</t>
  </si>
  <si>
    <t>4.0202</t>
  </si>
  <si>
    <t>GBP</t>
  </si>
  <si>
    <t>4.7505</t>
  </si>
  <si>
    <t>485</t>
  </si>
  <si>
    <t>2037</t>
  </si>
  <si>
    <t>2038</t>
  </si>
  <si>
    <t>0</t>
  </si>
  <si>
    <t>ilAAA</t>
  </si>
  <si>
    <t>JPY</t>
  </si>
  <si>
    <t>0.0234</t>
  </si>
  <si>
    <t>NOK</t>
  </si>
  <si>
    <t>0.3521</t>
  </si>
  <si>
    <t>AUD</t>
  </si>
  <si>
    <t>2.4931</t>
  </si>
  <si>
    <t>מדינת ישראל</t>
  </si>
  <si>
    <t>ממשל צמודה 1025</t>
  </si>
  <si>
    <t>IL0011359127</t>
  </si>
  <si>
    <t>RF</t>
  </si>
  <si>
    <t>31/10/2025</t>
  </si>
  <si>
    <t>113.49</t>
  </si>
  <si>
    <t>ממשל צמודה 1131</t>
  </si>
  <si>
    <t>IL0011722209</t>
  </si>
  <si>
    <t>30/11/2031</t>
  </si>
  <si>
    <t>97.65</t>
  </si>
  <si>
    <t>ממשל צמודה 0527</t>
  </si>
  <si>
    <t>IL0011408478</t>
  </si>
  <si>
    <t>31/05/2027</t>
  </si>
  <si>
    <t>111.66</t>
  </si>
  <si>
    <t>ממשל צמודה 0536</t>
  </si>
  <si>
    <t>IL0010977085</t>
  </si>
  <si>
    <t>30/05/2036</t>
  </si>
  <si>
    <t>159.08</t>
  </si>
  <si>
    <t>ממשל צמודה 0529</t>
  </si>
  <si>
    <t>IL0011570236</t>
  </si>
  <si>
    <t>31/05/2029</t>
  </si>
  <si>
    <t>105.85</t>
  </si>
  <si>
    <t>ממשל צמודה 1028</t>
  </si>
  <si>
    <t>IL0011973265</t>
  </si>
  <si>
    <t>31/10/2028</t>
  </si>
  <si>
    <t>99.98</t>
  </si>
  <si>
    <t>ממשל שקלית 0537</t>
  </si>
  <si>
    <t>IL0011661803</t>
  </si>
  <si>
    <t>31/05/2037</t>
  </si>
  <si>
    <t>65.83</t>
  </si>
  <si>
    <t>ממשל שקלית 0432</t>
  </si>
  <si>
    <t>IL0011806606</t>
  </si>
  <si>
    <t>30/04/2032</t>
  </si>
  <si>
    <t>77.26</t>
  </si>
  <si>
    <t>מ.ק.מ. 415</t>
  </si>
  <si>
    <t>IL0082504171</t>
  </si>
  <si>
    <t>02/04/2025</t>
  </si>
  <si>
    <t>0.000%</t>
  </si>
  <si>
    <t>96.87</t>
  </si>
  <si>
    <t>מ.ק.מ. 315</t>
  </si>
  <si>
    <t>IL0082503181</t>
  </si>
  <si>
    <t>05/03/2025</t>
  </si>
  <si>
    <t>97.17</t>
  </si>
  <si>
    <t>ממשל שקלית 0142</t>
  </si>
  <si>
    <t>IL0011254005</t>
  </si>
  <si>
    <t>31/01/2042</t>
  </si>
  <si>
    <t>104.09</t>
  </si>
  <si>
    <t>מ.ק.מ. 215</t>
  </si>
  <si>
    <t>IL0082502191</t>
  </si>
  <si>
    <t>05/02/2025</t>
  </si>
  <si>
    <t>97.48</t>
  </si>
  <si>
    <t>ממשל שקלית 0928</t>
  </si>
  <si>
    <t>IL0011508798</t>
  </si>
  <si>
    <t>28/09/2028</t>
  </si>
  <si>
    <t>92.73</t>
  </si>
  <si>
    <t>ממשל שקלית 0347</t>
  </si>
  <si>
    <t>IL0011401937</t>
  </si>
  <si>
    <t>31/03/2047</t>
  </si>
  <si>
    <t>78.79</t>
  </si>
  <si>
    <t>מ.ק.מ. 515</t>
  </si>
  <si>
    <t>IL0082505160</t>
  </si>
  <si>
    <t>07/05/2025</t>
  </si>
  <si>
    <t>96.48</t>
  </si>
  <si>
    <t>ממשל שקלית שחר</t>
  </si>
  <si>
    <t>ממשל שקלית 0330</t>
  </si>
  <si>
    <t>IL0011609851</t>
  </si>
  <si>
    <t>31/03/2030</t>
  </si>
  <si>
    <t>81.73</t>
  </si>
  <si>
    <t>ממשל שקלית 0229</t>
  </si>
  <si>
    <t>IL0011948028</t>
  </si>
  <si>
    <t>28/02/2029</t>
  </si>
  <si>
    <t>97.49</t>
  </si>
  <si>
    <t>מ.ק.מ. 615</t>
  </si>
  <si>
    <t>IL0082506150</t>
  </si>
  <si>
    <t>04/06/2025</t>
  </si>
  <si>
    <t>96.17</t>
  </si>
  <si>
    <t>ממשל שקלית 1152</t>
  </si>
  <si>
    <t>IL0011840761</t>
  </si>
  <si>
    <t>29/11/2052</t>
  </si>
  <si>
    <t>62.6</t>
  </si>
  <si>
    <t>US TREASURY N/B</t>
  </si>
  <si>
    <t>T 3 7/8 08/15/33</t>
  </si>
  <si>
    <t>US91282CHT18</t>
  </si>
  <si>
    <t>AA+</t>
  </si>
  <si>
    <t>15/08/2033</t>
  </si>
  <si>
    <t>96.0156</t>
  </si>
  <si>
    <t>T 4 02/15/34</t>
  </si>
  <si>
    <t>US91282CJZ59</t>
  </si>
  <si>
    <t>15/02/2034</t>
  </si>
  <si>
    <t>96.8828</t>
  </si>
  <si>
    <t>מ.ק.מ. 1214</t>
  </si>
  <si>
    <t>IL0082412185</t>
  </si>
  <si>
    <t>04/12/2024</t>
  </si>
  <si>
    <t>98.21</t>
  </si>
  <si>
    <t>מ.ק.מ. 1114</t>
  </si>
  <si>
    <t>IL0082411195</t>
  </si>
  <si>
    <t>06/11/2024</t>
  </si>
  <si>
    <t>98.53</t>
  </si>
  <si>
    <t>ממשל שקלית 1026</t>
  </si>
  <si>
    <t>IL0010994569</t>
  </si>
  <si>
    <t>30/10/2026</t>
  </si>
  <si>
    <t>108.16</t>
  </si>
  <si>
    <t>ממשל שקלית0327</t>
  </si>
  <si>
    <t>IL0011393449</t>
  </si>
  <si>
    <t>31/03/2027</t>
  </si>
  <si>
    <t>94.2</t>
  </si>
  <si>
    <t>מ.ק.מ. 814</t>
  </si>
  <si>
    <t>IL0082408142</t>
  </si>
  <si>
    <t>07/08/2024</t>
  </si>
  <si>
    <t>99.58</t>
  </si>
  <si>
    <t>מ.ק.מ. 714</t>
  </si>
  <si>
    <t>IL0082407151</t>
  </si>
  <si>
    <t>03/07/2024</t>
  </si>
  <si>
    <t>99.97</t>
  </si>
  <si>
    <t>כללביט מימון בע"מ</t>
  </si>
  <si>
    <t>513754069</t>
  </si>
  <si>
    <t>כללביט אגח יא</t>
  </si>
  <si>
    <t>IL0011606477</t>
  </si>
  <si>
    <t>ilAA-</t>
  </si>
  <si>
    <t>85.64</t>
  </si>
  <si>
    <t>מזרחי טפחות חברה להנפקות בע"מ</t>
  </si>
  <si>
    <t>520032046</t>
  </si>
  <si>
    <t>מז טפ הנפק 40</t>
  </si>
  <si>
    <t>IL0023101673</t>
  </si>
  <si>
    <t>07/06/2025</t>
  </si>
  <si>
    <t>98.82</t>
  </si>
  <si>
    <t>הפניקס גיוסי הון (2009)בע"מ</t>
  </si>
  <si>
    <t>514290345</t>
  </si>
  <si>
    <t>פניקס הון אגח ח</t>
  </si>
  <si>
    <t>IL0011398158</t>
  </si>
  <si>
    <t>Aa3.il</t>
  </si>
  <si>
    <t>31/07/2025</t>
  </si>
  <si>
    <t>100.01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</si>
  <si>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</si>
  <si>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</si>
  <si>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</si>
  <si>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</si>
  <si>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</si>
  <si>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</si>
  <si>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90.38</t>
  </si>
  <si>
    <t>כלל מימו אגח יג</t>
  </si>
  <si>
    <t>IL0011979205</t>
  </si>
  <si>
    <t>31/07/2034</t>
  </si>
  <si>
    <t>95.33</t>
  </si>
  <si>
    <t>בזק החברה הישראלית לתקשורת בע"מ</t>
  </si>
  <si>
    <t>520031931</t>
  </si>
  <si>
    <t>בזק 9</t>
  </si>
  <si>
    <t>IL0023001766</t>
  </si>
  <si>
    <t>Aa2.il</t>
  </si>
  <si>
    <t>01/12/2025</t>
  </si>
  <si>
    <t>99.27</t>
  </si>
  <si>
    <t>כלל החזקות עסקי ביטוח בע"מ</t>
  </si>
  <si>
    <t>520036120</t>
  </si>
  <si>
    <t>כלל ביטוח אגח ג</t>
  </si>
  <si>
    <t>IL0012013913</t>
  </si>
  <si>
    <t>01/11/2031</t>
  </si>
  <si>
    <t>97.42</t>
  </si>
  <si>
    <t>אלוני-חץ נכסים והשקעות בע"מ</t>
  </si>
  <si>
    <t>520038506</t>
  </si>
  <si>
    <t>אלוני חץ ט</t>
  </si>
  <si>
    <t>IL0039003541</t>
  </si>
  <si>
    <t>28/02/2027</t>
  </si>
  <si>
    <t>98.64</t>
  </si>
  <si>
    <t>שפיר הנדסה ותעשיה בע"מ</t>
  </si>
  <si>
    <t>514892801</t>
  </si>
  <si>
    <t>שפיר הנדסה א</t>
  </si>
  <si>
    <t>IL0011361347</t>
  </si>
  <si>
    <t>ilA+</t>
  </si>
  <si>
    <t>01/10/2025</t>
  </si>
  <si>
    <t>בי קומיוניקיישנס בע"מ</t>
  </si>
  <si>
    <t>512832742</t>
  </si>
  <si>
    <t>בי קומיונק אגח ו</t>
  </si>
  <si>
    <t>IL0011781510</t>
  </si>
  <si>
    <t>A3.il</t>
  </si>
  <si>
    <t>30/11/2026</t>
  </si>
  <si>
    <t>95.7</t>
  </si>
  <si>
    <t>שופרסל בע"מ</t>
  </si>
  <si>
    <t>520022732</t>
  </si>
  <si>
    <t>שופרסל אגח ה</t>
  </si>
  <si>
    <t>IL0077702095</t>
  </si>
  <si>
    <t>ilAA</t>
  </si>
  <si>
    <t>08/10/2029</t>
  </si>
  <si>
    <t>103.46</t>
  </si>
  <si>
    <t>אלקטרה בע"מ</t>
  </si>
  <si>
    <t>520028911</t>
  </si>
  <si>
    <t>אלקטרה ד</t>
  </si>
  <si>
    <t>IL0073901493</t>
  </si>
  <si>
    <t>30/06/2026</t>
  </si>
  <si>
    <t>98.76</t>
  </si>
  <si>
    <t>מנורה מבטחים החזקות בע"מ</t>
  </si>
  <si>
    <t>520007469</t>
  </si>
  <si>
    <t>מנורה מבטחים החזקות ג</t>
  </si>
  <si>
    <t>IL0056600633</t>
  </si>
  <si>
    <t>30/09/2026</t>
  </si>
  <si>
    <t>99.87</t>
  </si>
  <si>
    <t>הראל ביטוח מימון והנפקות בע"מ</t>
  </si>
  <si>
    <t>513834200</t>
  </si>
  <si>
    <t>הראל הנפק יא ש 4.36</t>
  </si>
  <si>
    <t>IL0011363160</t>
  </si>
  <si>
    <t>31/12/2027</t>
  </si>
  <si>
    <t>97.6</t>
  </si>
  <si>
    <t>סלקום ישראל בע"מ</t>
  </si>
  <si>
    <t>511930125</t>
  </si>
  <si>
    <t>סלקום אגח ט</t>
  </si>
  <si>
    <t>IL0011328361</t>
  </si>
  <si>
    <t>05/07/2025</t>
  </si>
  <si>
    <t>99.08</t>
  </si>
  <si>
    <t>פתאל נכסים(אירופה)בע"מ</t>
  </si>
  <si>
    <t>515328250</t>
  </si>
  <si>
    <t>פתאל אירופה א</t>
  </si>
  <si>
    <t>IL0011375123</t>
  </si>
  <si>
    <t>A2.il</t>
  </si>
  <si>
    <t>15/08/2025</t>
  </si>
  <si>
    <t>100.11</t>
  </si>
  <si>
    <t>הראל הנפ אגח יג</t>
  </si>
  <si>
    <t>IL0011381717</t>
  </si>
  <si>
    <t>31/12/2029</t>
  </si>
  <si>
    <t>92.82</t>
  </si>
  <si>
    <t>הראל הנפ אגח יב</t>
  </si>
  <si>
    <t>IL0011381634</t>
  </si>
  <si>
    <t>31/12/2028</t>
  </si>
  <si>
    <t>94.88</t>
  </si>
  <si>
    <t>חברת גב-ים לקרקעות בע"מ</t>
  </si>
  <si>
    <t>520001736</t>
  </si>
  <si>
    <t>גב ים ח</t>
  </si>
  <si>
    <t>IL0075901517</t>
  </si>
  <si>
    <t>30/06/2034</t>
  </si>
  <si>
    <t>82.82</t>
  </si>
  <si>
    <t>מויניאן לימיטד</t>
  </si>
  <si>
    <t>1858676</t>
  </si>
  <si>
    <t>מויניאן אגח ב</t>
  </si>
  <si>
    <t>IL0011430159</t>
  </si>
  <si>
    <t>Baa2.il</t>
  </si>
  <si>
    <t>30/12/2024</t>
  </si>
  <si>
    <t>מז טפ הנפק 45</t>
  </si>
  <si>
    <t>IL0023102176</t>
  </si>
  <si>
    <t>28/09/2024</t>
  </si>
  <si>
    <t>114.94</t>
  </si>
  <si>
    <t>אדמה פתרונות לחקלאות בע"מ</t>
  </si>
  <si>
    <t>520043605</t>
  </si>
  <si>
    <t>אדמה אגח ב</t>
  </si>
  <si>
    <t>IL0011109159</t>
  </si>
  <si>
    <t>30/11/2036</t>
  </si>
  <si>
    <t>147.13</t>
  </si>
  <si>
    <t>מזרחי הנפקות אגח 49</t>
  </si>
  <si>
    <t>IL0023102820</t>
  </si>
  <si>
    <t>23/06/2026</t>
  </si>
  <si>
    <t>107.97</t>
  </si>
  <si>
    <t>מז טפ הנפק 46</t>
  </si>
  <si>
    <t>IL0023102259</t>
  </si>
  <si>
    <t>28/09/2027</t>
  </si>
  <si>
    <t>111.52</t>
  </si>
  <si>
    <t>בנק לאומי לישראל בע"מ</t>
  </si>
  <si>
    <t>520018078</t>
  </si>
  <si>
    <t>לאומי אגח 183</t>
  </si>
  <si>
    <t>IL0060405474</t>
  </si>
  <si>
    <t>25/11/2029</t>
  </si>
  <si>
    <t>97.13</t>
  </si>
  <si>
    <t>כללביט אגח יב</t>
  </si>
  <si>
    <t>IL0011799280</t>
  </si>
  <si>
    <t>31/03/2032</t>
  </si>
  <si>
    <t>78.71</t>
  </si>
  <si>
    <t>מליסרון בע"מ</t>
  </si>
  <si>
    <t>520037789</t>
  </si>
  <si>
    <t>מליסרון אגח י</t>
  </si>
  <si>
    <t>IL0032301900</t>
  </si>
  <si>
    <t>10/07/2025</t>
  </si>
  <si>
    <t>114.44</t>
  </si>
  <si>
    <t>מליסרון יד 2.15%</t>
  </si>
  <si>
    <t>IL0032302320</t>
  </si>
  <si>
    <t>27/04/2026</t>
  </si>
  <si>
    <t>115.16</t>
  </si>
  <si>
    <t>אמות השקעות בע"מ</t>
  </si>
  <si>
    <t>520026683</t>
  </si>
  <si>
    <t>אמות ד</t>
  </si>
  <si>
    <t>IL0011331498</t>
  </si>
  <si>
    <t>02/07/2028</t>
  </si>
  <si>
    <t>114.34</t>
  </si>
  <si>
    <t>כללביט אגח ט</t>
  </si>
  <si>
    <t>IL0011360505</t>
  </si>
  <si>
    <t>114.58</t>
  </si>
  <si>
    <t>ירושלים מימון והנפקות (2005) בע"מ</t>
  </si>
  <si>
    <t>513682146</t>
  </si>
  <si>
    <t>ירושלים הנ אגח טו</t>
  </si>
  <si>
    <t>IL0011617698</t>
  </si>
  <si>
    <t>31/12/2026</t>
  </si>
  <si>
    <t>109.51</t>
  </si>
  <si>
    <t>ג'י סיטי בע"מ</t>
  </si>
  <si>
    <t>520033234</t>
  </si>
  <si>
    <t>גי סיטי אגח יב</t>
  </si>
  <si>
    <t>IL0012606039</t>
  </si>
  <si>
    <t>30/06/2027</t>
  </si>
  <si>
    <t>110.28</t>
  </si>
  <si>
    <t>לאומי אגח 186</t>
  </si>
  <si>
    <t>IL0012018391</t>
  </si>
  <si>
    <t>30/11/2033</t>
  </si>
  <si>
    <t>99.13</t>
  </si>
  <si>
    <t>חברת החשמל לישראל בע"מ</t>
  </si>
  <si>
    <t>254900JW7GE35YNJGJ55</t>
  </si>
  <si>
    <t>חשמל אגח 35</t>
  </si>
  <si>
    <t>IL0011967994</t>
  </si>
  <si>
    <t>Aa1.il</t>
  </si>
  <si>
    <t>12/06/2037</t>
  </si>
  <si>
    <t>100</t>
  </si>
  <si>
    <t>איירפורט סיטי בע"מ</t>
  </si>
  <si>
    <t>511659401</t>
  </si>
  <si>
    <t>איירפורט אגח 5</t>
  </si>
  <si>
    <t>IL0011334872</t>
  </si>
  <si>
    <t>113.08</t>
  </si>
  <si>
    <t>חשמל אגח 34</t>
  </si>
  <si>
    <t>IL0011967812</t>
  </si>
  <si>
    <t>12/06/2033</t>
  </si>
  <si>
    <t>100.46</t>
  </si>
  <si>
    <t>גי סיטי אגח יג</t>
  </si>
  <si>
    <t>IL0012606526</t>
  </si>
  <si>
    <t>30/06/2028</t>
  </si>
  <si>
    <t>108.4</t>
  </si>
  <si>
    <t>חשמל אגח 29</t>
  </si>
  <si>
    <t>IL0060002362</t>
  </si>
  <si>
    <t>28/02/2026</t>
  </si>
  <si>
    <t>119.29</t>
  </si>
  <si>
    <t>אפי נכסים בע"מ</t>
  </si>
  <si>
    <t>510560188</t>
  </si>
  <si>
    <t>אפי נכסים אגח ח</t>
  </si>
  <si>
    <t>IL0011422313</t>
  </si>
  <si>
    <t>15/10/2026</t>
  </si>
  <si>
    <t>113.71</t>
  </si>
  <si>
    <t>חשמל      31</t>
  </si>
  <si>
    <t>IL0060002859</t>
  </si>
  <si>
    <t>20/09/2031</t>
  </si>
  <si>
    <t>109.95</t>
  </si>
  <si>
    <t>ירושליםהנ אגחיט</t>
  </si>
  <si>
    <t>IL0012014333</t>
  </si>
  <si>
    <t>31/01/2031</t>
  </si>
  <si>
    <t>102.32</t>
  </si>
  <si>
    <t>גב ים אגח י</t>
  </si>
  <si>
    <t>IL0075902846</t>
  </si>
  <si>
    <t>30/06/2035</t>
  </si>
  <si>
    <t>94</t>
  </si>
  <si>
    <t>בנק הפועלים בע"מ</t>
  </si>
  <si>
    <t>520000118</t>
  </si>
  <si>
    <t>פועלים אגח 201</t>
  </si>
  <si>
    <t>IL0011913451</t>
  </si>
  <si>
    <t>29/11/2032</t>
  </si>
  <si>
    <t>101.46</t>
  </si>
  <si>
    <t>ביג מרכזי קניות בע"מ</t>
  </si>
  <si>
    <t>513623314</t>
  </si>
  <si>
    <t>ביג אג'ח ט' 2018/2026 %1.95</t>
  </si>
  <si>
    <t>IL0011410508</t>
  </si>
  <si>
    <t>20/12/2026</t>
  </si>
  <si>
    <t>113.23</t>
  </si>
  <si>
    <t>פועלים אגח 200</t>
  </si>
  <si>
    <t>IL0066204962</t>
  </si>
  <si>
    <t>09/12/2031</t>
  </si>
  <si>
    <t>100.97</t>
  </si>
  <si>
    <t>מרכנתיל הנפקות בע"מ</t>
  </si>
  <si>
    <t>513686154</t>
  </si>
  <si>
    <t>מרכנתיל הנפק אגח ד</t>
  </si>
  <si>
    <t>IL0011713059</t>
  </si>
  <si>
    <t>30/01/2030</t>
  </si>
  <si>
    <t>111.17</t>
  </si>
  <si>
    <t>לאומי אגח 179</t>
  </si>
  <si>
    <t>IL0060403727</t>
  </si>
  <si>
    <t>110.75</t>
  </si>
  <si>
    <t>מז טפ הנ אגח 68</t>
  </si>
  <si>
    <t>IL0012021429</t>
  </si>
  <si>
    <t>25/12/2033</t>
  </si>
  <si>
    <t>100.23</t>
  </si>
  <si>
    <t>פניקס הון אגחטו</t>
  </si>
  <si>
    <t>IL0012019530</t>
  </si>
  <si>
    <t>30/06/2030</t>
  </si>
  <si>
    <t>95.24</t>
  </si>
  <si>
    <t>פועלים אגח 203</t>
  </si>
  <si>
    <t>IL0011998684</t>
  </si>
  <si>
    <t>02/12/2030</t>
  </si>
  <si>
    <t>111.51</t>
  </si>
  <si>
    <t>גי סיטי אגח יא</t>
  </si>
  <si>
    <t>IL0012605460</t>
  </si>
  <si>
    <t>30/09/2024</t>
  </si>
  <si>
    <t>119.58</t>
  </si>
  <si>
    <t>מז טפ הנפ אגח57</t>
  </si>
  <si>
    <t>IL0023104230</t>
  </si>
  <si>
    <t>01/03/2025</t>
  </si>
  <si>
    <t>113.35</t>
  </si>
  <si>
    <t>גי סיטי אגח יד</t>
  </si>
  <si>
    <t>IL0012607367</t>
  </si>
  <si>
    <t>30/09/2031</t>
  </si>
  <si>
    <t>94.42</t>
  </si>
  <si>
    <t>פז חברת הנפט בע"מ</t>
  </si>
  <si>
    <t>510216054</t>
  </si>
  <si>
    <t>פז נפט אגח ז</t>
  </si>
  <si>
    <t>IL0011425951</t>
  </si>
  <si>
    <t>30/11/2030</t>
  </si>
  <si>
    <t>108.38</t>
  </si>
  <si>
    <t>מגדל ביטוח גיוס הון בע"מ</t>
  </si>
  <si>
    <t>513230029</t>
  </si>
  <si>
    <t>מגדל הון אגח י</t>
  </si>
  <si>
    <t>IL0011920795</t>
  </si>
  <si>
    <t>A1.il</t>
  </si>
  <si>
    <t>30/11/2029</t>
  </si>
  <si>
    <t>97.58</t>
  </si>
  <si>
    <t>פז נפט ו</t>
  </si>
  <si>
    <t>IL0011395428</t>
  </si>
  <si>
    <t>30/11/2028</t>
  </si>
  <si>
    <t>113.1</t>
  </si>
  <si>
    <t>ריט 1 בע"מ</t>
  </si>
  <si>
    <t>513821488</t>
  </si>
  <si>
    <t>ריט 1 אגח ד</t>
  </si>
  <si>
    <t>IL0011298994</t>
  </si>
  <si>
    <t>20/09/2024</t>
  </si>
  <si>
    <t>115.01</t>
  </si>
  <si>
    <t>הפניקס אחזקות בע"מ</t>
  </si>
  <si>
    <t>520017450</t>
  </si>
  <si>
    <t>הפניקס אגח 5</t>
  </si>
  <si>
    <t>IL0076702849</t>
  </si>
  <si>
    <t>01/05/2030</t>
  </si>
  <si>
    <t>101.08</t>
  </si>
  <si>
    <t>מגדל הון אגח יא</t>
  </si>
  <si>
    <t>IL0011975658</t>
  </si>
  <si>
    <t>31/12/2030</t>
  </si>
  <si>
    <t>96.69</t>
  </si>
  <si>
    <t>מז טפ הנפ אגח61</t>
  </si>
  <si>
    <t>IL0023104644</t>
  </si>
  <si>
    <t>04/12/2026</t>
  </si>
  <si>
    <t>108.28</t>
  </si>
  <si>
    <t>סלע קפיטל נדל"ן בע"מ</t>
  </si>
  <si>
    <t>513992529</t>
  </si>
  <si>
    <t>סלע קפיטל נדל"ן ג</t>
  </si>
  <si>
    <t>IL0011389736</t>
  </si>
  <si>
    <t>13/04/2029</t>
  </si>
  <si>
    <t>111.11</t>
  </si>
  <si>
    <t>סלקום אגח ח</t>
  </si>
  <si>
    <t>IL0011328288</t>
  </si>
  <si>
    <t>05/07/2024</t>
  </si>
  <si>
    <t>114.69</t>
  </si>
  <si>
    <t>סלע נדלון אגח ב</t>
  </si>
  <si>
    <t>IL0011329278</t>
  </si>
  <si>
    <t>13/01/2025</t>
  </si>
  <si>
    <t>114.52</t>
  </si>
  <si>
    <t>סלקום אגח יג</t>
  </si>
  <si>
    <t>IL0011891905</t>
  </si>
  <si>
    <t>05/01/2030</t>
  </si>
  <si>
    <t>96.96</t>
  </si>
  <si>
    <t>קבוצת אקרו בע"מ</t>
  </si>
  <si>
    <t>511996803</t>
  </si>
  <si>
    <t>אקרו אגח א</t>
  </si>
  <si>
    <t>IL0011885725</t>
  </si>
  <si>
    <t>96.1</t>
  </si>
  <si>
    <t>אלוני חץ אגח י</t>
  </si>
  <si>
    <t>IL0039003624</t>
  </si>
  <si>
    <t>101.32</t>
  </si>
  <si>
    <t>החברה לישראל בע"מ</t>
  </si>
  <si>
    <t>520028010</t>
  </si>
  <si>
    <t>חברהלישראלאגח14</t>
  </si>
  <si>
    <t>IL0057603016</t>
  </si>
  <si>
    <t>92.37</t>
  </si>
  <si>
    <t>מנורה מבטחים גיוס הון בע"מ</t>
  </si>
  <si>
    <t>513937714</t>
  </si>
  <si>
    <t>מנורה הון התח ו</t>
  </si>
  <si>
    <t>IL0011602419</t>
  </si>
  <si>
    <t>94.26</t>
  </si>
  <si>
    <t>מגדלי הים התיכון בע"מ</t>
  </si>
  <si>
    <t>512719485</t>
  </si>
  <si>
    <t>מגדלי תיכון אגח ה</t>
  </si>
  <si>
    <t>IL0011685174</t>
  </si>
  <si>
    <t>30/06/2029</t>
  </si>
  <si>
    <t>90.63</t>
  </si>
  <si>
    <t>אמ.ג'י.ג'י (בי.וי.אי) לימיטד</t>
  </si>
  <si>
    <t>1981143</t>
  </si>
  <si>
    <t>אמ.ג'יג'י אגח ב</t>
  </si>
  <si>
    <t>IL0011608119</t>
  </si>
  <si>
    <t>20/09/2025</t>
  </si>
  <si>
    <t>99.82</t>
  </si>
  <si>
    <t>שפיר הנדסה ב</t>
  </si>
  <si>
    <t>IL0011419517</t>
  </si>
  <si>
    <t>05/07/2030</t>
  </si>
  <si>
    <t>90.82</t>
  </si>
  <si>
    <t>סילברסטין נכסים לימיטד</t>
  </si>
  <si>
    <t>1970336</t>
  </si>
  <si>
    <t>סילברסטין אגח א</t>
  </si>
  <si>
    <t>IL0011455982</t>
  </si>
  <si>
    <t>31/12/2024</t>
  </si>
  <si>
    <t>98.86</t>
  </si>
  <si>
    <t>ביג אגח יח</t>
  </si>
  <si>
    <t>IL0011742264</t>
  </si>
  <si>
    <t>30/03/2031</t>
  </si>
  <si>
    <t>103.22</t>
  </si>
  <si>
    <t>ביג אגח טו</t>
  </si>
  <si>
    <t>IL0011622219</t>
  </si>
  <si>
    <t>31/01/2030</t>
  </si>
  <si>
    <t>101.69</t>
  </si>
  <si>
    <t>קבוצת עזריאלי בע"מ</t>
  </si>
  <si>
    <t>510960719</t>
  </si>
  <si>
    <t>עזריאלי אגח ו</t>
  </si>
  <si>
    <t>IL0011566119</t>
  </si>
  <si>
    <t>31/12/2032</t>
  </si>
  <si>
    <t>108.31</t>
  </si>
  <si>
    <t>אפי נכסים אגחיד</t>
  </si>
  <si>
    <t>IL0011845307</t>
  </si>
  <si>
    <t>97.3</t>
  </si>
  <si>
    <t>או פי סי אגח ב</t>
  </si>
  <si>
    <t>IL0011660573</t>
  </si>
  <si>
    <t>30/09/2028</t>
  </si>
  <si>
    <t>112.11</t>
  </si>
  <si>
    <t>עזריאלי אגח ח</t>
  </si>
  <si>
    <t>IL0011786808</t>
  </si>
  <si>
    <t>ilAA+</t>
  </si>
  <si>
    <t>02/01/2041</t>
  </si>
  <si>
    <t>89.8</t>
  </si>
  <si>
    <t>עזריאלי קבוצה ד</t>
  </si>
  <si>
    <t>IL0011386500</t>
  </si>
  <si>
    <t>110</t>
  </si>
  <si>
    <t>הראל הנפק אגח י</t>
  </si>
  <si>
    <t>IL0011340481</t>
  </si>
  <si>
    <t>113.85</t>
  </si>
  <si>
    <t>פועלים אגח 202</t>
  </si>
  <si>
    <t>IL0011998502</t>
  </si>
  <si>
    <t>29/04/2028</t>
  </si>
  <si>
    <t>110.68</t>
  </si>
  <si>
    <t>דליה חברות אנרגיה בע"מ (חברה לא בורסאית)</t>
  </si>
  <si>
    <t>516269248</t>
  </si>
  <si>
    <t>דליה אגח א</t>
  </si>
  <si>
    <t>IL0011849515</t>
  </si>
  <si>
    <t>106.94</t>
  </si>
  <si>
    <t>חברת הכשרת הישוב בישראל בע"מ</t>
  </si>
  <si>
    <t>520020116</t>
  </si>
  <si>
    <t>הכשרת ישוב אג21</t>
  </si>
  <si>
    <t>IL0061202243</t>
  </si>
  <si>
    <t>ilA</t>
  </si>
  <si>
    <t>110.52</t>
  </si>
  <si>
    <t>עזריאלי אגח ה</t>
  </si>
  <si>
    <t>IL0011566036</t>
  </si>
  <si>
    <t>110.8</t>
  </si>
  <si>
    <t>צור שמיר אחזקות בע"מ</t>
  </si>
  <si>
    <t>520025586</t>
  </si>
  <si>
    <t>צור אגח י</t>
  </si>
  <si>
    <t>IL0073001716</t>
  </si>
  <si>
    <t>110.24</t>
  </si>
  <si>
    <t>בתי זקוק לנפט בע"מ</t>
  </si>
  <si>
    <t>520036658</t>
  </si>
  <si>
    <t>בזן אגח יג</t>
  </si>
  <si>
    <t>IL0011953465</t>
  </si>
  <si>
    <t>25/09/2032</t>
  </si>
  <si>
    <t>97.35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</si>
  <si>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</si>
  <si>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</si>
  <si>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</si>
  <si>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</si>
  <si>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</si>
  <si>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82.15</t>
  </si>
  <si>
    <t>אמות אגח ז</t>
  </si>
  <si>
    <t>IL0011628661</t>
  </si>
  <si>
    <t>05/01/2032</t>
  </si>
  <si>
    <t>83.12</t>
  </si>
  <si>
    <t>כלל ביטוח אגח א</t>
  </si>
  <si>
    <t>IL0011934812</t>
  </si>
  <si>
    <t>28/02/2028</t>
  </si>
  <si>
    <t>98.75</t>
  </si>
  <si>
    <t>הראל הנפק אגח כ</t>
  </si>
  <si>
    <t>IL0012079849</t>
  </si>
  <si>
    <t>31/12/2033</t>
  </si>
  <si>
    <t>מז טפ הנ אגח 63</t>
  </si>
  <si>
    <t>IL0023105484</t>
  </si>
  <si>
    <t>12/04/2031</t>
  </si>
  <si>
    <t>93.09</t>
  </si>
  <si>
    <t>מניף-שירותים פיננסיים בע"מ</t>
  </si>
  <si>
    <t>512764408</t>
  </si>
  <si>
    <t>מניף אגח א</t>
  </si>
  <si>
    <t>IL0011858839</t>
  </si>
  <si>
    <t>101.87</t>
  </si>
  <si>
    <t>מגדלי ים תיכון אגח ו</t>
  </si>
  <si>
    <t>IL0011991242</t>
  </si>
  <si>
    <t>30/06/2032</t>
  </si>
  <si>
    <t>95.98</t>
  </si>
  <si>
    <t>אלוני חץ אגח יג</t>
  </si>
  <si>
    <t>IL0011894065</t>
  </si>
  <si>
    <t>28/02/2037</t>
  </si>
  <si>
    <t>89.76</t>
  </si>
  <si>
    <t>אשטרום נכסים בע"מ</t>
  </si>
  <si>
    <t>520036617</t>
  </si>
  <si>
    <t>אשטרום נכ אגח 9</t>
  </si>
  <si>
    <t>IL0025101705</t>
  </si>
  <si>
    <t>01/10/2029</t>
  </si>
  <si>
    <t>100.33</t>
  </si>
  <si>
    <t>אלקטרה אגח ו</t>
  </si>
  <si>
    <t>IL0073902632</t>
  </si>
  <si>
    <t>10/12/2035</t>
  </si>
  <si>
    <t>82.34</t>
  </si>
  <si>
    <t>אלקטרה אגח ה</t>
  </si>
  <si>
    <t>IL0073902228</t>
  </si>
  <si>
    <t>10/01/2031</t>
  </si>
  <si>
    <t>96.92</t>
  </si>
  <si>
    <t>בזק אגח 13</t>
  </si>
  <si>
    <t>IL0023003093</t>
  </si>
  <si>
    <t>01/12/2035</t>
  </si>
  <si>
    <t>78.68</t>
  </si>
  <si>
    <t>ווסטדייל אמריקה לימיטד</t>
  </si>
  <si>
    <t>1991033</t>
  </si>
  <si>
    <t>ווסטדייל אגח א</t>
  </si>
  <si>
    <t>IL0011575771</t>
  </si>
  <si>
    <t>30/10/2025</t>
  </si>
  <si>
    <t>100.21</t>
  </si>
  <si>
    <t>נאוויטס פטרוליום, שותפות מוגבלת</t>
  </si>
  <si>
    <t>550263107</t>
  </si>
  <si>
    <t>נאוויטס פט אגחו</t>
  </si>
  <si>
    <t>IL0012048257</t>
  </si>
  <si>
    <t>30/09/2029</t>
  </si>
  <si>
    <t>102.81</t>
  </si>
  <si>
    <t>אלוני חץ אגח יב</t>
  </si>
  <si>
    <t>IL0039004952</t>
  </si>
  <si>
    <t>28/02/2031</t>
  </si>
  <si>
    <t>84.18</t>
  </si>
  <si>
    <t>ישראמקו נגב 2 שותפות מוגבלת</t>
  </si>
  <si>
    <t>550010003</t>
  </si>
  <si>
    <t>ישראמקו אגח ג</t>
  </si>
  <si>
    <t>IL0023202323</t>
  </si>
  <si>
    <t>10/10/2030</t>
  </si>
  <si>
    <t>89.89</t>
  </si>
  <si>
    <t>ווסטדייל אגח ב</t>
  </si>
  <si>
    <t>IL0011613226</t>
  </si>
  <si>
    <t>31/07/2028</t>
  </si>
  <si>
    <t>97.19</t>
  </si>
  <si>
    <t>נופר אנרג'י</t>
  </si>
  <si>
    <t>514599943</t>
  </si>
  <si>
    <t>נופר אנרג אגח ג</t>
  </si>
  <si>
    <t>IL0011980435</t>
  </si>
  <si>
    <t>101.13</t>
  </si>
  <si>
    <t>מבני תעשיה בע"מ</t>
  </si>
  <si>
    <t>520024126</t>
  </si>
  <si>
    <t>מבני תעשיה טז</t>
  </si>
  <si>
    <t>IL0022604388</t>
  </si>
  <si>
    <t>101.11</t>
  </si>
  <si>
    <t>קבוצת דלק בע"מ</t>
  </si>
  <si>
    <t>520044322</t>
  </si>
  <si>
    <t>דלק קב אגח לז</t>
  </si>
  <si>
    <t>IL0011928897</t>
  </si>
  <si>
    <t>31/01/2029</t>
  </si>
  <si>
    <t>104.46</t>
  </si>
  <si>
    <t>חברת פרטנר תקשורת בע"מ</t>
  </si>
  <si>
    <t>520044314</t>
  </si>
  <si>
    <t>פרטנר אגח ז</t>
  </si>
  <si>
    <t>IL0011563975</t>
  </si>
  <si>
    <t>25/06/2027</t>
  </si>
  <si>
    <t>97.24</t>
  </si>
  <si>
    <t>איי.די.איי הנפקות (2010) בע"מ</t>
  </si>
  <si>
    <t>514486042</t>
  </si>
  <si>
    <t>איי די איי ה שה</t>
  </si>
  <si>
    <t>IL0011558785</t>
  </si>
  <si>
    <t>15/11/2025</t>
  </si>
  <si>
    <t>98.16</t>
  </si>
  <si>
    <t>פניקס הון אגחיא</t>
  </si>
  <si>
    <t>IL0011593592</t>
  </si>
  <si>
    <t>30/04/2029</t>
  </si>
  <si>
    <t>88.48</t>
  </si>
  <si>
    <t>וילאר אינטרנשיונל בע"מ</t>
  </si>
  <si>
    <t>520038910</t>
  </si>
  <si>
    <t>וילאר     אגח ח</t>
  </si>
  <si>
    <t>IL0041601563</t>
  </si>
  <si>
    <t>27/06/2025</t>
  </si>
  <si>
    <t>97.83</t>
  </si>
  <si>
    <t>דלתא-גליל תעשיות בע"מ</t>
  </si>
  <si>
    <t>520025602</t>
  </si>
  <si>
    <t>דלתא אגח א</t>
  </si>
  <si>
    <t>IL0062701441</t>
  </si>
  <si>
    <t>31/08/2028</t>
  </si>
  <si>
    <t>101.31</t>
  </si>
  <si>
    <t>דיסקונט מנפיקים בע"מ</t>
  </si>
  <si>
    <t>520029935</t>
  </si>
  <si>
    <t>דיסק מנ אגח טז</t>
  </si>
  <si>
    <t>IL0012031576</t>
  </si>
  <si>
    <t>20/03/2035</t>
  </si>
  <si>
    <t>100.34</t>
  </si>
  <si>
    <t>אלוני חץ אגח טו</t>
  </si>
  <si>
    <t>IL0011894149</t>
  </si>
  <si>
    <t>93.07</t>
  </si>
  <si>
    <t>אמות אגח ח</t>
  </si>
  <si>
    <t>IL0011727828</t>
  </si>
  <si>
    <t>98.59</t>
  </si>
  <si>
    <t>דליה אגח ב</t>
  </si>
  <si>
    <t>IL0011935983</t>
  </si>
  <si>
    <t>30/09/2034</t>
  </si>
  <si>
    <t>100.71</t>
  </si>
  <si>
    <t>מז טפ הנ אגח 66</t>
  </si>
  <si>
    <t>IL0011916678</t>
  </si>
  <si>
    <t>08/12/2031</t>
  </si>
  <si>
    <t>102.97</t>
  </si>
  <si>
    <t>הכשרת ישוב אג25</t>
  </si>
  <si>
    <t>IL0011915274</t>
  </si>
  <si>
    <t>102.95</t>
  </si>
  <si>
    <t>מליסרון אגח כא</t>
  </si>
  <si>
    <t>IL0011946386</t>
  </si>
  <si>
    <t>01/01/2037</t>
  </si>
  <si>
    <t>103.82</t>
  </si>
  <si>
    <t>ביג אגח כא</t>
  </si>
  <si>
    <t>IL0012022179</t>
  </si>
  <si>
    <t>03/07/2030</t>
  </si>
  <si>
    <t>98.8</t>
  </si>
  <si>
    <t>מקורות חברת מים בע"מ</t>
  </si>
  <si>
    <t>520010869</t>
  </si>
  <si>
    <t>מקורות אג"ח 11</t>
  </si>
  <si>
    <t>IL0011584765</t>
  </si>
  <si>
    <t>31/12/2053</t>
  </si>
  <si>
    <t>97.32</t>
  </si>
  <si>
    <t>הכשרת ישוב אג26</t>
  </si>
  <si>
    <t>IL0012056409</t>
  </si>
  <si>
    <t>30/06/2031</t>
  </si>
  <si>
    <t>101.38</t>
  </si>
  <si>
    <t>הבינלאומי הראשון הנפקות בע"מ</t>
  </si>
  <si>
    <t>513141879</t>
  </si>
  <si>
    <t>בינל הנפק אגחיב</t>
  </si>
  <si>
    <t>IL0011823858</t>
  </si>
  <si>
    <t>07/12/2027</t>
  </si>
  <si>
    <t>105.49</t>
  </si>
  <si>
    <t>מבנה אגח כה</t>
  </si>
  <si>
    <t>IL0022606367</t>
  </si>
  <si>
    <t>30/09/2033</t>
  </si>
  <si>
    <t>90.9</t>
  </si>
  <si>
    <t>אשטרום נכס10</t>
  </si>
  <si>
    <t>IL0025102042</t>
  </si>
  <si>
    <t>01/01/2028</t>
  </si>
  <si>
    <t>115.64</t>
  </si>
  <si>
    <t>ביג אגח כ</t>
  </si>
  <si>
    <t>IL0011861882</t>
  </si>
  <si>
    <t>30/04/2033</t>
  </si>
  <si>
    <t>98.81</t>
  </si>
  <si>
    <t>דיסק מנ אגח טו</t>
  </si>
  <si>
    <t>IL0074803045</t>
  </si>
  <si>
    <t>15/08/2032</t>
  </si>
  <si>
    <t>100.85</t>
  </si>
  <si>
    <t>אשטרום נכ אגח14</t>
  </si>
  <si>
    <t>IL0012018961</t>
  </si>
  <si>
    <t>חשמל אגח 32</t>
  </si>
  <si>
    <t>IL0060003840</t>
  </si>
  <si>
    <t>22/07/2027</t>
  </si>
  <si>
    <t>108.55</t>
  </si>
  <si>
    <t>חברת נמלי ישראל-פיתוח נכסים בע"מ</t>
  </si>
  <si>
    <t>513569780</t>
  </si>
  <si>
    <t>נמלי ישראל אגחא</t>
  </si>
  <si>
    <t>IL0011455644</t>
  </si>
  <si>
    <t>111.94</t>
  </si>
  <si>
    <t>גב ים אגח ט</t>
  </si>
  <si>
    <t>IL0075902192</t>
  </si>
  <si>
    <t>30/06/2033</t>
  </si>
  <si>
    <t>100.45</t>
  </si>
  <si>
    <t>רבוע כחול נדל"ן בע"מ</t>
  </si>
  <si>
    <t>513765859</t>
  </si>
  <si>
    <t>רבוע כחול נדל"ן ז</t>
  </si>
  <si>
    <t>IL0011406159</t>
  </si>
  <si>
    <t>113.63</t>
  </si>
  <si>
    <t>מליסרון אגח יא</t>
  </si>
  <si>
    <t>IL0032302080</t>
  </si>
  <si>
    <t>114.76</t>
  </si>
  <si>
    <t>גב ים אגח ו</t>
  </si>
  <si>
    <t>IL0075901285</t>
  </si>
  <si>
    <t>31/03/2026</t>
  </si>
  <si>
    <t>142.59</t>
  </si>
  <si>
    <t>ישרס חברה להשקעות בע"מ</t>
  </si>
  <si>
    <t>520017807</t>
  </si>
  <si>
    <t>ישרס טו</t>
  </si>
  <si>
    <t>IL0061302076</t>
  </si>
  <si>
    <t>15/05/2027</t>
  </si>
  <si>
    <t>111.97</t>
  </si>
  <si>
    <t>מבני תעשיה יט</t>
  </si>
  <si>
    <t>IL0022604875</t>
  </si>
  <si>
    <t>115.09</t>
  </si>
  <si>
    <t>מבני תעש אגח כג</t>
  </si>
  <si>
    <t>IL0022605450</t>
  </si>
  <si>
    <t>114.25</t>
  </si>
  <si>
    <t>מליסרון אגח יז</t>
  </si>
  <si>
    <t>IL0032302734</t>
  </si>
  <si>
    <t>01/01/2032</t>
  </si>
  <si>
    <t>111.19</t>
  </si>
  <si>
    <t>ביג אג"ח ז</t>
  </si>
  <si>
    <t>IL0011360844</t>
  </si>
  <si>
    <t>10/05/2025</t>
  </si>
  <si>
    <t>113.77</t>
  </si>
  <si>
    <t>שמוס אינטרנשיונל לימיטד</t>
  </si>
  <si>
    <t>633896</t>
  </si>
  <si>
    <t>שמוס אגח א</t>
  </si>
  <si>
    <t>IL0011559510</t>
  </si>
  <si>
    <t>10/07/2028</t>
  </si>
  <si>
    <t>90.67</t>
  </si>
  <si>
    <t>סאפיינס אינטרנשיונל קורפוריישן N.V</t>
  </si>
  <si>
    <t>53368</t>
  </si>
  <si>
    <t>סאפיינס אג"ח ב</t>
  </si>
  <si>
    <t>IL0011419368</t>
  </si>
  <si>
    <t>01/01/2026</t>
  </si>
  <si>
    <t>103.29</t>
  </si>
  <si>
    <t>DEMETER(SWISS RE LTD(</t>
  </si>
  <si>
    <t>724500RPEZI5VVQQWE89</t>
  </si>
  <si>
    <t>SRENVX 5 5/8 08/15/52</t>
  </si>
  <si>
    <t>XS1423777215</t>
  </si>
  <si>
    <t>BBB-</t>
  </si>
  <si>
    <t>15/08/2052</t>
  </si>
  <si>
    <t>98.552</t>
  </si>
  <si>
    <t>DISCOVER BANK</t>
  </si>
  <si>
    <t>Z1YL02USP0RE63VVUL20</t>
  </si>
  <si>
    <t>26/DFS 3.45 27/07</t>
  </si>
  <si>
    <t>US25466AAJ07</t>
  </si>
  <si>
    <t>BBB</t>
  </si>
  <si>
    <t>27/07/2026</t>
  </si>
  <si>
    <t>95.459</t>
  </si>
  <si>
    <t>VODAFONE GROUP PLC</t>
  </si>
  <si>
    <t>213800TB53ELEUKM7Q61</t>
  </si>
  <si>
    <t>VOD 6 1/4 10/03/78</t>
  </si>
  <si>
    <t>XS1888180640</t>
  </si>
  <si>
    <t>BB+</t>
  </si>
  <si>
    <t>99.958</t>
  </si>
  <si>
    <t>נופר אנרג אג ב</t>
  </si>
  <si>
    <t>IL0011980351</t>
  </si>
  <si>
    <t>100.1</t>
  </si>
  <si>
    <t>דיסק מנ אגח יד</t>
  </si>
  <si>
    <t>IL0074801635</t>
  </si>
  <si>
    <t>05/12/2030</t>
  </si>
  <si>
    <t>94.27</t>
  </si>
  <si>
    <t>שופרסל אג"ח ו'</t>
  </si>
  <si>
    <t>IL0077702178</t>
  </si>
  <si>
    <t>08/10/2028</t>
  </si>
  <si>
    <t>121.81</t>
  </si>
  <si>
    <t>ישפרו בע"מ</t>
  </si>
  <si>
    <t>516291754</t>
  </si>
  <si>
    <t>ישפרו אגח א</t>
  </si>
  <si>
    <t>IL0012022906</t>
  </si>
  <si>
    <t>לוינשטין נכסים בע"מ</t>
  </si>
  <si>
    <t>511134298</t>
  </si>
  <si>
    <t>לוינשטן נכב</t>
  </si>
  <si>
    <t>IL0011397168</t>
  </si>
  <si>
    <t>113.22</t>
  </si>
  <si>
    <t>טבע תעשיות פרמצבטיות בע"מ</t>
  </si>
  <si>
    <t>520013954</t>
  </si>
  <si>
    <t>טבע</t>
  </si>
  <si>
    <t>IL0006290147</t>
  </si>
  <si>
    <t>6,120</t>
  </si>
  <si>
    <t>פועלים</t>
  </si>
  <si>
    <t>IL0006625771</t>
  </si>
  <si>
    <t>3,365</t>
  </si>
  <si>
    <t>נייס בע"מ</t>
  </si>
  <si>
    <t>520036872</t>
  </si>
  <si>
    <t>נייס</t>
  </si>
  <si>
    <t>IL0002730112</t>
  </si>
  <si>
    <t>64,400</t>
  </si>
  <si>
    <t>לאומי</t>
  </si>
  <si>
    <t>IL0006046119</t>
  </si>
  <si>
    <t>3,110</t>
  </si>
  <si>
    <t>זפירוס ווינג אנרג'יס בע"מ</t>
  </si>
  <si>
    <t>516537560</t>
  </si>
  <si>
    <t>זפירוס חסום מורים</t>
  </si>
  <si>
    <t>IL0011946956</t>
  </si>
  <si>
    <t>1,393</t>
  </si>
  <si>
    <t>הבנק הבינלאומי הראשון לישראל בע"מ</t>
  </si>
  <si>
    <t>520029083</t>
  </si>
  <si>
    <t>בינלאומי</t>
  </si>
  <si>
    <t>IL0005930388</t>
  </si>
  <si>
    <t>14,410</t>
  </si>
  <si>
    <t>בנק דיסקונט לישראל בע"מ</t>
  </si>
  <si>
    <t>520007030</t>
  </si>
  <si>
    <t>דיסקונט א</t>
  </si>
  <si>
    <t>IL0006912120</t>
  </si>
  <si>
    <t>1,909</t>
  </si>
  <si>
    <t>בנק מזרחי טפחות בע"מ</t>
  </si>
  <si>
    <t>520000522</t>
  </si>
  <si>
    <t>מזרחי טפחות</t>
  </si>
  <si>
    <t>IL0006954379</t>
  </si>
  <si>
    <t>13,080</t>
  </si>
  <si>
    <t>נאוויטס מ"ר</t>
  </si>
  <si>
    <t>IL0011419699</t>
  </si>
  <si>
    <t>4,674</t>
  </si>
  <si>
    <t>אנלייט אנרגיה מתחדשת בע"מ</t>
  </si>
  <si>
    <t>520041146</t>
  </si>
  <si>
    <t>אנלייט אנרגיה</t>
  </si>
  <si>
    <t>IL0007200111</t>
  </si>
  <si>
    <t>1,616</t>
  </si>
  <si>
    <t>אנרג'יאן נפט וגז פי אל סי</t>
  </si>
  <si>
    <t>549300RVMKU0CYUZBB05</t>
  </si>
  <si>
    <t>אנרג'יאן</t>
  </si>
  <si>
    <t>GB00BG12Y042</t>
  </si>
  <si>
    <t>986</t>
  </si>
  <si>
    <t>אורמת טכנולוגיות, אינק</t>
  </si>
  <si>
    <t>880326081</t>
  </si>
  <si>
    <t>אורמת טכנו</t>
  </si>
  <si>
    <t>US6866881021</t>
  </si>
  <si>
    <t>26,580</t>
  </si>
  <si>
    <t>בזק</t>
  </si>
  <si>
    <t>IL0002300114</t>
  </si>
  <si>
    <t>423.6</t>
  </si>
  <si>
    <t>מליסרון</t>
  </si>
  <si>
    <t>IL0003230146</t>
  </si>
  <si>
    <t>24,710</t>
  </si>
  <si>
    <t>קיסטון ריט בע"מ</t>
  </si>
  <si>
    <t>515983476</t>
  </si>
  <si>
    <t>קיסטון אינפרא</t>
  </si>
  <si>
    <t>IL0011759342</t>
  </si>
  <si>
    <t>537.4</t>
  </si>
  <si>
    <t>ביג</t>
  </si>
  <si>
    <t>IL0010972607</t>
  </si>
  <si>
    <t>35,740</t>
  </si>
  <si>
    <t>כלל עסקי ביטוח</t>
  </si>
  <si>
    <t>IL0002240146</t>
  </si>
  <si>
    <t>5,291</t>
  </si>
  <si>
    <t>עזריאלי קבוצה</t>
  </si>
  <si>
    <t>IL0011194789</t>
  </si>
  <si>
    <t>22,000</t>
  </si>
  <si>
    <t>קבוצת אקרשטיין בע"מ</t>
  </si>
  <si>
    <t>512714494</t>
  </si>
  <si>
    <t>קבוצת אקרשטיין</t>
  </si>
  <si>
    <t>IL0011762056</t>
  </si>
  <si>
    <t>488.3</t>
  </si>
  <si>
    <t>איי.סי.אל גרופ בע"מ</t>
  </si>
  <si>
    <t>520027830</t>
  </si>
  <si>
    <t>איי.סי.אל</t>
  </si>
  <si>
    <t>IL0002810146</t>
  </si>
  <si>
    <t>1,612</t>
  </si>
  <si>
    <t>שפיר הנדסה</t>
  </si>
  <si>
    <t>IL0011338758</t>
  </si>
  <si>
    <t>1,920</t>
  </si>
  <si>
    <t>אלקטרה</t>
  </si>
  <si>
    <t>IL0007390375</t>
  </si>
  <si>
    <t>129,690</t>
  </si>
  <si>
    <t>פניקס 1</t>
  </si>
  <si>
    <t>IL0007670123</t>
  </si>
  <si>
    <t>3,419</t>
  </si>
  <si>
    <t>הכשרת הישוב</t>
  </si>
  <si>
    <t>IL0006120104</t>
  </si>
  <si>
    <t>2,837</t>
  </si>
  <si>
    <t>הראל השקעות</t>
  </si>
  <si>
    <t>IL0005850180</t>
  </si>
  <si>
    <t>2,997</t>
  </si>
  <si>
    <t>איירפורט סיטי</t>
  </si>
  <si>
    <t>IL0010958358</t>
  </si>
  <si>
    <t>5,317</t>
  </si>
  <si>
    <t>אלביט מערכות בע"מ</t>
  </si>
  <si>
    <t>520043027</t>
  </si>
  <si>
    <t>אלביט מערכות</t>
  </si>
  <si>
    <t>IL0010811243</t>
  </si>
  <si>
    <t>66,410</t>
  </si>
  <si>
    <t>נובה מכשירי מדידה בע"מ</t>
  </si>
  <si>
    <t>511812463</t>
  </si>
  <si>
    <t>נובה</t>
  </si>
  <si>
    <t>IL0010845571</t>
  </si>
  <si>
    <t>87,800</t>
  </si>
  <si>
    <t>תומר תמלוגי אנרגיה (2012) בע"מ</t>
  </si>
  <si>
    <t>514837111</t>
  </si>
  <si>
    <t>תומר אנרגיה</t>
  </si>
  <si>
    <t>IL0011294936</t>
  </si>
  <si>
    <t>1,422</t>
  </si>
  <si>
    <t>נקסט ויז'ן מערכות מיוצבות בע"מ</t>
  </si>
  <si>
    <t>514259019</t>
  </si>
  <si>
    <t>נקסט ויז'ן</t>
  </si>
  <si>
    <t>IL0011765935</t>
  </si>
  <si>
    <t>5,368</t>
  </si>
  <si>
    <t>חברה לישראל</t>
  </si>
  <si>
    <t>IL0005760173</t>
  </si>
  <si>
    <t>83,740</t>
  </si>
  <si>
    <t>מנורה מב החז</t>
  </si>
  <si>
    <t>IL0005660183</t>
  </si>
  <si>
    <t>8,960</t>
  </si>
  <si>
    <t>דלתא ישראל מותגים בע"מ</t>
  </si>
  <si>
    <t>516250107</t>
  </si>
  <si>
    <t>דלתא מותגים</t>
  </si>
  <si>
    <t>IL0011736993</t>
  </si>
  <si>
    <t>6,244</t>
  </si>
  <si>
    <t>סלקום</t>
  </si>
  <si>
    <t>IL0011015349</t>
  </si>
  <si>
    <t>1,320</t>
  </si>
  <si>
    <t>סלע נדלן</t>
  </si>
  <si>
    <t>IL0011096448</t>
  </si>
  <si>
    <t>661.9</t>
  </si>
  <si>
    <t>שטראוס גרופ בע"מ</t>
  </si>
  <si>
    <t>520003781</t>
  </si>
  <si>
    <t>שטראוס</t>
  </si>
  <si>
    <t>IL0007460160</t>
  </si>
  <si>
    <t>5,599</t>
  </si>
  <si>
    <t>פולירם תעשיות פלסטיק בע"מ</t>
  </si>
  <si>
    <t>515251593</t>
  </si>
  <si>
    <t>פולירם</t>
  </si>
  <si>
    <t>IL0011702169</t>
  </si>
  <si>
    <t>1,084</t>
  </si>
  <si>
    <t>מגה אור החזקות בע"מ</t>
  </si>
  <si>
    <t>513257873</t>
  </si>
  <si>
    <t>מגה אור</t>
  </si>
  <si>
    <t>IL0011044885</t>
  </si>
  <si>
    <t>9,151</t>
  </si>
  <si>
    <t>מ. יוחננוף ובניו (1988) בע"מ</t>
  </si>
  <si>
    <t>511344186</t>
  </si>
  <si>
    <t>יוחננוף</t>
  </si>
  <si>
    <t>IL0011612640</t>
  </si>
  <si>
    <t>17,990</t>
  </si>
  <si>
    <t>או פי סי אנרגיה</t>
  </si>
  <si>
    <t>IL0011415713</t>
  </si>
  <si>
    <t>2,633</t>
  </si>
  <si>
    <t>מבני תעשיה</t>
  </si>
  <si>
    <t>IL0002260193</t>
  </si>
  <si>
    <t>881</t>
  </si>
  <si>
    <t>פרטנר</t>
  </si>
  <si>
    <t>IL0010834849</t>
  </si>
  <si>
    <t>1,535</t>
  </si>
  <si>
    <t>מגדלי תיכון</t>
  </si>
  <si>
    <t>IL0011315236</t>
  </si>
  <si>
    <t>729.3</t>
  </si>
  <si>
    <t>שופרסל</t>
  </si>
  <si>
    <t>IL0007770378</t>
  </si>
  <si>
    <t>2,472</t>
  </si>
  <si>
    <t>פורמולה מערכות (1985)בע"מ</t>
  </si>
  <si>
    <t>520036690</t>
  </si>
  <si>
    <t>פורמולה מערכות</t>
  </si>
  <si>
    <t>IL0002560162</t>
  </si>
  <si>
    <t>26,800</t>
  </si>
  <si>
    <t>IL0011708778</t>
  </si>
  <si>
    <t>8,250</t>
  </si>
  <si>
    <t>תאת טכנולוגיות בע"מ</t>
  </si>
  <si>
    <t>520035791</t>
  </si>
  <si>
    <t>תאת טכנו</t>
  </si>
  <si>
    <t>IL0010827264</t>
  </si>
  <si>
    <t>5,620</t>
  </si>
  <si>
    <t>חילן בע"מ</t>
  </si>
  <si>
    <t>520039942</t>
  </si>
  <si>
    <t>חילן</t>
  </si>
  <si>
    <t>IL0010846983</t>
  </si>
  <si>
    <t>19,600</t>
  </si>
  <si>
    <t>ג'נריישן קפיטל בע"מ</t>
  </si>
  <si>
    <t>515846558</t>
  </si>
  <si>
    <t>ג'נריישן קפיטל</t>
  </si>
  <si>
    <t>IL0011569261</t>
  </si>
  <si>
    <t>52</t>
  </si>
  <si>
    <t>מטריקס אי.טי בע"מ</t>
  </si>
  <si>
    <t>520039413</t>
  </si>
  <si>
    <t>מטריקס</t>
  </si>
  <si>
    <t>IL0004450156</t>
  </si>
  <si>
    <t>6,901</t>
  </si>
  <si>
    <t>דלתא גליל</t>
  </si>
  <si>
    <t>IL0006270347</t>
  </si>
  <si>
    <t>15,700</t>
  </si>
  <si>
    <t>איי.די.איי. חברה לביטוח בע"מ</t>
  </si>
  <si>
    <t>513910703</t>
  </si>
  <si>
    <t>איידיאיי ביטוח</t>
  </si>
  <si>
    <t>IL0011295016</t>
  </si>
  <si>
    <t>9,863</t>
  </si>
  <si>
    <t>טיב טעם הולדינגס 1 בע"מ</t>
  </si>
  <si>
    <t>520041187</t>
  </si>
  <si>
    <t>טיב טעם</t>
  </si>
  <si>
    <t>IL0001030100</t>
  </si>
  <si>
    <t>488.5</t>
  </si>
  <si>
    <t>מיטרוניקס בע"מ</t>
  </si>
  <si>
    <t>511527202</t>
  </si>
  <si>
    <t>מיטרוניקס</t>
  </si>
  <si>
    <t>IL0010910656</t>
  </si>
  <si>
    <t>1,408</t>
  </si>
  <si>
    <t>אמות</t>
  </si>
  <si>
    <t>IL0010972789</t>
  </si>
  <si>
    <t>1,510</t>
  </si>
  <si>
    <t>וואן טכנולוגיות תוכנה בע"מ</t>
  </si>
  <si>
    <t>520034695</t>
  </si>
  <si>
    <t>וואן טכנולוגיות</t>
  </si>
  <si>
    <t>IL0001610182</t>
  </si>
  <si>
    <t>4,545</t>
  </si>
  <si>
    <t>אנרג'יקס-אנרגיות מתחדשות בע"מ</t>
  </si>
  <si>
    <t>513901371</t>
  </si>
  <si>
    <t>אנרג'יקס</t>
  </si>
  <si>
    <t>IL0011233553</t>
  </si>
  <si>
    <t>1,395</t>
  </si>
  <si>
    <t>מקס סטוק בע"מ</t>
  </si>
  <si>
    <t>513618967</t>
  </si>
  <si>
    <t>מקס סטוק</t>
  </si>
  <si>
    <t>IL0011685588</t>
  </si>
  <si>
    <t>871.5</t>
  </si>
  <si>
    <t>פז נפט</t>
  </si>
  <si>
    <t>IL0011000077</t>
  </si>
  <si>
    <t>34,440</t>
  </si>
  <si>
    <t>ורידיס</t>
  </si>
  <si>
    <t>515935807</t>
  </si>
  <si>
    <t>IL0011763872</t>
  </si>
  <si>
    <t>1,770</t>
  </si>
  <si>
    <t>אספן גרופ בע"מ</t>
  </si>
  <si>
    <t>520037540</t>
  </si>
  <si>
    <t>אספן גרופ</t>
  </si>
  <si>
    <t>IL0003130155</t>
  </si>
  <si>
    <t>560.5</t>
  </si>
  <si>
    <t>אאורה השקעות בע"מ</t>
  </si>
  <si>
    <t>520038274</t>
  </si>
  <si>
    <t>אאורה</t>
  </si>
  <si>
    <t>IL0003730194</t>
  </si>
  <si>
    <t>1,209</t>
  </si>
  <si>
    <t>ישראמקו יהש</t>
  </si>
  <si>
    <t>IL0002320179</t>
  </si>
  <si>
    <t>147.2</t>
  </si>
  <si>
    <t>אזורים-חברה להשקעות בפתוח ובבנין בע"מ</t>
  </si>
  <si>
    <t>520025990</t>
  </si>
  <si>
    <t>אזורים</t>
  </si>
  <si>
    <t>IL0007150118</t>
  </si>
  <si>
    <t>1,549</t>
  </si>
  <si>
    <t>סאמיט אחזקות נדל"ן בע"מ</t>
  </si>
  <si>
    <t>520043720</t>
  </si>
  <si>
    <t>סאמיט</t>
  </si>
  <si>
    <t>IL0010816861</t>
  </si>
  <si>
    <t>4,210</t>
  </si>
  <si>
    <t>בזן</t>
  </si>
  <si>
    <t>IL0025902482</t>
  </si>
  <si>
    <t>86.7</t>
  </si>
  <si>
    <t>תדיראן הולדינגס בע"מ</t>
  </si>
  <si>
    <t>520036732</t>
  </si>
  <si>
    <t>תדיראן גרופ</t>
  </si>
  <si>
    <t>IL0002580129</t>
  </si>
  <si>
    <t>19,430</t>
  </si>
  <si>
    <t>פ.י.ב.י. אחזקות בע"מ</t>
  </si>
  <si>
    <t>520029026</t>
  </si>
  <si>
    <t>פיבי</t>
  </si>
  <si>
    <t>IL0007630119</t>
  </si>
  <si>
    <t>15,200</t>
  </si>
  <si>
    <t>ריט 1</t>
  </si>
  <si>
    <t>IL0010989205</t>
  </si>
  <si>
    <t>1,391</t>
  </si>
  <si>
    <t>פריון נטוורק בע"מ</t>
  </si>
  <si>
    <t>512849498</t>
  </si>
  <si>
    <t>פריון נטוורק</t>
  </si>
  <si>
    <t>IL0010958192</t>
  </si>
  <si>
    <t>835</t>
  </si>
  <si>
    <t>אקרו</t>
  </si>
  <si>
    <t>IL0011849028</t>
  </si>
  <si>
    <t>3,471</t>
  </si>
  <si>
    <t>אורביט טכנולוג'יס בע"מ</t>
  </si>
  <si>
    <t>520036153</t>
  </si>
  <si>
    <t>אורביט</t>
  </si>
  <si>
    <t>IL0002650179</t>
  </si>
  <si>
    <t>2,219</t>
  </si>
  <si>
    <t>אלומה קרן תשתיות (2020) בע"מ</t>
  </si>
  <si>
    <t>516214871</t>
  </si>
  <si>
    <t>אלומה תשתיות</t>
  </si>
  <si>
    <t>IL0011816431</t>
  </si>
  <si>
    <t>29.3</t>
  </si>
  <si>
    <t>אוברסיז קומרס בע"מ</t>
  </si>
  <si>
    <t>510490071</t>
  </si>
  <si>
    <t>אוברסיז</t>
  </si>
  <si>
    <t>IL0011396178</t>
  </si>
  <si>
    <t>369.3</t>
  </si>
  <si>
    <t>מניבים קרן הריט החדשה בע"מ</t>
  </si>
  <si>
    <t>515327120</t>
  </si>
  <si>
    <t>מניבים ריט</t>
  </si>
  <si>
    <t>IL0011405730</t>
  </si>
  <si>
    <t>159.4</t>
  </si>
  <si>
    <t>איילון אחזקות בע"מ</t>
  </si>
  <si>
    <t>520030677</t>
  </si>
  <si>
    <t>איילון</t>
  </si>
  <si>
    <t>IL0002090152</t>
  </si>
  <si>
    <t>1,700</t>
  </si>
  <si>
    <t>ריט אזורים - ה.פ ליווינג בע"מ</t>
  </si>
  <si>
    <t>516117181</t>
  </si>
  <si>
    <t>ריט אזורים ליוי</t>
  </si>
  <si>
    <t>IL0011627754</t>
  </si>
  <si>
    <t>344.2</t>
  </si>
  <si>
    <t>פז בית זיקוק לנפט-אשדוד בע"מ</t>
  </si>
  <si>
    <t>513775163</t>
  </si>
  <si>
    <t>בזא</t>
  </si>
  <si>
    <t>IL0011989105</t>
  </si>
  <si>
    <t>6,189</t>
  </si>
  <si>
    <t>פלסאנמור בע"מ</t>
  </si>
  <si>
    <t>515139129</t>
  </si>
  <si>
    <t>פלסאנמור</t>
  </si>
  <si>
    <t>IL0011767006</t>
  </si>
  <si>
    <t>332.1</t>
  </si>
  <si>
    <t>אקוואריוס מנועים (א.מ) בע"מ</t>
  </si>
  <si>
    <t>515114429</t>
  </si>
  <si>
    <t>אקוואריוס מנוע</t>
  </si>
  <si>
    <t>IL0011702409</t>
  </si>
  <si>
    <t>189.5</t>
  </si>
  <si>
    <t>מהדרין בע"מ</t>
  </si>
  <si>
    <t>520018482</t>
  </si>
  <si>
    <t>מהדרין</t>
  </si>
  <si>
    <t>IL0006860147</t>
  </si>
  <si>
    <t>14,490</t>
  </si>
  <si>
    <t>סיפיה ווז'ן בע"מ</t>
  </si>
  <si>
    <t>513476010</t>
  </si>
  <si>
    <t>סיפיה וויז'ן</t>
  </si>
  <si>
    <t>IL0011819328</t>
  </si>
  <si>
    <t>45.3</t>
  </si>
  <si>
    <t>יומן אקסטנשנס בע"מ</t>
  </si>
  <si>
    <t>514707736</t>
  </si>
  <si>
    <t>יומן אקסטנשנס</t>
  </si>
  <si>
    <t>IL0011700007</t>
  </si>
  <si>
    <t>35.5</t>
  </si>
  <si>
    <t>FACEBOOK</t>
  </si>
  <si>
    <t>BQ4BKCS1HXDV9HN80Z93</t>
  </si>
  <si>
    <t>US30303M1027</t>
  </si>
  <si>
    <t>50,422</t>
  </si>
  <si>
    <t>Amazon.com Inc</t>
  </si>
  <si>
    <t>ZXTILKJKG63JEL0EG630</t>
  </si>
  <si>
    <t>US0231351067</t>
  </si>
  <si>
    <t>19,325</t>
  </si>
  <si>
    <t>Microsoft Corp</t>
  </si>
  <si>
    <t>INR2E1N1ERAN0W5ZP974</t>
  </si>
  <si>
    <t>US5949181045</t>
  </si>
  <si>
    <t>44,695</t>
  </si>
  <si>
    <t>Visa</t>
  </si>
  <si>
    <t>549300JZ40KEHW3DPJ59</t>
  </si>
  <si>
    <t>VISA INC</t>
  </si>
  <si>
    <t>US92826C8394</t>
  </si>
  <si>
    <t>26,247</t>
  </si>
  <si>
    <t>Apple Inc</t>
  </si>
  <si>
    <t>HWUPKR0MP0U8FGXBT394</t>
  </si>
  <si>
    <t>US0378331005</t>
  </si>
  <si>
    <t>21,062</t>
  </si>
  <si>
    <t>ADOBE SYSTEMS INC</t>
  </si>
  <si>
    <t>FU4LY2G4933NH2E1CP29</t>
  </si>
  <si>
    <t>US00724F1012</t>
  </si>
  <si>
    <t>55,554</t>
  </si>
  <si>
    <t>semiconductor</t>
  </si>
  <si>
    <t>549300KB6NK5SBD14S87</t>
  </si>
  <si>
    <t>Taiwan Semiconductor Manufactu</t>
  </si>
  <si>
    <t>US8740391003</t>
  </si>
  <si>
    <t>17,381</t>
  </si>
  <si>
    <t>NVIDIA CORP</t>
  </si>
  <si>
    <t>549300S4KLFTL07GSQ80</t>
  </si>
  <si>
    <t>US67066G1040</t>
  </si>
  <si>
    <t>12,354</t>
  </si>
  <si>
    <t>TELSA MOTORS IN</t>
  </si>
  <si>
    <t>54930043XZGB27CT0V49</t>
  </si>
  <si>
    <t>US88160R1014</t>
  </si>
  <si>
    <t>19,788</t>
  </si>
  <si>
    <t>Google Inc</t>
  </si>
  <si>
    <t>5493006MHB84DD0ZWV18</t>
  </si>
  <si>
    <t>ALPHABET INC CLAS C</t>
  </si>
  <si>
    <t>US02079K1079</t>
  </si>
  <si>
    <t>18,342</t>
  </si>
  <si>
    <t>LVMH MOET HENNESSY LOUIS VUITT</t>
  </si>
  <si>
    <t>I0G4E9470ATN0KJYSD45</t>
  </si>
  <si>
    <t>LVMH MOET HENNESSY LOUIS VUI</t>
  </si>
  <si>
    <t>FR0000121014</t>
  </si>
  <si>
    <t>71,360</t>
  </si>
  <si>
    <t>טאואר סמיקונדקטור בע"מ</t>
  </si>
  <si>
    <t>520041997</t>
  </si>
  <si>
    <t>טאואר סמי קונדוקטור TSEM</t>
  </si>
  <si>
    <t>IL0010823792</t>
  </si>
  <si>
    <t>14,820</t>
  </si>
  <si>
    <t>GOLDMAN SACHS</t>
  </si>
  <si>
    <t>784F5XWPLTWKTBV3E584</t>
  </si>
  <si>
    <t>GOLDMAN SACHS GROP INC</t>
  </si>
  <si>
    <t>US38141G1040</t>
  </si>
  <si>
    <t>45,232</t>
  </si>
  <si>
    <t>MASTERCARD INC</t>
  </si>
  <si>
    <t>AR5L20DV9HN37376R084</t>
  </si>
  <si>
    <t>MASTERCARDINC CLASS</t>
  </si>
  <si>
    <t>US57636Q1040</t>
  </si>
  <si>
    <t>44,116</t>
  </si>
  <si>
    <t>NEXTERA ENERGY INC</t>
  </si>
  <si>
    <t>254900RHL9MEUS5NKX63</t>
  </si>
  <si>
    <t>US65339F1012</t>
  </si>
  <si>
    <t>7,081</t>
  </si>
  <si>
    <t>ELI LILLY CO</t>
  </si>
  <si>
    <t>FRDRIPF3EKND32CQJL29</t>
  </si>
  <si>
    <t>US5324571083</t>
  </si>
  <si>
    <t>90,538</t>
  </si>
  <si>
    <t>PALO ALTO NETWORKS INC</t>
  </si>
  <si>
    <t>549300QXR2YVZV231H43</t>
  </si>
  <si>
    <t>US6974351057</t>
  </si>
  <si>
    <t>33,901</t>
  </si>
  <si>
    <t>NOVO NORDISK A/S</t>
  </si>
  <si>
    <t>549300DAQ1CVT6CXN342</t>
  </si>
  <si>
    <t>US6701002056</t>
  </si>
  <si>
    <t>14,274</t>
  </si>
  <si>
    <t>WALT DISNEY COMPANY/THE</t>
  </si>
  <si>
    <t>549300GZKULIZ0W0W665</t>
  </si>
  <si>
    <t>WALT DISNEY CO/THE</t>
  </si>
  <si>
    <t>US2546871060</t>
  </si>
  <si>
    <t>9,929</t>
  </si>
  <si>
    <t>סלברייט די.איי בע"מ</t>
  </si>
  <si>
    <t>512766577</t>
  </si>
  <si>
    <t>CELLEBRITE DI LTD</t>
  </si>
  <si>
    <t>IL0011794802</t>
  </si>
  <si>
    <t>1,195</t>
  </si>
  <si>
    <t>PROLOGIS INC</t>
  </si>
  <si>
    <t>529900DFH19P073LZ636</t>
  </si>
  <si>
    <t>US74340W1036</t>
  </si>
  <si>
    <t>11,231</t>
  </si>
  <si>
    <t>ALIBABA GROUP HOLDING LTD</t>
  </si>
  <si>
    <t>5493001NTNQJDH60PM02</t>
  </si>
  <si>
    <t>ALIBABA GROUP</t>
  </si>
  <si>
    <t>US01609W1027</t>
  </si>
  <si>
    <t>7,200</t>
  </si>
  <si>
    <t>KKR &amp; CO LP</t>
  </si>
  <si>
    <t>54930013V5I303TF9571</t>
  </si>
  <si>
    <t>KKR &amp; CO INC</t>
  </si>
  <si>
    <t>US48251W1045</t>
  </si>
  <si>
    <t>10,524</t>
  </si>
  <si>
    <t>Samsung Electronics co</t>
  </si>
  <si>
    <t>9884007ER46L6N7EI764</t>
  </si>
  <si>
    <t>Samsung Electronics Co Ltd</t>
  </si>
  <si>
    <t>US7960508882</t>
  </si>
  <si>
    <t>148,000</t>
  </si>
  <si>
    <t>COSTCO WHOLESALE CORP</t>
  </si>
  <si>
    <t>29DX7H14B9S603FD6V18</t>
  </si>
  <si>
    <t>US22160K1051</t>
  </si>
  <si>
    <t>84,999</t>
  </si>
  <si>
    <t>JPMorgan</t>
  </si>
  <si>
    <t>8I5DZWZKVSZI1NUHU748</t>
  </si>
  <si>
    <t>JP MORGAN CHASE &amp; CO</t>
  </si>
  <si>
    <t>US46625H1005</t>
  </si>
  <si>
    <t>20,226</t>
  </si>
  <si>
    <t>SALESFORCE.COM</t>
  </si>
  <si>
    <t>RCGZFPDMRW58VJ54VR07</t>
  </si>
  <si>
    <t>US79466L3024</t>
  </si>
  <si>
    <t>25,710</t>
  </si>
  <si>
    <t>ALPHABET</t>
  </si>
  <si>
    <t>US02079K3059</t>
  </si>
  <si>
    <t>18,215</t>
  </si>
  <si>
    <t>WAL-MART STORES</t>
  </si>
  <si>
    <t>Y87794H0US1R65VBXU25</t>
  </si>
  <si>
    <t>Wal-Mart Stores Inc</t>
  </si>
  <si>
    <t>US9311421039</t>
  </si>
  <si>
    <t>6,771</t>
  </si>
  <si>
    <t>Deere &amp; company</t>
  </si>
  <si>
    <t>PWFTNG3EI0Y730XWDH08</t>
  </si>
  <si>
    <t>Deere &amp; Co</t>
  </si>
  <si>
    <t>US2441991054</t>
  </si>
  <si>
    <t>37,363</t>
  </si>
  <si>
    <t>SAP GY</t>
  </si>
  <si>
    <t>529900 D6BF99LW9R2E68</t>
  </si>
  <si>
    <t>SAP AG-SPONSORED</t>
  </si>
  <si>
    <t>DE0007164600</t>
  </si>
  <si>
    <t>18,952</t>
  </si>
  <si>
    <t>CYBERARK SOFTWARE LTD</t>
  </si>
  <si>
    <t>512291642</t>
  </si>
  <si>
    <t>IL0011334468</t>
  </si>
  <si>
    <t>27,342</t>
  </si>
  <si>
    <t>Avago Technologies Ltd</t>
  </si>
  <si>
    <t>549300WV6GIDOZJTV909</t>
  </si>
  <si>
    <t>SG9999006241</t>
  </si>
  <si>
    <t>160,553</t>
  </si>
  <si>
    <t>NIKE Inc</t>
  </si>
  <si>
    <t>787RXPR0UX000XUXPZ81</t>
  </si>
  <si>
    <t>US6541061031</t>
  </si>
  <si>
    <t>7,537</t>
  </si>
  <si>
    <t>L`OREAL</t>
  </si>
  <si>
    <t>5299003I1GG6F7RKVI53</t>
  </si>
  <si>
    <t>L'OREAL</t>
  </si>
  <si>
    <t>FR0000120321</t>
  </si>
  <si>
    <t>41,005</t>
  </si>
  <si>
    <t>FORTINET INC</t>
  </si>
  <si>
    <t>54930000QJWDBAS0QX03</t>
  </si>
  <si>
    <t>US34959E1091</t>
  </si>
  <si>
    <t>6,027</t>
  </si>
  <si>
    <t>CARRIER GLOBAL CORP</t>
  </si>
  <si>
    <t>549300JE3W6CWY2NAN77</t>
  </si>
  <si>
    <t>US14448C1045</t>
  </si>
  <si>
    <t>6,308</t>
  </si>
  <si>
    <t>Wix</t>
  </si>
  <si>
    <t>513881177</t>
  </si>
  <si>
    <t>WIX.COM LTD</t>
  </si>
  <si>
    <t>IL0011301780</t>
  </si>
  <si>
    <t>15,907</t>
  </si>
  <si>
    <t>MODERNA INC</t>
  </si>
  <si>
    <t>549300EI60KH5K5Q2G38</t>
  </si>
  <si>
    <t>US60770K1079</t>
  </si>
  <si>
    <t>11,875</t>
  </si>
  <si>
    <t>JFROG LTD</t>
  </si>
  <si>
    <t>514130491</t>
  </si>
  <si>
    <t>IL0011684185</t>
  </si>
  <si>
    <t>3,755</t>
  </si>
  <si>
    <t>JD.COM INC-ADR</t>
  </si>
  <si>
    <t>549300HVTWB0G3Z16V92</t>
  </si>
  <si>
    <t>US47215P1066</t>
  </si>
  <si>
    <t>2,584</t>
  </si>
  <si>
    <t>SNOWFLAKE INC</t>
  </si>
  <si>
    <t>254900CJNSY1K7T53Z16</t>
  </si>
  <si>
    <t>SNOWFLAKE INC-CLASS A</t>
  </si>
  <si>
    <t>US8334451098</t>
  </si>
  <si>
    <t>13,509</t>
  </si>
  <si>
    <t>Baidu.com Inc</t>
  </si>
  <si>
    <t>254900AL64IANZYI1E02</t>
  </si>
  <si>
    <t>Baidu Inc/China</t>
  </si>
  <si>
    <t>US0567521085</t>
  </si>
  <si>
    <t>8,648</t>
  </si>
  <si>
    <t>SOLAREGE TECHNOLOGIES INC</t>
  </si>
  <si>
    <t>5493000K6Y58XXPDF853</t>
  </si>
  <si>
    <t>SOLAREDGE TECHNOLOGIES INC</t>
  </si>
  <si>
    <t>US83417M1045</t>
  </si>
  <si>
    <t>2,526</t>
  </si>
  <si>
    <t>VBARE IBERIAN PROPERTIES SOC</t>
  </si>
  <si>
    <t>959800X1MGWGZZW5ZS47</t>
  </si>
  <si>
    <t>ES0105196002</t>
  </si>
  <si>
    <t>560</t>
  </si>
  <si>
    <t>Urogen Pharma Ltd</t>
  </si>
  <si>
    <t>513537621</t>
  </si>
  <si>
    <t>UROGEN PHARMA</t>
  </si>
  <si>
    <t>IL0011407140</t>
  </si>
  <si>
    <t>1,678</t>
  </si>
  <si>
    <t>NCINO INC</t>
  </si>
  <si>
    <t>549300WVRR2WR3L6MZ46</t>
  </si>
  <si>
    <t>US63947X1019</t>
  </si>
  <si>
    <t>3,145</t>
  </si>
  <si>
    <t>GAMIDA CELL LTD</t>
  </si>
  <si>
    <t>512601204</t>
  </si>
  <si>
    <t>IL0011552663</t>
  </si>
  <si>
    <t>1.7</t>
  </si>
  <si>
    <t>UDEMY INC</t>
  </si>
  <si>
    <t>2549000T304QU9SAM180</t>
  </si>
  <si>
    <t>US9026851066</t>
  </si>
  <si>
    <t>863</t>
  </si>
  <si>
    <t>קסם קרנות נאמנות בע"מ</t>
  </si>
  <si>
    <t>510938608</t>
  </si>
  <si>
    <t>קסם ETF כשרה תא 125</t>
  </si>
  <si>
    <t>IL0011553653</t>
  </si>
  <si>
    <t>19,120</t>
  </si>
  <si>
    <t>הראל קרנות נאמנות בע"מ</t>
  </si>
  <si>
    <t>511776783</t>
  </si>
  <si>
    <t>הראל סל כשרה תא 125</t>
  </si>
  <si>
    <t>IL0011553406</t>
  </si>
  <si>
    <t>פסגות קרנות נאמנות בע"מ</t>
  </si>
  <si>
    <t>513765339</t>
  </si>
  <si>
    <t>פסגות ETF כשרה תא 125</t>
  </si>
  <si>
    <t>IL0011553240</t>
  </si>
  <si>
    <t>1,912</t>
  </si>
  <si>
    <t>מגדל קרנות נאמנות בע"מ</t>
  </si>
  <si>
    <t>511303661</t>
  </si>
  <si>
    <t>MTF סל (4A) כשרה ת"א-125</t>
  </si>
  <si>
    <t>IL0011597148</t>
  </si>
  <si>
    <t>3,004</t>
  </si>
  <si>
    <t>הראל סל S&amp;P500</t>
  </si>
  <si>
    <t>IL0011490203</t>
  </si>
  <si>
    <t>2,385</t>
  </si>
  <si>
    <t>הראל סל S&amp;P Technology ארהב</t>
  </si>
  <si>
    <t>IL0011499394</t>
  </si>
  <si>
    <t>8,945</t>
  </si>
  <si>
    <t>קסם MSCI AC WORLD</t>
  </si>
  <si>
    <t>IL0011466799</t>
  </si>
  <si>
    <t>1,438</t>
  </si>
  <si>
    <t>הראל סל נאסדק 100</t>
  </si>
  <si>
    <t>IL0011490385</t>
  </si>
  <si>
    <t>7,892</t>
  </si>
  <si>
    <t>SPDR S&amp;P 500 ETF Trust</t>
  </si>
  <si>
    <t>549300NZAMSJ8FXPQQ63</t>
  </si>
  <si>
    <t>SPDR Trust Series 1</t>
  </si>
  <si>
    <t>US78462F1030</t>
  </si>
  <si>
    <t>54,422</t>
  </si>
  <si>
    <t>Invesco QQQ Trust Series 1</t>
  </si>
  <si>
    <t>549300VY6FE1BCIMET58</t>
  </si>
  <si>
    <t>INVESCO QQQ TRUST SERIES 1</t>
  </si>
  <si>
    <t>US46090E1038</t>
  </si>
  <si>
    <t>47,911</t>
  </si>
  <si>
    <t>Financial Select Sector SPDR F</t>
  </si>
  <si>
    <t>549300Y12KQ6ZG08NY28</t>
  </si>
  <si>
    <t>US81369Y6059</t>
  </si>
  <si>
    <t>4,111</t>
  </si>
  <si>
    <t>ISHARES MSCI ALL COUNTRY ASIA</t>
  </si>
  <si>
    <t>549300EQSX1KK01KLL54</t>
  </si>
  <si>
    <t>US4642881829</t>
  </si>
  <si>
    <t>7,198</t>
  </si>
  <si>
    <t>XLI - אינדסטריאל סלקט</t>
  </si>
  <si>
    <t>549300HQI51T8KP6U325</t>
  </si>
  <si>
    <t>Industrial Select Sector SPDR</t>
  </si>
  <si>
    <t>US81369Y7040</t>
  </si>
  <si>
    <t>12,187</t>
  </si>
  <si>
    <t>VANGUARD S&amp;P 500 ETF</t>
  </si>
  <si>
    <t>5493002789CX3L0CJP65</t>
  </si>
  <si>
    <t>US9229083632</t>
  </si>
  <si>
    <t>50,013</t>
  </si>
  <si>
    <t>Invesco S&amp;P 500 Equal Weight T</t>
  </si>
  <si>
    <t>549300 D93HI7Z9WV4X72</t>
  </si>
  <si>
    <t>INVESCO S&amp;P 500 EQUAL WEIGHT</t>
  </si>
  <si>
    <t>US46137V3574</t>
  </si>
  <si>
    <t>16,428</t>
  </si>
  <si>
    <t>iShares Core DAX UCITS ETF DE</t>
  </si>
  <si>
    <t>549300CQN9T9XKTT1S19</t>
  </si>
  <si>
    <t>ISHARES DAX DE</t>
  </si>
  <si>
    <t>DE0005933931</t>
  </si>
  <si>
    <t>15,198</t>
  </si>
  <si>
    <t>Technology Select Sector SPDR</t>
  </si>
  <si>
    <t>549300BR5T0JNM2MW070</t>
  </si>
  <si>
    <t>US81369Y8030</t>
  </si>
  <si>
    <t>22,623</t>
  </si>
  <si>
    <t>Health Care Select Sector SPDR</t>
  </si>
  <si>
    <t>549300E1NY3KKJHP0Y44</t>
  </si>
  <si>
    <t>US81369Y2090</t>
  </si>
  <si>
    <t>14,575</t>
  </si>
  <si>
    <t>First Trust NASDAQ-100 Technol</t>
  </si>
  <si>
    <t>5493002JVR972EVAT460</t>
  </si>
  <si>
    <t>FIRST TRUST NASDQ 100 TECH I</t>
  </si>
  <si>
    <t>US3373451026</t>
  </si>
  <si>
    <t>19,746</t>
  </si>
  <si>
    <t>WisdomTree India Earnings Fund</t>
  </si>
  <si>
    <t>54930026N5Y0B6AW2260</t>
  </si>
  <si>
    <t>WISDOM TREE INDIA EARNINGS FUN</t>
  </si>
  <si>
    <t>US97717W4226</t>
  </si>
  <si>
    <t>4,828</t>
  </si>
  <si>
    <t>iShares MSCI Japan Index Fund</t>
  </si>
  <si>
    <t>5493008I6YRUC6I0S051</t>
  </si>
  <si>
    <t>US46434G8226</t>
  </si>
  <si>
    <t>6,824</t>
  </si>
  <si>
    <t>Energy Select Sector SPDR Fund</t>
  </si>
  <si>
    <t>54930064FLK0RD4TRU75</t>
  </si>
  <si>
    <t>US81369Y5069</t>
  </si>
  <si>
    <t>9,115</t>
  </si>
  <si>
    <t>LYXOR CORE EURSTX 600 DR</t>
  </si>
  <si>
    <t>213800RFZBG4205X1D89</t>
  </si>
  <si>
    <t>LU0908500753</t>
  </si>
  <si>
    <t>23,725</t>
  </si>
  <si>
    <t>KRANESHARES CSI CHINA INTERN</t>
  </si>
  <si>
    <t>549300URDNVSGEWBN526</t>
  </si>
  <si>
    <t>US5007673065</t>
  </si>
  <si>
    <t>2,702</t>
  </si>
  <si>
    <t>COMM SERV SELEC</t>
  </si>
  <si>
    <t>549300RPODKQ1E2HDW24</t>
  </si>
  <si>
    <t>US81369Y8527</t>
  </si>
  <si>
    <t>8,566</t>
  </si>
  <si>
    <t>SPDR Dow Jones Industrial Aver</t>
  </si>
  <si>
    <t>54930039F2SG3UG20Z18</t>
  </si>
  <si>
    <t>SPDR DJIA TRUST</t>
  </si>
  <si>
    <t>US78467x1090</t>
  </si>
  <si>
    <t>39,113</t>
  </si>
  <si>
    <t>ISHARES MSCI INDIA ETF</t>
  </si>
  <si>
    <t>549300282VMCFH7S5848</t>
  </si>
  <si>
    <t>US46429B5984</t>
  </si>
  <si>
    <t>5,578</t>
  </si>
  <si>
    <t>ISHARES MSCI CHINA INDEX FUND</t>
  </si>
  <si>
    <t>549300Q0IWAYMYXW0R77</t>
  </si>
  <si>
    <t>iSHARES MSCI CHINA</t>
  </si>
  <si>
    <t>US46429B6719</t>
  </si>
  <si>
    <t>4,217</t>
  </si>
  <si>
    <t>iShares Russell 2000 Index Fun</t>
  </si>
  <si>
    <t>5493000800AR5VTWR172</t>
  </si>
  <si>
    <t>ISHARES RUSSELL 2000 ETF</t>
  </si>
  <si>
    <t>US4642876555</t>
  </si>
  <si>
    <t>20,289</t>
  </si>
  <si>
    <t>Consumer Discretionary Select</t>
  </si>
  <si>
    <t>549300CD2I087Y919K79</t>
  </si>
  <si>
    <t>US81369Y4070</t>
  </si>
  <si>
    <t>18,240</t>
  </si>
  <si>
    <t>ISHARES U.S. BROKER-DEALERS</t>
  </si>
  <si>
    <t>549300LRIF3NWCU26A80</t>
  </si>
  <si>
    <t>US4642887941</t>
  </si>
  <si>
    <t>11,693</t>
  </si>
  <si>
    <t>iShares MSCI South Korea Index</t>
  </si>
  <si>
    <t>GR1QY1XUY5M0EJSI5J57</t>
  </si>
  <si>
    <t>iShares MSCI South Korea Ind</t>
  </si>
  <si>
    <t>US4642867729</t>
  </si>
  <si>
    <t>6,609</t>
  </si>
  <si>
    <t>Powershares</t>
  </si>
  <si>
    <t>5521FA2IT25TVH63740</t>
  </si>
  <si>
    <t>Powershares aero defense</t>
  </si>
  <si>
    <t>US46137V1008</t>
  </si>
  <si>
    <t>10,272</t>
  </si>
  <si>
    <t>iShares Latin America 40 ETF</t>
  </si>
  <si>
    <t>549300MTJJWSCQ09N641</t>
  </si>
  <si>
    <t>Ishares dj aerospace</t>
  </si>
  <si>
    <t>US4642887602</t>
  </si>
  <si>
    <t>13,205</t>
  </si>
  <si>
    <t>ISHARES NORTH AMERICAN TE</t>
  </si>
  <si>
    <t>54930072GM1ADLZJ5373</t>
  </si>
  <si>
    <t>iShares Expanded Tech-Software Sector ETF</t>
  </si>
  <si>
    <t>us4642875151</t>
  </si>
  <si>
    <t>8,690</t>
  </si>
  <si>
    <t>AMUNDI MSCI EM MKT II</t>
  </si>
  <si>
    <t>LU2573966906</t>
  </si>
  <si>
    <t>4,503</t>
  </si>
  <si>
    <t>iShares MSCI Taiwan Index Fund</t>
  </si>
  <si>
    <t>US4642867315</t>
  </si>
  <si>
    <t>5,419</t>
  </si>
  <si>
    <t>INVESCO SOLAR ETF</t>
  </si>
  <si>
    <t>549300Q2OQ2U87KJR762</t>
  </si>
  <si>
    <t>US46138G7060</t>
  </si>
  <si>
    <t>4,021</t>
  </si>
  <si>
    <t>ISHARES HANG SENG TECH ETF</t>
  </si>
  <si>
    <t>549300LTD878UJSEFE24</t>
  </si>
  <si>
    <t>HK0000651213</t>
  </si>
  <si>
    <t>HKD</t>
  </si>
  <si>
    <t>0.4813</t>
  </si>
  <si>
    <t>746</t>
  </si>
  <si>
    <t>real estate select sect spdr</t>
  </si>
  <si>
    <t>549300SPMSTD3BRHL041</t>
  </si>
  <si>
    <t>REAL ESTA (XLRE</t>
  </si>
  <si>
    <t>US81369y8600</t>
  </si>
  <si>
    <t>3,841</t>
  </si>
  <si>
    <t>(IHI) iShares U.S. Medical Devices ETF</t>
  </si>
  <si>
    <t>US4642888105</t>
  </si>
  <si>
    <t>5,604</t>
  </si>
  <si>
    <t>iShares China Large-Cap ETF</t>
  </si>
  <si>
    <t>5493001YVWPO25CNKN94</t>
  </si>
  <si>
    <t>iShares FTSE/Xinhua China 25 I</t>
  </si>
  <si>
    <t>US4642871846</t>
  </si>
  <si>
    <t>2,599</t>
  </si>
  <si>
    <t>MTF סל (00) כשרה תל בונד 60</t>
  </si>
  <si>
    <t>IL0011596983</t>
  </si>
  <si>
    <t>455.8</t>
  </si>
  <si>
    <t>MTF סל כש תל בונד שקלי</t>
  </si>
  <si>
    <t>IL0011597064</t>
  </si>
  <si>
    <t>446.01</t>
  </si>
  <si>
    <t>קסם ETF כשרה תלבונד 60</t>
  </si>
  <si>
    <t>IL0011551269</t>
  </si>
  <si>
    <t>109.36</t>
  </si>
  <si>
    <t>הראל סל כשרה תל בונד שקלי</t>
  </si>
  <si>
    <t>IL0011551913</t>
  </si>
  <si>
    <t>383.02</t>
  </si>
  <si>
    <t>הראל סל כשרה תל בונד 60</t>
  </si>
  <si>
    <t>IL0011550923</t>
  </si>
  <si>
    <t>366.11</t>
  </si>
  <si>
    <t>קסם ETF כשרה תלבונד שקלי</t>
  </si>
  <si>
    <t>IL0011551590</t>
  </si>
  <si>
    <t>3,822.63</t>
  </si>
  <si>
    <t>ISHARES USD CORP BOND USD A</t>
  </si>
  <si>
    <t>549300QQR5SNTQVNFC45</t>
  </si>
  <si>
    <t>IE00BYXYYJ35</t>
  </si>
  <si>
    <t>573.4</t>
  </si>
  <si>
    <t>AM US CURV STEEP 2-10Y-ETF A</t>
  </si>
  <si>
    <t>549300QO7ZM8CWX59L64</t>
  </si>
  <si>
    <t>LU2018762653</t>
  </si>
  <si>
    <t>9,337</t>
  </si>
  <si>
    <t>ISHARES GBP HIGH  YIELD CORPORA</t>
  </si>
  <si>
    <t>549300XNS7MREWVF4X34</t>
  </si>
  <si>
    <t>IE00B4PY7Y77</t>
  </si>
  <si>
    <t>9,190</t>
  </si>
  <si>
    <t>INVESCO US HYFA DIST</t>
  </si>
  <si>
    <t>549300X3ENFKGMH04N42</t>
  </si>
  <si>
    <t>IE00BD0Q9673</t>
  </si>
  <si>
    <t>2,103</t>
  </si>
  <si>
    <t>הראל סל תל בונד שקלי</t>
  </si>
  <si>
    <t>IL0011505232</t>
  </si>
  <si>
    <t>383.33</t>
  </si>
  <si>
    <t>MTF סל (00) תל בונד שקלי</t>
  </si>
  <si>
    <t>IL0011500027</t>
  </si>
  <si>
    <t>445</t>
  </si>
  <si>
    <t>קסם תל בונד 60</t>
  </si>
  <si>
    <t>IL0011462327</t>
  </si>
  <si>
    <t>3,548.09</t>
  </si>
  <si>
    <t>MTF תל בונד 60</t>
  </si>
  <si>
    <t>IL0011499964</t>
  </si>
  <si>
    <t>454.12</t>
  </si>
  <si>
    <t>הראל סל תל בונד 60</t>
  </si>
  <si>
    <t>IL0011504730</t>
  </si>
  <si>
    <t>355.84</t>
  </si>
  <si>
    <t>הראל סל תל בונד שקלי 50</t>
  </si>
  <si>
    <t>IL0011507139</t>
  </si>
  <si>
    <t>382.65</t>
  </si>
  <si>
    <t>קסם ETF תל בונד שקלי</t>
  </si>
  <si>
    <t>IL0011464141</t>
  </si>
  <si>
    <t>3,822.15</t>
  </si>
  <si>
    <t>קסם MSCI India (!)(4D) ETF</t>
  </si>
  <si>
    <t>IL0011457475</t>
  </si>
  <si>
    <t>10,990</t>
  </si>
  <si>
    <t>קסם Indxx Climate Change Solutions (4D) ETF</t>
  </si>
  <si>
    <t>IL0011673295</t>
  </si>
  <si>
    <t>20,620</t>
  </si>
  <si>
    <t>קסם תא בלוסטאר ישראל גלובל טכנולוגיות (NTR) (4Da)</t>
  </si>
  <si>
    <t>IL0011472714</t>
  </si>
  <si>
    <t>14,580</t>
  </si>
  <si>
    <t>SMH סמיקונדקטור הולדרס טרסט</t>
  </si>
  <si>
    <t>549300MJTG2N9QRH7I02</t>
  </si>
  <si>
    <t>Semiconductor HOLDRs Trust</t>
  </si>
  <si>
    <t>US8166362033</t>
  </si>
  <si>
    <t>26,070</t>
  </si>
  <si>
    <t>549300NNE4LGFWCGLC69</t>
  </si>
  <si>
    <t>US46137V3244</t>
  </si>
  <si>
    <t>4,541</t>
  </si>
  <si>
    <t>Barclays Global Investors Ltd.</t>
  </si>
  <si>
    <t>549300N0QVNMDXCU4R13</t>
  </si>
  <si>
    <t>IShares PLC- iShares FTSE 100</t>
  </si>
  <si>
    <t>IE0005042456</t>
  </si>
  <si>
    <t>793.9</t>
  </si>
  <si>
    <t>GLOBAL X US INFRASTRUCTURE</t>
  </si>
  <si>
    <t>549300P5QELW9NWLDY61</t>
  </si>
  <si>
    <t>US37954Y6730</t>
  </si>
  <si>
    <t>3,702</t>
  </si>
  <si>
    <t>BNP P EURO STOXX 50 UCITS</t>
  </si>
  <si>
    <t>ROMUWSFPU8MPR08KSP83</t>
  </si>
  <si>
    <t>FR0012739431</t>
  </si>
  <si>
    <t>1,526.6</t>
  </si>
  <si>
    <t>ISHR EUR600 IND GDS&amp;SERV-DE</t>
  </si>
  <si>
    <t>5493005C92LFQZ3U0083</t>
  </si>
  <si>
    <t>DE000A0H08J9</t>
  </si>
  <si>
    <t>8,518</t>
  </si>
  <si>
    <t>LYXOR ETF S&amp;P 500</t>
  </si>
  <si>
    <t>549300JWBW5ZYYL06033</t>
  </si>
  <si>
    <t>LYXOR S&amp;P 500</t>
  </si>
  <si>
    <t>LU1135865084</t>
  </si>
  <si>
    <t>39,029</t>
  </si>
  <si>
    <t>LYX  EURSTX600 HALTHCARE ETF</t>
  </si>
  <si>
    <t>213800MPG89TQUBL5C29</t>
  </si>
  <si>
    <t>LU1834986900</t>
  </si>
  <si>
    <t>15,668.6</t>
  </si>
  <si>
    <t>WISDOMTREE CLOUD COMPUTING</t>
  </si>
  <si>
    <t>549300ZGGEP9JE4RUB88</t>
  </si>
  <si>
    <t>US97717Y6914</t>
  </si>
  <si>
    <t>3,159</t>
  </si>
  <si>
    <t>SPDR S&amp;P HOMEBUILDERS ETF</t>
  </si>
  <si>
    <t>549300MSE80LL1UJS132</t>
  </si>
  <si>
    <t>US78464A8889</t>
  </si>
  <si>
    <t>10,108</t>
  </si>
  <si>
    <t>VANGUARD S&amp;P MID-CAP 400 ETF</t>
  </si>
  <si>
    <t>US9219328856</t>
  </si>
  <si>
    <t>9,911</t>
  </si>
  <si>
    <t>MTF סל (Bloomberg US Analyst Recommendations (4D</t>
  </si>
  <si>
    <t>IL0012056573</t>
  </si>
  <si>
    <t>2,470</t>
  </si>
  <si>
    <t>SPDR S&amp;P CAPITAL MARKETS ETF</t>
  </si>
  <si>
    <t>549300BBJPWNKDPREW36</t>
  </si>
  <si>
    <t>US78464A7717</t>
  </si>
  <si>
    <t>11,029</t>
  </si>
  <si>
    <t>GLOBAL X CLOUD COMPUTING ETF</t>
  </si>
  <si>
    <t>549300F8H8CYX0517159</t>
  </si>
  <si>
    <t>US37954Y4420</t>
  </si>
  <si>
    <t>1,966</t>
  </si>
  <si>
    <t>Utilities Select Sector SPDR F</t>
  </si>
  <si>
    <t>549300ERQDM80PRYUH21</t>
  </si>
  <si>
    <t>US81369Y8865</t>
  </si>
  <si>
    <t>6,814</t>
  </si>
  <si>
    <t>SPDR S&amp;P Health Care Equipment</t>
  </si>
  <si>
    <t>549300PX2BGUPCPWDG61</t>
  </si>
  <si>
    <t>S&amp;P HEALTH CARE EQUIPME</t>
  </si>
  <si>
    <t>US78464A5810</t>
  </si>
  <si>
    <t>8,440.97</t>
  </si>
  <si>
    <t>קסם ארהב 4Da) (PR) S&amp;P Technology)</t>
  </si>
  <si>
    <t>IL0011472300</t>
  </si>
  <si>
    <t>8,946</t>
  </si>
  <si>
    <t>קסם אנרגיה ארהב</t>
  </si>
  <si>
    <t>IL0011459034</t>
  </si>
  <si>
    <t>3,892</t>
  </si>
  <si>
    <t>קסם גרמניה DAX 30</t>
  </si>
  <si>
    <t>IL0011465130</t>
  </si>
  <si>
    <t>6,395</t>
  </si>
  <si>
    <t>קסם ברזיל IBOV (GTR)</t>
  </si>
  <si>
    <t>IL0011460917</t>
  </si>
  <si>
    <t>7,139</t>
  </si>
  <si>
    <t>קסם.תלבונד צמ A</t>
  </si>
  <si>
    <t>IL0011763203</t>
  </si>
  <si>
    <t>3,753.8</t>
  </si>
  <si>
    <t>UBAM GLOBAL HIGH YIELD SOLUT</t>
  </si>
  <si>
    <t>RARWUTN1HKEHIBESC931</t>
  </si>
  <si>
    <t>LU0569863243</t>
  </si>
  <si>
    <t>23,117</t>
  </si>
  <si>
    <t>KOTAK FDS-INDIA MIDCAP(S)USD ACC</t>
  </si>
  <si>
    <t>549300P1V22EKK1UCL34</t>
  </si>
  <si>
    <t>LU2126068639</t>
  </si>
  <si>
    <t>1,507.24</t>
  </si>
  <si>
    <t>TRIGON-NEW EUROPE-A EUR</t>
  </si>
  <si>
    <t>529900TCN22XT0QUBM95</t>
  </si>
  <si>
    <t>LU1687402393</t>
  </si>
  <si>
    <t>19,888</t>
  </si>
  <si>
    <t>SUMITRUST JAP SMALL CAP</t>
  </si>
  <si>
    <t>635400ZILQTR9BRXTW62</t>
  </si>
  <si>
    <t>IE00BLD2G458</t>
  </si>
  <si>
    <t>22,430.2</t>
  </si>
  <si>
    <t>BSP Advisors ltd</t>
  </si>
  <si>
    <t>29549</t>
  </si>
  <si>
    <t>CIFC Senior Secured Corporate Loan Fund</t>
  </si>
  <si>
    <t>KYG2139S1277</t>
  </si>
  <si>
    <t>132,683</t>
  </si>
  <si>
    <t>PRIN GL FIN UN EM FI-I3 USD</t>
  </si>
  <si>
    <t>CUMYEZ0AF02RYZ1JJ85</t>
  </si>
  <si>
    <t>IE00BKDW9G15</t>
  </si>
  <si>
    <t>99</t>
  </si>
  <si>
    <t>1,121.12</t>
  </si>
  <si>
    <t>Ninety One Global Strategy Fund</t>
  </si>
  <si>
    <t>213800UKAB0FL2FFQV69</t>
  </si>
  <si>
    <t>91GSF-EM MK CD-I ACC USD</t>
  </si>
  <si>
    <t>LU0611395327</t>
  </si>
  <si>
    <t>3,348</t>
  </si>
  <si>
    <t>איביאי (5D) TECH FUND-טכנולוגיה עילית</t>
  </si>
  <si>
    <t>510791031</t>
  </si>
  <si>
    <t>אי בי אי טכ עילית</t>
  </si>
  <si>
    <t>IL0011425381</t>
  </si>
  <si>
    <t>64.5</t>
  </si>
  <si>
    <t>KBI ENERGY SOLUTIONS-AUSDACC</t>
  </si>
  <si>
    <t>635400UCQYVG094KDT51</t>
  </si>
  <si>
    <t>IE00BNGJJ156</t>
  </si>
  <si>
    <t>996.5</t>
  </si>
  <si>
    <t>COMGEST GROWTH EUROPE EUR IA</t>
  </si>
  <si>
    <t>635400JYB1RHBTRDH390</t>
  </si>
  <si>
    <t>IE00B5WN3467</t>
  </si>
  <si>
    <t>4,912</t>
  </si>
  <si>
    <t>ARTEMIS UK SELECT FUND-INS A</t>
  </si>
  <si>
    <t>2JE75BUE3T1BLCYYGK54</t>
  </si>
  <si>
    <t>GB00B2PLJG05</t>
  </si>
  <si>
    <t>979.85</t>
  </si>
  <si>
    <t>SCHRODER INT-GRT CHNA-IZ</t>
  </si>
  <si>
    <t>E6UHSP0BKJBKA5PR6370</t>
  </si>
  <si>
    <t>LU1953148969</t>
  </si>
  <si>
    <t>9,574.28</t>
  </si>
  <si>
    <t>HARBOURVEST GLOBAL PRIVA</t>
  </si>
  <si>
    <t>5493001MCDH7I6NIXC24</t>
  </si>
  <si>
    <t>GG00BR30MJ80</t>
  </si>
  <si>
    <t>סיפיה אופציה 1</t>
  </si>
  <si>
    <t>IL0011820052</t>
  </si>
  <si>
    <t>31/08/2024</t>
  </si>
  <si>
    <t>664</t>
  </si>
  <si>
    <t>1</t>
  </si>
  <si>
    <t>12.4</t>
  </si>
  <si>
    <t>ריט אזורים אפ 1</t>
  </si>
  <si>
    <t>IL0012010117</t>
  </si>
  <si>
    <t>550</t>
  </si>
  <si>
    <t>15.9</t>
  </si>
  <si>
    <t>הבורסה לניירות ערך בתל אביב בע"מ</t>
  </si>
  <si>
    <t>520020033</t>
  </si>
  <si>
    <t>P 1970 JUL</t>
  </si>
  <si>
    <t>85010148</t>
  </si>
  <si>
    <t>26/07/2024</t>
  </si>
  <si>
    <t>1,970</t>
  </si>
  <si>
    <t>15,000,000</t>
  </si>
  <si>
    <t>C 1970 JUL</t>
  </si>
  <si>
    <t>85009348</t>
  </si>
  <si>
    <t>24,400,000</t>
  </si>
  <si>
    <t>S&amp;P500 EMINI FU התחייבות</t>
  </si>
  <si>
    <t>730666231</t>
  </si>
  <si>
    <t>NASDAQ 100 E-MI התחייבות</t>
  </si>
  <si>
    <t>730780161</t>
  </si>
  <si>
    <t>NASDAQ 100 E-MINI</t>
  </si>
  <si>
    <t>30240</t>
  </si>
  <si>
    <t>NASDAQ 100 E-MI</t>
  </si>
  <si>
    <t>73078016</t>
  </si>
  <si>
    <t>39,854,500</t>
  </si>
  <si>
    <t>S&amp;P 500 EMINI FUT</t>
  </si>
  <si>
    <t>28933</t>
  </si>
  <si>
    <t>S&amp;P500 EMINI FU</t>
  </si>
  <si>
    <t>73066623</t>
  </si>
  <si>
    <t>27,607,500</t>
  </si>
  <si>
    <t>אלה פקדונות בע"מ</t>
  </si>
  <si>
    <t>515666881</t>
  </si>
  <si>
    <t>אלה פקדון אגח ה</t>
  </si>
  <si>
    <t>IL0011625774</t>
  </si>
  <si>
    <t>103.2</t>
  </si>
  <si>
    <t>אלה פקדון אגח ד</t>
  </si>
  <si>
    <t>IL0011623043</t>
  </si>
  <si>
    <t>112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</si>
  <si>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</si>
  <si>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</si>
  <si>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</si>
  <si>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</si>
  <si>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</si>
  <si>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</si>
  <si>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</si>
  <si>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0.01</t>
  </si>
  <si>
    <t>מת"מ - מרכז תעשיות מדע חיפה בע"מ</t>
  </si>
  <si>
    <t>510687403</t>
  </si>
  <si>
    <t>מת"מ אגח א-רמ</t>
  </si>
  <si>
    <t>IL0011389991</t>
  </si>
  <si>
    <t>05/12/2018</t>
  </si>
  <si>
    <t>96.05</t>
  </si>
  <si>
    <t>מקורות אג"ח 8</t>
  </si>
  <si>
    <t>IL0011243461</t>
  </si>
  <si>
    <t>14/07/2011</t>
  </si>
  <si>
    <t>14/07/2048</t>
  </si>
  <si>
    <t>129.74</t>
  </si>
  <si>
    <t>אלון חברת הדלק לישראל בע"מ</t>
  </si>
  <si>
    <t>520041690</t>
  </si>
  <si>
    <t>אלון דלק אגא-רמ</t>
  </si>
  <si>
    <t>IL0011015679</t>
  </si>
  <si>
    <t>01/05/2016</t>
  </si>
  <si>
    <t>30/06/2024</t>
  </si>
  <si>
    <t>מפעלי פלדה מאוחדים בע"מ</t>
  </si>
  <si>
    <t>520022492</t>
  </si>
  <si>
    <t>מפעלי פלדה אגח סד 1 תיכוניים</t>
  </si>
  <si>
    <t>IL0039800185</t>
  </si>
  <si>
    <t>09/11/2020</t>
  </si>
  <si>
    <t>31/01/2001</t>
  </si>
  <si>
    <t>פלדה אג1 מפ 1/00 תיכוניים</t>
  </si>
  <si>
    <t>39800421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</si>
  <si>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</si>
  <si>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</si>
  <si>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</si>
  <si>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</si>
  <si>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</si>
  <si>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</si>
  <si>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</si>
  <si>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</si>
  <si>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</si>
  <si>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</si>
  <si>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</si>
  <si>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</si>
  <si>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106.26</t>
  </si>
  <si>
    <t>רייכרט תעשיות בע"מ</t>
  </si>
  <si>
    <t>520039652</t>
  </si>
  <si>
    <t>רייכרט</t>
  </si>
  <si>
    <t>IL0004760109</t>
  </si>
  <si>
    <t>אלפא מים השקעות</t>
  </si>
  <si>
    <t>515676765</t>
  </si>
  <si>
    <t>אלפא מים פרטנרס</t>
  </si>
  <si>
    <t>410512171</t>
  </si>
  <si>
    <t>26/04/2021</t>
  </si>
  <si>
    <t>313.5737</t>
  </si>
  <si>
    <t>קיסטון-אגד (שותפות)</t>
  </si>
  <si>
    <t>540316205</t>
  </si>
  <si>
    <t>410110522</t>
  </si>
  <si>
    <t>11/05/2022</t>
  </si>
  <si>
    <t>122.0876</t>
  </si>
  <si>
    <t>סטורדוט בע"מ</t>
  </si>
  <si>
    <t>514820117</t>
  </si>
  <si>
    <t>סטורדוט השקעה במניות</t>
  </si>
  <si>
    <t>410130917</t>
  </si>
  <si>
    <t>04/11/2020</t>
  </si>
  <si>
    <t>8.1108</t>
  </si>
  <si>
    <t>יו.וי.איי בע"מ</t>
  </si>
  <si>
    <t>514234202</t>
  </si>
  <si>
    <t>UVEYE מניות בכורה ג'</t>
  </si>
  <si>
    <t>410130521</t>
  </si>
  <si>
    <t>13/05/2021</t>
  </si>
  <si>
    <t>830.05</t>
  </si>
  <si>
    <t>אלפא מים פרטנרס 2 תיכוניים</t>
  </si>
  <si>
    <t>412702191</t>
  </si>
  <si>
    <t>01/11/2020</t>
  </si>
  <si>
    <t>132.5601</t>
  </si>
  <si>
    <t>TIPA CORP LTD</t>
  </si>
  <si>
    <t>514420660</t>
  </si>
  <si>
    <t>TIPA</t>
  </si>
  <si>
    <t>410110122</t>
  </si>
  <si>
    <t>11/01/2022</t>
  </si>
  <si>
    <t>Resonai</t>
  </si>
  <si>
    <t>514996362</t>
  </si>
  <si>
    <t>Silverfort SPV</t>
  </si>
  <si>
    <t>410110322</t>
  </si>
  <si>
    <t>13/03/2022</t>
  </si>
  <si>
    <t>174.5244</t>
  </si>
  <si>
    <t>עיינה</t>
  </si>
  <si>
    <t>29927</t>
  </si>
  <si>
    <t>AYANA Common Shares (from 2017 CLA Conversion)</t>
  </si>
  <si>
    <t>410160719</t>
  </si>
  <si>
    <t>359.5</t>
  </si>
  <si>
    <t>סילנטיום בע"מ</t>
  </si>
  <si>
    <t>512491143</t>
  </si>
  <si>
    <t>Silentium - D-2</t>
  </si>
  <si>
    <t>410070621</t>
  </si>
  <si>
    <t>07/06/2021</t>
  </si>
  <si>
    <t>93.886</t>
  </si>
  <si>
    <t>AYANA Preferred A Shares (SPA 2019)</t>
  </si>
  <si>
    <t>410210519</t>
  </si>
  <si>
    <t>38,650</t>
  </si>
  <si>
    <t>410120322</t>
  </si>
  <si>
    <t>67</t>
  </si>
  <si>
    <t>ויולה גנריישן ניהול</t>
  </si>
  <si>
    <t>412308182</t>
  </si>
  <si>
    <t>3,519.9432</t>
  </si>
  <si>
    <t>AYANA Preferred A Shares (from 2020/21 CLA Convers</t>
  </si>
  <si>
    <t>410291222</t>
  </si>
  <si>
    <t>29/12/2022</t>
  </si>
  <si>
    <t>363</t>
  </si>
  <si>
    <t>ק.מ מדף 5 בע"מ</t>
  </si>
  <si>
    <t>516387933</t>
  </si>
  <si>
    <t>400301221</t>
  </si>
  <si>
    <t>29/12/2021</t>
  </si>
  <si>
    <t>5</t>
  </si>
  <si>
    <t>imm - vx limited partnership</t>
  </si>
  <si>
    <t>540303765</t>
  </si>
  <si>
    <t>VELOX- IMM - VX LP</t>
  </si>
  <si>
    <t>400090821</t>
  </si>
  <si>
    <t>10/08/2021</t>
  </si>
  <si>
    <t>4.3999</t>
  </si>
  <si>
    <t>טווין פתרונות בע"מ</t>
  </si>
  <si>
    <t>515218717</t>
  </si>
  <si>
    <t>TWINE</t>
  </si>
  <si>
    <t>410140521</t>
  </si>
  <si>
    <t>MOLECULED מניית בכורה</t>
  </si>
  <si>
    <t>410231219</t>
  </si>
  <si>
    <t>דליה אנרגיות</t>
  </si>
  <si>
    <t>513708818</t>
  </si>
  <si>
    <t>אנרגי ואלי אנרגיה</t>
  </si>
  <si>
    <t>410241218</t>
  </si>
  <si>
    <t>אדאקום טכנולוגיות בע"מ</t>
  </si>
  <si>
    <t>239</t>
  </si>
  <si>
    <t>אדאקום  1 ש"ח תיכוניים</t>
  </si>
  <si>
    <t>2390121</t>
  </si>
  <si>
    <t>אלון דלק אג"ח בהסדר חוב</t>
  </si>
  <si>
    <t>410051117</t>
  </si>
  <si>
    <t>גולדן קפיטל גרמניה</t>
  </si>
  <si>
    <t>30205</t>
  </si>
  <si>
    <t>עסקת נדל"ן גולדן קפיטל גרמניה תיכוניים</t>
  </si>
  <si>
    <t>410190618</t>
  </si>
  <si>
    <t>149.7085</t>
  </si>
  <si>
    <t>אינטגרה</t>
  </si>
  <si>
    <t>29265</t>
  </si>
  <si>
    <t>אינטגרה תיכוניים</t>
  </si>
  <si>
    <t>41050513</t>
  </si>
  <si>
    <t>27.0465</t>
  </si>
  <si>
    <t>Silk Technologies Inc</t>
  </si>
  <si>
    <t>30544</t>
  </si>
  <si>
    <t>Silk Technologies Inc תיכוניים</t>
  </si>
  <si>
    <t>410250321</t>
  </si>
  <si>
    <t>25/03/2021</t>
  </si>
  <si>
    <t>402</t>
  </si>
  <si>
    <t>Quantum Machines</t>
  </si>
  <si>
    <t>30655</t>
  </si>
  <si>
    <t>Quantum Machines תיכוניים</t>
  </si>
  <si>
    <t>410090822</t>
  </si>
  <si>
    <t>09/08/2022</t>
  </si>
  <si>
    <t>610.458</t>
  </si>
  <si>
    <t>פויכטונגר השקעות 1984 בע"מ</t>
  </si>
  <si>
    <t>1123</t>
  </si>
  <si>
    <t>פויכטונגר השק 0.01</t>
  </si>
  <si>
    <t>108532311</t>
  </si>
  <si>
    <t>טנא הון צמיחה 4 שותפות מוגבלת</t>
  </si>
  <si>
    <t>טנא הון צמיחה 4</t>
  </si>
  <si>
    <t>410150118</t>
  </si>
  <si>
    <t>פימי 6 2016 בעמ</t>
  </si>
  <si>
    <t>פימי 6 אופורטוניטי ישראל FIMI תיכוניים</t>
  </si>
  <si>
    <t>412107161</t>
  </si>
  <si>
    <t>Peregrine IV General Partner LP Limited Partnership</t>
  </si>
  <si>
    <t>פרגרין ונצ'רם</t>
  </si>
  <si>
    <t>410170719</t>
  </si>
  <si>
    <t>טנא קרן להשקעות בתעשייה הקיבוצית שותפות מוגבלת</t>
  </si>
  <si>
    <t>קרן טנא תיכוניים</t>
  </si>
  <si>
    <t>410241213</t>
  </si>
  <si>
    <t>Stage One Capital (GP) II, L.P</t>
  </si>
  <si>
    <t>STAGE 1</t>
  </si>
  <si>
    <t>41270715</t>
  </si>
  <si>
    <t>פימי 7 2020 בעמ</t>
  </si>
  <si>
    <t>פימי 7 תיכוניים</t>
  </si>
  <si>
    <t>41310321</t>
  </si>
  <si>
    <t>ס.ה. סקיי 4 ניהול שותפות מוגבלת</t>
  </si>
  <si>
    <t>SKY 4 LIMITED תיכוניים</t>
  </si>
  <si>
    <t>410170322</t>
  </si>
  <si>
    <t>Vintage Secondary V GP, L.P.</t>
  </si>
  <si>
    <t>Vintage Secondary V</t>
  </si>
  <si>
    <t>413012217</t>
  </si>
  <si>
    <t>Fortissimo Capital Fund VI GP, L.P</t>
  </si>
  <si>
    <t>Fortissimo Fund VI</t>
  </si>
  <si>
    <t>410171023</t>
  </si>
  <si>
    <t>פימי חמש 2020 בעמ</t>
  </si>
  <si>
    <t>FIMI OPPORTUNITY V</t>
  </si>
  <si>
    <t>412708122</t>
  </si>
  <si>
    <t>Presidio Management Group XIII, L.P.</t>
  </si>
  <si>
    <t>USVP XIII תיכוניים</t>
  </si>
  <si>
    <t>410120123</t>
  </si>
  <si>
    <t>OEP VIII General Partner, L.P.</t>
  </si>
  <si>
    <t>OEP VIII-A</t>
  </si>
  <si>
    <t>410280422</t>
  </si>
  <si>
    <t>Insight Venture Associates X, L.P.</t>
  </si>
  <si>
    <t>INSIGHT X</t>
  </si>
  <si>
    <t>410170418</t>
  </si>
  <si>
    <t>HarbourVest Partners, LLC</t>
  </si>
  <si>
    <t>Harbourvest Dover 10</t>
  </si>
  <si>
    <t>410130120</t>
  </si>
  <si>
    <t>Hamilton Lane Advisors, LLC</t>
  </si>
  <si>
    <t>Hamilton Lane CI IV</t>
  </si>
  <si>
    <t>410290519</t>
  </si>
  <si>
    <t>Insight Associates XI, L.P.</t>
  </si>
  <si>
    <t>Insight Partners XI</t>
  </si>
  <si>
    <t>410240320</t>
  </si>
  <si>
    <t>LLCP Partners VI GP, L.P.</t>
  </si>
  <si>
    <t>Levine Leichtman VI</t>
  </si>
  <si>
    <t>410010218</t>
  </si>
  <si>
    <t>EQT Infrastructure V (General Partner) S.? r.l.</t>
  </si>
  <si>
    <t>EQT Infrastructure V</t>
  </si>
  <si>
    <t>410811201</t>
  </si>
  <si>
    <t>EMIF II Management LLC</t>
  </si>
  <si>
    <t>Electra Multifamily II</t>
  </si>
  <si>
    <t>410190718</t>
  </si>
  <si>
    <t>ECP Calpine Fund GP, LP</t>
  </si>
  <si>
    <t>ECP Calpine Cont תיכוניים</t>
  </si>
  <si>
    <t>410010722</t>
  </si>
  <si>
    <t>Hamilton Lane Equity Oppo</t>
  </si>
  <si>
    <t>410241022</t>
  </si>
  <si>
    <t>ALEMIF III Management LLC</t>
  </si>
  <si>
    <t>אלקטרה נדל"ן 3</t>
  </si>
  <si>
    <t>410140420</t>
  </si>
  <si>
    <t>HAMILTON LANE SECONDARY FEEDER FUND V-B LP</t>
  </si>
  <si>
    <t>410210221</t>
  </si>
  <si>
    <t>CVC Capital Partners VIII Limited</t>
  </si>
  <si>
    <t>CVC CAPITAL PARTNERS VIII</t>
  </si>
  <si>
    <t>410811203</t>
  </si>
  <si>
    <t>PGCO V GP (Lux) S.? r.l</t>
  </si>
  <si>
    <t>Pantheon G-CI Opp V</t>
  </si>
  <si>
    <t>410260421</t>
  </si>
  <si>
    <t>PGSF VII GP S.? r.l.</t>
  </si>
  <si>
    <t>Pantheon Global Secondary</t>
  </si>
  <si>
    <t>41200520</t>
  </si>
  <si>
    <t>Coller Investment Management Limited</t>
  </si>
  <si>
    <t>Coller VIII</t>
  </si>
  <si>
    <t>410281220</t>
  </si>
  <si>
    <t>Fortissimo Capital Fund V (GP), L.P</t>
  </si>
  <si>
    <t>FORTTISSIMO V</t>
  </si>
  <si>
    <t>411304201</t>
  </si>
  <si>
    <t>Primavera Capital GP IV Ltd.</t>
  </si>
  <si>
    <t>Primavera Capital Fund IV</t>
  </si>
  <si>
    <t>410250521</t>
  </si>
  <si>
    <t>ICG Europe Fund VII GP S.? r.l.</t>
  </si>
  <si>
    <t>ICG Europe VII תיכוניים</t>
  </si>
  <si>
    <t>410230818</t>
  </si>
  <si>
    <t>EQT IX (General Partner) S.?.r.l.</t>
  </si>
  <si>
    <t>EQT IX</t>
  </si>
  <si>
    <t>410811202</t>
  </si>
  <si>
    <t>Schroders Capital Private Equity Secondaries Management IV S.? r.l.</t>
  </si>
  <si>
    <t>Schroders Capital</t>
  </si>
  <si>
    <t>410210222</t>
  </si>
  <si>
    <t>Primavera Capital Fund Investment GP M Ltd.</t>
  </si>
  <si>
    <t>Primavera Capital M (Mead</t>
  </si>
  <si>
    <t>410060122</t>
  </si>
  <si>
    <t>Electra Capital PM, LLC</t>
  </si>
  <si>
    <t>Electra Capital PM</t>
  </si>
  <si>
    <t>410140920</t>
  </si>
  <si>
    <t>ALEMIF IV Management LLC</t>
  </si>
  <si>
    <t>אלקטרה נדל"ן 4</t>
  </si>
  <si>
    <t>410250722</t>
  </si>
  <si>
    <t>AMI GP LP Inc</t>
  </si>
  <si>
    <t>אייפקס מדיום ישראל תיכוניים</t>
  </si>
  <si>
    <t>412012152</t>
  </si>
  <si>
    <t>RRED GP, LLC</t>
  </si>
  <si>
    <t>Related</t>
  </si>
  <si>
    <t>410061221</t>
  </si>
  <si>
    <t>Pantheon PGIF IV GP (Lux) S.? r.l</t>
  </si>
  <si>
    <t>Pantheon Global Secondary Fund VII תיכוניים</t>
  </si>
  <si>
    <t>410020823</t>
  </si>
  <si>
    <t>Insight Associates XII, LP.</t>
  </si>
  <si>
    <t>Insight Partners XII</t>
  </si>
  <si>
    <t>410251121</t>
  </si>
  <si>
    <t>Mission Capital Co-investment GP II, L.P.</t>
  </si>
  <si>
    <t>Axiom Asia Co-in II</t>
  </si>
  <si>
    <t>410261121</t>
  </si>
  <si>
    <t>Insight Associates XII Buyout Annex, L.P.</t>
  </si>
  <si>
    <t>Insight Partners XII Anne</t>
  </si>
  <si>
    <t>410161121</t>
  </si>
  <si>
    <t>Stage One Capital (GP) III L.P</t>
  </si>
  <si>
    <t>STAGE ONE 3</t>
  </si>
  <si>
    <t>410160118</t>
  </si>
  <si>
    <t>ASF VIII INFRASTRUCTURE GP Limited</t>
  </si>
  <si>
    <t>ASF VIII Infrastructure</t>
  </si>
  <si>
    <t>410120821</t>
  </si>
  <si>
    <t>Corbel DSOF GP, LLC</t>
  </si>
  <si>
    <t>CORBEL DSOP תיכוניים</t>
  </si>
  <si>
    <t>410260722</t>
  </si>
  <si>
    <t>Bridgepoint Europe VII GP LLP,</t>
  </si>
  <si>
    <t>BRIDGEPOINT EUROPE VII</t>
  </si>
  <si>
    <t>410120124</t>
  </si>
  <si>
    <t>Gatewood Capital GP II LLC</t>
  </si>
  <si>
    <t>Gatewood II</t>
  </si>
  <si>
    <t>410290621</t>
  </si>
  <si>
    <t>Stage One Capital (GP) IV L.P.</t>
  </si>
  <si>
    <t>Stage One IV תיכוניים</t>
  </si>
  <si>
    <t>413012215</t>
  </si>
  <si>
    <t>EQT X תיכוניים</t>
  </si>
  <si>
    <t>410120623</t>
  </si>
  <si>
    <t>AMI II GP LP Inc</t>
  </si>
  <si>
    <t>AMI Opp. II תיכוניים</t>
  </si>
  <si>
    <t>410300622</t>
  </si>
  <si>
    <t>Dover Street XI Feeder Fu</t>
  </si>
  <si>
    <t>410200324</t>
  </si>
  <si>
    <t>Stage One IV Annex</t>
  </si>
  <si>
    <t>413012216</t>
  </si>
  <si>
    <t>אללוחם 1 בעמ</t>
  </si>
  <si>
    <t>דניאל קיסריה אנרגיה תיכוניים</t>
  </si>
  <si>
    <t>410231116</t>
  </si>
  <si>
    <t>חברת שותף כללי  קרן תשתיות ישראל  3 בעמ</t>
  </si>
  <si>
    <t>תשתיות ישראל 3</t>
  </si>
  <si>
    <t>410191016</t>
  </si>
  <si>
    <t>תשתיות ישראל  ג'י. פי. 4 שותפות מוגבלת</t>
  </si>
  <si>
    <t>תשתיות ישראל 4</t>
  </si>
  <si>
    <t>410121020</t>
  </si>
  <si>
    <t>אסנס פרויקטים בעמ</t>
  </si>
  <si>
    <t>מנרב אסנס Co invest תיכוניים</t>
  </si>
  <si>
    <t>410050821</t>
  </si>
  <si>
    <t>נוי אי. איי תשתיות ואנרגיה ג'י.פי, ש.מ</t>
  </si>
  <si>
    <t>קרן נוי 3 להשקעה בתשתיות אנרגי תיכוניים</t>
  </si>
  <si>
    <t>410260519</t>
  </si>
  <si>
    <t>נוי 4</t>
  </si>
  <si>
    <t>410310321</t>
  </si>
  <si>
    <t>דרך הצפון שותף כללי (ע.ג.) בע''מ</t>
  </si>
  <si>
    <t>דרך הצפון (ע.ג.), שותפות</t>
  </si>
  <si>
    <t>410080317</t>
  </si>
  <si>
    <t>Helios General 3 ltd</t>
  </si>
  <si>
    <t>הליוס אנרגיה מתחדשת 4 תיכוניים</t>
  </si>
  <si>
    <t>410251018</t>
  </si>
  <si>
    <t>תשתיות ישראל ג'י. פי.  ניהול II , שותפות מוגבלת</t>
  </si>
  <si>
    <t>תש"י רכבת קלה ירושלים</t>
  </si>
  <si>
    <t>410150616</t>
  </si>
  <si>
    <t>תשתיות ישראל ג'י. פי. שותפות מוגבלת</t>
  </si>
  <si>
    <t>קרן תש"י - קרן 1</t>
  </si>
  <si>
    <t>410191007</t>
  </si>
  <si>
    <t>Pantheon Access GP S.? r.l</t>
  </si>
  <si>
    <t>פנתיאון אקסס</t>
  </si>
  <si>
    <t>410080518</t>
  </si>
  <si>
    <t>Pantheon GIF IV</t>
  </si>
  <si>
    <t>410300322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</si>
  <si>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</si>
  <si>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</si>
  <si>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</si>
  <si>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</si>
  <si>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</si>
  <si>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410301017</t>
  </si>
  <si>
    <t>קרן טוליפ קפיטל ג'י פי בעמ</t>
  </si>
  <si>
    <t>טוליפ קפיטל</t>
  </si>
  <si>
    <t>402301171</t>
  </si>
  <si>
    <t>אלפא לונג ביאס ג'י פי בעמ</t>
  </si>
  <si>
    <t>אלפא ערך</t>
  </si>
  <si>
    <t>401270324</t>
  </si>
  <si>
    <t>ION Asset Management Ltd.</t>
  </si>
  <si>
    <t>ION ISRAEL FEEDER FUND LTD תיכוניים</t>
  </si>
  <si>
    <t>410300718</t>
  </si>
  <si>
    <t>אלפא קרן גידור</t>
  </si>
  <si>
    <t>410300817</t>
  </si>
  <si>
    <t>יסודות מעטפת פיננסית גי'פי שותפות מוגבלת</t>
  </si>
  <si>
    <t>יסודות ג' נדלן ופיתוח שות</t>
  </si>
  <si>
    <t>410031219</t>
  </si>
  <si>
    <t>Klirmark Fund III (G.P) L.P</t>
  </si>
  <si>
    <t>KLIRMARK III תיכוניים</t>
  </si>
  <si>
    <t>41131119</t>
  </si>
  <si>
    <t>יסודות 2</t>
  </si>
  <si>
    <t>410300118</t>
  </si>
  <si>
    <t>ריאליטי מימון שותף כללי בעמ</t>
  </si>
  <si>
    <t>ריאליטי מימון</t>
  </si>
  <si>
    <t>410310322</t>
  </si>
  <si>
    <t>קוגיטו קפיטל פאנד 2 שותף כללי בעמ</t>
  </si>
  <si>
    <t>קרן קוגיטו קפיטל</t>
  </si>
  <si>
    <t>413012214</t>
  </si>
  <si>
    <t>הראל אלטרנטיב קרנות השקעה בעמ</t>
  </si>
  <si>
    <t>Harel Alternative Real Es</t>
  </si>
  <si>
    <t>410110523</t>
  </si>
  <si>
    <t>Klirmark Fund IV (G.P) L.P</t>
  </si>
  <si>
    <t>Klirmark Opportunity Fund</t>
  </si>
  <si>
    <t>410180423</t>
  </si>
  <si>
    <t>שקד השקעות (ג'י.פי) שותפות מוגבלת</t>
  </si>
  <si>
    <t>קרן שקד</t>
  </si>
  <si>
    <t>410180117</t>
  </si>
  <si>
    <t>קוגיטו קפיטל אל.אמ.אי שותף כללי, שותפות מוגבלת</t>
  </si>
  <si>
    <t>קוגיטו בי.אם.אי</t>
  </si>
  <si>
    <t>41040917</t>
  </si>
  <si>
    <t>קוגיטו קפיטל שותף כללי בעמ</t>
  </si>
  <si>
    <t>41210716</t>
  </si>
  <si>
    <t>יסודות א' נדלן ופיתוח שות</t>
  </si>
  <si>
    <t>410150115</t>
  </si>
  <si>
    <t>Direct Lending Fund III General Partner S.? r.l.</t>
  </si>
  <si>
    <t>BlueBay</t>
  </si>
  <si>
    <t>410300119</t>
  </si>
  <si>
    <t>HDL - HarbourVest Direct</t>
  </si>
  <si>
    <t>410140921</t>
  </si>
  <si>
    <t>MV Senior GP S.? r.l</t>
  </si>
  <si>
    <t>MV SENIOR 2</t>
  </si>
  <si>
    <t>410170720</t>
  </si>
  <si>
    <t>MV Subordinated GP S.? r.l.</t>
  </si>
  <si>
    <t>MV Subordinated V</t>
  </si>
  <si>
    <t>410190821</t>
  </si>
  <si>
    <t>Pagaya Auto loans Manager LP.</t>
  </si>
  <si>
    <t>Pagaya AUTO Class A תיכוניים</t>
  </si>
  <si>
    <t>413012212</t>
  </si>
  <si>
    <t>Frux Capital II GP SARL</t>
  </si>
  <si>
    <t>FRUX II</t>
  </si>
  <si>
    <t>410010422</t>
  </si>
  <si>
    <t>NB Credit Opportunities Associates II LP</t>
  </si>
  <si>
    <t>NB Credit Opportunities II תיכונים</t>
  </si>
  <si>
    <t>410170723</t>
  </si>
  <si>
    <t>Allianz</t>
  </si>
  <si>
    <t>Allianz APSL תיכוניים</t>
  </si>
  <si>
    <t>410190622</t>
  </si>
  <si>
    <t>CVC Credit Capital Solutions III גננות</t>
  </si>
  <si>
    <t>CVC Credit Capital Solutions III תיכוניים</t>
  </si>
  <si>
    <t>410111223</t>
  </si>
  <si>
    <t>*Monarch Alternative Capital LP</t>
  </si>
  <si>
    <t>Monarch Capital Partners VI תיכוניים</t>
  </si>
  <si>
    <t>410270323</t>
  </si>
  <si>
    <t>Penfund Capital Partners VII Inc.</t>
  </si>
  <si>
    <t>Penfund Capital VII</t>
  </si>
  <si>
    <t>410020422</t>
  </si>
  <si>
    <t>Pagaya AUTO Class B תיכוניים</t>
  </si>
  <si>
    <t>413012213</t>
  </si>
  <si>
    <t>שקד פרטנרס 2 ג'י.פי. בעמ</t>
  </si>
  <si>
    <t>שקד 2 תיכוניים</t>
  </si>
  <si>
    <t>410120723</t>
  </si>
  <si>
    <t>Penfund Capital VII CO-IN</t>
  </si>
  <si>
    <t>410030422</t>
  </si>
  <si>
    <t>ריאליטי שותף כללי 4 בעמ</t>
  </si>
  <si>
    <t>ריאליטי 4</t>
  </si>
  <si>
    <t>410300519</t>
  </si>
  <si>
    <t>ג'יי.טי.אל.וי 3 ש.כ. בעמ</t>
  </si>
  <si>
    <t>JTLV3 תיכוניים</t>
  </si>
  <si>
    <t>410100622</t>
  </si>
  <si>
    <t>Marathon Real Estate Fund</t>
  </si>
  <si>
    <t>410271220</t>
  </si>
  <si>
    <t>ריאליטי 5</t>
  </si>
  <si>
    <t>410201123</t>
  </si>
  <si>
    <t>ריאליטי ניהול קרנות בעמ</t>
  </si>
  <si>
    <t>ריאליטי קרן השקעות 2</t>
  </si>
  <si>
    <t>410160412</t>
  </si>
  <si>
    <t>ריאלטי קו אינווסמנט נווה אילן תיכוניים</t>
  </si>
  <si>
    <t>410260214</t>
  </si>
  <si>
    <t>Blackstone Real Estate Associates IX L.P.</t>
  </si>
  <si>
    <t>קרן בלקסטון 9</t>
  </si>
  <si>
    <t>410190919</t>
  </si>
  <si>
    <t>Brookfield Strategic Real Estate Partners III GP L.P.</t>
  </si>
  <si>
    <t>קרן ברוקפילד</t>
  </si>
  <si>
    <t>410100419</t>
  </si>
  <si>
    <t>FRG-X GP,LP</t>
  </si>
  <si>
    <t>Faropoint Logistic II (FR</t>
  </si>
  <si>
    <t>410280621</t>
  </si>
  <si>
    <t>AP Fund II GP, LLC</t>
  </si>
  <si>
    <t>בלו אטלנטיק 2</t>
  </si>
  <si>
    <t>41220617</t>
  </si>
  <si>
    <t>Madison Realty Capital Debt Fund V GP LLC</t>
  </si>
  <si>
    <t>Madison Realty Capital De</t>
  </si>
  <si>
    <t>410200520</t>
  </si>
  <si>
    <t>LCN European Fund III GP S.? r.l.</t>
  </si>
  <si>
    <t>LCN III</t>
  </si>
  <si>
    <t>410140520</t>
  </si>
  <si>
    <t>AP Fund I GP, LLC</t>
  </si>
  <si>
    <t>בלו אטלנטיק פרטנרס</t>
  </si>
  <si>
    <t>41200616</t>
  </si>
  <si>
    <t>AP Fund III GP, LLC</t>
  </si>
  <si>
    <t>BLUE ATLANTIC PARTNER III</t>
  </si>
  <si>
    <t>410120819</t>
  </si>
  <si>
    <t>Alto</t>
  </si>
  <si>
    <t>ALTO FUND III</t>
  </si>
  <si>
    <t>41131217</t>
  </si>
  <si>
    <t>FORMA FUND GENERAL PARTNER LTD</t>
  </si>
  <si>
    <t>Forma Fund</t>
  </si>
  <si>
    <t>410260318</t>
  </si>
  <si>
    <t>Northwind Debt Fund II GP LLC</t>
  </si>
  <si>
    <t>Northwind Debt Fund II תיכוניים</t>
  </si>
  <si>
    <t>410201023</t>
  </si>
  <si>
    <t>FRG-X-GP,LP</t>
  </si>
  <si>
    <t>Faropoint III תיכוניים</t>
  </si>
  <si>
    <t>410060624</t>
  </si>
  <si>
    <t>Rialto Partners GP V-Debt, LP</t>
  </si>
  <si>
    <t>Rialto Real Estate Fund V Debt, LP</t>
  </si>
  <si>
    <t>410270224</t>
  </si>
  <si>
    <t>אייג'יפי השקעות (ג'י.פי.אל.פי), שותפות מוגבלת.</t>
  </si>
  <si>
    <t>IGP INVESTMENTS II</t>
  </si>
  <si>
    <t>410150818</t>
  </si>
  <si>
    <t>פונטיפקס 5  ג'י.פי ש.מ</t>
  </si>
  <si>
    <t>קרן פונטיפקס 5</t>
  </si>
  <si>
    <t>410080418</t>
  </si>
  <si>
    <t>Firstime Ventures III General Partner L.P.</t>
  </si>
  <si>
    <t>Firstime Ventures III L.P</t>
  </si>
  <si>
    <t>410241121</t>
  </si>
  <si>
    <t>Windin` Capital Fund LP</t>
  </si>
  <si>
    <t>410140720</t>
  </si>
  <si>
    <t>גרות' פרטנרס (ליכטמן ושני) שותפות מוגבלת</t>
  </si>
  <si>
    <t>קרן השקעה IGP</t>
  </si>
  <si>
    <t>410030214</t>
  </si>
  <si>
    <t>LOOL 2 Ventures GP LTD</t>
  </si>
  <si>
    <t>lool Ventures III</t>
  </si>
  <si>
    <t>410130322</t>
  </si>
  <si>
    <t>פונטיפקס 6  ג'י.פי ש.מ</t>
  </si>
  <si>
    <t>פונטיפקס 6</t>
  </si>
  <si>
    <t>410081120</t>
  </si>
  <si>
    <t>AGATE MEDICAL INVESTMENT</t>
  </si>
  <si>
    <t>410011107</t>
  </si>
  <si>
    <t>IGP SaferWorld תיכוניים</t>
  </si>
  <si>
    <t>410260619</t>
  </si>
  <si>
    <t>ICG Strategic Equity IV תיכוניים</t>
  </si>
  <si>
    <t>ICG SSF II</t>
  </si>
  <si>
    <t>GIP IV</t>
  </si>
  <si>
    <t>410221019</t>
  </si>
  <si>
    <t>Vintage Investments 11 (Access), L.P.</t>
  </si>
  <si>
    <t>קרן וינטאג' 5 אקסס</t>
  </si>
  <si>
    <t>401280818</t>
  </si>
  <si>
    <t>Welsch Carson XIII תיכוניים</t>
  </si>
  <si>
    <t>410270619</t>
  </si>
  <si>
    <t>ArcLight 3C SPV Fedder, L.P. תיכוניים</t>
  </si>
  <si>
    <t>410270722</t>
  </si>
  <si>
    <t>Bain Special Situation Eu</t>
  </si>
  <si>
    <t>41231018</t>
  </si>
  <si>
    <t>הפניקס חוב נדל"ן תיכוניים</t>
  </si>
  <si>
    <t>413012211</t>
  </si>
  <si>
    <t>ICG NORTH AMEIRCA</t>
  </si>
  <si>
    <t>410250219</t>
  </si>
  <si>
    <t>Vintage Fund of Funds VI (Access) GP, L.P.</t>
  </si>
  <si>
    <t>Vintage Fund of Funds VI</t>
  </si>
  <si>
    <t>410041120</t>
  </si>
  <si>
    <t>Vintage Fund of Funds VI (Breakout) GP, L.P.</t>
  </si>
  <si>
    <t>410291020</t>
  </si>
  <si>
    <t>Vintage Fund of Funds VII (Access) GP, L.P.</t>
  </si>
  <si>
    <t>Vintage FOF VII (Access)</t>
  </si>
  <si>
    <t>410140722</t>
  </si>
  <si>
    <t>JP Growth Opportunity X, L.P.</t>
  </si>
  <si>
    <t>JVP Growth Opportunity X (C), L.P. תיכוניים</t>
  </si>
  <si>
    <t>410231123</t>
  </si>
  <si>
    <t>Faering International Growth III</t>
  </si>
  <si>
    <t>410090523</t>
  </si>
  <si>
    <t>הקרן סיימה את חייה, אין נתונים.</t>
  </si>
  <si>
    <t>profimex קרן השקעה בקרנות נדלן תיכוניים</t>
  </si>
  <si>
    <t>410181207</t>
  </si>
  <si>
    <t>קרן גידור lehman brothers</t>
  </si>
  <si>
    <t>410230207</t>
  </si>
  <si>
    <t>תשתיות ישראל ניהול 1 בעמ</t>
  </si>
  <si>
    <t>ת.ש.י דרכים ש.מ class a תיכוניים</t>
  </si>
  <si>
    <t>410301210</t>
  </si>
  <si>
    <t>תשי דרכים ש.מ. class a1 תיכוניים</t>
  </si>
  <si>
    <t>412506130</t>
  </si>
  <si>
    <t>תש"י 431 (כביש 431) ש.מ</t>
  </si>
  <si>
    <t>410130611</t>
  </si>
  <si>
    <t>קרן תש"י - קרן 2 תיכוניים</t>
  </si>
  <si>
    <t>410300811</t>
  </si>
  <si>
    <t>AYANA   Warrants 2019 (SPA May 19)</t>
  </si>
  <si>
    <t>41110816</t>
  </si>
  <si>
    <t>400310716</t>
  </si>
  <si>
    <t>30/12/1899</t>
  </si>
  <si>
    <t>7,800</t>
  </si>
  <si>
    <t>רויאלטיז של אינטגרה תיכוניים</t>
  </si>
  <si>
    <t>410505131</t>
  </si>
  <si>
    <t>2.3371</t>
  </si>
  <si>
    <t>AYANA  Warrants - CLA 2021 Conversion</t>
  </si>
  <si>
    <t>413005192</t>
  </si>
  <si>
    <t>0.0001</t>
  </si>
  <si>
    <t>עיינה הלוואת בעלים 2022</t>
  </si>
  <si>
    <t>410221123</t>
  </si>
  <si>
    <t>20/11/2023</t>
  </si>
  <si>
    <t>570002447</t>
  </si>
  <si>
    <t>4.6423</t>
  </si>
  <si>
    <t>GBPILS</t>
  </si>
  <si>
    <t>15/04/2024</t>
  </si>
  <si>
    <t>15/07/2024</t>
  </si>
  <si>
    <t>570002448</t>
  </si>
  <si>
    <t>3.9618</t>
  </si>
  <si>
    <t>EURILS</t>
  </si>
  <si>
    <t>570002477</t>
  </si>
  <si>
    <t>3.703</t>
  </si>
  <si>
    <t>USDILS</t>
  </si>
  <si>
    <t>20/05/2024</t>
  </si>
  <si>
    <t>570002446</t>
  </si>
  <si>
    <t>3.716</t>
  </si>
  <si>
    <t>570002475</t>
  </si>
  <si>
    <t>4.0237</t>
  </si>
  <si>
    <t>19/08/2024</t>
  </si>
  <si>
    <t>570002437</t>
  </si>
  <si>
    <t>4.0204</t>
  </si>
  <si>
    <t>08/04/2024</t>
  </si>
  <si>
    <t>08/07/2024</t>
  </si>
  <si>
    <t>570002436</t>
  </si>
  <si>
    <t>4.6879</t>
  </si>
  <si>
    <t>570002435</t>
  </si>
  <si>
    <t>3.712</t>
  </si>
  <si>
    <t>570002476</t>
  </si>
  <si>
    <t>91100008</t>
  </si>
  <si>
    <t>31/08/2003</t>
  </si>
  <si>
    <t>01/01/2021</t>
  </si>
  <si>
    <t>1.0129</t>
  </si>
  <si>
    <t>90552313</t>
  </si>
  <si>
    <t>10/01/2023</t>
  </si>
  <si>
    <t>Baa3.il</t>
  </si>
  <si>
    <t>10/01/2025</t>
  </si>
  <si>
    <t>22/11/2023</t>
  </si>
  <si>
    <t>104.5</t>
  </si>
  <si>
    <t>90750001</t>
  </si>
  <si>
    <t>18/11/2024</t>
  </si>
  <si>
    <t>18/12/2023</t>
  </si>
  <si>
    <t>90</t>
  </si>
  <si>
    <t>90301000</t>
  </si>
  <si>
    <t>30/06/2048</t>
  </si>
  <si>
    <t>25/11/2023</t>
  </si>
  <si>
    <t>101.34</t>
  </si>
  <si>
    <t>90145563</t>
  </si>
  <si>
    <t>28/04/2015</t>
  </si>
  <si>
    <t>25/12/2023</t>
  </si>
  <si>
    <t>115.13</t>
  </si>
  <si>
    <t>90838510</t>
  </si>
  <si>
    <t>26/07/2017</t>
  </si>
  <si>
    <t>31/12/2036</t>
  </si>
  <si>
    <t>114.29</t>
  </si>
  <si>
    <t>70001003</t>
  </si>
  <si>
    <t>28/03/2018</t>
  </si>
  <si>
    <t>30/09/2045</t>
  </si>
  <si>
    <t>93.56</t>
  </si>
  <si>
    <t>410051217</t>
  </si>
  <si>
    <t>01/01/1753</t>
  </si>
  <si>
    <t>148.946</t>
  </si>
  <si>
    <t>70001002</t>
  </si>
  <si>
    <t>31/10/2045</t>
  </si>
  <si>
    <t>96.16</t>
  </si>
  <si>
    <t>92060100</t>
  </si>
  <si>
    <t>12/07/2022</t>
  </si>
  <si>
    <t>25/03/2043</t>
  </si>
  <si>
    <t>97.89</t>
  </si>
  <si>
    <t>91084014</t>
  </si>
  <si>
    <t>נדל"ן מניב - מגורים (כולל דיור מוגן)</t>
  </si>
  <si>
    <t>10/03/2022</t>
  </si>
  <si>
    <t>26/12/2026</t>
  </si>
  <si>
    <t>30/11/2023</t>
  </si>
  <si>
    <t>101.78</t>
  </si>
  <si>
    <t>90300072</t>
  </si>
  <si>
    <t>27/11/2023</t>
  </si>
  <si>
    <t>25/08/2028</t>
  </si>
  <si>
    <t>100.84</t>
  </si>
  <si>
    <t>90145300</t>
  </si>
  <si>
    <t>31/12/2017</t>
  </si>
  <si>
    <t>01/01/2024</t>
  </si>
  <si>
    <t>112.31</t>
  </si>
  <si>
    <t>70001005</t>
  </si>
  <si>
    <t>125.39</t>
  </si>
  <si>
    <t>99110983</t>
  </si>
  <si>
    <t>06/02/2023</t>
  </si>
  <si>
    <t>04/02/2028</t>
  </si>
  <si>
    <t>01/01/2023</t>
  </si>
  <si>
    <t>103.03</t>
  </si>
  <si>
    <t>9139730</t>
  </si>
  <si>
    <t>29/09/2022</t>
  </si>
  <si>
    <t>10/12/2030</t>
  </si>
  <si>
    <t>22/09/2022</t>
  </si>
  <si>
    <t>109.97</t>
  </si>
  <si>
    <t>90410000</t>
  </si>
  <si>
    <t>20/10/2021</t>
  </si>
  <si>
    <t>20/10/2032</t>
  </si>
  <si>
    <t>99.78</t>
  </si>
  <si>
    <t>98700001</t>
  </si>
  <si>
    <t>14/04/2022</t>
  </si>
  <si>
    <t>11/11/2023</t>
  </si>
  <si>
    <t>77.09</t>
  </si>
  <si>
    <t>91410005</t>
  </si>
  <si>
    <t>30/07/2023</t>
  </si>
  <si>
    <t>28/07/2024</t>
  </si>
  <si>
    <t>05/07/2023</t>
  </si>
  <si>
    <t>70001004</t>
  </si>
  <si>
    <t>115.67</t>
  </si>
  <si>
    <t>90552201</t>
  </si>
  <si>
    <t>24/05/2023</t>
  </si>
  <si>
    <t>24/11/2025</t>
  </si>
  <si>
    <t>01/09/2022</t>
  </si>
  <si>
    <t>104.91</t>
  </si>
  <si>
    <t>90107211</t>
  </si>
  <si>
    <t>02/06/2014</t>
  </si>
  <si>
    <t>30/06/2023</t>
  </si>
  <si>
    <t>101.25</t>
  </si>
  <si>
    <t>70001001</t>
  </si>
  <si>
    <t>115.42</t>
  </si>
  <si>
    <t>90300050</t>
  </si>
  <si>
    <t>31/05/2023</t>
  </si>
  <si>
    <t>99.84</t>
  </si>
  <si>
    <t>90300044</t>
  </si>
  <si>
    <t>410271022</t>
  </si>
  <si>
    <t>29/08/2021</t>
  </si>
  <si>
    <t>91084024</t>
  </si>
  <si>
    <t>108.64</t>
  </si>
  <si>
    <t>90300043</t>
  </si>
  <si>
    <t>25/05/2023</t>
  </si>
  <si>
    <t>99.74</t>
  </si>
  <si>
    <t>92060106</t>
  </si>
  <si>
    <t>19/06/2023</t>
  </si>
  <si>
    <t>98.57</t>
  </si>
  <si>
    <t>92060105</t>
  </si>
  <si>
    <t>16/11/2022</t>
  </si>
  <si>
    <t>99.04</t>
  </si>
  <si>
    <t>90552200</t>
  </si>
  <si>
    <t>104.96</t>
  </si>
  <si>
    <t>90301001</t>
  </si>
  <si>
    <t>90552204</t>
  </si>
  <si>
    <t>14/12/2023</t>
  </si>
  <si>
    <t>02/09/2022</t>
  </si>
  <si>
    <t>105.02</t>
  </si>
  <si>
    <t>90552202</t>
  </si>
  <si>
    <t>02/07/2023</t>
  </si>
  <si>
    <t>104.75</t>
  </si>
  <si>
    <t>90552100</t>
  </si>
  <si>
    <t>26/05/2022</t>
  </si>
  <si>
    <t>25/05/2025</t>
  </si>
  <si>
    <t>101</t>
  </si>
  <si>
    <t>90552203</t>
  </si>
  <si>
    <t>01/10/2023</t>
  </si>
  <si>
    <t>410211123</t>
  </si>
  <si>
    <t>01/01/0001</t>
  </si>
  <si>
    <t>31/12/9999</t>
  </si>
  <si>
    <t>55.1863</t>
  </si>
  <si>
    <t>90838531</t>
  </si>
  <si>
    <t>28/11/2017</t>
  </si>
  <si>
    <t>113.67</t>
  </si>
  <si>
    <t>90552205</t>
  </si>
  <si>
    <t>01/04/2024</t>
  </si>
  <si>
    <t>24/11/2026</t>
  </si>
  <si>
    <t>101.82</t>
  </si>
  <si>
    <t>90552101</t>
  </si>
  <si>
    <t>04/01/2023</t>
  </si>
  <si>
    <t>01/01/2022</t>
  </si>
  <si>
    <t>102.06</t>
  </si>
  <si>
    <t>90146006</t>
  </si>
  <si>
    <t>30/12/2014</t>
  </si>
  <si>
    <t>28/06/2018</t>
  </si>
  <si>
    <t>3.87</t>
  </si>
  <si>
    <t>90552103</t>
  </si>
  <si>
    <t>02/04/2023</t>
  </si>
  <si>
    <t>102.75</t>
  </si>
  <si>
    <t>90552106</t>
  </si>
  <si>
    <t>07/12/2024</t>
  </si>
  <si>
    <t>102.6</t>
  </si>
  <si>
    <t>90552102</t>
  </si>
  <si>
    <t>12/03/2023</t>
  </si>
  <si>
    <t>102.66</t>
  </si>
  <si>
    <t>90838501</t>
  </si>
  <si>
    <t>01/05/2018</t>
  </si>
  <si>
    <t>114.02</t>
  </si>
  <si>
    <t>90552109</t>
  </si>
  <si>
    <t>12/10/2023</t>
  </si>
  <si>
    <t>102.57</t>
  </si>
  <si>
    <t>90552104</t>
  </si>
  <si>
    <t>10/05/2023</t>
  </si>
  <si>
    <t>102.53</t>
  </si>
  <si>
    <t>90552107</t>
  </si>
  <si>
    <t>07/08/2023</t>
  </si>
  <si>
    <t>02/01/2022</t>
  </si>
  <si>
    <t>102.48</t>
  </si>
  <si>
    <t>90552108</t>
  </si>
  <si>
    <t>03/09/2023</t>
  </si>
  <si>
    <t>102.42</t>
  </si>
  <si>
    <t>90552112</t>
  </si>
  <si>
    <t>08/02/2024</t>
  </si>
  <si>
    <t>101.89</t>
  </si>
  <si>
    <t>90552113</t>
  </si>
  <si>
    <t>16/04/2024</t>
  </si>
  <si>
    <t>101.3</t>
  </si>
  <si>
    <t>90552110</t>
  </si>
  <si>
    <t>08/11/2023</t>
  </si>
  <si>
    <t>102.54</t>
  </si>
  <si>
    <t>90552111</t>
  </si>
  <si>
    <t>11/01/2024</t>
  </si>
  <si>
    <t>102.05</t>
  </si>
  <si>
    <t>90552105</t>
  </si>
  <si>
    <t>05/06/2023</t>
  </si>
  <si>
    <t>102.62</t>
  </si>
  <si>
    <t>98700002</t>
  </si>
  <si>
    <t>10/07/2023</t>
  </si>
  <si>
    <t>02/07/2024</t>
  </si>
  <si>
    <t>110.53</t>
  </si>
  <si>
    <t>90146007</t>
  </si>
  <si>
    <t>30/12/2019</t>
  </si>
  <si>
    <t>3.98</t>
  </si>
  <si>
    <t>91721001</t>
  </si>
  <si>
    <t>20/11/2022</t>
  </si>
  <si>
    <t>1.0099</t>
  </si>
  <si>
    <t>91072009</t>
  </si>
  <si>
    <t>1.0145</t>
  </si>
  <si>
    <t>90150720</t>
  </si>
  <si>
    <t>28/10/1999</t>
  </si>
  <si>
    <t>152.88</t>
  </si>
  <si>
    <t>90150520</t>
  </si>
  <si>
    <t>28/09/2004</t>
  </si>
  <si>
    <t>149.6</t>
  </si>
  <si>
    <t>90150300</t>
  </si>
  <si>
    <t>28/06/2007</t>
  </si>
  <si>
    <t>138.68</t>
  </si>
  <si>
    <t>זכויות על תמלוגים במאגר תמר תיכוניים</t>
  </si>
  <si>
    <t>410311219</t>
  </si>
  <si>
    <t>ilBBB+</t>
  </si>
  <si>
    <t>89.8472</t>
  </si>
  <si>
    <t xml:space="preserve">שם גליון </t>
  </si>
  <si>
    <t>קישור לגליון</t>
  </si>
  <si>
    <t>עמוד פתיחה</t>
  </si>
  <si>
    <t>ללא נתונים</t>
  </si>
  <si>
    <t>סכום נכסים</t>
  </si>
  <si>
    <t/>
  </si>
  <si>
    <t>לא סחיר מניות מבכ ויהש</t>
  </si>
  <si>
    <t>מניות מבכ ויהש</t>
  </si>
  <si>
    <t>520028390_gm_p_0224.xlsx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</si>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</sst>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00##%"/>
    <numFmt numFmtId="167" formatCode="0.0000%"/>
  </numFmts>
  <fonts count="3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9"/>
      <color indexed="8"/>
      <name val="Arial"/>
      <family val="2"/>
    </font>
    <font>
      <sz val="12"/>
      <color theme="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30" fillId="0" borderId="0" applyNumberForma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14" fillId="0" borderId="8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9" xfId="1" applyFont="1" applyFill="1" applyBorder="1" applyAlignment="1" applyProtection="1">
      <alignment horizontal="right" vertical="center" wrapText="1"/>
      <protection locked="0"/>
    </xf>
    <xf numFmtId="0" fontId="12" fillId="5" borderId="9" xfId="1" applyFont="1" applyFill="1" applyBorder="1" applyAlignment="1">
      <alignment horizontal="right" vertical="center" wrapText="1"/>
    </xf>
    <xf numFmtId="0" fontId="12" fillId="5" borderId="9" xfId="1" applyFont="1" applyFill="1" applyBorder="1" applyAlignment="1" applyProtection="1">
      <alignment horizontal="left" vertical="center" wrapText="1" indent="1"/>
      <protection locked="0"/>
    </xf>
    <xf numFmtId="0" fontId="12" fillId="5" borderId="9" xfId="1" applyFont="1" applyFill="1" applyBorder="1" applyAlignment="1" applyProtection="1">
      <alignment vertical="center" wrapText="1"/>
      <protection locked="0"/>
    </xf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4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0" borderId="15" xfId="0" applyBorder="1" applyAlignment="1">
      <alignment horizontal="right" vertical="top"/>
    </xf>
    <xf numFmtId="0" fontId="0" fillId="0" borderId="16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18" fillId="0" borderId="0" xfId="0" applyFont="1"/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0" fontId="19" fillId="3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0" fillId="0" borderId="0" xfId="0" applyNumberFormat="1" applyFont="1"/>
    <xf numFmtId="0" fontId="27" fillId="7" borderId="17" xfId="0" applyFont="1" applyFill="1" applyBorder="1" applyAlignment="1">
      <alignment horizontal="right"/>
    </xf>
    <xf numFmtId="0" fontId="27" fillId="7" borderId="18" xfId="0" applyFont="1" applyFill="1" applyBorder="1" applyAlignment="1">
      <alignment horizontal="right"/>
    </xf>
    <xf numFmtId="164" fontId="0" fillId="0" borderId="0" xfId="0" applyNumberFormat="1"/>
    <xf numFmtId="0" fontId="0" fillId="0" borderId="17" xfId="0" applyFont="1" applyBorder="1" applyAlignment="1">
      <alignment horizontal="right"/>
    </xf>
    <xf numFmtId="0" fontId="29" fillId="5" borderId="0" xfId="0" applyFont="1" applyFill="1"/>
    <xf numFmtId="0" fontId="12" fillId="5" borderId="17" xfId="1" applyNumberFormat="1" applyFont="1" applyFill="1" applyBorder="1" applyAlignment="1">
      <alignment horizontal="right" vertical="center" wrapText="1" indent="1"/>
    </xf>
    <xf numFmtId="0" fontId="0" fillId="0" borderId="17" xfId="0" applyFont="1" applyBorder="1" applyAlignment="1">
      <alignment horizontal="right" vertical="top"/>
    </xf>
    <xf numFmtId="0" fontId="0" fillId="0" borderId="20" xfId="0" applyFont="1" applyBorder="1" applyAlignment="1">
      <alignment horizontal="right"/>
    </xf>
    <xf numFmtId="0" fontId="12" fillId="5" borderId="9" xfId="1" quotePrefix="1" applyFont="1" applyFill="1" applyBorder="1" applyAlignment="1" applyProtection="1">
      <alignment horizontal="right" vertical="center" wrapText="1"/>
      <protection locked="0"/>
    </xf>
    <xf numFmtId="0" fontId="30" fillId="0" borderId="18" xfId="3" applyBorder="1" applyAlignment="1">
      <alignment horizontal="right"/>
    </xf>
    <xf numFmtId="0" fontId="30" fillId="0" borderId="21" xfId="3" applyBorder="1" applyAlignment="1">
      <alignment horizontal="right"/>
    </xf>
    <xf numFmtId="0" fontId="8" fillId="0" borderId="10" xfId="0" applyFont="1" applyBorder="1"/>
    <xf numFmtId="0" fontId="7" fillId="3" borderId="10" xfId="0" applyFont="1" applyFill="1" applyBorder="1" applyAlignment="1">
      <alignment horizontal="right" vertical="center" wrapText="1"/>
    </xf>
    <xf numFmtId="0" fontId="31" fillId="5" borderId="19" xfId="0" applyFont="1" applyFill="1" applyBorder="1" applyAlignment="1">
      <alignment vertical="center"/>
    </xf>
    <xf numFmtId="0" fontId="8" fillId="0" borderId="22" xfId="0" applyFont="1" applyBorder="1"/>
    <xf numFmtId="0" fontId="32" fillId="5" borderId="19" xfId="0" applyFont="1" applyFill="1" applyBorder="1" applyAlignment="1">
      <alignment horizontal="center" vertical="center" wrapText="1"/>
    </xf>
    <xf numFmtId="0" fontId="33" fillId="5" borderId="19" xfId="0" applyFont="1" applyFill="1" applyBorder="1" applyAlignment="1">
      <alignment horizontal="center" vertical="center" wrapText="1"/>
    </xf>
    <xf numFmtId="0" fontId="33" fillId="5" borderId="19" xfId="0" applyFont="1" applyFill="1" applyBorder="1" applyAlignment="1">
      <alignment horizontal="right" vertical="center"/>
    </xf>
    <xf numFmtId="0" fontId="33" fillId="5" borderId="19" xfId="0" applyFont="1" applyFill="1" applyBorder="1" applyAlignment="1">
      <alignment horizontal="center" vertical="center"/>
    </xf>
    <xf numFmtId="0" fontId="33" fillId="5" borderId="26" xfId="0" applyFont="1" applyFill="1" applyBorder="1" applyAlignment="1">
      <alignment horizontal="center" vertical="center" wrapText="1"/>
    </xf>
    <xf numFmtId="0" fontId="33" fillId="5" borderId="27" xfId="0" applyFont="1" applyFill="1" applyBorder="1" applyAlignment="1">
      <alignment horizontal="center" vertical="center" wrapText="1"/>
    </xf>
    <xf numFmtId="0" fontId="33" fillId="5" borderId="2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19" xfId="0" applyBorder="1"/>
    <xf numFmtId="164" fontId="0" fillId="0" borderId="19" xfId="0" applyNumberFormat="1" applyBorder="1"/>
    <xf numFmtId="0" fontId="29" fillId="5" borderId="19" xfId="0" applyFont="1" applyFill="1" applyBorder="1"/>
    <xf numFmtId="166" fontId="0" fillId="0" borderId="19" xfId="0" applyNumberFormat="1" applyFont="1" applyBorder="1"/>
    <xf numFmtId="166" fontId="0" fillId="0" borderId="24" xfId="0" applyNumberFormat="1" applyFont="1" applyBorder="1"/>
    <xf numFmtId="0" fontId="0" fillId="0" borderId="29" xfId="0" applyBorder="1"/>
    <xf numFmtId="0" fontId="0" fillId="0" borderId="30" xfId="0" applyBorder="1"/>
    <xf numFmtId="164" fontId="0" fillId="0" borderId="30" xfId="0" applyNumberFormat="1" applyBorder="1"/>
    <xf numFmtId="0" fontId="29" fillId="5" borderId="30" xfId="0" applyFont="1" applyFill="1" applyBorder="1"/>
    <xf numFmtId="166" fontId="0" fillId="0" borderId="30" xfId="0" applyNumberFormat="1" applyFont="1" applyBorder="1"/>
    <xf numFmtId="166" fontId="0" fillId="0" borderId="23" xfId="0" applyNumberFormat="1" applyFont="1" applyBorder="1"/>
    <xf numFmtId="0" fontId="28" fillId="0" borderId="25" xfId="0" applyNumberFormat="1" applyFont="1" applyFill="1" applyBorder="1" applyAlignment="1"/>
    <xf numFmtId="0" fontId="28" fillId="0" borderId="19" xfId="0" applyNumberFormat="1" applyFont="1" applyFill="1" applyBorder="1" applyAlignment="1"/>
    <xf numFmtId="0" fontId="29" fillId="5" borderId="24" xfId="0" applyFont="1" applyFill="1" applyBorder="1"/>
    <xf numFmtId="0" fontId="28" fillId="0" borderId="29" xfId="0" applyNumberFormat="1" applyFont="1" applyFill="1" applyBorder="1" applyAlignment="1"/>
    <xf numFmtId="0" fontId="28" fillId="0" borderId="30" xfId="0" applyNumberFormat="1" applyFont="1" applyFill="1" applyBorder="1" applyAlignment="1"/>
    <xf numFmtId="0" fontId="29" fillId="5" borderId="23" xfId="0" applyFont="1" applyFill="1" applyBorder="1"/>
    <xf numFmtId="14" fontId="2" fillId="0" borderId="19" xfId="0" applyNumberFormat="1" applyFont="1" applyBorder="1"/>
    <xf numFmtId="14" fontId="2" fillId="0" borderId="19" xfId="0" applyNumberFormat="1" applyFont="1" applyBorder="1" applyProtection="1">
      <protection locked="0"/>
    </xf>
    <xf numFmtId="14" fontId="0" fillId="0" borderId="19" xfId="0" applyNumberFormat="1" applyBorder="1"/>
    <xf numFmtId="14" fontId="5" fillId="0" borderId="19" xfId="0" applyNumberFormat="1" applyFont="1" applyBorder="1"/>
    <xf numFmtId="0" fontId="33" fillId="5" borderId="27" xfId="0" applyFont="1" applyFill="1" applyBorder="1" applyAlignment="1">
      <alignment horizontal="center" vertical="center" wrapText="1" readingOrder="2"/>
    </xf>
    <xf numFmtId="0" fontId="2" fillId="0" borderId="19" xfId="0" applyFont="1" applyBorder="1" applyProtection="1">
      <protection locked="0"/>
    </xf>
    <xf numFmtId="167" fontId="0" fillId="0" borderId="19" xfId="0" applyNumberFormat="1" applyBorder="1"/>
    <xf numFmtId="167" fontId="2" fillId="0" borderId="19" xfId="0" applyNumberFormat="1" applyFont="1" applyBorder="1" applyProtection="1">
      <protection locked="0"/>
    </xf>
    <xf numFmtId="167" fontId="2" fillId="0" borderId="19" xfId="0" applyNumberFormat="1" applyFont="1" applyBorder="1"/>
    <xf numFmtId="0" fontId="2" fillId="0" borderId="19" xfId="0" applyFont="1" applyBorder="1"/>
    <xf numFmtId="0" fontId="5" fillId="0" borderId="19" xfId="0" applyFont="1" applyBorder="1"/>
    <xf numFmtId="167" fontId="5" fillId="0" borderId="19" xfId="0" applyNumberFormat="1" applyFont="1" applyBorder="1"/>
    <xf numFmtId="14" fontId="0" fillId="0" borderId="24" xfId="0" applyNumberFormat="1" applyBorder="1"/>
    <xf numFmtId="14" fontId="2" fillId="0" borderId="24" xfId="0" applyNumberFormat="1" applyFont="1" applyBorder="1"/>
    <xf numFmtId="14" fontId="5" fillId="0" borderId="24" xfId="0" applyNumberFormat="1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4" fillId="0" borderId="0" xfId="0" applyFont="1"/>
    <xf numFmtId="0" fontId="35" fillId="0" borderId="0" xfId="0" applyFont="1"/>
    <xf numFmtId="0" fontId="35" fillId="0" borderId="0" xfId="0" applyFont="1" applyAlignment="1">
      <alignment vertical="center" wrapText="1"/>
    </xf>
    <xf numFmtId="0" fontId="36" fillId="0" borderId="0" xfId="0" applyFont="1"/>
    <xf numFmtId="0" fontId="36" fillId="0" borderId="0" xfId="0" applyFont="1" applyProtection="1">
      <protection locked="0"/>
    </xf>
    <xf numFmtId="0" fontId="35" fillId="0" borderId="0" xfId="0" applyFont="1" applyProtection="1">
      <protection locked="0"/>
    </xf>
    <xf numFmtId="0" fontId="23" fillId="0" borderId="0" xfId="0" applyFont="1"/>
  </cellXfs>
  <cellStyles count="4">
    <cellStyle name="Normal" xfId="0" builtinId="0"/>
    <cellStyle name="Normal 3" xfId="1"/>
    <cellStyle name="Normal 9" xfId="2"/>
    <cellStyle name="היפר-קישור" xfId="3" builtinId="8"/>
  </cellStyles>
  <dxfs count="9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theme="0"/>
      </font>
      <numFmt numFmtId="164" formatCode="0.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left style="hair">
          <color theme="1"/>
        </left>
        <top style="hair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border outline="0">
        <bottom style="hair">
          <color theme="1"/>
        </bottom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2" headerRowBorderDxfId="913" tableBorderDxfId="911">
  <autoFilter ref="A2:E33"/>
  <tableColumns count="5">
    <tableColumn id="1" name="עמודה1" dataDxfId="910"/>
    <tableColumn id="2" name="עמודה2" dataDxfId="909"/>
    <tableColumn id="3" name="ידווח בקבצי נכסי הנוסטרו בלבד" dataDxfId="908"/>
    <tableColumn id="4" name="עמודה3" dataDxfId="907"/>
    <tableColumn id="5" name="עמודה4" dataDxfId="90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9" totalsRowShown="0" headerRowDxfId="905" headerRowBorderDxfId="904" tableBorderDxfId="903" totalsRowBorderDxfId="902">
  <autoFilter ref="A2:Q29"/>
  <tableColumns count="17">
    <tableColumn id="1" name="מספר קופה/קרן/ח.פ. עבור חברת ביטוח" dataDxfId="901"/>
    <tableColumn id="2" name="מספר מסלול" dataDxfId="900"/>
    <tableColumn id="3" name="שם הבנק" dataDxfId="899"/>
    <tableColumn id="4" name="מספר מזהה בנק" dataDxfId="898"/>
    <tableColumn id="5" name="סוג מספר מזהה בנק" dataDxfId="897"/>
    <tableColumn id="6" name="מאפיין עיקרי" dataDxfId="896"/>
    <tableColumn id="7" name="ישראל/חו&quot;ל" dataDxfId="895"/>
    <tableColumn id="8" name="בעל עניין/צד קשור" dataDxfId="894"/>
    <tableColumn id="9" name="דירוג הבנק" dataDxfId="893"/>
    <tableColumn id="10" name="שם מדרג" dataDxfId="892"/>
    <tableColumn id="11" name="מטבע פעילות" dataDxfId="891"/>
    <tableColumn id="12" name="שווי מטבעי" dataDxfId="890"/>
    <tableColumn id="13" name="שער חליפין" dataDxfId="889"/>
    <tableColumn id="14" name="שיעור ריבית" dataDxfId="888"/>
    <tableColumn id="15" name="שווי הוגן (באלפי ש&quot;ח)" dataDxfId="887"/>
    <tableColumn id="16" name="שיעור מנכסי אפיק ההשקעה" dataDxfId="886"/>
    <tableColumn id="17" name="שיעור מסך נכסי ההשקעה" dataDxfId="88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27" totalsRowShown="0" headerRowDxfId="884" dataDxfId="882" headerRowBorderDxfId="883" tableBorderDxfId="881" totalsRowBorderDxfId="880">
  <autoFilter ref="A2:Z127"/>
  <tableColumns count="26">
    <tableColumn id="1" name="מספר קופה/קרן/ח.פ. עבור חברת ביטוח" dataDxfId="879"/>
    <tableColumn id="2" name="מספר מסלול" dataDxfId="878"/>
    <tableColumn id="3" name="שם מנפיק" dataDxfId="877"/>
    <tableColumn id="4" name="שם נייר ערך" dataDxfId="876"/>
    <tableColumn id="5" name="מספר נייר ערך" dataDxfId="875"/>
    <tableColumn id="6" name="מאפיין עיקרי" dataDxfId="874"/>
    <tableColumn id="7" name="ישראל/חו&quot;ל" dataDxfId="873"/>
    <tableColumn id="8" name="מדינה לפי חשיפה כלכלית" dataDxfId="872"/>
    <tableColumn id="9" name="זירת מסחר" dataDxfId="871"/>
    <tableColumn id="10" name="דירוג" dataDxfId="870"/>
    <tableColumn id="11" name="שם מדרג" dataDxfId="869"/>
    <tableColumn id="12" name="מטבע פעילות" dataDxfId="868"/>
    <tableColumn id="13" name="מח&quot;מ" dataDxfId="867"/>
    <tableColumn id="14" name="מועד פדיון" dataDxfId="866"/>
    <tableColumn id="15" name="שיעור ריבית" dataDxfId="865"/>
    <tableColumn id="16" name="תשואה לפדיון" dataDxfId="864"/>
    <tableColumn id="17" name="סכום לקבל (במטבע הפעילות)" dataDxfId="863"/>
    <tableColumn id="18" name="ערך נקוב (יחידות)" dataDxfId="862"/>
    <tableColumn id="19" name="שער חליפין" dataDxfId="861"/>
    <tableColumn id="20" name="שער נייר הערך" dataDxfId="860"/>
    <tableColumn id="21" name="שווי הוגן (באלפי ש&quot;ח)" dataDxfId="859"/>
    <tableColumn id="22" name="עלות מופחתת (באלפי ש&quot;ח)" dataDxfId="858"/>
    <tableColumn id="23" name="השיטה שיושמה בדוח הכספי" dataDxfId="857"/>
    <tableColumn id="24" name="שיעור מערך נקוב מונפק" dataDxfId="856"/>
    <tableColumn id="25" name="שיעור מנכסי אפיק ההשקעה" dataDxfId="855"/>
    <tableColumn id="26" name="שיעור מסך נכסי ההשקעה" dataDxfId="85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53" dataDxfId="851" headerRowBorderDxfId="852" tableBorderDxfId="850" totalsRowBorderDxfId="849">
  <autoFilter ref="A2:AJ8"/>
  <tableColumns count="36">
    <tableColumn id="1" name="מספר קופה/קרן/ח.פ. עבור חברת ביטוח" dataDxfId="848"/>
    <tableColumn id="2" name="מספר מסלול" dataDxfId="847"/>
    <tableColumn id="3" name="שם מנפיק" dataDxfId="846"/>
    <tableColumn id="4" name="מספר מנפיק" dataDxfId="845"/>
    <tableColumn id="5" name="סוג מספר מזהה מנפיק" dataDxfId="844"/>
    <tableColumn id="6" name="שם נייר ערך" dataDxfId="843"/>
    <tableColumn id="7" name="מספר נייר ערך" dataDxfId="842"/>
    <tableColumn id="8" name="סוג מספר נייר ערך" dataDxfId="841"/>
    <tableColumn id="9" name="מאפיין עיקרי" dataDxfId="840"/>
    <tableColumn id="10" name="ישראל/חו&quot;ל" dataDxfId="839"/>
    <tableColumn id="11" name="מדינה לפי חשיפה כלכלית" dataDxfId="838"/>
    <tableColumn id="12" name="זירת מסחר" dataDxfId="837"/>
    <tableColumn id="13" name="ענף מסחר" dataDxfId="836"/>
    <tableColumn id="14" name="בעל עניין/צד קשור" dataDxfId="835"/>
    <tableColumn id="15" name="דירוג" dataDxfId="834"/>
    <tableColumn id="16" name="שם מדרג" dataDxfId="833"/>
    <tableColumn id="17" name="דירוג נייר הערך/המנפיק" dataDxfId="832"/>
    <tableColumn id="18" name="מטבע פעילות" dataDxfId="831"/>
    <tableColumn id="19" name="מח&quot;מ" dataDxfId="830"/>
    <tableColumn id="20" name="ריבית עוגן" dataDxfId="829"/>
    <tableColumn id="21" name="מועד פדיון" dataDxfId="828"/>
    <tableColumn id="22" name="שיעור ריבית" dataDxfId="827"/>
    <tableColumn id="23" name="תשואה לפדיון" dataDxfId="826"/>
    <tableColumn id="24" name="נחיתות חוזית" dataDxfId="825"/>
    <tableColumn id="25" name="האם סווג כחוב בעייתי" dataDxfId="824"/>
    <tableColumn id="26" name="ערך נקוב (יחידות)" dataDxfId="823"/>
    <tableColumn id="27" name="שער חליפין" dataDxfId="822"/>
    <tableColumn id="28" name="שער נייר הערך" dataDxfId="821"/>
    <tableColumn id="29" name="סכום לקבל (במטבע הפעילות)" dataDxfId="820"/>
    <tableColumn id="30" name="שווי הוגן (באלפי ש&quot;ח)" dataDxfId="819"/>
    <tableColumn id="31" name="עלות מופחתת (באלפי ש&quot;ח)" dataDxfId="818"/>
    <tableColumn id="32" name="עלות מופחתת (במטבע הפעילות)" dataDxfId="817"/>
    <tableColumn id="33" name="השיטה שיושמה בדוח הכספי" dataDxfId="816"/>
    <tableColumn id="34" name="שיעור מערך נקוב מונפק" dataDxfId="815"/>
    <tableColumn id="35" name="שיעור מנכסי אפיק ההשקעה" dataDxfId="814"/>
    <tableColumn id="36" name="שיעור מסך נכסי ההשקעה" dataDxfId="81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502" totalsRowShown="0" headerRowDxfId="812" dataDxfId="810" headerRowBorderDxfId="811" tableBorderDxfId="809" totalsRowBorderDxfId="808">
  <autoFilter ref="A2:AJ502"/>
  <tableColumns count="36">
    <tableColumn id="1" name="מספר קופה/קרן/ח.פ. עבור חברת ביטוח" dataDxfId="807"/>
    <tableColumn id="2" name="מספר מסלול" dataDxfId="806"/>
    <tableColumn id="3" name="שם מנפיק" dataDxfId="805"/>
    <tableColumn id="4" name="מספר מנפיק" dataDxfId="804"/>
    <tableColumn id="5" name="סוג מספר מזהה מנפיק" dataDxfId="803"/>
    <tableColumn id="6" name="שם נייר ערך" dataDxfId="802"/>
    <tableColumn id="7" name="מספר נייר ערך" dataDxfId="801"/>
    <tableColumn id="8" name="סוג מספר נייר ערך" dataDxfId="800"/>
    <tableColumn id="9" name="מאפיין עיקרי" dataDxfId="799"/>
    <tableColumn id="10" name="ישראל/חו&quot;ל" dataDxfId="798"/>
    <tableColumn id="11" name="מדינה לפי חשיפה כלכלית" dataDxfId="797"/>
    <tableColumn id="12" name="סטאטוס סחירות" dataDxfId="796"/>
    <tableColumn id="13" name="זירת מסחר" dataDxfId="795"/>
    <tableColumn id="14" name="ענף מסחר" dataDxfId="794"/>
    <tableColumn id="15" name="בעל עניין/צד קשור" dataDxfId="793"/>
    <tableColumn id="16" name="דירוג" dataDxfId="792"/>
    <tableColumn id="17" name="שם מדרג" dataDxfId="791"/>
    <tableColumn id="18" name="דירוג נייר הערך/המנפיק" dataDxfId="790"/>
    <tableColumn id="19" name="מטבע פעילות" dataDxfId="789"/>
    <tableColumn id="20" name="מח&quot;מ" dataDxfId="788"/>
    <tableColumn id="21" name="מועד פדיון" dataDxfId="787"/>
    <tableColumn id="22" name="שיעור ריבית" dataDxfId="786"/>
    <tableColumn id="23" name="תשואה לפדיון" dataDxfId="785"/>
    <tableColumn id="24" name="נחיתות חוזית" dataDxfId="784"/>
    <tableColumn id="25" name="האם סווג כחוב בעייתי" dataDxfId="783"/>
    <tableColumn id="26" name="ערך נקוב (יחידות)" dataDxfId="782"/>
    <tableColumn id="27" name="שער חליפין" dataDxfId="781"/>
    <tableColumn id="28" name="שער נייר הערך" dataDxfId="780"/>
    <tableColumn id="29" name="סכום לקבל (במטבע הפעילות)" dataDxfId="779"/>
    <tableColumn id="30" name="שווי הוגן (באלפי ש&quot;ח)" dataDxfId="778"/>
    <tableColumn id="31" name="עלות מופחתת (באלפי ש&quot;ח)" dataDxfId="777"/>
    <tableColumn id="32" name="עלות מופחתת (במטבע הפעילות)" dataDxfId="776"/>
    <tableColumn id="33" name="השיטה שיושמה בדוח הכספי" dataDxfId="775"/>
    <tableColumn id="34" name="שיעור מערך נקוב מונפק" dataDxfId="774"/>
    <tableColumn id="35" name="שיעור מנכסי אפיק ההשקעה" dataDxfId="773"/>
    <tableColumn id="36" name="שיעור מסך נכסי ההשקעה" dataDxfId="77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70" totalsRowShown="0" headerRowDxfId="771" dataDxfId="769" headerRowBorderDxfId="770" tableBorderDxfId="768" totalsRowBorderDxfId="767">
  <autoFilter ref="A2:X270"/>
  <tableColumns count="24">
    <tableColumn id="1" name="מספר קופה/קרן/ח.פ. עבור חברת ביטוח" dataDxfId="766"/>
    <tableColumn id="2" name="מספר מסלול" dataDxfId="765"/>
    <tableColumn id="3" name="שם מנפיק" dataDxfId="764"/>
    <tableColumn id="4" name="מספר מנפיק" dataDxfId="763"/>
    <tableColumn id="5" name="סוג מספר מזהה מנפיק" dataDxfId="762"/>
    <tableColumn id="6" name="שם נייר ערך" dataDxfId="761"/>
    <tableColumn id="7" name="מספר נייר ערך" dataDxfId="760"/>
    <tableColumn id="8" name="סוג מספר נייר ערך" dataDxfId="759"/>
    <tableColumn id="9" name="מאפיין עיקרי" dataDxfId="758"/>
    <tableColumn id="10" name="ישראל/חו&quot;ל" dataDxfId="757"/>
    <tableColumn id="11" name="מדינה לפי חשיפה כלכלית" dataDxfId="756"/>
    <tableColumn id="12" name="סטאטוס סחירות" dataDxfId="755"/>
    <tableColumn id="13" name="זירת מסחר" dataDxfId="754"/>
    <tableColumn id="14" name="ענף מסחר" dataDxfId="753"/>
    <tableColumn id="15" name="בעל עניין/צד קשור" dataDxfId="752"/>
    <tableColumn id="16" name="מטבע פעילות" dataDxfId="751"/>
    <tableColumn id="17" name="ערך נקוב (יחידות)" dataDxfId="750"/>
    <tableColumn id="18" name="שער חליפין" dataDxfId="749"/>
    <tableColumn id="19" name="שער נייר הערך" dataDxfId="748"/>
    <tableColumn id="20" name="סכום לקבל (במטבע הפעילות)" dataDxfId="747"/>
    <tableColumn id="21" name="שווי הוגן (באלפי ש&quot;ח)" dataDxfId="746"/>
    <tableColumn id="22" name="שיעור מערך נקוב מונפק" dataDxfId="745"/>
    <tableColumn id="23" name="שיעור מנכסי אפיק ההשקעה" dataDxfId="744"/>
    <tableColumn id="24" name="שיעור מסך נכסי ההשקעה" dataDxfId="74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23" totalsRowShown="0" headerRowDxfId="742" dataDxfId="740" headerRowBorderDxfId="741" tableBorderDxfId="739" totalsRowBorderDxfId="738">
  <autoFilter ref="A2:W223"/>
  <tableColumns count="23">
    <tableColumn id="1" name="מספר קופה/קרן/ח.פ. עבור חברת ביטוח" dataDxfId="737"/>
    <tableColumn id="2" name="מספר מסלול" dataDxfId="736"/>
    <tableColumn id="3" name="שם מנפיק" dataDxfId="735"/>
    <tableColumn id="4" name="מספר מנפיק" dataDxfId="734"/>
    <tableColumn id="5" name="סוג מספר מזהה מנפיק" dataDxfId="733"/>
    <tableColumn id="6" name="שם נייר ערך" dataDxfId="732"/>
    <tableColumn id="7" name="מספר נייר ערך" dataDxfId="731"/>
    <tableColumn id="8" name="סוג מספר נייר ערך" dataDxfId="730"/>
    <tableColumn id="9" name="מאפיין עיקרי" dataDxfId="729"/>
    <tableColumn id="10" name="ישראל/חו&quot;ל" dataDxfId="728"/>
    <tableColumn id="11" name="מדינה לפי חשיפה כלכלית" dataDxfId="727"/>
    <tableColumn id="12" name="זירת מסחר" dataDxfId="726"/>
    <tableColumn id="13" name="סיווג הקרן" dataDxfId="725"/>
    <tableColumn id="14" name="בעל עניין/צד קשור" dataDxfId="724"/>
    <tableColumn id="15" name="מטבע פעילות" dataDxfId="723"/>
    <tableColumn id="16" name="ערך נקוב (יחידות)" dataDxfId="722"/>
    <tableColumn id="17" name="שער חליפין" dataDxfId="721"/>
    <tableColumn id="18" name="שער נייר הערך" dataDxfId="720"/>
    <tableColumn id="19" name="סכום לקבל (במטבע הפעילות)" dataDxfId="719"/>
    <tableColumn id="20" name="שווי הוגן (באלפי ש&quot;ח)" dataDxfId="718"/>
    <tableColumn id="21" name="שיעור מערך נקוב מונפק" dataDxfId="717"/>
    <tableColumn id="22" name="שיעור מנכסי אפיק ההשקעה" dataDxfId="716"/>
    <tableColumn id="23" name="שיעור מסך נכסי ההשקעה" dataDxfId="71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40" totalsRowShown="0" headerRowDxfId="714" dataDxfId="712" headerRowBorderDxfId="713" tableBorderDxfId="711" totalsRowBorderDxfId="710">
  <autoFilter ref="A2:W40"/>
  <tableColumns count="23">
    <tableColumn id="1" name="מספר קופה/קרן/ח.פ. עבור חברת ביטוח" dataDxfId="709"/>
    <tableColumn id="2" name="מספר מסלול" dataDxfId="708"/>
    <tableColumn id="3" name="שם מנפיק" dataDxfId="707"/>
    <tableColumn id="4" name="מספר מנפיק" dataDxfId="706"/>
    <tableColumn id="5" name="סוג מספר מזהה מנפיק" dataDxfId="705"/>
    <tableColumn id="6" name="שם נייר ערך " dataDxfId="704"/>
    <tableColumn id="7" name="מספר נייר ערך" dataDxfId="703"/>
    <tableColumn id="8" name="סוג מספר נייר ערך" dataDxfId="702"/>
    <tableColumn id="9" name="מאפיין עיקרי" dataDxfId="701"/>
    <tableColumn id="10" name="ישראל/חו&quot;ל" dataDxfId="700"/>
    <tableColumn id="11" name="מדינה לפי חשיפה כלכלית" dataDxfId="699"/>
    <tableColumn id="12" name="סטאטוס סחירות" dataDxfId="698"/>
    <tableColumn id="13" name="זירת מסחר" dataDxfId="697"/>
    <tableColumn id="14" name="סיווג הקרן" dataDxfId="696"/>
    <tableColumn id="15" name="בעל עניין/צד קשור" dataDxfId="695"/>
    <tableColumn id="16" name="מטבע פעילות" dataDxfId="694"/>
    <tableColumn id="17" name="ערך נקוב (יחידות)" dataDxfId="693"/>
    <tableColumn id="18" name="שער חליפין" dataDxfId="692"/>
    <tableColumn id="19" name="שער נייר הערך" dataDxfId="691"/>
    <tableColumn id="20" name="שווי הוגן (באלפי ש&quot;ח)" dataDxfId="690"/>
    <tableColumn id="21" name="שיעור מערך נקוב מונפק" dataDxfId="689"/>
    <tableColumn id="22" name="שיעור מנכסי אפיק ההשקעה" dataDxfId="688"/>
    <tableColumn id="23" name="שיעור מסך נכסי ההשקעה" dataDxfId="687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0" totalsRowShown="0" headerRowDxfId="686" dataDxfId="684" headerRowBorderDxfId="685" tableBorderDxfId="683" totalsRowBorderDxfId="682">
  <autoFilter ref="A2:Y10"/>
  <tableColumns count="25">
    <tableColumn id="1" name="מספר קופה/קרן/ח.פ. עבור חברת ביטוח" dataDxfId="681"/>
    <tableColumn id="2" name="מספר מסלול" dataDxfId="680"/>
    <tableColumn id="3" name="שם מנפיק" dataDxfId="679"/>
    <tableColumn id="4" name="מספר מנפיק" dataDxfId="678"/>
    <tableColumn id="5" name="סוג מספר מזהה מנפיק" dataDxfId="677"/>
    <tableColumn id="6" name="שם נייר ערך" dataDxfId="676"/>
    <tableColumn id="7" name="מספר נייר ערך" dataDxfId="675"/>
    <tableColumn id="8" name="סוג מספר נייר ערך" dataDxfId="674"/>
    <tableColumn id="9" name="ישראל/חו&quot;ל" dataDxfId="673"/>
    <tableColumn id="10" name="מדינה לפי חשיפה כלכלית" dataDxfId="672"/>
    <tableColumn id="11" name="סטאטוס סחירות" dataDxfId="671"/>
    <tableColumn id="12" name="זירת מסחר" dataDxfId="670"/>
    <tableColumn id="13" name="נכס בסיס (כתב אופציה)" dataDxfId="669"/>
    <tableColumn id="14" name="ענף מסחר" dataDxfId="668"/>
    <tableColumn id="15" name="תאריך פקיעה" dataDxfId="667"/>
    <tableColumn id="16" name="בעל עניין/צד קשור" dataDxfId="666"/>
    <tableColumn id="17" name="מטבע פעילות" dataDxfId="665"/>
    <tableColumn id="18" name="שער מימוש" dataDxfId="664"/>
    <tableColumn id="19" name="יחס המרה" dataDxfId="663"/>
    <tableColumn id="20" name="ערך נקוב (יחידות)" dataDxfId="662"/>
    <tableColumn id="21" name="שער חליפין" dataDxfId="661"/>
    <tableColumn id="22" name="שער נייר הערך" dataDxfId="660"/>
    <tableColumn id="23" name="שווי הוגן (באלפי ש&quot;ח)" dataDxfId="659"/>
    <tableColumn id="24" name="שיעור מנכסי אפיק ההשקעה" dataDxfId="658"/>
    <tableColumn id="25" name="שיעור מסך נכסי ההשקעה" dataDxfId="65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56" dataDxfId="654" headerRowBorderDxfId="655" tableBorderDxfId="653" totalsRowBorderDxfId="652">
  <autoFilter ref="A2:X10"/>
  <tableColumns count="24">
    <tableColumn id="1" name="מספר קופה/קרן/ח.פ. עבור חברת ביטוח" dataDxfId="651"/>
    <tableColumn id="2" name="מספר מסלול" dataDxfId="650"/>
    <tableColumn id="3" name="שם מנפיק" dataDxfId="649"/>
    <tableColumn id="4" name="מספר מנפיק" dataDxfId="648"/>
    <tableColumn id="5" name="סוג מספר מזהה מנפיק" dataDxfId="647"/>
    <tableColumn id="6" name="שם נייר ערך" dataDxfId="646"/>
    <tableColumn id="7" name="מספר נייר ערך" dataDxfId="645"/>
    <tableColumn id="8" name="סוג מספר נייר ערך" dataDxfId="644"/>
    <tableColumn id="9" name="מאפיין עיקרי" dataDxfId="643"/>
    <tableColumn id="10" name="ישראל/חו&quot;ל" dataDxfId="642"/>
    <tableColumn id="11" name="מדינה לפי חשיפה כלכלית" dataDxfId="641"/>
    <tableColumn id="12" name="זירת מסחר" dataDxfId="640"/>
    <tableColumn id="13" name="ענף מסחר" dataDxfId="639"/>
    <tableColumn id="14" name="נכס בסיס" dataDxfId="638"/>
    <tableColumn id="15" name="תאריך פקיעה" dataDxfId="637"/>
    <tableColumn id="16" name="בעל עניין/צד קשור" dataDxfId="636"/>
    <tableColumn id="17" name="מטבע פעילות" dataDxfId="635"/>
    <tableColumn id="18" name="שער מימוש" dataDxfId="634"/>
    <tableColumn id="19" name="ערך נקוב (יחידות)" dataDxfId="633"/>
    <tableColumn id="20" name="שער חליפין" dataDxfId="632"/>
    <tableColumn id="21" name="שער נייר הערך" dataDxfId="631"/>
    <tableColumn id="22" name="שווי הוגן (באלפי ש&quot;ח)" dataDxfId="630"/>
    <tableColumn id="23" name="שיעור מנכסי אפיק ההשקעה" dataDxfId="629"/>
    <tableColumn id="24" name="שיעור מסך נכסי ההשקעה" dataDxfId="628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4" totalsRowShown="0" headerRowDxfId="627" dataDxfId="625" headerRowBorderDxfId="626" tableBorderDxfId="624" totalsRowBorderDxfId="623">
  <autoFilter ref="A2:T14"/>
  <tableColumns count="20">
    <tableColumn id="1" name="מספר קופה/קרן/ח.פ. עבור חברת ביטוח" dataDxfId="622"/>
    <tableColumn id="2" name="מספר מסלול" dataDxfId="621"/>
    <tableColumn id="3" name="שם מנפיק" dataDxfId="620"/>
    <tableColumn id="4" name="מספר מנפיק" dataDxfId="619"/>
    <tableColumn id="5" name="סוג מספר מזהה מנפיק" dataDxfId="618"/>
    <tableColumn id="6" name="שם נייר ערך" dataDxfId="617"/>
    <tableColumn id="7" name="מספר נייר ערך" dataDxfId="616"/>
    <tableColumn id="8" name="סוג מספר נייר ערך" dataDxfId="615"/>
    <tableColumn id="9" name="ישראל/חו&quot;ל" dataDxfId="614"/>
    <tableColumn id="10" name="מדינה לפי חשיפה כלכלית" dataDxfId="613"/>
    <tableColumn id="11" name="זירת מסחר" dataDxfId="612"/>
    <tableColumn id="12" name="נכס בסיס" dataDxfId="611"/>
    <tableColumn id="13" name="בעל עניין/צד קשור" dataDxfId="610"/>
    <tableColumn id="14" name="מטבע פעילות" dataDxfId="609"/>
    <tableColumn id="15" name="ערך נקוב (יחידות)" dataDxfId="608"/>
    <tableColumn id="16" name="שער חליפין" dataDxfId="607"/>
    <tableColumn id="17" name="שער נייר הערך" dataDxfId="606"/>
    <tableColumn id="18" name="שווי הוגן (באלפי ש&quot;ח)" dataDxfId="605"/>
    <tableColumn id="19" name="שיעור מנכסי אפיק ההשקעה" dataDxfId="604"/>
    <tableColumn id="20" name="שיעור מסך נכסי ההשקעה" dataDxfId="603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0" totalsRowShown="0" headerRowDxfId="602" headerRowBorderDxfId="601" tableBorderDxfId="600" totalsRowBorderDxfId="599">
  <autoFilter ref="A2:AB10"/>
  <tableColumns count="28">
    <tableColumn id="1" name="מספר קופה/קרן/ח.פ. עבור חברת ביטוח" dataDxfId="598"/>
    <tableColumn id="2" name="מספר מסלול" dataDxfId="597"/>
    <tableColumn id="3" name="שם מנפיק" dataDxfId="596"/>
    <tableColumn id="4" name="מספר מנפיק" dataDxfId="595"/>
    <tableColumn id="5" name="סוג מספר מזהה מנפיק" dataDxfId="594"/>
    <tableColumn id="6" name="שם נייר ערך" dataDxfId="593"/>
    <tableColumn id="7" name="מספר נייר ערך" dataDxfId="592"/>
    <tableColumn id="8" name="סוג מספר נייר ערך" dataDxfId="591"/>
    <tableColumn id="9" name="מאפיין עיקרי" dataDxfId="590"/>
    <tableColumn id="10" name="ישראל/חו&quot;ל" dataDxfId="589"/>
    <tableColumn id="11" name="מדינה לפי חשיפה כלכלית" dataDxfId="588"/>
    <tableColumn id="12" name="סטאטוס סחירות" dataDxfId="587"/>
    <tableColumn id="13" name="זירת מסחר" dataDxfId="586"/>
    <tableColumn id="14" name="נכס בסיס" dataDxfId="585"/>
    <tableColumn id="15" name="בעל עניין/צד קשור" dataDxfId="584"/>
    <tableColumn id="16" name="מח&quot;מ" dataDxfId="583"/>
    <tableColumn id="17" name="שיעור ריבית" dataDxfId="582"/>
    <tableColumn id="18" name="תשואה לפדיון" dataDxfId="581"/>
    <tableColumn id="19" name="דירוג" dataDxfId="580"/>
    <tableColumn id="20" name="שם מדרג" dataDxfId="579"/>
    <tableColumn id="21" name="דירוג נייר הערך/המנפיק" dataDxfId="578"/>
    <tableColumn id="22" name="מטבע פעילות" dataDxfId="577"/>
    <tableColumn id="23" name="ערך נקוב (יחידות)" dataDxfId="576"/>
    <tableColumn id="24" name="שער חליפין" dataDxfId="575"/>
    <tableColumn id="25" name="שער נייר הערך" dataDxfId="574"/>
    <tableColumn id="26" name="שווי הוגן (באלפי ש&quot;ח)" dataDxfId="573"/>
    <tableColumn id="27" name="שיעור מנכסי אפיק ההשקעה" dataDxfId="572"/>
    <tableColumn id="28" name="שיעור מסך נכסי ההשקעה" dataDxfId="571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70" dataDxfId="568" headerRowBorderDxfId="569" tableBorderDxfId="567" totalsRowBorderDxfId="566">
  <autoFilter ref="A2:Y8"/>
  <tableColumns count="25">
    <tableColumn id="1" name="מספר קופה/קרן/ח.פ. עבור חברת ביטוח" dataDxfId="565"/>
    <tableColumn id="2" name="מספר מסלול" dataDxfId="564"/>
    <tableColumn id="3" name="שם מנפיק" dataDxfId="563"/>
    <tableColumn id="4" name="שם נייר ערך" dataDxfId="562"/>
    <tableColumn id="5" name="מספר נייר ערך" dataDxfId="561"/>
    <tableColumn id="6" name="סוג מספר נייר ערך" dataDxfId="560"/>
    <tableColumn id="7" name="מאפיין עיקרי" dataDxfId="559"/>
    <tableColumn id="8" name="ישראל/חו&quot;ל" dataDxfId="558"/>
    <tableColumn id="9" name="מדינה לפי חשיפה כלכלית" dataDxfId="557"/>
    <tableColumn id="10" name="תאריך רכישה" dataDxfId="556"/>
    <tableColumn id="11" name="דירוג" dataDxfId="555"/>
    <tableColumn id="12" name="שם מדרג" dataDxfId="554"/>
    <tableColumn id="13" name="מטבע פעילות" dataDxfId="553"/>
    <tableColumn id="14" name="מח&quot;מ" dataDxfId="552"/>
    <tableColumn id="15" name="מועד פדיון" dataDxfId="551"/>
    <tableColumn id="16" name="שיעור ריבית" dataDxfId="550"/>
    <tableColumn id="17" name="תשואה לפדיון" dataDxfId="549"/>
    <tableColumn id="18" name="ערך נקוב (יחידות)" dataDxfId="548"/>
    <tableColumn id="19" name="שער חליפין" dataDxfId="547"/>
    <tableColumn id="20" name="שער נייר הערך" dataDxfId="546"/>
    <tableColumn id="21" name="שווי הוגן (באלפי ש&quot;ח)" dataDxfId="545"/>
    <tableColumn id="22" name="עלות מופחתת (באלפי ש&quot;ח)" dataDxfId="544"/>
    <tableColumn id="23" name="השיטה שיושמה בדוח הכספי" dataDxfId="543"/>
    <tableColumn id="24" name="שיעור מנכסי אפיק ההשקעה" dataDxfId="542"/>
    <tableColumn id="25" name="שיעור מסך נכסי ההשקעה" dataDxfId="541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40" dataDxfId="538" headerRowBorderDxfId="539" tableBorderDxfId="537" totalsRowBorderDxfId="536">
  <autoFilter ref="A2:R8"/>
  <tableColumns count="18">
    <tableColumn id="1" name="מספר קופה/קרן/ח.פ. עבור חברת ביטוח" dataDxfId="535"/>
    <tableColumn id="2" name="מספר מסלול" dataDxfId="534"/>
    <tableColumn id="3" name="מאפיין עיקרי" dataDxfId="533"/>
    <tableColumn id="4" name="שם נייר ערך" dataDxfId="532"/>
    <tableColumn id="5" name="מספר נייר ערך" dataDxfId="531"/>
    <tableColumn id="6" name="תאריך רכישה" dataDxfId="530"/>
    <tableColumn id="7" name="מח&quot;מ" dataDxfId="529"/>
    <tableColumn id="8" name="סוג הצמדה" dataDxfId="528"/>
    <tableColumn id="9" name="מועד פדיון" dataDxfId="527"/>
    <tableColumn id="10" name="שיעור ריבית" dataDxfId="526"/>
    <tableColumn id="11" name="תשואה לפדיון" dataDxfId="525"/>
    <tableColumn id="12" name="ערך נקוב (יחידות)" dataDxfId="524"/>
    <tableColumn id="13" name="שער נייר הערך" dataDxfId="523"/>
    <tableColumn id="14" name="שווי הוגן (באלפי ש&quot;ח)" dataDxfId="522"/>
    <tableColumn id="15" name="עלות מופחתת (באלפי ש&quot;ח)" dataDxfId="521"/>
    <tableColumn id="16" name="השיטה שיושמה בדוח הכספי" dataDxfId="520"/>
    <tableColumn id="17" name="שיעור מנכסי אפיק ההשקעה" dataDxfId="519"/>
    <tableColumn id="18" name="שיעור מסך נכסי ההשקעה" dataDxfId="518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17" headerRowBorderDxfId="516" tableBorderDxfId="515" totalsRowBorderDxfId="514">
  <autoFilter ref="A2:G8"/>
  <tableColumns count="7">
    <tableColumn id="1" name="מספר קרן" dataDxfId="513"/>
    <tableColumn id="2" name="מספר מסלול" dataDxfId="512"/>
    <tableColumn id="3" name="מאפיין עיקרי" dataDxfId="511"/>
    <tableColumn id="4" name="חודש הנפקת שכבה" dataDxfId="510"/>
    <tableColumn id="5" name="חודש הבדיקה" dataDxfId="509"/>
    <tableColumn id="6" name="שווי הנכסים באפיק (באלפי ש&quot;ח)" dataDxfId="508"/>
    <tableColumn id="7" name="שיעור מסך נכסי ההשקעה" dataDxfId="507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506" headerRowBorderDxfId="505" tableBorderDxfId="504" totalsRowBorderDxfId="503">
  <autoFilter ref="A2:AN8"/>
  <tableColumns count="40">
    <tableColumn id="1" name="מספר קופה/קרן/ח.פ. עבור חברת ביטוח" dataDxfId="502"/>
    <tableColumn id="2" name="מספר מסלול" dataDxfId="501"/>
    <tableColumn id="3" name="שם מנפיק" dataDxfId="500"/>
    <tableColumn id="4" name="מספר מנפיק" dataDxfId="499"/>
    <tableColumn id="5" name="סוג מספר מזהה מנפיק" dataDxfId="498"/>
    <tableColumn id="6" name="שם נייר ערך" dataDxfId="497"/>
    <tableColumn id="7" name="מספר נייר ערך" dataDxfId="496"/>
    <tableColumn id="8" name="סוג מספר נייר ערך" dataDxfId="495"/>
    <tableColumn id="9" name="מאפיין עיקרי" dataDxfId="494"/>
    <tableColumn id="10" name="ישראל/חו&quot;ל" dataDxfId="493"/>
    <tableColumn id="11" name="מדינה לפי חשיפה כלכלית" dataDxfId="492"/>
    <tableColumn id="12" name="ענף מסחר" dataDxfId="491"/>
    <tableColumn id="13" name="בעל עניין/צד קשור" dataDxfId="490"/>
    <tableColumn id="14" name="תאריך רכישה" dataDxfId="489"/>
    <tableColumn id="15" name="דירוג" dataDxfId="488"/>
    <tableColumn id="16" name="שם מדרג" dataDxfId="487"/>
    <tableColumn id="17" name="דירוג נייר הערך/המנפיק" dataDxfId="486"/>
    <tableColumn id="18" name="מטבע פעילות" dataDxfId="485"/>
    <tableColumn id="19" name="מח&quot;מ" dataDxfId="484"/>
    <tableColumn id="20" name="סוג הצמדה" dataDxfId="483"/>
    <tableColumn id="21" name="ריבית עוגן" dataDxfId="482"/>
    <tableColumn id="22" name="מועד פדיון" dataDxfId="481"/>
    <tableColumn id="23" name="שיעור ריבית" dataDxfId="480"/>
    <tableColumn id="24" name="תשואה לפדיון" dataDxfId="479"/>
    <tableColumn id="25" name="נחיתות חוזית" dataDxfId="478"/>
    <tableColumn id="26" name="האם סווג כחוב בעייתי" dataDxfId="477"/>
    <tableColumn id="27" name="סוג גורם משערך" dataDxfId="476"/>
    <tableColumn id="28" name="תלות/אי-תלות המשערך" dataDxfId="475"/>
    <tableColumn id="29" name="שם גורם משערך" dataDxfId="474"/>
    <tableColumn id="30" name="תאריך שערוך אחרון" dataDxfId="473"/>
    <tableColumn id="31" name="תאריך אחרון בו נבחנה בפועל ירידת ערך" dataDxfId="472"/>
    <tableColumn id="32" name="ערך נקוב (יחידות)" dataDxfId="471"/>
    <tableColumn id="33" name="שער חליפין" dataDxfId="470"/>
    <tableColumn id="34" name="שער נייר הערך" dataDxfId="469"/>
    <tableColumn id="35" name="שווי הוגן (באלפי ש&quot;ח)" dataDxfId="468"/>
    <tableColumn id="36" name="עלות מופחתת (באלפי ש&quot;ח)" dataDxfId="467"/>
    <tableColumn id="37" name="עלות מופחתת (במטבע הפעילות)" dataDxfId="466"/>
    <tableColumn id="38" name="השיטה שיושמה בדוח הכספי" dataDxfId="465"/>
    <tableColumn id="39" name="שיעור מנכסי אפיק ההשקעה" dataDxfId="464"/>
    <tableColumn id="40" name="שיעור מסך נכסי ההשקעה" dataDxfId="463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8" totalsRowShown="0" headerRowDxfId="462" dataDxfId="460" headerRowBorderDxfId="461" tableBorderDxfId="459" totalsRowBorderDxfId="458">
  <autoFilter ref="A2:AL18"/>
  <tableColumns count="38">
    <tableColumn id="1" name="מספר קופה/קרן/ח.פ. עבור חברת ביטוח" dataDxfId="457"/>
    <tableColumn id="2" name="מספר מסלול" dataDxfId="456"/>
    <tableColumn id="3" name="שם מנפיק" dataDxfId="455"/>
    <tableColumn id="4" name="מספר מנפיק" dataDxfId="454"/>
    <tableColumn id="5" name="סוג מספר מזהה מנפיק" dataDxfId="453"/>
    <tableColumn id="6" name="שם נייר ערך" dataDxfId="452"/>
    <tableColumn id="7" name="מספר נייר ערך" dataDxfId="451"/>
    <tableColumn id="8" name="סוג מספר נייר ערך" dataDxfId="450"/>
    <tableColumn id="9" name="מאפיין עיקרי" dataDxfId="449"/>
    <tableColumn id="10" name="ישראל/חו&quot;ל" dataDxfId="448"/>
    <tableColumn id="11" name="מדינה לפי חשיפה כלכלית" dataDxfId="447"/>
    <tableColumn id="12" name="סטאטוס סחירות" dataDxfId="446"/>
    <tableColumn id="13" name="ענף מסחר" dataDxfId="445"/>
    <tableColumn id="14" name="בעל עניין/צד קשור" dataDxfId="444"/>
    <tableColumn id="15" name="תאריך רכישה" dataDxfId="443"/>
    <tableColumn id="16" name="דירוג" dataDxfId="442"/>
    <tableColumn id="17" name="שם מדרג" dataDxfId="441"/>
    <tableColumn id="18" name="דירוג נייר הערך/המנפיק" dataDxfId="440"/>
    <tableColumn id="19" name="מטבע פעילות" dataDxfId="439"/>
    <tableColumn id="20" name="מח&quot;מ" dataDxfId="438"/>
    <tableColumn id="21" name="מועד פדיון" dataDxfId="437"/>
    <tableColumn id="22" name="תשואה לפדיון" dataDxfId="436"/>
    <tableColumn id="23" name="שיעור ריבית" dataDxfId="435"/>
    <tableColumn id="24" name="נחיתות חוזית" dataDxfId="434"/>
    <tableColumn id="25" name="האם סווג כחוב בעייתי" dataDxfId="433"/>
    <tableColumn id="26" name="סוג גורם משערך" dataDxfId="432"/>
    <tableColumn id="27" name="תלות/אי-תלות המשערך" dataDxfId="431"/>
    <tableColumn id="28" name="תאריך שערוך אחרון" dataDxfId="430"/>
    <tableColumn id="29" name="תאריך אחרון בו נבחנה בפועל ירידת ערך" dataDxfId="429"/>
    <tableColumn id="30" name="ערך נקוב (יחידות)" dataDxfId="428"/>
    <tableColumn id="31" name="שער חליפין" dataDxfId="427"/>
    <tableColumn id="32" name="שער נייר הערך" dataDxfId="426"/>
    <tableColumn id="33" name="שווי הוגן (באלפי ש&quot;ח)" dataDxfId="425"/>
    <tableColumn id="34" name="עלות מופחתת (באלפי ש&quot;ח)" dataDxfId="424"/>
    <tableColumn id="35" name="עלות מופחתת (במטבע הפעילות)" dataDxfId="423"/>
    <tableColumn id="36" name="השיטה שיושמה בדוח הכספי" dataDxfId="422"/>
    <tableColumn id="37" name="שיעור מנכסי אפיק ההשקעה" dataDxfId="421"/>
    <tableColumn id="38" name="שיעור מסך נכסי ההשקעה" dataDxfId="42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56" totalsRowShown="0" headerRowDxfId="419" dataDxfId="417" headerRowBorderDxfId="418" tableBorderDxfId="416" totalsRowBorderDxfId="415">
  <autoFilter ref="A2:Z56"/>
  <tableColumns count="26">
    <tableColumn id="1" name="מספר קופה/קרן/ח.פ. עבור חברת ביטוח" dataDxfId="414"/>
    <tableColumn id="2" name="מספר מסלול" dataDxfId="413"/>
    <tableColumn id="3" name="שם מנפיק" dataDxfId="412"/>
    <tableColumn id="4" name="מספר מנפיק" dataDxfId="411"/>
    <tableColumn id="5" name="סוג מספר מזהה מנפיק" dataDxfId="410"/>
    <tableColumn id="6" name="שם נייר ערך" dataDxfId="409"/>
    <tableColumn id="7" name="מספר נייר ערך" dataDxfId="408"/>
    <tableColumn id="8" name="סוג מספר נייר ערך" dataDxfId="407"/>
    <tableColumn id="9" name="מאפיין עיקרי" dataDxfId="406"/>
    <tableColumn id="10" name="ישראל/חו&quot;ל" dataDxfId="405"/>
    <tableColumn id="11" name="מדינה לפי חשיפה כלכלית" dataDxfId="404"/>
    <tableColumn id="12" name="סטאטוס סחירות" dataDxfId="403"/>
    <tableColumn id="13" name="ענף מסחר" dataDxfId="402"/>
    <tableColumn id="14" name="בעל עניין/צד קשור" dataDxfId="401"/>
    <tableColumn id="15" name="תאריך רכישה" dataDxfId="400"/>
    <tableColumn id="16" name="מטבע פעילות" dataDxfId="399"/>
    <tableColumn id="17" name="סוג גורם משערך" dataDxfId="398"/>
    <tableColumn id="18" name="תלות/אי-תלות המשערך" dataDxfId="397"/>
    <tableColumn id="19" name="תאריך שערוך אחרון" dataDxfId="396"/>
    <tableColumn id="20" name="תאריך אחרון בו נבחנה בפועל ירידת ערך" dataDxfId="395"/>
    <tableColumn id="21" name="ערך נקוב (יחידות)" dataDxfId="394"/>
    <tableColumn id="22" name="שער חליפין" dataDxfId="393"/>
    <tableColumn id="23" name="שער נייר הערך" dataDxfId="392"/>
    <tableColumn id="24" name="שווי הוגן (באלפי ש&quot;ח)" dataDxfId="391"/>
    <tableColumn id="25" name="שיעור מנכסי אפיק ההשקעה" dataDxfId="390"/>
    <tableColumn id="26" name="שיעור מסך נכסי ההשקעה" dataDxfId="389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284" totalsRowShown="0" headerRowDxfId="388" dataDxfId="386" headerRowBorderDxfId="387" tableBorderDxfId="385" totalsRowBorderDxfId="384">
  <autoFilter ref="A2:Z284"/>
  <tableColumns count="26">
    <tableColumn id="1" name="מספר קופה/קרן/ח.פ. עבור חברת ביטוח" dataDxfId="383"/>
    <tableColumn id="2" name="מספר מסלול" dataDxfId="382"/>
    <tableColumn id="3" name="שם שותף כללי קרן השקעות" dataDxfId="381"/>
    <tableColumn id="4" name="מספר מזהה שותף כללי קרן השקעות" dataDxfId="380"/>
    <tableColumn id="5" name="סוג מספר מזהה שותף כללי קרן השקעות" dataDxfId="379"/>
    <tableColumn id="6" name="שם קרן השקעה" dataDxfId="378"/>
    <tableColumn id="7" name="מספר מזהה קרן השקעה" dataDxfId="377"/>
    <tableColumn id="8" name="סוג מספר מזהה קרן השקעות" dataDxfId="376"/>
    <tableColumn id="9" name="מאפיין עיקרי" dataDxfId="375"/>
    <tableColumn id="10" name="אסטרטגיית קרן ההשקעה" dataDxfId="374"/>
    <tableColumn id="11" name="ישראל/חו&quot;ל" dataDxfId="373"/>
    <tableColumn id="12" name="מדינת התאגדות קרן השקעה" dataDxfId="372"/>
    <tableColumn id="13" name="מיקום משרד השותף הכללי" dataDxfId="371"/>
    <tableColumn id="14" name="מדינה לפי חשיפה כלכלית" dataDxfId="370"/>
    <tableColumn id="15" name="בעל עניין/צד קשור" dataDxfId="369"/>
    <tableColumn id="16" name="תאריך רכישה" dataDxfId="368"/>
    <tableColumn id="17" name="מטבע פעילות" dataDxfId="367"/>
    <tableColumn id="18" name="סוג גורם משערך" dataDxfId="366"/>
    <tableColumn id="19" name="תלות/אי-תלות המשערך" dataDxfId="365"/>
    <tableColumn id="20" name="תאריך שערוך אחרון" dataDxfId="364"/>
    <tableColumn id="21" name="שער חליפין" dataDxfId="363"/>
    <tableColumn id="22" name="NAV_x000a_(במטבע הדיווח של קרן ההשקעה)" dataDxfId="362"/>
    <tableColumn id="23" name="שווי הוגן (באלפי ש&quot;ח)" dataDxfId="361"/>
    <tableColumn id="24" name="שיעור החזקה בקרן השקעה" dataDxfId="360"/>
    <tableColumn id="25" name="שיעור מנכסי אפיק ההשקעה" dataDxfId="359"/>
    <tableColumn id="26" name="שיעור מסך נכסי ההשקעה" dataDxfId="358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4" totalsRowShown="0" headerRowDxfId="357" dataDxfId="355" headerRowBorderDxfId="356" tableBorderDxfId="354" totalsRowBorderDxfId="353">
  <autoFilter ref="A2:AB14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24" dataDxfId="322" headerRowBorderDxfId="323" tableBorderDxfId="321" totalsRowBorderDxfId="320">
  <autoFilter ref="A2:AB8"/>
  <tableColumns count="28">
    <tableColumn id="1" name="מספר קופה/קרן/ח.פ. עבור חברת ביטוח" dataDxfId="319"/>
    <tableColumn id="2" name="מספר מסלול" dataDxfId="318"/>
    <tableColumn id="3" name="שם מנפיק" dataDxfId="317"/>
    <tableColumn id="4" name="מספר מנפיק" dataDxfId="316"/>
    <tableColumn id="5" name="סוג מספר מזהה מנפיק" dataDxfId="315"/>
    <tableColumn id="6" name="שם נייר ערך" dataDxfId="314"/>
    <tableColumn id="7" name="מספר נייר ערך" dataDxfId="313"/>
    <tableColumn id="8" name="סוג מספר נייר ערך" dataDxfId="312"/>
    <tableColumn id="9" name="מאפיין עיקרי" dataDxfId="311"/>
    <tableColumn id="10" name="ישראל/חו&quot;ל" dataDxfId="310"/>
    <tableColumn id="11" name="מדינה לפי חשיפה כלכלית" dataDxfId="309"/>
    <tableColumn id="12" name="ענף מסחר" dataDxfId="308"/>
    <tableColumn id="13" name="נכס בסיס" dataDxfId="307"/>
    <tableColumn id="14" name="תאריך פקיעה" dataDxfId="306"/>
    <tableColumn id="15" name="בעל עניין/צד קשור" dataDxfId="305"/>
    <tableColumn id="16" name="תאריך רכישה" dataDxfId="304"/>
    <tableColumn id="17" name="מטבע פעילות" dataDxfId="303"/>
    <tableColumn id="18" name="סוג גורם משערך" dataDxfId="302"/>
    <tableColumn id="19" name="תלות/אי-תלות המשערך" dataDxfId="301"/>
    <tableColumn id="20" name="תאריך שערוך אחרון" dataDxfId="300"/>
    <tableColumn id="21" name="שער מימוש" dataDxfId="299"/>
    <tableColumn id="22" name="יחס המרה" dataDxfId="298"/>
    <tableColumn id="23" name="ערך נקוב (יחידות)" dataDxfId="297"/>
    <tableColumn id="24" name="שער נייר הערך" dataDxfId="296"/>
    <tableColumn id="25" name="שער חליפין" dataDxfId="295"/>
    <tableColumn id="26" name="שווי הוגן (בש&quot;ח)" dataDxfId="294"/>
    <tableColumn id="27" name="שיעור מנכסי אפיק ההשקעה" dataDxfId="293"/>
    <tableColumn id="28" name="שיעור מסך נכסי ההשקעה" dataDxfId="292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24" totalsRowShown="0" headerRowDxfId="291" headerRowBorderDxfId="290" tableBorderDxfId="289" totalsRowBorderDxfId="288">
  <autoFilter ref="A2:AO24"/>
  <tableColumns count="41">
    <tableColumn id="1" name="מספר קופה/קרן/ח.פ. עבור חברת ביטוח" dataDxfId="287"/>
    <tableColumn id="2" name="מספר מסלול" dataDxfId="286"/>
    <tableColumn id="3" name="מאפיין עיקרי" dataDxfId="285"/>
    <tableColumn id="4" name="מספר עסקה (רגל 1)" dataDxfId="284"/>
    <tableColumn id="5" name="מטבע פעילות (רגל 1)" dataDxfId="283"/>
    <tableColumn id="6" name="שער חליפין" dataDxfId="282"/>
    <tableColumn id="7" name="ערך נקוב (רגל 1)" dataDxfId="281"/>
    <tableColumn id="8" name="שווי הוגן במטבע הנסחר (רגל 1)" dataDxfId="280"/>
    <tableColumn id="9" name="שיעור מנכסי אפיק ההשקעה (רגל 1)" dataDxfId="279"/>
    <tableColumn id="10" name="שיעור מסך נכסי ההשקעה (רגל 1)" dataDxfId="278"/>
    <tableColumn id="11" name="מספר עסקה (רגל 2)" dataDxfId="277"/>
    <tableColumn id="12" name="מטבע פעילות (רגל 2)" dataDxfId="276"/>
    <tableColumn id="13" name="שער חליפין2" dataDxfId="275"/>
    <tableColumn id="14" name="ערך נקוב (רגל 2)" dataDxfId="274"/>
    <tableColumn id="15" name="שווי הוגן במטבע הנסחר (רגל 2)" dataDxfId="273"/>
    <tableColumn id="16" name="שיעור מנכסי ההשקעה (רגל 2)" dataDxfId="272"/>
    <tableColumn id="17" name="שיעור מסך אפיק ההשקעה (רגל 2)" dataDxfId="271"/>
    <tableColumn id="18" name="שווי הוגן (נטו  באלפי ש&quot;ח)" dataDxfId="270"/>
    <tableColumn id="19" name="ישראל/חו&quot;ל" dataDxfId="269"/>
    <tableColumn id="20" name="מדינה לפי חשיפה כלכלית" dataDxfId="268"/>
    <tableColumn id="21" name="סוג הנכס" dataDxfId="267"/>
    <tableColumn id="22" name="פקטור מוביל" dataDxfId="266"/>
    <tableColumn id="23" name="פקטור נוסף" dataDxfId="265"/>
    <tableColumn id="24" name="טיקר" dataDxfId="264"/>
    <tableColumn id="25" name="בעל עניין/צד קשור" dataDxfId="263"/>
    <tableColumn id="26" name="מועד ההתקשרות בעסקה" dataDxfId="262"/>
    <tableColumn id="27" name="מועד סיום חוזי" dataDxfId="261"/>
    <tableColumn id="28" name="תדירות Reset" dataDxfId="260"/>
    <tableColumn id="29" name="סוג הסליקה" dataDxfId="259"/>
    <tableColumn id="30" name="נספח התחשבנות בטחונות - CSA" dataDxfId="258"/>
    <tableColumn id="31" name="גורם מצטט" dataDxfId="257"/>
    <tableColumn id="32" name="ריבית עוגן" dataDxfId="256"/>
    <tableColumn id="33" name="תקופת ריבית עוגן" dataDxfId="255"/>
    <tableColumn id="34" name="שיעור ריבית עוגן" dataDxfId="254"/>
    <tableColumn id="35" name="שער נכס הבסיס במועד ההתקשרות בעסקה" dataDxfId="253"/>
    <tableColumn id="36" name="שער הנגזר במועד ההתקשרות בעסקה" dataDxfId="252"/>
    <tableColumn id="37" name="האם קיים קנס בגין יציאה מוקדמת" dataDxfId="251"/>
    <tableColumn id="38" name="שיעור הקנס בגין יציאה מוקדמת" dataDxfId="250"/>
    <tableColumn id="39" name="צד נגדי - Counterparty" dataDxfId="249"/>
    <tableColumn id="40" name="שיעור מנכסי אפיק ההשקעה" dataDxfId="248"/>
    <tableColumn id="41" name="שיעור מסך נכסי ההשקעה" dataDxfId="247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21" totalsRowShown="0" headerRowDxfId="246" dataDxfId="244" headerRowBorderDxfId="245" tableBorderDxfId="243" totalsRowBorderDxfId="242">
  <autoFilter ref="A2:BA121"/>
  <tableColumns count="53">
    <tableColumn id="1" name="מספר קופה/קרן/ח.פ. עבור חברת ביטוח" dataDxfId="241"/>
    <tableColumn id="2" name="מספר מסלול" dataDxfId="240"/>
    <tableColumn id="3" name="מספר מזהה לווה" dataDxfId="239"/>
    <tableColumn id="4" name="סוג מספר מזהה לווה" dataDxfId="238"/>
    <tableColumn id="5" name="שם הלוואה" dataDxfId="237"/>
    <tableColumn id="6" name="מספר הלוואה" dataDxfId="236"/>
    <tableColumn id="7" name="מאפיין עיקרי" dataDxfId="235"/>
    <tableColumn id="8" name="מאפיין הלוואות מתואמות עבור זכויות מקרקעין" dataDxfId="234"/>
    <tableColumn id="9" name="ישראל/חו&quot;ל" dataDxfId="233"/>
    <tableColumn id="10" name="מדינה לפי חשיפה כלכלית" dataDxfId="232"/>
    <tableColumn id="11" name="ענף מסחר" dataDxfId="231"/>
    <tableColumn id="12" name="בעל עניין/צד קשור" dataDxfId="230"/>
    <tableColumn id="13" name="קונסורציום/ סינדיקציה" dataDxfId="229"/>
    <tableColumn id="14" name="מספר קונסורציום/ סינדיקציה" dataDxfId="228"/>
    <tableColumn id="15" name="תאריך העמדת הלוואה" dataDxfId="227"/>
    <tableColumn id="16" name="דירוג" dataDxfId="226"/>
    <tableColumn id="17" name="שם מדרג" dataDxfId="225"/>
    <tableColumn id="18" name="דירוג הלוואה/המנפיק" dataDxfId="224"/>
    <tableColumn id="19" name="מטבע פעילות" dataDxfId="223"/>
    <tableColumn id="20" name="מח&quot;מ" dataDxfId="222"/>
    <tableColumn id="21" name="סוג הריבית" dataDxfId="221"/>
    <tableColumn id="22" name="שיעור ריבית" dataDxfId="220"/>
    <tableColumn id="23" name="סוג הצמדה" dataDxfId="219"/>
    <tableColumn id="24" name="ריבית עוגן" dataDxfId="218"/>
    <tableColumn id="25" name="שיעור תוספת/הפחתה לריבית העוגן" dataDxfId="217"/>
    <tableColumn id="26" name="תשואה לפדיון" dataDxfId="216"/>
    <tableColumn id="27" name="מועד פדיון" dataDxfId="215"/>
    <tableColumn id="28" name="נחיתות חוזית" dataDxfId="214"/>
    <tableColumn id="29" name="סוג בטוחה" dataDxfId="213"/>
    <tableColumn id="30" name="שווי הבטוחות העומדות כנגד ההלוואה" dataDxfId="212"/>
    <tableColumn id="31" name="שיעור הבטוחות מהחוב" dataDxfId="211"/>
    <tableColumn id="32" name="מועד עדכון אחרון לשווי הבטוחות" dataDxfId="210"/>
    <tableColumn id="33" name="זכות חזרה" dataDxfId="209"/>
    <tableColumn id="34" name="מבנה לוח סילוקין" dataDxfId="208"/>
    <tableColumn id="35" name="יעוד הלוואה" dataDxfId="207"/>
    <tableColumn id="36" name="זכות פירעון מוקדם" dataDxfId="206"/>
    <tableColumn id="37" name="סוג גורם משערך" dataDxfId="205"/>
    <tableColumn id="38" name="שם גורם משערך" dataDxfId="204"/>
    <tableColumn id="39" name="תלות/אי-תלות המשערך" dataDxfId="203"/>
    <tableColumn id="40" name="תאריך שערוך אחרון" dataDxfId="202"/>
    <tableColumn id="41" name="תאריך אחרון בו נבחנה בפועל ירידת ערך" dataDxfId="201"/>
    <tableColumn id="42" name="שיעור ריבית בגין אי-ניצול מסגרת האשראי" dataDxfId="200"/>
    <tableColumn id="43" name="ערך נקוב" dataDxfId="199"/>
    <tableColumn id="44" name="שער הלוואה" dataDxfId="198"/>
    <tableColumn id="45" name="שער חליפין" dataDxfId="197"/>
    <tableColumn id="46" name="שווי הוגן (באלפי ש&quot;ח)" dataDxfId="196"/>
    <tableColumn id="47" name="שווי הוגן (במטבע הפעילות)" dataDxfId="195"/>
    <tableColumn id="48" name="עלות מופחתת (באלפי ש&quot;ח)" dataDxfId="194"/>
    <tableColumn id="49" name="עלות מופחתת (במטבע הפעילות)" dataDxfId="193"/>
    <tableColumn id="50" name="האם סווג כחוב בעייתי" dataDxfId="192"/>
    <tableColumn id="51" name="השיטה שיושמה בדוח הכספי" dataDxfId="191"/>
    <tableColumn id="52" name="שיעור מנכסי אפיק ההשקעה" dataDxfId="190"/>
    <tableColumn id="53" name="שיעור מסך נכסי ההשקעה" dataDxfId="189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8" totalsRowShown="0" headerRowDxfId="188" dataDxfId="186" headerRowBorderDxfId="187" tableBorderDxfId="185" totalsRowBorderDxfId="184">
  <autoFilter ref="A2:AD8"/>
  <tableColumns count="30">
    <tableColumn id="1" name="מספר קופה/קרן/ח.פ. עבור חברת ביטוח" dataDxfId="183"/>
    <tableColumn id="2" name="מספר מסלול" dataDxfId="182"/>
    <tableColumn id="3" name="שם מנפיק" dataDxfId="181"/>
    <tableColumn id="4" name="מספר מנפיק" dataDxfId="180"/>
    <tableColumn id="5" name="סוג מספר מזהה מנפיק" dataDxfId="179"/>
    <tableColumn id="6" name="שם נייר ערך" dataDxfId="178"/>
    <tableColumn id="7" name="מספר נייר ערך" dataDxfId="177"/>
    <tableColumn id="8" name="סוג מספר נייר ערך" dataDxfId="176"/>
    <tableColumn id="9" name="מאפיין עיקרי" dataDxfId="175"/>
    <tableColumn id="10" name="ישראל/חו&quot;ל" dataDxfId="174"/>
    <tableColumn id="11" name="מדינה לפי חשיפה כלכלית" dataDxfId="173"/>
    <tableColumn id="12" name="בעל עניין/צד קשור" dataDxfId="172"/>
    <tableColumn id="13" name="נכס בסיס" dataDxfId="171"/>
    <tableColumn id="14" name="תאריך רכישה" dataDxfId="170"/>
    <tableColumn id="15" name="דירוג" dataDxfId="169"/>
    <tableColumn id="16" name="שם מדרג" dataDxfId="168"/>
    <tableColumn id="17" name="דירוג נייר הערך/המנפיק" dataDxfId="167"/>
    <tableColumn id="18" name="מטבע פעילות" dataDxfId="166"/>
    <tableColumn id="19" name="מח&quot;מ" dataDxfId="165"/>
    <tableColumn id="20" name="שיעור ריבית" dataDxfId="164"/>
    <tableColumn id="21" name="תשואה לפדיון" dataDxfId="163"/>
    <tableColumn id="22" name="סוג גורם משערך" dataDxfId="162"/>
    <tableColumn id="23" name="תלות/אי-תלות המשערך" dataDxfId="161"/>
    <tableColumn id="24" name="תאריך שערוך אחרון" dataDxfId="160"/>
    <tableColumn id="25" name="ערך נקוב (יחידות)" dataDxfId="159"/>
    <tableColumn id="26" name="שער חליפין" dataDxfId="158"/>
    <tableColumn id="27" name="שער נייר הערך" dataDxfId="157"/>
    <tableColumn id="28" name="שווי הוגן (באלפי ש&quot;ח)" dataDxfId="156"/>
    <tableColumn id="29" name="שיעור מנכסי אפיק ההשקעה" dataDxfId="155"/>
    <tableColumn id="30" name="שיעור מסך נכסי ההשקעה" dataDxfId="154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53" dataDxfId="151" headerRowBorderDxfId="152" tableBorderDxfId="150" totalsRowBorderDxfId="149">
  <autoFilter ref="A2:V8"/>
  <tableColumns count="22">
    <tableColumn id="1" name="מספר קופה/קרן/ח.פ. עבור חברת ביטוח" dataDxfId="148"/>
    <tableColumn id="2" name="מספר מסלול" dataDxfId="147"/>
    <tableColumn id="3" name="שם הבנק" dataDxfId="146"/>
    <tableColumn id="4" name="מספר מזהה בנק" dataDxfId="145"/>
    <tableColumn id="5" name="סוג מספר מזהה בנק" dataDxfId="144"/>
    <tableColumn id="6" name="מאפיין עיקרי" dataDxfId="143"/>
    <tableColumn id="7" name="תאריך פקיעת פיקדון" dataDxfId="142"/>
    <tableColumn id="8" name="ישראל/חו&quot;ל" dataDxfId="141"/>
    <tableColumn id="9" name="מדינה לפי חשיפה כלכלית" dataDxfId="140"/>
    <tableColumn id="10" name="בעל עניין/צד קשור" dataDxfId="139"/>
    <tableColumn id="11" name="דירוג הבנק" dataDxfId="138"/>
    <tableColumn id="12" name="שם מדרג" dataDxfId="137"/>
    <tableColumn id="13" name="מטבע פעילות" dataDxfId="136"/>
    <tableColumn id="14" name="מח&quot;מ" dataDxfId="135"/>
    <tableColumn id="15" name="שיעור ריבית" dataDxfId="134"/>
    <tableColumn id="16" name="תשואה לפדיון" dataDxfId="133"/>
    <tableColumn id="17" name="שווי מטבעי" dataDxfId="132"/>
    <tableColumn id="18" name="שער חליפין" dataDxfId="131"/>
    <tableColumn id="19" name="שער פיקדון" dataDxfId="130"/>
    <tableColumn id="20" name="שווי הוגן (באלפי ש&quot;ח)" dataDxfId="129"/>
    <tableColumn id="21" name="שיעור מנכסי אפיק ההשקעה" dataDxfId="128"/>
    <tableColumn id="22" name="שיעור מסך נכסי ההשקעה" dataDxfId="127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6" dataDxfId="124" headerRowBorderDxfId="125" tableBorderDxfId="123" totalsRowBorderDxfId="122">
  <autoFilter ref="A2:X8"/>
  <tableColumns count="24">
    <tableColumn id="1" name="מספר קופה/קרן/ח.פ. עבור חברת ביטוח" dataDxfId="121"/>
    <tableColumn id="2" name="מספר מסלול" dataDxfId="120"/>
    <tableColumn id="3" name="שם הנכס" dataDxfId="119"/>
    <tableColumn id="4" name="מאפיין עיקרי" dataDxfId="118"/>
    <tableColumn id="5" name="מדינת מיקום נדל&quot;ן" dataDxfId="117"/>
    <tableColumn id="6" name="בעל עניין/צד קשור" dataDxfId="116"/>
    <tableColumn id="7" name="תאריך רכישה" dataDxfId="115"/>
    <tableColumn id="8" name="שימוש עיקרי בנכס" dataDxfId="114"/>
    <tableColumn id="9" name="מחזור חיי הנכס" dataDxfId="113"/>
    <tableColumn id="10" name="כתובת הנכס" dataDxfId="112"/>
    <tableColumn id="11" name="שיעור תשואה בפועל במהלך הרבעון" dataDxfId="111"/>
    <tableColumn id="12" name="השיטה שבאמצעותה נקבע שווי הנכס" dataDxfId="110"/>
    <tableColumn id="13" name="סוג גורם משערך" dataDxfId="109"/>
    <tableColumn id="14" name="שם גורם משערך" dataDxfId="108"/>
    <tableColumn id="15" name="תלות/אי-תלות המשערך" dataDxfId="107"/>
    <tableColumn id="16" name="תאריך שערוך אחרון" dataDxfId="106"/>
    <tableColumn id="17" name="מטבע פעילות" dataDxfId="105"/>
    <tableColumn id="18" name="שווי הוגן (במטבע הפעילות)" dataDxfId="104"/>
    <tableColumn id="19" name="שווי הוגן (באלפי ש&quot;ח)" dataDxfId="103"/>
    <tableColumn id="20" name="עלות מופחתת (באלפי ש&quot;ח)" dataDxfId="102"/>
    <tableColumn id="21" name="עלות מופחתת (במטבע הפעילות)" dataDxfId="101"/>
    <tableColumn id="22" name="השיטה שיושמה בדוח הכספי" dataDxfId="100"/>
    <tableColumn id="23" name="שיעור מנכסי אפיק ההשקעה" dataDxfId="99"/>
    <tableColumn id="24" name="שיעור מסך נכסי ההשקעה" dataDxfId="98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7" dataDxfId="95" headerRowBorderDxfId="96" tableBorderDxfId="94" totalsRowBorderDxfId="93">
  <autoFilter ref="A2:W8"/>
  <tableColumns count="23">
    <tableColumn id="1" name="מספר קופה/קרן/ח.פ. עבור חברת ביטוח" dataDxfId="92"/>
    <tableColumn id="2" name="מספר מסלול" dataDxfId="91"/>
    <tableColumn id="3" name="שם מנפיק" dataDxfId="90"/>
    <tableColumn id="4" name="מספר מנפיק" dataDxfId="89"/>
    <tableColumn id="5" name="סוג מספר מזהה מנפיק" dataDxfId="88"/>
    <tableColumn id="6" name="שם נייר ערך" dataDxfId="87"/>
    <tableColumn id="7" name="מספר נייר ערך" dataDxfId="86"/>
    <tableColumn id="8" name="סוג מספר נייר ערך" dataDxfId="85"/>
    <tableColumn id="9" name="מאפיין עיקרי" dataDxfId="84"/>
    <tableColumn id="10" name="ישראל/חו&quot;ל" dataDxfId="83"/>
    <tableColumn id="11" name="מדינה לפי חשיפה כלכלית" dataDxfId="82"/>
    <tableColumn id="12" name="ענף מסחר" dataDxfId="81"/>
    <tableColumn id="13" name="בעל עניין/צד קשור" dataDxfId="80"/>
    <tableColumn id="14" name="מטבע פעילות" dataDxfId="79"/>
    <tableColumn id="15" name="סוג גורם משערך" dataDxfId="78"/>
    <tableColumn id="16" name="תלות/אי-תלות המשערך" dataDxfId="77"/>
    <tableColumn id="17" name="תאריך שערוך אחרון" dataDxfId="76"/>
    <tableColumn id="18" name="תאריך אחרון בו נבחנה בפועל ירידת ערך" dataDxfId="75"/>
    <tableColumn id="19" name="שיעור אחזקה באמצעי שליטה" dataDxfId="74"/>
    <tableColumn id="20" name="שווי מאזני (באלפי ש&quot;ח)" dataDxfId="73"/>
    <tableColumn id="21" name="שווי הוגן (באלפי ש&quot;ח)" dataDxfId="72"/>
    <tableColumn id="22" name="שיעור מנכסי אפיק ההשקעה" dataDxfId="71"/>
    <tableColumn id="23" name="שיעור מסך נכסי ההשקעה" dataDxfId="70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69" dataDxfId="67" headerRowBorderDxfId="68" tableBorderDxfId="66" totalsRowBorderDxfId="65">
  <autoFilter ref="A2:R8"/>
  <tableColumns count="18">
    <tableColumn id="1" name="מספר קופה/קרן/ח.פ. עבור חברת ביטוח" dataDxfId="64"/>
    <tableColumn id="2" name="מספר מסלול" dataDxfId="63"/>
    <tableColumn id="3" name="שם הנכס האחר" dataDxfId="62"/>
    <tableColumn id="4" name="מספר הנכס האחר" dataDxfId="61"/>
    <tableColumn id="5" name="מאפיין עיקרי" dataDxfId="60"/>
    <tableColumn id="6" name="ישראל/חו&quot;ל" dataDxfId="59"/>
    <tableColumn id="7" name="מדינה לפי חשיפה כלכלית" dataDxfId="58"/>
    <tableColumn id="8" name="בעל עניין/צד קשור" dataDxfId="57"/>
    <tableColumn id="9" name="תאריך עסקה" dataDxfId="56"/>
    <tableColumn id="10" name="מטבע פעילות" dataDxfId="55"/>
    <tableColumn id="11" name="תאריך שערוך אחרון" dataDxfId="54"/>
    <tableColumn id="12" name="שווי מטבעי" dataDxfId="53"/>
    <tableColumn id="13" name="שער חליפין" dataDxfId="52"/>
    <tableColumn id="14" name="שווי הוגן (באלפי ש&quot;ח)" dataDxfId="51"/>
    <tableColumn id="15" name="עלות מופחתת (באלפי ש&quot;ח)" dataDxfId="50"/>
    <tableColumn id="16" name="השיטה שיושמה בדוח הכספי" dataDxfId="49"/>
    <tableColumn id="17" name="שיעור מנכסי אפיק ההשקעה" dataDxfId="48"/>
    <tableColumn id="18" name="שיעור מסך נכסי ההשקעה" dataDxfId="47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6" dataDxfId="44" headerRowBorderDxfId="45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12" totalsRowShown="0" headerRowDxfId="21" dataDxfId="19" headerRowBorderDxfId="20" tableBorderDxfId="18" totalsRowBorderDxfId="17">
  <autoFilter ref="A2:Q212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>
      <selection activeCell="B1" sqref="B1"/>
    </sheetView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3903</v>
      </c>
    </row>
    <row r="2" spans="1:2" ht="15" x14ac:dyDescent="0.25">
      <c r="A2" s="120" t="s">
        <v>3850</v>
      </c>
      <c r="B2" s="121" t="s">
        <v>3851</v>
      </c>
    </row>
    <row r="3" spans="1:2" x14ac:dyDescent="0.2">
      <c r="A3" s="123" t="s">
        <v>3852</v>
      </c>
      <c r="B3" s="129" t="s">
        <v>3862</v>
      </c>
    </row>
    <row r="4" spans="1:2" x14ac:dyDescent="0.2">
      <c r="A4" s="123" t="s">
        <v>3854</v>
      </c>
      <c r="B4" s="129" t="s">
        <v>3862</v>
      </c>
    </row>
    <row r="5" spans="1:2" x14ac:dyDescent="0.2">
      <c r="A5" s="123" t="s">
        <v>19</v>
      </c>
      <c r="B5" s="129" t="s">
        <v>3862</v>
      </c>
    </row>
    <row r="6" spans="1:2" x14ac:dyDescent="0.2">
      <c r="A6" s="123" t="s">
        <v>20</v>
      </c>
      <c r="B6" s="129" t="s">
        <v>3862</v>
      </c>
    </row>
    <row r="7" spans="1:2" x14ac:dyDescent="0.2">
      <c r="A7" s="123" t="s">
        <v>21</v>
      </c>
      <c r="B7" s="129" t="s">
        <v>3862</v>
      </c>
    </row>
    <row r="8" spans="1:2" x14ac:dyDescent="0.2">
      <c r="A8" s="123" t="s">
        <v>22</v>
      </c>
      <c r="B8" s="129" t="s">
        <v>3862</v>
      </c>
    </row>
    <row r="9" spans="1:2" x14ac:dyDescent="0.2">
      <c r="A9" s="123" t="s">
        <v>3857</v>
      </c>
      <c r="B9" s="129" t="s">
        <v>3862</v>
      </c>
    </row>
    <row r="10" spans="1:2" ht="15" x14ac:dyDescent="0.2">
      <c r="A10" s="125" t="s">
        <v>24</v>
      </c>
      <c r="B10" s="129" t="s">
        <v>3862</v>
      </c>
    </row>
    <row r="11" spans="1:2" x14ac:dyDescent="0.2">
      <c r="A11" s="123" t="s">
        <v>25</v>
      </c>
      <c r="B11" s="129" t="s">
        <v>3862</v>
      </c>
    </row>
    <row r="12" spans="1:2" x14ac:dyDescent="0.2">
      <c r="A12" s="123" t="s">
        <v>26</v>
      </c>
      <c r="B12" s="129" t="s">
        <v>3862</v>
      </c>
    </row>
    <row r="13" spans="1:2" x14ac:dyDescent="0.2">
      <c r="A13" s="123" t="s">
        <v>27</v>
      </c>
      <c r="B13" s="129" t="s">
        <v>3862</v>
      </c>
    </row>
    <row r="14" spans="1:2" x14ac:dyDescent="0.2">
      <c r="A14" s="123" t="s">
        <v>28</v>
      </c>
      <c r="B14" s="129" t="s">
        <v>3862</v>
      </c>
    </row>
    <row r="15" spans="1:2" x14ac:dyDescent="0.2">
      <c r="A15" s="123" t="s">
        <v>29</v>
      </c>
      <c r="B15" s="129" t="s">
        <v>3862</v>
      </c>
    </row>
    <row r="16" spans="1:2" x14ac:dyDescent="0.2">
      <c r="A16" s="123" t="s">
        <v>30</v>
      </c>
      <c r="B16" s="129" t="s">
        <v>3862</v>
      </c>
    </row>
    <row r="17" spans="1:2" x14ac:dyDescent="0.2">
      <c r="A17" s="123" t="s">
        <v>31</v>
      </c>
      <c r="B17" s="129" t="s">
        <v>3862</v>
      </c>
    </row>
    <row r="18" spans="1:2" ht="15" x14ac:dyDescent="0.2">
      <c r="A18" s="125" t="s">
        <v>32</v>
      </c>
      <c r="B18" s="129" t="s">
        <v>3862</v>
      </c>
    </row>
    <row r="19" spans="1:2" x14ac:dyDescent="0.2">
      <c r="A19" s="123" t="s">
        <v>33</v>
      </c>
      <c r="B19" s="129" t="s">
        <v>3862</v>
      </c>
    </row>
    <row r="20" spans="1:2" x14ac:dyDescent="0.2">
      <c r="A20" s="123" t="s">
        <v>34</v>
      </c>
      <c r="B20" s="129" t="s">
        <v>3862</v>
      </c>
    </row>
    <row r="21" spans="1:2" x14ac:dyDescent="0.2">
      <c r="A21" s="123" t="s">
        <v>3856</v>
      </c>
      <c r="B21" s="129" t="s">
        <v>3862</v>
      </c>
    </row>
    <row r="22" spans="1:2" x14ac:dyDescent="0.2">
      <c r="A22" s="123" t="s">
        <v>36</v>
      </c>
      <c r="B22" s="129" t="s">
        <v>3862</v>
      </c>
    </row>
    <row r="23" spans="1:2" x14ac:dyDescent="0.2">
      <c r="A23" s="123" t="s">
        <v>37</v>
      </c>
      <c r="B23" s="129" t="s">
        <v>3862</v>
      </c>
    </row>
    <row r="24" spans="1:2" x14ac:dyDescent="0.2">
      <c r="A24" s="123" t="s">
        <v>38</v>
      </c>
      <c r="B24" s="129" t="s">
        <v>3862</v>
      </c>
    </row>
    <row r="25" spans="1:2" x14ac:dyDescent="0.2">
      <c r="A25" s="123" t="s">
        <v>39</v>
      </c>
      <c r="B25" s="129" t="s">
        <v>3862</v>
      </c>
    </row>
    <row r="26" spans="1:2" x14ac:dyDescent="0.2">
      <c r="A26" s="123" t="s">
        <v>40</v>
      </c>
      <c r="B26" s="129" t="s">
        <v>3862</v>
      </c>
    </row>
    <row r="27" spans="1:2" x14ac:dyDescent="0.2">
      <c r="A27" s="123" t="s">
        <v>41</v>
      </c>
      <c r="B27" s="129" t="s">
        <v>3862</v>
      </c>
    </row>
    <row r="28" spans="1:2" x14ac:dyDescent="0.2">
      <c r="A28" s="123" t="s">
        <v>42</v>
      </c>
      <c r="B28" s="129" t="s">
        <v>3862</v>
      </c>
    </row>
    <row r="29" spans="1:2" x14ac:dyDescent="0.2">
      <c r="A29" s="123" t="s">
        <v>43</v>
      </c>
      <c r="B29" s="129" t="s">
        <v>3862</v>
      </c>
    </row>
    <row r="30" spans="1:2" x14ac:dyDescent="0.2">
      <c r="A30" s="126" t="s">
        <v>44</v>
      </c>
      <c r="B30" s="129" t="s">
        <v>3862</v>
      </c>
    </row>
    <row r="31" spans="1:2" x14ac:dyDescent="0.2">
      <c r="A31" s="123" t="s">
        <v>45</v>
      </c>
      <c r="B31" s="129" t="s">
        <v>3862</v>
      </c>
    </row>
    <row r="32" spans="1:2" x14ac:dyDescent="0.2">
      <c r="A32" s="123" t="s">
        <v>47</v>
      </c>
      <c r="B32" s="129" t="s">
        <v>3862</v>
      </c>
    </row>
    <row r="33" spans="1:2" x14ac:dyDescent="0.2">
      <c r="A33" s="127" t="s">
        <v>1067</v>
      </c>
      <c r="B33" s="130" t="s">
        <v>3862</v>
      </c>
    </row>
    <row r="34" spans="1:2" x14ac:dyDescent="0.2">
      <c r="A34" s="1" t="s">
        <v>3869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3872</v>
      </c>
    </row>
    <row r="2" spans="1:8" ht="18" x14ac:dyDescent="0.2">
      <c r="A2" s="133" t="s">
        <v>0</v>
      </c>
      <c r="B2" s="133"/>
      <c r="C2" s="133"/>
      <c r="D2" s="133"/>
    </row>
    <row r="4" spans="1:8" ht="15" x14ac:dyDescent="0.2">
      <c r="A4" t="s">
        <v>1</v>
      </c>
      <c r="D4" s="74" t="s">
        <v>1097</v>
      </c>
    </row>
    <row r="6" spans="1:8" ht="15" x14ac:dyDescent="0.2">
      <c r="A6" t="s">
        <v>2</v>
      </c>
      <c r="D6" s="74" t="s">
        <v>1108</v>
      </c>
    </row>
    <row r="8" spans="1:8" ht="15" x14ac:dyDescent="0.2">
      <c r="A8" t="s">
        <v>3</v>
      </c>
      <c r="D8" s="128" t="s">
        <v>1113</v>
      </c>
    </row>
    <row r="9" spans="1:8" ht="15" x14ac:dyDescent="0.2">
      <c r="D9" s="24"/>
      <c r="E9" s="24"/>
      <c r="F9" s="24"/>
      <c r="G9" s="24"/>
      <c r="H9" s="24"/>
    </row>
    <row r="10" spans="1:8" ht="15" x14ac:dyDescent="0.2">
      <c r="A10" t="s">
        <v>4</v>
      </c>
      <c r="D10" s="74">
        <v>2024</v>
      </c>
    </row>
    <row r="12" spans="1:8" ht="15" x14ac:dyDescent="0.2">
      <c r="A12" t="s">
        <v>5</v>
      </c>
      <c r="D12" s="74" t="s">
        <v>1199</v>
      </c>
    </row>
    <row r="14" spans="1:8" ht="15" x14ac:dyDescent="0.2">
      <c r="A14" t="s">
        <v>6</v>
      </c>
      <c r="D14" s="75">
        <v>520028390</v>
      </c>
    </row>
    <row r="16" spans="1:8" ht="15" x14ac:dyDescent="0.25">
      <c r="A16" s="15" t="s">
        <v>7</v>
      </c>
      <c r="D16" s="75" t="s">
        <v>3858</v>
      </c>
    </row>
    <row r="17" spans="1:8" ht="15" x14ac:dyDescent="0.25">
      <c r="A17" s="15"/>
      <c r="D17" s="24"/>
      <c r="E17" s="24"/>
      <c r="F17" s="24"/>
      <c r="G17" s="24"/>
      <c r="H17" s="24"/>
    </row>
    <row r="18" spans="1:8" ht="15" x14ac:dyDescent="0.25">
      <c r="A18" s="15" t="s">
        <v>8</v>
      </c>
      <c r="B18" s="13" t="s">
        <v>9</v>
      </c>
      <c r="C18" s="13"/>
      <c r="D18" s="76" t="s">
        <v>3859</v>
      </c>
    </row>
    <row r="19" spans="1:8" x14ac:dyDescent="0.2">
      <c r="A19" s="11"/>
      <c r="D19" s="14"/>
      <c r="E19" s="14"/>
      <c r="F19" s="14"/>
      <c r="G19" s="14"/>
      <c r="H19" s="14"/>
    </row>
    <row r="20" spans="1:8" ht="15" x14ac:dyDescent="0.2">
      <c r="A20" s="11"/>
      <c r="B20" s="13" t="s">
        <v>10</v>
      </c>
      <c r="C20" s="13"/>
      <c r="D20" s="76" t="s">
        <v>3860</v>
      </c>
    </row>
    <row r="21" spans="1:8" x14ac:dyDescent="0.2">
      <c r="A21" s="11"/>
      <c r="D21" s="14"/>
      <c r="E21" s="14"/>
      <c r="F21" s="14"/>
      <c r="G21" s="14"/>
      <c r="H21" s="14"/>
    </row>
    <row r="22" spans="1:8" ht="15" x14ac:dyDescent="0.2">
      <c r="A22" s="11"/>
      <c r="B22" s="13" t="s">
        <v>11</v>
      </c>
      <c r="C22" s="13"/>
      <c r="D22" s="77" t="s">
        <v>3861</v>
      </c>
    </row>
    <row r="23" spans="1:8" x14ac:dyDescent="0.2">
      <c r="A23" s="11"/>
      <c r="B23" s="12"/>
      <c r="C23" s="12"/>
    </row>
    <row r="24" spans="1:8" ht="15" x14ac:dyDescent="0.25">
      <c r="A24" s="15" t="s">
        <v>12</v>
      </c>
      <c r="D24" t="s">
        <v>13</v>
      </c>
    </row>
    <row r="25" spans="1:8" x14ac:dyDescent="0.2">
      <c r="A25" s="1" t="s">
        <v>3869</v>
      </c>
    </row>
    <row r="26" spans="1:8" x14ac:dyDescent="0.2">
      <c r="D26" s="1"/>
    </row>
    <row r="29" spans="1:8" ht="14.1" customHeight="1" x14ac:dyDescent="0.2">
      <c r="A29" s="20"/>
      <c r="D29" s="21"/>
      <c r="E29" s="22"/>
      <c r="F29" s="22"/>
      <c r="G29" s="22"/>
      <c r="H29" s="22"/>
    </row>
    <row r="30" spans="1:8" x14ac:dyDescent="0.2">
      <c r="D30" s="13"/>
      <c r="E30" s="13"/>
      <c r="F30" s="13"/>
      <c r="G30" s="13"/>
      <c r="H30" s="13"/>
    </row>
  </sheetData>
  <conditionalFormatting sqref="D4">
    <cfRule type="containsText" dxfId="921" priority="13" operator="containsText" text="Please fill in data">
      <formula>NOT(ISERROR(SEARCH("Please fill in data",D4)))</formula>
    </cfRule>
  </conditionalFormatting>
  <conditionalFormatting sqref="D6">
    <cfRule type="containsText" dxfId="920" priority="7" operator="containsText" text="Please fill in data">
      <formula>NOT(ISERROR(SEARCH("Please fill in data",D6)))</formula>
    </cfRule>
  </conditionalFormatting>
  <conditionalFormatting sqref="D8:D10">
    <cfRule type="containsText" dxfId="919" priority="5" operator="containsText" text="Please fill in data">
      <formula>NOT(ISERROR(SEARCH("Please fill in data",D8)))</formula>
    </cfRule>
  </conditionalFormatting>
  <conditionalFormatting sqref="D12">
    <cfRule type="containsText" dxfId="918" priority="4" operator="containsText" text="Please fill in data">
      <formula>NOT(ISERROR(SEARCH("Please fill in data",D12)))</formula>
    </cfRule>
  </conditionalFormatting>
  <conditionalFormatting sqref="D14">
    <cfRule type="containsText" dxfId="917" priority="3" operator="containsText" text="Please fill in data">
      <formula>NOT(ISERROR(SEARCH("Please fill in data",D14)))</formula>
    </cfRule>
  </conditionalFormatting>
  <conditionalFormatting sqref="D16:D18">
    <cfRule type="containsText" dxfId="916" priority="1" operator="containsText" text="Please fill in data">
      <formula>NOT(ISERROR(SEARCH("Please fill in data",D16)))</formula>
    </cfRule>
  </conditionalFormatting>
  <conditionalFormatting sqref="D20">
    <cfRule type="containsText" dxfId="915" priority="20" operator="containsText" text="Please fill in data">
      <formula>NOT(ISERROR(SEARCH("Please fill in data",D20)))</formula>
    </cfRule>
  </conditionalFormatting>
  <conditionalFormatting sqref="D22">
    <cfRule type="containsText" dxfId="914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8" customWidth="1"/>
    <col min="2" max="2" width="13" style="9" customWidth="1"/>
    <col min="3" max="3" width="24" style="9" customWidth="1"/>
    <col min="4" max="5" width="13" style="9" customWidth="1"/>
    <col min="6" max="6" width="11.125" style="8" customWidth="1"/>
    <col min="7" max="8" width="8.625" style="8" customWidth="1"/>
    <col min="9" max="10" width="9" style="8"/>
    <col min="11" max="12" width="8.625" style="8" customWidth="1"/>
    <col min="13" max="16384" width="9" style="8"/>
  </cols>
  <sheetData>
    <row r="1" spans="1:6" x14ac:dyDescent="0.2">
      <c r="A1" s="8" t="s">
        <v>3873</v>
      </c>
    </row>
    <row r="2" spans="1:6" ht="18.75" customHeight="1" x14ac:dyDescent="0.2">
      <c r="A2" s="135" t="s">
        <v>3864</v>
      </c>
      <c r="B2" s="136" t="s">
        <v>3865</v>
      </c>
      <c r="C2" s="137" t="s">
        <v>14</v>
      </c>
      <c r="D2" s="138" t="s">
        <v>3866</v>
      </c>
      <c r="E2" s="136" t="s">
        <v>3867</v>
      </c>
      <c r="F2" s="180" t="s">
        <v>3871</v>
      </c>
    </row>
    <row r="3" spans="1:6" ht="39.75" customHeight="1" x14ac:dyDescent="0.2">
      <c r="A3" s="135" t="s">
        <v>3863</v>
      </c>
      <c r="B3" s="136" t="s">
        <v>15</v>
      </c>
      <c r="C3" s="136" t="s">
        <v>16</v>
      </c>
      <c r="D3" s="136" t="s">
        <v>17</v>
      </c>
      <c r="E3" s="136" t="s">
        <v>18</v>
      </c>
      <c r="F3" s="180"/>
    </row>
    <row r="4" spans="1:6" ht="15" x14ac:dyDescent="0.2">
      <c r="A4" s="134" t="s">
        <v>19</v>
      </c>
      <c r="B4" s="119">
        <v>566433.51320000004</v>
      </c>
      <c r="C4" s="124" t="s">
        <v>3853</v>
      </c>
      <c r="D4" s="124" t="s">
        <v>3853</v>
      </c>
      <c r="E4" s="119">
        <v>3.3406217838409304</v>
      </c>
      <c r="F4" s="180"/>
    </row>
    <row r="5" spans="1:6" ht="15" x14ac:dyDescent="0.2">
      <c r="A5" s="131" t="s">
        <v>20</v>
      </c>
      <c r="B5" s="119">
        <v>983689.24840000004</v>
      </c>
      <c r="C5" s="124" t="s">
        <v>3853</v>
      </c>
      <c r="D5" s="124" t="s">
        <v>3853</v>
      </c>
      <c r="E5" s="119">
        <v>5.8014465165605342</v>
      </c>
      <c r="F5" s="180"/>
    </row>
    <row r="6" spans="1:6" ht="15" x14ac:dyDescent="0.2">
      <c r="A6" s="131" t="s">
        <v>21</v>
      </c>
      <c r="B6" s="124" t="s">
        <v>3853</v>
      </c>
      <c r="C6" s="124" t="s">
        <v>3853</v>
      </c>
      <c r="D6" s="124" t="s">
        <v>3853</v>
      </c>
      <c r="E6" s="124" t="s">
        <v>3853</v>
      </c>
      <c r="F6" s="180"/>
    </row>
    <row r="7" spans="1:6" ht="15" x14ac:dyDescent="0.2">
      <c r="A7" s="131" t="s">
        <v>22</v>
      </c>
      <c r="B7" s="119">
        <v>959743.44559999998</v>
      </c>
      <c r="C7" s="124" t="s">
        <v>3853</v>
      </c>
      <c r="D7" s="124" t="s">
        <v>3853</v>
      </c>
      <c r="E7" s="119">
        <v>5.660222756245294</v>
      </c>
      <c r="F7" s="180"/>
    </row>
    <row r="8" spans="1:6" ht="15" x14ac:dyDescent="0.2">
      <c r="A8" s="131" t="s">
        <v>23</v>
      </c>
      <c r="B8" s="119">
        <v>1680999.9650999999</v>
      </c>
      <c r="C8" s="124" t="s">
        <v>3853</v>
      </c>
      <c r="D8" s="124" t="s">
        <v>3853</v>
      </c>
      <c r="E8" s="119">
        <v>9.9139351244463523</v>
      </c>
      <c r="F8" s="180"/>
    </row>
    <row r="9" spans="1:6" ht="15" x14ac:dyDescent="0.2">
      <c r="A9" s="131" t="s">
        <v>24</v>
      </c>
      <c r="B9" s="119">
        <v>1933960.0803</v>
      </c>
      <c r="C9" s="124" t="s">
        <v>3853</v>
      </c>
      <c r="D9" s="124" t="s">
        <v>3853</v>
      </c>
      <c r="E9" s="119">
        <v>11.405803193314364</v>
      </c>
      <c r="F9" s="180"/>
    </row>
    <row r="10" spans="1:6" ht="15" x14ac:dyDescent="0.2">
      <c r="A10" s="131" t="s">
        <v>25</v>
      </c>
      <c r="B10" s="119">
        <v>274731.57650000002</v>
      </c>
      <c r="C10" s="124" t="s">
        <v>3853</v>
      </c>
      <c r="D10" s="124" t="s">
        <v>3853</v>
      </c>
      <c r="E10" s="119">
        <v>1.6202683421118318</v>
      </c>
      <c r="F10" s="180"/>
    </row>
    <row r="11" spans="1:6" ht="15" x14ac:dyDescent="0.2">
      <c r="A11" s="131" t="s">
        <v>26</v>
      </c>
      <c r="B11" s="119">
        <v>76.587199999999996</v>
      </c>
      <c r="C11" s="124" t="s">
        <v>3853</v>
      </c>
      <c r="D11" s="124" t="s">
        <v>3853</v>
      </c>
      <c r="E11" s="119">
        <v>4.5168388365438472E-4</v>
      </c>
      <c r="F11" s="180"/>
    </row>
    <row r="12" spans="1:6" ht="15" x14ac:dyDescent="0.2">
      <c r="A12" s="131" t="s">
        <v>27</v>
      </c>
      <c r="B12" s="119">
        <v>-721.92</v>
      </c>
      <c r="C12" s="124" t="s">
        <v>3853</v>
      </c>
      <c r="D12" s="124" t="s">
        <v>3853</v>
      </c>
      <c r="E12" s="119">
        <v>-4.2576253383889064E-3</v>
      </c>
      <c r="F12" s="180"/>
    </row>
    <row r="13" spans="1:6" ht="15" x14ac:dyDescent="0.2">
      <c r="A13" s="131" t="s">
        <v>28</v>
      </c>
      <c r="B13" s="119">
        <v>656.23490000000004</v>
      </c>
      <c r="C13" s="124" t="s">
        <v>3853</v>
      </c>
      <c r="D13" s="124" t="s">
        <v>3853</v>
      </c>
      <c r="E13" s="119">
        <v>3.8702384215051526E-3</v>
      </c>
      <c r="F13" s="180"/>
    </row>
    <row r="14" spans="1:6" ht="15" x14ac:dyDescent="0.2">
      <c r="A14" s="131" t="s">
        <v>29</v>
      </c>
      <c r="B14" s="119">
        <v>48949.310299999997</v>
      </c>
      <c r="C14" s="124" t="s">
        <v>3853</v>
      </c>
      <c r="D14" s="124" t="s">
        <v>3853</v>
      </c>
      <c r="E14" s="119">
        <v>0.28868548274164713</v>
      </c>
      <c r="F14" s="180"/>
    </row>
    <row r="15" spans="1:6" ht="15" x14ac:dyDescent="0.2">
      <c r="A15" s="131" t="s">
        <v>30</v>
      </c>
      <c r="B15" s="124" t="s">
        <v>3853</v>
      </c>
      <c r="C15" s="124" t="s">
        <v>3853</v>
      </c>
      <c r="D15" s="124" t="s">
        <v>3853</v>
      </c>
      <c r="E15" s="124" t="s">
        <v>3853</v>
      </c>
      <c r="F15" s="180"/>
    </row>
    <row r="16" spans="1:6" ht="15" x14ac:dyDescent="0.2">
      <c r="A16" s="131" t="s">
        <v>31</v>
      </c>
      <c r="B16" s="124" t="s">
        <v>3853</v>
      </c>
      <c r="C16" s="124" t="s">
        <v>3853</v>
      </c>
      <c r="D16" s="124" t="s">
        <v>3853</v>
      </c>
      <c r="E16" s="124" t="s">
        <v>3853</v>
      </c>
      <c r="F16" s="180"/>
    </row>
    <row r="17" spans="1:6" ht="15" x14ac:dyDescent="0.2">
      <c r="A17" s="131" t="s">
        <v>32</v>
      </c>
      <c r="B17" s="124" t="s">
        <v>3853</v>
      </c>
      <c r="C17" s="124" t="s">
        <v>3853</v>
      </c>
      <c r="D17" s="124" t="s">
        <v>3853</v>
      </c>
      <c r="E17" s="124" t="s">
        <v>3853</v>
      </c>
      <c r="F17" s="180"/>
    </row>
    <row r="18" spans="1:6" ht="15" x14ac:dyDescent="0.2">
      <c r="A18" s="131" t="s">
        <v>33</v>
      </c>
      <c r="B18" s="124" t="s">
        <v>3853</v>
      </c>
      <c r="C18" s="124" t="s">
        <v>3853</v>
      </c>
      <c r="D18" s="124" t="s">
        <v>3853</v>
      </c>
      <c r="E18" s="124" t="s">
        <v>3853</v>
      </c>
      <c r="F18" s="180"/>
    </row>
    <row r="19" spans="1:6" ht="15" x14ac:dyDescent="0.2">
      <c r="A19" s="131" t="s">
        <v>34</v>
      </c>
      <c r="B19" s="119">
        <v>10948.859899999999</v>
      </c>
      <c r="C19" s="124" t="s">
        <v>3853</v>
      </c>
      <c r="D19" s="124" t="s">
        <v>3853</v>
      </c>
      <c r="E19" s="119">
        <v>6.4572450609651152E-2</v>
      </c>
      <c r="F19" s="180"/>
    </row>
    <row r="20" spans="1:6" ht="15" x14ac:dyDescent="0.2">
      <c r="A20" s="131" t="s">
        <v>35</v>
      </c>
      <c r="B20" s="119">
        <v>295185.82900000003</v>
      </c>
      <c r="C20" s="124" t="s">
        <v>3853</v>
      </c>
      <c r="D20" s="124" t="s">
        <v>3853</v>
      </c>
      <c r="E20" s="119">
        <v>1.7409001900129581</v>
      </c>
      <c r="F20" s="180"/>
    </row>
    <row r="21" spans="1:6" ht="15" x14ac:dyDescent="0.2">
      <c r="A21" s="131" t="s">
        <v>36</v>
      </c>
      <c r="B21" s="119">
        <v>1490692.8737000001</v>
      </c>
      <c r="C21" s="124" t="s">
        <v>3853</v>
      </c>
      <c r="D21" s="124" t="s">
        <v>3853</v>
      </c>
      <c r="E21" s="119">
        <v>8.7915721280848125</v>
      </c>
      <c r="F21" s="180"/>
    </row>
    <row r="22" spans="1:6" ht="15" x14ac:dyDescent="0.2">
      <c r="A22" s="131" t="s">
        <v>37</v>
      </c>
      <c r="B22" s="119">
        <v>989.81719999999996</v>
      </c>
      <c r="C22" s="124" t="s">
        <v>3853</v>
      </c>
      <c r="D22" s="124" t="s">
        <v>3853</v>
      </c>
      <c r="E22" s="119">
        <v>5.8375872363056521E-3</v>
      </c>
      <c r="F22" s="180"/>
    </row>
    <row r="23" spans="1:6" ht="15" x14ac:dyDescent="0.2">
      <c r="A23" s="131" t="s">
        <v>38</v>
      </c>
      <c r="B23" s="124" t="s">
        <v>3853</v>
      </c>
      <c r="C23" s="124" t="s">
        <v>3853</v>
      </c>
      <c r="D23" s="124" t="s">
        <v>3853</v>
      </c>
      <c r="E23" s="124" t="s">
        <v>3853</v>
      </c>
      <c r="F23" s="180"/>
    </row>
    <row r="24" spans="1:6" ht="15" x14ac:dyDescent="0.2">
      <c r="A24" s="131" t="s">
        <v>39</v>
      </c>
      <c r="B24" s="119">
        <v>-32533.169900000001</v>
      </c>
      <c r="C24" s="124" t="s">
        <v>3853</v>
      </c>
      <c r="D24" s="124" t="s">
        <v>3853</v>
      </c>
      <c r="E24" s="119">
        <v>-0.19186897205588901</v>
      </c>
      <c r="F24" s="180"/>
    </row>
    <row r="25" spans="1:6" ht="15" x14ac:dyDescent="0.2">
      <c r="A25" s="131" t="s">
        <v>40</v>
      </c>
      <c r="B25" s="119">
        <v>215582.63070000001</v>
      </c>
      <c r="C25" s="124" t="s">
        <v>3853</v>
      </c>
      <c r="D25" s="124" t="s">
        <v>3853</v>
      </c>
      <c r="E25" s="119">
        <v>1.2714290654309284</v>
      </c>
      <c r="F25" s="180"/>
    </row>
    <row r="26" spans="1:6" ht="15" x14ac:dyDescent="0.2">
      <c r="A26" s="131" t="s">
        <v>41</v>
      </c>
      <c r="B26" s="119">
        <v>48580.446199999998</v>
      </c>
      <c r="C26" s="124" t="s">
        <v>3853</v>
      </c>
      <c r="D26" s="124" t="s">
        <v>3853</v>
      </c>
      <c r="E26" s="119">
        <v>0.28651005445350891</v>
      </c>
      <c r="F26" s="180"/>
    </row>
    <row r="27" spans="1:6" ht="15" x14ac:dyDescent="0.2">
      <c r="A27" s="131" t="s">
        <v>42</v>
      </c>
      <c r="B27" s="124" t="s">
        <v>3853</v>
      </c>
      <c r="C27" s="124" t="s">
        <v>3853</v>
      </c>
      <c r="D27" s="124" t="s">
        <v>3853</v>
      </c>
      <c r="E27" s="124" t="s">
        <v>3853</v>
      </c>
      <c r="F27" s="180"/>
    </row>
    <row r="28" spans="1:6" ht="15" x14ac:dyDescent="0.2">
      <c r="A28" s="131" t="s">
        <v>43</v>
      </c>
      <c r="B28" s="124" t="s">
        <v>3853</v>
      </c>
      <c r="C28" s="124" t="s">
        <v>3853</v>
      </c>
      <c r="D28" s="124" t="s">
        <v>3853</v>
      </c>
      <c r="E28" s="124" t="s">
        <v>3853</v>
      </c>
      <c r="F28" s="180"/>
    </row>
    <row r="29" spans="1:6" ht="15" x14ac:dyDescent="0.2">
      <c r="A29" s="131" t="s">
        <v>44</v>
      </c>
      <c r="B29" s="124" t="s">
        <v>3853</v>
      </c>
      <c r="C29" s="124" t="s">
        <v>3853</v>
      </c>
      <c r="D29" s="124" t="s">
        <v>3853</v>
      </c>
      <c r="E29" s="124" t="s">
        <v>3853</v>
      </c>
      <c r="F29" s="180"/>
    </row>
    <row r="30" spans="1:6" ht="15" x14ac:dyDescent="0.2">
      <c r="A30" s="131" t="s">
        <v>45</v>
      </c>
      <c r="B30" s="124" t="s">
        <v>3853</v>
      </c>
      <c r="C30" s="124" t="s">
        <v>3853</v>
      </c>
      <c r="D30" s="124" t="s">
        <v>3853</v>
      </c>
      <c r="E30" s="124" t="s">
        <v>3853</v>
      </c>
      <c r="F30" s="180"/>
    </row>
    <row r="31" spans="1:6" x14ac:dyDescent="0.2">
      <c r="A31" s="132" t="s">
        <v>46</v>
      </c>
      <c r="B31" s="34">
        <v>8477965.3282999992</v>
      </c>
      <c r="C31" s="34">
        <f>SUM(C4:C30)</f>
        <v>0</v>
      </c>
      <c r="D31" s="34">
        <f>SUM(D4:D30)</f>
        <v>0</v>
      </c>
      <c r="E31" s="34">
        <f>SUM(E4:E30)</f>
        <v>50.000000000000007</v>
      </c>
      <c r="F31" s="180"/>
    </row>
    <row r="32" spans="1:6" ht="15" x14ac:dyDescent="0.2">
      <c r="A32" s="131" t="s">
        <v>47</v>
      </c>
      <c r="B32" s="124" t="s">
        <v>3853</v>
      </c>
      <c r="C32" s="124" t="s">
        <v>3853</v>
      </c>
      <c r="D32" s="124" t="s">
        <v>3853</v>
      </c>
      <c r="E32" s="124" t="s">
        <v>3853</v>
      </c>
      <c r="F32" s="180"/>
    </row>
    <row r="33" spans="1:6" ht="15" x14ac:dyDescent="0.2">
      <c r="A33" s="131" t="s">
        <v>48</v>
      </c>
      <c r="B33" s="122">
        <v>460890.311350403</v>
      </c>
      <c r="C33" s="124" t="s">
        <v>3853</v>
      </c>
      <c r="D33" s="124" t="s">
        <v>3853</v>
      </c>
      <c r="E33" s="124" t="s">
        <v>3853</v>
      </c>
      <c r="F33" s="180"/>
    </row>
    <row r="34" spans="1:6" x14ac:dyDescent="0.2">
      <c r="A34" s="180" t="s">
        <v>3870</v>
      </c>
      <c r="B34" s="180"/>
      <c r="C34" s="180"/>
      <c r="D34" s="180"/>
      <c r="E34" s="180"/>
    </row>
    <row r="35" spans="1:6" x14ac:dyDescent="0.2">
      <c r="A35" s="8" t="s">
        <v>3869</v>
      </c>
    </row>
    <row r="36" spans="1:6" x14ac:dyDescent="0.2">
      <c r="A36" s="175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2" style="2" bestFit="1" customWidth="1"/>
    <col min="4" max="4" width="13.75" style="2" customWidth="1"/>
    <col min="5" max="5" width="16.5" style="4" customWidth="1"/>
    <col min="6" max="6" width="27.5" style="2" bestFit="1" customWidth="1"/>
    <col min="7" max="7" width="10.625" style="2" customWidth="1"/>
    <col min="8" max="8" width="15.125" style="2" customWidth="1"/>
    <col min="9" max="9" width="10.25" style="2" customWidth="1"/>
    <col min="10" max="10" width="12.25" style="2" bestFit="1" customWidth="1"/>
    <col min="11" max="11" width="11.75" style="2" customWidth="1"/>
    <col min="12" max="12" width="10.375" style="2" bestFit="1" customWidth="1"/>
    <col min="13" max="13" width="10.5" style="2" customWidth="1"/>
    <col min="14" max="14" width="11.1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3874</v>
      </c>
    </row>
    <row r="2" spans="1:18" s="3" customFormat="1" ht="66.75" customHeight="1" x14ac:dyDescent="0.2">
      <c r="A2" s="139" t="s">
        <v>49</v>
      </c>
      <c r="B2" s="140" t="s">
        <v>50</v>
      </c>
      <c r="C2" s="140" t="s">
        <v>51</v>
      </c>
      <c r="D2" s="140" t="s">
        <v>52</v>
      </c>
      <c r="E2" s="140" t="s">
        <v>53</v>
      </c>
      <c r="F2" s="140" t="s">
        <v>54</v>
      </c>
      <c r="G2" s="140" t="s">
        <v>55</v>
      </c>
      <c r="H2" s="140" t="s">
        <v>56</v>
      </c>
      <c r="I2" s="140" t="s">
        <v>57</v>
      </c>
      <c r="J2" s="140" t="s">
        <v>58</v>
      </c>
      <c r="K2" s="140" t="s">
        <v>59</v>
      </c>
      <c r="L2" s="140" t="s">
        <v>60</v>
      </c>
      <c r="M2" s="140" t="s">
        <v>61</v>
      </c>
      <c r="N2" s="140" t="s">
        <v>62</v>
      </c>
      <c r="O2" s="140" t="s">
        <v>63</v>
      </c>
      <c r="P2" s="140" t="s">
        <v>64</v>
      </c>
      <c r="Q2" s="141" t="s">
        <v>65</v>
      </c>
      <c r="R2" s="182" t="s">
        <v>3871</v>
      </c>
    </row>
    <row r="3" spans="1:18" ht="15" x14ac:dyDescent="0.2">
      <c r="A3" s="142" t="s">
        <v>1205</v>
      </c>
      <c r="B3" s="143" t="s">
        <v>1206</v>
      </c>
      <c r="C3" s="143" t="s">
        <v>1207</v>
      </c>
      <c r="D3" s="143" t="s">
        <v>1208</v>
      </c>
      <c r="E3" s="143" t="s">
        <v>315</v>
      </c>
      <c r="F3" s="143" t="s">
        <v>934</v>
      </c>
      <c r="G3" s="143" t="s">
        <v>204</v>
      </c>
      <c r="H3" s="143" t="s">
        <v>339</v>
      </c>
      <c r="I3" s="143" t="s">
        <v>1209</v>
      </c>
      <c r="J3" s="143" t="s">
        <v>415</v>
      </c>
      <c r="K3" s="143" t="s">
        <v>1210</v>
      </c>
      <c r="L3" s="144">
        <v>979.45249999999999</v>
      </c>
      <c r="M3" s="145" t="s">
        <v>3853</v>
      </c>
      <c r="N3" s="145" t="s">
        <v>3853</v>
      </c>
      <c r="O3" s="144">
        <v>979.45249999999999</v>
      </c>
      <c r="P3" s="146">
        <v>0.86484608576765576</v>
      </c>
      <c r="Q3" s="147">
        <v>6.632850916857097E-2</v>
      </c>
      <c r="R3" s="182"/>
    </row>
    <row r="4" spans="1:18" ht="15" x14ac:dyDescent="0.2">
      <c r="A4" s="142" t="s">
        <v>1205</v>
      </c>
      <c r="B4" s="143" t="s">
        <v>1206</v>
      </c>
      <c r="C4" s="143" t="s">
        <v>1207</v>
      </c>
      <c r="D4" s="143" t="s">
        <v>1208</v>
      </c>
      <c r="E4" s="143" t="s">
        <v>315</v>
      </c>
      <c r="F4" s="143" t="s">
        <v>936</v>
      </c>
      <c r="G4" s="143" t="s">
        <v>204</v>
      </c>
      <c r="H4" s="143" t="s">
        <v>339</v>
      </c>
      <c r="I4" s="143" t="s">
        <v>1209</v>
      </c>
      <c r="J4" s="143" t="s">
        <v>415</v>
      </c>
      <c r="K4" s="143" t="s">
        <v>1211</v>
      </c>
      <c r="L4" s="144">
        <v>21.657</v>
      </c>
      <c r="M4" s="143" t="s">
        <v>1212</v>
      </c>
      <c r="N4" s="145" t="s">
        <v>3853</v>
      </c>
      <c r="O4" s="144">
        <v>81.408600000000007</v>
      </c>
      <c r="P4" s="146">
        <v>7.1882910470402739E-2</v>
      </c>
      <c r="Q4" s="147">
        <v>5.5129882237572921E-3</v>
      </c>
      <c r="R4" s="182"/>
    </row>
    <row r="5" spans="1:18" ht="15" x14ac:dyDescent="0.2">
      <c r="A5" s="142" t="s">
        <v>1205</v>
      </c>
      <c r="B5" s="143" t="s">
        <v>1206</v>
      </c>
      <c r="C5" s="143" t="s">
        <v>1207</v>
      </c>
      <c r="D5" s="143" t="s">
        <v>1208</v>
      </c>
      <c r="E5" s="143" t="s">
        <v>315</v>
      </c>
      <c r="F5" s="143" t="s">
        <v>938</v>
      </c>
      <c r="G5" s="143" t="s">
        <v>204</v>
      </c>
      <c r="H5" s="143" t="s">
        <v>339</v>
      </c>
      <c r="I5" s="143" t="s">
        <v>1209</v>
      </c>
      <c r="J5" s="143" t="s">
        <v>415</v>
      </c>
      <c r="K5" s="143" t="s">
        <v>1210</v>
      </c>
      <c r="L5" s="144">
        <v>71.655500000000004</v>
      </c>
      <c r="M5" s="145" t="s">
        <v>3853</v>
      </c>
      <c r="N5" s="145" t="s">
        <v>3853</v>
      </c>
      <c r="O5" s="144">
        <v>71.655500000000004</v>
      </c>
      <c r="P5" s="146">
        <v>6.3271003761941474E-2</v>
      </c>
      <c r="Q5" s="147">
        <v>4.8525066161380246E-3</v>
      </c>
      <c r="R5" s="182"/>
    </row>
    <row r="6" spans="1:18" ht="15" x14ac:dyDescent="0.2">
      <c r="A6" s="142" t="s">
        <v>1205</v>
      </c>
      <c r="B6" s="143" t="s">
        <v>1213</v>
      </c>
      <c r="C6" s="143" t="s">
        <v>1207</v>
      </c>
      <c r="D6" s="143" t="s">
        <v>1208</v>
      </c>
      <c r="E6" s="143" t="s">
        <v>315</v>
      </c>
      <c r="F6" s="143" t="s">
        <v>934</v>
      </c>
      <c r="G6" s="143" t="s">
        <v>204</v>
      </c>
      <c r="H6" s="143" t="s">
        <v>339</v>
      </c>
      <c r="I6" s="143" t="s">
        <v>1209</v>
      </c>
      <c r="J6" s="143" t="s">
        <v>415</v>
      </c>
      <c r="K6" s="143" t="s">
        <v>1210</v>
      </c>
      <c r="L6" s="144">
        <v>245.553</v>
      </c>
      <c r="M6" s="145" t="s">
        <v>3853</v>
      </c>
      <c r="N6" s="145" t="s">
        <v>3853</v>
      </c>
      <c r="O6" s="144">
        <v>245.553</v>
      </c>
      <c r="P6" s="146">
        <v>0.99831693402338872</v>
      </c>
      <c r="Q6" s="147">
        <v>7.2475080840923592E-2</v>
      </c>
      <c r="R6" s="182"/>
    </row>
    <row r="7" spans="1:18" ht="15" x14ac:dyDescent="0.2">
      <c r="A7" s="142" t="s">
        <v>1205</v>
      </c>
      <c r="B7" s="143" t="s">
        <v>1213</v>
      </c>
      <c r="C7" s="143" t="s">
        <v>1207</v>
      </c>
      <c r="D7" s="143" t="s">
        <v>1208</v>
      </c>
      <c r="E7" s="143" t="s">
        <v>315</v>
      </c>
      <c r="F7" s="143" t="s">
        <v>936</v>
      </c>
      <c r="G7" s="143" t="s">
        <v>204</v>
      </c>
      <c r="H7" s="143" t="s">
        <v>339</v>
      </c>
      <c r="I7" s="143" t="s">
        <v>1209</v>
      </c>
      <c r="J7" s="143" t="s">
        <v>415</v>
      </c>
      <c r="K7" s="143" t="s">
        <v>1211</v>
      </c>
      <c r="L7" s="144">
        <v>0.11009999999999999</v>
      </c>
      <c r="M7" s="143" t="s">
        <v>1212</v>
      </c>
      <c r="N7" s="145" t="s">
        <v>3853</v>
      </c>
      <c r="O7" s="144">
        <v>0.41399999999999998</v>
      </c>
      <c r="P7" s="146">
        <v>1.6830659766112427E-3</v>
      </c>
      <c r="Q7" s="147">
        <v>1.2218598979775498E-4</v>
      </c>
      <c r="R7" s="182"/>
    </row>
    <row r="8" spans="1:18" ht="15" x14ac:dyDescent="0.2">
      <c r="A8" s="142" t="s">
        <v>1205</v>
      </c>
      <c r="B8" s="143" t="s">
        <v>1205</v>
      </c>
      <c r="C8" s="143" t="s">
        <v>1207</v>
      </c>
      <c r="D8" s="143" t="s">
        <v>1208</v>
      </c>
      <c r="E8" s="143" t="s">
        <v>315</v>
      </c>
      <c r="F8" s="143" t="s">
        <v>934</v>
      </c>
      <c r="G8" s="143" t="s">
        <v>204</v>
      </c>
      <c r="H8" s="143" t="s">
        <v>339</v>
      </c>
      <c r="I8" s="143" t="s">
        <v>1209</v>
      </c>
      <c r="J8" s="143" t="s">
        <v>415</v>
      </c>
      <c r="K8" s="143" t="s">
        <v>1210</v>
      </c>
      <c r="L8" s="144">
        <v>9060.3505000000005</v>
      </c>
      <c r="M8" s="145" t="s">
        <v>3853</v>
      </c>
      <c r="N8" s="145" t="s">
        <v>3853</v>
      </c>
      <c r="O8" s="144">
        <v>9060.3505000000005</v>
      </c>
      <c r="P8" s="146">
        <v>0.29271609798038123</v>
      </c>
      <c r="Q8" s="147">
        <v>1.3680212863513624E-2</v>
      </c>
      <c r="R8" s="182"/>
    </row>
    <row r="9" spans="1:18" ht="15" x14ac:dyDescent="0.2">
      <c r="A9" s="142" t="s">
        <v>1205</v>
      </c>
      <c r="B9" s="143" t="s">
        <v>1205</v>
      </c>
      <c r="C9" s="143" t="s">
        <v>1207</v>
      </c>
      <c r="D9" s="143" t="s">
        <v>1208</v>
      </c>
      <c r="E9" s="143" t="s">
        <v>315</v>
      </c>
      <c r="F9" s="143" t="s">
        <v>936</v>
      </c>
      <c r="G9" s="143" t="s">
        <v>204</v>
      </c>
      <c r="H9" s="143" t="s">
        <v>339</v>
      </c>
      <c r="I9" s="143" t="s">
        <v>1209</v>
      </c>
      <c r="J9" s="143" t="s">
        <v>415</v>
      </c>
      <c r="K9" s="143" t="s">
        <v>1211</v>
      </c>
      <c r="L9" s="144">
        <v>3889.0093999999999</v>
      </c>
      <c r="M9" s="143" t="s">
        <v>1212</v>
      </c>
      <c r="N9" s="145" t="s">
        <v>3853</v>
      </c>
      <c r="O9" s="144">
        <v>14618.786400000001</v>
      </c>
      <c r="P9" s="146">
        <v>0.47229454270976012</v>
      </c>
      <c r="Q9" s="147">
        <v>2.2072888792670321E-2</v>
      </c>
      <c r="R9" s="182"/>
    </row>
    <row r="10" spans="1:18" ht="15" x14ac:dyDescent="0.2">
      <c r="A10" s="142" t="s">
        <v>1205</v>
      </c>
      <c r="B10" s="143" t="s">
        <v>1205</v>
      </c>
      <c r="C10" s="143" t="s">
        <v>1207</v>
      </c>
      <c r="D10" s="143" t="s">
        <v>1208</v>
      </c>
      <c r="E10" s="143" t="s">
        <v>315</v>
      </c>
      <c r="F10" s="143" t="s">
        <v>936</v>
      </c>
      <c r="G10" s="143" t="s">
        <v>204</v>
      </c>
      <c r="H10" s="143" t="s">
        <v>339</v>
      </c>
      <c r="I10" s="143" t="s">
        <v>1209</v>
      </c>
      <c r="J10" s="143" t="s">
        <v>415</v>
      </c>
      <c r="K10" s="143" t="s">
        <v>1210</v>
      </c>
      <c r="L10" s="144">
        <v>1355.7811000000002</v>
      </c>
      <c r="M10" s="145" t="s">
        <v>3853</v>
      </c>
      <c r="N10" s="145" t="s">
        <v>3853</v>
      </c>
      <c r="O10" s="144">
        <v>1355.7811000000002</v>
      </c>
      <c r="P10" s="146">
        <v>4.3801721232751716E-2</v>
      </c>
      <c r="Q10" s="147">
        <v>2.0470922999680369E-3</v>
      </c>
      <c r="R10" s="182"/>
    </row>
    <row r="11" spans="1:18" ht="15" x14ac:dyDescent="0.2">
      <c r="A11" s="142" t="s">
        <v>1205</v>
      </c>
      <c r="B11" s="143" t="s">
        <v>1205</v>
      </c>
      <c r="C11" s="143" t="s">
        <v>1207</v>
      </c>
      <c r="D11" s="143" t="s">
        <v>1208</v>
      </c>
      <c r="E11" s="143" t="s">
        <v>315</v>
      </c>
      <c r="F11" s="143" t="s">
        <v>936</v>
      </c>
      <c r="G11" s="143" t="s">
        <v>204</v>
      </c>
      <c r="H11" s="143" t="s">
        <v>339</v>
      </c>
      <c r="I11" s="143" t="s">
        <v>1209</v>
      </c>
      <c r="J11" s="143" t="s">
        <v>415</v>
      </c>
      <c r="K11" s="143" t="s">
        <v>1214</v>
      </c>
      <c r="L11" s="144">
        <v>82.438600000000008</v>
      </c>
      <c r="M11" s="143" t="s">
        <v>1215</v>
      </c>
      <c r="N11" s="145" t="s">
        <v>3853</v>
      </c>
      <c r="O11" s="144">
        <v>331.41970000000003</v>
      </c>
      <c r="P11" s="146">
        <v>1.0707300197103552E-2</v>
      </c>
      <c r="Q11" s="147">
        <v>5.0041028457456201E-4</v>
      </c>
      <c r="R11" s="182"/>
    </row>
    <row r="12" spans="1:18" ht="15" x14ac:dyDescent="0.2">
      <c r="A12" s="142" t="s">
        <v>1205</v>
      </c>
      <c r="B12" s="143" t="s">
        <v>1205</v>
      </c>
      <c r="C12" s="143" t="s">
        <v>1207</v>
      </c>
      <c r="D12" s="143" t="s">
        <v>1208</v>
      </c>
      <c r="E12" s="143" t="s">
        <v>315</v>
      </c>
      <c r="F12" s="143" t="s">
        <v>936</v>
      </c>
      <c r="G12" s="143" t="s">
        <v>204</v>
      </c>
      <c r="H12" s="143" t="s">
        <v>339</v>
      </c>
      <c r="I12" s="143" t="s">
        <v>1209</v>
      </c>
      <c r="J12" s="143" t="s">
        <v>415</v>
      </c>
      <c r="K12" s="143" t="s">
        <v>1216</v>
      </c>
      <c r="L12" s="144">
        <v>66.703199999999995</v>
      </c>
      <c r="M12" s="143" t="s">
        <v>1217</v>
      </c>
      <c r="N12" s="145" t="s">
        <v>3853</v>
      </c>
      <c r="O12" s="144">
        <v>316.8734</v>
      </c>
      <c r="P12" s="146">
        <v>1.0237344962110489E-2</v>
      </c>
      <c r="Q12" s="147">
        <v>4.7844672433518444E-4</v>
      </c>
      <c r="R12" s="182"/>
    </row>
    <row r="13" spans="1:18" ht="15" x14ac:dyDescent="0.2">
      <c r="A13" s="142" t="s">
        <v>1205</v>
      </c>
      <c r="B13" s="143" t="s">
        <v>1205</v>
      </c>
      <c r="C13" s="143" t="s">
        <v>1207</v>
      </c>
      <c r="D13" s="143" t="s">
        <v>1208</v>
      </c>
      <c r="E13" s="143" t="s">
        <v>315</v>
      </c>
      <c r="F13" s="143" t="s">
        <v>938</v>
      </c>
      <c r="G13" s="143" t="s">
        <v>204</v>
      </c>
      <c r="H13" s="143" t="s">
        <v>339</v>
      </c>
      <c r="I13" s="143" t="s">
        <v>1209</v>
      </c>
      <c r="J13" s="143" t="s">
        <v>415</v>
      </c>
      <c r="K13" s="143" t="s">
        <v>1210</v>
      </c>
      <c r="L13" s="144">
        <v>5269.4785000000002</v>
      </c>
      <c r="M13" s="145" t="s">
        <v>3853</v>
      </c>
      <c r="N13" s="145" t="s">
        <v>3853</v>
      </c>
      <c r="O13" s="144">
        <v>5269.4785000000002</v>
      </c>
      <c r="P13" s="146">
        <v>0.17024299291789288</v>
      </c>
      <c r="Q13" s="147">
        <v>7.9563795695121332E-3</v>
      </c>
      <c r="R13" s="182"/>
    </row>
    <row r="14" spans="1:18" ht="15" x14ac:dyDescent="0.2">
      <c r="A14" s="142" t="s">
        <v>1218</v>
      </c>
      <c r="B14" s="143" t="s">
        <v>1219</v>
      </c>
      <c r="C14" s="143" t="s">
        <v>1207</v>
      </c>
      <c r="D14" s="143" t="s">
        <v>1208</v>
      </c>
      <c r="E14" s="143" t="s">
        <v>315</v>
      </c>
      <c r="F14" s="143" t="s">
        <v>934</v>
      </c>
      <c r="G14" s="143" t="s">
        <v>204</v>
      </c>
      <c r="H14" s="143" t="s">
        <v>339</v>
      </c>
      <c r="I14" s="143" t="s">
        <v>1209</v>
      </c>
      <c r="J14" s="143" t="s">
        <v>415</v>
      </c>
      <c r="K14" s="143" t="s">
        <v>1210</v>
      </c>
      <c r="L14" s="144">
        <v>23537.272100000002</v>
      </c>
      <c r="M14" s="145" t="s">
        <v>3853</v>
      </c>
      <c r="N14" s="145" t="s">
        <v>3853</v>
      </c>
      <c r="O14" s="144">
        <v>23537.272100000002</v>
      </c>
      <c r="P14" s="146">
        <v>0.87520862817224176</v>
      </c>
      <c r="Q14" s="147">
        <v>8.2963056634925536E-2</v>
      </c>
      <c r="R14" s="182"/>
    </row>
    <row r="15" spans="1:18" ht="15" x14ac:dyDescent="0.2">
      <c r="A15" s="142" t="s">
        <v>1218</v>
      </c>
      <c r="B15" s="143" t="s">
        <v>1219</v>
      </c>
      <c r="C15" s="143" t="s">
        <v>1207</v>
      </c>
      <c r="D15" s="143" t="s">
        <v>1208</v>
      </c>
      <c r="E15" s="143" t="s">
        <v>315</v>
      </c>
      <c r="F15" s="143" t="s">
        <v>936</v>
      </c>
      <c r="G15" s="143" t="s">
        <v>204</v>
      </c>
      <c r="H15" s="143" t="s">
        <v>339</v>
      </c>
      <c r="I15" s="143" t="s">
        <v>1209</v>
      </c>
      <c r="J15" s="143" t="s">
        <v>415</v>
      </c>
      <c r="K15" s="143" t="s">
        <v>1211</v>
      </c>
      <c r="L15" s="144">
        <v>406.71320000000003</v>
      </c>
      <c r="M15" s="143" t="s">
        <v>1212</v>
      </c>
      <c r="N15" s="145" t="s">
        <v>3853</v>
      </c>
      <c r="O15" s="144">
        <v>1528.835</v>
      </c>
      <c r="P15" s="146">
        <v>5.6848114638141795E-2</v>
      </c>
      <c r="Q15" s="147">
        <v>5.3887646927821727E-3</v>
      </c>
      <c r="R15" s="182"/>
    </row>
    <row r="16" spans="1:18" ht="15" x14ac:dyDescent="0.2">
      <c r="A16" s="142" t="s">
        <v>1218</v>
      </c>
      <c r="B16" s="143" t="s">
        <v>1219</v>
      </c>
      <c r="C16" s="143" t="s">
        <v>1207</v>
      </c>
      <c r="D16" s="143" t="s">
        <v>1208</v>
      </c>
      <c r="E16" s="143" t="s">
        <v>315</v>
      </c>
      <c r="F16" s="143" t="s">
        <v>936</v>
      </c>
      <c r="G16" s="143" t="s">
        <v>204</v>
      </c>
      <c r="H16" s="143" t="s">
        <v>339</v>
      </c>
      <c r="I16" s="143" t="s">
        <v>1209</v>
      </c>
      <c r="J16" s="143" t="s">
        <v>415</v>
      </c>
      <c r="K16" s="143" t="s">
        <v>1214</v>
      </c>
      <c r="L16" s="144">
        <v>5.0798000000000005</v>
      </c>
      <c r="M16" s="143" t="s">
        <v>1215</v>
      </c>
      <c r="N16" s="145" t="s">
        <v>3853</v>
      </c>
      <c r="O16" s="144">
        <v>20.421799999999998</v>
      </c>
      <c r="P16" s="146">
        <v>7.5936352878924057E-4</v>
      </c>
      <c r="Q16" s="147">
        <v>7.1981830865863443E-5</v>
      </c>
      <c r="R16" s="182"/>
    </row>
    <row r="17" spans="1:18" ht="15" x14ac:dyDescent="0.2">
      <c r="A17" s="142" t="s">
        <v>1218</v>
      </c>
      <c r="B17" s="143" t="s">
        <v>1219</v>
      </c>
      <c r="C17" s="143" t="s">
        <v>1207</v>
      </c>
      <c r="D17" s="143" t="s">
        <v>1208</v>
      </c>
      <c r="E17" s="143" t="s">
        <v>315</v>
      </c>
      <c r="F17" s="143" t="s">
        <v>938</v>
      </c>
      <c r="G17" s="143" t="s">
        <v>204</v>
      </c>
      <c r="H17" s="143" t="s">
        <v>339</v>
      </c>
      <c r="I17" s="143" t="s">
        <v>1209</v>
      </c>
      <c r="J17" s="143" t="s">
        <v>415</v>
      </c>
      <c r="K17" s="143" t="s">
        <v>1210</v>
      </c>
      <c r="L17" s="144">
        <v>1806.7983999999999</v>
      </c>
      <c r="M17" s="145" t="s">
        <v>3853</v>
      </c>
      <c r="N17" s="145" t="s">
        <v>3853</v>
      </c>
      <c r="O17" s="144">
        <v>1806.7983999999999</v>
      </c>
      <c r="P17" s="146">
        <v>6.7183893660827193E-2</v>
      </c>
      <c r="Q17" s="147">
        <v>6.3685171687328209E-3</v>
      </c>
      <c r="R17" s="182"/>
    </row>
    <row r="18" spans="1:18" ht="15" x14ac:dyDescent="0.2">
      <c r="A18" s="142" t="s">
        <v>1218</v>
      </c>
      <c r="B18" s="143" t="s">
        <v>1220</v>
      </c>
      <c r="C18" s="143" t="s">
        <v>1207</v>
      </c>
      <c r="D18" s="143" t="s">
        <v>1208</v>
      </c>
      <c r="E18" s="143" t="s">
        <v>315</v>
      </c>
      <c r="F18" s="143" t="s">
        <v>934</v>
      </c>
      <c r="G18" s="143" t="s">
        <v>204</v>
      </c>
      <c r="H18" s="143" t="s">
        <v>339</v>
      </c>
      <c r="I18" s="143" t="s">
        <v>1209</v>
      </c>
      <c r="J18" s="143" t="s">
        <v>415</v>
      </c>
      <c r="K18" s="143" t="s">
        <v>1210</v>
      </c>
      <c r="L18" s="144">
        <v>521.77760000000001</v>
      </c>
      <c r="M18" s="145" t="s">
        <v>3853</v>
      </c>
      <c r="N18" s="145" t="s">
        <v>3853</v>
      </c>
      <c r="O18" s="144">
        <v>521.77760000000001</v>
      </c>
      <c r="P18" s="146">
        <v>0.95770982239412861</v>
      </c>
      <c r="Q18" s="147">
        <v>6.7152908703126443E-2</v>
      </c>
      <c r="R18" s="182"/>
    </row>
    <row r="19" spans="1:18" ht="15" x14ac:dyDescent="0.2">
      <c r="A19" s="142" t="s">
        <v>1218</v>
      </c>
      <c r="B19" s="143" t="s">
        <v>1220</v>
      </c>
      <c r="C19" s="143" t="s">
        <v>1207</v>
      </c>
      <c r="D19" s="143" t="s">
        <v>1208</v>
      </c>
      <c r="E19" s="143" t="s">
        <v>315</v>
      </c>
      <c r="F19" s="143" t="s">
        <v>936</v>
      </c>
      <c r="G19" s="143" t="s">
        <v>204</v>
      </c>
      <c r="H19" s="143" t="s">
        <v>339</v>
      </c>
      <c r="I19" s="143" t="s">
        <v>1209</v>
      </c>
      <c r="J19" s="143" t="s">
        <v>415</v>
      </c>
      <c r="K19" s="143" t="s">
        <v>1211</v>
      </c>
      <c r="L19" s="144">
        <v>6.1293999999999995</v>
      </c>
      <c r="M19" s="143" t="s">
        <v>1212</v>
      </c>
      <c r="N19" s="145" t="s">
        <v>3853</v>
      </c>
      <c r="O19" s="144">
        <v>23.040500000000002</v>
      </c>
      <c r="P19" s="146">
        <v>4.2290177605871372E-2</v>
      </c>
      <c r="Q19" s="147">
        <v>2.9653120072494869E-3</v>
      </c>
      <c r="R19" s="182"/>
    </row>
    <row r="20" spans="1:18" ht="15" x14ac:dyDescent="0.2">
      <c r="A20" s="142" t="s">
        <v>1218</v>
      </c>
      <c r="B20" s="143" t="s">
        <v>1218</v>
      </c>
      <c r="C20" s="143" t="s">
        <v>1207</v>
      </c>
      <c r="D20" s="143" t="s">
        <v>1208</v>
      </c>
      <c r="E20" s="143" t="s">
        <v>315</v>
      </c>
      <c r="F20" s="143" t="s">
        <v>1221</v>
      </c>
      <c r="G20" s="143" t="s">
        <v>204</v>
      </c>
      <c r="H20" s="143" t="s">
        <v>339</v>
      </c>
      <c r="I20" s="143" t="s">
        <v>1222</v>
      </c>
      <c r="J20" s="143" t="s">
        <v>413</v>
      </c>
      <c r="K20" s="143" t="s">
        <v>1210</v>
      </c>
      <c r="L20" s="144">
        <v>1068.0431000000001</v>
      </c>
      <c r="M20" s="145" t="s">
        <v>3853</v>
      </c>
      <c r="N20" s="145" t="s">
        <v>3853</v>
      </c>
      <c r="O20" s="144">
        <v>1068.0431000000001</v>
      </c>
      <c r="P20" s="146">
        <v>2.107990105518113E-3</v>
      </c>
      <c r="Q20" s="147">
        <v>1.4229121950939697E-4</v>
      </c>
      <c r="R20" s="182"/>
    </row>
    <row r="21" spans="1:18" ht="15" x14ac:dyDescent="0.2">
      <c r="A21" s="142" t="s">
        <v>1218</v>
      </c>
      <c r="B21" s="143" t="s">
        <v>1218</v>
      </c>
      <c r="C21" s="143" t="s">
        <v>1207</v>
      </c>
      <c r="D21" s="143" t="s">
        <v>1208</v>
      </c>
      <c r="E21" s="143" t="s">
        <v>315</v>
      </c>
      <c r="F21" s="143" t="s">
        <v>1221</v>
      </c>
      <c r="G21" s="143" t="s">
        <v>204</v>
      </c>
      <c r="H21" s="143" t="s">
        <v>339</v>
      </c>
      <c r="I21" s="143" t="s">
        <v>1209</v>
      </c>
      <c r="J21" s="143" t="s">
        <v>415</v>
      </c>
      <c r="K21" s="143" t="s">
        <v>1210</v>
      </c>
      <c r="L21" s="144">
        <v>657.22130000000004</v>
      </c>
      <c r="M21" s="145" t="s">
        <v>3853</v>
      </c>
      <c r="N21" s="145" t="s">
        <v>3853</v>
      </c>
      <c r="O21" s="144">
        <v>657.22130000000004</v>
      </c>
      <c r="P21" s="146">
        <v>1.2971536625496058E-3</v>
      </c>
      <c r="Q21" s="147">
        <v>8.7559033627389223E-5</v>
      </c>
      <c r="R21" s="182"/>
    </row>
    <row r="22" spans="1:18" ht="15" x14ac:dyDescent="0.2">
      <c r="A22" s="142" t="s">
        <v>1218</v>
      </c>
      <c r="B22" s="143" t="s">
        <v>1218</v>
      </c>
      <c r="C22" s="143" t="s">
        <v>1207</v>
      </c>
      <c r="D22" s="143" t="s">
        <v>1208</v>
      </c>
      <c r="E22" s="143" t="s">
        <v>315</v>
      </c>
      <c r="F22" s="143" t="s">
        <v>934</v>
      </c>
      <c r="G22" s="143" t="s">
        <v>204</v>
      </c>
      <c r="H22" s="143" t="s">
        <v>339</v>
      </c>
      <c r="I22" s="143" t="s">
        <v>1209</v>
      </c>
      <c r="J22" s="143" t="s">
        <v>415</v>
      </c>
      <c r="K22" s="143" t="s">
        <v>1210</v>
      </c>
      <c r="L22" s="144">
        <v>220473.85060000001</v>
      </c>
      <c r="M22" s="145" t="s">
        <v>3853</v>
      </c>
      <c r="N22" s="145" t="s">
        <v>3853</v>
      </c>
      <c r="O22" s="144">
        <v>220473.85060000001</v>
      </c>
      <c r="P22" s="146">
        <v>0.43514788095880413</v>
      </c>
      <c r="Q22" s="147">
        <v>2.9372871573958209E-2</v>
      </c>
      <c r="R22" s="182"/>
    </row>
    <row r="23" spans="1:18" ht="15" x14ac:dyDescent="0.2">
      <c r="A23" s="142" t="s">
        <v>1218</v>
      </c>
      <c r="B23" s="143" t="s">
        <v>1218</v>
      </c>
      <c r="C23" s="143" t="s">
        <v>1207</v>
      </c>
      <c r="D23" s="143" t="s">
        <v>1208</v>
      </c>
      <c r="E23" s="143" t="s">
        <v>315</v>
      </c>
      <c r="F23" s="143" t="s">
        <v>936</v>
      </c>
      <c r="G23" s="143" t="s">
        <v>204</v>
      </c>
      <c r="H23" s="143" t="s">
        <v>339</v>
      </c>
      <c r="I23" s="143" t="s">
        <v>1209</v>
      </c>
      <c r="J23" s="143" t="s">
        <v>415</v>
      </c>
      <c r="K23" s="143" t="s">
        <v>1211</v>
      </c>
      <c r="L23" s="144">
        <v>49688.942999999999</v>
      </c>
      <c r="M23" s="143" t="s">
        <v>1212</v>
      </c>
      <c r="N23" s="145" t="s">
        <v>3853</v>
      </c>
      <c r="O23" s="144">
        <v>186780.7366</v>
      </c>
      <c r="P23" s="146">
        <v>0.36864798941499372</v>
      </c>
      <c r="Q23" s="147">
        <v>2.4884069354136729E-2</v>
      </c>
      <c r="R23" s="182"/>
    </row>
    <row r="24" spans="1:18" ht="15" x14ac:dyDescent="0.2">
      <c r="A24" s="142" t="s">
        <v>1218</v>
      </c>
      <c r="B24" s="143" t="s">
        <v>1218</v>
      </c>
      <c r="C24" s="143" t="s">
        <v>1207</v>
      </c>
      <c r="D24" s="143" t="s">
        <v>1208</v>
      </c>
      <c r="E24" s="143" t="s">
        <v>315</v>
      </c>
      <c r="F24" s="143" t="s">
        <v>936</v>
      </c>
      <c r="G24" s="143" t="s">
        <v>204</v>
      </c>
      <c r="H24" s="143" t="s">
        <v>339</v>
      </c>
      <c r="I24" s="143" t="s">
        <v>1209</v>
      </c>
      <c r="J24" s="143" t="s">
        <v>415</v>
      </c>
      <c r="K24" s="143" t="s">
        <v>1214</v>
      </c>
      <c r="L24" s="144">
        <v>1564.2968999999998</v>
      </c>
      <c r="M24" s="143" t="s">
        <v>1215</v>
      </c>
      <c r="N24" s="145" t="s">
        <v>3853</v>
      </c>
      <c r="O24" s="144">
        <v>6288.7865999999995</v>
      </c>
      <c r="P24" s="146">
        <v>1.2412139294643399E-2</v>
      </c>
      <c r="Q24" s="147">
        <v>8.3783051558547277E-4</v>
      </c>
      <c r="R24" s="182"/>
    </row>
    <row r="25" spans="1:18" ht="15" x14ac:dyDescent="0.2">
      <c r="A25" s="142" t="s">
        <v>1218</v>
      </c>
      <c r="B25" s="143" t="s">
        <v>1218</v>
      </c>
      <c r="C25" s="143" t="s">
        <v>1207</v>
      </c>
      <c r="D25" s="143" t="s">
        <v>1208</v>
      </c>
      <c r="E25" s="143" t="s">
        <v>315</v>
      </c>
      <c r="F25" s="143" t="s">
        <v>936</v>
      </c>
      <c r="G25" s="143" t="s">
        <v>204</v>
      </c>
      <c r="H25" s="143" t="s">
        <v>339</v>
      </c>
      <c r="I25" s="143" t="s">
        <v>1209</v>
      </c>
      <c r="J25" s="143" t="s">
        <v>415</v>
      </c>
      <c r="K25" s="143" t="s">
        <v>1216</v>
      </c>
      <c r="L25" s="144">
        <v>490.90030000000002</v>
      </c>
      <c r="M25" s="143" t="s">
        <v>1217</v>
      </c>
      <c r="N25" s="145" t="s">
        <v>3853</v>
      </c>
      <c r="O25" s="144">
        <v>2332.0219999999999</v>
      </c>
      <c r="P25" s="146">
        <v>4.6026974923717903E-3</v>
      </c>
      <c r="Q25" s="147">
        <v>3.1068620175589244E-4</v>
      </c>
      <c r="R25" s="182"/>
    </row>
    <row r="26" spans="1:18" ht="15" x14ac:dyDescent="0.2">
      <c r="A26" s="142" t="s">
        <v>1218</v>
      </c>
      <c r="B26" s="143" t="s">
        <v>1218</v>
      </c>
      <c r="C26" s="143" t="s">
        <v>1207</v>
      </c>
      <c r="D26" s="143" t="s">
        <v>1208</v>
      </c>
      <c r="E26" s="143" t="s">
        <v>315</v>
      </c>
      <c r="F26" s="143" t="s">
        <v>936</v>
      </c>
      <c r="G26" s="143" t="s">
        <v>204</v>
      </c>
      <c r="H26" s="143" t="s">
        <v>339</v>
      </c>
      <c r="I26" s="143" t="s">
        <v>1209</v>
      </c>
      <c r="J26" s="143" t="s">
        <v>415</v>
      </c>
      <c r="K26" s="143" t="s">
        <v>1223</v>
      </c>
      <c r="L26" s="144">
        <v>2.9999999999999997E-4</v>
      </c>
      <c r="M26" s="143" t="s">
        <v>1224</v>
      </c>
      <c r="N26" s="145" t="s">
        <v>3853</v>
      </c>
      <c r="O26" s="144">
        <v>0</v>
      </c>
      <c r="P26" s="146">
        <v>1.1525878605550683E-11</v>
      </c>
      <c r="Q26" s="147">
        <v>7.7800712555905433E-13</v>
      </c>
      <c r="R26" s="182"/>
    </row>
    <row r="27" spans="1:18" ht="15" x14ac:dyDescent="0.2">
      <c r="A27" s="142" t="s">
        <v>1218</v>
      </c>
      <c r="B27" s="143" t="s">
        <v>1218</v>
      </c>
      <c r="C27" s="143" t="s">
        <v>1207</v>
      </c>
      <c r="D27" s="143" t="s">
        <v>1208</v>
      </c>
      <c r="E27" s="143" t="s">
        <v>315</v>
      </c>
      <c r="F27" s="143" t="s">
        <v>936</v>
      </c>
      <c r="G27" s="143" t="s">
        <v>204</v>
      </c>
      <c r="H27" s="143" t="s">
        <v>339</v>
      </c>
      <c r="I27" s="143" t="s">
        <v>1209</v>
      </c>
      <c r="J27" s="143" t="s">
        <v>415</v>
      </c>
      <c r="K27" s="143" t="s">
        <v>1225</v>
      </c>
      <c r="L27" s="144">
        <v>0</v>
      </c>
      <c r="M27" s="143" t="s">
        <v>1226</v>
      </c>
      <c r="N27" s="145" t="s">
        <v>3853</v>
      </c>
      <c r="O27" s="144">
        <v>0</v>
      </c>
      <c r="P27" s="146">
        <v>6.9493760126964261E-12</v>
      </c>
      <c r="Q27" s="147">
        <v>4.6908910297417359E-13</v>
      </c>
      <c r="R27" s="182"/>
    </row>
    <row r="28" spans="1:18" ht="15" x14ac:dyDescent="0.2">
      <c r="A28" s="142" t="s">
        <v>1218</v>
      </c>
      <c r="B28" s="143" t="s">
        <v>1218</v>
      </c>
      <c r="C28" s="143" t="s">
        <v>1207</v>
      </c>
      <c r="D28" s="143" t="s">
        <v>1208</v>
      </c>
      <c r="E28" s="143" t="s">
        <v>315</v>
      </c>
      <c r="F28" s="143" t="s">
        <v>936</v>
      </c>
      <c r="G28" s="143" t="s">
        <v>204</v>
      </c>
      <c r="H28" s="143" t="s">
        <v>339</v>
      </c>
      <c r="I28" s="143" t="s">
        <v>1209</v>
      </c>
      <c r="J28" s="143" t="s">
        <v>415</v>
      </c>
      <c r="K28" s="143" t="s">
        <v>1227</v>
      </c>
      <c r="L28" s="144">
        <v>0</v>
      </c>
      <c r="M28" s="143" t="s">
        <v>1228</v>
      </c>
      <c r="N28" s="145" t="s">
        <v>3853</v>
      </c>
      <c r="O28" s="144">
        <v>0</v>
      </c>
      <c r="P28" s="146">
        <v>-9.8412322279201706E-11</v>
      </c>
      <c r="Q28" s="147">
        <v>-6.6429198672247216E-12</v>
      </c>
      <c r="R28" s="182"/>
    </row>
    <row r="29" spans="1:18" ht="15" x14ac:dyDescent="0.2">
      <c r="A29" s="148" t="s">
        <v>1218</v>
      </c>
      <c r="B29" s="149" t="s">
        <v>1218</v>
      </c>
      <c r="C29" s="149" t="s">
        <v>1207</v>
      </c>
      <c r="D29" s="149" t="s">
        <v>1208</v>
      </c>
      <c r="E29" s="149" t="s">
        <v>315</v>
      </c>
      <c r="F29" s="149" t="s">
        <v>938</v>
      </c>
      <c r="G29" s="149" t="s">
        <v>204</v>
      </c>
      <c r="H29" s="149" t="s">
        <v>339</v>
      </c>
      <c r="I29" s="149" t="s">
        <v>1209</v>
      </c>
      <c r="J29" s="149" t="s">
        <v>415</v>
      </c>
      <c r="K29" s="149" t="s">
        <v>1210</v>
      </c>
      <c r="L29" s="150">
        <v>89063.534299999999</v>
      </c>
      <c r="M29" s="151" t="s">
        <v>3853</v>
      </c>
      <c r="N29" s="151" t="s">
        <v>3853</v>
      </c>
      <c r="O29" s="150">
        <v>89063.534299999999</v>
      </c>
      <c r="P29" s="152">
        <v>0.17578414915105633</v>
      </c>
      <c r="Q29" s="153">
        <v>1.186558745586608E-2</v>
      </c>
      <c r="R29" s="182"/>
    </row>
    <row r="30" spans="1:18" x14ac:dyDescent="0.2">
      <c r="A30" s="181" t="s">
        <v>3870</v>
      </c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</row>
    <row r="31" spans="1:18" x14ac:dyDescent="0.2">
      <c r="A31" s="2" t="s">
        <v>3869</v>
      </c>
    </row>
    <row r="32" spans="1:18" x14ac:dyDescent="0.2">
      <c r="A32" s="176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30:Q30"/>
    <mergeCell ref="R2:R29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30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17.5" style="4" bestFit="1" customWidth="1"/>
    <col min="4" max="4" width="15.125" style="4" bestFit="1" customWidth="1"/>
    <col min="5" max="5" width="14.25" style="4" bestFit="1" customWidth="1"/>
    <col min="6" max="6" width="32.5" style="4" bestFit="1" customWidth="1"/>
    <col min="7" max="7" width="10.625" style="4" customWidth="1"/>
    <col min="8" max="8" width="19.875" style="4" customWidth="1"/>
    <col min="9" max="9" width="10.25" style="4" customWidth="1"/>
    <col min="10" max="10" width="6.25" style="4" customWidth="1"/>
    <col min="11" max="11" width="9.75" style="4" bestFit="1" customWidth="1"/>
    <col min="12" max="12" width="11.75" style="4" customWidth="1"/>
    <col min="13" max="13" width="6.5" style="4" customWidth="1"/>
    <col min="14" max="14" width="9.875" style="4" bestFit="1" customWidth="1"/>
    <col min="15" max="15" width="11.125" style="4" customWidth="1"/>
    <col min="16" max="16" width="12.25" style="4" customWidth="1"/>
    <col min="17" max="17" width="22.25" style="4" customWidth="1"/>
    <col min="18" max="18" width="14.875" style="4" customWidth="1"/>
    <col min="19" max="19" width="10.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3875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67</v>
      </c>
      <c r="E2" s="140" t="s">
        <v>68</v>
      </c>
      <c r="F2" s="140" t="s">
        <v>54</v>
      </c>
      <c r="G2" s="140" t="s">
        <v>55</v>
      </c>
      <c r="H2" s="140" t="s">
        <v>69</v>
      </c>
      <c r="I2" s="140" t="s">
        <v>70</v>
      </c>
      <c r="J2" s="140" t="s">
        <v>71</v>
      </c>
      <c r="K2" s="140" t="s">
        <v>58</v>
      </c>
      <c r="L2" s="140" t="s">
        <v>59</v>
      </c>
      <c r="M2" s="140" t="s">
        <v>72</v>
      </c>
      <c r="N2" s="140" t="s">
        <v>73</v>
      </c>
      <c r="O2" s="140" t="s">
        <v>62</v>
      </c>
      <c r="P2" s="140" t="s">
        <v>74</v>
      </c>
      <c r="Q2" s="140" t="s">
        <v>75</v>
      </c>
      <c r="R2" s="140" t="s">
        <v>76</v>
      </c>
      <c r="S2" s="140" t="s">
        <v>61</v>
      </c>
      <c r="T2" s="140" t="s">
        <v>77</v>
      </c>
      <c r="U2" s="140" t="s">
        <v>63</v>
      </c>
      <c r="V2" s="140" t="s">
        <v>78</v>
      </c>
      <c r="W2" s="140" t="s">
        <v>17</v>
      </c>
      <c r="X2" s="140" t="s">
        <v>79</v>
      </c>
      <c r="Y2" s="140" t="s">
        <v>64</v>
      </c>
      <c r="Z2" s="141" t="s">
        <v>65</v>
      </c>
      <c r="AA2" s="183" t="s">
        <v>3871</v>
      </c>
    </row>
    <row r="3" spans="1:27" ht="15" x14ac:dyDescent="0.2">
      <c r="A3" s="142" t="s">
        <v>1205</v>
      </c>
      <c r="B3" s="143" t="s">
        <v>1206</v>
      </c>
      <c r="C3" s="143" t="s">
        <v>1229</v>
      </c>
      <c r="D3" s="143" t="s">
        <v>1230</v>
      </c>
      <c r="E3" s="143" t="s">
        <v>1231</v>
      </c>
      <c r="F3" s="143" t="s">
        <v>943</v>
      </c>
      <c r="G3" s="143" t="s">
        <v>204</v>
      </c>
      <c r="H3" s="143" t="s">
        <v>204</v>
      </c>
      <c r="I3" s="143" t="s">
        <v>340</v>
      </c>
      <c r="J3" s="143" t="s">
        <v>1232</v>
      </c>
      <c r="K3" s="143" t="s">
        <v>312</v>
      </c>
      <c r="L3" s="143" t="s">
        <v>1210</v>
      </c>
      <c r="M3" s="144">
        <v>1.32</v>
      </c>
      <c r="N3" s="143" t="s">
        <v>1233</v>
      </c>
      <c r="O3" s="146">
        <v>7.5209999999999999E-3</v>
      </c>
      <c r="P3" s="146">
        <v>1.5337999999999999E-2</v>
      </c>
      <c r="Q3" s="145" t="s">
        <v>3853</v>
      </c>
      <c r="R3" s="144">
        <v>449218</v>
      </c>
      <c r="S3" s="145" t="s">
        <v>3853</v>
      </c>
      <c r="T3" s="143" t="s">
        <v>1234</v>
      </c>
      <c r="U3" s="144">
        <v>509.8175</v>
      </c>
      <c r="V3" s="145" t="s">
        <v>3853</v>
      </c>
      <c r="W3" s="145" t="s">
        <v>3853</v>
      </c>
      <c r="X3" s="146">
        <v>2.0698688354376009E-5</v>
      </c>
      <c r="Y3" s="146">
        <v>0.14074990621012273</v>
      </c>
      <c r="Z3" s="147">
        <v>3.4524833242241676E-2</v>
      </c>
      <c r="AA3" s="183"/>
    </row>
    <row r="4" spans="1:27" ht="15" x14ac:dyDescent="0.2">
      <c r="A4" s="142" t="s">
        <v>1205</v>
      </c>
      <c r="B4" s="143" t="s">
        <v>1206</v>
      </c>
      <c r="C4" s="143" t="s">
        <v>1229</v>
      </c>
      <c r="D4" s="143" t="s">
        <v>1235</v>
      </c>
      <c r="E4" s="143" t="s">
        <v>1236</v>
      </c>
      <c r="F4" s="143" t="s">
        <v>943</v>
      </c>
      <c r="G4" s="143" t="s">
        <v>204</v>
      </c>
      <c r="H4" s="143" t="s">
        <v>204</v>
      </c>
      <c r="I4" s="143" t="s">
        <v>340</v>
      </c>
      <c r="J4" s="143" t="s">
        <v>1232</v>
      </c>
      <c r="K4" s="143" t="s">
        <v>312</v>
      </c>
      <c r="L4" s="143" t="s">
        <v>1210</v>
      </c>
      <c r="M4" s="144">
        <v>7.39</v>
      </c>
      <c r="N4" s="143" t="s">
        <v>1237</v>
      </c>
      <c r="O4" s="146">
        <v>1E-3</v>
      </c>
      <c r="P4" s="146">
        <v>2.1850000000000001E-2</v>
      </c>
      <c r="Q4" s="145" t="s">
        <v>3853</v>
      </c>
      <c r="R4" s="144">
        <v>421370</v>
      </c>
      <c r="S4" s="145" t="s">
        <v>3853</v>
      </c>
      <c r="T4" s="143" t="s">
        <v>1238</v>
      </c>
      <c r="U4" s="144">
        <v>411.46780000000001</v>
      </c>
      <c r="V4" s="145" t="s">
        <v>3853</v>
      </c>
      <c r="W4" s="145" t="s">
        <v>3853</v>
      </c>
      <c r="X4" s="146">
        <v>1.3723584209237614E-5</v>
      </c>
      <c r="Y4" s="146">
        <v>0.1135976188160167</v>
      </c>
      <c r="Z4" s="147">
        <v>2.7864592964514854E-2</v>
      </c>
      <c r="AA4" s="183"/>
    </row>
    <row r="5" spans="1:27" ht="15" x14ac:dyDescent="0.2">
      <c r="A5" s="142" t="s">
        <v>1205</v>
      </c>
      <c r="B5" s="143" t="s">
        <v>1206</v>
      </c>
      <c r="C5" s="143" t="s">
        <v>1229</v>
      </c>
      <c r="D5" s="143" t="s">
        <v>1239</v>
      </c>
      <c r="E5" s="143" t="s">
        <v>1240</v>
      </c>
      <c r="F5" s="143" t="s">
        <v>943</v>
      </c>
      <c r="G5" s="143" t="s">
        <v>204</v>
      </c>
      <c r="H5" s="143" t="s">
        <v>204</v>
      </c>
      <c r="I5" s="143" t="s">
        <v>340</v>
      </c>
      <c r="J5" s="143" t="s">
        <v>1232</v>
      </c>
      <c r="K5" s="143" t="s">
        <v>312</v>
      </c>
      <c r="L5" s="143" t="s">
        <v>1210</v>
      </c>
      <c r="M5" s="144">
        <v>2.89</v>
      </c>
      <c r="N5" s="143" t="s">
        <v>1241</v>
      </c>
      <c r="O5" s="146">
        <v>7.4999999999999997E-3</v>
      </c>
      <c r="P5" s="146">
        <v>1.7389999999999999E-2</v>
      </c>
      <c r="Q5" s="145" t="s">
        <v>3853</v>
      </c>
      <c r="R5" s="144">
        <v>52745</v>
      </c>
      <c r="S5" s="145" t="s">
        <v>3853</v>
      </c>
      <c r="T5" s="143" t="s">
        <v>1242</v>
      </c>
      <c r="U5" s="144">
        <v>58.895099999999999</v>
      </c>
      <c r="V5" s="145" t="s">
        <v>3853</v>
      </c>
      <c r="W5" s="145" t="s">
        <v>3853</v>
      </c>
      <c r="X5" s="146">
        <v>2.3662394376238471E-6</v>
      </c>
      <c r="Y5" s="146">
        <v>1.6259691013273236E-2</v>
      </c>
      <c r="Z5" s="147">
        <v>3.9883729653473884E-3</v>
      </c>
      <c r="AA5" s="183"/>
    </row>
    <row r="6" spans="1:27" ht="15" x14ac:dyDescent="0.2">
      <c r="A6" s="142" t="s">
        <v>1205</v>
      </c>
      <c r="B6" s="143" t="s">
        <v>1206</v>
      </c>
      <c r="C6" s="143" t="s">
        <v>1229</v>
      </c>
      <c r="D6" s="143" t="s">
        <v>1243</v>
      </c>
      <c r="E6" s="143" t="s">
        <v>1244</v>
      </c>
      <c r="F6" s="143" t="s">
        <v>943</v>
      </c>
      <c r="G6" s="143" t="s">
        <v>204</v>
      </c>
      <c r="H6" s="143" t="s">
        <v>204</v>
      </c>
      <c r="I6" s="143" t="s">
        <v>340</v>
      </c>
      <c r="J6" s="143" t="s">
        <v>1232</v>
      </c>
      <c r="K6" s="143" t="s">
        <v>312</v>
      </c>
      <c r="L6" s="143" t="s">
        <v>1210</v>
      </c>
      <c r="M6" s="144">
        <v>9.8800000000000008</v>
      </c>
      <c r="N6" s="143" t="s">
        <v>1245</v>
      </c>
      <c r="O6" s="146">
        <v>4.011E-2</v>
      </c>
      <c r="P6" s="146">
        <v>2.3077E-2</v>
      </c>
      <c r="Q6" s="145" t="s">
        <v>3853</v>
      </c>
      <c r="R6" s="144">
        <v>32987</v>
      </c>
      <c r="S6" s="145" t="s">
        <v>3853</v>
      </c>
      <c r="T6" s="143" t="s">
        <v>1246</v>
      </c>
      <c r="U6" s="144">
        <v>52.475699999999996</v>
      </c>
      <c r="V6" s="145" t="s">
        <v>3853</v>
      </c>
      <c r="W6" s="145" t="s">
        <v>3853</v>
      </c>
      <c r="X6" s="146">
        <v>2.0704476935945797E-6</v>
      </c>
      <c r="Y6" s="146">
        <v>1.44874440230311E-2</v>
      </c>
      <c r="Z6" s="147">
        <v>3.5536548653521366E-3</v>
      </c>
      <c r="AA6" s="183"/>
    </row>
    <row r="7" spans="1:27" ht="15" x14ac:dyDescent="0.2">
      <c r="A7" s="142" t="s">
        <v>1205</v>
      </c>
      <c r="B7" s="143" t="s">
        <v>1206</v>
      </c>
      <c r="C7" s="143" t="s">
        <v>1229</v>
      </c>
      <c r="D7" s="143" t="s">
        <v>1247</v>
      </c>
      <c r="E7" s="143" t="s">
        <v>1248</v>
      </c>
      <c r="F7" s="143" t="s">
        <v>943</v>
      </c>
      <c r="G7" s="143" t="s">
        <v>204</v>
      </c>
      <c r="H7" s="143" t="s">
        <v>204</v>
      </c>
      <c r="I7" s="143" t="s">
        <v>340</v>
      </c>
      <c r="J7" s="143" t="s">
        <v>1232</v>
      </c>
      <c r="K7" s="143" t="s">
        <v>312</v>
      </c>
      <c r="L7" s="143" t="s">
        <v>1210</v>
      </c>
      <c r="M7" s="144">
        <v>4.8600000000000003</v>
      </c>
      <c r="N7" s="143" t="s">
        <v>1249</v>
      </c>
      <c r="O7" s="146">
        <v>5.0000000000000001E-3</v>
      </c>
      <c r="P7" s="146">
        <v>1.9880999999999999E-2</v>
      </c>
      <c r="Q7" s="145" t="s">
        <v>3853</v>
      </c>
      <c r="R7" s="144">
        <v>28255</v>
      </c>
      <c r="S7" s="145" t="s">
        <v>3853</v>
      </c>
      <c r="T7" s="143" t="s">
        <v>1250</v>
      </c>
      <c r="U7" s="144">
        <v>29.907900000000001</v>
      </c>
      <c r="V7" s="145" t="s">
        <v>3853</v>
      </c>
      <c r="W7" s="145" t="s">
        <v>3853</v>
      </c>
      <c r="X7" s="146">
        <v>1.1737645774716504E-6</v>
      </c>
      <c r="Y7" s="146">
        <v>8.2569478594950469E-3</v>
      </c>
      <c r="Z7" s="147">
        <v>2.0253636795563887E-3</v>
      </c>
      <c r="AA7" s="183"/>
    </row>
    <row r="8" spans="1:27" ht="15" x14ac:dyDescent="0.2">
      <c r="A8" s="142" t="s">
        <v>1205</v>
      </c>
      <c r="B8" s="143" t="s">
        <v>1206</v>
      </c>
      <c r="C8" s="143" t="s">
        <v>1229</v>
      </c>
      <c r="D8" s="143" t="s">
        <v>1251</v>
      </c>
      <c r="E8" s="143" t="s">
        <v>1252</v>
      </c>
      <c r="F8" s="143" t="s">
        <v>943</v>
      </c>
      <c r="G8" s="143" t="s">
        <v>204</v>
      </c>
      <c r="H8" s="143" t="s">
        <v>204</v>
      </c>
      <c r="I8" s="143" t="s">
        <v>340</v>
      </c>
      <c r="J8" s="143" t="s">
        <v>1232</v>
      </c>
      <c r="K8" s="143" t="s">
        <v>312</v>
      </c>
      <c r="L8" s="143" t="s">
        <v>1210</v>
      </c>
      <c r="M8" s="144">
        <v>4.22</v>
      </c>
      <c r="N8" s="143" t="s">
        <v>1253</v>
      </c>
      <c r="O8" s="146">
        <v>1.0999999999999999E-2</v>
      </c>
      <c r="P8" s="146">
        <v>1.9415999999999999E-2</v>
      </c>
      <c r="Q8" s="145" t="s">
        <v>3853</v>
      </c>
      <c r="R8" s="144">
        <v>8644</v>
      </c>
      <c r="S8" s="145" t="s">
        <v>3853</v>
      </c>
      <c r="T8" s="143" t="s">
        <v>1254</v>
      </c>
      <c r="U8" s="144">
        <v>8.6422999999999988</v>
      </c>
      <c r="V8" s="145" t="s">
        <v>3853</v>
      </c>
      <c r="W8" s="145" t="s">
        <v>3853</v>
      </c>
      <c r="X8" s="146">
        <v>5.4972873201989886E-7</v>
      </c>
      <c r="Y8" s="146">
        <v>2.3859495628880106E-3</v>
      </c>
      <c r="Z8" s="147">
        <v>5.8525446304832853E-4</v>
      </c>
      <c r="AA8" s="183"/>
    </row>
    <row r="9" spans="1:27" ht="15" x14ac:dyDescent="0.2">
      <c r="A9" s="142" t="s">
        <v>1205</v>
      </c>
      <c r="B9" s="143" t="s">
        <v>1206</v>
      </c>
      <c r="C9" s="143" t="s">
        <v>1229</v>
      </c>
      <c r="D9" s="143" t="s">
        <v>1255</v>
      </c>
      <c r="E9" s="143" t="s">
        <v>1256</v>
      </c>
      <c r="F9" s="143" t="s">
        <v>945</v>
      </c>
      <c r="G9" s="143" t="s">
        <v>204</v>
      </c>
      <c r="H9" s="143" t="s">
        <v>204</v>
      </c>
      <c r="I9" s="143" t="s">
        <v>340</v>
      </c>
      <c r="J9" s="143" t="s">
        <v>1232</v>
      </c>
      <c r="K9" s="143" t="s">
        <v>312</v>
      </c>
      <c r="L9" s="143" t="s">
        <v>1210</v>
      </c>
      <c r="M9" s="144">
        <v>11.5</v>
      </c>
      <c r="N9" s="143" t="s">
        <v>1257</v>
      </c>
      <c r="O9" s="146">
        <v>1.5041000000000001E-2</v>
      </c>
      <c r="P9" s="146">
        <v>5.2136000000000002E-2</v>
      </c>
      <c r="Q9" s="145" t="s">
        <v>3853</v>
      </c>
      <c r="R9" s="144">
        <v>680710</v>
      </c>
      <c r="S9" s="145" t="s">
        <v>3853</v>
      </c>
      <c r="T9" s="143" t="s">
        <v>1258</v>
      </c>
      <c r="U9" s="144">
        <v>448.1114</v>
      </c>
      <c r="V9" s="145" t="s">
        <v>3853</v>
      </c>
      <c r="W9" s="145" t="s">
        <v>3853</v>
      </c>
      <c r="X9" s="146">
        <v>2.1220094158225382E-5</v>
      </c>
      <c r="Y9" s="146">
        <v>0.12371414382986357</v>
      </c>
      <c r="Z9" s="147">
        <v>3.0346096139178498E-2</v>
      </c>
      <c r="AA9" s="183"/>
    </row>
    <row r="10" spans="1:27" ht="15" x14ac:dyDescent="0.2">
      <c r="A10" s="142" t="s">
        <v>1205</v>
      </c>
      <c r="B10" s="143" t="s">
        <v>1206</v>
      </c>
      <c r="C10" s="143" t="s">
        <v>1229</v>
      </c>
      <c r="D10" s="143" t="s">
        <v>1259</v>
      </c>
      <c r="E10" s="143" t="s">
        <v>1260</v>
      </c>
      <c r="F10" s="143" t="s">
        <v>945</v>
      </c>
      <c r="G10" s="143" t="s">
        <v>204</v>
      </c>
      <c r="H10" s="143" t="s">
        <v>204</v>
      </c>
      <c r="I10" s="143" t="s">
        <v>340</v>
      </c>
      <c r="J10" s="143" t="s">
        <v>1232</v>
      </c>
      <c r="K10" s="143" t="s">
        <v>312</v>
      </c>
      <c r="L10" s="143" t="s">
        <v>1210</v>
      </c>
      <c r="M10" s="144">
        <v>7.42</v>
      </c>
      <c r="N10" s="143" t="s">
        <v>1261</v>
      </c>
      <c r="O10" s="146">
        <v>1.2999999999999999E-2</v>
      </c>
      <c r="P10" s="146">
        <v>4.9000000000000002E-2</v>
      </c>
      <c r="Q10" s="145" t="s">
        <v>3853</v>
      </c>
      <c r="R10" s="144">
        <v>486699</v>
      </c>
      <c r="S10" s="145" t="s">
        <v>3853</v>
      </c>
      <c r="T10" s="143" t="s">
        <v>1262</v>
      </c>
      <c r="U10" s="144">
        <v>376.02359999999999</v>
      </c>
      <c r="V10" s="145" t="s">
        <v>3853</v>
      </c>
      <c r="W10" s="145" t="s">
        <v>3853</v>
      </c>
      <c r="X10" s="146">
        <v>1.6221735683955544E-5</v>
      </c>
      <c r="Y10" s="146">
        <v>0.10381223134372194</v>
      </c>
      <c r="Z10" s="147">
        <v>2.5464315196746086E-2</v>
      </c>
      <c r="AA10" s="183"/>
    </row>
    <row r="11" spans="1:27" ht="15" x14ac:dyDescent="0.2">
      <c r="A11" s="142" t="s">
        <v>1205</v>
      </c>
      <c r="B11" s="143" t="s">
        <v>1206</v>
      </c>
      <c r="C11" s="143" t="s">
        <v>1229</v>
      </c>
      <c r="D11" s="143" t="s">
        <v>1263</v>
      </c>
      <c r="E11" s="143" t="s">
        <v>1264</v>
      </c>
      <c r="F11" s="143" t="s">
        <v>945</v>
      </c>
      <c r="G11" s="143" t="s">
        <v>204</v>
      </c>
      <c r="H11" s="143" t="s">
        <v>204</v>
      </c>
      <c r="I11" s="143" t="s">
        <v>340</v>
      </c>
      <c r="J11" s="143" t="s">
        <v>1232</v>
      </c>
      <c r="K11" s="143" t="s">
        <v>312</v>
      </c>
      <c r="L11" s="143" t="s">
        <v>1210</v>
      </c>
      <c r="M11" s="144">
        <v>0.75</v>
      </c>
      <c r="N11" s="143" t="s">
        <v>1265</v>
      </c>
      <c r="O11" s="143" t="s">
        <v>1266</v>
      </c>
      <c r="P11" s="146">
        <v>4.3262000000000002E-2</v>
      </c>
      <c r="Q11" s="145" t="s">
        <v>3853</v>
      </c>
      <c r="R11" s="144">
        <v>260197</v>
      </c>
      <c r="S11" s="145" t="s">
        <v>3853</v>
      </c>
      <c r="T11" s="143" t="s">
        <v>1267</v>
      </c>
      <c r="U11" s="144">
        <v>252.05279999999999</v>
      </c>
      <c r="V11" s="145" t="s">
        <v>3853</v>
      </c>
      <c r="W11" s="145" t="s">
        <v>3853</v>
      </c>
      <c r="X11" s="146">
        <v>2.1683083333333332E-5</v>
      </c>
      <c r="Y11" s="146">
        <v>6.9586493521331449E-2</v>
      </c>
      <c r="Z11" s="147">
        <v>1.7069013752305531E-2</v>
      </c>
      <c r="AA11" s="183"/>
    </row>
    <row r="12" spans="1:27" ht="15" x14ac:dyDescent="0.2">
      <c r="A12" s="142" t="s">
        <v>1205</v>
      </c>
      <c r="B12" s="143" t="s">
        <v>1206</v>
      </c>
      <c r="C12" s="143" t="s">
        <v>1229</v>
      </c>
      <c r="D12" s="143" t="s">
        <v>1268</v>
      </c>
      <c r="E12" s="143" t="s">
        <v>1269</v>
      </c>
      <c r="F12" s="143" t="s">
        <v>945</v>
      </c>
      <c r="G12" s="143" t="s">
        <v>204</v>
      </c>
      <c r="H12" s="143" t="s">
        <v>204</v>
      </c>
      <c r="I12" s="143" t="s">
        <v>340</v>
      </c>
      <c r="J12" s="143" t="s">
        <v>1232</v>
      </c>
      <c r="K12" s="143" t="s">
        <v>312</v>
      </c>
      <c r="L12" s="143" t="s">
        <v>1210</v>
      </c>
      <c r="M12" s="144">
        <v>0.67</v>
      </c>
      <c r="N12" s="143" t="s">
        <v>1270</v>
      </c>
      <c r="O12" s="143" t="s">
        <v>1266</v>
      </c>
      <c r="P12" s="146">
        <v>4.3515999999999999E-2</v>
      </c>
      <c r="Q12" s="145" t="s">
        <v>3853</v>
      </c>
      <c r="R12" s="144">
        <v>254760.3</v>
      </c>
      <c r="S12" s="145" t="s">
        <v>3853</v>
      </c>
      <c r="T12" s="143" t="s">
        <v>1271</v>
      </c>
      <c r="U12" s="144">
        <v>247.5506</v>
      </c>
      <c r="V12" s="145" t="s">
        <v>3853</v>
      </c>
      <c r="W12" s="145" t="s">
        <v>3853</v>
      </c>
      <c r="X12" s="146">
        <v>2.1230025E-5</v>
      </c>
      <c r="Y12" s="146">
        <v>6.8343516750360309E-2</v>
      </c>
      <c r="Z12" s="147">
        <v>1.6764121430191344E-2</v>
      </c>
      <c r="AA12" s="183"/>
    </row>
    <row r="13" spans="1:27" ht="15" x14ac:dyDescent="0.2">
      <c r="A13" s="142" t="s">
        <v>1205</v>
      </c>
      <c r="B13" s="143" t="s">
        <v>1206</v>
      </c>
      <c r="C13" s="143" t="s">
        <v>1229</v>
      </c>
      <c r="D13" s="143" t="s">
        <v>1272</v>
      </c>
      <c r="E13" s="143" t="s">
        <v>1273</v>
      </c>
      <c r="F13" s="143" t="s">
        <v>945</v>
      </c>
      <c r="G13" s="143" t="s">
        <v>204</v>
      </c>
      <c r="H13" s="143" t="s">
        <v>204</v>
      </c>
      <c r="I13" s="143" t="s">
        <v>340</v>
      </c>
      <c r="J13" s="143" t="s">
        <v>1232</v>
      </c>
      <c r="K13" s="143" t="s">
        <v>312</v>
      </c>
      <c r="L13" s="143" t="s">
        <v>1210</v>
      </c>
      <c r="M13" s="144">
        <v>11.51</v>
      </c>
      <c r="N13" s="143" t="s">
        <v>1274</v>
      </c>
      <c r="O13" s="146">
        <v>5.5E-2</v>
      </c>
      <c r="P13" s="146">
        <v>5.3379000000000003E-2</v>
      </c>
      <c r="Q13" s="145" t="s">
        <v>3853</v>
      </c>
      <c r="R13" s="144">
        <v>232492</v>
      </c>
      <c r="S13" s="145" t="s">
        <v>3853</v>
      </c>
      <c r="T13" s="143" t="s">
        <v>1275</v>
      </c>
      <c r="U13" s="144">
        <v>242.0009</v>
      </c>
      <c r="V13" s="145" t="s">
        <v>3853</v>
      </c>
      <c r="W13" s="145" t="s">
        <v>3853</v>
      </c>
      <c r="X13" s="146">
        <v>1.2041199555847272E-5</v>
      </c>
      <c r="Y13" s="146">
        <v>6.6811371989015475E-2</v>
      </c>
      <c r="Z13" s="147">
        <v>1.638829849849123E-2</v>
      </c>
      <c r="AA13" s="183"/>
    </row>
    <row r="14" spans="1:27" ht="15" x14ac:dyDescent="0.2">
      <c r="A14" s="142" t="s">
        <v>1205</v>
      </c>
      <c r="B14" s="143" t="s">
        <v>1206</v>
      </c>
      <c r="C14" s="143" t="s">
        <v>1229</v>
      </c>
      <c r="D14" s="143" t="s">
        <v>1276</v>
      </c>
      <c r="E14" s="143" t="s">
        <v>1277</v>
      </c>
      <c r="F14" s="143" t="s">
        <v>945</v>
      </c>
      <c r="G14" s="143" t="s">
        <v>204</v>
      </c>
      <c r="H14" s="143" t="s">
        <v>204</v>
      </c>
      <c r="I14" s="143" t="s">
        <v>340</v>
      </c>
      <c r="J14" s="143" t="s">
        <v>1232</v>
      </c>
      <c r="K14" s="143" t="s">
        <v>312</v>
      </c>
      <c r="L14" s="143" t="s">
        <v>1210</v>
      </c>
      <c r="M14" s="144">
        <v>0.6</v>
      </c>
      <c r="N14" s="143" t="s">
        <v>1278</v>
      </c>
      <c r="O14" s="143" t="s">
        <v>1266</v>
      </c>
      <c r="P14" s="146">
        <v>4.3658000000000002E-2</v>
      </c>
      <c r="Q14" s="145" t="s">
        <v>3853</v>
      </c>
      <c r="R14" s="144">
        <v>222893</v>
      </c>
      <c r="S14" s="145" t="s">
        <v>3853</v>
      </c>
      <c r="T14" s="143" t="s">
        <v>1279</v>
      </c>
      <c r="U14" s="144">
        <v>217.27610000000001</v>
      </c>
      <c r="V14" s="145" t="s">
        <v>3853</v>
      </c>
      <c r="W14" s="145" t="s">
        <v>3853</v>
      </c>
      <c r="X14" s="146">
        <v>1.8574416666666666E-5</v>
      </c>
      <c r="Y14" s="146">
        <v>5.9985366720682554E-2</v>
      </c>
      <c r="Z14" s="147">
        <v>1.4713933662694925E-2</v>
      </c>
      <c r="AA14" s="183"/>
    </row>
    <row r="15" spans="1:27" ht="15" x14ac:dyDescent="0.2">
      <c r="A15" s="142" t="s">
        <v>1205</v>
      </c>
      <c r="B15" s="143" t="s">
        <v>1206</v>
      </c>
      <c r="C15" s="143" t="s">
        <v>1229</v>
      </c>
      <c r="D15" s="143" t="s">
        <v>1280</v>
      </c>
      <c r="E15" s="143" t="s">
        <v>1281</v>
      </c>
      <c r="F15" s="143" t="s">
        <v>945</v>
      </c>
      <c r="G15" s="143" t="s">
        <v>204</v>
      </c>
      <c r="H15" s="143" t="s">
        <v>204</v>
      </c>
      <c r="I15" s="143" t="s">
        <v>340</v>
      </c>
      <c r="J15" s="143" t="s">
        <v>1232</v>
      </c>
      <c r="K15" s="143" t="s">
        <v>312</v>
      </c>
      <c r="L15" s="143" t="s">
        <v>1210</v>
      </c>
      <c r="M15" s="144">
        <v>4.01</v>
      </c>
      <c r="N15" s="143" t="s">
        <v>1282</v>
      </c>
      <c r="O15" s="146">
        <v>2.2499999999999999E-2</v>
      </c>
      <c r="P15" s="146">
        <v>4.6257E-2</v>
      </c>
      <c r="Q15" s="145" t="s">
        <v>3853</v>
      </c>
      <c r="R15" s="144">
        <v>176313</v>
      </c>
      <c r="S15" s="145" t="s">
        <v>3853</v>
      </c>
      <c r="T15" s="143" t="s">
        <v>1283</v>
      </c>
      <c r="U15" s="144">
        <v>163.495</v>
      </c>
      <c r="V15" s="145" t="s">
        <v>3853</v>
      </c>
      <c r="W15" s="145" t="s">
        <v>3853</v>
      </c>
      <c r="X15" s="146">
        <v>5.7814137292339788E-6</v>
      </c>
      <c r="Y15" s="146">
        <v>4.5137547976220729E-2</v>
      </c>
      <c r="Z15" s="147">
        <v>1.1071881742615513E-2</v>
      </c>
      <c r="AA15" s="183"/>
    </row>
    <row r="16" spans="1:27" ht="15" x14ac:dyDescent="0.2">
      <c r="A16" s="142" t="s">
        <v>1205</v>
      </c>
      <c r="B16" s="143" t="s">
        <v>1206</v>
      </c>
      <c r="C16" s="143" t="s">
        <v>1229</v>
      </c>
      <c r="D16" s="143" t="s">
        <v>1284</v>
      </c>
      <c r="E16" s="143" t="s">
        <v>1285</v>
      </c>
      <c r="F16" s="143" t="s">
        <v>945</v>
      </c>
      <c r="G16" s="143" t="s">
        <v>204</v>
      </c>
      <c r="H16" s="143" t="s">
        <v>204</v>
      </c>
      <c r="I16" s="143" t="s">
        <v>340</v>
      </c>
      <c r="J16" s="143" t="s">
        <v>1232</v>
      </c>
      <c r="K16" s="143" t="s">
        <v>312</v>
      </c>
      <c r="L16" s="143" t="s">
        <v>1210</v>
      </c>
      <c r="M16" s="144">
        <v>14.48</v>
      </c>
      <c r="N16" s="143" t="s">
        <v>1286</v>
      </c>
      <c r="O16" s="146">
        <v>3.7602999999999998E-2</v>
      </c>
      <c r="P16" s="146">
        <v>5.4753999999999997E-2</v>
      </c>
      <c r="Q16" s="145" t="s">
        <v>3853</v>
      </c>
      <c r="R16" s="144">
        <v>157093</v>
      </c>
      <c r="S16" s="145" t="s">
        <v>3853</v>
      </c>
      <c r="T16" s="143" t="s">
        <v>1287</v>
      </c>
      <c r="U16" s="144">
        <v>123.7736</v>
      </c>
      <c r="V16" s="145" t="s">
        <v>3853</v>
      </c>
      <c r="W16" s="145" t="s">
        <v>3853</v>
      </c>
      <c r="X16" s="146">
        <v>5.9853287583983202E-6</v>
      </c>
      <c r="Y16" s="146">
        <v>3.4171284332358318E-2</v>
      </c>
      <c r="Z16" s="147">
        <v>8.3819444361594077E-3</v>
      </c>
      <c r="AA16" s="183"/>
    </row>
    <row r="17" spans="1:27" ht="15" x14ac:dyDescent="0.2">
      <c r="A17" s="142" t="s">
        <v>1205</v>
      </c>
      <c r="B17" s="143" t="s">
        <v>1206</v>
      </c>
      <c r="C17" s="143" t="s">
        <v>1229</v>
      </c>
      <c r="D17" s="143" t="s">
        <v>1288</v>
      </c>
      <c r="E17" s="143" t="s">
        <v>1289</v>
      </c>
      <c r="F17" s="143" t="s">
        <v>945</v>
      </c>
      <c r="G17" s="143" t="s">
        <v>204</v>
      </c>
      <c r="H17" s="143" t="s">
        <v>204</v>
      </c>
      <c r="I17" s="143" t="s">
        <v>340</v>
      </c>
      <c r="J17" s="143" t="s">
        <v>1232</v>
      </c>
      <c r="K17" s="143" t="s">
        <v>312</v>
      </c>
      <c r="L17" s="143" t="s">
        <v>1210</v>
      </c>
      <c r="M17" s="144">
        <v>0.85</v>
      </c>
      <c r="N17" s="143" t="s">
        <v>1290</v>
      </c>
      <c r="O17" s="143" t="s">
        <v>1266</v>
      </c>
      <c r="P17" s="146">
        <v>4.3234000000000002E-2</v>
      </c>
      <c r="Q17" s="145" t="s">
        <v>3853</v>
      </c>
      <c r="R17" s="144">
        <v>125121</v>
      </c>
      <c r="S17" s="145" t="s">
        <v>3853</v>
      </c>
      <c r="T17" s="143" t="s">
        <v>1291</v>
      </c>
      <c r="U17" s="144">
        <v>120.7167</v>
      </c>
      <c r="V17" s="145" t="s">
        <v>3853</v>
      </c>
      <c r="W17" s="145" t="s">
        <v>3853</v>
      </c>
      <c r="X17" s="146">
        <v>8.9372142857142857E-6</v>
      </c>
      <c r="Y17" s="146">
        <v>3.3327356695890924E-2</v>
      </c>
      <c r="Z17" s="147">
        <v>8.1749356948956024E-3</v>
      </c>
      <c r="AA17" s="183"/>
    </row>
    <row r="18" spans="1:27" ht="15" x14ac:dyDescent="0.2">
      <c r="A18" s="142" t="s">
        <v>1205</v>
      </c>
      <c r="B18" s="143" t="s">
        <v>1206</v>
      </c>
      <c r="C18" s="143" t="s">
        <v>1292</v>
      </c>
      <c r="D18" s="143" t="s">
        <v>1293</v>
      </c>
      <c r="E18" s="143" t="s">
        <v>1294</v>
      </c>
      <c r="F18" s="143" t="s">
        <v>945</v>
      </c>
      <c r="G18" s="143" t="s">
        <v>204</v>
      </c>
      <c r="H18" s="143" t="s">
        <v>204</v>
      </c>
      <c r="I18" s="143" t="s">
        <v>340</v>
      </c>
      <c r="J18" s="143" t="s">
        <v>1232</v>
      </c>
      <c r="K18" s="143" t="s">
        <v>312</v>
      </c>
      <c r="L18" s="143" t="s">
        <v>1210</v>
      </c>
      <c r="M18" s="144">
        <v>5.58</v>
      </c>
      <c r="N18" s="143" t="s">
        <v>1295</v>
      </c>
      <c r="O18" s="146">
        <v>1.0026999999999999E-2</v>
      </c>
      <c r="P18" s="146">
        <v>4.7578000000000002E-2</v>
      </c>
      <c r="Q18" s="145" t="s">
        <v>3853</v>
      </c>
      <c r="R18" s="144">
        <v>126654</v>
      </c>
      <c r="S18" s="145" t="s">
        <v>3853</v>
      </c>
      <c r="T18" s="143" t="s">
        <v>1296</v>
      </c>
      <c r="U18" s="144">
        <v>103.51430000000001</v>
      </c>
      <c r="V18" s="145" t="s">
        <v>3853</v>
      </c>
      <c r="W18" s="145" t="s">
        <v>3853</v>
      </c>
      <c r="X18" s="146">
        <v>3.3545884548841938E-6</v>
      </c>
      <c r="Y18" s="146">
        <v>2.8578128017799555E-2</v>
      </c>
      <c r="Z18" s="147">
        <v>7.0099876494198621E-3</v>
      </c>
      <c r="AA18" s="183"/>
    </row>
    <row r="19" spans="1:27" ht="15" x14ac:dyDescent="0.2">
      <c r="A19" s="142" t="s">
        <v>1205</v>
      </c>
      <c r="B19" s="143" t="s">
        <v>1206</v>
      </c>
      <c r="C19" s="143" t="s">
        <v>1292</v>
      </c>
      <c r="D19" s="143" t="s">
        <v>1297</v>
      </c>
      <c r="E19" s="143" t="s">
        <v>1298</v>
      </c>
      <c r="F19" s="143" t="s">
        <v>945</v>
      </c>
      <c r="G19" s="143" t="s">
        <v>204</v>
      </c>
      <c r="H19" s="143" t="s">
        <v>204</v>
      </c>
      <c r="I19" s="143" t="s">
        <v>340</v>
      </c>
      <c r="J19" s="143" t="s">
        <v>1222</v>
      </c>
      <c r="K19" s="143" t="s">
        <v>413</v>
      </c>
      <c r="L19" s="143" t="s">
        <v>1210</v>
      </c>
      <c r="M19" s="144">
        <v>4.3099999999999996</v>
      </c>
      <c r="N19" s="143" t="s">
        <v>1299</v>
      </c>
      <c r="O19" s="146">
        <v>3.7284200000000003E-2</v>
      </c>
      <c r="P19" s="146">
        <v>4.6670999999999997E-2</v>
      </c>
      <c r="Q19" s="145" t="s">
        <v>3853</v>
      </c>
      <c r="R19" s="144">
        <v>61089</v>
      </c>
      <c r="S19" s="145" t="s">
        <v>3853</v>
      </c>
      <c r="T19" s="143" t="s">
        <v>1300</v>
      </c>
      <c r="U19" s="144">
        <v>59.555699999999995</v>
      </c>
      <c r="V19" s="145" t="s">
        <v>3853</v>
      </c>
      <c r="W19" s="145" t="s">
        <v>3853</v>
      </c>
      <c r="X19" s="146">
        <v>2.3146229122396112E-6</v>
      </c>
      <c r="Y19" s="146">
        <v>1.6442068550081988E-2</v>
      </c>
      <c r="Z19" s="147">
        <v>4.0331087254981126E-3</v>
      </c>
      <c r="AA19" s="183"/>
    </row>
    <row r="20" spans="1:27" ht="15" x14ac:dyDescent="0.2">
      <c r="A20" s="142" t="s">
        <v>1205</v>
      </c>
      <c r="B20" s="143" t="s">
        <v>1206</v>
      </c>
      <c r="C20" s="143" t="s">
        <v>1229</v>
      </c>
      <c r="D20" s="143" t="s">
        <v>1301</v>
      </c>
      <c r="E20" s="143" t="s">
        <v>1302</v>
      </c>
      <c r="F20" s="143" t="s">
        <v>945</v>
      </c>
      <c r="G20" s="143" t="s">
        <v>204</v>
      </c>
      <c r="H20" s="143" t="s">
        <v>204</v>
      </c>
      <c r="I20" s="143" t="s">
        <v>340</v>
      </c>
      <c r="J20" s="143" t="s">
        <v>1232</v>
      </c>
      <c r="K20" s="143" t="s">
        <v>314</v>
      </c>
      <c r="L20" s="143" t="s">
        <v>1210</v>
      </c>
      <c r="M20" s="144">
        <v>0.92</v>
      </c>
      <c r="N20" s="143" t="s">
        <v>1303</v>
      </c>
      <c r="O20" s="143" t="s">
        <v>1266</v>
      </c>
      <c r="P20" s="146">
        <v>4.3203999999999999E-2</v>
      </c>
      <c r="Q20" s="145" t="s">
        <v>3853</v>
      </c>
      <c r="R20" s="144">
        <v>13200</v>
      </c>
      <c r="S20" s="145" t="s">
        <v>3853</v>
      </c>
      <c r="T20" s="143" t="s">
        <v>1304</v>
      </c>
      <c r="U20" s="144">
        <v>12.6944</v>
      </c>
      <c r="V20" s="145" t="s">
        <v>3853</v>
      </c>
      <c r="W20" s="145" t="s">
        <v>3853</v>
      </c>
      <c r="X20" s="146">
        <v>1.1000000000000001E-6</v>
      </c>
      <c r="Y20" s="146">
        <v>3.5046682600180469E-3</v>
      </c>
      <c r="Z20" s="147">
        <v>8.5966726731501132E-4</v>
      </c>
      <c r="AA20" s="183"/>
    </row>
    <row r="21" spans="1:27" ht="15" x14ac:dyDescent="0.2">
      <c r="A21" s="142" t="s">
        <v>1205</v>
      </c>
      <c r="B21" s="143" t="s">
        <v>1206</v>
      </c>
      <c r="C21" s="143" t="s">
        <v>1229</v>
      </c>
      <c r="D21" s="143" t="s">
        <v>1305</v>
      </c>
      <c r="E21" s="143" t="s">
        <v>1306</v>
      </c>
      <c r="F21" s="143" t="s">
        <v>945</v>
      </c>
      <c r="G21" s="143" t="s">
        <v>204</v>
      </c>
      <c r="H21" s="143" t="s">
        <v>204</v>
      </c>
      <c r="I21" s="143" t="s">
        <v>340</v>
      </c>
      <c r="J21" s="143" t="s">
        <v>1232</v>
      </c>
      <c r="K21" s="143" t="s">
        <v>312</v>
      </c>
      <c r="L21" s="143" t="s">
        <v>1210</v>
      </c>
      <c r="M21" s="144">
        <v>16.82</v>
      </c>
      <c r="N21" s="143" t="s">
        <v>1307</v>
      </c>
      <c r="O21" s="146">
        <v>2.8000000000000001E-2</v>
      </c>
      <c r="P21" s="146">
        <v>5.5648999999999997E-2</v>
      </c>
      <c r="Q21" s="145" t="s">
        <v>3853</v>
      </c>
      <c r="R21" s="144">
        <v>11000</v>
      </c>
      <c r="S21" s="145" t="s">
        <v>3853</v>
      </c>
      <c r="T21" s="143" t="s">
        <v>1308</v>
      </c>
      <c r="U21" s="144">
        <v>6.8860000000000001</v>
      </c>
      <c r="V21" s="145" t="s">
        <v>3853</v>
      </c>
      <c r="W21" s="145" t="s">
        <v>3853</v>
      </c>
      <c r="X21" s="146">
        <v>6.5967918481883892E-7</v>
      </c>
      <c r="Y21" s="146">
        <v>1.9010799718998451E-3</v>
      </c>
      <c r="Z21" s="147">
        <v>4.6631980636650122E-4</v>
      </c>
      <c r="AA21" s="183"/>
    </row>
    <row r="22" spans="1:27" ht="15" x14ac:dyDescent="0.2">
      <c r="A22" s="142" t="s">
        <v>1205</v>
      </c>
      <c r="B22" s="143" t="s">
        <v>1206</v>
      </c>
      <c r="C22" s="143" t="s">
        <v>1309</v>
      </c>
      <c r="D22" s="143" t="s">
        <v>1310</v>
      </c>
      <c r="E22" s="143" t="s">
        <v>1311</v>
      </c>
      <c r="F22" s="143" t="s">
        <v>947</v>
      </c>
      <c r="G22" s="143" t="s">
        <v>205</v>
      </c>
      <c r="H22" s="143" t="s">
        <v>224</v>
      </c>
      <c r="I22" s="143" t="s">
        <v>344</v>
      </c>
      <c r="J22" s="143" t="s">
        <v>1312</v>
      </c>
      <c r="K22" s="143" t="s">
        <v>423</v>
      </c>
      <c r="L22" s="143" t="s">
        <v>1211</v>
      </c>
      <c r="M22" s="144">
        <v>7.4589999999999996</v>
      </c>
      <c r="N22" s="143" t="s">
        <v>1313</v>
      </c>
      <c r="O22" s="146">
        <v>3.875E-2</v>
      </c>
      <c r="P22" s="146">
        <v>4.41E-2</v>
      </c>
      <c r="Q22" s="145" t="s">
        <v>3853</v>
      </c>
      <c r="R22" s="144">
        <v>28200</v>
      </c>
      <c r="S22" s="143" t="s">
        <v>1212</v>
      </c>
      <c r="T22" s="143" t="s">
        <v>1314</v>
      </c>
      <c r="U22" s="144">
        <v>103.33199999999999</v>
      </c>
      <c r="V22" s="145" t="s">
        <v>3853</v>
      </c>
      <c r="W22" s="145" t="s">
        <v>3853</v>
      </c>
      <c r="X22" s="146">
        <v>7.4210526315789476E-7</v>
      </c>
      <c r="Y22" s="146">
        <v>2.8527790415286032E-2</v>
      </c>
      <c r="Z22" s="147">
        <v>6.9976402356318971E-3</v>
      </c>
      <c r="AA22" s="183"/>
    </row>
    <row r="23" spans="1:27" ht="15" x14ac:dyDescent="0.2">
      <c r="A23" s="142" t="s">
        <v>1205</v>
      </c>
      <c r="B23" s="143" t="s">
        <v>1206</v>
      </c>
      <c r="C23" s="143" t="s">
        <v>1309</v>
      </c>
      <c r="D23" s="143" t="s">
        <v>1315</v>
      </c>
      <c r="E23" s="143" t="s">
        <v>1316</v>
      </c>
      <c r="F23" s="143" t="s">
        <v>947</v>
      </c>
      <c r="G23" s="143" t="s">
        <v>205</v>
      </c>
      <c r="H23" s="143" t="s">
        <v>224</v>
      </c>
      <c r="I23" s="143" t="s">
        <v>344</v>
      </c>
      <c r="J23" s="143" t="s">
        <v>1312</v>
      </c>
      <c r="K23" s="143" t="s">
        <v>423</v>
      </c>
      <c r="L23" s="143" t="s">
        <v>1211</v>
      </c>
      <c r="M23" s="144">
        <v>7.7590000000000003</v>
      </c>
      <c r="N23" s="143" t="s">
        <v>1317</v>
      </c>
      <c r="O23" s="146">
        <v>0.04</v>
      </c>
      <c r="P23" s="146">
        <v>4.3999999999999997E-2</v>
      </c>
      <c r="Q23" s="145" t="s">
        <v>3853</v>
      </c>
      <c r="R23" s="144">
        <v>20000</v>
      </c>
      <c r="S23" s="143" t="s">
        <v>1212</v>
      </c>
      <c r="T23" s="143" t="s">
        <v>1318</v>
      </c>
      <c r="U23" s="144">
        <v>73.962100000000007</v>
      </c>
      <c r="V23" s="145" t="s">
        <v>3853</v>
      </c>
      <c r="W23" s="145" t="s">
        <v>3853</v>
      </c>
      <c r="X23" s="146">
        <v>4.7619047619047617E-7</v>
      </c>
      <c r="Y23" s="146">
        <v>2.041939414064246E-2</v>
      </c>
      <c r="Z23" s="147">
        <v>5.0087150790768037E-3</v>
      </c>
      <c r="AA23" s="183"/>
    </row>
    <row r="24" spans="1:27" ht="15" x14ac:dyDescent="0.2">
      <c r="A24" s="142" t="s">
        <v>1205</v>
      </c>
      <c r="B24" s="143" t="s">
        <v>1213</v>
      </c>
      <c r="C24" s="143" t="s">
        <v>1229</v>
      </c>
      <c r="D24" s="143" t="s">
        <v>1230</v>
      </c>
      <c r="E24" s="143" t="s">
        <v>1231</v>
      </c>
      <c r="F24" s="143" t="s">
        <v>943</v>
      </c>
      <c r="G24" s="143" t="s">
        <v>204</v>
      </c>
      <c r="H24" s="143" t="s">
        <v>204</v>
      </c>
      <c r="I24" s="143" t="s">
        <v>340</v>
      </c>
      <c r="J24" s="143" t="s">
        <v>1232</v>
      </c>
      <c r="K24" s="143" t="s">
        <v>312</v>
      </c>
      <c r="L24" s="143" t="s">
        <v>1210</v>
      </c>
      <c r="M24" s="144">
        <v>1.32</v>
      </c>
      <c r="N24" s="143" t="s">
        <v>1233</v>
      </c>
      <c r="O24" s="146">
        <v>7.5209999999999999E-3</v>
      </c>
      <c r="P24" s="146">
        <v>1.5337999999999999E-2</v>
      </c>
      <c r="Q24" s="145" t="s">
        <v>3853</v>
      </c>
      <c r="R24" s="144">
        <v>224459</v>
      </c>
      <c r="S24" s="145" t="s">
        <v>3853</v>
      </c>
      <c r="T24" s="143" t="s">
        <v>1234</v>
      </c>
      <c r="U24" s="144">
        <v>254.73849999999999</v>
      </c>
      <c r="V24" s="145" t="s">
        <v>3853</v>
      </c>
      <c r="W24" s="145" t="s">
        <v>3853</v>
      </c>
      <c r="X24" s="146">
        <v>1.0342432603624264E-5</v>
      </c>
      <c r="Y24" s="146">
        <v>0.13986948186989673</v>
      </c>
      <c r="Z24" s="147">
        <v>7.5186187964340803E-2</v>
      </c>
      <c r="AA24" s="183"/>
    </row>
    <row r="25" spans="1:27" ht="15" x14ac:dyDescent="0.2">
      <c r="A25" s="142" t="s">
        <v>1205</v>
      </c>
      <c r="B25" s="143" t="s">
        <v>1213</v>
      </c>
      <c r="C25" s="143" t="s">
        <v>1229</v>
      </c>
      <c r="D25" s="143" t="s">
        <v>1235</v>
      </c>
      <c r="E25" s="143" t="s">
        <v>1236</v>
      </c>
      <c r="F25" s="143" t="s">
        <v>943</v>
      </c>
      <c r="G25" s="143" t="s">
        <v>204</v>
      </c>
      <c r="H25" s="143" t="s">
        <v>204</v>
      </c>
      <c r="I25" s="143" t="s">
        <v>340</v>
      </c>
      <c r="J25" s="143" t="s">
        <v>1232</v>
      </c>
      <c r="K25" s="143" t="s">
        <v>312</v>
      </c>
      <c r="L25" s="143" t="s">
        <v>1210</v>
      </c>
      <c r="M25" s="144">
        <v>7.39</v>
      </c>
      <c r="N25" s="143" t="s">
        <v>1237</v>
      </c>
      <c r="O25" s="146">
        <v>1E-3</v>
      </c>
      <c r="P25" s="146">
        <v>2.1850000000000001E-2</v>
      </c>
      <c r="Q25" s="145" t="s">
        <v>3853</v>
      </c>
      <c r="R25" s="144">
        <v>260340</v>
      </c>
      <c r="S25" s="145" t="s">
        <v>3853</v>
      </c>
      <c r="T25" s="143" t="s">
        <v>1238</v>
      </c>
      <c r="U25" s="144">
        <v>254.22200000000001</v>
      </c>
      <c r="V25" s="145" t="s">
        <v>3853</v>
      </c>
      <c r="W25" s="145" t="s">
        <v>3853</v>
      </c>
      <c r="X25" s="146">
        <v>8.4790039941925631E-6</v>
      </c>
      <c r="Y25" s="146">
        <v>0.13958588180637541</v>
      </c>
      <c r="Z25" s="147">
        <v>7.5033740072223451E-2</v>
      </c>
      <c r="AA25" s="183"/>
    </row>
    <row r="26" spans="1:27" ht="15" x14ac:dyDescent="0.2">
      <c r="A26" s="142" t="s">
        <v>1205</v>
      </c>
      <c r="B26" s="143" t="s">
        <v>1213</v>
      </c>
      <c r="C26" s="143" t="s">
        <v>1229</v>
      </c>
      <c r="D26" s="143" t="s">
        <v>1247</v>
      </c>
      <c r="E26" s="143" t="s">
        <v>1248</v>
      </c>
      <c r="F26" s="143" t="s">
        <v>943</v>
      </c>
      <c r="G26" s="143" t="s">
        <v>204</v>
      </c>
      <c r="H26" s="143" t="s">
        <v>204</v>
      </c>
      <c r="I26" s="143" t="s">
        <v>340</v>
      </c>
      <c r="J26" s="143" t="s">
        <v>1232</v>
      </c>
      <c r="K26" s="143" t="s">
        <v>312</v>
      </c>
      <c r="L26" s="143" t="s">
        <v>1210</v>
      </c>
      <c r="M26" s="144">
        <v>4.8600000000000003</v>
      </c>
      <c r="N26" s="143" t="s">
        <v>1249</v>
      </c>
      <c r="O26" s="146">
        <v>5.0000000000000001E-3</v>
      </c>
      <c r="P26" s="146">
        <v>1.9880999999999999E-2</v>
      </c>
      <c r="Q26" s="145" t="s">
        <v>3853</v>
      </c>
      <c r="R26" s="144">
        <v>209126</v>
      </c>
      <c r="S26" s="145" t="s">
        <v>3853</v>
      </c>
      <c r="T26" s="143" t="s">
        <v>1250</v>
      </c>
      <c r="U26" s="144">
        <v>221.35989999999998</v>
      </c>
      <c r="V26" s="145" t="s">
        <v>3853</v>
      </c>
      <c r="W26" s="145" t="s">
        <v>3853</v>
      </c>
      <c r="X26" s="146">
        <v>8.6874780048959953E-6</v>
      </c>
      <c r="Y26" s="146">
        <v>0.12154224093374334</v>
      </c>
      <c r="Z26" s="147">
        <v>6.5334465033279041E-2</v>
      </c>
      <c r="AA26" s="183"/>
    </row>
    <row r="27" spans="1:27" ht="15" x14ac:dyDescent="0.2">
      <c r="A27" s="142" t="s">
        <v>1205</v>
      </c>
      <c r="B27" s="143" t="s">
        <v>1213</v>
      </c>
      <c r="C27" s="143" t="s">
        <v>1229</v>
      </c>
      <c r="D27" s="143" t="s">
        <v>1243</v>
      </c>
      <c r="E27" s="143" t="s">
        <v>1244</v>
      </c>
      <c r="F27" s="143" t="s">
        <v>943</v>
      </c>
      <c r="G27" s="143" t="s">
        <v>204</v>
      </c>
      <c r="H27" s="143" t="s">
        <v>204</v>
      </c>
      <c r="I27" s="143" t="s">
        <v>340</v>
      </c>
      <c r="J27" s="143" t="s">
        <v>1232</v>
      </c>
      <c r="K27" s="143" t="s">
        <v>312</v>
      </c>
      <c r="L27" s="143" t="s">
        <v>1210</v>
      </c>
      <c r="M27" s="144">
        <v>9.8800000000000008</v>
      </c>
      <c r="N27" s="143" t="s">
        <v>1245</v>
      </c>
      <c r="O27" s="146">
        <v>4.011E-2</v>
      </c>
      <c r="P27" s="146">
        <v>2.3077E-2</v>
      </c>
      <c r="Q27" s="145" t="s">
        <v>3853</v>
      </c>
      <c r="R27" s="144">
        <v>17760</v>
      </c>
      <c r="S27" s="145" t="s">
        <v>3853</v>
      </c>
      <c r="T27" s="143" t="s">
        <v>1246</v>
      </c>
      <c r="U27" s="144">
        <v>28.252599999999997</v>
      </c>
      <c r="V27" s="145" t="s">
        <v>3853</v>
      </c>
      <c r="W27" s="145" t="s">
        <v>3853</v>
      </c>
      <c r="X27" s="146">
        <v>1.1147164349058638E-6</v>
      </c>
      <c r="Y27" s="146">
        <v>1.5512682009751463E-2</v>
      </c>
      <c r="Z27" s="147">
        <v>8.3387699005071231E-3</v>
      </c>
      <c r="AA27" s="183"/>
    </row>
    <row r="28" spans="1:27" ht="15" x14ac:dyDescent="0.2">
      <c r="A28" s="142" t="s">
        <v>1205</v>
      </c>
      <c r="B28" s="143" t="s">
        <v>1213</v>
      </c>
      <c r="C28" s="143" t="s">
        <v>1229</v>
      </c>
      <c r="D28" s="143" t="s">
        <v>1239</v>
      </c>
      <c r="E28" s="143" t="s">
        <v>1240</v>
      </c>
      <c r="F28" s="143" t="s">
        <v>943</v>
      </c>
      <c r="G28" s="143" t="s">
        <v>204</v>
      </c>
      <c r="H28" s="143" t="s">
        <v>204</v>
      </c>
      <c r="I28" s="143" t="s">
        <v>340</v>
      </c>
      <c r="J28" s="143" t="s">
        <v>1232</v>
      </c>
      <c r="K28" s="143" t="s">
        <v>312</v>
      </c>
      <c r="L28" s="143" t="s">
        <v>1210</v>
      </c>
      <c r="M28" s="144">
        <v>2.89</v>
      </c>
      <c r="N28" s="143" t="s">
        <v>1241</v>
      </c>
      <c r="O28" s="146">
        <v>7.4999999999999997E-3</v>
      </c>
      <c r="P28" s="146">
        <v>1.7389999999999999E-2</v>
      </c>
      <c r="Q28" s="145" t="s">
        <v>3853</v>
      </c>
      <c r="R28" s="144">
        <v>12199</v>
      </c>
      <c r="S28" s="145" t="s">
        <v>3853</v>
      </c>
      <c r="T28" s="143" t="s">
        <v>1242</v>
      </c>
      <c r="U28" s="144">
        <v>13.6214</v>
      </c>
      <c r="V28" s="145" t="s">
        <v>3853</v>
      </c>
      <c r="W28" s="145" t="s">
        <v>3853</v>
      </c>
      <c r="X28" s="146">
        <v>5.4726997629298157E-7</v>
      </c>
      <c r="Y28" s="146">
        <v>7.4791148297087265E-3</v>
      </c>
      <c r="Z28" s="147">
        <v>4.0203633121085811E-3</v>
      </c>
      <c r="AA28" s="183"/>
    </row>
    <row r="29" spans="1:27" ht="15" x14ac:dyDescent="0.2">
      <c r="A29" s="142" t="s">
        <v>1205</v>
      </c>
      <c r="B29" s="143" t="s">
        <v>1213</v>
      </c>
      <c r="C29" s="143" t="s">
        <v>1229</v>
      </c>
      <c r="D29" s="143" t="s">
        <v>1251</v>
      </c>
      <c r="E29" s="143" t="s">
        <v>1252</v>
      </c>
      <c r="F29" s="143" t="s">
        <v>943</v>
      </c>
      <c r="G29" s="143" t="s">
        <v>204</v>
      </c>
      <c r="H29" s="143" t="s">
        <v>204</v>
      </c>
      <c r="I29" s="143" t="s">
        <v>340</v>
      </c>
      <c r="J29" s="143" t="s">
        <v>1232</v>
      </c>
      <c r="K29" s="143" t="s">
        <v>312</v>
      </c>
      <c r="L29" s="143" t="s">
        <v>1210</v>
      </c>
      <c r="M29" s="144">
        <v>4.22</v>
      </c>
      <c r="N29" s="143" t="s">
        <v>1253</v>
      </c>
      <c r="O29" s="146">
        <v>1.0999999999999999E-2</v>
      </c>
      <c r="P29" s="146">
        <v>1.9415999999999999E-2</v>
      </c>
      <c r="Q29" s="145" t="s">
        <v>3853</v>
      </c>
      <c r="R29" s="144">
        <v>13391</v>
      </c>
      <c r="S29" s="145" t="s">
        <v>3853</v>
      </c>
      <c r="T29" s="143" t="s">
        <v>1254</v>
      </c>
      <c r="U29" s="144">
        <v>13.388299999999999</v>
      </c>
      <c r="V29" s="145" t="s">
        <v>3853</v>
      </c>
      <c r="W29" s="145" t="s">
        <v>3853</v>
      </c>
      <c r="X29" s="146">
        <v>8.5162163934271934E-7</v>
      </c>
      <c r="Y29" s="146">
        <v>7.3511365296833244E-3</v>
      </c>
      <c r="Z29" s="147">
        <v>3.9515691735128788E-3</v>
      </c>
      <c r="AA29" s="183"/>
    </row>
    <row r="30" spans="1:27" ht="15" x14ac:dyDescent="0.2">
      <c r="A30" s="142" t="s">
        <v>1205</v>
      </c>
      <c r="B30" s="143" t="s">
        <v>1213</v>
      </c>
      <c r="C30" s="143" t="s">
        <v>1292</v>
      </c>
      <c r="D30" s="143" t="s">
        <v>1293</v>
      </c>
      <c r="E30" s="143" t="s">
        <v>1294</v>
      </c>
      <c r="F30" s="143" t="s">
        <v>945</v>
      </c>
      <c r="G30" s="143" t="s">
        <v>204</v>
      </c>
      <c r="H30" s="143" t="s">
        <v>204</v>
      </c>
      <c r="I30" s="143" t="s">
        <v>340</v>
      </c>
      <c r="J30" s="143" t="s">
        <v>1232</v>
      </c>
      <c r="K30" s="143" t="s">
        <v>312</v>
      </c>
      <c r="L30" s="143" t="s">
        <v>1210</v>
      </c>
      <c r="M30" s="144">
        <v>5.58</v>
      </c>
      <c r="N30" s="143" t="s">
        <v>1295</v>
      </c>
      <c r="O30" s="146">
        <v>1.0026999999999999E-2</v>
      </c>
      <c r="P30" s="146">
        <v>4.7578000000000002E-2</v>
      </c>
      <c r="Q30" s="145" t="s">
        <v>3853</v>
      </c>
      <c r="R30" s="144">
        <v>310261</v>
      </c>
      <c r="S30" s="145" t="s">
        <v>3853</v>
      </c>
      <c r="T30" s="143" t="s">
        <v>1296</v>
      </c>
      <c r="U30" s="144">
        <v>253.57629999999997</v>
      </c>
      <c r="V30" s="145" t="s">
        <v>3853</v>
      </c>
      <c r="W30" s="145" t="s">
        <v>3853</v>
      </c>
      <c r="X30" s="146">
        <v>8.2176478326845167E-6</v>
      </c>
      <c r="Y30" s="146">
        <v>0.13923134970241949</v>
      </c>
      <c r="Z30" s="147">
        <v>7.4843162992426882E-2</v>
      </c>
      <c r="AA30" s="183"/>
    </row>
    <row r="31" spans="1:27" ht="15" x14ac:dyDescent="0.2">
      <c r="A31" s="142" t="s">
        <v>1205</v>
      </c>
      <c r="B31" s="143" t="s">
        <v>1213</v>
      </c>
      <c r="C31" s="143" t="s">
        <v>1229</v>
      </c>
      <c r="D31" s="143" t="s">
        <v>1259</v>
      </c>
      <c r="E31" s="143" t="s">
        <v>1260</v>
      </c>
      <c r="F31" s="143" t="s">
        <v>945</v>
      </c>
      <c r="G31" s="143" t="s">
        <v>204</v>
      </c>
      <c r="H31" s="143" t="s">
        <v>204</v>
      </c>
      <c r="I31" s="143" t="s">
        <v>340</v>
      </c>
      <c r="J31" s="143" t="s">
        <v>1232</v>
      </c>
      <c r="K31" s="143" t="s">
        <v>312</v>
      </c>
      <c r="L31" s="143" t="s">
        <v>1210</v>
      </c>
      <c r="M31" s="144">
        <v>7.42</v>
      </c>
      <c r="N31" s="143" t="s">
        <v>1261</v>
      </c>
      <c r="O31" s="146">
        <v>1.2999999999999999E-2</v>
      </c>
      <c r="P31" s="146">
        <v>4.9000000000000002E-2</v>
      </c>
      <c r="Q31" s="145" t="s">
        <v>3853</v>
      </c>
      <c r="R31" s="144">
        <v>151250</v>
      </c>
      <c r="S31" s="145" t="s">
        <v>3853</v>
      </c>
      <c r="T31" s="143" t="s">
        <v>1262</v>
      </c>
      <c r="U31" s="144">
        <v>116.8558</v>
      </c>
      <c r="V31" s="145" t="s">
        <v>3853</v>
      </c>
      <c r="W31" s="145" t="s">
        <v>3853</v>
      </c>
      <c r="X31" s="146">
        <v>5.0411805288243373E-6</v>
      </c>
      <c r="Y31" s="146">
        <v>6.4162079860415527E-2</v>
      </c>
      <c r="Z31" s="147">
        <v>3.4490026931360995E-2</v>
      </c>
      <c r="AA31" s="183"/>
    </row>
    <row r="32" spans="1:27" ht="15" x14ac:dyDescent="0.2">
      <c r="A32" s="142" t="s">
        <v>1205</v>
      </c>
      <c r="B32" s="143" t="s">
        <v>1213</v>
      </c>
      <c r="C32" s="143" t="s">
        <v>1229</v>
      </c>
      <c r="D32" s="143" t="s">
        <v>1263</v>
      </c>
      <c r="E32" s="143" t="s">
        <v>1264</v>
      </c>
      <c r="F32" s="143" t="s">
        <v>945</v>
      </c>
      <c r="G32" s="143" t="s">
        <v>204</v>
      </c>
      <c r="H32" s="143" t="s">
        <v>204</v>
      </c>
      <c r="I32" s="143" t="s">
        <v>340</v>
      </c>
      <c r="J32" s="143" t="s">
        <v>1232</v>
      </c>
      <c r="K32" s="143" t="s">
        <v>312</v>
      </c>
      <c r="L32" s="143" t="s">
        <v>1210</v>
      </c>
      <c r="M32" s="144">
        <v>0.75</v>
      </c>
      <c r="N32" s="143" t="s">
        <v>1265</v>
      </c>
      <c r="O32" s="143" t="s">
        <v>1266</v>
      </c>
      <c r="P32" s="146">
        <v>4.3262000000000002E-2</v>
      </c>
      <c r="Q32" s="145" t="s">
        <v>3853</v>
      </c>
      <c r="R32" s="144">
        <v>109283</v>
      </c>
      <c r="S32" s="145" t="s">
        <v>3853</v>
      </c>
      <c r="T32" s="143" t="s">
        <v>1267</v>
      </c>
      <c r="U32" s="144">
        <v>105.86239999999999</v>
      </c>
      <c r="V32" s="145" t="s">
        <v>3853</v>
      </c>
      <c r="W32" s="145" t="s">
        <v>3853</v>
      </c>
      <c r="X32" s="146">
        <v>9.1069166666666659E-6</v>
      </c>
      <c r="Y32" s="146">
        <v>5.8125975523145537E-2</v>
      </c>
      <c r="Z32" s="147">
        <v>3.1245347182732936E-2</v>
      </c>
      <c r="AA32" s="183"/>
    </row>
    <row r="33" spans="1:27" ht="15" x14ac:dyDescent="0.2">
      <c r="A33" s="142" t="s">
        <v>1205</v>
      </c>
      <c r="B33" s="143" t="s">
        <v>1213</v>
      </c>
      <c r="C33" s="143" t="s">
        <v>1229</v>
      </c>
      <c r="D33" s="143" t="s">
        <v>1255</v>
      </c>
      <c r="E33" s="143" t="s">
        <v>1256</v>
      </c>
      <c r="F33" s="143" t="s">
        <v>945</v>
      </c>
      <c r="G33" s="143" t="s">
        <v>204</v>
      </c>
      <c r="H33" s="143" t="s">
        <v>204</v>
      </c>
      <c r="I33" s="143" t="s">
        <v>340</v>
      </c>
      <c r="J33" s="143" t="s">
        <v>1232</v>
      </c>
      <c r="K33" s="143" t="s">
        <v>312</v>
      </c>
      <c r="L33" s="143" t="s">
        <v>1210</v>
      </c>
      <c r="M33" s="144">
        <v>11.5</v>
      </c>
      <c r="N33" s="143" t="s">
        <v>1257</v>
      </c>
      <c r="O33" s="146">
        <v>1.5041000000000001E-2</v>
      </c>
      <c r="P33" s="146">
        <v>5.2136000000000002E-2</v>
      </c>
      <c r="Q33" s="145" t="s">
        <v>3853</v>
      </c>
      <c r="R33" s="144">
        <v>144844</v>
      </c>
      <c r="S33" s="145" t="s">
        <v>3853</v>
      </c>
      <c r="T33" s="143" t="s">
        <v>1258</v>
      </c>
      <c r="U33" s="144">
        <v>95.350800000000007</v>
      </c>
      <c r="V33" s="145" t="s">
        <v>3853</v>
      </c>
      <c r="W33" s="145" t="s">
        <v>3853</v>
      </c>
      <c r="X33" s="146">
        <v>4.5152903854122865E-6</v>
      </c>
      <c r="Y33" s="146">
        <v>5.2354342666041886E-2</v>
      </c>
      <c r="Z33" s="147">
        <v>2.8142832845409457E-2</v>
      </c>
      <c r="AA33" s="183"/>
    </row>
    <row r="34" spans="1:27" ht="15" x14ac:dyDescent="0.2">
      <c r="A34" s="142" t="s">
        <v>1205</v>
      </c>
      <c r="B34" s="143" t="s">
        <v>1213</v>
      </c>
      <c r="C34" s="143" t="s">
        <v>1229</v>
      </c>
      <c r="D34" s="143" t="s">
        <v>1284</v>
      </c>
      <c r="E34" s="143" t="s">
        <v>1285</v>
      </c>
      <c r="F34" s="143" t="s">
        <v>945</v>
      </c>
      <c r="G34" s="143" t="s">
        <v>204</v>
      </c>
      <c r="H34" s="143" t="s">
        <v>204</v>
      </c>
      <c r="I34" s="143" t="s">
        <v>340</v>
      </c>
      <c r="J34" s="143" t="s">
        <v>1232</v>
      </c>
      <c r="K34" s="143" t="s">
        <v>312</v>
      </c>
      <c r="L34" s="143" t="s">
        <v>1210</v>
      </c>
      <c r="M34" s="144">
        <v>14.48</v>
      </c>
      <c r="N34" s="143" t="s">
        <v>1286</v>
      </c>
      <c r="O34" s="146">
        <v>3.7602999999999998E-2</v>
      </c>
      <c r="P34" s="146">
        <v>5.4753999999999997E-2</v>
      </c>
      <c r="Q34" s="145" t="s">
        <v>3853</v>
      </c>
      <c r="R34" s="144">
        <v>114792</v>
      </c>
      <c r="S34" s="145" t="s">
        <v>3853</v>
      </c>
      <c r="T34" s="143" t="s">
        <v>1287</v>
      </c>
      <c r="U34" s="144">
        <v>90.444600000000008</v>
      </c>
      <c r="V34" s="145" t="s">
        <v>3853</v>
      </c>
      <c r="W34" s="145" t="s">
        <v>3853</v>
      </c>
      <c r="X34" s="146">
        <v>4.3736376467064732E-6</v>
      </c>
      <c r="Y34" s="146">
        <v>4.9660497887919763E-2</v>
      </c>
      <c r="Z34" s="147">
        <v>2.6694769142542197E-2</v>
      </c>
      <c r="AA34" s="183"/>
    </row>
    <row r="35" spans="1:27" ht="15" x14ac:dyDescent="0.2">
      <c r="A35" s="142" t="s">
        <v>1205</v>
      </c>
      <c r="B35" s="143" t="s">
        <v>1213</v>
      </c>
      <c r="C35" s="143" t="s">
        <v>1229</v>
      </c>
      <c r="D35" s="143" t="s">
        <v>1272</v>
      </c>
      <c r="E35" s="143" t="s">
        <v>1273</v>
      </c>
      <c r="F35" s="143" t="s">
        <v>945</v>
      </c>
      <c r="G35" s="143" t="s">
        <v>204</v>
      </c>
      <c r="H35" s="143" t="s">
        <v>204</v>
      </c>
      <c r="I35" s="143" t="s">
        <v>340</v>
      </c>
      <c r="J35" s="143" t="s">
        <v>1232</v>
      </c>
      <c r="K35" s="143" t="s">
        <v>312</v>
      </c>
      <c r="L35" s="143" t="s">
        <v>1210</v>
      </c>
      <c r="M35" s="144">
        <v>11.51</v>
      </c>
      <c r="N35" s="143" t="s">
        <v>1274</v>
      </c>
      <c r="O35" s="146">
        <v>5.5E-2</v>
      </c>
      <c r="P35" s="146">
        <v>5.3379000000000003E-2</v>
      </c>
      <c r="Q35" s="145" t="s">
        <v>3853</v>
      </c>
      <c r="R35" s="144">
        <v>86751</v>
      </c>
      <c r="S35" s="145" t="s">
        <v>3853</v>
      </c>
      <c r="T35" s="143" t="s">
        <v>1275</v>
      </c>
      <c r="U35" s="144">
        <v>90.29910000000001</v>
      </c>
      <c r="V35" s="145" t="s">
        <v>3853</v>
      </c>
      <c r="W35" s="145" t="s">
        <v>3853</v>
      </c>
      <c r="X35" s="146">
        <v>4.492998050123474E-6</v>
      </c>
      <c r="Y35" s="146">
        <v>4.9580607592700547E-2</v>
      </c>
      <c r="Z35" s="147">
        <v>2.665182448676328E-2</v>
      </c>
      <c r="AA35" s="183"/>
    </row>
    <row r="36" spans="1:27" ht="15" x14ac:dyDescent="0.2">
      <c r="A36" s="142" t="s">
        <v>1205</v>
      </c>
      <c r="B36" s="143" t="s">
        <v>1213</v>
      </c>
      <c r="C36" s="143" t="s">
        <v>1292</v>
      </c>
      <c r="D36" s="143" t="s">
        <v>1297</v>
      </c>
      <c r="E36" s="143" t="s">
        <v>1298</v>
      </c>
      <c r="F36" s="143" t="s">
        <v>945</v>
      </c>
      <c r="G36" s="143" t="s">
        <v>204</v>
      </c>
      <c r="H36" s="143" t="s">
        <v>204</v>
      </c>
      <c r="I36" s="143" t="s">
        <v>340</v>
      </c>
      <c r="J36" s="143" t="s">
        <v>1222</v>
      </c>
      <c r="K36" s="143" t="s">
        <v>413</v>
      </c>
      <c r="L36" s="143" t="s">
        <v>1210</v>
      </c>
      <c r="M36" s="144">
        <v>4.3099999999999996</v>
      </c>
      <c r="N36" s="143" t="s">
        <v>1299</v>
      </c>
      <c r="O36" s="146">
        <v>3.7284200000000003E-2</v>
      </c>
      <c r="P36" s="146">
        <v>4.6670999999999997E-2</v>
      </c>
      <c r="Q36" s="145" t="s">
        <v>3853</v>
      </c>
      <c r="R36" s="144">
        <v>65525</v>
      </c>
      <c r="S36" s="145" t="s">
        <v>3853</v>
      </c>
      <c r="T36" s="143" t="s">
        <v>1300</v>
      </c>
      <c r="U36" s="144">
        <v>63.880300000000005</v>
      </c>
      <c r="V36" s="145" t="s">
        <v>3853</v>
      </c>
      <c r="W36" s="145" t="s">
        <v>3853</v>
      </c>
      <c r="X36" s="146">
        <v>2.4827000986184176E-6</v>
      </c>
      <c r="Y36" s="146">
        <v>3.5074819628080761E-2</v>
      </c>
      <c r="Z36" s="147">
        <v>1.8854305786484841E-2</v>
      </c>
      <c r="AA36" s="183"/>
    </row>
    <row r="37" spans="1:27" ht="15" x14ac:dyDescent="0.2">
      <c r="A37" s="142" t="s">
        <v>1205</v>
      </c>
      <c r="B37" s="143" t="s">
        <v>1213</v>
      </c>
      <c r="C37" s="143" t="s">
        <v>1229</v>
      </c>
      <c r="D37" s="143" t="s">
        <v>1268</v>
      </c>
      <c r="E37" s="143" t="s">
        <v>1269</v>
      </c>
      <c r="F37" s="143" t="s">
        <v>945</v>
      </c>
      <c r="G37" s="143" t="s">
        <v>204</v>
      </c>
      <c r="H37" s="143" t="s">
        <v>204</v>
      </c>
      <c r="I37" s="143" t="s">
        <v>340</v>
      </c>
      <c r="J37" s="143" t="s">
        <v>1232</v>
      </c>
      <c r="K37" s="143" t="s">
        <v>312</v>
      </c>
      <c r="L37" s="143" t="s">
        <v>1210</v>
      </c>
      <c r="M37" s="144">
        <v>0.67</v>
      </c>
      <c r="N37" s="143" t="s">
        <v>1270</v>
      </c>
      <c r="O37" s="143" t="s">
        <v>1266</v>
      </c>
      <c r="P37" s="146">
        <v>4.3515999999999999E-2</v>
      </c>
      <c r="Q37" s="145" t="s">
        <v>3853</v>
      </c>
      <c r="R37" s="144">
        <v>58151.8</v>
      </c>
      <c r="S37" s="145" t="s">
        <v>3853</v>
      </c>
      <c r="T37" s="143" t="s">
        <v>1271</v>
      </c>
      <c r="U37" s="144">
        <v>56.506099999999996</v>
      </c>
      <c r="V37" s="145" t="s">
        <v>3853</v>
      </c>
      <c r="W37" s="145" t="s">
        <v>3853</v>
      </c>
      <c r="X37" s="146">
        <v>4.8459833333333331E-6</v>
      </c>
      <c r="Y37" s="146">
        <v>3.1025851627315471E-2</v>
      </c>
      <c r="Z37" s="147">
        <v>1.667780191232085E-2</v>
      </c>
      <c r="AA37" s="183"/>
    </row>
    <row r="38" spans="1:27" ht="15" x14ac:dyDescent="0.2">
      <c r="A38" s="142" t="s">
        <v>1205</v>
      </c>
      <c r="B38" s="143" t="s">
        <v>1213</v>
      </c>
      <c r="C38" s="143" t="s">
        <v>1229</v>
      </c>
      <c r="D38" s="143" t="s">
        <v>1301</v>
      </c>
      <c r="E38" s="143" t="s">
        <v>1302</v>
      </c>
      <c r="F38" s="143" t="s">
        <v>945</v>
      </c>
      <c r="G38" s="143" t="s">
        <v>204</v>
      </c>
      <c r="H38" s="143" t="s">
        <v>204</v>
      </c>
      <c r="I38" s="143" t="s">
        <v>340</v>
      </c>
      <c r="J38" s="143" t="s">
        <v>1232</v>
      </c>
      <c r="K38" s="143" t="s">
        <v>314</v>
      </c>
      <c r="L38" s="143" t="s">
        <v>1210</v>
      </c>
      <c r="M38" s="144">
        <v>0.92</v>
      </c>
      <c r="N38" s="143" t="s">
        <v>1303</v>
      </c>
      <c r="O38" s="143" t="s">
        <v>1266</v>
      </c>
      <c r="P38" s="146">
        <v>4.3203999999999999E-2</v>
      </c>
      <c r="Q38" s="145" t="s">
        <v>3853</v>
      </c>
      <c r="R38" s="144">
        <v>57000</v>
      </c>
      <c r="S38" s="145" t="s">
        <v>3853</v>
      </c>
      <c r="T38" s="143" t="s">
        <v>1304</v>
      </c>
      <c r="U38" s="144">
        <v>54.816900000000004</v>
      </c>
      <c r="V38" s="145" t="s">
        <v>3853</v>
      </c>
      <c r="W38" s="145" t="s">
        <v>3853</v>
      </c>
      <c r="X38" s="146">
        <v>4.7500000000000003E-6</v>
      </c>
      <c r="Y38" s="146">
        <v>3.0098359006727627E-2</v>
      </c>
      <c r="Z38" s="147">
        <v>1.6179232577718451E-2</v>
      </c>
      <c r="AA38" s="183"/>
    </row>
    <row r="39" spans="1:27" ht="15" x14ac:dyDescent="0.2">
      <c r="A39" s="142" t="s">
        <v>1205</v>
      </c>
      <c r="B39" s="143" t="s">
        <v>1213</v>
      </c>
      <c r="C39" s="143" t="s">
        <v>1229</v>
      </c>
      <c r="D39" s="143" t="s">
        <v>1276</v>
      </c>
      <c r="E39" s="143" t="s">
        <v>1277</v>
      </c>
      <c r="F39" s="143" t="s">
        <v>945</v>
      </c>
      <c r="G39" s="143" t="s">
        <v>204</v>
      </c>
      <c r="H39" s="143" t="s">
        <v>204</v>
      </c>
      <c r="I39" s="143" t="s">
        <v>340</v>
      </c>
      <c r="J39" s="143" t="s">
        <v>1232</v>
      </c>
      <c r="K39" s="143" t="s">
        <v>312</v>
      </c>
      <c r="L39" s="143" t="s">
        <v>1210</v>
      </c>
      <c r="M39" s="144">
        <v>0.6</v>
      </c>
      <c r="N39" s="143" t="s">
        <v>1278</v>
      </c>
      <c r="O39" s="143" t="s">
        <v>1266</v>
      </c>
      <c r="P39" s="146">
        <v>4.3658000000000002E-2</v>
      </c>
      <c r="Q39" s="145" t="s">
        <v>3853</v>
      </c>
      <c r="R39" s="144">
        <v>50879</v>
      </c>
      <c r="S39" s="145" t="s">
        <v>3853</v>
      </c>
      <c r="T39" s="143" t="s">
        <v>1279</v>
      </c>
      <c r="U39" s="144">
        <v>49.596800000000002</v>
      </c>
      <c r="V39" s="145" t="s">
        <v>3853</v>
      </c>
      <c r="W39" s="145" t="s">
        <v>3853</v>
      </c>
      <c r="X39" s="146">
        <v>4.2399166666666665E-6</v>
      </c>
      <c r="Y39" s="146">
        <v>2.7232181550290727E-2</v>
      </c>
      <c r="Z39" s="147">
        <v>1.4638532246968166E-2</v>
      </c>
      <c r="AA39" s="183"/>
    </row>
    <row r="40" spans="1:27" ht="15" x14ac:dyDescent="0.2">
      <c r="A40" s="142" t="s">
        <v>1205</v>
      </c>
      <c r="B40" s="143" t="s">
        <v>1213</v>
      </c>
      <c r="C40" s="143" t="s">
        <v>1229</v>
      </c>
      <c r="D40" s="143" t="s">
        <v>1288</v>
      </c>
      <c r="E40" s="143" t="s">
        <v>1289</v>
      </c>
      <c r="F40" s="143" t="s">
        <v>945</v>
      </c>
      <c r="G40" s="143" t="s">
        <v>204</v>
      </c>
      <c r="H40" s="143" t="s">
        <v>204</v>
      </c>
      <c r="I40" s="143" t="s">
        <v>340</v>
      </c>
      <c r="J40" s="143" t="s">
        <v>1232</v>
      </c>
      <c r="K40" s="143" t="s">
        <v>312</v>
      </c>
      <c r="L40" s="143" t="s">
        <v>1210</v>
      </c>
      <c r="M40" s="144">
        <v>0.85</v>
      </c>
      <c r="N40" s="143" t="s">
        <v>1290</v>
      </c>
      <c r="O40" s="143" t="s">
        <v>1266</v>
      </c>
      <c r="P40" s="146">
        <v>4.3234000000000002E-2</v>
      </c>
      <c r="Q40" s="145" t="s">
        <v>3853</v>
      </c>
      <c r="R40" s="144">
        <v>25024</v>
      </c>
      <c r="S40" s="145" t="s">
        <v>3853</v>
      </c>
      <c r="T40" s="143" t="s">
        <v>1291</v>
      </c>
      <c r="U40" s="144">
        <v>24.1432</v>
      </c>
      <c r="V40" s="145" t="s">
        <v>3853</v>
      </c>
      <c r="W40" s="145" t="s">
        <v>3853</v>
      </c>
      <c r="X40" s="146">
        <v>1.7874285714285714E-6</v>
      </c>
      <c r="Y40" s="146">
        <v>1.3256301483023354E-2</v>
      </c>
      <c r="Z40" s="147">
        <v>7.1258630666957198E-3</v>
      </c>
      <c r="AA40" s="183"/>
    </row>
    <row r="41" spans="1:27" ht="15" x14ac:dyDescent="0.2">
      <c r="A41" s="142" t="s">
        <v>1205</v>
      </c>
      <c r="B41" s="143" t="s">
        <v>1213</v>
      </c>
      <c r="C41" s="143" t="s">
        <v>1229</v>
      </c>
      <c r="D41" s="143" t="s">
        <v>1319</v>
      </c>
      <c r="E41" s="143" t="s">
        <v>1320</v>
      </c>
      <c r="F41" s="143" t="s">
        <v>945</v>
      </c>
      <c r="G41" s="143" t="s">
        <v>204</v>
      </c>
      <c r="H41" s="143" t="s">
        <v>204</v>
      </c>
      <c r="I41" s="143" t="s">
        <v>340</v>
      </c>
      <c r="J41" s="143" t="s">
        <v>1232</v>
      </c>
      <c r="K41" s="143" t="s">
        <v>312</v>
      </c>
      <c r="L41" s="143" t="s">
        <v>1210</v>
      </c>
      <c r="M41" s="144">
        <v>0.42</v>
      </c>
      <c r="N41" s="143" t="s">
        <v>1321</v>
      </c>
      <c r="O41" s="143" t="s">
        <v>1266</v>
      </c>
      <c r="P41" s="146">
        <v>4.3450999999999997E-2</v>
      </c>
      <c r="Q41" s="145" t="s">
        <v>3853</v>
      </c>
      <c r="R41" s="144">
        <v>3043</v>
      </c>
      <c r="S41" s="145" t="s">
        <v>3853</v>
      </c>
      <c r="T41" s="143" t="s">
        <v>1322</v>
      </c>
      <c r="U41" s="144">
        <v>2.9885000000000002</v>
      </c>
      <c r="V41" s="145" t="s">
        <v>3853</v>
      </c>
      <c r="W41" s="145" t="s">
        <v>3853</v>
      </c>
      <c r="X41" s="146">
        <v>2.1735714285714286E-7</v>
      </c>
      <c r="Y41" s="146">
        <v>1.640914715569166E-3</v>
      </c>
      <c r="Z41" s="147">
        <v>8.8206605607501869E-4</v>
      </c>
      <c r="AA41" s="183"/>
    </row>
    <row r="42" spans="1:27" ht="15" x14ac:dyDescent="0.2">
      <c r="A42" s="142" t="s">
        <v>1205</v>
      </c>
      <c r="B42" s="143" t="s">
        <v>1213</v>
      </c>
      <c r="C42" s="143" t="s">
        <v>1229</v>
      </c>
      <c r="D42" s="143" t="s">
        <v>1323</v>
      </c>
      <c r="E42" s="143" t="s">
        <v>1324</v>
      </c>
      <c r="F42" s="143" t="s">
        <v>945</v>
      </c>
      <c r="G42" s="143" t="s">
        <v>204</v>
      </c>
      <c r="H42" s="143" t="s">
        <v>204</v>
      </c>
      <c r="I42" s="143" t="s">
        <v>340</v>
      </c>
      <c r="J42" s="143" t="s">
        <v>1232</v>
      </c>
      <c r="K42" s="143" t="s">
        <v>312</v>
      </c>
      <c r="L42" s="143" t="s">
        <v>1210</v>
      </c>
      <c r="M42" s="144">
        <v>0.35</v>
      </c>
      <c r="N42" s="143" t="s">
        <v>1325</v>
      </c>
      <c r="O42" s="143" t="s">
        <v>1266</v>
      </c>
      <c r="P42" s="146">
        <v>4.3479999999999998E-2</v>
      </c>
      <c r="Q42" s="145" t="s">
        <v>3853</v>
      </c>
      <c r="R42" s="144">
        <v>109</v>
      </c>
      <c r="S42" s="145" t="s">
        <v>3853</v>
      </c>
      <c r="T42" s="143" t="s">
        <v>1326</v>
      </c>
      <c r="U42" s="144">
        <v>0.10740000000000001</v>
      </c>
      <c r="V42" s="145" t="s">
        <v>3853</v>
      </c>
      <c r="W42" s="145" t="s">
        <v>3853</v>
      </c>
      <c r="X42" s="146">
        <v>7.7857142857142857E-9</v>
      </c>
      <c r="Y42" s="146">
        <v>5.8968940802869761E-5</v>
      </c>
      <c r="Z42" s="147">
        <v>3.169847923928629E-5</v>
      </c>
      <c r="AA42" s="183"/>
    </row>
    <row r="43" spans="1:27" ht="15" x14ac:dyDescent="0.2">
      <c r="A43" s="142" t="s">
        <v>1205</v>
      </c>
      <c r="B43" s="143" t="s">
        <v>1213</v>
      </c>
      <c r="C43" s="143" t="s">
        <v>1309</v>
      </c>
      <c r="D43" s="143" t="s">
        <v>1310</v>
      </c>
      <c r="E43" s="143" t="s">
        <v>1311</v>
      </c>
      <c r="F43" s="143" t="s">
        <v>947</v>
      </c>
      <c r="G43" s="143" t="s">
        <v>205</v>
      </c>
      <c r="H43" s="143" t="s">
        <v>224</v>
      </c>
      <c r="I43" s="143" t="s">
        <v>344</v>
      </c>
      <c r="J43" s="143" t="s">
        <v>1312</v>
      </c>
      <c r="K43" s="143" t="s">
        <v>423</v>
      </c>
      <c r="L43" s="143" t="s">
        <v>1211</v>
      </c>
      <c r="M43" s="144">
        <v>7.4589999999999996</v>
      </c>
      <c r="N43" s="143" t="s">
        <v>1313</v>
      </c>
      <c r="O43" s="146">
        <v>3.875E-2</v>
      </c>
      <c r="P43" s="146">
        <v>4.41E-2</v>
      </c>
      <c r="Q43" s="145" t="s">
        <v>3853</v>
      </c>
      <c r="R43" s="144">
        <v>5500</v>
      </c>
      <c r="S43" s="143" t="s">
        <v>1212</v>
      </c>
      <c r="T43" s="143" t="s">
        <v>1314</v>
      </c>
      <c r="U43" s="144">
        <v>20.153400000000001</v>
      </c>
      <c r="V43" s="145" t="s">
        <v>3853</v>
      </c>
      <c r="W43" s="145" t="s">
        <v>3853</v>
      </c>
      <c r="X43" s="146">
        <v>1.4473684210526316E-7</v>
      </c>
      <c r="Y43" s="146">
        <v>1.1065644020823285E-2</v>
      </c>
      <c r="Z43" s="147">
        <v>5.9482853598470812E-3</v>
      </c>
      <c r="AA43" s="183"/>
    </row>
    <row r="44" spans="1:27" ht="15" x14ac:dyDescent="0.2">
      <c r="A44" s="142" t="s">
        <v>1205</v>
      </c>
      <c r="B44" s="143" t="s">
        <v>1213</v>
      </c>
      <c r="C44" s="143" t="s">
        <v>1309</v>
      </c>
      <c r="D44" s="143" t="s">
        <v>1315</v>
      </c>
      <c r="E44" s="143" t="s">
        <v>1316</v>
      </c>
      <c r="F44" s="143" t="s">
        <v>947</v>
      </c>
      <c r="G44" s="143" t="s">
        <v>205</v>
      </c>
      <c r="H44" s="143" t="s">
        <v>224</v>
      </c>
      <c r="I44" s="143" t="s">
        <v>344</v>
      </c>
      <c r="J44" s="143" t="s">
        <v>1312</v>
      </c>
      <c r="K44" s="143" t="s">
        <v>423</v>
      </c>
      <c r="L44" s="143" t="s">
        <v>1211</v>
      </c>
      <c r="M44" s="144">
        <v>7.7590000000000003</v>
      </c>
      <c r="N44" s="143" t="s">
        <v>1317</v>
      </c>
      <c r="O44" s="146">
        <v>0.04</v>
      </c>
      <c r="P44" s="146">
        <v>4.3999999999999997E-2</v>
      </c>
      <c r="Q44" s="145" t="s">
        <v>3853</v>
      </c>
      <c r="R44" s="144">
        <v>3000</v>
      </c>
      <c r="S44" s="143" t="s">
        <v>1212</v>
      </c>
      <c r="T44" s="143" t="s">
        <v>1318</v>
      </c>
      <c r="U44" s="144">
        <v>11.094299999999999</v>
      </c>
      <c r="V44" s="145" t="s">
        <v>3853</v>
      </c>
      <c r="W44" s="145" t="s">
        <v>3853</v>
      </c>
      <c r="X44" s="146">
        <v>7.1428571428571423E-8</v>
      </c>
      <c r="Y44" s="146">
        <v>6.0915678155649853E-3</v>
      </c>
      <c r="Z44" s="147">
        <v>3.2744938828372888E-3</v>
      </c>
      <c r="AA44" s="183"/>
    </row>
    <row r="45" spans="1:27" ht="15" x14ac:dyDescent="0.2">
      <c r="A45" s="142" t="s">
        <v>1205</v>
      </c>
      <c r="B45" s="143" t="s">
        <v>1205</v>
      </c>
      <c r="C45" s="143" t="s">
        <v>1229</v>
      </c>
      <c r="D45" s="143" t="s">
        <v>1230</v>
      </c>
      <c r="E45" s="143" t="s">
        <v>1231</v>
      </c>
      <c r="F45" s="143" t="s">
        <v>943</v>
      </c>
      <c r="G45" s="143" t="s">
        <v>204</v>
      </c>
      <c r="H45" s="143" t="s">
        <v>204</v>
      </c>
      <c r="I45" s="143" t="s">
        <v>340</v>
      </c>
      <c r="J45" s="143" t="s">
        <v>1232</v>
      </c>
      <c r="K45" s="143" t="s">
        <v>312</v>
      </c>
      <c r="L45" s="143" t="s">
        <v>1210</v>
      </c>
      <c r="M45" s="144">
        <v>1.32</v>
      </c>
      <c r="N45" s="143" t="s">
        <v>1233</v>
      </c>
      <c r="O45" s="146">
        <v>7.5209999999999999E-3</v>
      </c>
      <c r="P45" s="146">
        <v>1.5337999999999999E-2</v>
      </c>
      <c r="Q45" s="145" t="s">
        <v>3853</v>
      </c>
      <c r="R45" s="144">
        <v>8901728</v>
      </c>
      <c r="S45" s="145" t="s">
        <v>3853</v>
      </c>
      <c r="T45" s="143" t="s">
        <v>1234</v>
      </c>
      <c r="U45" s="144">
        <v>10102.571099999999</v>
      </c>
      <c r="V45" s="145" t="s">
        <v>3853</v>
      </c>
      <c r="W45" s="145" t="s">
        <v>3853</v>
      </c>
      <c r="X45" s="146">
        <v>4.1016631944272678E-4</v>
      </c>
      <c r="Y45" s="146">
        <v>0.14353620601003117</v>
      </c>
      <c r="Z45" s="147">
        <v>1.5253860499670967E-2</v>
      </c>
      <c r="AA45" s="183"/>
    </row>
    <row r="46" spans="1:27" ht="15" x14ac:dyDescent="0.2">
      <c r="A46" s="142" t="s">
        <v>1205</v>
      </c>
      <c r="B46" s="143" t="s">
        <v>1205</v>
      </c>
      <c r="C46" s="143" t="s">
        <v>1229</v>
      </c>
      <c r="D46" s="143" t="s">
        <v>1235</v>
      </c>
      <c r="E46" s="143" t="s">
        <v>1236</v>
      </c>
      <c r="F46" s="143" t="s">
        <v>943</v>
      </c>
      <c r="G46" s="143" t="s">
        <v>204</v>
      </c>
      <c r="H46" s="143" t="s">
        <v>204</v>
      </c>
      <c r="I46" s="143" t="s">
        <v>340</v>
      </c>
      <c r="J46" s="143" t="s">
        <v>1232</v>
      </c>
      <c r="K46" s="143" t="s">
        <v>312</v>
      </c>
      <c r="L46" s="143" t="s">
        <v>1210</v>
      </c>
      <c r="M46" s="144">
        <v>7.39</v>
      </c>
      <c r="N46" s="143" t="s">
        <v>1237</v>
      </c>
      <c r="O46" s="146">
        <v>1E-3</v>
      </c>
      <c r="P46" s="146">
        <v>2.1850000000000001E-2</v>
      </c>
      <c r="Q46" s="145" t="s">
        <v>3853</v>
      </c>
      <c r="R46" s="144">
        <v>6709698</v>
      </c>
      <c r="S46" s="145" t="s">
        <v>3853</v>
      </c>
      <c r="T46" s="143" t="s">
        <v>1238</v>
      </c>
      <c r="U46" s="144">
        <v>6552.0200999999997</v>
      </c>
      <c r="V46" s="145" t="s">
        <v>3853</v>
      </c>
      <c r="W46" s="145" t="s">
        <v>3853</v>
      </c>
      <c r="X46" s="146">
        <v>2.1852791020137455E-4</v>
      </c>
      <c r="Y46" s="146">
        <v>9.3090372385956854E-2</v>
      </c>
      <c r="Z46" s="147">
        <v>9.8928876114962299E-3</v>
      </c>
      <c r="AA46" s="183"/>
    </row>
    <row r="47" spans="1:27" ht="15" x14ac:dyDescent="0.2">
      <c r="A47" s="142" t="s">
        <v>1205</v>
      </c>
      <c r="B47" s="143" t="s">
        <v>1205</v>
      </c>
      <c r="C47" s="143" t="s">
        <v>1229</v>
      </c>
      <c r="D47" s="143" t="s">
        <v>1239</v>
      </c>
      <c r="E47" s="143" t="s">
        <v>1240</v>
      </c>
      <c r="F47" s="143" t="s">
        <v>943</v>
      </c>
      <c r="G47" s="143" t="s">
        <v>204</v>
      </c>
      <c r="H47" s="143" t="s">
        <v>204</v>
      </c>
      <c r="I47" s="143" t="s">
        <v>340</v>
      </c>
      <c r="J47" s="143" t="s">
        <v>1232</v>
      </c>
      <c r="K47" s="143" t="s">
        <v>312</v>
      </c>
      <c r="L47" s="143" t="s">
        <v>1210</v>
      </c>
      <c r="M47" s="144">
        <v>2.89</v>
      </c>
      <c r="N47" s="143" t="s">
        <v>1241</v>
      </c>
      <c r="O47" s="146">
        <v>7.4999999999999997E-3</v>
      </c>
      <c r="P47" s="146">
        <v>1.7389999999999999E-2</v>
      </c>
      <c r="Q47" s="145" t="s">
        <v>3853</v>
      </c>
      <c r="R47" s="144">
        <v>3190320</v>
      </c>
      <c r="S47" s="145" t="s">
        <v>3853</v>
      </c>
      <c r="T47" s="143" t="s">
        <v>1242</v>
      </c>
      <c r="U47" s="144">
        <v>3562.3112999999998</v>
      </c>
      <c r="V47" s="145" t="s">
        <v>3853</v>
      </c>
      <c r="W47" s="145" t="s">
        <v>3853</v>
      </c>
      <c r="X47" s="146">
        <v>1.4312372741757726E-4</v>
      </c>
      <c r="Y47" s="146">
        <v>5.0612922683284399E-2</v>
      </c>
      <c r="Z47" s="147">
        <v>5.3787297543415463E-3</v>
      </c>
      <c r="AA47" s="183"/>
    </row>
    <row r="48" spans="1:27" ht="15" x14ac:dyDescent="0.2">
      <c r="A48" s="142" t="s">
        <v>1205</v>
      </c>
      <c r="B48" s="143" t="s">
        <v>1205</v>
      </c>
      <c r="C48" s="143" t="s">
        <v>1229</v>
      </c>
      <c r="D48" s="143" t="s">
        <v>1243</v>
      </c>
      <c r="E48" s="143" t="s">
        <v>1244</v>
      </c>
      <c r="F48" s="143" t="s">
        <v>943</v>
      </c>
      <c r="G48" s="143" t="s">
        <v>204</v>
      </c>
      <c r="H48" s="143" t="s">
        <v>204</v>
      </c>
      <c r="I48" s="143" t="s">
        <v>340</v>
      </c>
      <c r="J48" s="143" t="s">
        <v>1232</v>
      </c>
      <c r="K48" s="143" t="s">
        <v>312</v>
      </c>
      <c r="L48" s="143" t="s">
        <v>1210</v>
      </c>
      <c r="M48" s="144">
        <v>9.8800000000000008</v>
      </c>
      <c r="N48" s="143" t="s">
        <v>1245</v>
      </c>
      <c r="O48" s="146">
        <v>4.011E-2</v>
      </c>
      <c r="P48" s="146">
        <v>2.3077E-2</v>
      </c>
      <c r="Q48" s="145" t="s">
        <v>3853</v>
      </c>
      <c r="R48" s="144">
        <v>1324150</v>
      </c>
      <c r="S48" s="145" t="s">
        <v>3853</v>
      </c>
      <c r="T48" s="143" t="s">
        <v>1246</v>
      </c>
      <c r="U48" s="144">
        <v>2106.4577999999997</v>
      </c>
      <c r="V48" s="145" t="s">
        <v>3853</v>
      </c>
      <c r="W48" s="145" t="s">
        <v>3853</v>
      </c>
      <c r="X48" s="146">
        <v>8.3111022932466199E-5</v>
      </c>
      <c r="Y48" s="146">
        <v>2.9928318285973487E-2</v>
      </c>
      <c r="Z48" s="147">
        <v>3.1805382405891841E-3</v>
      </c>
      <c r="AA48" s="183"/>
    </row>
    <row r="49" spans="1:27" ht="15" x14ac:dyDescent="0.2">
      <c r="A49" s="142" t="s">
        <v>1205</v>
      </c>
      <c r="B49" s="143" t="s">
        <v>1205</v>
      </c>
      <c r="C49" s="143" t="s">
        <v>1229</v>
      </c>
      <c r="D49" s="143" t="s">
        <v>1251</v>
      </c>
      <c r="E49" s="143" t="s">
        <v>1252</v>
      </c>
      <c r="F49" s="143" t="s">
        <v>943</v>
      </c>
      <c r="G49" s="143" t="s">
        <v>204</v>
      </c>
      <c r="H49" s="143" t="s">
        <v>204</v>
      </c>
      <c r="I49" s="143" t="s">
        <v>340</v>
      </c>
      <c r="J49" s="143" t="s">
        <v>1232</v>
      </c>
      <c r="K49" s="143" t="s">
        <v>312</v>
      </c>
      <c r="L49" s="143" t="s">
        <v>1210</v>
      </c>
      <c r="M49" s="144">
        <v>4.22</v>
      </c>
      <c r="N49" s="143" t="s">
        <v>1253</v>
      </c>
      <c r="O49" s="146">
        <v>1.0999999999999999E-2</v>
      </c>
      <c r="P49" s="146">
        <v>1.9415999999999999E-2</v>
      </c>
      <c r="Q49" s="145" t="s">
        <v>3853</v>
      </c>
      <c r="R49" s="144">
        <v>1410492</v>
      </c>
      <c r="S49" s="145" t="s">
        <v>3853</v>
      </c>
      <c r="T49" s="143" t="s">
        <v>1254</v>
      </c>
      <c r="U49" s="144">
        <v>1410.2098999999998</v>
      </c>
      <c r="V49" s="145" t="s">
        <v>3853</v>
      </c>
      <c r="W49" s="145" t="s">
        <v>3853</v>
      </c>
      <c r="X49" s="146">
        <v>8.9702450102291894E-5</v>
      </c>
      <c r="Y49" s="146">
        <v>2.0036105344428949E-2</v>
      </c>
      <c r="Z49" s="147">
        <v>2.12927430908458E-3</v>
      </c>
      <c r="AA49" s="183"/>
    </row>
    <row r="50" spans="1:27" ht="15" x14ac:dyDescent="0.2">
      <c r="A50" s="142" t="s">
        <v>1205</v>
      </c>
      <c r="B50" s="143" t="s">
        <v>1205</v>
      </c>
      <c r="C50" s="143" t="s">
        <v>1229</v>
      </c>
      <c r="D50" s="143" t="s">
        <v>1247</v>
      </c>
      <c r="E50" s="143" t="s">
        <v>1248</v>
      </c>
      <c r="F50" s="143" t="s">
        <v>943</v>
      </c>
      <c r="G50" s="143" t="s">
        <v>204</v>
      </c>
      <c r="H50" s="143" t="s">
        <v>204</v>
      </c>
      <c r="I50" s="143" t="s">
        <v>340</v>
      </c>
      <c r="J50" s="143" t="s">
        <v>1232</v>
      </c>
      <c r="K50" s="143" t="s">
        <v>312</v>
      </c>
      <c r="L50" s="143" t="s">
        <v>1210</v>
      </c>
      <c r="M50" s="144">
        <v>4.8600000000000003</v>
      </c>
      <c r="N50" s="143" t="s">
        <v>1249</v>
      </c>
      <c r="O50" s="146">
        <v>5.0000000000000001E-3</v>
      </c>
      <c r="P50" s="146">
        <v>1.9880999999999999E-2</v>
      </c>
      <c r="Q50" s="145" t="s">
        <v>3853</v>
      </c>
      <c r="R50" s="144">
        <v>579769</v>
      </c>
      <c r="S50" s="145" t="s">
        <v>3853</v>
      </c>
      <c r="T50" s="143" t="s">
        <v>1250</v>
      </c>
      <c r="U50" s="144">
        <v>613.68550000000005</v>
      </c>
      <c r="V50" s="145" t="s">
        <v>3853</v>
      </c>
      <c r="W50" s="145" t="s">
        <v>3853</v>
      </c>
      <c r="X50" s="146">
        <v>2.4084668742387589E-5</v>
      </c>
      <c r="Y50" s="146">
        <v>8.7191750972039333E-3</v>
      </c>
      <c r="Z50" s="147">
        <v>9.2660301050216502E-4</v>
      </c>
      <c r="AA50" s="183"/>
    </row>
    <row r="51" spans="1:27" ht="15" x14ac:dyDescent="0.2">
      <c r="A51" s="142" t="s">
        <v>1205</v>
      </c>
      <c r="B51" s="143" t="s">
        <v>1205</v>
      </c>
      <c r="C51" s="143" t="s">
        <v>1229</v>
      </c>
      <c r="D51" s="143" t="s">
        <v>1259</v>
      </c>
      <c r="E51" s="143" t="s">
        <v>1260</v>
      </c>
      <c r="F51" s="143" t="s">
        <v>945</v>
      </c>
      <c r="G51" s="143" t="s">
        <v>204</v>
      </c>
      <c r="H51" s="143" t="s">
        <v>204</v>
      </c>
      <c r="I51" s="143" t="s">
        <v>340</v>
      </c>
      <c r="J51" s="143" t="s">
        <v>1232</v>
      </c>
      <c r="K51" s="143" t="s">
        <v>312</v>
      </c>
      <c r="L51" s="143" t="s">
        <v>1210</v>
      </c>
      <c r="M51" s="144">
        <v>7.42</v>
      </c>
      <c r="N51" s="143" t="s">
        <v>1261</v>
      </c>
      <c r="O51" s="146">
        <v>1.2999999999999999E-2</v>
      </c>
      <c r="P51" s="146">
        <v>4.9000000000000002E-2</v>
      </c>
      <c r="Q51" s="145" t="s">
        <v>3853</v>
      </c>
      <c r="R51" s="144">
        <v>12579296</v>
      </c>
      <c r="S51" s="145" t="s">
        <v>3853</v>
      </c>
      <c r="T51" s="143" t="s">
        <v>1262</v>
      </c>
      <c r="U51" s="144">
        <v>9718.7641000000003</v>
      </c>
      <c r="V51" s="145" t="s">
        <v>3853</v>
      </c>
      <c r="W51" s="145" t="s">
        <v>3853</v>
      </c>
      <c r="X51" s="146">
        <v>4.1926943511747352E-4</v>
      </c>
      <c r="Y51" s="146">
        <v>0.13808311861655895</v>
      </c>
      <c r="Z51" s="147">
        <v>1.4674350725065897E-2</v>
      </c>
      <c r="AA51" s="183"/>
    </row>
    <row r="52" spans="1:27" ht="15" x14ac:dyDescent="0.2">
      <c r="A52" s="142" t="s">
        <v>1205</v>
      </c>
      <c r="B52" s="143" t="s">
        <v>1205</v>
      </c>
      <c r="C52" s="143" t="s">
        <v>1229</v>
      </c>
      <c r="D52" s="143" t="s">
        <v>1319</v>
      </c>
      <c r="E52" s="143" t="s">
        <v>1320</v>
      </c>
      <c r="F52" s="143" t="s">
        <v>945</v>
      </c>
      <c r="G52" s="143" t="s">
        <v>204</v>
      </c>
      <c r="H52" s="143" t="s">
        <v>204</v>
      </c>
      <c r="I52" s="143" t="s">
        <v>340</v>
      </c>
      <c r="J52" s="143" t="s">
        <v>1232</v>
      </c>
      <c r="K52" s="143" t="s">
        <v>312</v>
      </c>
      <c r="L52" s="143" t="s">
        <v>1210</v>
      </c>
      <c r="M52" s="144">
        <v>0.42</v>
      </c>
      <c r="N52" s="143" t="s">
        <v>1321</v>
      </c>
      <c r="O52" s="143" t="s">
        <v>1266</v>
      </c>
      <c r="P52" s="146">
        <v>4.3450999999999997E-2</v>
      </c>
      <c r="Q52" s="145" t="s">
        <v>3853</v>
      </c>
      <c r="R52" s="144">
        <v>5773789</v>
      </c>
      <c r="S52" s="145" t="s">
        <v>3853</v>
      </c>
      <c r="T52" s="143" t="s">
        <v>1322</v>
      </c>
      <c r="U52" s="144">
        <v>5670.4382000000005</v>
      </c>
      <c r="V52" s="145" t="s">
        <v>3853</v>
      </c>
      <c r="W52" s="145" t="s">
        <v>3853</v>
      </c>
      <c r="X52" s="146">
        <v>4.1241349999999999E-4</v>
      </c>
      <c r="Y52" s="146">
        <v>8.0564954573454708E-2</v>
      </c>
      <c r="Z52" s="147">
        <v>8.5617880839063115E-3</v>
      </c>
      <c r="AA52" s="183"/>
    </row>
    <row r="53" spans="1:27" ht="15" x14ac:dyDescent="0.2">
      <c r="A53" s="142" t="s">
        <v>1205</v>
      </c>
      <c r="B53" s="143" t="s">
        <v>1205</v>
      </c>
      <c r="C53" s="143" t="s">
        <v>1229</v>
      </c>
      <c r="D53" s="143" t="s">
        <v>1272</v>
      </c>
      <c r="E53" s="143" t="s">
        <v>1273</v>
      </c>
      <c r="F53" s="143" t="s">
        <v>945</v>
      </c>
      <c r="G53" s="143" t="s">
        <v>204</v>
      </c>
      <c r="H53" s="143" t="s">
        <v>204</v>
      </c>
      <c r="I53" s="143" t="s">
        <v>340</v>
      </c>
      <c r="J53" s="143" t="s">
        <v>1232</v>
      </c>
      <c r="K53" s="143" t="s">
        <v>312</v>
      </c>
      <c r="L53" s="143" t="s">
        <v>1210</v>
      </c>
      <c r="M53" s="144">
        <v>11.51</v>
      </c>
      <c r="N53" s="143" t="s">
        <v>1274</v>
      </c>
      <c r="O53" s="146">
        <v>5.5E-2</v>
      </c>
      <c r="P53" s="146">
        <v>5.3379000000000003E-2</v>
      </c>
      <c r="Q53" s="145" t="s">
        <v>3853</v>
      </c>
      <c r="R53" s="144">
        <v>4545020</v>
      </c>
      <c r="S53" s="145" t="s">
        <v>3853</v>
      </c>
      <c r="T53" s="143" t="s">
        <v>1275</v>
      </c>
      <c r="U53" s="144">
        <v>4730.9112999999998</v>
      </c>
      <c r="V53" s="145" t="s">
        <v>3853</v>
      </c>
      <c r="W53" s="145" t="s">
        <v>3853</v>
      </c>
      <c r="X53" s="146">
        <v>2.3539516544791636E-4</v>
      </c>
      <c r="Y53" s="146">
        <v>6.721626151897897E-2</v>
      </c>
      <c r="Z53" s="147">
        <v>7.1431975598425122E-3</v>
      </c>
      <c r="AA53" s="183"/>
    </row>
    <row r="54" spans="1:27" ht="15" x14ac:dyDescent="0.2">
      <c r="A54" s="142" t="s">
        <v>1205</v>
      </c>
      <c r="B54" s="143" t="s">
        <v>1205</v>
      </c>
      <c r="C54" s="143" t="s">
        <v>1229</v>
      </c>
      <c r="D54" s="143" t="s">
        <v>1255</v>
      </c>
      <c r="E54" s="143" t="s">
        <v>1256</v>
      </c>
      <c r="F54" s="143" t="s">
        <v>945</v>
      </c>
      <c r="G54" s="143" t="s">
        <v>204</v>
      </c>
      <c r="H54" s="143" t="s">
        <v>204</v>
      </c>
      <c r="I54" s="143" t="s">
        <v>340</v>
      </c>
      <c r="J54" s="143" t="s">
        <v>1232</v>
      </c>
      <c r="K54" s="143" t="s">
        <v>312</v>
      </c>
      <c r="L54" s="143" t="s">
        <v>1210</v>
      </c>
      <c r="M54" s="144">
        <v>11.5</v>
      </c>
      <c r="N54" s="143" t="s">
        <v>1257</v>
      </c>
      <c r="O54" s="146">
        <v>1.5041000000000001E-2</v>
      </c>
      <c r="P54" s="146">
        <v>5.2136000000000002E-2</v>
      </c>
      <c r="Q54" s="145" t="s">
        <v>3853</v>
      </c>
      <c r="R54" s="144">
        <v>6120374</v>
      </c>
      <c r="S54" s="145" t="s">
        <v>3853</v>
      </c>
      <c r="T54" s="143" t="s">
        <v>1258</v>
      </c>
      <c r="U54" s="144">
        <v>4029.0422000000003</v>
      </c>
      <c r="V54" s="145" t="s">
        <v>3853</v>
      </c>
      <c r="W54" s="145" t="s">
        <v>3853</v>
      </c>
      <c r="X54" s="146">
        <v>1.9079330781618387E-4</v>
      </c>
      <c r="Y54" s="146">
        <v>5.7244183258755112E-2</v>
      </c>
      <c r="Z54" s="147">
        <v>6.0834461918662279E-3</v>
      </c>
      <c r="AA54" s="183"/>
    </row>
    <row r="55" spans="1:27" ht="15" x14ac:dyDescent="0.2">
      <c r="A55" s="142" t="s">
        <v>1205</v>
      </c>
      <c r="B55" s="143" t="s">
        <v>1205</v>
      </c>
      <c r="C55" s="143" t="s">
        <v>1292</v>
      </c>
      <c r="D55" s="143" t="s">
        <v>1293</v>
      </c>
      <c r="E55" s="143" t="s">
        <v>1294</v>
      </c>
      <c r="F55" s="143" t="s">
        <v>945</v>
      </c>
      <c r="G55" s="143" t="s">
        <v>204</v>
      </c>
      <c r="H55" s="143" t="s">
        <v>204</v>
      </c>
      <c r="I55" s="143" t="s">
        <v>340</v>
      </c>
      <c r="J55" s="143" t="s">
        <v>1232</v>
      </c>
      <c r="K55" s="143" t="s">
        <v>312</v>
      </c>
      <c r="L55" s="143" t="s">
        <v>1210</v>
      </c>
      <c r="M55" s="144">
        <v>5.58</v>
      </c>
      <c r="N55" s="143" t="s">
        <v>1295</v>
      </c>
      <c r="O55" s="146">
        <v>1.0026999999999999E-2</v>
      </c>
      <c r="P55" s="146">
        <v>4.7578000000000002E-2</v>
      </c>
      <c r="Q55" s="145" t="s">
        <v>3853</v>
      </c>
      <c r="R55" s="144">
        <v>4876624</v>
      </c>
      <c r="S55" s="145" t="s">
        <v>3853</v>
      </c>
      <c r="T55" s="143" t="s">
        <v>1296</v>
      </c>
      <c r="U55" s="144">
        <v>3985.6648</v>
      </c>
      <c r="V55" s="145" t="s">
        <v>3853</v>
      </c>
      <c r="W55" s="145" t="s">
        <v>3853</v>
      </c>
      <c r="X55" s="146">
        <v>1.2916344189059308E-4</v>
      </c>
      <c r="Y55" s="146">
        <v>5.6627881859008661E-2</v>
      </c>
      <c r="Z55" s="147">
        <v>6.0179506918888407E-3</v>
      </c>
      <c r="AA55" s="183"/>
    </row>
    <row r="56" spans="1:27" ht="15" x14ac:dyDescent="0.2">
      <c r="A56" s="142" t="s">
        <v>1205</v>
      </c>
      <c r="B56" s="143" t="s">
        <v>1205</v>
      </c>
      <c r="C56" s="143" t="s">
        <v>1229</v>
      </c>
      <c r="D56" s="143" t="s">
        <v>1268</v>
      </c>
      <c r="E56" s="143" t="s">
        <v>1269</v>
      </c>
      <c r="F56" s="143" t="s">
        <v>945</v>
      </c>
      <c r="G56" s="143" t="s">
        <v>204</v>
      </c>
      <c r="H56" s="143" t="s">
        <v>204</v>
      </c>
      <c r="I56" s="143" t="s">
        <v>340</v>
      </c>
      <c r="J56" s="143" t="s">
        <v>1232</v>
      </c>
      <c r="K56" s="143" t="s">
        <v>312</v>
      </c>
      <c r="L56" s="143" t="s">
        <v>1210</v>
      </c>
      <c r="M56" s="144">
        <v>0.67</v>
      </c>
      <c r="N56" s="143" t="s">
        <v>1270</v>
      </c>
      <c r="O56" s="143" t="s">
        <v>1266</v>
      </c>
      <c r="P56" s="146">
        <v>4.3515999999999999E-2</v>
      </c>
      <c r="Q56" s="145" t="s">
        <v>3853</v>
      </c>
      <c r="R56" s="144">
        <v>3766021.92</v>
      </c>
      <c r="S56" s="145" t="s">
        <v>3853</v>
      </c>
      <c r="T56" s="143" t="s">
        <v>1271</v>
      </c>
      <c r="U56" s="144">
        <v>3659.4434999999999</v>
      </c>
      <c r="V56" s="145" t="s">
        <v>3853</v>
      </c>
      <c r="W56" s="145" t="s">
        <v>3853</v>
      </c>
      <c r="X56" s="146">
        <v>3.1383516E-4</v>
      </c>
      <c r="Y56" s="146">
        <v>5.1992965996100933E-2</v>
      </c>
      <c r="Z56" s="147">
        <v>5.5253895328209639E-3</v>
      </c>
      <c r="AA56" s="183"/>
    </row>
    <row r="57" spans="1:27" ht="15" x14ac:dyDescent="0.2">
      <c r="A57" s="142" t="s">
        <v>1205</v>
      </c>
      <c r="B57" s="143" t="s">
        <v>1205</v>
      </c>
      <c r="C57" s="143" t="s">
        <v>1229</v>
      </c>
      <c r="D57" s="143" t="s">
        <v>1276</v>
      </c>
      <c r="E57" s="143" t="s">
        <v>1277</v>
      </c>
      <c r="F57" s="143" t="s">
        <v>945</v>
      </c>
      <c r="G57" s="143" t="s">
        <v>204</v>
      </c>
      <c r="H57" s="143" t="s">
        <v>204</v>
      </c>
      <c r="I57" s="143" t="s">
        <v>340</v>
      </c>
      <c r="J57" s="143" t="s">
        <v>1232</v>
      </c>
      <c r="K57" s="143" t="s">
        <v>312</v>
      </c>
      <c r="L57" s="143" t="s">
        <v>1210</v>
      </c>
      <c r="M57" s="144">
        <v>0.6</v>
      </c>
      <c r="N57" s="143" t="s">
        <v>1278</v>
      </c>
      <c r="O57" s="143" t="s">
        <v>1266</v>
      </c>
      <c r="P57" s="146">
        <v>4.3658000000000002E-2</v>
      </c>
      <c r="Q57" s="145" t="s">
        <v>3853</v>
      </c>
      <c r="R57" s="144">
        <v>3294947</v>
      </c>
      <c r="S57" s="145" t="s">
        <v>3853</v>
      </c>
      <c r="T57" s="143" t="s">
        <v>1279</v>
      </c>
      <c r="U57" s="144">
        <v>3211.9142999999999</v>
      </c>
      <c r="V57" s="145" t="s">
        <v>3853</v>
      </c>
      <c r="W57" s="145" t="s">
        <v>3853</v>
      </c>
      <c r="X57" s="146">
        <v>2.7457891666666666E-4</v>
      </c>
      <c r="Y57" s="146">
        <v>4.5634521437090951E-2</v>
      </c>
      <c r="Z57" s="147">
        <v>4.8496657625322886E-3</v>
      </c>
      <c r="AA57" s="183"/>
    </row>
    <row r="58" spans="1:27" ht="15" x14ac:dyDescent="0.2">
      <c r="A58" s="142" t="s">
        <v>1205</v>
      </c>
      <c r="B58" s="143" t="s">
        <v>1205</v>
      </c>
      <c r="C58" s="143" t="s">
        <v>1229</v>
      </c>
      <c r="D58" s="143" t="s">
        <v>1284</v>
      </c>
      <c r="E58" s="143" t="s">
        <v>1285</v>
      </c>
      <c r="F58" s="143" t="s">
        <v>945</v>
      </c>
      <c r="G58" s="143" t="s">
        <v>204</v>
      </c>
      <c r="H58" s="143" t="s">
        <v>204</v>
      </c>
      <c r="I58" s="143" t="s">
        <v>340</v>
      </c>
      <c r="J58" s="143" t="s">
        <v>1232</v>
      </c>
      <c r="K58" s="143" t="s">
        <v>312</v>
      </c>
      <c r="L58" s="143" t="s">
        <v>1210</v>
      </c>
      <c r="M58" s="144">
        <v>14.48</v>
      </c>
      <c r="N58" s="143" t="s">
        <v>1286</v>
      </c>
      <c r="O58" s="146">
        <v>3.7602999999999998E-2</v>
      </c>
      <c r="P58" s="146">
        <v>5.4753999999999997E-2</v>
      </c>
      <c r="Q58" s="145" t="s">
        <v>3853</v>
      </c>
      <c r="R58" s="144">
        <v>2595660</v>
      </c>
      <c r="S58" s="145" t="s">
        <v>3853</v>
      </c>
      <c r="T58" s="143" t="s">
        <v>1287</v>
      </c>
      <c r="U58" s="144">
        <v>2045.1205</v>
      </c>
      <c r="V58" s="145" t="s">
        <v>3853</v>
      </c>
      <c r="W58" s="145" t="s">
        <v>3853</v>
      </c>
      <c r="X58" s="146">
        <v>9.8896058035839816E-5</v>
      </c>
      <c r="Y58" s="146">
        <v>2.9056844668347407E-2</v>
      </c>
      <c r="Z58" s="147">
        <v>3.0879251127802826E-3</v>
      </c>
      <c r="AA58" s="183"/>
    </row>
    <row r="59" spans="1:27" ht="15" x14ac:dyDescent="0.2">
      <c r="A59" s="142" t="s">
        <v>1205</v>
      </c>
      <c r="B59" s="143" t="s">
        <v>1205</v>
      </c>
      <c r="C59" s="143" t="s">
        <v>1229</v>
      </c>
      <c r="D59" s="143" t="s">
        <v>1305</v>
      </c>
      <c r="E59" s="143" t="s">
        <v>1306</v>
      </c>
      <c r="F59" s="143" t="s">
        <v>945</v>
      </c>
      <c r="G59" s="143" t="s">
        <v>204</v>
      </c>
      <c r="H59" s="143" t="s">
        <v>204</v>
      </c>
      <c r="I59" s="143" t="s">
        <v>340</v>
      </c>
      <c r="J59" s="143" t="s">
        <v>1232</v>
      </c>
      <c r="K59" s="143" t="s">
        <v>312</v>
      </c>
      <c r="L59" s="143" t="s">
        <v>1210</v>
      </c>
      <c r="M59" s="144">
        <v>16.82</v>
      </c>
      <c r="N59" s="143" t="s">
        <v>1307</v>
      </c>
      <c r="O59" s="146">
        <v>2.8000000000000001E-2</v>
      </c>
      <c r="P59" s="146">
        <v>5.5648999999999997E-2</v>
      </c>
      <c r="Q59" s="145" t="s">
        <v>3853</v>
      </c>
      <c r="R59" s="144">
        <v>2888557</v>
      </c>
      <c r="S59" s="145" t="s">
        <v>3853</v>
      </c>
      <c r="T59" s="143" t="s">
        <v>1308</v>
      </c>
      <c r="U59" s="144">
        <v>1808.2366999999999</v>
      </c>
      <c r="V59" s="145" t="s">
        <v>3853</v>
      </c>
      <c r="W59" s="145" t="s">
        <v>3853</v>
      </c>
      <c r="X59" s="146">
        <v>1.732291751875228E-4</v>
      </c>
      <c r="Y59" s="146">
        <v>2.5691225545294152E-2</v>
      </c>
      <c r="Z59" s="147">
        <v>2.7302544871926769E-3</v>
      </c>
      <c r="AA59" s="183"/>
    </row>
    <row r="60" spans="1:27" ht="15" x14ac:dyDescent="0.2">
      <c r="A60" s="142" t="s">
        <v>1205</v>
      </c>
      <c r="B60" s="143" t="s">
        <v>1205</v>
      </c>
      <c r="C60" s="143" t="s">
        <v>1229</v>
      </c>
      <c r="D60" s="143" t="s">
        <v>1301</v>
      </c>
      <c r="E60" s="143" t="s">
        <v>1302</v>
      </c>
      <c r="F60" s="143" t="s">
        <v>945</v>
      </c>
      <c r="G60" s="143" t="s">
        <v>204</v>
      </c>
      <c r="H60" s="143" t="s">
        <v>204</v>
      </c>
      <c r="I60" s="143" t="s">
        <v>340</v>
      </c>
      <c r="J60" s="143" t="s">
        <v>1232</v>
      </c>
      <c r="K60" s="143" t="s">
        <v>314</v>
      </c>
      <c r="L60" s="143" t="s">
        <v>1210</v>
      </c>
      <c r="M60" s="144">
        <v>0.92</v>
      </c>
      <c r="N60" s="143" t="s">
        <v>1303</v>
      </c>
      <c r="O60" s="143" t="s">
        <v>1266</v>
      </c>
      <c r="P60" s="146">
        <v>4.3203999999999999E-2</v>
      </c>
      <c r="Q60" s="145" t="s">
        <v>3853</v>
      </c>
      <c r="R60" s="144">
        <v>1625000</v>
      </c>
      <c r="S60" s="145" t="s">
        <v>3853</v>
      </c>
      <c r="T60" s="143" t="s">
        <v>1304</v>
      </c>
      <c r="U60" s="144">
        <v>1562.7625</v>
      </c>
      <c r="V60" s="145" t="s">
        <v>3853</v>
      </c>
      <c r="W60" s="145" t="s">
        <v>3853</v>
      </c>
      <c r="X60" s="146">
        <v>1.3541666666666666E-4</v>
      </c>
      <c r="Y60" s="146">
        <v>2.2203555685431975E-2</v>
      </c>
      <c r="Z60" s="147">
        <v>2.3596133020165363E-3</v>
      </c>
      <c r="AA60" s="183"/>
    </row>
    <row r="61" spans="1:27" ht="15" x14ac:dyDescent="0.2">
      <c r="A61" s="142" t="s">
        <v>1205</v>
      </c>
      <c r="B61" s="143" t="s">
        <v>1205</v>
      </c>
      <c r="C61" s="143" t="s">
        <v>1229</v>
      </c>
      <c r="D61" s="143" t="s">
        <v>1327</v>
      </c>
      <c r="E61" s="143" t="s">
        <v>1328</v>
      </c>
      <c r="F61" s="143" t="s">
        <v>945</v>
      </c>
      <c r="G61" s="143" t="s">
        <v>204</v>
      </c>
      <c r="H61" s="143" t="s">
        <v>204</v>
      </c>
      <c r="I61" s="143" t="s">
        <v>340</v>
      </c>
      <c r="J61" s="143" t="s">
        <v>1232</v>
      </c>
      <c r="K61" s="143" t="s">
        <v>312</v>
      </c>
      <c r="L61" s="143" t="s">
        <v>1210</v>
      </c>
      <c r="M61" s="144">
        <v>2.16</v>
      </c>
      <c r="N61" s="143" t="s">
        <v>1329</v>
      </c>
      <c r="O61" s="146">
        <v>6.25E-2</v>
      </c>
      <c r="P61" s="146">
        <v>4.4075999999999997E-2</v>
      </c>
      <c r="Q61" s="145" t="s">
        <v>3853</v>
      </c>
      <c r="R61" s="144">
        <v>990620</v>
      </c>
      <c r="S61" s="145" t="s">
        <v>3853</v>
      </c>
      <c r="T61" s="143" t="s">
        <v>1330</v>
      </c>
      <c r="U61" s="144">
        <v>1071.4546</v>
      </c>
      <c r="V61" s="145" t="s">
        <v>3853</v>
      </c>
      <c r="W61" s="145" t="s">
        <v>3853</v>
      </c>
      <c r="X61" s="146">
        <v>6.6501571718347136E-5</v>
      </c>
      <c r="Y61" s="146">
        <v>1.5223107604568062E-2</v>
      </c>
      <c r="Z61" s="147">
        <v>1.617788056592029E-3</v>
      </c>
      <c r="AA61" s="183"/>
    </row>
    <row r="62" spans="1:27" ht="15" x14ac:dyDescent="0.2">
      <c r="A62" s="142" t="s">
        <v>1205</v>
      </c>
      <c r="B62" s="143" t="s">
        <v>1205</v>
      </c>
      <c r="C62" s="143" t="s">
        <v>1229</v>
      </c>
      <c r="D62" s="143" t="s">
        <v>1323</v>
      </c>
      <c r="E62" s="143" t="s">
        <v>1324</v>
      </c>
      <c r="F62" s="143" t="s">
        <v>945</v>
      </c>
      <c r="G62" s="143" t="s">
        <v>204</v>
      </c>
      <c r="H62" s="143" t="s">
        <v>204</v>
      </c>
      <c r="I62" s="143" t="s">
        <v>340</v>
      </c>
      <c r="J62" s="143" t="s">
        <v>1232</v>
      </c>
      <c r="K62" s="143" t="s">
        <v>312</v>
      </c>
      <c r="L62" s="143" t="s">
        <v>1210</v>
      </c>
      <c r="M62" s="144">
        <v>0.35</v>
      </c>
      <c r="N62" s="143" t="s">
        <v>1325</v>
      </c>
      <c r="O62" s="143" t="s">
        <v>1266</v>
      </c>
      <c r="P62" s="146">
        <v>4.3479999999999998E-2</v>
      </c>
      <c r="Q62" s="145" t="s">
        <v>3853</v>
      </c>
      <c r="R62" s="144">
        <v>86980</v>
      </c>
      <c r="S62" s="145" t="s">
        <v>3853</v>
      </c>
      <c r="T62" s="143" t="s">
        <v>1326</v>
      </c>
      <c r="U62" s="144">
        <v>85.701399999999992</v>
      </c>
      <c r="V62" s="145" t="s">
        <v>3853</v>
      </c>
      <c r="W62" s="145" t="s">
        <v>3853</v>
      </c>
      <c r="X62" s="146">
        <v>6.2128571428571431E-6</v>
      </c>
      <c r="Y62" s="146">
        <v>1.2176358685328998E-3</v>
      </c>
      <c r="Z62" s="147">
        <v>1.2940043626831344E-4</v>
      </c>
      <c r="AA62" s="183"/>
    </row>
    <row r="63" spans="1:27" ht="15" x14ac:dyDescent="0.2">
      <c r="A63" s="142" t="s">
        <v>1205</v>
      </c>
      <c r="B63" s="143" t="s">
        <v>1205</v>
      </c>
      <c r="C63" s="143" t="s">
        <v>1309</v>
      </c>
      <c r="D63" s="143" t="s">
        <v>1310</v>
      </c>
      <c r="E63" s="143" t="s">
        <v>1311</v>
      </c>
      <c r="F63" s="143" t="s">
        <v>947</v>
      </c>
      <c r="G63" s="143" t="s">
        <v>205</v>
      </c>
      <c r="H63" s="143" t="s">
        <v>224</v>
      </c>
      <c r="I63" s="143" t="s">
        <v>344</v>
      </c>
      <c r="J63" s="143" t="s">
        <v>1312</v>
      </c>
      <c r="K63" s="143" t="s">
        <v>423</v>
      </c>
      <c r="L63" s="143" t="s">
        <v>1211</v>
      </c>
      <c r="M63" s="144">
        <v>7.4589999999999996</v>
      </c>
      <c r="N63" s="143" t="s">
        <v>1313</v>
      </c>
      <c r="O63" s="146">
        <v>3.875E-2</v>
      </c>
      <c r="P63" s="146">
        <v>4.41E-2</v>
      </c>
      <c r="Q63" s="145" t="s">
        <v>3853</v>
      </c>
      <c r="R63" s="144">
        <v>673300</v>
      </c>
      <c r="S63" s="143" t="s">
        <v>1212</v>
      </c>
      <c r="T63" s="143" t="s">
        <v>1314</v>
      </c>
      <c r="U63" s="144">
        <v>2467.1427000000003</v>
      </c>
      <c r="V63" s="145" t="s">
        <v>3853</v>
      </c>
      <c r="W63" s="145" t="s">
        <v>3853</v>
      </c>
      <c r="X63" s="146">
        <v>1.7718421052631578E-5</v>
      </c>
      <c r="Y63" s="146">
        <v>3.5052889147518487E-2</v>
      </c>
      <c r="Z63" s="147">
        <v>3.7251359502236655E-3</v>
      </c>
      <c r="AA63" s="183"/>
    </row>
    <row r="64" spans="1:27" ht="15" x14ac:dyDescent="0.2">
      <c r="A64" s="142" t="s">
        <v>1205</v>
      </c>
      <c r="B64" s="143" t="s">
        <v>1205</v>
      </c>
      <c r="C64" s="143" t="s">
        <v>1309</v>
      </c>
      <c r="D64" s="143" t="s">
        <v>1315</v>
      </c>
      <c r="E64" s="143" t="s">
        <v>1316</v>
      </c>
      <c r="F64" s="143" t="s">
        <v>947</v>
      </c>
      <c r="G64" s="143" t="s">
        <v>205</v>
      </c>
      <c r="H64" s="143" t="s">
        <v>224</v>
      </c>
      <c r="I64" s="143" t="s">
        <v>344</v>
      </c>
      <c r="J64" s="143" t="s">
        <v>1312</v>
      </c>
      <c r="K64" s="143" t="s">
        <v>423</v>
      </c>
      <c r="L64" s="143" t="s">
        <v>1211</v>
      </c>
      <c r="M64" s="144">
        <v>7.7590000000000003</v>
      </c>
      <c r="N64" s="143" t="s">
        <v>1317</v>
      </c>
      <c r="O64" s="146">
        <v>0.04</v>
      </c>
      <c r="P64" s="146">
        <v>4.3999999999999997E-2</v>
      </c>
      <c r="Q64" s="145" t="s">
        <v>3853</v>
      </c>
      <c r="R64" s="144">
        <v>538000</v>
      </c>
      <c r="S64" s="143" t="s">
        <v>1212</v>
      </c>
      <c r="T64" s="143" t="s">
        <v>1318</v>
      </c>
      <c r="U64" s="144">
        <v>1989.5816</v>
      </c>
      <c r="V64" s="145" t="s">
        <v>3853</v>
      </c>
      <c r="W64" s="145" t="s">
        <v>3853</v>
      </c>
      <c r="X64" s="146">
        <v>1.2809523809523809E-5</v>
      </c>
      <c r="Y64" s="146">
        <v>2.826775441347993E-2</v>
      </c>
      <c r="Z64" s="147">
        <v>3.0040670186868867E-3</v>
      </c>
      <c r="AA64" s="183"/>
    </row>
    <row r="65" spans="1:27" ht="15" x14ac:dyDescent="0.2">
      <c r="A65" s="142" t="s">
        <v>1218</v>
      </c>
      <c r="B65" s="143" t="s">
        <v>1219</v>
      </c>
      <c r="C65" s="143" t="s">
        <v>1229</v>
      </c>
      <c r="D65" s="143" t="s">
        <v>1230</v>
      </c>
      <c r="E65" s="143" t="s">
        <v>1231</v>
      </c>
      <c r="F65" s="143" t="s">
        <v>943</v>
      </c>
      <c r="G65" s="143" t="s">
        <v>204</v>
      </c>
      <c r="H65" s="143" t="s">
        <v>204</v>
      </c>
      <c r="I65" s="143" t="s">
        <v>340</v>
      </c>
      <c r="J65" s="143" t="s">
        <v>1232</v>
      </c>
      <c r="K65" s="143" t="s">
        <v>312</v>
      </c>
      <c r="L65" s="143" t="s">
        <v>1210</v>
      </c>
      <c r="M65" s="144">
        <v>1.32</v>
      </c>
      <c r="N65" s="143" t="s">
        <v>1233</v>
      </c>
      <c r="O65" s="146">
        <v>7.5209999999999999E-3</v>
      </c>
      <c r="P65" s="146">
        <v>1.5337999999999999E-2</v>
      </c>
      <c r="Q65" s="145" t="s">
        <v>3853</v>
      </c>
      <c r="R65" s="144">
        <v>8458181</v>
      </c>
      <c r="S65" s="145" t="s">
        <v>3853</v>
      </c>
      <c r="T65" s="143" t="s">
        <v>1234</v>
      </c>
      <c r="U65" s="144">
        <v>9599.1895999999997</v>
      </c>
      <c r="V65" s="145" t="s">
        <v>3853</v>
      </c>
      <c r="W65" s="145" t="s">
        <v>3853</v>
      </c>
      <c r="X65" s="146">
        <v>3.8972893464621724E-4</v>
      </c>
      <c r="Y65" s="146">
        <v>0.14624419874476641</v>
      </c>
      <c r="Z65" s="147">
        <v>3.383476670955736E-2</v>
      </c>
      <c r="AA65" s="183"/>
    </row>
    <row r="66" spans="1:27" ht="15" x14ac:dyDescent="0.2">
      <c r="A66" s="142" t="s">
        <v>1218</v>
      </c>
      <c r="B66" s="143" t="s">
        <v>1219</v>
      </c>
      <c r="C66" s="143" t="s">
        <v>1229</v>
      </c>
      <c r="D66" s="143" t="s">
        <v>1235</v>
      </c>
      <c r="E66" s="143" t="s">
        <v>1236</v>
      </c>
      <c r="F66" s="143" t="s">
        <v>943</v>
      </c>
      <c r="G66" s="143" t="s">
        <v>204</v>
      </c>
      <c r="H66" s="143" t="s">
        <v>204</v>
      </c>
      <c r="I66" s="143" t="s">
        <v>340</v>
      </c>
      <c r="J66" s="143" t="s">
        <v>1232</v>
      </c>
      <c r="K66" s="143" t="s">
        <v>312</v>
      </c>
      <c r="L66" s="143" t="s">
        <v>1210</v>
      </c>
      <c r="M66" s="144">
        <v>7.39</v>
      </c>
      <c r="N66" s="143" t="s">
        <v>1237</v>
      </c>
      <c r="O66" s="146">
        <v>1E-3</v>
      </c>
      <c r="P66" s="146">
        <v>2.1850000000000001E-2</v>
      </c>
      <c r="Q66" s="145" t="s">
        <v>3853</v>
      </c>
      <c r="R66" s="144">
        <v>7761565</v>
      </c>
      <c r="S66" s="145" t="s">
        <v>3853</v>
      </c>
      <c r="T66" s="143" t="s">
        <v>1238</v>
      </c>
      <c r="U66" s="144">
        <v>7579.1682000000001</v>
      </c>
      <c r="V66" s="145" t="s">
        <v>3853</v>
      </c>
      <c r="W66" s="145" t="s">
        <v>3853</v>
      </c>
      <c r="X66" s="146">
        <v>2.5278612827911657E-4</v>
      </c>
      <c r="Y66" s="146">
        <v>0.1154690581275612</v>
      </c>
      <c r="Z66" s="147">
        <v>2.6714691437004195E-2</v>
      </c>
      <c r="AA66" s="183"/>
    </row>
    <row r="67" spans="1:27" ht="15" x14ac:dyDescent="0.2">
      <c r="A67" s="142" t="s">
        <v>1218</v>
      </c>
      <c r="B67" s="143" t="s">
        <v>1219</v>
      </c>
      <c r="C67" s="143" t="s">
        <v>1229</v>
      </c>
      <c r="D67" s="143" t="s">
        <v>1239</v>
      </c>
      <c r="E67" s="143" t="s">
        <v>1240</v>
      </c>
      <c r="F67" s="143" t="s">
        <v>943</v>
      </c>
      <c r="G67" s="143" t="s">
        <v>204</v>
      </c>
      <c r="H67" s="143" t="s">
        <v>204</v>
      </c>
      <c r="I67" s="143" t="s">
        <v>340</v>
      </c>
      <c r="J67" s="143" t="s">
        <v>1232</v>
      </c>
      <c r="K67" s="143" t="s">
        <v>312</v>
      </c>
      <c r="L67" s="143" t="s">
        <v>1210</v>
      </c>
      <c r="M67" s="144">
        <v>2.89</v>
      </c>
      <c r="N67" s="143" t="s">
        <v>1241</v>
      </c>
      <c r="O67" s="146">
        <v>7.4999999999999997E-3</v>
      </c>
      <c r="P67" s="146">
        <v>1.7389999999999999E-2</v>
      </c>
      <c r="Q67" s="145" t="s">
        <v>3853</v>
      </c>
      <c r="R67" s="144">
        <v>1004541</v>
      </c>
      <c r="S67" s="145" t="s">
        <v>3853</v>
      </c>
      <c r="T67" s="143" t="s">
        <v>1242</v>
      </c>
      <c r="U67" s="144">
        <v>1121.6704999999999</v>
      </c>
      <c r="V67" s="145" t="s">
        <v>3853</v>
      </c>
      <c r="W67" s="145" t="s">
        <v>3853</v>
      </c>
      <c r="X67" s="146">
        <v>4.5065589741399124E-5</v>
      </c>
      <c r="Y67" s="146">
        <v>1.7088713447456522E-2</v>
      </c>
      <c r="Z67" s="147">
        <v>3.9536107266057189E-3</v>
      </c>
      <c r="AA67" s="183"/>
    </row>
    <row r="68" spans="1:27" ht="15" x14ac:dyDescent="0.2">
      <c r="A68" s="142" t="s">
        <v>1218</v>
      </c>
      <c r="B68" s="143" t="s">
        <v>1219</v>
      </c>
      <c r="C68" s="143" t="s">
        <v>1229</v>
      </c>
      <c r="D68" s="143" t="s">
        <v>1243</v>
      </c>
      <c r="E68" s="143" t="s">
        <v>1244</v>
      </c>
      <c r="F68" s="143" t="s">
        <v>943</v>
      </c>
      <c r="G68" s="143" t="s">
        <v>204</v>
      </c>
      <c r="H68" s="143" t="s">
        <v>204</v>
      </c>
      <c r="I68" s="143" t="s">
        <v>340</v>
      </c>
      <c r="J68" s="143" t="s">
        <v>1232</v>
      </c>
      <c r="K68" s="143" t="s">
        <v>312</v>
      </c>
      <c r="L68" s="143" t="s">
        <v>1210</v>
      </c>
      <c r="M68" s="144">
        <v>9.8800000000000008</v>
      </c>
      <c r="N68" s="143" t="s">
        <v>1245</v>
      </c>
      <c r="O68" s="146">
        <v>4.011E-2</v>
      </c>
      <c r="P68" s="146">
        <v>2.3077E-2</v>
      </c>
      <c r="Q68" s="145" t="s">
        <v>3853</v>
      </c>
      <c r="R68" s="144">
        <v>701620</v>
      </c>
      <c r="S68" s="145" t="s">
        <v>3853</v>
      </c>
      <c r="T68" s="143" t="s">
        <v>1246</v>
      </c>
      <c r="U68" s="144">
        <v>1116.1371000000001</v>
      </c>
      <c r="V68" s="145" t="s">
        <v>3853</v>
      </c>
      <c r="W68" s="145" t="s">
        <v>3853</v>
      </c>
      <c r="X68" s="146">
        <v>4.4037575735284472E-5</v>
      </c>
      <c r="Y68" s="146">
        <v>1.7004412018953752E-2</v>
      </c>
      <c r="Z68" s="147">
        <v>3.9341069159167788E-3</v>
      </c>
      <c r="AA68" s="183"/>
    </row>
    <row r="69" spans="1:27" ht="15" x14ac:dyDescent="0.2">
      <c r="A69" s="142" t="s">
        <v>1218</v>
      </c>
      <c r="B69" s="143" t="s">
        <v>1219</v>
      </c>
      <c r="C69" s="143" t="s">
        <v>1229</v>
      </c>
      <c r="D69" s="143" t="s">
        <v>1247</v>
      </c>
      <c r="E69" s="143" t="s">
        <v>1248</v>
      </c>
      <c r="F69" s="143" t="s">
        <v>943</v>
      </c>
      <c r="G69" s="143" t="s">
        <v>204</v>
      </c>
      <c r="H69" s="143" t="s">
        <v>204</v>
      </c>
      <c r="I69" s="143" t="s">
        <v>340</v>
      </c>
      <c r="J69" s="143" t="s">
        <v>1232</v>
      </c>
      <c r="K69" s="143" t="s">
        <v>312</v>
      </c>
      <c r="L69" s="143" t="s">
        <v>1210</v>
      </c>
      <c r="M69" s="144">
        <v>4.8600000000000003</v>
      </c>
      <c r="N69" s="143" t="s">
        <v>1249</v>
      </c>
      <c r="O69" s="146">
        <v>5.0000000000000001E-3</v>
      </c>
      <c r="P69" s="146">
        <v>1.9880999999999999E-2</v>
      </c>
      <c r="Q69" s="145" t="s">
        <v>3853</v>
      </c>
      <c r="R69" s="144">
        <v>526684</v>
      </c>
      <c r="S69" s="145" t="s">
        <v>3853</v>
      </c>
      <c r="T69" s="143" t="s">
        <v>1250</v>
      </c>
      <c r="U69" s="144">
        <v>557.495</v>
      </c>
      <c r="V69" s="145" t="s">
        <v>3853</v>
      </c>
      <c r="W69" s="145" t="s">
        <v>3853</v>
      </c>
      <c r="X69" s="146">
        <v>2.1879420375900859E-5</v>
      </c>
      <c r="Y69" s="146">
        <v>8.4934681864282293E-3</v>
      </c>
      <c r="Z69" s="147">
        <v>1.9650318926112652E-3</v>
      </c>
      <c r="AA69" s="183"/>
    </row>
    <row r="70" spans="1:27" ht="15" x14ac:dyDescent="0.2">
      <c r="A70" s="142" t="s">
        <v>1218</v>
      </c>
      <c r="B70" s="143" t="s">
        <v>1219</v>
      </c>
      <c r="C70" s="143" t="s">
        <v>1229</v>
      </c>
      <c r="D70" s="143" t="s">
        <v>1251</v>
      </c>
      <c r="E70" s="143" t="s">
        <v>1252</v>
      </c>
      <c r="F70" s="143" t="s">
        <v>943</v>
      </c>
      <c r="G70" s="143" t="s">
        <v>204</v>
      </c>
      <c r="H70" s="143" t="s">
        <v>204</v>
      </c>
      <c r="I70" s="143" t="s">
        <v>340</v>
      </c>
      <c r="J70" s="143" t="s">
        <v>1232</v>
      </c>
      <c r="K70" s="143" t="s">
        <v>312</v>
      </c>
      <c r="L70" s="143" t="s">
        <v>1210</v>
      </c>
      <c r="M70" s="144">
        <v>4.22</v>
      </c>
      <c r="N70" s="143" t="s">
        <v>1253</v>
      </c>
      <c r="O70" s="146">
        <v>1.0999999999999999E-2</v>
      </c>
      <c r="P70" s="146">
        <v>1.9415999999999999E-2</v>
      </c>
      <c r="Q70" s="145" t="s">
        <v>3853</v>
      </c>
      <c r="R70" s="144">
        <v>184058</v>
      </c>
      <c r="S70" s="145" t="s">
        <v>3853</v>
      </c>
      <c r="T70" s="143" t="s">
        <v>1254</v>
      </c>
      <c r="U70" s="144">
        <v>184.02120000000002</v>
      </c>
      <c r="V70" s="145" t="s">
        <v>3853</v>
      </c>
      <c r="W70" s="145" t="s">
        <v>3853</v>
      </c>
      <c r="X70" s="146">
        <v>1.1705457075210382E-5</v>
      </c>
      <c r="Y70" s="146">
        <v>2.8035732518750661E-3</v>
      </c>
      <c r="Z70" s="147">
        <v>6.4862912679291911E-4</v>
      </c>
      <c r="AA70" s="183"/>
    </row>
    <row r="71" spans="1:27" ht="15" x14ac:dyDescent="0.2">
      <c r="A71" s="142" t="s">
        <v>1218</v>
      </c>
      <c r="B71" s="143" t="s">
        <v>1219</v>
      </c>
      <c r="C71" s="143" t="s">
        <v>1229</v>
      </c>
      <c r="D71" s="143" t="s">
        <v>1255</v>
      </c>
      <c r="E71" s="143" t="s">
        <v>1256</v>
      </c>
      <c r="F71" s="143" t="s">
        <v>945</v>
      </c>
      <c r="G71" s="143" t="s">
        <v>204</v>
      </c>
      <c r="H71" s="143" t="s">
        <v>204</v>
      </c>
      <c r="I71" s="143" t="s">
        <v>340</v>
      </c>
      <c r="J71" s="143" t="s">
        <v>1232</v>
      </c>
      <c r="K71" s="143" t="s">
        <v>312</v>
      </c>
      <c r="L71" s="143" t="s">
        <v>1210</v>
      </c>
      <c r="M71" s="144">
        <v>11.5</v>
      </c>
      <c r="N71" s="143" t="s">
        <v>1257</v>
      </c>
      <c r="O71" s="146">
        <v>1.5041000000000001E-2</v>
      </c>
      <c r="P71" s="146">
        <v>5.2136000000000002E-2</v>
      </c>
      <c r="Q71" s="145" t="s">
        <v>3853</v>
      </c>
      <c r="R71" s="144">
        <v>10477752</v>
      </c>
      <c r="S71" s="145" t="s">
        <v>3853</v>
      </c>
      <c r="T71" s="143" t="s">
        <v>1258</v>
      </c>
      <c r="U71" s="144">
        <v>6897.5040999999992</v>
      </c>
      <c r="V71" s="145" t="s">
        <v>3853</v>
      </c>
      <c r="W71" s="145" t="s">
        <v>3853</v>
      </c>
      <c r="X71" s="146">
        <v>3.2662790910451488E-4</v>
      </c>
      <c r="Y71" s="146">
        <v>0.10508386715802367</v>
      </c>
      <c r="Z71" s="147">
        <v>2.4311994326934535E-2</v>
      </c>
      <c r="AA71" s="183"/>
    </row>
    <row r="72" spans="1:27" ht="15" x14ac:dyDescent="0.2">
      <c r="A72" s="142" t="s">
        <v>1218</v>
      </c>
      <c r="B72" s="143" t="s">
        <v>1219</v>
      </c>
      <c r="C72" s="143" t="s">
        <v>1229</v>
      </c>
      <c r="D72" s="143" t="s">
        <v>1259</v>
      </c>
      <c r="E72" s="143" t="s">
        <v>1260</v>
      </c>
      <c r="F72" s="143" t="s">
        <v>945</v>
      </c>
      <c r="G72" s="143" t="s">
        <v>204</v>
      </c>
      <c r="H72" s="143" t="s">
        <v>204</v>
      </c>
      <c r="I72" s="143" t="s">
        <v>340</v>
      </c>
      <c r="J72" s="143" t="s">
        <v>1232</v>
      </c>
      <c r="K72" s="143" t="s">
        <v>312</v>
      </c>
      <c r="L72" s="143" t="s">
        <v>1210</v>
      </c>
      <c r="M72" s="144">
        <v>7.42</v>
      </c>
      <c r="N72" s="143" t="s">
        <v>1261</v>
      </c>
      <c r="O72" s="146">
        <v>1.2999999999999999E-2</v>
      </c>
      <c r="P72" s="146">
        <v>4.9000000000000002E-2</v>
      </c>
      <c r="Q72" s="145" t="s">
        <v>3853</v>
      </c>
      <c r="R72" s="144">
        <v>8689982</v>
      </c>
      <c r="S72" s="145" t="s">
        <v>3853</v>
      </c>
      <c r="T72" s="143" t="s">
        <v>1262</v>
      </c>
      <c r="U72" s="144">
        <v>6713.8800999999994</v>
      </c>
      <c r="V72" s="145" t="s">
        <v>3853</v>
      </c>
      <c r="W72" s="145" t="s">
        <v>3853</v>
      </c>
      <c r="X72" s="146">
        <v>2.8963813589576176E-4</v>
      </c>
      <c r="Y72" s="146">
        <v>0.10228634435659364</v>
      </c>
      <c r="Z72" s="147">
        <v>2.366476502031262E-2</v>
      </c>
      <c r="AA72" s="183"/>
    </row>
    <row r="73" spans="1:27" ht="15" x14ac:dyDescent="0.2">
      <c r="A73" s="142" t="s">
        <v>1218</v>
      </c>
      <c r="B73" s="143" t="s">
        <v>1219</v>
      </c>
      <c r="C73" s="143" t="s">
        <v>1229</v>
      </c>
      <c r="D73" s="143" t="s">
        <v>1280</v>
      </c>
      <c r="E73" s="143" t="s">
        <v>1281</v>
      </c>
      <c r="F73" s="143" t="s">
        <v>945</v>
      </c>
      <c r="G73" s="143" t="s">
        <v>204</v>
      </c>
      <c r="H73" s="143" t="s">
        <v>204</v>
      </c>
      <c r="I73" s="143" t="s">
        <v>340</v>
      </c>
      <c r="J73" s="143" t="s">
        <v>1232</v>
      </c>
      <c r="K73" s="143" t="s">
        <v>312</v>
      </c>
      <c r="L73" s="143" t="s">
        <v>1210</v>
      </c>
      <c r="M73" s="144">
        <v>4.01</v>
      </c>
      <c r="N73" s="143" t="s">
        <v>1282</v>
      </c>
      <c r="O73" s="146">
        <v>2.2499999999999999E-2</v>
      </c>
      <c r="P73" s="146">
        <v>4.6257E-2</v>
      </c>
      <c r="Q73" s="145" t="s">
        <v>3853</v>
      </c>
      <c r="R73" s="144">
        <v>6723931</v>
      </c>
      <c r="S73" s="145" t="s">
        <v>3853</v>
      </c>
      <c r="T73" s="143" t="s">
        <v>1283</v>
      </c>
      <c r="U73" s="144">
        <v>6235.1012000000001</v>
      </c>
      <c r="V73" s="145" t="s">
        <v>3853</v>
      </c>
      <c r="W73" s="145" t="s">
        <v>3853</v>
      </c>
      <c r="X73" s="146">
        <v>2.204819099999544E-4</v>
      </c>
      <c r="Y73" s="146">
        <v>9.4992120987478473E-2</v>
      </c>
      <c r="Z73" s="147">
        <v>2.1977188021431868E-2</v>
      </c>
      <c r="AA73" s="183"/>
    </row>
    <row r="74" spans="1:27" ht="15" x14ac:dyDescent="0.2">
      <c r="A74" s="142" t="s">
        <v>1218</v>
      </c>
      <c r="B74" s="143" t="s">
        <v>1219</v>
      </c>
      <c r="C74" s="143" t="s">
        <v>1229</v>
      </c>
      <c r="D74" s="143" t="s">
        <v>1263</v>
      </c>
      <c r="E74" s="143" t="s">
        <v>1264</v>
      </c>
      <c r="F74" s="143" t="s">
        <v>945</v>
      </c>
      <c r="G74" s="143" t="s">
        <v>204</v>
      </c>
      <c r="H74" s="143" t="s">
        <v>204</v>
      </c>
      <c r="I74" s="143" t="s">
        <v>340</v>
      </c>
      <c r="J74" s="143" t="s">
        <v>1232</v>
      </c>
      <c r="K74" s="143" t="s">
        <v>312</v>
      </c>
      <c r="L74" s="143" t="s">
        <v>1210</v>
      </c>
      <c r="M74" s="144">
        <v>0.75</v>
      </c>
      <c r="N74" s="143" t="s">
        <v>1265</v>
      </c>
      <c r="O74" s="143" t="s">
        <v>1266</v>
      </c>
      <c r="P74" s="146">
        <v>4.3262000000000002E-2</v>
      </c>
      <c r="Q74" s="145" t="s">
        <v>3853</v>
      </c>
      <c r="R74" s="144">
        <v>4683534</v>
      </c>
      <c r="S74" s="145" t="s">
        <v>3853</v>
      </c>
      <c r="T74" s="143" t="s">
        <v>1267</v>
      </c>
      <c r="U74" s="144">
        <v>4536.9394000000002</v>
      </c>
      <c r="V74" s="145" t="s">
        <v>3853</v>
      </c>
      <c r="W74" s="145" t="s">
        <v>3853</v>
      </c>
      <c r="X74" s="146">
        <v>3.9029450000000002E-4</v>
      </c>
      <c r="Y74" s="146">
        <v>6.9120529097764324E-2</v>
      </c>
      <c r="Z74" s="147">
        <v>1.5991588021522944E-2</v>
      </c>
      <c r="AA74" s="183"/>
    </row>
    <row r="75" spans="1:27" ht="15" x14ac:dyDescent="0.2">
      <c r="A75" s="142" t="s">
        <v>1218</v>
      </c>
      <c r="B75" s="143" t="s">
        <v>1219</v>
      </c>
      <c r="C75" s="143" t="s">
        <v>1229</v>
      </c>
      <c r="D75" s="143" t="s">
        <v>1272</v>
      </c>
      <c r="E75" s="143" t="s">
        <v>1273</v>
      </c>
      <c r="F75" s="143" t="s">
        <v>945</v>
      </c>
      <c r="G75" s="143" t="s">
        <v>204</v>
      </c>
      <c r="H75" s="143" t="s">
        <v>204</v>
      </c>
      <c r="I75" s="143" t="s">
        <v>340</v>
      </c>
      <c r="J75" s="143" t="s">
        <v>1232</v>
      </c>
      <c r="K75" s="143" t="s">
        <v>312</v>
      </c>
      <c r="L75" s="143" t="s">
        <v>1210</v>
      </c>
      <c r="M75" s="144">
        <v>11.51</v>
      </c>
      <c r="N75" s="143" t="s">
        <v>1274</v>
      </c>
      <c r="O75" s="146">
        <v>5.5E-2</v>
      </c>
      <c r="P75" s="146">
        <v>5.3379000000000003E-2</v>
      </c>
      <c r="Q75" s="145" t="s">
        <v>3853</v>
      </c>
      <c r="R75" s="144">
        <v>3900109</v>
      </c>
      <c r="S75" s="145" t="s">
        <v>3853</v>
      </c>
      <c r="T75" s="143" t="s">
        <v>1275</v>
      </c>
      <c r="U75" s="144">
        <v>4059.6235000000001</v>
      </c>
      <c r="V75" s="145" t="s">
        <v>3853</v>
      </c>
      <c r="W75" s="145" t="s">
        <v>3853</v>
      </c>
      <c r="X75" s="146">
        <v>2.0199400735748305E-4</v>
      </c>
      <c r="Y75" s="146">
        <v>6.1848593842760542E-2</v>
      </c>
      <c r="Z75" s="147">
        <v>1.4309167556356535E-2</v>
      </c>
      <c r="AA75" s="183"/>
    </row>
    <row r="76" spans="1:27" ht="15" x14ac:dyDescent="0.2">
      <c r="A76" s="142" t="s">
        <v>1218</v>
      </c>
      <c r="B76" s="143" t="s">
        <v>1219</v>
      </c>
      <c r="C76" s="143" t="s">
        <v>1229</v>
      </c>
      <c r="D76" s="143" t="s">
        <v>1268</v>
      </c>
      <c r="E76" s="143" t="s">
        <v>1269</v>
      </c>
      <c r="F76" s="143" t="s">
        <v>945</v>
      </c>
      <c r="G76" s="143" t="s">
        <v>204</v>
      </c>
      <c r="H76" s="143" t="s">
        <v>204</v>
      </c>
      <c r="I76" s="143" t="s">
        <v>340</v>
      </c>
      <c r="J76" s="143" t="s">
        <v>1232</v>
      </c>
      <c r="K76" s="143" t="s">
        <v>312</v>
      </c>
      <c r="L76" s="143" t="s">
        <v>1210</v>
      </c>
      <c r="M76" s="144">
        <v>0.67</v>
      </c>
      <c r="N76" s="143" t="s">
        <v>1270</v>
      </c>
      <c r="O76" s="143" t="s">
        <v>1266</v>
      </c>
      <c r="P76" s="146">
        <v>4.3515999999999999E-2</v>
      </c>
      <c r="Q76" s="145" t="s">
        <v>3853</v>
      </c>
      <c r="R76" s="144">
        <v>4126009.32</v>
      </c>
      <c r="S76" s="145" t="s">
        <v>3853</v>
      </c>
      <c r="T76" s="143" t="s">
        <v>1271</v>
      </c>
      <c r="U76" s="144">
        <v>4009.2432999999996</v>
      </c>
      <c r="V76" s="145" t="s">
        <v>3853</v>
      </c>
      <c r="W76" s="145" t="s">
        <v>3853</v>
      </c>
      <c r="X76" s="146">
        <v>3.4383411E-4</v>
      </c>
      <c r="Y76" s="146">
        <v>6.1081048607477477E-2</v>
      </c>
      <c r="Z76" s="147">
        <v>1.4131589818588223E-2</v>
      </c>
      <c r="AA76" s="183"/>
    </row>
    <row r="77" spans="1:27" ht="15" x14ac:dyDescent="0.2">
      <c r="A77" s="142" t="s">
        <v>1218</v>
      </c>
      <c r="B77" s="143" t="s">
        <v>1219</v>
      </c>
      <c r="C77" s="143" t="s">
        <v>1229</v>
      </c>
      <c r="D77" s="143" t="s">
        <v>1276</v>
      </c>
      <c r="E77" s="143" t="s">
        <v>1277</v>
      </c>
      <c r="F77" s="143" t="s">
        <v>945</v>
      </c>
      <c r="G77" s="143" t="s">
        <v>204</v>
      </c>
      <c r="H77" s="143" t="s">
        <v>204</v>
      </c>
      <c r="I77" s="143" t="s">
        <v>340</v>
      </c>
      <c r="J77" s="143" t="s">
        <v>1232</v>
      </c>
      <c r="K77" s="143" t="s">
        <v>312</v>
      </c>
      <c r="L77" s="143" t="s">
        <v>1210</v>
      </c>
      <c r="M77" s="144">
        <v>0.6</v>
      </c>
      <c r="N77" s="143" t="s">
        <v>1278</v>
      </c>
      <c r="O77" s="143" t="s">
        <v>1266</v>
      </c>
      <c r="P77" s="146">
        <v>4.3658000000000002E-2</v>
      </c>
      <c r="Q77" s="145" t="s">
        <v>3853</v>
      </c>
      <c r="R77" s="144">
        <v>3609905</v>
      </c>
      <c r="S77" s="145" t="s">
        <v>3853</v>
      </c>
      <c r="T77" s="143" t="s">
        <v>1279</v>
      </c>
      <c r="U77" s="144">
        <v>3518.9353999999998</v>
      </c>
      <c r="V77" s="145" t="s">
        <v>3853</v>
      </c>
      <c r="W77" s="145" t="s">
        <v>3853</v>
      </c>
      <c r="X77" s="146">
        <v>3.0082541666666667E-4</v>
      </c>
      <c r="Y77" s="146">
        <v>5.3611180492163624E-2</v>
      </c>
      <c r="Z77" s="147">
        <v>1.2403376000863371E-2</v>
      </c>
      <c r="AA77" s="183"/>
    </row>
    <row r="78" spans="1:27" ht="15" x14ac:dyDescent="0.2">
      <c r="A78" s="142" t="s">
        <v>1218</v>
      </c>
      <c r="B78" s="143" t="s">
        <v>1219</v>
      </c>
      <c r="C78" s="143" t="s">
        <v>1229</v>
      </c>
      <c r="D78" s="143" t="s">
        <v>1284</v>
      </c>
      <c r="E78" s="143" t="s">
        <v>1285</v>
      </c>
      <c r="F78" s="143" t="s">
        <v>945</v>
      </c>
      <c r="G78" s="143" t="s">
        <v>204</v>
      </c>
      <c r="H78" s="143" t="s">
        <v>204</v>
      </c>
      <c r="I78" s="143" t="s">
        <v>340</v>
      </c>
      <c r="J78" s="143" t="s">
        <v>1232</v>
      </c>
      <c r="K78" s="143" t="s">
        <v>312</v>
      </c>
      <c r="L78" s="143" t="s">
        <v>1210</v>
      </c>
      <c r="M78" s="144">
        <v>14.48</v>
      </c>
      <c r="N78" s="143" t="s">
        <v>1286</v>
      </c>
      <c r="O78" s="146">
        <v>3.7602999999999998E-2</v>
      </c>
      <c r="P78" s="146">
        <v>5.4753999999999997E-2</v>
      </c>
      <c r="Q78" s="145" t="s">
        <v>3853</v>
      </c>
      <c r="R78" s="144">
        <v>2586688</v>
      </c>
      <c r="S78" s="145" t="s">
        <v>3853</v>
      </c>
      <c r="T78" s="143" t="s">
        <v>1287</v>
      </c>
      <c r="U78" s="144">
        <v>2038.0515</v>
      </c>
      <c r="V78" s="145" t="s">
        <v>3853</v>
      </c>
      <c r="W78" s="145" t="s">
        <v>3853</v>
      </c>
      <c r="X78" s="146">
        <v>9.855421995508288E-5</v>
      </c>
      <c r="Y78" s="146">
        <v>3.1049829921733291E-2</v>
      </c>
      <c r="Z78" s="147">
        <v>7.1836268432553859E-3</v>
      </c>
      <c r="AA78" s="183"/>
    </row>
    <row r="79" spans="1:27" ht="15" x14ac:dyDescent="0.2">
      <c r="A79" s="142" t="s">
        <v>1218</v>
      </c>
      <c r="B79" s="143" t="s">
        <v>1219</v>
      </c>
      <c r="C79" s="143" t="s">
        <v>1292</v>
      </c>
      <c r="D79" s="143" t="s">
        <v>1293</v>
      </c>
      <c r="E79" s="143" t="s">
        <v>1294</v>
      </c>
      <c r="F79" s="143" t="s">
        <v>945</v>
      </c>
      <c r="G79" s="143" t="s">
        <v>204</v>
      </c>
      <c r="H79" s="143" t="s">
        <v>204</v>
      </c>
      <c r="I79" s="143" t="s">
        <v>340</v>
      </c>
      <c r="J79" s="143" t="s">
        <v>1232</v>
      </c>
      <c r="K79" s="143" t="s">
        <v>312</v>
      </c>
      <c r="L79" s="143" t="s">
        <v>1210</v>
      </c>
      <c r="M79" s="144">
        <v>5.58</v>
      </c>
      <c r="N79" s="143" t="s">
        <v>1295</v>
      </c>
      <c r="O79" s="146">
        <v>1.0026999999999999E-2</v>
      </c>
      <c r="P79" s="146">
        <v>4.7578000000000002E-2</v>
      </c>
      <c r="Q79" s="145" t="s">
        <v>3853</v>
      </c>
      <c r="R79" s="144">
        <v>2135547</v>
      </c>
      <c r="S79" s="145" t="s">
        <v>3853</v>
      </c>
      <c r="T79" s="143" t="s">
        <v>1296</v>
      </c>
      <c r="U79" s="144">
        <v>1745.3826000000001</v>
      </c>
      <c r="V79" s="145" t="s">
        <v>3853</v>
      </c>
      <c r="W79" s="145" t="s">
        <v>3853</v>
      </c>
      <c r="X79" s="146">
        <v>5.6562613980313095E-5</v>
      </c>
      <c r="Y79" s="146">
        <v>2.659100243152383E-2</v>
      </c>
      <c r="Z79" s="147">
        <v>6.1520413908116032E-3</v>
      </c>
      <c r="AA79" s="183"/>
    </row>
    <row r="80" spans="1:27" ht="15" x14ac:dyDescent="0.2">
      <c r="A80" s="142" t="s">
        <v>1218</v>
      </c>
      <c r="B80" s="143" t="s">
        <v>1219</v>
      </c>
      <c r="C80" s="143" t="s">
        <v>1229</v>
      </c>
      <c r="D80" s="143" t="s">
        <v>1288</v>
      </c>
      <c r="E80" s="143" t="s">
        <v>1289</v>
      </c>
      <c r="F80" s="143" t="s">
        <v>945</v>
      </c>
      <c r="G80" s="143" t="s">
        <v>204</v>
      </c>
      <c r="H80" s="143" t="s">
        <v>204</v>
      </c>
      <c r="I80" s="143" t="s">
        <v>340</v>
      </c>
      <c r="J80" s="143" t="s">
        <v>1232</v>
      </c>
      <c r="K80" s="143" t="s">
        <v>312</v>
      </c>
      <c r="L80" s="143" t="s">
        <v>1210</v>
      </c>
      <c r="M80" s="144">
        <v>0.85</v>
      </c>
      <c r="N80" s="143" t="s">
        <v>1290</v>
      </c>
      <c r="O80" s="143" t="s">
        <v>1266</v>
      </c>
      <c r="P80" s="146">
        <v>4.3234000000000002E-2</v>
      </c>
      <c r="Q80" s="145" t="s">
        <v>3853</v>
      </c>
      <c r="R80" s="144">
        <v>1042681</v>
      </c>
      <c r="S80" s="145" t="s">
        <v>3853</v>
      </c>
      <c r="T80" s="143" t="s">
        <v>1291</v>
      </c>
      <c r="U80" s="144">
        <v>1005.9786</v>
      </c>
      <c r="V80" s="145" t="s">
        <v>3853</v>
      </c>
      <c r="W80" s="145" t="s">
        <v>3853</v>
      </c>
      <c r="X80" s="146">
        <v>7.447721428571428E-5</v>
      </c>
      <c r="Y80" s="146">
        <v>1.532614151763426E-2</v>
      </c>
      <c r="Z80" s="147">
        <v>3.5458255934775937E-3</v>
      </c>
      <c r="AA80" s="183"/>
    </row>
    <row r="81" spans="1:27" ht="15" x14ac:dyDescent="0.2">
      <c r="A81" s="142" t="s">
        <v>1218</v>
      </c>
      <c r="B81" s="143" t="s">
        <v>1219</v>
      </c>
      <c r="C81" s="143" t="s">
        <v>1292</v>
      </c>
      <c r="D81" s="143" t="s">
        <v>1297</v>
      </c>
      <c r="E81" s="143" t="s">
        <v>1298</v>
      </c>
      <c r="F81" s="143" t="s">
        <v>945</v>
      </c>
      <c r="G81" s="143" t="s">
        <v>204</v>
      </c>
      <c r="H81" s="143" t="s">
        <v>204</v>
      </c>
      <c r="I81" s="143" t="s">
        <v>340</v>
      </c>
      <c r="J81" s="143" t="s">
        <v>1222</v>
      </c>
      <c r="K81" s="143" t="s">
        <v>413</v>
      </c>
      <c r="L81" s="143" t="s">
        <v>1210</v>
      </c>
      <c r="M81" s="144">
        <v>4.3099999999999996</v>
      </c>
      <c r="N81" s="143" t="s">
        <v>1299</v>
      </c>
      <c r="O81" s="146">
        <v>3.7284200000000003E-2</v>
      </c>
      <c r="P81" s="146">
        <v>4.6670999999999997E-2</v>
      </c>
      <c r="Q81" s="145" t="s">
        <v>3853</v>
      </c>
      <c r="R81" s="144">
        <v>851375</v>
      </c>
      <c r="S81" s="145" t="s">
        <v>3853</v>
      </c>
      <c r="T81" s="143" t="s">
        <v>1300</v>
      </c>
      <c r="U81" s="144">
        <v>830.00549999999998</v>
      </c>
      <c r="V81" s="145" t="s">
        <v>3853</v>
      </c>
      <c r="W81" s="145" t="s">
        <v>3853</v>
      </c>
      <c r="X81" s="146">
        <v>3.2258051071518584E-5</v>
      </c>
      <c r="Y81" s="146">
        <v>1.2645180720203004E-2</v>
      </c>
      <c r="Z81" s="147">
        <v>2.9255638400738429E-3</v>
      </c>
      <c r="AA81" s="183"/>
    </row>
    <row r="82" spans="1:27" ht="15" x14ac:dyDescent="0.2">
      <c r="A82" s="142" t="s">
        <v>1218</v>
      </c>
      <c r="B82" s="143" t="s">
        <v>1219</v>
      </c>
      <c r="C82" s="143" t="s">
        <v>1229</v>
      </c>
      <c r="D82" s="143" t="s">
        <v>1305</v>
      </c>
      <c r="E82" s="143" t="s">
        <v>1306</v>
      </c>
      <c r="F82" s="143" t="s">
        <v>945</v>
      </c>
      <c r="G82" s="143" t="s">
        <v>204</v>
      </c>
      <c r="H82" s="143" t="s">
        <v>204</v>
      </c>
      <c r="I82" s="143" t="s">
        <v>340</v>
      </c>
      <c r="J82" s="143" t="s">
        <v>1232</v>
      </c>
      <c r="K82" s="143" t="s">
        <v>312</v>
      </c>
      <c r="L82" s="143" t="s">
        <v>1210</v>
      </c>
      <c r="M82" s="144">
        <v>16.82</v>
      </c>
      <c r="N82" s="143" t="s">
        <v>1307</v>
      </c>
      <c r="O82" s="146">
        <v>2.8000000000000001E-2</v>
      </c>
      <c r="P82" s="146">
        <v>5.5648999999999997E-2</v>
      </c>
      <c r="Q82" s="145" t="s">
        <v>3853</v>
      </c>
      <c r="R82" s="144">
        <v>697512</v>
      </c>
      <c r="S82" s="145" t="s">
        <v>3853</v>
      </c>
      <c r="T82" s="143" t="s">
        <v>1308</v>
      </c>
      <c r="U82" s="144">
        <v>436.64249999999998</v>
      </c>
      <c r="V82" s="145" t="s">
        <v>3853</v>
      </c>
      <c r="W82" s="145" t="s">
        <v>3853</v>
      </c>
      <c r="X82" s="146">
        <v>4.1830377051032545E-5</v>
      </c>
      <c r="Y82" s="146">
        <v>6.6522734578467572E-3</v>
      </c>
      <c r="Z82" s="147">
        <v>1.5390567452678548E-3</v>
      </c>
      <c r="AA82" s="183"/>
    </row>
    <row r="83" spans="1:27" ht="15" x14ac:dyDescent="0.2">
      <c r="A83" s="142" t="s">
        <v>1218</v>
      </c>
      <c r="B83" s="143" t="s">
        <v>1219</v>
      </c>
      <c r="C83" s="143" t="s">
        <v>1229</v>
      </c>
      <c r="D83" s="143" t="s">
        <v>1301</v>
      </c>
      <c r="E83" s="143" t="s">
        <v>1302</v>
      </c>
      <c r="F83" s="143" t="s">
        <v>945</v>
      </c>
      <c r="G83" s="143" t="s">
        <v>204</v>
      </c>
      <c r="H83" s="143" t="s">
        <v>204</v>
      </c>
      <c r="I83" s="143" t="s">
        <v>340</v>
      </c>
      <c r="J83" s="143" t="s">
        <v>1232</v>
      </c>
      <c r="K83" s="143" t="s">
        <v>314</v>
      </c>
      <c r="L83" s="143" t="s">
        <v>1210</v>
      </c>
      <c r="M83" s="144">
        <v>0.92</v>
      </c>
      <c r="N83" s="143" t="s">
        <v>1303</v>
      </c>
      <c r="O83" s="143" t="s">
        <v>1266</v>
      </c>
      <c r="P83" s="146">
        <v>4.3203999999999999E-2</v>
      </c>
      <c r="Q83" s="145" t="s">
        <v>3853</v>
      </c>
      <c r="R83" s="144">
        <v>240000</v>
      </c>
      <c r="S83" s="145" t="s">
        <v>3853</v>
      </c>
      <c r="T83" s="143" t="s">
        <v>1304</v>
      </c>
      <c r="U83" s="144">
        <v>230.80799999999999</v>
      </c>
      <c r="V83" s="145" t="s">
        <v>3853</v>
      </c>
      <c r="W83" s="145" t="s">
        <v>3853</v>
      </c>
      <c r="X83" s="146">
        <v>2.0000000000000002E-5</v>
      </c>
      <c r="Y83" s="146">
        <v>3.5163729826167139E-3</v>
      </c>
      <c r="Z83" s="147">
        <v>8.1354105360630351E-4</v>
      </c>
      <c r="AA83" s="183"/>
    </row>
    <row r="84" spans="1:27" ht="15" x14ac:dyDescent="0.2">
      <c r="A84" s="142" t="s">
        <v>1218</v>
      </c>
      <c r="B84" s="143" t="s">
        <v>1219</v>
      </c>
      <c r="C84" s="143" t="s">
        <v>1309</v>
      </c>
      <c r="D84" s="143" t="s">
        <v>1310</v>
      </c>
      <c r="E84" s="143" t="s">
        <v>1311</v>
      </c>
      <c r="F84" s="143" t="s">
        <v>947</v>
      </c>
      <c r="G84" s="143" t="s">
        <v>205</v>
      </c>
      <c r="H84" s="143" t="s">
        <v>224</v>
      </c>
      <c r="I84" s="143" t="s">
        <v>344</v>
      </c>
      <c r="J84" s="143" t="s">
        <v>1312</v>
      </c>
      <c r="K84" s="143" t="s">
        <v>423</v>
      </c>
      <c r="L84" s="143" t="s">
        <v>1211</v>
      </c>
      <c r="M84" s="144">
        <v>7.4589999999999996</v>
      </c>
      <c r="N84" s="143" t="s">
        <v>1313</v>
      </c>
      <c r="O84" s="146">
        <v>3.875E-2</v>
      </c>
      <c r="P84" s="146">
        <v>4.41E-2</v>
      </c>
      <c r="Q84" s="145" t="s">
        <v>3853</v>
      </c>
      <c r="R84" s="144">
        <v>509000</v>
      </c>
      <c r="S84" s="143" t="s">
        <v>1212</v>
      </c>
      <c r="T84" s="143" t="s">
        <v>1314</v>
      </c>
      <c r="U84" s="144">
        <v>1865.1056999999998</v>
      </c>
      <c r="V84" s="145" t="s">
        <v>3853</v>
      </c>
      <c r="W84" s="145" t="s">
        <v>3853</v>
      </c>
      <c r="X84" s="146">
        <v>1.3394736842105263E-5</v>
      </c>
      <c r="Y84" s="146">
        <v>2.8414990640551491E-2</v>
      </c>
      <c r="Z84" s="147">
        <v>6.5740356720421457E-3</v>
      </c>
      <c r="AA84" s="183"/>
    </row>
    <row r="85" spans="1:27" ht="15" x14ac:dyDescent="0.2">
      <c r="A85" s="142" t="s">
        <v>1218</v>
      </c>
      <c r="B85" s="143" t="s">
        <v>1219</v>
      </c>
      <c r="C85" s="143" t="s">
        <v>1309</v>
      </c>
      <c r="D85" s="143" t="s">
        <v>1315</v>
      </c>
      <c r="E85" s="143" t="s">
        <v>1316</v>
      </c>
      <c r="F85" s="143" t="s">
        <v>947</v>
      </c>
      <c r="G85" s="143" t="s">
        <v>205</v>
      </c>
      <c r="H85" s="143" t="s">
        <v>224</v>
      </c>
      <c r="I85" s="143" t="s">
        <v>344</v>
      </c>
      <c r="J85" s="143" t="s">
        <v>1312</v>
      </c>
      <c r="K85" s="143" t="s">
        <v>423</v>
      </c>
      <c r="L85" s="143" t="s">
        <v>1211</v>
      </c>
      <c r="M85" s="144">
        <v>7.7590000000000003</v>
      </c>
      <c r="N85" s="143" t="s">
        <v>1317</v>
      </c>
      <c r="O85" s="146">
        <v>0.04</v>
      </c>
      <c r="P85" s="146">
        <v>4.3999999999999997E-2</v>
      </c>
      <c r="Q85" s="145" t="s">
        <v>3853</v>
      </c>
      <c r="R85" s="144">
        <v>367000</v>
      </c>
      <c r="S85" s="143" t="s">
        <v>1212</v>
      </c>
      <c r="T85" s="143" t="s">
        <v>1318</v>
      </c>
      <c r="U85" s="144">
        <v>1357.2053000000001</v>
      </c>
      <c r="V85" s="145" t="s">
        <v>3853</v>
      </c>
      <c r="W85" s="145" t="s">
        <v>3853</v>
      </c>
      <c r="X85" s="146">
        <v>8.7380952380952388E-6</v>
      </c>
      <c r="Y85" s="146">
        <v>2.0677100008587714E-2</v>
      </c>
      <c r="Z85" s="147">
        <v>4.7838126983877254E-3</v>
      </c>
      <c r="AA85" s="183"/>
    </row>
    <row r="86" spans="1:27" ht="15" x14ac:dyDescent="0.2">
      <c r="A86" s="142" t="s">
        <v>1218</v>
      </c>
      <c r="B86" s="143" t="s">
        <v>1220</v>
      </c>
      <c r="C86" s="143" t="s">
        <v>1229</v>
      </c>
      <c r="D86" s="143" t="s">
        <v>1230</v>
      </c>
      <c r="E86" s="143" t="s">
        <v>1231</v>
      </c>
      <c r="F86" s="143" t="s">
        <v>943</v>
      </c>
      <c r="G86" s="143" t="s">
        <v>204</v>
      </c>
      <c r="H86" s="143" t="s">
        <v>204</v>
      </c>
      <c r="I86" s="143" t="s">
        <v>340</v>
      </c>
      <c r="J86" s="143" t="s">
        <v>1232</v>
      </c>
      <c r="K86" s="143" t="s">
        <v>312</v>
      </c>
      <c r="L86" s="143" t="s">
        <v>1210</v>
      </c>
      <c r="M86" s="144">
        <v>1.32</v>
      </c>
      <c r="N86" s="143" t="s">
        <v>1233</v>
      </c>
      <c r="O86" s="146">
        <v>7.5209999999999999E-3</v>
      </c>
      <c r="P86" s="146">
        <v>1.5337999999999999E-2</v>
      </c>
      <c r="Q86" s="145" t="s">
        <v>3853</v>
      </c>
      <c r="R86" s="144">
        <v>832088</v>
      </c>
      <c r="S86" s="145" t="s">
        <v>3853</v>
      </c>
      <c r="T86" s="143" t="s">
        <v>1234</v>
      </c>
      <c r="U86" s="144">
        <v>944.33669999999995</v>
      </c>
      <c r="V86" s="145" t="s">
        <v>3853</v>
      </c>
      <c r="W86" s="145" t="s">
        <v>3853</v>
      </c>
      <c r="X86" s="146">
        <v>3.8340249490038298E-5</v>
      </c>
      <c r="Y86" s="146">
        <v>0.22427800503473005</v>
      </c>
      <c r="Z86" s="147">
        <v>0.12153636772852637</v>
      </c>
      <c r="AA86" s="183"/>
    </row>
    <row r="87" spans="1:27" ht="15" x14ac:dyDescent="0.2">
      <c r="A87" s="142" t="s">
        <v>1218</v>
      </c>
      <c r="B87" s="143" t="s">
        <v>1220</v>
      </c>
      <c r="C87" s="143" t="s">
        <v>1229</v>
      </c>
      <c r="D87" s="143" t="s">
        <v>1235</v>
      </c>
      <c r="E87" s="143" t="s">
        <v>1236</v>
      </c>
      <c r="F87" s="143" t="s">
        <v>943</v>
      </c>
      <c r="G87" s="143" t="s">
        <v>204</v>
      </c>
      <c r="H87" s="143" t="s">
        <v>204</v>
      </c>
      <c r="I87" s="143" t="s">
        <v>340</v>
      </c>
      <c r="J87" s="143" t="s">
        <v>1232</v>
      </c>
      <c r="K87" s="143" t="s">
        <v>312</v>
      </c>
      <c r="L87" s="143" t="s">
        <v>1210</v>
      </c>
      <c r="M87" s="144">
        <v>7.39</v>
      </c>
      <c r="N87" s="143" t="s">
        <v>1237</v>
      </c>
      <c r="O87" s="146">
        <v>1E-3</v>
      </c>
      <c r="P87" s="146">
        <v>2.1850000000000001E-2</v>
      </c>
      <c r="Q87" s="145" t="s">
        <v>3853</v>
      </c>
      <c r="R87" s="144">
        <v>420588</v>
      </c>
      <c r="S87" s="145" t="s">
        <v>3853</v>
      </c>
      <c r="T87" s="143" t="s">
        <v>1238</v>
      </c>
      <c r="U87" s="144">
        <v>410.70420000000001</v>
      </c>
      <c r="V87" s="145" t="s">
        <v>3853</v>
      </c>
      <c r="W87" s="145" t="s">
        <v>3853</v>
      </c>
      <c r="X87" s="146">
        <v>1.3698115279670668E-5</v>
      </c>
      <c r="Y87" s="146">
        <v>9.7541393242021421E-2</v>
      </c>
      <c r="Z87" s="147">
        <v>5.2857731795765528E-2</v>
      </c>
      <c r="AA87" s="183"/>
    </row>
    <row r="88" spans="1:27" ht="15" x14ac:dyDescent="0.2">
      <c r="A88" s="142" t="s">
        <v>1218</v>
      </c>
      <c r="B88" s="143" t="s">
        <v>1220</v>
      </c>
      <c r="C88" s="143" t="s">
        <v>1229</v>
      </c>
      <c r="D88" s="143" t="s">
        <v>1243</v>
      </c>
      <c r="E88" s="143" t="s">
        <v>1244</v>
      </c>
      <c r="F88" s="143" t="s">
        <v>943</v>
      </c>
      <c r="G88" s="143" t="s">
        <v>204</v>
      </c>
      <c r="H88" s="143" t="s">
        <v>204</v>
      </c>
      <c r="I88" s="143" t="s">
        <v>340</v>
      </c>
      <c r="J88" s="143" t="s">
        <v>1232</v>
      </c>
      <c r="K88" s="143" t="s">
        <v>312</v>
      </c>
      <c r="L88" s="143" t="s">
        <v>1210</v>
      </c>
      <c r="M88" s="144">
        <v>9.8800000000000008</v>
      </c>
      <c r="N88" s="143" t="s">
        <v>1245</v>
      </c>
      <c r="O88" s="146">
        <v>4.011E-2</v>
      </c>
      <c r="P88" s="146">
        <v>2.3077E-2</v>
      </c>
      <c r="Q88" s="145" t="s">
        <v>3853</v>
      </c>
      <c r="R88" s="144">
        <v>197066</v>
      </c>
      <c r="S88" s="145" t="s">
        <v>3853</v>
      </c>
      <c r="T88" s="143" t="s">
        <v>1246</v>
      </c>
      <c r="U88" s="144">
        <v>313.49259999999998</v>
      </c>
      <c r="V88" s="145" t="s">
        <v>3853</v>
      </c>
      <c r="W88" s="145" t="s">
        <v>3853</v>
      </c>
      <c r="X88" s="146">
        <v>1.2368958837903096E-5</v>
      </c>
      <c r="Y88" s="146">
        <v>7.4453841993665629E-2</v>
      </c>
      <c r="Z88" s="147">
        <v>4.0346575750673838E-2</v>
      </c>
      <c r="AA88" s="183"/>
    </row>
    <row r="89" spans="1:27" ht="15" x14ac:dyDescent="0.2">
      <c r="A89" s="142" t="s">
        <v>1218</v>
      </c>
      <c r="B89" s="143" t="s">
        <v>1220</v>
      </c>
      <c r="C89" s="143" t="s">
        <v>1229</v>
      </c>
      <c r="D89" s="143" t="s">
        <v>1251</v>
      </c>
      <c r="E89" s="143" t="s">
        <v>1252</v>
      </c>
      <c r="F89" s="143" t="s">
        <v>943</v>
      </c>
      <c r="G89" s="143" t="s">
        <v>204</v>
      </c>
      <c r="H89" s="143" t="s">
        <v>204</v>
      </c>
      <c r="I89" s="143" t="s">
        <v>340</v>
      </c>
      <c r="J89" s="143" t="s">
        <v>1232</v>
      </c>
      <c r="K89" s="143" t="s">
        <v>312</v>
      </c>
      <c r="L89" s="143" t="s">
        <v>1210</v>
      </c>
      <c r="M89" s="144">
        <v>4.22</v>
      </c>
      <c r="N89" s="143" t="s">
        <v>1253</v>
      </c>
      <c r="O89" s="146">
        <v>1.0999999999999999E-2</v>
      </c>
      <c r="P89" s="146">
        <v>1.9415999999999999E-2</v>
      </c>
      <c r="Q89" s="145" t="s">
        <v>3853</v>
      </c>
      <c r="R89" s="144">
        <v>35418</v>
      </c>
      <c r="S89" s="145" t="s">
        <v>3853</v>
      </c>
      <c r="T89" s="143" t="s">
        <v>1254</v>
      </c>
      <c r="U89" s="144">
        <v>35.410899999999998</v>
      </c>
      <c r="V89" s="145" t="s">
        <v>3853</v>
      </c>
      <c r="W89" s="145" t="s">
        <v>3853</v>
      </c>
      <c r="X89" s="146">
        <v>2.2524632381629775E-6</v>
      </c>
      <c r="Y89" s="146">
        <v>8.4100193594638037E-3</v>
      </c>
      <c r="Z89" s="147">
        <v>4.557393870689817E-3</v>
      </c>
      <c r="AA89" s="183"/>
    </row>
    <row r="90" spans="1:27" ht="15" x14ac:dyDescent="0.2">
      <c r="A90" s="142" t="s">
        <v>1218</v>
      </c>
      <c r="B90" s="143" t="s">
        <v>1220</v>
      </c>
      <c r="C90" s="143" t="s">
        <v>1229</v>
      </c>
      <c r="D90" s="143" t="s">
        <v>1239</v>
      </c>
      <c r="E90" s="143" t="s">
        <v>1240</v>
      </c>
      <c r="F90" s="143" t="s">
        <v>943</v>
      </c>
      <c r="G90" s="143" t="s">
        <v>204</v>
      </c>
      <c r="H90" s="143" t="s">
        <v>204</v>
      </c>
      <c r="I90" s="143" t="s">
        <v>340</v>
      </c>
      <c r="J90" s="143" t="s">
        <v>1232</v>
      </c>
      <c r="K90" s="143" t="s">
        <v>312</v>
      </c>
      <c r="L90" s="143" t="s">
        <v>1210</v>
      </c>
      <c r="M90" s="144">
        <v>2.89</v>
      </c>
      <c r="N90" s="143" t="s">
        <v>1241</v>
      </c>
      <c r="O90" s="146">
        <v>7.4999999999999997E-3</v>
      </c>
      <c r="P90" s="146">
        <v>1.7389999999999999E-2</v>
      </c>
      <c r="Q90" s="145" t="s">
        <v>3853</v>
      </c>
      <c r="R90" s="144">
        <v>27960</v>
      </c>
      <c r="S90" s="145" t="s">
        <v>3853</v>
      </c>
      <c r="T90" s="143" t="s">
        <v>1242</v>
      </c>
      <c r="U90" s="144">
        <v>31.220099999999999</v>
      </c>
      <c r="V90" s="145" t="s">
        <v>3853</v>
      </c>
      <c r="W90" s="145" t="s">
        <v>3853</v>
      </c>
      <c r="X90" s="146">
        <v>1.2543379405813397E-6</v>
      </c>
      <c r="Y90" s="146">
        <v>7.4147176875968349E-3</v>
      </c>
      <c r="Z90" s="147">
        <v>4.0180393763687653E-3</v>
      </c>
      <c r="AA90" s="183"/>
    </row>
    <row r="91" spans="1:27" ht="15" x14ac:dyDescent="0.2">
      <c r="A91" s="142" t="s">
        <v>1218</v>
      </c>
      <c r="B91" s="143" t="s">
        <v>1220</v>
      </c>
      <c r="C91" s="143" t="s">
        <v>1229</v>
      </c>
      <c r="D91" s="143" t="s">
        <v>1255</v>
      </c>
      <c r="E91" s="143" t="s">
        <v>1256</v>
      </c>
      <c r="F91" s="143" t="s">
        <v>945</v>
      </c>
      <c r="G91" s="143" t="s">
        <v>204</v>
      </c>
      <c r="H91" s="143" t="s">
        <v>204</v>
      </c>
      <c r="I91" s="143" t="s">
        <v>340</v>
      </c>
      <c r="J91" s="143" t="s">
        <v>1232</v>
      </c>
      <c r="K91" s="143" t="s">
        <v>312</v>
      </c>
      <c r="L91" s="143" t="s">
        <v>1210</v>
      </c>
      <c r="M91" s="144">
        <v>11.5</v>
      </c>
      <c r="N91" s="143" t="s">
        <v>1257</v>
      </c>
      <c r="O91" s="146">
        <v>1.5041000000000001E-2</v>
      </c>
      <c r="P91" s="146">
        <v>5.2136000000000002E-2</v>
      </c>
      <c r="Q91" s="145" t="s">
        <v>3853</v>
      </c>
      <c r="R91" s="144">
        <v>675516</v>
      </c>
      <c r="S91" s="145" t="s">
        <v>3853</v>
      </c>
      <c r="T91" s="143" t="s">
        <v>1258</v>
      </c>
      <c r="U91" s="144">
        <v>444.69220000000001</v>
      </c>
      <c r="V91" s="145" t="s">
        <v>3853</v>
      </c>
      <c r="W91" s="145" t="s">
        <v>3853</v>
      </c>
      <c r="X91" s="146">
        <v>2.1058179144404783E-5</v>
      </c>
      <c r="Y91" s="146">
        <v>0.10561347309131533</v>
      </c>
      <c r="Z91" s="147">
        <v>5.7231996069901078E-2</v>
      </c>
      <c r="AA91" s="183"/>
    </row>
    <row r="92" spans="1:27" ht="15" x14ac:dyDescent="0.2">
      <c r="A92" s="142" t="s">
        <v>1218</v>
      </c>
      <c r="B92" s="143" t="s">
        <v>1220</v>
      </c>
      <c r="C92" s="143" t="s">
        <v>1229</v>
      </c>
      <c r="D92" s="143" t="s">
        <v>1284</v>
      </c>
      <c r="E92" s="143" t="s">
        <v>1285</v>
      </c>
      <c r="F92" s="143" t="s">
        <v>945</v>
      </c>
      <c r="G92" s="143" t="s">
        <v>204</v>
      </c>
      <c r="H92" s="143" t="s">
        <v>204</v>
      </c>
      <c r="I92" s="143" t="s">
        <v>340</v>
      </c>
      <c r="J92" s="143" t="s">
        <v>1232</v>
      </c>
      <c r="K92" s="143" t="s">
        <v>312</v>
      </c>
      <c r="L92" s="143" t="s">
        <v>1210</v>
      </c>
      <c r="M92" s="144">
        <v>14.48</v>
      </c>
      <c r="N92" s="143" t="s">
        <v>1286</v>
      </c>
      <c r="O92" s="146">
        <v>3.7602999999999998E-2</v>
      </c>
      <c r="P92" s="146">
        <v>5.4753999999999997E-2</v>
      </c>
      <c r="Q92" s="145" t="s">
        <v>3853</v>
      </c>
      <c r="R92" s="144">
        <v>439828</v>
      </c>
      <c r="S92" s="145" t="s">
        <v>3853</v>
      </c>
      <c r="T92" s="143" t="s">
        <v>1287</v>
      </c>
      <c r="U92" s="144">
        <v>346.54050000000001</v>
      </c>
      <c r="V92" s="145" t="s">
        <v>3853</v>
      </c>
      <c r="W92" s="145" t="s">
        <v>3853</v>
      </c>
      <c r="X92" s="146">
        <v>1.6757686065889736E-5</v>
      </c>
      <c r="Y92" s="146">
        <v>8.2302647093592363E-2</v>
      </c>
      <c r="Z92" s="147">
        <v>4.4599847321849594E-2</v>
      </c>
      <c r="AA92" s="183"/>
    </row>
    <row r="93" spans="1:27" ht="15" x14ac:dyDescent="0.2">
      <c r="A93" s="142" t="s">
        <v>1218</v>
      </c>
      <c r="B93" s="143" t="s">
        <v>1220</v>
      </c>
      <c r="C93" s="143" t="s">
        <v>1229</v>
      </c>
      <c r="D93" s="143" t="s">
        <v>1331</v>
      </c>
      <c r="E93" s="143" t="s">
        <v>1332</v>
      </c>
      <c r="F93" s="143" t="s">
        <v>945</v>
      </c>
      <c r="G93" s="143" t="s">
        <v>204</v>
      </c>
      <c r="H93" s="143" t="s">
        <v>204</v>
      </c>
      <c r="I93" s="143" t="s">
        <v>340</v>
      </c>
      <c r="J93" s="143" t="s">
        <v>1232</v>
      </c>
      <c r="K93" s="143" t="s">
        <v>312</v>
      </c>
      <c r="L93" s="143" t="s">
        <v>1210</v>
      </c>
      <c r="M93" s="144">
        <v>2.68</v>
      </c>
      <c r="N93" s="143" t="s">
        <v>1333</v>
      </c>
      <c r="O93" s="146">
        <v>2.0055E-2</v>
      </c>
      <c r="P93" s="146">
        <v>4.4908999999999998E-2</v>
      </c>
      <c r="Q93" s="145" t="s">
        <v>3853</v>
      </c>
      <c r="R93" s="144">
        <v>297882</v>
      </c>
      <c r="S93" s="145" t="s">
        <v>3853</v>
      </c>
      <c r="T93" s="143" t="s">
        <v>1334</v>
      </c>
      <c r="U93" s="144">
        <v>280.60480000000001</v>
      </c>
      <c r="V93" s="145" t="s">
        <v>3853</v>
      </c>
      <c r="W93" s="145" t="s">
        <v>3853</v>
      </c>
      <c r="X93" s="146">
        <v>1.1526538480599313E-5</v>
      </c>
      <c r="Y93" s="146">
        <v>6.6643069717318038E-2</v>
      </c>
      <c r="Z93" s="147">
        <v>3.6113914186402481E-2</v>
      </c>
      <c r="AA93" s="183"/>
    </row>
    <row r="94" spans="1:27" ht="15" x14ac:dyDescent="0.2">
      <c r="A94" s="142" t="s">
        <v>1218</v>
      </c>
      <c r="B94" s="143" t="s">
        <v>1220</v>
      </c>
      <c r="C94" s="143" t="s">
        <v>1229</v>
      </c>
      <c r="D94" s="143" t="s">
        <v>1263</v>
      </c>
      <c r="E94" s="143" t="s">
        <v>1264</v>
      </c>
      <c r="F94" s="143" t="s">
        <v>945</v>
      </c>
      <c r="G94" s="143" t="s">
        <v>204</v>
      </c>
      <c r="H94" s="143" t="s">
        <v>204</v>
      </c>
      <c r="I94" s="143" t="s">
        <v>340</v>
      </c>
      <c r="J94" s="143" t="s">
        <v>1232</v>
      </c>
      <c r="K94" s="143" t="s">
        <v>312</v>
      </c>
      <c r="L94" s="143" t="s">
        <v>1210</v>
      </c>
      <c r="M94" s="144">
        <v>0.75</v>
      </c>
      <c r="N94" s="143" t="s">
        <v>1265</v>
      </c>
      <c r="O94" s="143" t="s">
        <v>1266</v>
      </c>
      <c r="P94" s="146">
        <v>4.3262000000000002E-2</v>
      </c>
      <c r="Q94" s="145" t="s">
        <v>3853</v>
      </c>
      <c r="R94" s="144">
        <v>270605</v>
      </c>
      <c r="S94" s="145" t="s">
        <v>3853</v>
      </c>
      <c r="T94" s="143" t="s">
        <v>1267</v>
      </c>
      <c r="U94" s="144">
        <v>262.13510000000002</v>
      </c>
      <c r="V94" s="145" t="s">
        <v>3853</v>
      </c>
      <c r="W94" s="145" t="s">
        <v>3853</v>
      </c>
      <c r="X94" s="146">
        <v>2.2550416666666667E-5</v>
      </c>
      <c r="Y94" s="146">
        <v>6.2256535073158217E-2</v>
      </c>
      <c r="Z94" s="147">
        <v>3.3736848778298939E-2</v>
      </c>
      <c r="AA94" s="183"/>
    </row>
    <row r="95" spans="1:27" ht="15" x14ac:dyDescent="0.2">
      <c r="A95" s="142" t="s">
        <v>1218</v>
      </c>
      <c r="B95" s="143" t="s">
        <v>1220</v>
      </c>
      <c r="C95" s="143" t="s">
        <v>1229</v>
      </c>
      <c r="D95" s="143" t="s">
        <v>1272</v>
      </c>
      <c r="E95" s="143" t="s">
        <v>1273</v>
      </c>
      <c r="F95" s="143" t="s">
        <v>945</v>
      </c>
      <c r="G95" s="143" t="s">
        <v>204</v>
      </c>
      <c r="H95" s="143" t="s">
        <v>204</v>
      </c>
      <c r="I95" s="143" t="s">
        <v>340</v>
      </c>
      <c r="J95" s="143" t="s">
        <v>1232</v>
      </c>
      <c r="K95" s="143" t="s">
        <v>312</v>
      </c>
      <c r="L95" s="143" t="s">
        <v>1210</v>
      </c>
      <c r="M95" s="144">
        <v>11.51</v>
      </c>
      <c r="N95" s="143" t="s">
        <v>1274</v>
      </c>
      <c r="O95" s="146">
        <v>5.5E-2</v>
      </c>
      <c r="P95" s="146">
        <v>5.3379000000000003E-2</v>
      </c>
      <c r="Q95" s="145" t="s">
        <v>3853</v>
      </c>
      <c r="R95" s="144">
        <v>194489</v>
      </c>
      <c r="S95" s="145" t="s">
        <v>3853</v>
      </c>
      <c r="T95" s="143" t="s">
        <v>1275</v>
      </c>
      <c r="U95" s="144">
        <v>202.4436</v>
      </c>
      <c r="V95" s="145" t="s">
        <v>3853</v>
      </c>
      <c r="W95" s="145" t="s">
        <v>3853</v>
      </c>
      <c r="X95" s="146">
        <v>1.0072952447469936E-5</v>
      </c>
      <c r="Y95" s="146">
        <v>4.8079936051599853E-2</v>
      </c>
      <c r="Z95" s="147">
        <v>2.6054542385582555E-2</v>
      </c>
      <c r="AA95" s="183"/>
    </row>
    <row r="96" spans="1:27" ht="15" x14ac:dyDescent="0.2">
      <c r="A96" s="142" t="s">
        <v>1218</v>
      </c>
      <c r="B96" s="143" t="s">
        <v>1220</v>
      </c>
      <c r="C96" s="143" t="s">
        <v>1229</v>
      </c>
      <c r="D96" s="143" t="s">
        <v>1268</v>
      </c>
      <c r="E96" s="143" t="s">
        <v>1269</v>
      </c>
      <c r="F96" s="143" t="s">
        <v>945</v>
      </c>
      <c r="G96" s="143" t="s">
        <v>204</v>
      </c>
      <c r="H96" s="143" t="s">
        <v>204</v>
      </c>
      <c r="I96" s="143" t="s">
        <v>340</v>
      </c>
      <c r="J96" s="143" t="s">
        <v>1232</v>
      </c>
      <c r="K96" s="143" t="s">
        <v>312</v>
      </c>
      <c r="L96" s="143" t="s">
        <v>1210</v>
      </c>
      <c r="M96" s="144">
        <v>0.67</v>
      </c>
      <c r="N96" s="143" t="s">
        <v>1270</v>
      </c>
      <c r="O96" s="143" t="s">
        <v>1266</v>
      </c>
      <c r="P96" s="146">
        <v>4.3515999999999999E-2</v>
      </c>
      <c r="Q96" s="145" t="s">
        <v>3853</v>
      </c>
      <c r="R96" s="144">
        <v>177224.56</v>
      </c>
      <c r="S96" s="145" t="s">
        <v>3853</v>
      </c>
      <c r="T96" s="143" t="s">
        <v>1271</v>
      </c>
      <c r="U96" s="144">
        <v>172.20910000000001</v>
      </c>
      <c r="V96" s="145" t="s">
        <v>3853</v>
      </c>
      <c r="W96" s="145" t="s">
        <v>3853</v>
      </c>
      <c r="X96" s="146">
        <v>1.4768713333333333E-5</v>
      </c>
      <c r="Y96" s="146">
        <v>4.0899306026495663E-2</v>
      </c>
      <c r="Z96" s="147">
        <v>2.2163355235427461E-2</v>
      </c>
      <c r="AA96" s="183"/>
    </row>
    <row r="97" spans="1:27" ht="15" x14ac:dyDescent="0.2">
      <c r="A97" s="142" t="s">
        <v>1218</v>
      </c>
      <c r="B97" s="143" t="s">
        <v>1220</v>
      </c>
      <c r="C97" s="143" t="s">
        <v>1229</v>
      </c>
      <c r="D97" s="143" t="s">
        <v>1335</v>
      </c>
      <c r="E97" s="143" t="s">
        <v>1336</v>
      </c>
      <c r="F97" s="143" t="s">
        <v>945</v>
      </c>
      <c r="G97" s="143" t="s">
        <v>204</v>
      </c>
      <c r="H97" s="143" t="s">
        <v>204</v>
      </c>
      <c r="I97" s="143" t="s">
        <v>340</v>
      </c>
      <c r="J97" s="143" t="s">
        <v>1232</v>
      </c>
      <c r="K97" s="143" t="s">
        <v>312</v>
      </c>
      <c r="L97" s="143" t="s">
        <v>1210</v>
      </c>
      <c r="M97" s="144">
        <v>0.1</v>
      </c>
      <c r="N97" s="143" t="s">
        <v>1337</v>
      </c>
      <c r="O97" s="143" t="s">
        <v>1266</v>
      </c>
      <c r="P97" s="146">
        <v>4.3596000000000003E-2</v>
      </c>
      <c r="Q97" s="145" t="s">
        <v>3853</v>
      </c>
      <c r="R97" s="144">
        <v>170249</v>
      </c>
      <c r="S97" s="145" t="s">
        <v>3853</v>
      </c>
      <c r="T97" s="143" t="s">
        <v>1338</v>
      </c>
      <c r="U97" s="144">
        <v>169.53399999999999</v>
      </c>
      <c r="V97" s="145" t="s">
        <v>3853</v>
      </c>
      <c r="W97" s="145" t="s">
        <v>3853</v>
      </c>
      <c r="X97" s="146">
        <v>3.8692954545454547E-6</v>
      </c>
      <c r="Y97" s="146">
        <v>4.026396325931994E-2</v>
      </c>
      <c r="Z97" s="147">
        <v>2.1819062659019131E-2</v>
      </c>
      <c r="AA97" s="183"/>
    </row>
    <row r="98" spans="1:27" ht="15" x14ac:dyDescent="0.2">
      <c r="A98" s="142" t="s">
        <v>1218</v>
      </c>
      <c r="B98" s="143" t="s">
        <v>1220</v>
      </c>
      <c r="C98" s="143" t="s">
        <v>1229</v>
      </c>
      <c r="D98" s="143" t="s">
        <v>1276</v>
      </c>
      <c r="E98" s="143" t="s">
        <v>1277</v>
      </c>
      <c r="F98" s="143" t="s">
        <v>945</v>
      </c>
      <c r="G98" s="143" t="s">
        <v>204</v>
      </c>
      <c r="H98" s="143" t="s">
        <v>204</v>
      </c>
      <c r="I98" s="143" t="s">
        <v>340</v>
      </c>
      <c r="J98" s="143" t="s">
        <v>1232</v>
      </c>
      <c r="K98" s="143" t="s">
        <v>312</v>
      </c>
      <c r="L98" s="143" t="s">
        <v>1210</v>
      </c>
      <c r="M98" s="144">
        <v>0.6</v>
      </c>
      <c r="N98" s="143" t="s">
        <v>1278</v>
      </c>
      <c r="O98" s="143" t="s">
        <v>1266</v>
      </c>
      <c r="P98" s="146">
        <v>4.3658000000000002E-2</v>
      </c>
      <c r="Q98" s="145" t="s">
        <v>3853</v>
      </c>
      <c r="R98" s="144">
        <v>155056</v>
      </c>
      <c r="S98" s="145" t="s">
        <v>3853</v>
      </c>
      <c r="T98" s="143" t="s">
        <v>1279</v>
      </c>
      <c r="U98" s="144">
        <v>151.14860000000002</v>
      </c>
      <c r="V98" s="145" t="s">
        <v>3853</v>
      </c>
      <c r="W98" s="145" t="s">
        <v>3853</v>
      </c>
      <c r="X98" s="146">
        <v>1.2921333333333333E-5</v>
      </c>
      <c r="Y98" s="146">
        <v>3.5897477026706766E-2</v>
      </c>
      <c r="Z98" s="147">
        <v>1.9452861495573594E-2</v>
      </c>
      <c r="AA98" s="183"/>
    </row>
    <row r="99" spans="1:27" ht="15" x14ac:dyDescent="0.2">
      <c r="A99" s="142" t="s">
        <v>1218</v>
      </c>
      <c r="B99" s="143" t="s">
        <v>1220</v>
      </c>
      <c r="C99" s="143" t="s">
        <v>1229</v>
      </c>
      <c r="D99" s="143" t="s">
        <v>1339</v>
      </c>
      <c r="E99" s="143" t="s">
        <v>1340</v>
      </c>
      <c r="F99" s="143" t="s">
        <v>945</v>
      </c>
      <c r="G99" s="143" t="s">
        <v>204</v>
      </c>
      <c r="H99" s="143" t="s">
        <v>204</v>
      </c>
      <c r="I99" s="143" t="s">
        <v>340</v>
      </c>
      <c r="J99" s="143" t="s">
        <v>1232</v>
      </c>
      <c r="K99" s="143" t="s">
        <v>312</v>
      </c>
      <c r="L99" s="143" t="s">
        <v>1210</v>
      </c>
      <c r="M99" s="144">
        <v>0.01</v>
      </c>
      <c r="N99" s="143" t="s">
        <v>1341</v>
      </c>
      <c r="O99" s="143" t="s">
        <v>1266</v>
      </c>
      <c r="P99" s="146">
        <v>0.114994</v>
      </c>
      <c r="Q99" s="145" t="s">
        <v>3853</v>
      </c>
      <c r="R99" s="144">
        <v>139989</v>
      </c>
      <c r="S99" s="145" t="s">
        <v>3853</v>
      </c>
      <c r="T99" s="143" t="s">
        <v>1342</v>
      </c>
      <c r="U99" s="144">
        <v>139.947</v>
      </c>
      <c r="V99" s="145" t="s">
        <v>3853</v>
      </c>
      <c r="W99" s="145" t="s">
        <v>3853</v>
      </c>
      <c r="X99" s="146">
        <v>3.181568181818182E-6</v>
      </c>
      <c r="Y99" s="146">
        <v>3.3237123652974564E-2</v>
      </c>
      <c r="Z99" s="147">
        <v>1.8011214616880902E-2</v>
      </c>
      <c r="AA99" s="183"/>
    </row>
    <row r="100" spans="1:27" ht="15" x14ac:dyDescent="0.2">
      <c r="A100" s="142" t="s">
        <v>1218</v>
      </c>
      <c r="B100" s="143" t="s">
        <v>1220</v>
      </c>
      <c r="C100" s="143" t="s">
        <v>1229</v>
      </c>
      <c r="D100" s="143" t="s">
        <v>1259</v>
      </c>
      <c r="E100" s="143" t="s">
        <v>1260</v>
      </c>
      <c r="F100" s="143" t="s">
        <v>945</v>
      </c>
      <c r="G100" s="143" t="s">
        <v>204</v>
      </c>
      <c r="H100" s="143" t="s">
        <v>204</v>
      </c>
      <c r="I100" s="143" t="s">
        <v>340</v>
      </c>
      <c r="J100" s="143" t="s">
        <v>1232</v>
      </c>
      <c r="K100" s="143" t="s">
        <v>312</v>
      </c>
      <c r="L100" s="143" t="s">
        <v>1210</v>
      </c>
      <c r="M100" s="144">
        <v>7.42</v>
      </c>
      <c r="N100" s="143" t="s">
        <v>1261</v>
      </c>
      <c r="O100" s="146">
        <v>1.2999999999999999E-2</v>
      </c>
      <c r="P100" s="146">
        <v>4.9000000000000002E-2</v>
      </c>
      <c r="Q100" s="145" t="s">
        <v>3853</v>
      </c>
      <c r="R100" s="144">
        <v>95675</v>
      </c>
      <c r="S100" s="145" t="s">
        <v>3853</v>
      </c>
      <c r="T100" s="143" t="s">
        <v>1262</v>
      </c>
      <c r="U100" s="144">
        <v>73.918499999999995</v>
      </c>
      <c r="V100" s="145" t="s">
        <v>3853</v>
      </c>
      <c r="W100" s="145" t="s">
        <v>3853</v>
      </c>
      <c r="X100" s="146">
        <v>3.1888591543488822E-6</v>
      </c>
      <c r="Y100" s="146">
        <v>1.7555491957633212E-2</v>
      </c>
      <c r="Z100" s="147">
        <v>9.5133302344458555E-3</v>
      </c>
      <c r="AA100" s="183"/>
    </row>
    <row r="101" spans="1:27" ht="15" x14ac:dyDescent="0.2">
      <c r="A101" s="142" t="s">
        <v>1218</v>
      </c>
      <c r="B101" s="143" t="s">
        <v>1220</v>
      </c>
      <c r="C101" s="143" t="s">
        <v>1229</v>
      </c>
      <c r="D101" s="143" t="s">
        <v>1288</v>
      </c>
      <c r="E101" s="143" t="s">
        <v>1289</v>
      </c>
      <c r="F101" s="143" t="s">
        <v>945</v>
      </c>
      <c r="G101" s="143" t="s">
        <v>204</v>
      </c>
      <c r="H101" s="143" t="s">
        <v>204</v>
      </c>
      <c r="I101" s="143" t="s">
        <v>340</v>
      </c>
      <c r="J101" s="143" t="s">
        <v>1232</v>
      </c>
      <c r="K101" s="143" t="s">
        <v>312</v>
      </c>
      <c r="L101" s="143" t="s">
        <v>1210</v>
      </c>
      <c r="M101" s="144">
        <v>0.85</v>
      </c>
      <c r="N101" s="143" t="s">
        <v>1290</v>
      </c>
      <c r="O101" s="143" t="s">
        <v>1266</v>
      </c>
      <c r="P101" s="146">
        <v>4.3234000000000002E-2</v>
      </c>
      <c r="Q101" s="145" t="s">
        <v>3853</v>
      </c>
      <c r="R101" s="144">
        <v>65688</v>
      </c>
      <c r="S101" s="145" t="s">
        <v>3853</v>
      </c>
      <c r="T101" s="143" t="s">
        <v>1291</v>
      </c>
      <c r="U101" s="144">
        <v>63.375800000000005</v>
      </c>
      <c r="V101" s="145" t="s">
        <v>3853</v>
      </c>
      <c r="W101" s="145" t="s">
        <v>3853</v>
      </c>
      <c r="X101" s="146">
        <v>4.6920000000000001E-6</v>
      </c>
      <c r="Y101" s="146">
        <v>1.5051617159085028E-2</v>
      </c>
      <c r="Z101" s="147">
        <v>8.1564791771367873E-3</v>
      </c>
      <c r="AA101" s="183"/>
    </row>
    <row r="102" spans="1:27" ht="15" x14ac:dyDescent="0.2">
      <c r="A102" s="142" t="s">
        <v>1218</v>
      </c>
      <c r="B102" s="143" t="s">
        <v>1220</v>
      </c>
      <c r="C102" s="143" t="s">
        <v>1292</v>
      </c>
      <c r="D102" s="143" t="s">
        <v>1297</v>
      </c>
      <c r="E102" s="143" t="s">
        <v>1298</v>
      </c>
      <c r="F102" s="143" t="s">
        <v>945</v>
      </c>
      <c r="G102" s="143" t="s">
        <v>204</v>
      </c>
      <c r="H102" s="143" t="s">
        <v>204</v>
      </c>
      <c r="I102" s="143" t="s">
        <v>340</v>
      </c>
      <c r="J102" s="143" t="s">
        <v>1222</v>
      </c>
      <c r="K102" s="143" t="s">
        <v>413</v>
      </c>
      <c r="L102" s="143" t="s">
        <v>1210</v>
      </c>
      <c r="M102" s="144">
        <v>4.3099999999999996</v>
      </c>
      <c r="N102" s="143" t="s">
        <v>1299</v>
      </c>
      <c r="O102" s="146">
        <v>3.7284200000000003E-2</v>
      </c>
      <c r="P102" s="146">
        <v>4.6670999999999997E-2</v>
      </c>
      <c r="Q102" s="145" t="s">
        <v>3853</v>
      </c>
      <c r="R102" s="144">
        <v>46911</v>
      </c>
      <c r="S102" s="145" t="s">
        <v>3853</v>
      </c>
      <c r="T102" s="143" t="s">
        <v>1300</v>
      </c>
      <c r="U102" s="144">
        <v>45.733499999999999</v>
      </c>
      <c r="V102" s="145" t="s">
        <v>3853</v>
      </c>
      <c r="W102" s="145" t="s">
        <v>3853</v>
      </c>
      <c r="X102" s="146">
        <v>1.7774276127628935E-6</v>
      </c>
      <c r="Y102" s="146">
        <v>1.0861619652285931E-2</v>
      </c>
      <c r="Z102" s="147">
        <v>5.8859173461222524E-3</v>
      </c>
      <c r="AA102" s="183"/>
    </row>
    <row r="103" spans="1:27" ht="15" x14ac:dyDescent="0.2">
      <c r="A103" s="142" t="s">
        <v>1218</v>
      </c>
      <c r="B103" s="143" t="s">
        <v>1220</v>
      </c>
      <c r="C103" s="143" t="s">
        <v>1292</v>
      </c>
      <c r="D103" s="143" t="s">
        <v>1293</v>
      </c>
      <c r="E103" s="143" t="s">
        <v>1294</v>
      </c>
      <c r="F103" s="143" t="s">
        <v>945</v>
      </c>
      <c r="G103" s="143" t="s">
        <v>204</v>
      </c>
      <c r="H103" s="143" t="s">
        <v>204</v>
      </c>
      <c r="I103" s="143" t="s">
        <v>340</v>
      </c>
      <c r="J103" s="143" t="s">
        <v>1232</v>
      </c>
      <c r="K103" s="143" t="s">
        <v>312</v>
      </c>
      <c r="L103" s="143" t="s">
        <v>1210</v>
      </c>
      <c r="M103" s="144">
        <v>5.58</v>
      </c>
      <c r="N103" s="143" t="s">
        <v>1295</v>
      </c>
      <c r="O103" s="146">
        <v>1.0026999999999999E-2</v>
      </c>
      <c r="P103" s="146">
        <v>4.7578000000000002E-2</v>
      </c>
      <c r="Q103" s="145" t="s">
        <v>3853</v>
      </c>
      <c r="R103" s="144">
        <v>18921</v>
      </c>
      <c r="S103" s="145" t="s">
        <v>3853</v>
      </c>
      <c r="T103" s="143" t="s">
        <v>1296</v>
      </c>
      <c r="U103" s="144">
        <v>15.4641</v>
      </c>
      <c r="V103" s="145" t="s">
        <v>3853</v>
      </c>
      <c r="W103" s="145" t="s">
        <v>3853</v>
      </c>
      <c r="X103" s="146">
        <v>5.0114617899840373E-7</v>
      </c>
      <c r="Y103" s="146">
        <v>3.6726996545711783E-3</v>
      </c>
      <c r="Z103" s="147">
        <v>1.9902378554922202E-3</v>
      </c>
      <c r="AA103" s="183"/>
    </row>
    <row r="104" spans="1:27" ht="15" x14ac:dyDescent="0.2">
      <c r="A104" s="142" t="s">
        <v>1218</v>
      </c>
      <c r="B104" s="143" t="s">
        <v>1220</v>
      </c>
      <c r="C104" s="143" t="s">
        <v>1229</v>
      </c>
      <c r="D104" s="143" t="s">
        <v>1301</v>
      </c>
      <c r="E104" s="143" t="s">
        <v>1302</v>
      </c>
      <c r="F104" s="143" t="s">
        <v>945</v>
      </c>
      <c r="G104" s="143" t="s">
        <v>204</v>
      </c>
      <c r="H104" s="143" t="s">
        <v>204</v>
      </c>
      <c r="I104" s="143" t="s">
        <v>340</v>
      </c>
      <c r="J104" s="143" t="s">
        <v>1232</v>
      </c>
      <c r="K104" s="143" t="s">
        <v>314</v>
      </c>
      <c r="L104" s="143" t="s">
        <v>1210</v>
      </c>
      <c r="M104" s="144">
        <v>0.92</v>
      </c>
      <c r="N104" s="143" t="s">
        <v>1303</v>
      </c>
      <c r="O104" s="143" t="s">
        <v>1266</v>
      </c>
      <c r="P104" s="146">
        <v>4.3203999999999999E-2</v>
      </c>
      <c r="Q104" s="145" t="s">
        <v>3853</v>
      </c>
      <c r="R104" s="144">
        <v>8800</v>
      </c>
      <c r="S104" s="145" t="s">
        <v>3853</v>
      </c>
      <c r="T104" s="143" t="s">
        <v>1304</v>
      </c>
      <c r="U104" s="144">
        <v>8.4629999999999992</v>
      </c>
      <c r="V104" s="145" t="s">
        <v>3853</v>
      </c>
      <c r="W104" s="145" t="s">
        <v>3853</v>
      </c>
      <c r="X104" s="146">
        <v>7.3333333333333334E-7</v>
      </c>
      <c r="Y104" s="146">
        <v>2.0099354852722139E-3</v>
      </c>
      <c r="Z104" s="147">
        <v>1.0891850862095479E-3</v>
      </c>
      <c r="AA104" s="183"/>
    </row>
    <row r="105" spans="1:27" ht="15" x14ac:dyDescent="0.2">
      <c r="A105" s="142" t="s">
        <v>1218</v>
      </c>
      <c r="B105" s="143" t="s">
        <v>1220</v>
      </c>
      <c r="C105" s="143" t="s">
        <v>1309</v>
      </c>
      <c r="D105" s="143" t="s">
        <v>1310</v>
      </c>
      <c r="E105" s="143" t="s">
        <v>1311</v>
      </c>
      <c r="F105" s="143" t="s">
        <v>947</v>
      </c>
      <c r="G105" s="143" t="s">
        <v>205</v>
      </c>
      <c r="H105" s="143" t="s">
        <v>224</v>
      </c>
      <c r="I105" s="143" t="s">
        <v>344</v>
      </c>
      <c r="J105" s="143" t="s">
        <v>1312</v>
      </c>
      <c r="K105" s="143" t="s">
        <v>423</v>
      </c>
      <c r="L105" s="143" t="s">
        <v>1211</v>
      </c>
      <c r="M105" s="144">
        <v>7.4589999999999996</v>
      </c>
      <c r="N105" s="143" t="s">
        <v>1313</v>
      </c>
      <c r="O105" s="146">
        <v>3.875E-2</v>
      </c>
      <c r="P105" s="146">
        <v>4.41E-2</v>
      </c>
      <c r="Q105" s="145" t="s">
        <v>3853</v>
      </c>
      <c r="R105" s="144">
        <v>19500</v>
      </c>
      <c r="S105" s="143" t="s">
        <v>1212</v>
      </c>
      <c r="T105" s="143" t="s">
        <v>1314</v>
      </c>
      <c r="U105" s="144">
        <v>71.453000000000003</v>
      </c>
      <c r="V105" s="145" t="s">
        <v>3853</v>
      </c>
      <c r="W105" s="145" t="s">
        <v>3853</v>
      </c>
      <c r="X105" s="146">
        <v>5.1315789473684207E-7</v>
      </c>
      <c r="Y105" s="146">
        <v>1.6969931853600149E-2</v>
      </c>
      <c r="Z105" s="147">
        <v>9.1960149091205017E-3</v>
      </c>
      <c r="AA105" s="183"/>
    </row>
    <row r="106" spans="1:27" ht="15" x14ac:dyDescent="0.2">
      <c r="A106" s="142" t="s">
        <v>1218</v>
      </c>
      <c r="B106" s="143" t="s">
        <v>1220</v>
      </c>
      <c r="C106" s="143" t="s">
        <v>1309</v>
      </c>
      <c r="D106" s="143" t="s">
        <v>1315</v>
      </c>
      <c r="E106" s="143" t="s">
        <v>1316</v>
      </c>
      <c r="F106" s="143" t="s">
        <v>947</v>
      </c>
      <c r="G106" s="143" t="s">
        <v>205</v>
      </c>
      <c r="H106" s="143" t="s">
        <v>224</v>
      </c>
      <c r="I106" s="143" t="s">
        <v>344</v>
      </c>
      <c r="J106" s="143" t="s">
        <v>1312</v>
      </c>
      <c r="K106" s="143" t="s">
        <v>423</v>
      </c>
      <c r="L106" s="143" t="s">
        <v>1211</v>
      </c>
      <c r="M106" s="144">
        <v>7.7590000000000003</v>
      </c>
      <c r="N106" s="143" t="s">
        <v>1317</v>
      </c>
      <c r="O106" s="146">
        <v>0.04</v>
      </c>
      <c r="P106" s="146">
        <v>4.3999999999999997E-2</v>
      </c>
      <c r="Q106" s="145" t="s">
        <v>3853</v>
      </c>
      <c r="R106" s="144">
        <v>7500</v>
      </c>
      <c r="S106" s="143" t="s">
        <v>1212</v>
      </c>
      <c r="T106" s="143" t="s">
        <v>1318</v>
      </c>
      <c r="U106" s="144">
        <v>27.735799999999998</v>
      </c>
      <c r="V106" s="145" t="s">
        <v>3853</v>
      </c>
      <c r="W106" s="145" t="s">
        <v>3853</v>
      </c>
      <c r="X106" s="146">
        <v>1.7857142857142858E-7</v>
      </c>
      <c r="Y106" s="146">
        <v>6.5871959275938209E-3</v>
      </c>
      <c r="Z106" s="147">
        <v>3.5696049036637425E-3</v>
      </c>
      <c r="AA106" s="183"/>
    </row>
    <row r="107" spans="1:27" ht="15" x14ac:dyDescent="0.2">
      <c r="A107" s="142" t="s">
        <v>1218</v>
      </c>
      <c r="B107" s="143" t="s">
        <v>1218</v>
      </c>
      <c r="C107" s="143" t="s">
        <v>1229</v>
      </c>
      <c r="D107" s="143" t="s">
        <v>1230</v>
      </c>
      <c r="E107" s="143" t="s">
        <v>1231</v>
      </c>
      <c r="F107" s="143" t="s">
        <v>943</v>
      </c>
      <c r="G107" s="143" t="s">
        <v>204</v>
      </c>
      <c r="H107" s="143" t="s">
        <v>204</v>
      </c>
      <c r="I107" s="143" t="s">
        <v>340</v>
      </c>
      <c r="J107" s="143" t="s">
        <v>1232</v>
      </c>
      <c r="K107" s="143" t="s">
        <v>312</v>
      </c>
      <c r="L107" s="143" t="s">
        <v>1210</v>
      </c>
      <c r="M107" s="144">
        <v>1.32</v>
      </c>
      <c r="N107" s="143" t="s">
        <v>1233</v>
      </c>
      <c r="O107" s="146">
        <v>7.5209999999999999E-3</v>
      </c>
      <c r="P107" s="146">
        <v>1.5337999999999999E-2</v>
      </c>
      <c r="Q107" s="145" t="s">
        <v>3853</v>
      </c>
      <c r="R107" s="144">
        <v>83884279</v>
      </c>
      <c r="S107" s="145" t="s">
        <v>3853</v>
      </c>
      <c r="T107" s="143" t="s">
        <v>1234</v>
      </c>
      <c r="U107" s="144">
        <v>95200.268200000006</v>
      </c>
      <c r="V107" s="145" t="s">
        <v>3853</v>
      </c>
      <c r="W107" s="145" t="s">
        <v>3853</v>
      </c>
      <c r="X107" s="146">
        <v>3.8651491009989093E-3</v>
      </c>
      <c r="Y107" s="146">
        <v>0.1136022743540652</v>
      </c>
      <c r="Z107" s="147">
        <v>1.268316058796988E-2</v>
      </c>
      <c r="AA107" s="183"/>
    </row>
    <row r="108" spans="1:27" ht="15" x14ac:dyDescent="0.2">
      <c r="A108" s="142" t="s">
        <v>1218</v>
      </c>
      <c r="B108" s="143" t="s">
        <v>1218</v>
      </c>
      <c r="C108" s="143" t="s">
        <v>1229</v>
      </c>
      <c r="D108" s="143" t="s">
        <v>1235</v>
      </c>
      <c r="E108" s="143" t="s">
        <v>1236</v>
      </c>
      <c r="F108" s="143" t="s">
        <v>943</v>
      </c>
      <c r="G108" s="143" t="s">
        <v>204</v>
      </c>
      <c r="H108" s="143" t="s">
        <v>204</v>
      </c>
      <c r="I108" s="143" t="s">
        <v>340</v>
      </c>
      <c r="J108" s="143" t="s">
        <v>1232</v>
      </c>
      <c r="K108" s="143" t="s">
        <v>312</v>
      </c>
      <c r="L108" s="143" t="s">
        <v>1210</v>
      </c>
      <c r="M108" s="144">
        <v>7.39</v>
      </c>
      <c r="N108" s="143" t="s">
        <v>1237</v>
      </c>
      <c r="O108" s="146">
        <v>1E-3</v>
      </c>
      <c r="P108" s="146">
        <v>2.1850000000000001E-2</v>
      </c>
      <c r="Q108" s="145" t="s">
        <v>3853</v>
      </c>
      <c r="R108" s="144">
        <v>85648983</v>
      </c>
      <c r="S108" s="145" t="s">
        <v>3853</v>
      </c>
      <c r="T108" s="143" t="s">
        <v>1238</v>
      </c>
      <c r="U108" s="144">
        <v>83636.231899999999</v>
      </c>
      <c r="V108" s="145" t="s">
        <v>3853</v>
      </c>
      <c r="W108" s="145" t="s">
        <v>3853</v>
      </c>
      <c r="X108" s="146">
        <v>2.7894986131809592E-3</v>
      </c>
      <c r="Y108" s="146">
        <v>9.9802934782956099E-2</v>
      </c>
      <c r="Z108" s="147">
        <v>1.1142529110444879E-2</v>
      </c>
      <c r="AA108" s="183"/>
    </row>
    <row r="109" spans="1:27" ht="15" x14ac:dyDescent="0.2">
      <c r="A109" s="142" t="s">
        <v>1218</v>
      </c>
      <c r="B109" s="143" t="s">
        <v>1218</v>
      </c>
      <c r="C109" s="143" t="s">
        <v>1229</v>
      </c>
      <c r="D109" s="143" t="s">
        <v>1239</v>
      </c>
      <c r="E109" s="143" t="s">
        <v>1240</v>
      </c>
      <c r="F109" s="143" t="s">
        <v>943</v>
      </c>
      <c r="G109" s="143" t="s">
        <v>204</v>
      </c>
      <c r="H109" s="143" t="s">
        <v>204</v>
      </c>
      <c r="I109" s="143" t="s">
        <v>340</v>
      </c>
      <c r="J109" s="143" t="s">
        <v>1232</v>
      </c>
      <c r="K109" s="143" t="s">
        <v>312</v>
      </c>
      <c r="L109" s="143" t="s">
        <v>1210</v>
      </c>
      <c r="M109" s="144">
        <v>2.89</v>
      </c>
      <c r="N109" s="143" t="s">
        <v>1241</v>
      </c>
      <c r="O109" s="146">
        <v>7.4999999999999997E-3</v>
      </c>
      <c r="P109" s="146">
        <v>1.7389999999999999E-2</v>
      </c>
      <c r="Q109" s="145" t="s">
        <v>3853</v>
      </c>
      <c r="R109" s="144">
        <v>16696269</v>
      </c>
      <c r="S109" s="145" t="s">
        <v>3853</v>
      </c>
      <c r="T109" s="143" t="s">
        <v>1242</v>
      </c>
      <c r="U109" s="144">
        <v>18643.054</v>
      </c>
      <c r="V109" s="145" t="s">
        <v>3853</v>
      </c>
      <c r="W109" s="145" t="s">
        <v>3853</v>
      </c>
      <c r="X109" s="146">
        <v>7.4902588243390791E-4</v>
      </c>
      <c r="Y109" s="146">
        <v>2.2246716008197765E-2</v>
      </c>
      <c r="Z109" s="147">
        <v>2.4837413977076388E-3</v>
      </c>
      <c r="AA109" s="183"/>
    </row>
    <row r="110" spans="1:27" ht="15" x14ac:dyDescent="0.2">
      <c r="A110" s="142" t="s">
        <v>1218</v>
      </c>
      <c r="B110" s="143" t="s">
        <v>1218</v>
      </c>
      <c r="C110" s="143" t="s">
        <v>1229</v>
      </c>
      <c r="D110" s="143" t="s">
        <v>1247</v>
      </c>
      <c r="E110" s="143" t="s">
        <v>1248</v>
      </c>
      <c r="F110" s="143" t="s">
        <v>943</v>
      </c>
      <c r="G110" s="143" t="s">
        <v>204</v>
      </c>
      <c r="H110" s="143" t="s">
        <v>204</v>
      </c>
      <c r="I110" s="143" t="s">
        <v>340</v>
      </c>
      <c r="J110" s="143" t="s">
        <v>1232</v>
      </c>
      <c r="K110" s="143" t="s">
        <v>312</v>
      </c>
      <c r="L110" s="143" t="s">
        <v>1210</v>
      </c>
      <c r="M110" s="144">
        <v>4.8600000000000003</v>
      </c>
      <c r="N110" s="143" t="s">
        <v>1249</v>
      </c>
      <c r="O110" s="146">
        <v>5.0000000000000001E-3</v>
      </c>
      <c r="P110" s="146">
        <v>1.9880999999999999E-2</v>
      </c>
      <c r="Q110" s="145" t="s">
        <v>3853</v>
      </c>
      <c r="R110" s="144">
        <v>11898559</v>
      </c>
      <c r="S110" s="145" t="s">
        <v>3853</v>
      </c>
      <c r="T110" s="143" t="s">
        <v>1250</v>
      </c>
      <c r="U110" s="144">
        <v>12594.624699999998</v>
      </c>
      <c r="V110" s="145" t="s">
        <v>3853</v>
      </c>
      <c r="W110" s="145" t="s">
        <v>3853</v>
      </c>
      <c r="X110" s="146">
        <v>4.9428798715825536E-4</v>
      </c>
      <c r="Y110" s="146">
        <v>1.5029138438590117E-2</v>
      </c>
      <c r="Z110" s="147">
        <v>1.6779327473794388E-3</v>
      </c>
      <c r="AA110" s="183"/>
    </row>
    <row r="111" spans="1:27" ht="15" x14ac:dyDescent="0.2">
      <c r="A111" s="142" t="s">
        <v>1218</v>
      </c>
      <c r="B111" s="143" t="s">
        <v>1218</v>
      </c>
      <c r="C111" s="143" t="s">
        <v>1229</v>
      </c>
      <c r="D111" s="143" t="s">
        <v>1251</v>
      </c>
      <c r="E111" s="143" t="s">
        <v>1252</v>
      </c>
      <c r="F111" s="143" t="s">
        <v>943</v>
      </c>
      <c r="G111" s="143" t="s">
        <v>204</v>
      </c>
      <c r="H111" s="143" t="s">
        <v>204</v>
      </c>
      <c r="I111" s="143" t="s">
        <v>340</v>
      </c>
      <c r="J111" s="143" t="s">
        <v>1232</v>
      </c>
      <c r="K111" s="143" t="s">
        <v>312</v>
      </c>
      <c r="L111" s="143" t="s">
        <v>1210</v>
      </c>
      <c r="M111" s="144">
        <v>4.22</v>
      </c>
      <c r="N111" s="143" t="s">
        <v>1253</v>
      </c>
      <c r="O111" s="146">
        <v>1.0999999999999999E-2</v>
      </c>
      <c r="P111" s="146">
        <v>1.9415999999999999E-2</v>
      </c>
      <c r="Q111" s="145" t="s">
        <v>3853</v>
      </c>
      <c r="R111" s="144">
        <v>11526160</v>
      </c>
      <c r="S111" s="145" t="s">
        <v>3853</v>
      </c>
      <c r="T111" s="143" t="s">
        <v>1254</v>
      </c>
      <c r="U111" s="144">
        <v>11523.854800000001</v>
      </c>
      <c r="V111" s="145" t="s">
        <v>3853</v>
      </c>
      <c r="W111" s="145" t="s">
        <v>3853</v>
      </c>
      <c r="X111" s="146">
        <v>7.3302421585590897E-4</v>
      </c>
      <c r="Y111" s="146">
        <v>1.3751390990940105E-2</v>
      </c>
      <c r="Z111" s="147">
        <v>1.5352782436596913E-3</v>
      </c>
      <c r="AA111" s="183"/>
    </row>
    <row r="112" spans="1:27" ht="15" x14ac:dyDescent="0.2">
      <c r="A112" s="142" t="s">
        <v>1218</v>
      </c>
      <c r="B112" s="143" t="s">
        <v>1218</v>
      </c>
      <c r="C112" s="143" t="s">
        <v>1229</v>
      </c>
      <c r="D112" s="143" t="s">
        <v>1243</v>
      </c>
      <c r="E112" s="143" t="s">
        <v>1244</v>
      </c>
      <c r="F112" s="143" t="s">
        <v>943</v>
      </c>
      <c r="G112" s="143" t="s">
        <v>204</v>
      </c>
      <c r="H112" s="143" t="s">
        <v>204</v>
      </c>
      <c r="I112" s="143" t="s">
        <v>340</v>
      </c>
      <c r="J112" s="143" t="s">
        <v>1232</v>
      </c>
      <c r="K112" s="143" t="s">
        <v>312</v>
      </c>
      <c r="L112" s="143" t="s">
        <v>1210</v>
      </c>
      <c r="M112" s="144">
        <v>9.8800000000000008</v>
      </c>
      <c r="N112" s="143" t="s">
        <v>1245</v>
      </c>
      <c r="O112" s="146">
        <v>4.011E-2</v>
      </c>
      <c r="P112" s="146">
        <v>2.3077E-2</v>
      </c>
      <c r="Q112" s="145" t="s">
        <v>3853</v>
      </c>
      <c r="R112" s="144">
        <v>4132642</v>
      </c>
      <c r="S112" s="145" t="s">
        <v>3853</v>
      </c>
      <c r="T112" s="143" t="s">
        <v>1246</v>
      </c>
      <c r="U112" s="144">
        <v>6574.2069000000001</v>
      </c>
      <c r="V112" s="145" t="s">
        <v>3853</v>
      </c>
      <c r="W112" s="145" t="s">
        <v>3853</v>
      </c>
      <c r="X112" s="146">
        <v>2.5938761019044139E-4</v>
      </c>
      <c r="Y112" s="146">
        <v>7.8449868788928994E-3</v>
      </c>
      <c r="Z112" s="147">
        <v>8.7585595412821712E-4</v>
      </c>
      <c r="AA112" s="183"/>
    </row>
    <row r="113" spans="1:27" ht="15" x14ac:dyDescent="0.2">
      <c r="A113" s="142" t="s">
        <v>1218</v>
      </c>
      <c r="B113" s="143" t="s">
        <v>1218</v>
      </c>
      <c r="C113" s="143" t="s">
        <v>1229</v>
      </c>
      <c r="D113" s="143" t="s">
        <v>1319</v>
      </c>
      <c r="E113" s="143" t="s">
        <v>1320</v>
      </c>
      <c r="F113" s="143" t="s">
        <v>945</v>
      </c>
      <c r="G113" s="143" t="s">
        <v>204</v>
      </c>
      <c r="H113" s="143" t="s">
        <v>204</v>
      </c>
      <c r="I113" s="143" t="s">
        <v>340</v>
      </c>
      <c r="J113" s="143" t="s">
        <v>1232</v>
      </c>
      <c r="K113" s="143" t="s">
        <v>312</v>
      </c>
      <c r="L113" s="143" t="s">
        <v>1210</v>
      </c>
      <c r="M113" s="144">
        <v>0.42</v>
      </c>
      <c r="N113" s="143" t="s">
        <v>1321</v>
      </c>
      <c r="O113" s="143" t="s">
        <v>1266</v>
      </c>
      <c r="P113" s="146">
        <v>4.3450999999999997E-2</v>
      </c>
      <c r="Q113" s="145" t="s">
        <v>3853</v>
      </c>
      <c r="R113" s="144">
        <v>125101050</v>
      </c>
      <c r="S113" s="145" t="s">
        <v>3853</v>
      </c>
      <c r="T113" s="143" t="s">
        <v>1322</v>
      </c>
      <c r="U113" s="144">
        <v>122861.7412</v>
      </c>
      <c r="V113" s="145" t="s">
        <v>3853</v>
      </c>
      <c r="W113" s="145" t="s">
        <v>3853</v>
      </c>
      <c r="X113" s="146">
        <v>8.9357892857142851E-3</v>
      </c>
      <c r="Y113" s="146">
        <v>0.14661065026862299</v>
      </c>
      <c r="Z113" s="147">
        <v>1.6368390790030819E-2</v>
      </c>
      <c r="AA113" s="183"/>
    </row>
    <row r="114" spans="1:27" ht="15" x14ac:dyDescent="0.2">
      <c r="A114" s="142" t="s">
        <v>1218</v>
      </c>
      <c r="B114" s="143" t="s">
        <v>1218</v>
      </c>
      <c r="C114" s="143" t="s">
        <v>1229</v>
      </c>
      <c r="D114" s="143" t="s">
        <v>1255</v>
      </c>
      <c r="E114" s="143" t="s">
        <v>1256</v>
      </c>
      <c r="F114" s="143" t="s">
        <v>945</v>
      </c>
      <c r="G114" s="143" t="s">
        <v>204</v>
      </c>
      <c r="H114" s="143" t="s">
        <v>204</v>
      </c>
      <c r="I114" s="143" t="s">
        <v>340</v>
      </c>
      <c r="J114" s="143" t="s">
        <v>1232</v>
      </c>
      <c r="K114" s="143" t="s">
        <v>312</v>
      </c>
      <c r="L114" s="143" t="s">
        <v>1210</v>
      </c>
      <c r="M114" s="144">
        <v>11.5</v>
      </c>
      <c r="N114" s="143" t="s">
        <v>1257</v>
      </c>
      <c r="O114" s="146">
        <v>1.5041000000000001E-2</v>
      </c>
      <c r="P114" s="146">
        <v>5.2136000000000002E-2</v>
      </c>
      <c r="Q114" s="145" t="s">
        <v>3853</v>
      </c>
      <c r="R114" s="144">
        <v>135373782</v>
      </c>
      <c r="S114" s="145" t="s">
        <v>3853</v>
      </c>
      <c r="T114" s="143" t="s">
        <v>1258</v>
      </c>
      <c r="U114" s="144">
        <v>89116.560700000002</v>
      </c>
      <c r="V114" s="145" t="s">
        <v>3853</v>
      </c>
      <c r="W114" s="145" t="s">
        <v>3853</v>
      </c>
      <c r="X114" s="146">
        <v>4.2200708092948198E-3</v>
      </c>
      <c r="Y114" s="146">
        <v>0.10634259928606937</v>
      </c>
      <c r="Z114" s="147">
        <v>1.1872651949587348E-2</v>
      </c>
      <c r="AA114" s="183"/>
    </row>
    <row r="115" spans="1:27" ht="15" x14ac:dyDescent="0.2">
      <c r="A115" s="142" t="s">
        <v>1218</v>
      </c>
      <c r="B115" s="143" t="s">
        <v>1218</v>
      </c>
      <c r="C115" s="143" t="s">
        <v>1229</v>
      </c>
      <c r="D115" s="143" t="s">
        <v>1259</v>
      </c>
      <c r="E115" s="143" t="s">
        <v>1260</v>
      </c>
      <c r="F115" s="143" t="s">
        <v>945</v>
      </c>
      <c r="G115" s="143" t="s">
        <v>204</v>
      </c>
      <c r="H115" s="143" t="s">
        <v>204</v>
      </c>
      <c r="I115" s="143" t="s">
        <v>340</v>
      </c>
      <c r="J115" s="143" t="s">
        <v>1232</v>
      </c>
      <c r="K115" s="143" t="s">
        <v>312</v>
      </c>
      <c r="L115" s="143" t="s">
        <v>1210</v>
      </c>
      <c r="M115" s="144">
        <v>7.42</v>
      </c>
      <c r="N115" s="143" t="s">
        <v>1261</v>
      </c>
      <c r="O115" s="146">
        <v>1.2999999999999999E-2</v>
      </c>
      <c r="P115" s="146">
        <v>4.9000000000000002E-2</v>
      </c>
      <c r="Q115" s="145" t="s">
        <v>3853</v>
      </c>
      <c r="R115" s="144">
        <v>100930833</v>
      </c>
      <c r="S115" s="145" t="s">
        <v>3853</v>
      </c>
      <c r="T115" s="143" t="s">
        <v>1262</v>
      </c>
      <c r="U115" s="144">
        <v>77979.161599999992</v>
      </c>
      <c r="V115" s="145" t="s">
        <v>3853</v>
      </c>
      <c r="W115" s="145" t="s">
        <v>3853</v>
      </c>
      <c r="X115" s="146">
        <v>3.3640366947280719E-3</v>
      </c>
      <c r="Y115" s="146">
        <v>9.3052364990939884E-2</v>
      </c>
      <c r="Z115" s="147">
        <v>1.0388859685961422E-2</v>
      </c>
      <c r="AA115" s="183"/>
    </row>
    <row r="116" spans="1:27" ht="15" x14ac:dyDescent="0.2">
      <c r="A116" s="142" t="s">
        <v>1218</v>
      </c>
      <c r="B116" s="143" t="s">
        <v>1218</v>
      </c>
      <c r="C116" s="143" t="s">
        <v>1229</v>
      </c>
      <c r="D116" s="143" t="s">
        <v>1272</v>
      </c>
      <c r="E116" s="143" t="s">
        <v>1273</v>
      </c>
      <c r="F116" s="143" t="s">
        <v>945</v>
      </c>
      <c r="G116" s="143" t="s">
        <v>204</v>
      </c>
      <c r="H116" s="143" t="s">
        <v>204</v>
      </c>
      <c r="I116" s="143" t="s">
        <v>340</v>
      </c>
      <c r="J116" s="143" t="s">
        <v>1232</v>
      </c>
      <c r="K116" s="143" t="s">
        <v>312</v>
      </c>
      <c r="L116" s="143" t="s">
        <v>1210</v>
      </c>
      <c r="M116" s="144">
        <v>11.51</v>
      </c>
      <c r="N116" s="143" t="s">
        <v>1274</v>
      </c>
      <c r="O116" s="146">
        <v>5.5E-2</v>
      </c>
      <c r="P116" s="146">
        <v>5.3379000000000003E-2</v>
      </c>
      <c r="Q116" s="145" t="s">
        <v>3853</v>
      </c>
      <c r="R116" s="144">
        <v>62675441</v>
      </c>
      <c r="S116" s="145" t="s">
        <v>3853</v>
      </c>
      <c r="T116" s="143" t="s">
        <v>1275</v>
      </c>
      <c r="U116" s="144">
        <v>65238.866499999996</v>
      </c>
      <c r="V116" s="145" t="s">
        <v>3853</v>
      </c>
      <c r="W116" s="145" t="s">
        <v>3853</v>
      </c>
      <c r="X116" s="146">
        <v>3.2460794020083786E-3</v>
      </c>
      <c r="Y116" s="146">
        <v>7.7849398453532337E-2</v>
      </c>
      <c r="Z116" s="147">
        <v>8.6915198474428433E-3</v>
      </c>
      <c r="AA116" s="183"/>
    </row>
    <row r="117" spans="1:27" ht="15" x14ac:dyDescent="0.2">
      <c r="A117" s="142" t="s">
        <v>1218</v>
      </c>
      <c r="B117" s="143" t="s">
        <v>1218</v>
      </c>
      <c r="C117" s="143" t="s">
        <v>1292</v>
      </c>
      <c r="D117" s="143" t="s">
        <v>1297</v>
      </c>
      <c r="E117" s="143" t="s">
        <v>1298</v>
      </c>
      <c r="F117" s="143" t="s">
        <v>945</v>
      </c>
      <c r="G117" s="143" t="s">
        <v>204</v>
      </c>
      <c r="H117" s="143" t="s">
        <v>204</v>
      </c>
      <c r="I117" s="143" t="s">
        <v>340</v>
      </c>
      <c r="J117" s="143" t="s">
        <v>1222</v>
      </c>
      <c r="K117" s="143" t="s">
        <v>413</v>
      </c>
      <c r="L117" s="143" t="s">
        <v>1210</v>
      </c>
      <c r="M117" s="144">
        <v>4.3099999999999996</v>
      </c>
      <c r="N117" s="143" t="s">
        <v>1299</v>
      </c>
      <c r="O117" s="146">
        <v>3.7284200000000003E-2</v>
      </c>
      <c r="P117" s="146">
        <v>4.6670999999999997E-2</v>
      </c>
      <c r="Q117" s="145" t="s">
        <v>3853</v>
      </c>
      <c r="R117" s="144">
        <v>45235131</v>
      </c>
      <c r="S117" s="145" t="s">
        <v>3853</v>
      </c>
      <c r="T117" s="143" t="s">
        <v>1300</v>
      </c>
      <c r="U117" s="144">
        <v>44099.729200000002</v>
      </c>
      <c r="V117" s="145" t="s">
        <v>3853</v>
      </c>
      <c r="W117" s="145" t="s">
        <v>3853</v>
      </c>
      <c r="X117" s="146">
        <v>1.7139300144176581E-3</v>
      </c>
      <c r="Y117" s="146">
        <v>5.2624111566503887E-2</v>
      </c>
      <c r="Z117" s="147">
        <v>5.8752349950054331E-3</v>
      </c>
      <c r="AA117" s="183"/>
    </row>
    <row r="118" spans="1:27" ht="15" x14ac:dyDescent="0.2">
      <c r="A118" s="142" t="s">
        <v>1218</v>
      </c>
      <c r="B118" s="143" t="s">
        <v>1218</v>
      </c>
      <c r="C118" s="143" t="s">
        <v>1229</v>
      </c>
      <c r="D118" s="143" t="s">
        <v>1301</v>
      </c>
      <c r="E118" s="143" t="s">
        <v>1302</v>
      </c>
      <c r="F118" s="143" t="s">
        <v>945</v>
      </c>
      <c r="G118" s="143" t="s">
        <v>204</v>
      </c>
      <c r="H118" s="143" t="s">
        <v>204</v>
      </c>
      <c r="I118" s="143" t="s">
        <v>340</v>
      </c>
      <c r="J118" s="143" t="s">
        <v>1232</v>
      </c>
      <c r="K118" s="143" t="s">
        <v>314</v>
      </c>
      <c r="L118" s="143" t="s">
        <v>1210</v>
      </c>
      <c r="M118" s="144">
        <v>0.92</v>
      </c>
      <c r="N118" s="143" t="s">
        <v>1303</v>
      </c>
      <c r="O118" s="143" t="s">
        <v>1266</v>
      </c>
      <c r="P118" s="146">
        <v>4.3203999999999999E-2</v>
      </c>
      <c r="Q118" s="145" t="s">
        <v>3853</v>
      </c>
      <c r="R118" s="144">
        <v>45500000</v>
      </c>
      <c r="S118" s="145" t="s">
        <v>3853</v>
      </c>
      <c r="T118" s="143" t="s">
        <v>1304</v>
      </c>
      <c r="U118" s="144">
        <v>43757.35</v>
      </c>
      <c r="V118" s="145" t="s">
        <v>3853</v>
      </c>
      <c r="W118" s="145" t="s">
        <v>3853</v>
      </c>
      <c r="X118" s="146">
        <v>3.7916666666666667E-3</v>
      </c>
      <c r="Y118" s="146">
        <v>5.2215551192844829E-2</v>
      </c>
      <c r="Z118" s="147">
        <v>5.8296211474089619E-3</v>
      </c>
      <c r="AA118" s="183"/>
    </row>
    <row r="119" spans="1:27" ht="15" x14ac:dyDescent="0.2">
      <c r="A119" s="142" t="s">
        <v>1218</v>
      </c>
      <c r="B119" s="143" t="s">
        <v>1218</v>
      </c>
      <c r="C119" s="143" t="s">
        <v>1229</v>
      </c>
      <c r="D119" s="143" t="s">
        <v>1280</v>
      </c>
      <c r="E119" s="143" t="s">
        <v>1281</v>
      </c>
      <c r="F119" s="143" t="s">
        <v>945</v>
      </c>
      <c r="G119" s="143" t="s">
        <v>204</v>
      </c>
      <c r="H119" s="143" t="s">
        <v>204</v>
      </c>
      <c r="I119" s="143" t="s">
        <v>340</v>
      </c>
      <c r="J119" s="143" t="s">
        <v>1232</v>
      </c>
      <c r="K119" s="143" t="s">
        <v>312</v>
      </c>
      <c r="L119" s="143" t="s">
        <v>1210</v>
      </c>
      <c r="M119" s="144">
        <v>4.01</v>
      </c>
      <c r="N119" s="143" t="s">
        <v>1282</v>
      </c>
      <c r="O119" s="146">
        <v>2.2499999999999999E-2</v>
      </c>
      <c r="P119" s="146">
        <v>4.6257E-2</v>
      </c>
      <c r="Q119" s="145" t="s">
        <v>3853</v>
      </c>
      <c r="R119" s="144">
        <v>37920898</v>
      </c>
      <c r="S119" s="145" t="s">
        <v>3853</v>
      </c>
      <c r="T119" s="143" t="s">
        <v>1283</v>
      </c>
      <c r="U119" s="144">
        <v>35164.048699999999</v>
      </c>
      <c r="V119" s="145" t="s">
        <v>3853</v>
      </c>
      <c r="W119" s="145" t="s">
        <v>3853</v>
      </c>
      <c r="X119" s="146">
        <v>1.2434500026775187E-3</v>
      </c>
      <c r="Y119" s="146">
        <v>4.1961183340550975E-2</v>
      </c>
      <c r="Z119" s="147">
        <v>4.6847691192408768E-3</v>
      </c>
      <c r="AA119" s="183"/>
    </row>
    <row r="120" spans="1:27" ht="15" x14ac:dyDescent="0.2">
      <c r="A120" s="142" t="s">
        <v>1218</v>
      </c>
      <c r="B120" s="143" t="s">
        <v>1218</v>
      </c>
      <c r="C120" s="143" t="s">
        <v>1292</v>
      </c>
      <c r="D120" s="143" t="s">
        <v>1293</v>
      </c>
      <c r="E120" s="143" t="s">
        <v>1294</v>
      </c>
      <c r="F120" s="143" t="s">
        <v>945</v>
      </c>
      <c r="G120" s="143" t="s">
        <v>204</v>
      </c>
      <c r="H120" s="143" t="s">
        <v>204</v>
      </c>
      <c r="I120" s="143" t="s">
        <v>340</v>
      </c>
      <c r="J120" s="143" t="s">
        <v>1232</v>
      </c>
      <c r="K120" s="143" t="s">
        <v>312</v>
      </c>
      <c r="L120" s="143" t="s">
        <v>1210</v>
      </c>
      <c r="M120" s="144">
        <v>5.58</v>
      </c>
      <c r="N120" s="143" t="s">
        <v>1295</v>
      </c>
      <c r="O120" s="146">
        <v>1.0026999999999999E-2</v>
      </c>
      <c r="P120" s="146">
        <v>4.7578000000000002E-2</v>
      </c>
      <c r="Q120" s="145" t="s">
        <v>3853</v>
      </c>
      <c r="R120" s="144">
        <v>41549244</v>
      </c>
      <c r="S120" s="145" t="s">
        <v>3853</v>
      </c>
      <c r="T120" s="143" t="s">
        <v>1296</v>
      </c>
      <c r="U120" s="144">
        <v>33958.197100000005</v>
      </c>
      <c r="V120" s="145" t="s">
        <v>3853</v>
      </c>
      <c r="W120" s="145" t="s">
        <v>3853</v>
      </c>
      <c r="X120" s="146">
        <v>1.1004833185810662E-3</v>
      </c>
      <c r="Y120" s="146">
        <v>4.0522243239106907E-2</v>
      </c>
      <c r="Z120" s="147">
        <v>4.5241182124975497E-3</v>
      </c>
      <c r="AA120" s="183"/>
    </row>
    <row r="121" spans="1:27" ht="15" x14ac:dyDescent="0.2">
      <c r="A121" s="142" t="s">
        <v>1218</v>
      </c>
      <c r="B121" s="143" t="s">
        <v>1218</v>
      </c>
      <c r="C121" s="143" t="s">
        <v>1229</v>
      </c>
      <c r="D121" s="143" t="s">
        <v>1284</v>
      </c>
      <c r="E121" s="143" t="s">
        <v>1285</v>
      </c>
      <c r="F121" s="143" t="s">
        <v>945</v>
      </c>
      <c r="G121" s="143" t="s">
        <v>204</v>
      </c>
      <c r="H121" s="143" t="s">
        <v>204</v>
      </c>
      <c r="I121" s="143" t="s">
        <v>340</v>
      </c>
      <c r="J121" s="143" t="s">
        <v>1232</v>
      </c>
      <c r="K121" s="143" t="s">
        <v>312</v>
      </c>
      <c r="L121" s="143" t="s">
        <v>1210</v>
      </c>
      <c r="M121" s="144">
        <v>14.48</v>
      </c>
      <c r="N121" s="143" t="s">
        <v>1286</v>
      </c>
      <c r="O121" s="146">
        <v>3.7602999999999998E-2</v>
      </c>
      <c r="P121" s="146">
        <v>5.4753999999999997E-2</v>
      </c>
      <c r="Q121" s="145" t="s">
        <v>3853</v>
      </c>
      <c r="R121" s="144">
        <v>37226392</v>
      </c>
      <c r="S121" s="145" t="s">
        <v>3853</v>
      </c>
      <c r="T121" s="143" t="s">
        <v>1287</v>
      </c>
      <c r="U121" s="144">
        <v>29330.674300000002</v>
      </c>
      <c r="V121" s="145" t="s">
        <v>3853</v>
      </c>
      <c r="W121" s="145" t="s">
        <v>3853</v>
      </c>
      <c r="X121" s="146">
        <v>1.4183457863113516E-3</v>
      </c>
      <c r="Y121" s="146">
        <v>3.5000230205361985E-2</v>
      </c>
      <c r="Z121" s="147">
        <v>3.9076113822067585E-3</v>
      </c>
      <c r="AA121" s="183"/>
    </row>
    <row r="122" spans="1:27" ht="15" x14ac:dyDescent="0.2">
      <c r="A122" s="142" t="s">
        <v>1218</v>
      </c>
      <c r="B122" s="143" t="s">
        <v>1218</v>
      </c>
      <c r="C122" s="143" t="s">
        <v>1229</v>
      </c>
      <c r="D122" s="143" t="s">
        <v>1331</v>
      </c>
      <c r="E122" s="143" t="s">
        <v>1332</v>
      </c>
      <c r="F122" s="143" t="s">
        <v>945</v>
      </c>
      <c r="G122" s="143" t="s">
        <v>204</v>
      </c>
      <c r="H122" s="143" t="s">
        <v>204</v>
      </c>
      <c r="I122" s="143" t="s">
        <v>340</v>
      </c>
      <c r="J122" s="143" t="s">
        <v>1232</v>
      </c>
      <c r="K122" s="143" t="s">
        <v>312</v>
      </c>
      <c r="L122" s="143" t="s">
        <v>1210</v>
      </c>
      <c r="M122" s="144">
        <v>2.68</v>
      </c>
      <c r="N122" s="143" t="s">
        <v>1333</v>
      </c>
      <c r="O122" s="146">
        <v>2.0055E-2</v>
      </c>
      <c r="P122" s="146">
        <v>4.4908999999999998E-2</v>
      </c>
      <c r="Q122" s="145" t="s">
        <v>3853</v>
      </c>
      <c r="R122" s="144">
        <v>6507397</v>
      </c>
      <c r="S122" s="145" t="s">
        <v>3853</v>
      </c>
      <c r="T122" s="143" t="s">
        <v>1334</v>
      </c>
      <c r="U122" s="144">
        <v>6129.9679999999998</v>
      </c>
      <c r="V122" s="145" t="s">
        <v>3853</v>
      </c>
      <c r="W122" s="145" t="s">
        <v>3853</v>
      </c>
      <c r="X122" s="146">
        <v>2.5180360655909564E-4</v>
      </c>
      <c r="Y122" s="146">
        <v>7.3148775361601259E-3</v>
      </c>
      <c r="Z122" s="147">
        <v>8.166717347867289E-4</v>
      </c>
      <c r="AA122" s="183"/>
    </row>
    <row r="123" spans="1:27" ht="15" x14ac:dyDescent="0.2">
      <c r="A123" s="142" t="s">
        <v>1218</v>
      </c>
      <c r="B123" s="143" t="s">
        <v>1218</v>
      </c>
      <c r="C123" s="143" t="s">
        <v>1229</v>
      </c>
      <c r="D123" s="143" t="s">
        <v>1327</v>
      </c>
      <c r="E123" s="143" t="s">
        <v>1328</v>
      </c>
      <c r="F123" s="143" t="s">
        <v>945</v>
      </c>
      <c r="G123" s="143" t="s">
        <v>204</v>
      </c>
      <c r="H123" s="143" t="s">
        <v>204</v>
      </c>
      <c r="I123" s="143" t="s">
        <v>340</v>
      </c>
      <c r="J123" s="143" t="s">
        <v>1232</v>
      </c>
      <c r="K123" s="143" t="s">
        <v>312</v>
      </c>
      <c r="L123" s="143" t="s">
        <v>1210</v>
      </c>
      <c r="M123" s="144">
        <v>2.16</v>
      </c>
      <c r="N123" s="143" t="s">
        <v>1329</v>
      </c>
      <c r="O123" s="146">
        <v>6.25E-2</v>
      </c>
      <c r="P123" s="146">
        <v>4.4075999999999997E-2</v>
      </c>
      <c r="Q123" s="145" t="s">
        <v>3853</v>
      </c>
      <c r="R123" s="144">
        <v>5284864</v>
      </c>
      <c r="S123" s="145" t="s">
        <v>3853</v>
      </c>
      <c r="T123" s="143" t="s">
        <v>1330</v>
      </c>
      <c r="U123" s="144">
        <v>5716.1089000000002</v>
      </c>
      <c r="V123" s="145" t="s">
        <v>3853</v>
      </c>
      <c r="W123" s="145" t="s">
        <v>3853</v>
      </c>
      <c r="X123" s="146">
        <v>3.5477959491804213E-4</v>
      </c>
      <c r="Y123" s="146">
        <v>6.8210204003931515E-3</v>
      </c>
      <c r="Z123" s="147">
        <v>7.6153490415492868E-4</v>
      </c>
      <c r="AA123" s="183"/>
    </row>
    <row r="124" spans="1:27" ht="15" x14ac:dyDescent="0.2">
      <c r="A124" s="142" t="s">
        <v>1218</v>
      </c>
      <c r="B124" s="143" t="s">
        <v>1218</v>
      </c>
      <c r="C124" s="143" t="s">
        <v>1229</v>
      </c>
      <c r="D124" s="143" t="s">
        <v>1305</v>
      </c>
      <c r="E124" s="143" t="s">
        <v>1306</v>
      </c>
      <c r="F124" s="143" t="s">
        <v>945</v>
      </c>
      <c r="G124" s="143" t="s">
        <v>204</v>
      </c>
      <c r="H124" s="143" t="s">
        <v>204</v>
      </c>
      <c r="I124" s="143" t="s">
        <v>340</v>
      </c>
      <c r="J124" s="143" t="s">
        <v>1232</v>
      </c>
      <c r="K124" s="143" t="s">
        <v>312</v>
      </c>
      <c r="L124" s="143" t="s">
        <v>1210</v>
      </c>
      <c r="M124" s="144">
        <v>16.82</v>
      </c>
      <c r="N124" s="143" t="s">
        <v>1307</v>
      </c>
      <c r="O124" s="146">
        <v>2.8000000000000001E-2</v>
      </c>
      <c r="P124" s="146">
        <v>5.5648999999999997E-2</v>
      </c>
      <c r="Q124" s="145" t="s">
        <v>3853</v>
      </c>
      <c r="R124" s="144">
        <v>6500000</v>
      </c>
      <c r="S124" s="145" t="s">
        <v>3853</v>
      </c>
      <c r="T124" s="143" t="s">
        <v>1308</v>
      </c>
      <c r="U124" s="144">
        <v>4069</v>
      </c>
      <c r="V124" s="145" t="s">
        <v>3853</v>
      </c>
      <c r="W124" s="145" t="s">
        <v>3853</v>
      </c>
      <c r="X124" s="146">
        <v>3.8981042739295028E-4</v>
      </c>
      <c r="Y124" s="146">
        <v>4.855528906656496E-3</v>
      </c>
      <c r="Z124" s="147">
        <v>5.4209700653277829E-4</v>
      </c>
      <c r="AA124" s="183"/>
    </row>
    <row r="125" spans="1:27" ht="15" x14ac:dyDescent="0.2">
      <c r="A125" s="142" t="s">
        <v>1218</v>
      </c>
      <c r="B125" s="143" t="s">
        <v>1218</v>
      </c>
      <c r="C125" s="143" t="s">
        <v>1229</v>
      </c>
      <c r="D125" s="143" t="s">
        <v>1323</v>
      </c>
      <c r="E125" s="143" t="s">
        <v>1324</v>
      </c>
      <c r="F125" s="143" t="s">
        <v>945</v>
      </c>
      <c r="G125" s="143" t="s">
        <v>204</v>
      </c>
      <c r="H125" s="143" t="s">
        <v>204</v>
      </c>
      <c r="I125" s="143" t="s">
        <v>340</v>
      </c>
      <c r="J125" s="143" t="s">
        <v>1232</v>
      </c>
      <c r="K125" s="143" t="s">
        <v>312</v>
      </c>
      <c r="L125" s="143" t="s">
        <v>1210</v>
      </c>
      <c r="M125" s="144">
        <v>0.35</v>
      </c>
      <c r="N125" s="143" t="s">
        <v>1325</v>
      </c>
      <c r="O125" s="143" t="s">
        <v>1266</v>
      </c>
      <c r="P125" s="146">
        <v>4.3479999999999998E-2</v>
      </c>
      <c r="Q125" s="145" t="s">
        <v>3853</v>
      </c>
      <c r="R125" s="144">
        <v>2471133</v>
      </c>
      <c r="S125" s="145" t="s">
        <v>3853</v>
      </c>
      <c r="T125" s="143" t="s">
        <v>1326</v>
      </c>
      <c r="U125" s="144">
        <v>2434.8072999999999</v>
      </c>
      <c r="V125" s="145" t="s">
        <v>3853</v>
      </c>
      <c r="W125" s="145" t="s">
        <v>3853</v>
      </c>
      <c r="X125" s="146">
        <v>1.7650949999999999E-4</v>
      </c>
      <c r="Y125" s="146">
        <v>2.905450342910175E-3</v>
      </c>
      <c r="Z125" s="147">
        <v>3.2437989018292257E-4</v>
      </c>
      <c r="AA125" s="183"/>
    </row>
    <row r="126" spans="1:27" ht="15" x14ac:dyDescent="0.2">
      <c r="A126" s="142" t="s">
        <v>1218</v>
      </c>
      <c r="B126" s="143" t="s">
        <v>1218</v>
      </c>
      <c r="C126" s="143" t="s">
        <v>1309</v>
      </c>
      <c r="D126" s="143" t="s">
        <v>1310</v>
      </c>
      <c r="E126" s="143" t="s">
        <v>1311</v>
      </c>
      <c r="F126" s="143" t="s">
        <v>947</v>
      </c>
      <c r="G126" s="143" t="s">
        <v>205</v>
      </c>
      <c r="H126" s="143" t="s">
        <v>224</v>
      </c>
      <c r="I126" s="143" t="s">
        <v>344</v>
      </c>
      <c r="J126" s="143" t="s">
        <v>1312</v>
      </c>
      <c r="K126" s="143" t="s">
        <v>423</v>
      </c>
      <c r="L126" s="143" t="s">
        <v>1211</v>
      </c>
      <c r="M126" s="144">
        <v>7.4589999999999996</v>
      </c>
      <c r="N126" s="143" t="s">
        <v>1313</v>
      </c>
      <c r="O126" s="146">
        <v>3.875E-2</v>
      </c>
      <c r="P126" s="146">
        <v>4.41E-2</v>
      </c>
      <c r="Q126" s="145" t="s">
        <v>3853</v>
      </c>
      <c r="R126" s="144">
        <v>7488000</v>
      </c>
      <c r="S126" s="143" t="s">
        <v>1212</v>
      </c>
      <c r="T126" s="143" t="s">
        <v>1314</v>
      </c>
      <c r="U126" s="144">
        <v>27437.9395</v>
      </c>
      <c r="V126" s="145" t="s">
        <v>3853</v>
      </c>
      <c r="W126" s="145" t="s">
        <v>3853</v>
      </c>
      <c r="X126" s="146">
        <v>1.9705263157894737E-4</v>
      </c>
      <c r="Y126" s="146">
        <v>3.2741633894427524E-2</v>
      </c>
      <c r="Z126" s="147">
        <v>3.6554497078225253E-3</v>
      </c>
      <c r="AA126" s="183"/>
    </row>
    <row r="127" spans="1:27" ht="15" x14ac:dyDescent="0.2">
      <c r="A127" s="148" t="s">
        <v>1218</v>
      </c>
      <c r="B127" s="149" t="s">
        <v>1218</v>
      </c>
      <c r="C127" s="149" t="s">
        <v>1309</v>
      </c>
      <c r="D127" s="149" t="s">
        <v>1315</v>
      </c>
      <c r="E127" s="149" t="s">
        <v>1316</v>
      </c>
      <c r="F127" s="149" t="s">
        <v>947</v>
      </c>
      <c r="G127" s="149" t="s">
        <v>205</v>
      </c>
      <c r="H127" s="149" t="s">
        <v>224</v>
      </c>
      <c r="I127" s="149" t="s">
        <v>344</v>
      </c>
      <c r="J127" s="149" t="s">
        <v>1312</v>
      </c>
      <c r="K127" s="149" t="s">
        <v>423</v>
      </c>
      <c r="L127" s="149" t="s">
        <v>1211</v>
      </c>
      <c r="M127" s="150">
        <v>7.7590000000000003</v>
      </c>
      <c r="N127" s="149" t="s">
        <v>1317</v>
      </c>
      <c r="O127" s="152">
        <v>0.04</v>
      </c>
      <c r="P127" s="152">
        <v>4.3999999999999997E-2</v>
      </c>
      <c r="Q127" s="151" t="s">
        <v>3853</v>
      </c>
      <c r="R127" s="150">
        <v>6097000</v>
      </c>
      <c r="S127" s="149" t="s">
        <v>1212</v>
      </c>
      <c r="T127" s="149" t="s">
        <v>1318</v>
      </c>
      <c r="U127" s="150">
        <v>22547.359100000001</v>
      </c>
      <c r="V127" s="151" t="s">
        <v>3853</v>
      </c>
      <c r="W127" s="151" t="s">
        <v>3853</v>
      </c>
      <c r="X127" s="152">
        <v>1.4516666666666665E-4</v>
      </c>
      <c r="Y127" s="152">
        <v>2.6905714922277186E-2</v>
      </c>
      <c r="Z127" s="153">
        <v>3.0038967532446037E-3</v>
      </c>
      <c r="AA127" s="183"/>
    </row>
    <row r="128" spans="1:27" x14ac:dyDescent="0.2">
      <c r="A128" s="183" t="s">
        <v>3870</v>
      </c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spans="1:1" x14ac:dyDescent="0.2">
      <c r="A129" s="4" t="s">
        <v>3869</v>
      </c>
    </row>
    <row r="130" spans="1:1" x14ac:dyDescent="0.2">
      <c r="A130" s="177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28:Z128"/>
    <mergeCell ref="AA2:AA127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048573"/>
  <sheetViews>
    <sheetView rightToLeft="1" workbookViewId="0"/>
  </sheetViews>
  <sheetFormatPr defaultColWidth="11.625" defaultRowHeight="14.25" x14ac:dyDescent="0.2"/>
  <cols>
    <col min="1" max="1" width="29.375" style="4" customWidth="1"/>
    <col min="2" max="2" width="11.125" style="4" customWidth="1"/>
    <col min="3" max="3" width="9.625" style="4" customWidth="1"/>
    <col min="4" max="4" width="11.25" style="4" customWidth="1"/>
    <col min="5" max="5" width="18.125" style="4" customWidth="1"/>
    <col min="6" max="6" width="11.125" style="4" customWidth="1"/>
    <col min="7" max="7" width="12.75" style="4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0.25" style="4" customWidth="1"/>
    <col min="13" max="13" width="9.625" style="4" customWidth="1"/>
    <col min="14" max="14" width="15.125" style="4" customWidth="1"/>
    <col min="15" max="15" width="6.25" style="4" customWidth="1"/>
    <col min="16" max="16" width="9" style="4" customWidth="1"/>
    <col min="17" max="17" width="19" style="4" customWidth="1"/>
    <col min="18" max="18" width="11.75" style="4" customWidth="1"/>
    <col min="19" max="19" width="6.5" style="4" customWidth="1"/>
    <col min="20" max="20" width="9.75" style="4" customWidth="1"/>
    <col min="21" max="21" width="9.875" style="4" customWidth="1"/>
    <col min="22" max="22" width="11.125" style="4" customWidth="1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0.5" style="4" customWidth="1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3876</v>
      </c>
    </row>
    <row r="2" spans="1:3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83</v>
      </c>
      <c r="N2" s="140" t="s">
        <v>56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85</v>
      </c>
      <c r="U2" s="140" t="s">
        <v>73</v>
      </c>
      <c r="V2" s="140" t="s">
        <v>62</v>
      </c>
      <c r="W2" s="140" t="s">
        <v>74</v>
      </c>
      <c r="X2" s="140" t="s">
        <v>86</v>
      </c>
      <c r="Y2" s="140" t="s">
        <v>87</v>
      </c>
      <c r="Z2" s="140" t="s">
        <v>76</v>
      </c>
      <c r="AA2" s="140" t="s">
        <v>61</v>
      </c>
      <c r="AB2" s="140" t="s">
        <v>77</v>
      </c>
      <c r="AC2" s="140" t="s">
        <v>75</v>
      </c>
      <c r="AD2" s="140" t="s">
        <v>63</v>
      </c>
      <c r="AE2" s="140" t="s">
        <v>78</v>
      </c>
      <c r="AF2" s="140" t="s">
        <v>88</v>
      </c>
      <c r="AG2" s="140" t="s">
        <v>17</v>
      </c>
      <c r="AH2" s="140" t="s">
        <v>79</v>
      </c>
      <c r="AI2" s="140" t="s">
        <v>64</v>
      </c>
      <c r="AJ2" s="141" t="s">
        <v>65</v>
      </c>
      <c r="AK2" s="183" t="s">
        <v>3871</v>
      </c>
    </row>
    <row r="3" spans="1:37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45" t="s">
        <v>3853</v>
      </c>
      <c r="S3" s="145" t="s">
        <v>3853</v>
      </c>
      <c r="T3" s="145" t="s">
        <v>3853</v>
      </c>
      <c r="U3" s="145" t="s">
        <v>3853</v>
      </c>
      <c r="V3" s="145" t="s">
        <v>3853</v>
      </c>
      <c r="W3" s="145" t="s">
        <v>3853</v>
      </c>
      <c r="X3" s="145" t="s">
        <v>3853</v>
      </c>
      <c r="Y3" s="145" t="s">
        <v>3853</v>
      </c>
      <c r="Z3" s="145" t="s">
        <v>3853</v>
      </c>
      <c r="AA3" s="145" t="s">
        <v>3853</v>
      </c>
      <c r="AB3" s="145" t="s">
        <v>3853</v>
      </c>
      <c r="AC3" s="145" t="s">
        <v>3853</v>
      </c>
      <c r="AD3" s="145" t="s">
        <v>3853</v>
      </c>
      <c r="AE3" s="145" t="s">
        <v>3853</v>
      </c>
      <c r="AF3" s="145" t="s">
        <v>3853</v>
      </c>
      <c r="AG3" s="145" t="s">
        <v>3853</v>
      </c>
      <c r="AH3" s="145" t="s">
        <v>3853</v>
      </c>
      <c r="AI3" s="145" t="s">
        <v>3853</v>
      </c>
      <c r="AJ3" s="156" t="s">
        <v>3853</v>
      </c>
      <c r="AK3" s="183"/>
    </row>
    <row r="4" spans="1:37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45" t="s">
        <v>3853</v>
      </c>
      <c r="S4" s="145" t="s">
        <v>3853</v>
      </c>
      <c r="T4" s="145" t="s">
        <v>3853</v>
      </c>
      <c r="U4" s="145" t="s">
        <v>3853</v>
      </c>
      <c r="V4" s="145" t="s">
        <v>3853</v>
      </c>
      <c r="W4" s="145" t="s">
        <v>3853</v>
      </c>
      <c r="X4" s="145" t="s">
        <v>3853</v>
      </c>
      <c r="Y4" s="145" t="s">
        <v>3853</v>
      </c>
      <c r="Z4" s="145" t="s">
        <v>3853</v>
      </c>
      <c r="AA4" s="145" t="s">
        <v>3853</v>
      </c>
      <c r="AB4" s="145" t="s">
        <v>3853</v>
      </c>
      <c r="AC4" s="145" t="s">
        <v>3853</v>
      </c>
      <c r="AD4" s="145" t="s">
        <v>3853</v>
      </c>
      <c r="AE4" s="145" t="s">
        <v>3853</v>
      </c>
      <c r="AF4" s="145" t="s">
        <v>3853</v>
      </c>
      <c r="AG4" s="145" t="s">
        <v>3853</v>
      </c>
      <c r="AH4" s="145" t="s">
        <v>3853</v>
      </c>
      <c r="AI4" s="145" t="s">
        <v>3853</v>
      </c>
      <c r="AJ4" s="156" t="s">
        <v>3853</v>
      </c>
      <c r="AK4" s="183"/>
    </row>
    <row r="5" spans="1:37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45" t="s">
        <v>3853</v>
      </c>
      <c r="S5" s="145" t="s">
        <v>3853</v>
      </c>
      <c r="T5" s="145" t="s">
        <v>3853</v>
      </c>
      <c r="U5" s="145" t="s">
        <v>3853</v>
      </c>
      <c r="V5" s="145" t="s">
        <v>3853</v>
      </c>
      <c r="W5" s="145" t="s">
        <v>3853</v>
      </c>
      <c r="X5" s="145" t="s">
        <v>3853</v>
      </c>
      <c r="Y5" s="145" t="s">
        <v>3853</v>
      </c>
      <c r="Z5" s="145" t="s">
        <v>3853</v>
      </c>
      <c r="AA5" s="145" t="s">
        <v>3853</v>
      </c>
      <c r="AB5" s="145" t="s">
        <v>3853</v>
      </c>
      <c r="AC5" s="145" t="s">
        <v>3853</v>
      </c>
      <c r="AD5" s="145" t="s">
        <v>3853</v>
      </c>
      <c r="AE5" s="145" t="s">
        <v>3853</v>
      </c>
      <c r="AF5" s="145" t="s">
        <v>3853</v>
      </c>
      <c r="AG5" s="145" t="s">
        <v>3853</v>
      </c>
      <c r="AH5" s="145" t="s">
        <v>3853</v>
      </c>
      <c r="AI5" s="145" t="s">
        <v>3853</v>
      </c>
      <c r="AJ5" s="156" t="s">
        <v>3853</v>
      </c>
      <c r="AK5" s="183"/>
    </row>
    <row r="6" spans="1:37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45" t="s">
        <v>3853</v>
      </c>
      <c r="S6" s="145" t="s">
        <v>3853</v>
      </c>
      <c r="T6" s="145" t="s">
        <v>3853</v>
      </c>
      <c r="U6" s="145" t="s">
        <v>3853</v>
      </c>
      <c r="V6" s="145" t="s">
        <v>3853</v>
      </c>
      <c r="W6" s="145" t="s">
        <v>3853</v>
      </c>
      <c r="X6" s="145" t="s">
        <v>3853</v>
      </c>
      <c r="Y6" s="145" t="s">
        <v>3853</v>
      </c>
      <c r="Z6" s="145" t="s">
        <v>3853</v>
      </c>
      <c r="AA6" s="145" t="s">
        <v>3853</v>
      </c>
      <c r="AB6" s="145" t="s">
        <v>3853</v>
      </c>
      <c r="AC6" s="145" t="s">
        <v>3853</v>
      </c>
      <c r="AD6" s="145" t="s">
        <v>3853</v>
      </c>
      <c r="AE6" s="145" t="s">
        <v>3853</v>
      </c>
      <c r="AF6" s="145" t="s">
        <v>3853</v>
      </c>
      <c r="AG6" s="145" t="s">
        <v>3853</v>
      </c>
      <c r="AH6" s="145" t="s">
        <v>3853</v>
      </c>
      <c r="AI6" s="145" t="s">
        <v>3853</v>
      </c>
      <c r="AJ6" s="156" t="s">
        <v>3853</v>
      </c>
      <c r="AK6" s="183"/>
    </row>
    <row r="7" spans="1:37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45" t="s">
        <v>3853</v>
      </c>
      <c r="W7" s="145" t="s">
        <v>3853</v>
      </c>
      <c r="X7" s="145" t="s">
        <v>3853</v>
      </c>
      <c r="Y7" s="145" t="s">
        <v>3853</v>
      </c>
      <c r="Z7" s="145" t="s">
        <v>3853</v>
      </c>
      <c r="AA7" s="145" t="s">
        <v>3853</v>
      </c>
      <c r="AB7" s="145" t="s">
        <v>3853</v>
      </c>
      <c r="AC7" s="145" t="s">
        <v>3853</v>
      </c>
      <c r="AD7" s="145" t="s">
        <v>3853</v>
      </c>
      <c r="AE7" s="145" t="s">
        <v>3853</v>
      </c>
      <c r="AF7" s="145" t="s">
        <v>3853</v>
      </c>
      <c r="AG7" s="145" t="s">
        <v>3853</v>
      </c>
      <c r="AH7" s="145" t="s">
        <v>3853</v>
      </c>
      <c r="AI7" s="145" t="s">
        <v>3853</v>
      </c>
      <c r="AJ7" s="156" t="s">
        <v>3853</v>
      </c>
      <c r="AK7" s="183"/>
    </row>
    <row r="8" spans="1:37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1" t="s">
        <v>3853</v>
      </c>
      <c r="S8" s="151" t="s">
        <v>3853</v>
      </c>
      <c r="T8" s="151" t="s">
        <v>3853</v>
      </c>
      <c r="U8" s="151" t="s">
        <v>3853</v>
      </c>
      <c r="V8" s="151" t="s">
        <v>3853</v>
      </c>
      <c r="W8" s="151" t="s">
        <v>3853</v>
      </c>
      <c r="X8" s="151" t="s">
        <v>3853</v>
      </c>
      <c r="Y8" s="151" t="s">
        <v>3853</v>
      </c>
      <c r="Z8" s="151" t="s">
        <v>3853</v>
      </c>
      <c r="AA8" s="151" t="s">
        <v>3853</v>
      </c>
      <c r="AB8" s="151" t="s">
        <v>3853</v>
      </c>
      <c r="AC8" s="151" t="s">
        <v>3853</v>
      </c>
      <c r="AD8" s="151" t="s">
        <v>3853</v>
      </c>
      <c r="AE8" s="151" t="s">
        <v>3853</v>
      </c>
      <c r="AF8" s="151" t="s">
        <v>3853</v>
      </c>
      <c r="AG8" s="151" t="s">
        <v>3853</v>
      </c>
      <c r="AH8" s="151" t="s">
        <v>3853</v>
      </c>
      <c r="AI8" s="151" t="s">
        <v>3853</v>
      </c>
      <c r="AJ8" s="159" t="s">
        <v>3853</v>
      </c>
      <c r="AK8" s="183"/>
    </row>
    <row r="9" spans="1:37" x14ac:dyDescent="0.2">
      <c r="A9" s="184" t="s">
        <v>3870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</row>
    <row r="10" spans="1:37" x14ac:dyDescent="0.2">
      <c r="A10" s="16" t="s">
        <v>3869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99"/>
      <c r="U10" s="16"/>
      <c r="V10" s="16"/>
      <c r="W10" s="16"/>
      <c r="X10" s="16"/>
      <c r="Y10" s="16"/>
      <c r="Z10" s="16"/>
      <c r="AB10" s="99"/>
      <c r="AC10" s="99"/>
      <c r="AD10" s="99"/>
      <c r="AG10" s="16"/>
    </row>
    <row r="11" spans="1:37" x14ac:dyDescent="0.2">
      <c r="A11" s="17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99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7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99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7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99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7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99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7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99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7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99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99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99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99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/>
      <c r="P20" s="16"/>
      <c r="Q20" s="16"/>
      <c r="R20" s="16"/>
      <c r="S20" s="16"/>
      <c r="T20" s="99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G20" s="16"/>
    </row>
    <row r="21" spans="1:33" x14ac:dyDescent="0.2">
      <c r="E21" s="16"/>
      <c r="H21" s="16"/>
      <c r="I21" s="16"/>
      <c r="J21" s="16"/>
      <c r="K21" s="16"/>
      <c r="L21" s="16"/>
      <c r="M21" s="16"/>
      <c r="N21" s="16"/>
      <c r="O21"/>
      <c r="P21" s="16"/>
      <c r="Q21" s="16"/>
      <c r="T21" s="99"/>
      <c r="X21" s="16"/>
      <c r="Y21" s="16"/>
      <c r="AG21" s="16"/>
    </row>
    <row r="22" spans="1:33" x14ac:dyDescent="0.2">
      <c r="T22" s="98"/>
    </row>
    <row r="23" spans="1:33" x14ac:dyDescent="0.2">
      <c r="T23" s="98"/>
    </row>
    <row r="24" spans="1:33" x14ac:dyDescent="0.2">
      <c r="T24" s="98"/>
    </row>
    <row r="25" spans="1:33" x14ac:dyDescent="0.2">
      <c r="T25" s="98"/>
    </row>
    <row r="26" spans="1:33" x14ac:dyDescent="0.2">
      <c r="T26"/>
    </row>
    <row r="1048573" spans="12:14" x14ac:dyDescent="0.2">
      <c r="L1048573" s="6"/>
      <c r="N1048573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L1048573:L1048576">
      <formula1>Stock_Exchange_Gov_Bonds</formula1>
    </dataValidation>
    <dataValidation type="list" allowBlank="1" showInputMessage="1" showErrorMessage="1" sqref="J10:J21">
      <formula1>israel_abroad</formula1>
    </dataValidation>
    <dataValidation type="list" allowBlank="1" showInputMessage="1" showErrorMessage="1" sqref="N1048573:N1048576 N10:N21">
      <formula1>Holding_interest</formula1>
    </dataValidation>
    <dataValidation type="list" allowBlank="1" showInputMessage="1" showErrorMessage="1" sqref="P10:P21">
      <formula1>Rating_Agency</formula1>
    </dataValidation>
    <dataValidation type="list" allowBlank="1" showInputMessage="1" showErrorMessage="1" sqref="Q10:Q21">
      <formula1>What_is_rated</formula1>
    </dataValidation>
    <dataValidation type="list" allowBlank="1" showInputMessage="1" showErrorMessage="1" sqref="AG10:AG21">
      <formula1>In_the_books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T10:T21">
      <formula1>Underlying_Interest_Rates</formula1>
    </dataValidation>
    <dataValidation type="list" allowBlank="1" showInputMessage="1" showErrorMessage="1" sqref="Y10:Y21">
      <formula1>Yes_No_Bad_Debt</formula1>
    </dataValidation>
    <dataValidation type="list" allowBlank="1" showInputMessage="1" showErrorMessage="1" sqref="X10:X21">
      <formula1>Subordination_Risk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M10:M21">
      <formula1>Industry_Sector</formula1>
    </dataValidation>
    <dataValidation type="list" allowBlank="1" showInputMessage="1" showErrorMessage="1" sqref="L10:L21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505"/>
  <sheetViews>
    <sheetView rightToLeft="1" topLeftCell="AC1" workbookViewId="0">
      <selection activeCell="AD1" sqref="AD1"/>
    </sheetView>
  </sheetViews>
  <sheetFormatPr defaultColWidth="11.625" defaultRowHeight="14.25" x14ac:dyDescent="0.2"/>
  <cols>
    <col min="1" max="1" width="29.375" style="2" customWidth="1"/>
    <col min="2" max="2" width="11.125" style="2" customWidth="1"/>
    <col min="3" max="3" width="34.875" style="2" bestFit="1" customWidth="1"/>
    <col min="4" max="4" width="23.875" style="2" bestFit="1" customWidth="1"/>
    <col min="5" max="5" width="18.125" style="4" customWidth="1"/>
    <col min="6" max="6" width="23.75" style="2" bestFit="1" customWidth="1"/>
    <col min="7" max="7" width="13.625" style="2" bestFit="1" customWidth="1"/>
    <col min="8" max="8" width="15.5" style="2" customWidth="1"/>
    <col min="9" max="9" width="32.75" style="2" bestFit="1" customWidth="1"/>
    <col min="10" max="10" width="10.625" style="2" customWidth="1"/>
    <col min="11" max="11" width="19.875" style="2" customWidth="1"/>
    <col min="12" max="12" width="13.75" style="2" customWidth="1"/>
    <col min="13" max="13" width="11" style="2" bestFit="1" customWidth="1"/>
    <col min="14" max="14" width="34.25" style="2" bestFit="1" customWidth="1"/>
    <col min="15" max="15" width="15.125" style="2" customWidth="1"/>
    <col min="16" max="16" width="6.37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1.125" style="2" customWidth="1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0.5" style="2" customWidth="1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3877</v>
      </c>
    </row>
    <row r="2" spans="1:3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83</v>
      </c>
      <c r="O2" s="140" t="s">
        <v>56</v>
      </c>
      <c r="P2" s="140" t="s">
        <v>71</v>
      </c>
      <c r="Q2" s="140" t="s">
        <v>58</v>
      </c>
      <c r="R2" s="140" t="s">
        <v>84</v>
      </c>
      <c r="S2" s="140" t="s">
        <v>59</v>
      </c>
      <c r="T2" s="140" t="s">
        <v>72</v>
      </c>
      <c r="U2" s="140" t="s">
        <v>73</v>
      </c>
      <c r="V2" s="140" t="s">
        <v>62</v>
      </c>
      <c r="W2" s="140" t="s">
        <v>74</v>
      </c>
      <c r="X2" s="140" t="s">
        <v>86</v>
      </c>
      <c r="Y2" s="140" t="s">
        <v>87</v>
      </c>
      <c r="Z2" s="140" t="s">
        <v>76</v>
      </c>
      <c r="AA2" s="140" t="s">
        <v>61</v>
      </c>
      <c r="AB2" s="140" t="s">
        <v>77</v>
      </c>
      <c r="AC2" s="140" t="s">
        <v>75</v>
      </c>
      <c r="AD2" s="140" t="s">
        <v>63</v>
      </c>
      <c r="AE2" s="140" t="s">
        <v>78</v>
      </c>
      <c r="AF2" s="140" t="s">
        <v>88</v>
      </c>
      <c r="AG2" s="140" t="s">
        <v>17</v>
      </c>
      <c r="AH2" s="140" t="s">
        <v>79</v>
      </c>
      <c r="AI2" s="140" t="s">
        <v>64</v>
      </c>
      <c r="AJ2" s="141" t="s">
        <v>65</v>
      </c>
      <c r="AK2" s="181" t="s">
        <v>3871</v>
      </c>
    </row>
    <row r="3" spans="1:37" ht="15" x14ac:dyDescent="0.2">
      <c r="A3" s="142" t="s">
        <v>1205</v>
      </c>
      <c r="B3" s="143" t="s">
        <v>1206</v>
      </c>
      <c r="C3" s="143" t="s">
        <v>1343</v>
      </c>
      <c r="D3" s="143" t="s">
        <v>1344</v>
      </c>
      <c r="E3" s="143" t="s">
        <v>309</v>
      </c>
      <c r="F3" s="143" t="s">
        <v>1345</v>
      </c>
      <c r="G3" s="143" t="s">
        <v>1346</v>
      </c>
      <c r="H3" s="143" t="s">
        <v>321</v>
      </c>
      <c r="I3" s="143" t="s">
        <v>951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445</v>
      </c>
      <c r="O3" s="143" t="s">
        <v>339</v>
      </c>
      <c r="P3" s="143" t="s">
        <v>1347</v>
      </c>
      <c r="Q3" s="143" t="s">
        <v>413</v>
      </c>
      <c r="R3" s="143" t="s">
        <v>407</v>
      </c>
      <c r="S3" s="143" t="s">
        <v>1210</v>
      </c>
      <c r="T3" s="144">
        <v>5.29</v>
      </c>
      <c r="U3" s="143" t="s">
        <v>1295</v>
      </c>
      <c r="V3" s="146">
        <v>2.64E-2</v>
      </c>
      <c r="W3" s="146">
        <v>5.8282E-2</v>
      </c>
      <c r="X3" s="143" t="s">
        <v>412</v>
      </c>
      <c r="Y3" s="145" t="s">
        <v>3853</v>
      </c>
      <c r="Z3" s="144">
        <v>53030.11</v>
      </c>
      <c r="AA3" s="145" t="s">
        <v>3853</v>
      </c>
      <c r="AB3" s="143" t="s">
        <v>1348</v>
      </c>
      <c r="AC3" s="145" t="s">
        <v>3853</v>
      </c>
      <c r="AD3" s="144">
        <v>45.414999999999999</v>
      </c>
      <c r="AE3" s="145" t="s">
        <v>3853</v>
      </c>
      <c r="AF3" s="145" t="s">
        <v>3853</v>
      </c>
      <c r="AG3" s="145" t="s">
        <v>3853</v>
      </c>
      <c r="AH3" s="146">
        <v>3.2411080071510517E-5</v>
      </c>
      <c r="AI3" s="146">
        <v>4.1068710292788239E-2</v>
      </c>
      <c r="AJ3" s="147">
        <v>3.0755021162919846E-3</v>
      </c>
      <c r="AK3" s="181"/>
    </row>
    <row r="4" spans="1:37" ht="15" x14ac:dyDescent="0.2">
      <c r="A4" s="142" t="s">
        <v>1205</v>
      </c>
      <c r="B4" s="143" t="s">
        <v>1206</v>
      </c>
      <c r="C4" s="143" t="s">
        <v>1349</v>
      </c>
      <c r="D4" s="143" t="s">
        <v>1350</v>
      </c>
      <c r="E4" s="143" t="s">
        <v>309</v>
      </c>
      <c r="F4" s="143" t="s">
        <v>1351</v>
      </c>
      <c r="G4" s="143" t="s">
        <v>1352</v>
      </c>
      <c r="H4" s="143" t="s">
        <v>321</v>
      </c>
      <c r="I4" s="143" t="s">
        <v>951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448</v>
      </c>
      <c r="O4" s="143" t="s">
        <v>339</v>
      </c>
      <c r="P4" s="143" t="s">
        <v>1222</v>
      </c>
      <c r="Q4" s="143" t="s">
        <v>413</v>
      </c>
      <c r="R4" s="143" t="s">
        <v>407</v>
      </c>
      <c r="S4" s="143" t="s">
        <v>1210</v>
      </c>
      <c r="T4" s="144">
        <v>0.93</v>
      </c>
      <c r="U4" s="143" t="s">
        <v>1353</v>
      </c>
      <c r="V4" s="146">
        <v>2.98E-2</v>
      </c>
      <c r="W4" s="146">
        <v>4.5124999999999998E-2</v>
      </c>
      <c r="X4" s="143" t="s">
        <v>412</v>
      </c>
      <c r="Y4" s="145" t="s">
        <v>3853</v>
      </c>
      <c r="Z4" s="144">
        <v>38189</v>
      </c>
      <c r="AA4" s="145" t="s">
        <v>3853</v>
      </c>
      <c r="AB4" s="143" t="s">
        <v>1354</v>
      </c>
      <c r="AC4" s="145" t="s">
        <v>3853</v>
      </c>
      <c r="AD4" s="144">
        <v>37.738399999999999</v>
      </c>
      <c r="AE4" s="145" t="s">
        <v>3853</v>
      </c>
      <c r="AF4" s="145" t="s">
        <v>3853</v>
      </c>
      <c r="AG4" s="145" t="s">
        <v>3853</v>
      </c>
      <c r="AH4" s="146">
        <v>1.5022554089888287E-5</v>
      </c>
      <c r="AI4" s="146">
        <v>3.4126756513289475E-2</v>
      </c>
      <c r="AJ4" s="147">
        <v>2.5556417800934386E-3</v>
      </c>
      <c r="AK4" s="181"/>
    </row>
    <row r="5" spans="1:37" ht="15" x14ac:dyDescent="0.2">
      <c r="A5" s="142" t="s">
        <v>1205</v>
      </c>
      <c r="B5" s="143" t="s">
        <v>1206</v>
      </c>
      <c r="C5" s="143" t="s">
        <v>1355</v>
      </c>
      <c r="D5" s="143" t="s">
        <v>1356</v>
      </c>
      <c r="E5" s="143" t="s">
        <v>309</v>
      </c>
      <c r="F5" s="143" t="s">
        <v>1357</v>
      </c>
      <c r="G5" s="143" t="s">
        <v>1358</v>
      </c>
      <c r="H5" s="143" t="s">
        <v>321</v>
      </c>
      <c r="I5" s="143" t="s">
        <v>951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445</v>
      </c>
      <c r="O5" s="143" t="s">
        <v>339</v>
      </c>
      <c r="P5" s="143" t="s">
        <v>1359</v>
      </c>
      <c r="Q5" s="143" t="s">
        <v>415</v>
      </c>
      <c r="R5" s="143" t="s">
        <v>407</v>
      </c>
      <c r="S5" s="143" t="s">
        <v>1210</v>
      </c>
      <c r="T5" s="144">
        <v>1.05</v>
      </c>
      <c r="U5" s="143" t="s">
        <v>1360</v>
      </c>
      <c r="V5" s="146">
        <v>3.61E-2</v>
      </c>
      <c r="W5" s="146">
        <v>5.1234000000000002E-2</v>
      </c>
      <c r="X5" s="143" t="s">
        <v>412</v>
      </c>
      <c r="Y5" s="145" t="s">
        <v>3853</v>
      </c>
      <c r="Z5" s="144">
        <v>33647</v>
      </c>
      <c r="AA5" s="145" t="s">
        <v>3853</v>
      </c>
      <c r="AB5" s="143" t="s">
        <v>1361</v>
      </c>
      <c r="AC5" s="145" t="s">
        <v>3853</v>
      </c>
      <c r="AD5" s="144">
        <v>33.650400000000005</v>
      </c>
      <c r="AE5" s="145" t="s">
        <v>3853</v>
      </c>
      <c r="AF5" s="145" t="s">
        <v>3853</v>
      </c>
      <c r="AG5" s="145" t="s">
        <v>3853</v>
      </c>
      <c r="AH5" s="146">
        <v>4.3839739413680781E-5</v>
      </c>
      <c r="AI5" s="146">
        <v>3.0429979058085633E-2</v>
      </c>
      <c r="AJ5" s="147">
        <v>2.2788021421821301E-3</v>
      </c>
      <c r="AK5" s="181"/>
    </row>
    <row r="6" spans="1:37" ht="15" x14ac:dyDescent="0.2">
      <c r="A6" s="142" t="s">
        <v>1205</v>
      </c>
      <c r="B6" s="143" t="s">
        <v>1206</v>
      </c>
      <c r="C6" s="143" t="s">
        <v>1362</v>
      </c>
      <c r="D6" s="143" t="s">
        <v>1363</v>
      </c>
      <c r="E6" s="143" t="s">
        <v>309</v>
      </c>
      <c r="F6" s="143" t="s">
        <v>1364</v>
      </c>
      <c r="G6" s="143" t="s">
        <v>1365</v>
      </c>
      <c r="H6" s="143" t="s">
        <v>321</v>
      </c>
      <c r="I6" s="143" t="s">
        <v>951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440</v>
      </c>
      <c r="O6" s="143" t="s">
        <v>339</v>
      </c>
      <c r="P6" s="143" t="s">
        <v>1366</v>
      </c>
      <c r="Q6" s="143" t="s">
        <v>413</v>
      </c>
      <c r="R6" s="143" t="s">
        <v>407</v>
      </c>
      <c r="S6" s="143" t="s">
        <v>1210</v>
      </c>
      <c r="T6" s="144">
        <v>3.26</v>
      </c>
      <c r="U6" s="143" t="s">
        <v>1367</v>
      </c>
      <c r="V6" s="146">
        <v>2.5000000000000001E-2</v>
      </c>
      <c r="W6" s="146">
        <v>5.9434000000000001E-2</v>
      </c>
      <c r="X6" s="143" t="s">
        <v>412</v>
      </c>
      <c r="Y6" s="145" t="s">
        <v>3853</v>
      </c>
      <c r="Z6" s="144">
        <v>28500</v>
      </c>
      <c r="AA6" s="145" t="s">
        <v>3853</v>
      </c>
      <c r="AB6" s="143" t="s">
        <v>1368</v>
      </c>
      <c r="AC6" s="145" t="s">
        <v>3853</v>
      </c>
      <c r="AD6" s="144">
        <v>25.758299999999998</v>
      </c>
      <c r="AE6" s="145" t="s">
        <v>3853</v>
      </c>
      <c r="AF6" s="145" t="s">
        <v>3853</v>
      </c>
      <c r="AG6" s="145" t="s">
        <v>3853</v>
      </c>
      <c r="AH6" s="146">
        <v>3.5262298608197077E-5</v>
      </c>
      <c r="AI6" s="146">
        <v>2.3293195677367717E-2</v>
      </c>
      <c r="AJ6" s="147">
        <v>1.7443516509338148E-3</v>
      </c>
      <c r="AK6" s="181"/>
    </row>
    <row r="7" spans="1:37" ht="15" x14ac:dyDescent="0.2">
      <c r="A7" s="142" t="s">
        <v>1205</v>
      </c>
      <c r="B7" s="143" t="s">
        <v>1206</v>
      </c>
      <c r="C7" s="143" t="s">
        <v>1343</v>
      </c>
      <c r="D7" s="143" t="s">
        <v>1344</v>
      </c>
      <c r="E7" s="143" t="s">
        <v>309</v>
      </c>
      <c r="F7" s="143" t="s">
        <v>1369</v>
      </c>
      <c r="G7" s="143" t="s">
        <v>1370</v>
      </c>
      <c r="H7" s="143" t="s">
        <v>321</v>
      </c>
      <c r="I7" s="143" t="s">
        <v>951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445</v>
      </c>
      <c r="O7" s="143" t="s">
        <v>339</v>
      </c>
      <c r="P7" s="143" t="s">
        <v>1347</v>
      </c>
      <c r="Q7" s="143" t="s">
        <v>413</v>
      </c>
      <c r="R7" s="143" t="s">
        <v>407</v>
      </c>
      <c r="S7" s="143" t="s">
        <v>1210</v>
      </c>
      <c r="T7" s="144">
        <v>7.66</v>
      </c>
      <c r="U7" s="143" t="s">
        <v>1371</v>
      </c>
      <c r="V7" s="146">
        <v>5.3100000000000001E-2</v>
      </c>
      <c r="W7" s="146">
        <v>6.3355999999999996E-2</v>
      </c>
      <c r="X7" s="143" t="s">
        <v>412</v>
      </c>
      <c r="Y7" s="145" t="s">
        <v>3853</v>
      </c>
      <c r="Z7" s="144">
        <v>24238.2</v>
      </c>
      <c r="AA7" s="145" t="s">
        <v>3853</v>
      </c>
      <c r="AB7" s="143" t="s">
        <v>1372</v>
      </c>
      <c r="AC7" s="145" t="s">
        <v>3853</v>
      </c>
      <c r="AD7" s="144">
        <v>23.106300000000001</v>
      </c>
      <c r="AE7" s="145" t="s">
        <v>3853</v>
      </c>
      <c r="AF7" s="145" t="s">
        <v>3853</v>
      </c>
      <c r="AG7" s="145" t="s">
        <v>3853</v>
      </c>
      <c r="AH7" s="146">
        <v>1.9034526416499415E-5</v>
      </c>
      <c r="AI7" s="146">
        <v>2.0894974033257518E-2</v>
      </c>
      <c r="AJ7" s="147">
        <v>1.5647566334809938E-3</v>
      </c>
      <c r="AK7" s="181"/>
    </row>
    <row r="8" spans="1:37" ht="15" x14ac:dyDescent="0.2">
      <c r="A8" s="142" t="s">
        <v>1205</v>
      </c>
      <c r="B8" s="143" t="s">
        <v>1206</v>
      </c>
      <c r="C8" s="143" t="s">
        <v>1373</v>
      </c>
      <c r="D8" s="143" t="s">
        <v>1374</v>
      </c>
      <c r="E8" s="143" t="s">
        <v>309</v>
      </c>
      <c r="F8" s="143" t="s">
        <v>1375</v>
      </c>
      <c r="G8" s="143" t="s">
        <v>1376</v>
      </c>
      <c r="H8" s="143" t="s">
        <v>321</v>
      </c>
      <c r="I8" s="143" t="s">
        <v>951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484</v>
      </c>
      <c r="O8" s="143" t="s">
        <v>339</v>
      </c>
      <c r="P8" s="143" t="s">
        <v>1377</v>
      </c>
      <c r="Q8" s="143" t="s">
        <v>415</v>
      </c>
      <c r="R8" s="143" t="s">
        <v>407</v>
      </c>
      <c r="S8" s="143" t="s">
        <v>1210</v>
      </c>
      <c r="T8" s="144">
        <v>0.9</v>
      </c>
      <c r="U8" s="143" t="s">
        <v>1378</v>
      </c>
      <c r="V8" s="146">
        <v>3.6499999999999998E-2</v>
      </c>
      <c r="W8" s="146">
        <v>4.8802999999999999E-2</v>
      </c>
      <c r="X8" s="143" t="s">
        <v>412</v>
      </c>
      <c r="Y8" s="145" t="s">
        <v>3853</v>
      </c>
      <c r="Z8" s="144">
        <v>19102.91</v>
      </c>
      <c r="AA8" s="145" t="s">
        <v>3853</v>
      </c>
      <c r="AB8" s="143" t="s">
        <v>1379</v>
      </c>
      <c r="AC8" s="145" t="s">
        <v>3853</v>
      </c>
      <c r="AD8" s="144">
        <v>18.9635</v>
      </c>
      <c r="AE8" s="145" t="s">
        <v>3853</v>
      </c>
      <c r="AF8" s="145" t="s">
        <v>3853</v>
      </c>
      <c r="AG8" s="145" t="s">
        <v>3853</v>
      </c>
      <c r="AH8" s="146">
        <v>1.7937326354045738E-5</v>
      </c>
      <c r="AI8" s="146">
        <v>1.7148629977385671E-2</v>
      </c>
      <c r="AJ8" s="147">
        <v>1.2842051140870422E-3</v>
      </c>
      <c r="AK8" s="181"/>
    </row>
    <row r="9" spans="1:37" ht="15" x14ac:dyDescent="0.2">
      <c r="A9" s="142" t="s">
        <v>1205</v>
      </c>
      <c r="B9" s="143" t="s">
        <v>1206</v>
      </c>
      <c r="C9" s="143" t="s">
        <v>1380</v>
      </c>
      <c r="D9" s="143" t="s">
        <v>1381</v>
      </c>
      <c r="E9" s="143" t="s">
        <v>309</v>
      </c>
      <c r="F9" s="143" t="s">
        <v>1382</v>
      </c>
      <c r="G9" s="143" t="s">
        <v>1383</v>
      </c>
      <c r="H9" s="143" t="s">
        <v>321</v>
      </c>
      <c r="I9" s="143" t="s">
        <v>951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445</v>
      </c>
      <c r="O9" s="143" t="s">
        <v>339</v>
      </c>
      <c r="P9" s="143" t="s">
        <v>1347</v>
      </c>
      <c r="Q9" s="143" t="s">
        <v>413</v>
      </c>
      <c r="R9" s="143" t="s">
        <v>407</v>
      </c>
      <c r="S9" s="143" t="s">
        <v>1210</v>
      </c>
      <c r="T9" s="144">
        <v>5.4</v>
      </c>
      <c r="U9" s="143" t="s">
        <v>1384</v>
      </c>
      <c r="V9" s="146">
        <v>5.2499999999999998E-2</v>
      </c>
      <c r="W9" s="146">
        <v>5.9947E-2</v>
      </c>
      <c r="X9" s="143" t="s">
        <v>412</v>
      </c>
      <c r="Y9" s="145" t="s">
        <v>3853</v>
      </c>
      <c r="Z9" s="144">
        <v>19000</v>
      </c>
      <c r="AA9" s="145" t="s">
        <v>3853</v>
      </c>
      <c r="AB9" s="143" t="s">
        <v>1385</v>
      </c>
      <c r="AC9" s="145" t="s">
        <v>3853</v>
      </c>
      <c r="AD9" s="144">
        <v>18.509799999999998</v>
      </c>
      <c r="AE9" s="145" t="s">
        <v>3853</v>
      </c>
      <c r="AF9" s="145" t="s">
        <v>3853</v>
      </c>
      <c r="AG9" s="145" t="s">
        <v>3853</v>
      </c>
      <c r="AH9" s="146">
        <v>3.8000000000000002E-5</v>
      </c>
      <c r="AI9" s="146">
        <v>1.6738386980077916E-2</v>
      </c>
      <c r="AJ9" s="147">
        <v>1.2534833505493269E-3</v>
      </c>
      <c r="AK9" s="181"/>
    </row>
    <row r="10" spans="1:37" ht="15" x14ac:dyDescent="0.2">
      <c r="A10" s="142" t="s">
        <v>1205</v>
      </c>
      <c r="B10" s="143" t="s">
        <v>1206</v>
      </c>
      <c r="C10" s="143" t="s">
        <v>1386</v>
      </c>
      <c r="D10" s="143" t="s">
        <v>1387</v>
      </c>
      <c r="E10" s="143" t="s">
        <v>309</v>
      </c>
      <c r="F10" s="143" t="s">
        <v>1388</v>
      </c>
      <c r="G10" s="143" t="s">
        <v>1389</v>
      </c>
      <c r="H10" s="143" t="s">
        <v>321</v>
      </c>
      <c r="I10" s="143" t="s">
        <v>951</v>
      </c>
      <c r="J10" s="143" t="s">
        <v>204</v>
      </c>
      <c r="K10" s="143" t="s">
        <v>204</v>
      </c>
      <c r="L10" s="143" t="s">
        <v>325</v>
      </c>
      <c r="M10" s="143" t="s">
        <v>340</v>
      </c>
      <c r="N10" s="143" t="s">
        <v>464</v>
      </c>
      <c r="O10" s="143" t="s">
        <v>339</v>
      </c>
      <c r="P10" s="143" t="s">
        <v>1359</v>
      </c>
      <c r="Q10" s="143" t="s">
        <v>415</v>
      </c>
      <c r="R10" s="143" t="s">
        <v>407</v>
      </c>
      <c r="S10" s="143" t="s">
        <v>1210</v>
      </c>
      <c r="T10" s="144">
        <v>1.6</v>
      </c>
      <c r="U10" s="143" t="s">
        <v>1390</v>
      </c>
      <c r="V10" s="146">
        <v>3.85E-2</v>
      </c>
      <c r="W10" s="146">
        <v>5.5798E-2</v>
      </c>
      <c r="X10" s="143" t="s">
        <v>412</v>
      </c>
      <c r="Y10" s="145" t="s">
        <v>3853</v>
      </c>
      <c r="Z10" s="144">
        <v>12894.3</v>
      </c>
      <c r="AA10" s="145" t="s">
        <v>3853</v>
      </c>
      <c r="AB10" s="143" t="s">
        <v>1391</v>
      </c>
      <c r="AC10" s="145" t="s">
        <v>3853</v>
      </c>
      <c r="AD10" s="144">
        <v>12.7189</v>
      </c>
      <c r="AE10" s="145" t="s">
        <v>3853</v>
      </c>
      <c r="AF10" s="145" t="s">
        <v>3853</v>
      </c>
      <c r="AG10" s="145" t="s">
        <v>3853</v>
      </c>
      <c r="AH10" s="146">
        <v>1.7940220510566879E-5</v>
      </c>
      <c r="AI10" s="146">
        <v>1.1501717910792795E-2</v>
      </c>
      <c r="AJ10" s="147">
        <v>8.6132623896515066E-4</v>
      </c>
      <c r="AK10" s="181"/>
    </row>
    <row r="11" spans="1:37" ht="15" x14ac:dyDescent="0.2">
      <c r="A11" s="142" t="s">
        <v>1205</v>
      </c>
      <c r="B11" s="143" t="s">
        <v>1206</v>
      </c>
      <c r="C11" s="143" t="s">
        <v>1392</v>
      </c>
      <c r="D11" s="143" t="s">
        <v>1393</v>
      </c>
      <c r="E11" s="143" t="s">
        <v>309</v>
      </c>
      <c r="F11" s="143" t="s">
        <v>1394</v>
      </c>
      <c r="G11" s="143" t="s">
        <v>1395</v>
      </c>
      <c r="H11" s="143" t="s">
        <v>321</v>
      </c>
      <c r="I11" s="143" t="s">
        <v>951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463</v>
      </c>
      <c r="O11" s="143" t="s">
        <v>339</v>
      </c>
      <c r="P11" s="143" t="s">
        <v>1396</v>
      </c>
      <c r="Q11" s="143" t="s">
        <v>413</v>
      </c>
      <c r="R11" s="143" t="s">
        <v>407</v>
      </c>
      <c r="S11" s="143" t="s">
        <v>1210</v>
      </c>
      <c r="T11" s="144">
        <v>0.73</v>
      </c>
      <c r="U11" s="143" t="s">
        <v>1397</v>
      </c>
      <c r="V11" s="146">
        <v>3.3500000000000002E-2</v>
      </c>
      <c r="W11" s="146">
        <v>5.6055000000000001E-2</v>
      </c>
      <c r="X11" s="143" t="s">
        <v>412</v>
      </c>
      <c r="Y11" s="145" t="s">
        <v>3853</v>
      </c>
      <c r="Z11" s="144">
        <v>12400.37</v>
      </c>
      <c r="AA11" s="145" t="s">
        <v>3853</v>
      </c>
      <c r="AB11" s="143" t="s">
        <v>1379</v>
      </c>
      <c r="AC11" s="145" t="s">
        <v>3853</v>
      </c>
      <c r="AD11" s="144">
        <v>12.309799999999999</v>
      </c>
      <c r="AE11" s="145" t="s">
        <v>3853</v>
      </c>
      <c r="AF11" s="145" t="s">
        <v>3853</v>
      </c>
      <c r="AG11" s="145" t="s">
        <v>3853</v>
      </c>
      <c r="AH11" s="146">
        <v>9.0227555837548679E-5</v>
      </c>
      <c r="AI11" s="146">
        <v>1.1131778180008907E-2</v>
      </c>
      <c r="AJ11" s="147">
        <v>8.3362265594988068E-4</v>
      </c>
      <c r="AK11" s="181"/>
    </row>
    <row r="12" spans="1:37" ht="15" x14ac:dyDescent="0.2">
      <c r="A12" s="142" t="s">
        <v>1205</v>
      </c>
      <c r="B12" s="143" t="s">
        <v>1206</v>
      </c>
      <c r="C12" s="143" t="s">
        <v>1398</v>
      </c>
      <c r="D12" s="143" t="s">
        <v>1399</v>
      </c>
      <c r="E12" s="143" t="s">
        <v>309</v>
      </c>
      <c r="F12" s="143" t="s">
        <v>1400</v>
      </c>
      <c r="G12" s="143" t="s">
        <v>1401</v>
      </c>
      <c r="H12" s="143" t="s">
        <v>321</v>
      </c>
      <c r="I12" s="143" t="s">
        <v>951</v>
      </c>
      <c r="J12" s="143" t="s">
        <v>204</v>
      </c>
      <c r="K12" s="143" t="s">
        <v>204</v>
      </c>
      <c r="L12" s="143" t="s">
        <v>325</v>
      </c>
      <c r="M12" s="143" t="s">
        <v>340</v>
      </c>
      <c r="N12" s="143" t="s">
        <v>484</v>
      </c>
      <c r="O12" s="143" t="s">
        <v>339</v>
      </c>
      <c r="P12" s="143" t="s">
        <v>1402</v>
      </c>
      <c r="Q12" s="143" t="s">
        <v>415</v>
      </c>
      <c r="R12" s="143" t="s">
        <v>407</v>
      </c>
      <c r="S12" s="143" t="s">
        <v>1210</v>
      </c>
      <c r="T12" s="144">
        <v>2.3199999999999998</v>
      </c>
      <c r="U12" s="143" t="s">
        <v>1403</v>
      </c>
      <c r="V12" s="146">
        <v>3.6499999999999998E-2</v>
      </c>
      <c r="W12" s="146">
        <v>5.8046E-2</v>
      </c>
      <c r="X12" s="143" t="s">
        <v>412</v>
      </c>
      <c r="Y12" s="145" t="s">
        <v>3853</v>
      </c>
      <c r="Z12" s="144">
        <v>12546.5</v>
      </c>
      <c r="AA12" s="145" t="s">
        <v>3853</v>
      </c>
      <c r="AB12" s="143" t="s">
        <v>1404</v>
      </c>
      <c r="AC12" s="145" t="s">
        <v>3853</v>
      </c>
      <c r="AD12" s="144">
        <v>12.007</v>
      </c>
      <c r="AE12" s="145" t="s">
        <v>3853</v>
      </c>
      <c r="AF12" s="145" t="s">
        <v>3853</v>
      </c>
      <c r="AG12" s="145" t="s">
        <v>3853</v>
      </c>
      <c r="AH12" s="146">
        <v>6.242764576644814E-6</v>
      </c>
      <c r="AI12" s="146">
        <v>1.0857914231325514E-2</v>
      </c>
      <c r="AJ12" s="147">
        <v>8.1311387571921055E-4</v>
      </c>
      <c r="AK12" s="181"/>
    </row>
    <row r="13" spans="1:37" ht="15" x14ac:dyDescent="0.2">
      <c r="A13" s="142" t="s">
        <v>1205</v>
      </c>
      <c r="B13" s="143" t="s">
        <v>1206</v>
      </c>
      <c r="C13" s="143" t="s">
        <v>1405</v>
      </c>
      <c r="D13" s="143" t="s">
        <v>1406</v>
      </c>
      <c r="E13" s="143" t="s">
        <v>309</v>
      </c>
      <c r="F13" s="143" t="s">
        <v>1407</v>
      </c>
      <c r="G13" s="143" t="s">
        <v>1408</v>
      </c>
      <c r="H13" s="143" t="s">
        <v>321</v>
      </c>
      <c r="I13" s="143" t="s">
        <v>951</v>
      </c>
      <c r="J13" s="143" t="s">
        <v>204</v>
      </c>
      <c r="K13" s="143" t="s">
        <v>204</v>
      </c>
      <c r="L13" s="143" t="s">
        <v>325</v>
      </c>
      <c r="M13" s="143" t="s">
        <v>340</v>
      </c>
      <c r="N13" s="143" t="s">
        <v>475</v>
      </c>
      <c r="O13" s="143" t="s">
        <v>339</v>
      </c>
      <c r="P13" s="143" t="s">
        <v>1409</v>
      </c>
      <c r="Q13" s="143" t="s">
        <v>413</v>
      </c>
      <c r="R13" s="143" t="s">
        <v>407</v>
      </c>
      <c r="S13" s="143" t="s">
        <v>1210</v>
      </c>
      <c r="T13" s="144">
        <v>2.5</v>
      </c>
      <c r="U13" s="143" t="s">
        <v>1410</v>
      </c>
      <c r="V13" s="146">
        <v>5.0900000000000001E-2</v>
      </c>
      <c r="W13" s="146">
        <v>5.1853000000000003E-2</v>
      </c>
      <c r="X13" s="143" t="s">
        <v>412</v>
      </c>
      <c r="Y13" s="145" t="s">
        <v>3853</v>
      </c>
      <c r="Z13" s="144">
        <v>9588.82</v>
      </c>
      <c r="AA13" s="145" t="s">
        <v>3853</v>
      </c>
      <c r="AB13" s="143" t="s">
        <v>1411</v>
      </c>
      <c r="AC13" s="145" t="s">
        <v>3853</v>
      </c>
      <c r="AD13" s="144">
        <v>9.9206000000000003</v>
      </c>
      <c r="AE13" s="145" t="s">
        <v>3853</v>
      </c>
      <c r="AF13" s="145" t="s">
        <v>3853</v>
      </c>
      <c r="AG13" s="145" t="s">
        <v>3853</v>
      </c>
      <c r="AH13" s="146">
        <v>1.5479352733881453E-5</v>
      </c>
      <c r="AI13" s="146">
        <v>8.9711789206179792E-3</v>
      </c>
      <c r="AJ13" s="147">
        <v>6.7182240589716449E-4</v>
      </c>
      <c r="AK13" s="181"/>
    </row>
    <row r="14" spans="1:37" ht="15" x14ac:dyDescent="0.2">
      <c r="A14" s="142" t="s">
        <v>1205</v>
      </c>
      <c r="B14" s="143" t="s">
        <v>1206</v>
      </c>
      <c r="C14" s="143" t="s">
        <v>1412</v>
      </c>
      <c r="D14" s="143" t="s">
        <v>1413</v>
      </c>
      <c r="E14" s="143" t="s">
        <v>309</v>
      </c>
      <c r="F14" s="143" t="s">
        <v>1414</v>
      </c>
      <c r="G14" s="143" t="s">
        <v>1415</v>
      </c>
      <c r="H14" s="143" t="s">
        <v>321</v>
      </c>
      <c r="I14" s="143" t="s">
        <v>951</v>
      </c>
      <c r="J14" s="143" t="s">
        <v>204</v>
      </c>
      <c r="K14" s="143" t="s">
        <v>204</v>
      </c>
      <c r="L14" s="143" t="s">
        <v>325</v>
      </c>
      <c r="M14" s="143" t="s">
        <v>340</v>
      </c>
      <c r="N14" s="143" t="s">
        <v>451</v>
      </c>
      <c r="O14" s="143" t="s">
        <v>339</v>
      </c>
      <c r="P14" s="143" t="s">
        <v>1396</v>
      </c>
      <c r="Q14" s="143" t="s">
        <v>413</v>
      </c>
      <c r="R14" s="143" t="s">
        <v>407</v>
      </c>
      <c r="S14" s="143" t="s">
        <v>1210</v>
      </c>
      <c r="T14" s="144">
        <v>1.46</v>
      </c>
      <c r="U14" s="143" t="s">
        <v>1416</v>
      </c>
      <c r="V14" s="146">
        <v>0.04</v>
      </c>
      <c r="W14" s="146">
        <v>4.9484E-2</v>
      </c>
      <c r="X14" s="143" t="s">
        <v>412</v>
      </c>
      <c r="Y14" s="145" t="s">
        <v>3853</v>
      </c>
      <c r="Z14" s="144">
        <v>9399.81</v>
      </c>
      <c r="AA14" s="145" t="s">
        <v>3853</v>
      </c>
      <c r="AB14" s="143" t="s">
        <v>1417</v>
      </c>
      <c r="AC14" s="145" t="s">
        <v>3853</v>
      </c>
      <c r="AD14" s="144">
        <v>9.2832999999999988</v>
      </c>
      <c r="AE14" s="145" t="s">
        <v>3853</v>
      </c>
      <c r="AF14" s="145" t="s">
        <v>3853</v>
      </c>
      <c r="AG14" s="145" t="s">
        <v>3853</v>
      </c>
      <c r="AH14" s="146">
        <v>7.1341606637562958E-5</v>
      </c>
      <c r="AI14" s="146">
        <v>8.394832487031087E-3</v>
      </c>
      <c r="AJ14" s="147">
        <v>6.2866169635510984E-4</v>
      </c>
      <c r="AK14" s="181"/>
    </row>
    <row r="15" spans="1:37" ht="15" x14ac:dyDescent="0.2">
      <c r="A15" s="142" t="s">
        <v>1205</v>
      </c>
      <c r="B15" s="143" t="s">
        <v>1206</v>
      </c>
      <c r="C15" s="143" t="s">
        <v>1418</v>
      </c>
      <c r="D15" s="143" t="s">
        <v>1419</v>
      </c>
      <c r="E15" s="143" t="s">
        <v>309</v>
      </c>
      <c r="F15" s="143" t="s">
        <v>1420</v>
      </c>
      <c r="G15" s="143" t="s">
        <v>1421</v>
      </c>
      <c r="H15" s="143" t="s">
        <v>321</v>
      </c>
      <c r="I15" s="143" t="s">
        <v>951</v>
      </c>
      <c r="J15" s="143" t="s">
        <v>204</v>
      </c>
      <c r="K15" s="143" t="s">
        <v>204</v>
      </c>
      <c r="L15" s="143" t="s">
        <v>325</v>
      </c>
      <c r="M15" s="143" t="s">
        <v>340</v>
      </c>
      <c r="N15" s="143" t="s">
        <v>445</v>
      </c>
      <c r="O15" s="143" t="s">
        <v>339</v>
      </c>
      <c r="P15" s="143" t="s">
        <v>1377</v>
      </c>
      <c r="Q15" s="143" t="s">
        <v>415</v>
      </c>
      <c r="R15" s="143" t="s">
        <v>407</v>
      </c>
      <c r="S15" s="143" t="s">
        <v>1210</v>
      </c>
      <c r="T15" s="144">
        <v>1.2</v>
      </c>
      <c r="U15" s="143" t="s">
        <v>1422</v>
      </c>
      <c r="V15" s="146">
        <v>2.9399999999999999E-2</v>
      </c>
      <c r="W15" s="146">
        <v>4.9301999999999999E-2</v>
      </c>
      <c r="X15" s="143" t="s">
        <v>412</v>
      </c>
      <c r="Y15" s="145" t="s">
        <v>3853</v>
      </c>
      <c r="Z15" s="144">
        <v>6406.56</v>
      </c>
      <c r="AA15" s="145" t="s">
        <v>3853</v>
      </c>
      <c r="AB15" s="143" t="s">
        <v>1423</v>
      </c>
      <c r="AC15" s="145" t="s">
        <v>3853</v>
      </c>
      <c r="AD15" s="144">
        <v>6.3982000000000001</v>
      </c>
      <c r="AE15" s="145" t="s">
        <v>3853</v>
      </c>
      <c r="AF15" s="145" t="s">
        <v>3853</v>
      </c>
      <c r="AG15" s="145" t="s">
        <v>3853</v>
      </c>
      <c r="AH15" s="146">
        <v>3.9935607684941507E-5</v>
      </c>
      <c r="AI15" s="146">
        <v>5.7859120231687836E-3</v>
      </c>
      <c r="AJ15" s="147">
        <v>4.33288129699549E-4</v>
      </c>
      <c r="AK15" s="181"/>
    </row>
    <row r="16" spans="1:37" ht="15" x14ac:dyDescent="0.2">
      <c r="A16" s="142" t="s">
        <v>1205</v>
      </c>
      <c r="B16" s="143" t="s">
        <v>1206</v>
      </c>
      <c r="C16" s="143" t="s">
        <v>1424</v>
      </c>
      <c r="D16" s="143" t="s">
        <v>1425</v>
      </c>
      <c r="E16" s="143" t="s">
        <v>309</v>
      </c>
      <c r="F16" s="143" t="s">
        <v>1426</v>
      </c>
      <c r="G16" s="143" t="s">
        <v>1427</v>
      </c>
      <c r="H16" s="143" t="s">
        <v>321</v>
      </c>
      <c r="I16" s="143" t="s">
        <v>951</v>
      </c>
      <c r="J16" s="143" t="s">
        <v>204</v>
      </c>
      <c r="K16" s="143" t="s">
        <v>204</v>
      </c>
      <c r="L16" s="143" t="s">
        <v>325</v>
      </c>
      <c r="M16" s="143" t="s">
        <v>340</v>
      </c>
      <c r="N16" s="143" t="s">
        <v>445</v>
      </c>
      <c r="O16" s="143" t="s">
        <v>339</v>
      </c>
      <c r="P16" s="143" t="s">
        <v>1359</v>
      </c>
      <c r="Q16" s="143" t="s">
        <v>415</v>
      </c>
      <c r="R16" s="143" t="s">
        <v>407</v>
      </c>
      <c r="S16" s="143" t="s">
        <v>1210</v>
      </c>
      <c r="T16" s="144">
        <v>3.28</v>
      </c>
      <c r="U16" s="143" t="s">
        <v>1428</v>
      </c>
      <c r="V16" s="146">
        <v>4.36E-2</v>
      </c>
      <c r="W16" s="146">
        <v>5.1854999999999998E-2</v>
      </c>
      <c r="X16" s="143" t="s">
        <v>412</v>
      </c>
      <c r="Y16" s="145" t="s">
        <v>3853</v>
      </c>
      <c r="Z16" s="144">
        <v>5973</v>
      </c>
      <c r="AA16" s="145" t="s">
        <v>3853</v>
      </c>
      <c r="AB16" s="143" t="s">
        <v>1429</v>
      </c>
      <c r="AC16" s="145" t="s">
        <v>3853</v>
      </c>
      <c r="AD16" s="144">
        <v>5.8296000000000001</v>
      </c>
      <c r="AE16" s="145" t="s">
        <v>3853</v>
      </c>
      <c r="AF16" s="145" t="s">
        <v>3853</v>
      </c>
      <c r="AG16" s="145" t="s">
        <v>3853</v>
      </c>
      <c r="AH16" s="146">
        <v>1.9910000000000001E-5</v>
      </c>
      <c r="AI16" s="146">
        <v>5.2717427623009032E-3</v>
      </c>
      <c r="AJ16" s="147">
        <v>3.9478366635853341E-4</v>
      </c>
      <c r="AK16" s="181"/>
    </row>
    <row r="17" spans="1:37" ht="15" x14ac:dyDescent="0.2">
      <c r="A17" s="142" t="s">
        <v>1205</v>
      </c>
      <c r="B17" s="143" t="s">
        <v>1206</v>
      </c>
      <c r="C17" s="143" t="s">
        <v>1430</v>
      </c>
      <c r="D17" s="143" t="s">
        <v>1431</v>
      </c>
      <c r="E17" s="143" t="s">
        <v>309</v>
      </c>
      <c r="F17" s="143" t="s">
        <v>1432</v>
      </c>
      <c r="G17" s="143" t="s">
        <v>1433</v>
      </c>
      <c r="H17" s="143" t="s">
        <v>321</v>
      </c>
      <c r="I17" s="143" t="s">
        <v>951</v>
      </c>
      <c r="J17" s="143" t="s">
        <v>204</v>
      </c>
      <c r="K17" s="143" t="s">
        <v>204</v>
      </c>
      <c r="L17" s="143" t="s">
        <v>325</v>
      </c>
      <c r="M17" s="143" t="s">
        <v>340</v>
      </c>
      <c r="N17" s="143" t="s">
        <v>484</v>
      </c>
      <c r="O17" s="143" t="s">
        <v>339</v>
      </c>
      <c r="P17" s="143" t="s">
        <v>1396</v>
      </c>
      <c r="Q17" s="143" t="s">
        <v>413</v>
      </c>
      <c r="R17" s="143" t="s">
        <v>407</v>
      </c>
      <c r="S17" s="143" t="s">
        <v>1210</v>
      </c>
      <c r="T17" s="144">
        <v>1</v>
      </c>
      <c r="U17" s="143" t="s">
        <v>1434</v>
      </c>
      <c r="V17" s="146">
        <v>4.1399999999999999E-2</v>
      </c>
      <c r="W17" s="146">
        <v>5.1020999999999997E-2</v>
      </c>
      <c r="X17" s="143" t="s">
        <v>412</v>
      </c>
      <c r="Y17" s="145" t="s">
        <v>3853</v>
      </c>
      <c r="Z17" s="144">
        <v>1891.87</v>
      </c>
      <c r="AA17" s="145" t="s">
        <v>3853</v>
      </c>
      <c r="AB17" s="143" t="s">
        <v>1435</v>
      </c>
      <c r="AC17" s="144">
        <v>1.9702</v>
      </c>
      <c r="AD17" s="144">
        <v>3.8447</v>
      </c>
      <c r="AE17" s="145" t="s">
        <v>3853</v>
      </c>
      <c r="AF17" s="145" t="s">
        <v>3853</v>
      </c>
      <c r="AG17" s="145" t="s">
        <v>3853</v>
      </c>
      <c r="AH17" s="146">
        <v>1.6807450732506508E-5</v>
      </c>
      <c r="AI17" s="146">
        <v>5.2583562450453387E-3</v>
      </c>
      <c r="AJ17" s="147">
        <v>3.9378119362793747E-4</v>
      </c>
      <c r="AK17" s="181"/>
    </row>
    <row r="18" spans="1:37" ht="15" x14ac:dyDescent="0.2">
      <c r="A18" s="142" t="s">
        <v>1205</v>
      </c>
      <c r="B18" s="143" t="s">
        <v>1206</v>
      </c>
      <c r="C18" s="143" t="s">
        <v>1436</v>
      </c>
      <c r="D18" s="143" t="s">
        <v>1437</v>
      </c>
      <c r="E18" s="143" t="s">
        <v>309</v>
      </c>
      <c r="F18" s="143" t="s">
        <v>1438</v>
      </c>
      <c r="G18" s="143" t="s">
        <v>1439</v>
      </c>
      <c r="H18" s="143" t="s">
        <v>321</v>
      </c>
      <c r="I18" s="143" t="s">
        <v>951</v>
      </c>
      <c r="J18" s="143" t="s">
        <v>204</v>
      </c>
      <c r="K18" s="143" t="s">
        <v>204</v>
      </c>
      <c r="L18" s="143" t="s">
        <v>325</v>
      </c>
      <c r="M18" s="143" t="s">
        <v>340</v>
      </c>
      <c r="N18" s="143" t="s">
        <v>465</v>
      </c>
      <c r="O18" s="143" t="s">
        <v>339</v>
      </c>
      <c r="P18" s="143" t="s">
        <v>1440</v>
      </c>
      <c r="Q18" s="143" t="s">
        <v>415</v>
      </c>
      <c r="R18" s="143" t="s">
        <v>407</v>
      </c>
      <c r="S18" s="143" t="s">
        <v>1210</v>
      </c>
      <c r="T18" s="144">
        <v>0.61</v>
      </c>
      <c r="U18" s="143" t="s">
        <v>1441</v>
      </c>
      <c r="V18" s="146">
        <v>3.5000000000000003E-2</v>
      </c>
      <c r="W18" s="146">
        <v>5.5946000000000003E-2</v>
      </c>
      <c r="X18" s="143" t="s">
        <v>412</v>
      </c>
      <c r="Y18" s="145" t="s">
        <v>3853</v>
      </c>
      <c r="Z18" s="144">
        <v>1689.19</v>
      </c>
      <c r="AA18" s="145" t="s">
        <v>3853</v>
      </c>
      <c r="AB18" s="143" t="s">
        <v>1442</v>
      </c>
      <c r="AC18" s="145" t="s">
        <v>3853</v>
      </c>
      <c r="AD18" s="144">
        <v>1.6910000000000001</v>
      </c>
      <c r="AE18" s="145" t="s">
        <v>3853</v>
      </c>
      <c r="AF18" s="145" t="s">
        <v>3853</v>
      </c>
      <c r="AG18" s="145" t="s">
        <v>3853</v>
      </c>
      <c r="AH18" s="146">
        <v>1.1747618054106683E-5</v>
      </c>
      <c r="AI18" s="146">
        <v>1.5292125063680309E-3</v>
      </c>
      <c r="AJ18" s="147">
        <v>1.1451775003562562E-4</v>
      </c>
      <c r="AK18" s="181"/>
    </row>
    <row r="19" spans="1:37" ht="15" x14ac:dyDescent="0.2">
      <c r="A19" s="142" t="s">
        <v>1205</v>
      </c>
      <c r="B19" s="143" t="s">
        <v>1206</v>
      </c>
      <c r="C19" s="143" t="s">
        <v>1424</v>
      </c>
      <c r="D19" s="143" t="s">
        <v>1425</v>
      </c>
      <c r="E19" s="143" t="s">
        <v>309</v>
      </c>
      <c r="F19" s="143" t="s">
        <v>1443</v>
      </c>
      <c r="G19" s="143" t="s">
        <v>1444</v>
      </c>
      <c r="H19" s="143" t="s">
        <v>321</v>
      </c>
      <c r="I19" s="143" t="s">
        <v>951</v>
      </c>
      <c r="J19" s="143" t="s">
        <v>204</v>
      </c>
      <c r="K19" s="143" t="s">
        <v>204</v>
      </c>
      <c r="L19" s="143" t="s">
        <v>325</v>
      </c>
      <c r="M19" s="143" t="s">
        <v>340</v>
      </c>
      <c r="N19" s="143" t="s">
        <v>445</v>
      </c>
      <c r="O19" s="143" t="s">
        <v>339</v>
      </c>
      <c r="P19" s="143" t="s">
        <v>1359</v>
      </c>
      <c r="Q19" s="143" t="s">
        <v>415</v>
      </c>
      <c r="R19" s="143" t="s">
        <v>407</v>
      </c>
      <c r="S19" s="143" t="s">
        <v>1210</v>
      </c>
      <c r="T19" s="144">
        <v>4.97</v>
      </c>
      <c r="U19" s="143" t="s">
        <v>1445</v>
      </c>
      <c r="V19" s="146">
        <v>3.95E-2</v>
      </c>
      <c r="W19" s="146">
        <v>5.5541E-2</v>
      </c>
      <c r="X19" s="143" t="s">
        <v>412</v>
      </c>
      <c r="Y19" s="145" t="s">
        <v>3853</v>
      </c>
      <c r="Z19" s="144">
        <v>1164</v>
      </c>
      <c r="AA19" s="145" t="s">
        <v>3853</v>
      </c>
      <c r="AB19" s="143" t="s">
        <v>1446</v>
      </c>
      <c r="AC19" s="145" t="s">
        <v>3853</v>
      </c>
      <c r="AD19" s="144">
        <v>1.0804</v>
      </c>
      <c r="AE19" s="145" t="s">
        <v>3853</v>
      </c>
      <c r="AF19" s="145" t="s">
        <v>3853</v>
      </c>
      <c r="AG19" s="145" t="s">
        <v>3853</v>
      </c>
      <c r="AH19" s="146">
        <v>4.8497984706660503E-6</v>
      </c>
      <c r="AI19" s="146">
        <v>9.7702667804478089E-4</v>
      </c>
      <c r="AJ19" s="147">
        <v>7.3166349626715922E-5</v>
      </c>
      <c r="AK19" s="181"/>
    </row>
    <row r="20" spans="1:37" ht="15" x14ac:dyDescent="0.2">
      <c r="A20" s="142" t="s">
        <v>1205</v>
      </c>
      <c r="B20" s="143" t="s">
        <v>1206</v>
      </c>
      <c r="C20" s="143" t="s">
        <v>1424</v>
      </c>
      <c r="D20" s="143" t="s">
        <v>1425</v>
      </c>
      <c r="E20" s="143" t="s">
        <v>309</v>
      </c>
      <c r="F20" s="143" t="s">
        <v>1447</v>
      </c>
      <c r="G20" s="143" t="s">
        <v>1448</v>
      </c>
      <c r="H20" s="143" t="s">
        <v>321</v>
      </c>
      <c r="I20" s="143" t="s">
        <v>951</v>
      </c>
      <c r="J20" s="143" t="s">
        <v>204</v>
      </c>
      <c r="K20" s="143" t="s">
        <v>204</v>
      </c>
      <c r="L20" s="143" t="s">
        <v>325</v>
      </c>
      <c r="M20" s="143" t="s">
        <v>340</v>
      </c>
      <c r="N20" s="143" t="s">
        <v>445</v>
      </c>
      <c r="O20" s="143" t="s">
        <v>339</v>
      </c>
      <c r="P20" s="143" t="s">
        <v>1359</v>
      </c>
      <c r="Q20" s="143" t="s">
        <v>415</v>
      </c>
      <c r="R20" s="143" t="s">
        <v>407</v>
      </c>
      <c r="S20" s="143" t="s">
        <v>1210</v>
      </c>
      <c r="T20" s="144">
        <v>4.16</v>
      </c>
      <c r="U20" s="143" t="s">
        <v>1449</v>
      </c>
      <c r="V20" s="146">
        <v>3.95E-2</v>
      </c>
      <c r="W20" s="146">
        <v>5.3097999999999999E-2</v>
      </c>
      <c r="X20" s="143" t="s">
        <v>412</v>
      </c>
      <c r="Y20" s="145" t="s">
        <v>3853</v>
      </c>
      <c r="Z20" s="144">
        <v>822</v>
      </c>
      <c r="AA20" s="145" t="s">
        <v>3853</v>
      </c>
      <c r="AB20" s="143" t="s">
        <v>1450</v>
      </c>
      <c r="AC20" s="145" t="s">
        <v>3853</v>
      </c>
      <c r="AD20" s="144">
        <v>0.77989999999999993</v>
      </c>
      <c r="AE20" s="145" t="s">
        <v>3853</v>
      </c>
      <c r="AF20" s="145" t="s">
        <v>3853</v>
      </c>
      <c r="AG20" s="145" t="s">
        <v>3853</v>
      </c>
      <c r="AH20" s="146">
        <v>3.4248576828930353E-6</v>
      </c>
      <c r="AI20" s="146">
        <v>7.0527480836236444E-4</v>
      </c>
      <c r="AJ20" s="147">
        <v>5.2815736121783458E-5</v>
      </c>
      <c r="AK20" s="181"/>
    </row>
    <row r="21" spans="1:37" ht="15" x14ac:dyDescent="0.2">
      <c r="A21" s="142" t="s">
        <v>1205</v>
      </c>
      <c r="B21" s="143" t="s">
        <v>1206</v>
      </c>
      <c r="C21" s="143" t="s">
        <v>1451</v>
      </c>
      <c r="D21" s="143" t="s">
        <v>1452</v>
      </c>
      <c r="E21" s="143" t="s">
        <v>309</v>
      </c>
      <c r="F21" s="143" t="s">
        <v>1453</v>
      </c>
      <c r="G21" s="143" t="s">
        <v>1454</v>
      </c>
      <c r="H21" s="143" t="s">
        <v>321</v>
      </c>
      <c r="I21" s="143" t="s">
        <v>951</v>
      </c>
      <c r="J21" s="143" t="s">
        <v>204</v>
      </c>
      <c r="K21" s="143" t="s">
        <v>204</v>
      </c>
      <c r="L21" s="143" t="s">
        <v>325</v>
      </c>
      <c r="M21" s="143" t="s">
        <v>340</v>
      </c>
      <c r="N21" s="143" t="s">
        <v>464</v>
      </c>
      <c r="O21" s="143" t="s">
        <v>339</v>
      </c>
      <c r="P21" s="143" t="s">
        <v>1409</v>
      </c>
      <c r="Q21" s="143" t="s">
        <v>413</v>
      </c>
      <c r="R21" s="143" t="s">
        <v>407</v>
      </c>
      <c r="S21" s="143" t="s">
        <v>1210</v>
      </c>
      <c r="T21" s="144">
        <v>5.38</v>
      </c>
      <c r="U21" s="143" t="s">
        <v>1455</v>
      </c>
      <c r="V21" s="146">
        <v>2.5499999999999998E-2</v>
      </c>
      <c r="W21" s="146">
        <v>6.1415999999999998E-2</v>
      </c>
      <c r="X21" s="143" t="s">
        <v>412</v>
      </c>
      <c r="Y21" s="145" t="s">
        <v>3853</v>
      </c>
      <c r="Z21" s="144">
        <v>463.45</v>
      </c>
      <c r="AA21" s="145" t="s">
        <v>3853</v>
      </c>
      <c r="AB21" s="143" t="s">
        <v>1456</v>
      </c>
      <c r="AC21" s="145" t="s">
        <v>3853</v>
      </c>
      <c r="AD21" s="144">
        <v>0.38380000000000003</v>
      </c>
      <c r="AE21" s="145" t="s">
        <v>3853</v>
      </c>
      <c r="AF21" s="145" t="s">
        <v>3853</v>
      </c>
      <c r="AG21" s="145" t="s">
        <v>3853</v>
      </c>
      <c r="AH21" s="146">
        <v>2.6728527670169747E-7</v>
      </c>
      <c r="AI21" s="146">
        <v>3.4709630521715794E-4</v>
      </c>
      <c r="AJ21" s="147">
        <v>2.5992913184808547E-5</v>
      </c>
      <c r="AK21" s="181"/>
    </row>
    <row r="22" spans="1:37" ht="15" x14ac:dyDescent="0.2">
      <c r="A22" s="142" t="s">
        <v>1205</v>
      </c>
      <c r="B22" s="143" t="s">
        <v>1206</v>
      </c>
      <c r="C22" s="143" t="s">
        <v>1457</v>
      </c>
      <c r="D22" s="143" t="s">
        <v>1458</v>
      </c>
      <c r="E22" s="143" t="s">
        <v>309</v>
      </c>
      <c r="F22" s="143" t="s">
        <v>1459</v>
      </c>
      <c r="G22" s="143" t="s">
        <v>1460</v>
      </c>
      <c r="H22" s="143" t="s">
        <v>321</v>
      </c>
      <c r="I22" s="143" t="s">
        <v>951</v>
      </c>
      <c r="J22" s="143" t="s">
        <v>204</v>
      </c>
      <c r="K22" s="143" t="s">
        <v>204</v>
      </c>
      <c r="L22" s="143" t="s">
        <v>325</v>
      </c>
      <c r="M22" s="143" t="s">
        <v>340</v>
      </c>
      <c r="N22" s="143" t="s">
        <v>465</v>
      </c>
      <c r="O22" s="143" t="s">
        <v>339</v>
      </c>
      <c r="P22" s="143" t="s">
        <v>1461</v>
      </c>
      <c r="Q22" s="143" t="s">
        <v>415</v>
      </c>
      <c r="R22" s="143" t="s">
        <v>407</v>
      </c>
      <c r="S22" s="143" t="s">
        <v>1210</v>
      </c>
      <c r="T22" s="144">
        <v>0.5</v>
      </c>
      <c r="U22" s="143" t="s">
        <v>1462</v>
      </c>
      <c r="V22" s="146">
        <v>3.7999999999999999E-2</v>
      </c>
      <c r="W22" s="146">
        <v>7.2817000000000007E-2</v>
      </c>
      <c r="X22" s="143" t="s">
        <v>412</v>
      </c>
      <c r="Y22" s="145" t="s">
        <v>3853</v>
      </c>
      <c r="Z22" s="144">
        <v>0.14000000000000001</v>
      </c>
      <c r="AA22" s="145" t="s">
        <v>3853</v>
      </c>
      <c r="AB22" s="143" t="s">
        <v>1326</v>
      </c>
      <c r="AC22" s="145" t="s">
        <v>3853</v>
      </c>
      <c r="AD22" s="144">
        <v>1E-4</v>
      </c>
      <c r="AE22" s="145" t="s">
        <v>3853</v>
      </c>
      <c r="AF22" s="145" t="s">
        <v>3853</v>
      </c>
      <c r="AG22" s="145" t="s">
        <v>3853</v>
      </c>
      <c r="AH22" s="146">
        <v>4.1897158898590247E-10</v>
      </c>
      <c r="AI22" s="146">
        <v>1.2474076309878591E-7</v>
      </c>
      <c r="AJ22" s="147">
        <v>9.341429963666557E-9</v>
      </c>
      <c r="AK22" s="181"/>
    </row>
    <row r="23" spans="1:37" ht="15" x14ac:dyDescent="0.2">
      <c r="A23" s="142" t="s">
        <v>1205</v>
      </c>
      <c r="B23" s="143" t="s">
        <v>1206</v>
      </c>
      <c r="C23" s="143" t="s">
        <v>1349</v>
      </c>
      <c r="D23" s="143" t="s">
        <v>1350</v>
      </c>
      <c r="E23" s="143" t="s">
        <v>309</v>
      </c>
      <c r="F23" s="143" t="s">
        <v>1463</v>
      </c>
      <c r="G23" s="143" t="s">
        <v>1464</v>
      </c>
      <c r="H23" s="143" t="s">
        <v>321</v>
      </c>
      <c r="I23" s="143" t="s">
        <v>754</v>
      </c>
      <c r="J23" s="143" t="s">
        <v>204</v>
      </c>
      <c r="K23" s="143" t="s">
        <v>204</v>
      </c>
      <c r="L23" s="143" t="s">
        <v>325</v>
      </c>
      <c r="M23" s="143" t="s">
        <v>340</v>
      </c>
      <c r="N23" s="143" t="s">
        <v>448</v>
      </c>
      <c r="O23" s="143" t="s">
        <v>339</v>
      </c>
      <c r="P23" s="143" t="s">
        <v>1222</v>
      </c>
      <c r="Q23" s="143" t="s">
        <v>413</v>
      </c>
      <c r="R23" s="143" t="s">
        <v>407</v>
      </c>
      <c r="S23" s="143" t="s">
        <v>1210</v>
      </c>
      <c r="T23" s="144">
        <v>0.24</v>
      </c>
      <c r="U23" s="143" t="s">
        <v>1465</v>
      </c>
      <c r="V23" s="146">
        <v>8.6E-3</v>
      </c>
      <c r="W23" s="146">
        <v>2.5704999999999999E-2</v>
      </c>
      <c r="X23" s="143" t="s">
        <v>412</v>
      </c>
      <c r="Y23" s="145" t="s">
        <v>3853</v>
      </c>
      <c r="Z23" s="144">
        <v>50348</v>
      </c>
      <c r="AA23" s="145" t="s">
        <v>3853</v>
      </c>
      <c r="AB23" s="143" t="s">
        <v>1466</v>
      </c>
      <c r="AC23" s="145" t="s">
        <v>3853</v>
      </c>
      <c r="AD23" s="144">
        <v>57.87</v>
      </c>
      <c r="AE23" s="145" t="s">
        <v>3853</v>
      </c>
      <c r="AF23" s="145" t="s">
        <v>3853</v>
      </c>
      <c r="AG23" s="145" t="s">
        <v>3853</v>
      </c>
      <c r="AH23" s="146">
        <v>2.0128322654437542E-5</v>
      </c>
      <c r="AI23" s="146">
        <v>5.2331754380884908E-2</v>
      </c>
      <c r="AJ23" s="147">
        <v>3.9189548490872975E-3</v>
      </c>
      <c r="AK23" s="181"/>
    </row>
    <row r="24" spans="1:37" ht="15" x14ac:dyDescent="0.2">
      <c r="A24" s="142" t="s">
        <v>1205</v>
      </c>
      <c r="B24" s="143" t="s">
        <v>1206</v>
      </c>
      <c r="C24" s="143" t="s">
        <v>1467</v>
      </c>
      <c r="D24" s="143" t="s">
        <v>1468</v>
      </c>
      <c r="E24" s="143" t="s">
        <v>309</v>
      </c>
      <c r="F24" s="143" t="s">
        <v>1469</v>
      </c>
      <c r="G24" s="143" t="s">
        <v>1470</v>
      </c>
      <c r="H24" s="143" t="s">
        <v>321</v>
      </c>
      <c r="I24" s="143" t="s">
        <v>754</v>
      </c>
      <c r="J24" s="143" t="s">
        <v>204</v>
      </c>
      <c r="K24" s="143" t="s">
        <v>204</v>
      </c>
      <c r="L24" s="143" t="s">
        <v>325</v>
      </c>
      <c r="M24" s="143" t="s">
        <v>340</v>
      </c>
      <c r="N24" s="143" t="s">
        <v>456</v>
      </c>
      <c r="O24" s="143" t="s">
        <v>339</v>
      </c>
      <c r="P24" s="143" t="s">
        <v>1347</v>
      </c>
      <c r="Q24" s="143" t="s">
        <v>413</v>
      </c>
      <c r="R24" s="143" t="s">
        <v>407</v>
      </c>
      <c r="S24" s="143" t="s">
        <v>1210</v>
      </c>
      <c r="T24" s="144">
        <v>5.43</v>
      </c>
      <c r="U24" s="143" t="s">
        <v>1471</v>
      </c>
      <c r="V24" s="146">
        <v>5.1499999999999997E-2</v>
      </c>
      <c r="W24" s="146">
        <v>3.8883000000000001E-2</v>
      </c>
      <c r="X24" s="143" t="s">
        <v>412</v>
      </c>
      <c r="Y24" s="145" t="s">
        <v>3853</v>
      </c>
      <c r="Z24" s="144">
        <v>30098.84</v>
      </c>
      <c r="AA24" s="145" t="s">
        <v>3853</v>
      </c>
      <c r="AB24" s="143" t="s">
        <v>1472</v>
      </c>
      <c r="AC24" s="145" t="s">
        <v>3853</v>
      </c>
      <c r="AD24" s="144">
        <v>44.284399999999998</v>
      </c>
      <c r="AE24" s="145" t="s">
        <v>3853</v>
      </c>
      <c r="AF24" s="145" t="s">
        <v>3853</v>
      </c>
      <c r="AG24" s="145" t="s">
        <v>3853</v>
      </c>
      <c r="AH24" s="146">
        <v>1.0364661472857458E-5</v>
      </c>
      <c r="AI24" s="146">
        <v>4.0046343788213375E-2</v>
      </c>
      <c r="AJ24" s="147">
        <v>2.998940414548013E-3</v>
      </c>
      <c r="AK24" s="181"/>
    </row>
    <row r="25" spans="1:37" ht="15" x14ac:dyDescent="0.2">
      <c r="A25" s="142" t="s">
        <v>1205</v>
      </c>
      <c r="B25" s="143" t="s">
        <v>1206</v>
      </c>
      <c r="C25" s="143" t="s">
        <v>1349</v>
      </c>
      <c r="D25" s="143" t="s">
        <v>1350</v>
      </c>
      <c r="E25" s="143" t="s">
        <v>309</v>
      </c>
      <c r="F25" s="143" t="s">
        <v>1473</v>
      </c>
      <c r="G25" s="143" t="s">
        <v>1474</v>
      </c>
      <c r="H25" s="143" t="s">
        <v>321</v>
      </c>
      <c r="I25" s="143" t="s">
        <v>754</v>
      </c>
      <c r="J25" s="143" t="s">
        <v>204</v>
      </c>
      <c r="K25" s="143" t="s">
        <v>204</v>
      </c>
      <c r="L25" s="143" t="s">
        <v>325</v>
      </c>
      <c r="M25" s="143" t="s">
        <v>340</v>
      </c>
      <c r="N25" s="143" t="s">
        <v>448</v>
      </c>
      <c r="O25" s="143" t="s">
        <v>339</v>
      </c>
      <c r="P25" s="143" t="s">
        <v>1222</v>
      </c>
      <c r="Q25" s="143" t="s">
        <v>413</v>
      </c>
      <c r="R25" s="143" t="s">
        <v>407</v>
      </c>
      <c r="S25" s="143" t="s">
        <v>1210</v>
      </c>
      <c r="T25" s="144">
        <v>1.97</v>
      </c>
      <c r="U25" s="143" t="s">
        <v>1475</v>
      </c>
      <c r="V25" s="146">
        <v>3.8E-3</v>
      </c>
      <c r="W25" s="146">
        <v>2.2020999999999999E-2</v>
      </c>
      <c r="X25" s="143" t="s">
        <v>412</v>
      </c>
      <c r="Y25" s="145" t="s">
        <v>3853</v>
      </c>
      <c r="Z25" s="144">
        <v>36210</v>
      </c>
      <c r="AA25" s="145" t="s">
        <v>3853</v>
      </c>
      <c r="AB25" s="143" t="s">
        <v>1476</v>
      </c>
      <c r="AC25" s="145" t="s">
        <v>3853</v>
      </c>
      <c r="AD25" s="144">
        <v>39.0959</v>
      </c>
      <c r="AE25" s="145" t="s">
        <v>3853</v>
      </c>
      <c r="AF25" s="145" t="s">
        <v>3853</v>
      </c>
      <c r="AG25" s="145" t="s">
        <v>3853</v>
      </c>
      <c r="AH25" s="146">
        <v>1.207E-5</v>
      </c>
      <c r="AI25" s="146">
        <v>3.5354402686941316E-2</v>
      </c>
      <c r="AJ25" s="147">
        <v>2.6475762084747214E-3</v>
      </c>
      <c r="AK25" s="181"/>
    </row>
    <row r="26" spans="1:37" ht="15" x14ac:dyDescent="0.2">
      <c r="A26" s="142" t="s">
        <v>1205</v>
      </c>
      <c r="B26" s="143" t="s">
        <v>1206</v>
      </c>
      <c r="C26" s="143" t="s">
        <v>1349</v>
      </c>
      <c r="D26" s="143" t="s">
        <v>1350</v>
      </c>
      <c r="E26" s="143" t="s">
        <v>309</v>
      </c>
      <c r="F26" s="143" t="s">
        <v>1477</v>
      </c>
      <c r="G26" s="143" t="s">
        <v>1478</v>
      </c>
      <c r="H26" s="143" t="s">
        <v>321</v>
      </c>
      <c r="I26" s="143" t="s">
        <v>754</v>
      </c>
      <c r="J26" s="143" t="s">
        <v>204</v>
      </c>
      <c r="K26" s="143" t="s">
        <v>204</v>
      </c>
      <c r="L26" s="143" t="s">
        <v>325</v>
      </c>
      <c r="M26" s="143" t="s">
        <v>340</v>
      </c>
      <c r="N26" s="143" t="s">
        <v>448</v>
      </c>
      <c r="O26" s="143" t="s">
        <v>339</v>
      </c>
      <c r="P26" s="143" t="s">
        <v>1222</v>
      </c>
      <c r="Q26" s="143" t="s">
        <v>413</v>
      </c>
      <c r="R26" s="143" t="s">
        <v>407</v>
      </c>
      <c r="S26" s="143" t="s">
        <v>1210</v>
      </c>
      <c r="T26" s="144">
        <v>3.17</v>
      </c>
      <c r="U26" s="143" t="s">
        <v>1479</v>
      </c>
      <c r="V26" s="146">
        <v>1.2200000000000001E-2</v>
      </c>
      <c r="W26" s="146">
        <v>2.41E-2</v>
      </c>
      <c r="X26" s="143" t="s">
        <v>412</v>
      </c>
      <c r="Y26" s="145" t="s">
        <v>3853</v>
      </c>
      <c r="Z26" s="144">
        <v>32635</v>
      </c>
      <c r="AA26" s="145" t="s">
        <v>3853</v>
      </c>
      <c r="AB26" s="143" t="s">
        <v>1480</v>
      </c>
      <c r="AC26" s="145" t="s">
        <v>3853</v>
      </c>
      <c r="AD26" s="144">
        <v>36.394599999999997</v>
      </c>
      <c r="AE26" s="145" t="s">
        <v>3853</v>
      </c>
      <c r="AF26" s="145" t="s">
        <v>3853</v>
      </c>
      <c r="AG26" s="145" t="s">
        <v>3853</v>
      </c>
      <c r="AH26" s="146">
        <v>1.0822015564336526E-5</v>
      </c>
      <c r="AI26" s="146">
        <v>3.2911543903368409E-2</v>
      </c>
      <c r="AJ26" s="147">
        <v>2.4646384608532617E-3</v>
      </c>
      <c r="AK26" s="181"/>
    </row>
    <row r="27" spans="1:37" ht="15" x14ac:dyDescent="0.2">
      <c r="A27" s="142" t="s">
        <v>1205</v>
      </c>
      <c r="B27" s="143" t="s">
        <v>1206</v>
      </c>
      <c r="C27" s="143" t="s">
        <v>1481</v>
      </c>
      <c r="D27" s="143" t="s">
        <v>1482</v>
      </c>
      <c r="E27" s="143" t="s">
        <v>309</v>
      </c>
      <c r="F27" s="143" t="s">
        <v>1483</v>
      </c>
      <c r="G27" s="143" t="s">
        <v>1484</v>
      </c>
      <c r="H27" s="143" t="s">
        <v>321</v>
      </c>
      <c r="I27" s="143" t="s">
        <v>754</v>
      </c>
      <c r="J27" s="143" t="s">
        <v>204</v>
      </c>
      <c r="K27" s="143" t="s">
        <v>204</v>
      </c>
      <c r="L27" s="143" t="s">
        <v>325</v>
      </c>
      <c r="M27" s="143" t="s">
        <v>340</v>
      </c>
      <c r="N27" s="143" t="s">
        <v>448</v>
      </c>
      <c r="O27" s="143" t="s">
        <v>339</v>
      </c>
      <c r="P27" s="143" t="s">
        <v>1222</v>
      </c>
      <c r="Q27" s="143" t="s">
        <v>413</v>
      </c>
      <c r="R27" s="143" t="s">
        <v>407</v>
      </c>
      <c r="S27" s="143" t="s">
        <v>1210</v>
      </c>
      <c r="T27" s="144">
        <v>5.39</v>
      </c>
      <c r="U27" s="143" t="s">
        <v>1485</v>
      </c>
      <c r="V27" s="146">
        <v>1E-3</v>
      </c>
      <c r="W27" s="146">
        <v>2.5815000000000001E-2</v>
      </c>
      <c r="X27" s="143" t="s">
        <v>412</v>
      </c>
      <c r="Y27" s="145" t="s">
        <v>3853</v>
      </c>
      <c r="Z27" s="144">
        <v>37000</v>
      </c>
      <c r="AA27" s="145" t="s">
        <v>3853</v>
      </c>
      <c r="AB27" s="143" t="s">
        <v>1486</v>
      </c>
      <c r="AC27" s="145" t="s">
        <v>3853</v>
      </c>
      <c r="AD27" s="144">
        <v>35.938099999999999</v>
      </c>
      <c r="AE27" s="145" t="s">
        <v>3853</v>
      </c>
      <c r="AF27" s="145" t="s">
        <v>3853</v>
      </c>
      <c r="AG27" s="145" t="s">
        <v>3853</v>
      </c>
      <c r="AH27" s="146">
        <v>1.4878373319296728E-5</v>
      </c>
      <c r="AI27" s="146">
        <v>3.2498774980212544E-2</v>
      </c>
      <c r="AJ27" s="147">
        <v>2.4337275389456807E-3</v>
      </c>
      <c r="AK27" s="181"/>
    </row>
    <row r="28" spans="1:37" ht="15" x14ac:dyDescent="0.2">
      <c r="A28" s="142" t="s">
        <v>1205</v>
      </c>
      <c r="B28" s="143" t="s">
        <v>1206</v>
      </c>
      <c r="C28" s="143" t="s">
        <v>1343</v>
      </c>
      <c r="D28" s="143" t="s">
        <v>1344</v>
      </c>
      <c r="E28" s="143" t="s">
        <v>309</v>
      </c>
      <c r="F28" s="143" t="s">
        <v>1487</v>
      </c>
      <c r="G28" s="143" t="s">
        <v>1488</v>
      </c>
      <c r="H28" s="143" t="s">
        <v>321</v>
      </c>
      <c r="I28" s="143" t="s">
        <v>754</v>
      </c>
      <c r="J28" s="143" t="s">
        <v>204</v>
      </c>
      <c r="K28" s="143" t="s">
        <v>204</v>
      </c>
      <c r="L28" s="143" t="s">
        <v>325</v>
      </c>
      <c r="M28" s="143" t="s">
        <v>340</v>
      </c>
      <c r="N28" s="143" t="s">
        <v>445</v>
      </c>
      <c r="O28" s="143" t="s">
        <v>339</v>
      </c>
      <c r="P28" s="143" t="s">
        <v>1347</v>
      </c>
      <c r="Q28" s="143" t="s">
        <v>413</v>
      </c>
      <c r="R28" s="143" t="s">
        <v>407</v>
      </c>
      <c r="S28" s="143" t="s">
        <v>1210</v>
      </c>
      <c r="T28" s="144">
        <v>6.93</v>
      </c>
      <c r="U28" s="143" t="s">
        <v>1489</v>
      </c>
      <c r="V28" s="146">
        <v>2.5000000000000001E-2</v>
      </c>
      <c r="W28" s="146">
        <v>6.1810999999999998E-2</v>
      </c>
      <c r="X28" s="143" t="s">
        <v>412</v>
      </c>
      <c r="Y28" s="145" t="s">
        <v>3853</v>
      </c>
      <c r="Z28" s="144">
        <v>40000</v>
      </c>
      <c r="AA28" s="145" t="s">
        <v>3853</v>
      </c>
      <c r="AB28" s="143" t="s">
        <v>1490</v>
      </c>
      <c r="AC28" s="145" t="s">
        <v>3853</v>
      </c>
      <c r="AD28" s="144">
        <v>31.484000000000002</v>
      </c>
      <c r="AE28" s="145" t="s">
        <v>3853</v>
      </c>
      <c r="AF28" s="145" t="s">
        <v>3853</v>
      </c>
      <c r="AG28" s="145" t="s">
        <v>3853</v>
      </c>
      <c r="AH28" s="146">
        <v>2.999293768293555E-5</v>
      </c>
      <c r="AI28" s="146">
        <v>2.8470938404562614E-2</v>
      </c>
      <c r="AJ28" s="147">
        <v>2.1320959604477093E-3</v>
      </c>
      <c r="AK28" s="181"/>
    </row>
    <row r="29" spans="1:37" ht="15" x14ac:dyDescent="0.2">
      <c r="A29" s="142" t="s">
        <v>1205</v>
      </c>
      <c r="B29" s="143" t="s">
        <v>1206</v>
      </c>
      <c r="C29" s="143" t="s">
        <v>1491</v>
      </c>
      <c r="D29" s="143" t="s">
        <v>1492</v>
      </c>
      <c r="E29" s="143" t="s">
        <v>309</v>
      </c>
      <c r="F29" s="143" t="s">
        <v>1493</v>
      </c>
      <c r="G29" s="143" t="s">
        <v>1494</v>
      </c>
      <c r="H29" s="143" t="s">
        <v>321</v>
      </c>
      <c r="I29" s="143" t="s">
        <v>754</v>
      </c>
      <c r="J29" s="143" t="s">
        <v>204</v>
      </c>
      <c r="K29" s="143" t="s">
        <v>204</v>
      </c>
      <c r="L29" s="143" t="s">
        <v>325</v>
      </c>
      <c r="M29" s="143" t="s">
        <v>340</v>
      </c>
      <c r="N29" s="143" t="s">
        <v>464</v>
      </c>
      <c r="O29" s="143" t="s">
        <v>339</v>
      </c>
      <c r="P29" s="143" t="s">
        <v>1409</v>
      </c>
      <c r="Q29" s="143" t="s">
        <v>413</v>
      </c>
      <c r="R29" s="143" t="s">
        <v>407</v>
      </c>
      <c r="S29" s="143" t="s">
        <v>1210</v>
      </c>
      <c r="T29" s="144">
        <v>1.01</v>
      </c>
      <c r="U29" s="143" t="s">
        <v>1495</v>
      </c>
      <c r="V29" s="146">
        <v>2.1100000000000001E-2</v>
      </c>
      <c r="W29" s="146">
        <v>2.5402999999999998E-2</v>
      </c>
      <c r="X29" s="143" t="s">
        <v>412</v>
      </c>
      <c r="Y29" s="145" t="s">
        <v>3853</v>
      </c>
      <c r="Z29" s="144">
        <v>25587.72</v>
      </c>
      <c r="AA29" s="145" t="s">
        <v>3853</v>
      </c>
      <c r="AB29" s="143" t="s">
        <v>1496</v>
      </c>
      <c r="AC29" s="144">
        <v>0.62290000000000001</v>
      </c>
      <c r="AD29" s="144">
        <v>29.9055</v>
      </c>
      <c r="AE29" s="145" t="s">
        <v>3853</v>
      </c>
      <c r="AF29" s="145" t="s">
        <v>3853</v>
      </c>
      <c r="AG29" s="145" t="s">
        <v>3853</v>
      </c>
      <c r="AH29" s="146">
        <v>3.3275317414051182E-5</v>
      </c>
      <c r="AI29" s="146">
        <v>2.7606814829752524E-2</v>
      </c>
      <c r="AJ29" s="147">
        <v>2.0673845569456396E-3</v>
      </c>
      <c r="AK29" s="181"/>
    </row>
    <row r="30" spans="1:37" ht="15" x14ac:dyDescent="0.2">
      <c r="A30" s="142" t="s">
        <v>1205</v>
      </c>
      <c r="B30" s="143" t="s">
        <v>1206</v>
      </c>
      <c r="C30" s="143" t="s">
        <v>1491</v>
      </c>
      <c r="D30" s="143" t="s">
        <v>1492</v>
      </c>
      <c r="E30" s="143" t="s">
        <v>309</v>
      </c>
      <c r="F30" s="143" t="s">
        <v>1497</v>
      </c>
      <c r="G30" s="143" t="s">
        <v>1498</v>
      </c>
      <c r="H30" s="143" t="s">
        <v>321</v>
      </c>
      <c r="I30" s="143" t="s">
        <v>754</v>
      </c>
      <c r="J30" s="143" t="s">
        <v>204</v>
      </c>
      <c r="K30" s="143" t="s">
        <v>204</v>
      </c>
      <c r="L30" s="143" t="s">
        <v>325</v>
      </c>
      <c r="M30" s="143" t="s">
        <v>340</v>
      </c>
      <c r="N30" s="143" t="s">
        <v>464</v>
      </c>
      <c r="O30" s="143" t="s">
        <v>339</v>
      </c>
      <c r="P30" s="143" t="s">
        <v>1409</v>
      </c>
      <c r="Q30" s="143" t="s">
        <v>413</v>
      </c>
      <c r="R30" s="143" t="s">
        <v>407</v>
      </c>
      <c r="S30" s="143" t="s">
        <v>1210</v>
      </c>
      <c r="T30" s="144">
        <v>1.75</v>
      </c>
      <c r="U30" s="143" t="s">
        <v>1499</v>
      </c>
      <c r="V30" s="146">
        <v>2.1499999999999998E-2</v>
      </c>
      <c r="W30" s="146">
        <v>2.6091E-2</v>
      </c>
      <c r="X30" s="143" t="s">
        <v>412</v>
      </c>
      <c r="Y30" s="145" t="s">
        <v>3853</v>
      </c>
      <c r="Z30" s="144">
        <v>25966.83</v>
      </c>
      <c r="AA30" s="145" t="s">
        <v>3853</v>
      </c>
      <c r="AB30" s="143" t="s">
        <v>1500</v>
      </c>
      <c r="AC30" s="145" t="s">
        <v>3853</v>
      </c>
      <c r="AD30" s="144">
        <v>29.903400000000001</v>
      </c>
      <c r="AE30" s="145" t="s">
        <v>3853</v>
      </c>
      <c r="AF30" s="145" t="s">
        <v>3853</v>
      </c>
      <c r="AG30" s="145" t="s">
        <v>3853</v>
      </c>
      <c r="AH30" s="146">
        <v>2.1767977938971034E-5</v>
      </c>
      <c r="AI30" s="146">
        <v>2.7041605264372305E-2</v>
      </c>
      <c r="AJ30" s="147">
        <v>2.0250578512350736E-3</v>
      </c>
      <c r="AK30" s="181"/>
    </row>
    <row r="31" spans="1:37" ht="15" x14ac:dyDescent="0.2">
      <c r="A31" s="142" t="s">
        <v>1205</v>
      </c>
      <c r="B31" s="143" t="s">
        <v>1206</v>
      </c>
      <c r="C31" s="143" t="s">
        <v>1501</v>
      </c>
      <c r="D31" s="143" t="s">
        <v>1502</v>
      </c>
      <c r="E31" s="143" t="s">
        <v>309</v>
      </c>
      <c r="F31" s="143" t="s">
        <v>1503</v>
      </c>
      <c r="G31" s="143" t="s">
        <v>1504</v>
      </c>
      <c r="H31" s="143" t="s">
        <v>321</v>
      </c>
      <c r="I31" s="143" t="s">
        <v>754</v>
      </c>
      <c r="J31" s="143" t="s">
        <v>204</v>
      </c>
      <c r="K31" s="143" t="s">
        <v>204</v>
      </c>
      <c r="L31" s="143" t="s">
        <v>325</v>
      </c>
      <c r="M31" s="143" t="s">
        <v>340</v>
      </c>
      <c r="N31" s="143" t="s">
        <v>464</v>
      </c>
      <c r="O31" s="143" t="s">
        <v>339</v>
      </c>
      <c r="P31" s="143" t="s">
        <v>1409</v>
      </c>
      <c r="Q31" s="143" t="s">
        <v>413</v>
      </c>
      <c r="R31" s="143" t="s">
        <v>407</v>
      </c>
      <c r="S31" s="143" t="s">
        <v>1210</v>
      </c>
      <c r="T31" s="144">
        <v>2.4300000000000002</v>
      </c>
      <c r="U31" s="143" t="s">
        <v>1505</v>
      </c>
      <c r="V31" s="146">
        <v>3.2000000000000001E-2</v>
      </c>
      <c r="W31" s="146">
        <v>2.8108999999999999E-2</v>
      </c>
      <c r="X31" s="143" t="s">
        <v>412</v>
      </c>
      <c r="Y31" s="145" t="s">
        <v>3853</v>
      </c>
      <c r="Z31" s="144">
        <v>18967.2</v>
      </c>
      <c r="AA31" s="145" t="s">
        <v>3853</v>
      </c>
      <c r="AB31" s="143" t="s">
        <v>1506</v>
      </c>
      <c r="AC31" s="144">
        <v>8.0801999999999996</v>
      </c>
      <c r="AD31" s="144">
        <v>29.767299999999999</v>
      </c>
      <c r="AE31" s="145" t="s">
        <v>3853</v>
      </c>
      <c r="AF31" s="145" t="s">
        <v>3853</v>
      </c>
      <c r="AG31" s="145" t="s">
        <v>3853</v>
      </c>
      <c r="AH31" s="146">
        <v>1.8027358106979128E-5</v>
      </c>
      <c r="AI31" s="146">
        <v>3.4225367277788972E-2</v>
      </c>
      <c r="AJ31" s="147">
        <v>2.5630264194635389E-3</v>
      </c>
      <c r="AK31" s="181"/>
    </row>
    <row r="32" spans="1:37" ht="15" x14ac:dyDescent="0.2">
      <c r="A32" s="142" t="s">
        <v>1205</v>
      </c>
      <c r="B32" s="143" t="s">
        <v>1206</v>
      </c>
      <c r="C32" s="143" t="s">
        <v>1343</v>
      </c>
      <c r="D32" s="143" t="s">
        <v>1344</v>
      </c>
      <c r="E32" s="143" t="s">
        <v>309</v>
      </c>
      <c r="F32" s="143" t="s">
        <v>1507</v>
      </c>
      <c r="G32" s="143" t="s">
        <v>1508</v>
      </c>
      <c r="H32" s="143" t="s">
        <v>321</v>
      </c>
      <c r="I32" s="143" t="s">
        <v>754</v>
      </c>
      <c r="J32" s="143" t="s">
        <v>204</v>
      </c>
      <c r="K32" s="143" t="s">
        <v>204</v>
      </c>
      <c r="L32" s="143" t="s">
        <v>325</v>
      </c>
      <c r="M32" s="143" t="s">
        <v>340</v>
      </c>
      <c r="N32" s="143" t="s">
        <v>445</v>
      </c>
      <c r="O32" s="143" t="s">
        <v>339</v>
      </c>
      <c r="P32" s="143" t="s">
        <v>1347</v>
      </c>
      <c r="Q32" s="143" t="s">
        <v>413</v>
      </c>
      <c r="R32" s="143" t="s">
        <v>407</v>
      </c>
      <c r="S32" s="143" t="s">
        <v>1210</v>
      </c>
      <c r="T32" s="144">
        <v>1.06</v>
      </c>
      <c r="U32" s="143" t="s">
        <v>1360</v>
      </c>
      <c r="V32" s="146">
        <v>2.4799999999999999E-2</v>
      </c>
      <c r="W32" s="146">
        <v>2.7913E-2</v>
      </c>
      <c r="X32" s="143" t="s">
        <v>412</v>
      </c>
      <c r="Y32" s="145" t="s">
        <v>3853</v>
      </c>
      <c r="Z32" s="144">
        <v>25234.55</v>
      </c>
      <c r="AA32" s="145" t="s">
        <v>3853</v>
      </c>
      <c r="AB32" s="143" t="s">
        <v>1509</v>
      </c>
      <c r="AC32" s="145" t="s">
        <v>3853</v>
      </c>
      <c r="AD32" s="144">
        <v>28.913700000000002</v>
      </c>
      <c r="AE32" s="145" t="s">
        <v>3853</v>
      </c>
      <c r="AF32" s="145" t="s">
        <v>3853</v>
      </c>
      <c r="AG32" s="145" t="s">
        <v>3853</v>
      </c>
      <c r="AH32" s="146">
        <v>5.9587654437230309E-5</v>
      </c>
      <c r="AI32" s="146">
        <v>2.6146662463021629E-2</v>
      </c>
      <c r="AJ32" s="147">
        <v>1.958038496113089E-3</v>
      </c>
      <c r="AK32" s="181"/>
    </row>
    <row r="33" spans="1:37" ht="15" x14ac:dyDescent="0.2">
      <c r="A33" s="142" t="s">
        <v>1205</v>
      </c>
      <c r="B33" s="143" t="s">
        <v>1206</v>
      </c>
      <c r="C33" s="143" t="s">
        <v>1510</v>
      </c>
      <c r="D33" s="143" t="s">
        <v>1511</v>
      </c>
      <c r="E33" s="143" t="s">
        <v>309</v>
      </c>
      <c r="F33" s="143" t="s">
        <v>1512</v>
      </c>
      <c r="G33" s="143" t="s">
        <v>1513</v>
      </c>
      <c r="H33" s="143" t="s">
        <v>321</v>
      </c>
      <c r="I33" s="143" t="s">
        <v>754</v>
      </c>
      <c r="J33" s="143" t="s">
        <v>204</v>
      </c>
      <c r="K33" s="143" t="s">
        <v>204</v>
      </c>
      <c r="L33" s="143" t="s">
        <v>325</v>
      </c>
      <c r="M33" s="143" t="s">
        <v>340</v>
      </c>
      <c r="N33" s="143" t="s">
        <v>448</v>
      </c>
      <c r="O33" s="143" t="s">
        <v>339</v>
      </c>
      <c r="P33" s="143" t="s">
        <v>1347</v>
      </c>
      <c r="Q33" s="143" t="s">
        <v>413</v>
      </c>
      <c r="R33" s="143" t="s">
        <v>407</v>
      </c>
      <c r="S33" s="143" t="s">
        <v>1210</v>
      </c>
      <c r="T33" s="144">
        <v>1.48</v>
      </c>
      <c r="U33" s="143" t="s">
        <v>1514</v>
      </c>
      <c r="V33" s="146">
        <v>2E-3</v>
      </c>
      <c r="W33" s="146">
        <v>2.0419E-2</v>
      </c>
      <c r="X33" s="143" t="s">
        <v>412</v>
      </c>
      <c r="Y33" s="145" t="s">
        <v>3853</v>
      </c>
      <c r="Z33" s="144">
        <v>25628.25</v>
      </c>
      <c r="AA33" s="145" t="s">
        <v>3853</v>
      </c>
      <c r="AB33" s="143" t="s">
        <v>1515</v>
      </c>
      <c r="AC33" s="145" t="s">
        <v>3853</v>
      </c>
      <c r="AD33" s="144">
        <v>28.0655</v>
      </c>
      <c r="AE33" s="145" t="s">
        <v>3853</v>
      </c>
      <c r="AF33" s="145" t="s">
        <v>3853</v>
      </c>
      <c r="AG33" s="145" t="s">
        <v>3853</v>
      </c>
      <c r="AH33" s="146">
        <v>6.1279279370355849E-5</v>
      </c>
      <c r="AI33" s="146">
        <v>2.5379590404023884E-2</v>
      </c>
      <c r="AJ33" s="147">
        <v>1.9005949649192133E-3</v>
      </c>
      <c r="AK33" s="181"/>
    </row>
    <row r="34" spans="1:37" ht="15" x14ac:dyDescent="0.2">
      <c r="A34" s="142" t="s">
        <v>1205</v>
      </c>
      <c r="B34" s="143" t="s">
        <v>1206</v>
      </c>
      <c r="C34" s="143" t="s">
        <v>1516</v>
      </c>
      <c r="D34" s="143" t="s">
        <v>1517</v>
      </c>
      <c r="E34" s="143" t="s">
        <v>309</v>
      </c>
      <c r="F34" s="143" t="s">
        <v>1518</v>
      </c>
      <c r="G34" s="143" t="s">
        <v>1519</v>
      </c>
      <c r="H34" s="143" t="s">
        <v>321</v>
      </c>
      <c r="I34" s="143" t="s">
        <v>754</v>
      </c>
      <c r="J34" s="143" t="s">
        <v>204</v>
      </c>
      <c r="K34" s="143" t="s">
        <v>204</v>
      </c>
      <c r="L34" s="143" t="s">
        <v>325</v>
      </c>
      <c r="M34" s="143" t="s">
        <v>340</v>
      </c>
      <c r="N34" s="143" t="s">
        <v>465</v>
      </c>
      <c r="O34" s="143" t="s">
        <v>339</v>
      </c>
      <c r="P34" s="143" t="s">
        <v>1402</v>
      </c>
      <c r="Q34" s="143" t="s">
        <v>415</v>
      </c>
      <c r="R34" s="143" t="s">
        <v>407</v>
      </c>
      <c r="S34" s="143" t="s">
        <v>1210</v>
      </c>
      <c r="T34" s="144">
        <v>2.1</v>
      </c>
      <c r="U34" s="143" t="s">
        <v>1520</v>
      </c>
      <c r="V34" s="146">
        <v>0.04</v>
      </c>
      <c r="W34" s="146">
        <v>5.3921999999999998E-2</v>
      </c>
      <c r="X34" s="143" t="s">
        <v>412</v>
      </c>
      <c r="Y34" s="145" t="s">
        <v>3853</v>
      </c>
      <c r="Z34" s="144">
        <v>25182</v>
      </c>
      <c r="AA34" s="145" t="s">
        <v>3853</v>
      </c>
      <c r="AB34" s="143" t="s">
        <v>1521</v>
      </c>
      <c r="AC34" s="145" t="s">
        <v>3853</v>
      </c>
      <c r="AD34" s="144">
        <v>27.770700000000001</v>
      </c>
      <c r="AE34" s="145" t="s">
        <v>3853</v>
      </c>
      <c r="AF34" s="145" t="s">
        <v>3853</v>
      </c>
      <c r="AG34" s="145" t="s">
        <v>3853</v>
      </c>
      <c r="AH34" s="146">
        <v>1.1647159910867433E-5</v>
      </c>
      <c r="AI34" s="146">
        <v>2.5113014943228169E-2</v>
      </c>
      <c r="AJ34" s="147">
        <v>1.8806319958368193E-3</v>
      </c>
      <c r="AK34" s="181"/>
    </row>
    <row r="35" spans="1:37" ht="15" x14ac:dyDescent="0.2">
      <c r="A35" s="142" t="s">
        <v>1205</v>
      </c>
      <c r="B35" s="143" t="s">
        <v>1206</v>
      </c>
      <c r="C35" s="143" t="s">
        <v>1481</v>
      </c>
      <c r="D35" s="143" t="s">
        <v>1482</v>
      </c>
      <c r="E35" s="143" t="s">
        <v>309</v>
      </c>
      <c r="F35" s="143" t="s">
        <v>1522</v>
      </c>
      <c r="G35" s="143" t="s">
        <v>1523</v>
      </c>
      <c r="H35" s="143" t="s">
        <v>321</v>
      </c>
      <c r="I35" s="143" t="s">
        <v>754</v>
      </c>
      <c r="J35" s="143" t="s">
        <v>204</v>
      </c>
      <c r="K35" s="143" t="s">
        <v>204</v>
      </c>
      <c r="L35" s="143" t="s">
        <v>325</v>
      </c>
      <c r="M35" s="143" t="s">
        <v>340</v>
      </c>
      <c r="N35" s="143" t="s">
        <v>448</v>
      </c>
      <c r="O35" s="143" t="s">
        <v>339</v>
      </c>
      <c r="P35" s="143" t="s">
        <v>1222</v>
      </c>
      <c r="Q35" s="143" t="s">
        <v>413</v>
      </c>
      <c r="R35" s="143" t="s">
        <v>407</v>
      </c>
      <c r="S35" s="143" t="s">
        <v>1210</v>
      </c>
      <c r="T35" s="144">
        <v>5.29</v>
      </c>
      <c r="U35" s="143" t="s">
        <v>1524</v>
      </c>
      <c r="V35" s="146">
        <v>2.0251999999999999E-2</v>
      </c>
      <c r="W35" s="146">
        <v>2.5944999999999999E-2</v>
      </c>
      <c r="X35" s="143" t="s">
        <v>412</v>
      </c>
      <c r="Y35" s="145" t="s">
        <v>3853</v>
      </c>
      <c r="Z35" s="144">
        <v>28000</v>
      </c>
      <c r="AA35" s="145" t="s">
        <v>3853</v>
      </c>
      <c r="AB35" s="143" t="s">
        <v>1525</v>
      </c>
      <c r="AC35" s="145" t="s">
        <v>3853</v>
      </c>
      <c r="AD35" s="144">
        <v>27.756400000000003</v>
      </c>
      <c r="AE35" s="145" t="s">
        <v>3853</v>
      </c>
      <c r="AF35" s="145" t="s">
        <v>3853</v>
      </c>
      <c r="AG35" s="145" t="s">
        <v>3853</v>
      </c>
      <c r="AH35" s="146">
        <v>1.3190610923144905E-5</v>
      </c>
      <c r="AI35" s="146">
        <v>2.510007479139886E-2</v>
      </c>
      <c r="AJ35" s="147">
        <v>1.8796629499609578E-3</v>
      </c>
      <c r="AK35" s="181"/>
    </row>
    <row r="36" spans="1:37" ht="15" x14ac:dyDescent="0.2">
      <c r="A36" s="142" t="s">
        <v>1205</v>
      </c>
      <c r="B36" s="143" t="s">
        <v>1206</v>
      </c>
      <c r="C36" s="143" t="s">
        <v>1526</v>
      </c>
      <c r="D36" s="143" t="s">
        <v>1527</v>
      </c>
      <c r="E36" s="143" t="s">
        <v>313</v>
      </c>
      <c r="F36" s="143" t="s">
        <v>1528</v>
      </c>
      <c r="G36" s="143" t="s">
        <v>1529</v>
      </c>
      <c r="H36" s="143" t="s">
        <v>321</v>
      </c>
      <c r="I36" s="143" t="s">
        <v>754</v>
      </c>
      <c r="J36" s="143" t="s">
        <v>204</v>
      </c>
      <c r="K36" s="143" t="s">
        <v>204</v>
      </c>
      <c r="L36" s="143" t="s">
        <v>325</v>
      </c>
      <c r="M36" s="143" t="s">
        <v>340</v>
      </c>
      <c r="N36" s="143" t="s">
        <v>440</v>
      </c>
      <c r="O36" s="143" t="s">
        <v>339</v>
      </c>
      <c r="P36" s="143" t="s">
        <v>1530</v>
      </c>
      <c r="Q36" s="143" t="s">
        <v>415</v>
      </c>
      <c r="R36" s="143" t="s">
        <v>407</v>
      </c>
      <c r="S36" s="143" t="s">
        <v>1210</v>
      </c>
      <c r="T36" s="144">
        <v>10.64</v>
      </c>
      <c r="U36" s="143" t="s">
        <v>1531</v>
      </c>
      <c r="V36" s="146">
        <v>3.2000000000000001E-2</v>
      </c>
      <c r="W36" s="146">
        <v>3.5250999999999998E-2</v>
      </c>
      <c r="X36" s="143" t="s">
        <v>412</v>
      </c>
      <c r="Y36" s="145" t="s">
        <v>3853</v>
      </c>
      <c r="Z36" s="144">
        <v>26521</v>
      </c>
      <c r="AA36" s="145" t="s">
        <v>3853</v>
      </c>
      <c r="AB36" s="143" t="s">
        <v>1532</v>
      </c>
      <c r="AC36" s="145" t="s">
        <v>3853</v>
      </c>
      <c r="AD36" s="144">
        <v>26.521000000000001</v>
      </c>
      <c r="AE36" s="145" t="s">
        <v>3853</v>
      </c>
      <c r="AF36" s="145" t="s">
        <v>3853</v>
      </c>
      <c r="AG36" s="145" t="s">
        <v>3853</v>
      </c>
      <c r="AH36" s="146">
        <v>8.4971231978736202E-6</v>
      </c>
      <c r="AI36" s="146">
        <v>2.3982904250648109E-2</v>
      </c>
      <c r="AJ36" s="147">
        <v>1.7960016823476588E-3</v>
      </c>
      <c r="AK36" s="181"/>
    </row>
    <row r="37" spans="1:37" ht="15" x14ac:dyDescent="0.2">
      <c r="A37" s="142" t="s">
        <v>1205</v>
      </c>
      <c r="B37" s="143" t="s">
        <v>1206</v>
      </c>
      <c r="C37" s="143" t="s">
        <v>1533</v>
      </c>
      <c r="D37" s="143" t="s">
        <v>1534</v>
      </c>
      <c r="E37" s="143" t="s">
        <v>309</v>
      </c>
      <c r="F37" s="143" t="s">
        <v>1535</v>
      </c>
      <c r="G37" s="143" t="s">
        <v>1536</v>
      </c>
      <c r="H37" s="143" t="s">
        <v>321</v>
      </c>
      <c r="I37" s="143" t="s">
        <v>754</v>
      </c>
      <c r="J37" s="143" t="s">
        <v>204</v>
      </c>
      <c r="K37" s="143" t="s">
        <v>204</v>
      </c>
      <c r="L37" s="143" t="s">
        <v>325</v>
      </c>
      <c r="M37" s="143" t="s">
        <v>340</v>
      </c>
      <c r="N37" s="143" t="s">
        <v>464</v>
      </c>
      <c r="O37" s="143" t="s">
        <v>339</v>
      </c>
      <c r="P37" s="143" t="s">
        <v>1409</v>
      </c>
      <c r="Q37" s="143" t="s">
        <v>413</v>
      </c>
      <c r="R37" s="143" t="s">
        <v>407</v>
      </c>
      <c r="S37" s="143" t="s">
        <v>1210</v>
      </c>
      <c r="T37" s="144">
        <v>2.4300000000000002</v>
      </c>
      <c r="U37" s="143" t="s">
        <v>1299</v>
      </c>
      <c r="V37" s="146">
        <v>2.3400000000000001E-2</v>
      </c>
      <c r="W37" s="146">
        <v>2.7517E-2</v>
      </c>
      <c r="X37" s="143" t="s">
        <v>412</v>
      </c>
      <c r="Y37" s="145" t="s">
        <v>3853</v>
      </c>
      <c r="Z37" s="144">
        <v>22941.84</v>
      </c>
      <c r="AA37" s="145" t="s">
        <v>3853</v>
      </c>
      <c r="AB37" s="143" t="s">
        <v>1537</v>
      </c>
      <c r="AC37" s="145" t="s">
        <v>3853</v>
      </c>
      <c r="AD37" s="144">
        <v>25.942599999999999</v>
      </c>
      <c r="AE37" s="145" t="s">
        <v>3853</v>
      </c>
      <c r="AF37" s="145" t="s">
        <v>3853</v>
      </c>
      <c r="AG37" s="145" t="s">
        <v>3853</v>
      </c>
      <c r="AH37" s="146">
        <v>1.0875192557596201E-5</v>
      </c>
      <c r="AI37" s="146">
        <v>2.3459887462098386E-2</v>
      </c>
      <c r="AJ37" s="147">
        <v>1.7568346564397776E-3</v>
      </c>
      <c r="AK37" s="181"/>
    </row>
    <row r="38" spans="1:37" ht="15" x14ac:dyDescent="0.2">
      <c r="A38" s="142" t="s">
        <v>1205</v>
      </c>
      <c r="B38" s="143" t="s">
        <v>1206</v>
      </c>
      <c r="C38" s="143" t="s">
        <v>1526</v>
      </c>
      <c r="D38" s="143" t="s">
        <v>1527</v>
      </c>
      <c r="E38" s="143" t="s">
        <v>313</v>
      </c>
      <c r="F38" s="143" t="s">
        <v>1538</v>
      </c>
      <c r="G38" s="143" t="s">
        <v>1539</v>
      </c>
      <c r="H38" s="143" t="s">
        <v>321</v>
      </c>
      <c r="I38" s="143" t="s">
        <v>754</v>
      </c>
      <c r="J38" s="143" t="s">
        <v>204</v>
      </c>
      <c r="K38" s="143" t="s">
        <v>204</v>
      </c>
      <c r="L38" s="143" t="s">
        <v>325</v>
      </c>
      <c r="M38" s="143" t="s">
        <v>340</v>
      </c>
      <c r="N38" s="143" t="s">
        <v>440</v>
      </c>
      <c r="O38" s="143" t="s">
        <v>339</v>
      </c>
      <c r="P38" s="143" t="s">
        <v>1530</v>
      </c>
      <c r="Q38" s="143" t="s">
        <v>415</v>
      </c>
      <c r="R38" s="143" t="s">
        <v>407</v>
      </c>
      <c r="S38" s="143" t="s">
        <v>1210</v>
      </c>
      <c r="T38" s="144">
        <v>7.89</v>
      </c>
      <c r="U38" s="143" t="s">
        <v>1540</v>
      </c>
      <c r="V38" s="146">
        <v>0.03</v>
      </c>
      <c r="W38" s="146">
        <v>3.3659000000000001E-2</v>
      </c>
      <c r="X38" s="143" t="s">
        <v>412</v>
      </c>
      <c r="Y38" s="145" t="s">
        <v>3853</v>
      </c>
      <c r="Z38" s="144">
        <v>25000</v>
      </c>
      <c r="AA38" s="145" t="s">
        <v>3853</v>
      </c>
      <c r="AB38" s="143" t="s">
        <v>1541</v>
      </c>
      <c r="AC38" s="145" t="s">
        <v>3853</v>
      </c>
      <c r="AD38" s="144">
        <v>25.114999999999998</v>
      </c>
      <c r="AE38" s="145" t="s">
        <v>3853</v>
      </c>
      <c r="AF38" s="145" t="s">
        <v>3853</v>
      </c>
      <c r="AG38" s="145" t="s">
        <v>3853</v>
      </c>
      <c r="AH38" s="146">
        <v>9.7805862405147877E-6</v>
      </c>
      <c r="AI38" s="146">
        <v>2.2711460361789799E-2</v>
      </c>
      <c r="AJ38" s="147">
        <v>1.7007873855496194E-3</v>
      </c>
      <c r="AK38" s="181"/>
    </row>
    <row r="39" spans="1:37" ht="15" x14ac:dyDescent="0.2">
      <c r="A39" s="142" t="s">
        <v>1205</v>
      </c>
      <c r="B39" s="143" t="s">
        <v>1206</v>
      </c>
      <c r="C39" s="143" t="s">
        <v>1516</v>
      </c>
      <c r="D39" s="143" t="s">
        <v>1517</v>
      </c>
      <c r="E39" s="143" t="s">
        <v>309</v>
      </c>
      <c r="F39" s="143" t="s">
        <v>1542</v>
      </c>
      <c r="G39" s="143" t="s">
        <v>1543</v>
      </c>
      <c r="H39" s="143" t="s">
        <v>321</v>
      </c>
      <c r="I39" s="143" t="s">
        <v>754</v>
      </c>
      <c r="J39" s="143" t="s">
        <v>204</v>
      </c>
      <c r="K39" s="143" t="s">
        <v>204</v>
      </c>
      <c r="L39" s="143" t="s">
        <v>325</v>
      </c>
      <c r="M39" s="143" t="s">
        <v>340</v>
      </c>
      <c r="N39" s="143" t="s">
        <v>465</v>
      </c>
      <c r="O39" s="143" t="s">
        <v>339</v>
      </c>
      <c r="P39" s="143" t="s">
        <v>1402</v>
      </c>
      <c r="Q39" s="143" t="s">
        <v>415</v>
      </c>
      <c r="R39" s="143" t="s">
        <v>407</v>
      </c>
      <c r="S39" s="143" t="s">
        <v>1210</v>
      </c>
      <c r="T39" s="144">
        <v>2.46</v>
      </c>
      <c r="U39" s="143" t="s">
        <v>1544</v>
      </c>
      <c r="V39" s="146">
        <v>3.2800000000000003E-2</v>
      </c>
      <c r="W39" s="146">
        <v>5.8094E-2</v>
      </c>
      <c r="X39" s="143" t="s">
        <v>412</v>
      </c>
      <c r="Y39" s="145" t="s">
        <v>3853</v>
      </c>
      <c r="Z39" s="144">
        <v>20936</v>
      </c>
      <c r="AA39" s="145" t="s">
        <v>3853</v>
      </c>
      <c r="AB39" s="143" t="s">
        <v>1545</v>
      </c>
      <c r="AC39" s="145" t="s">
        <v>3853</v>
      </c>
      <c r="AD39" s="144">
        <v>22.694599999999998</v>
      </c>
      <c r="AE39" s="145" t="s">
        <v>3853</v>
      </c>
      <c r="AF39" s="145" t="s">
        <v>3853</v>
      </c>
      <c r="AG39" s="145" t="s">
        <v>3853</v>
      </c>
      <c r="AH39" s="146">
        <v>1.5143551311295775E-5</v>
      </c>
      <c r="AI39" s="146">
        <v>2.0522717634948177E-2</v>
      </c>
      <c r="AJ39" s="147">
        <v>1.5368795627709196E-3</v>
      </c>
      <c r="AK39" s="181"/>
    </row>
    <row r="40" spans="1:37" ht="15" x14ac:dyDescent="0.2">
      <c r="A40" s="142" t="s">
        <v>1205</v>
      </c>
      <c r="B40" s="143" t="s">
        <v>1206</v>
      </c>
      <c r="C40" s="143" t="s">
        <v>1526</v>
      </c>
      <c r="D40" s="143" t="s">
        <v>1527</v>
      </c>
      <c r="E40" s="143" t="s">
        <v>313</v>
      </c>
      <c r="F40" s="143" t="s">
        <v>1546</v>
      </c>
      <c r="G40" s="143" t="s">
        <v>1547</v>
      </c>
      <c r="H40" s="143" t="s">
        <v>321</v>
      </c>
      <c r="I40" s="143" t="s">
        <v>754</v>
      </c>
      <c r="J40" s="143" t="s">
        <v>204</v>
      </c>
      <c r="K40" s="143" t="s">
        <v>204</v>
      </c>
      <c r="L40" s="143" t="s">
        <v>325</v>
      </c>
      <c r="M40" s="143" t="s">
        <v>340</v>
      </c>
      <c r="N40" s="143" t="s">
        <v>440</v>
      </c>
      <c r="O40" s="143" t="s">
        <v>339</v>
      </c>
      <c r="P40" s="143" t="s">
        <v>1530</v>
      </c>
      <c r="Q40" s="143" t="s">
        <v>415</v>
      </c>
      <c r="R40" s="143" t="s">
        <v>407</v>
      </c>
      <c r="S40" s="143" t="s">
        <v>1210</v>
      </c>
      <c r="T40" s="144">
        <v>1.1299999999999999</v>
      </c>
      <c r="U40" s="143" t="s">
        <v>1548</v>
      </c>
      <c r="V40" s="146">
        <v>4.4999999999999998E-2</v>
      </c>
      <c r="W40" s="146">
        <v>2.6681E-2</v>
      </c>
      <c r="X40" s="143" t="s">
        <v>412</v>
      </c>
      <c r="Y40" s="145" t="s">
        <v>3853</v>
      </c>
      <c r="Z40" s="144">
        <v>18844</v>
      </c>
      <c r="AA40" s="145" t="s">
        <v>3853</v>
      </c>
      <c r="AB40" s="143" t="s">
        <v>1549</v>
      </c>
      <c r="AC40" s="145" t="s">
        <v>3853</v>
      </c>
      <c r="AD40" s="144">
        <v>22.478999999999999</v>
      </c>
      <c r="AE40" s="145" t="s">
        <v>3853</v>
      </c>
      <c r="AF40" s="145" t="s">
        <v>3853</v>
      </c>
      <c r="AG40" s="145" t="s">
        <v>3853</v>
      </c>
      <c r="AH40" s="146">
        <v>6.3756844630451679E-6</v>
      </c>
      <c r="AI40" s="146">
        <v>2.0327736017510319E-2</v>
      </c>
      <c r="AJ40" s="147">
        <v>1.5222780237210442E-3</v>
      </c>
      <c r="AK40" s="181"/>
    </row>
    <row r="41" spans="1:37" ht="15" x14ac:dyDescent="0.2">
      <c r="A41" s="142" t="s">
        <v>1205</v>
      </c>
      <c r="B41" s="143" t="s">
        <v>1206</v>
      </c>
      <c r="C41" s="143" t="s">
        <v>1550</v>
      </c>
      <c r="D41" s="143" t="s">
        <v>1551</v>
      </c>
      <c r="E41" s="143" t="s">
        <v>309</v>
      </c>
      <c r="F41" s="143" t="s">
        <v>1552</v>
      </c>
      <c r="G41" s="143" t="s">
        <v>1553</v>
      </c>
      <c r="H41" s="143" t="s">
        <v>321</v>
      </c>
      <c r="I41" s="143" t="s">
        <v>754</v>
      </c>
      <c r="J41" s="143" t="s">
        <v>204</v>
      </c>
      <c r="K41" s="143" t="s">
        <v>204</v>
      </c>
      <c r="L41" s="143" t="s">
        <v>325</v>
      </c>
      <c r="M41" s="143" t="s">
        <v>340</v>
      </c>
      <c r="N41" s="143" t="s">
        <v>465</v>
      </c>
      <c r="O41" s="143" t="s">
        <v>339</v>
      </c>
      <c r="P41" s="143" t="s">
        <v>1440</v>
      </c>
      <c r="Q41" s="143" t="s">
        <v>415</v>
      </c>
      <c r="R41" s="143" t="s">
        <v>407</v>
      </c>
      <c r="S41" s="143" t="s">
        <v>1210</v>
      </c>
      <c r="T41" s="144">
        <v>1.71</v>
      </c>
      <c r="U41" s="143" t="s">
        <v>1554</v>
      </c>
      <c r="V41" s="146">
        <v>2.5700000000000001E-2</v>
      </c>
      <c r="W41" s="146">
        <v>3.3569000000000002E-2</v>
      </c>
      <c r="X41" s="143" t="s">
        <v>412</v>
      </c>
      <c r="Y41" s="145" t="s">
        <v>3853</v>
      </c>
      <c r="Z41" s="144">
        <v>19550</v>
      </c>
      <c r="AA41" s="145" t="s">
        <v>3853</v>
      </c>
      <c r="AB41" s="143" t="s">
        <v>1555</v>
      </c>
      <c r="AC41" s="145" t="s">
        <v>3853</v>
      </c>
      <c r="AD41" s="144">
        <v>22.2303</v>
      </c>
      <c r="AE41" s="145" t="s">
        <v>3853</v>
      </c>
      <c r="AF41" s="145" t="s">
        <v>3853</v>
      </c>
      <c r="AG41" s="145" t="s">
        <v>3853</v>
      </c>
      <c r="AH41" s="146">
        <v>1.5244688161910909E-5</v>
      </c>
      <c r="AI41" s="146">
        <v>2.0102834594385728E-2</v>
      </c>
      <c r="AJ41" s="147">
        <v>1.5054358877531608E-3</v>
      </c>
      <c r="AK41" s="181"/>
    </row>
    <row r="42" spans="1:37" ht="15" x14ac:dyDescent="0.2">
      <c r="A42" s="142" t="s">
        <v>1205</v>
      </c>
      <c r="B42" s="143" t="s">
        <v>1206</v>
      </c>
      <c r="C42" s="143" t="s">
        <v>1526</v>
      </c>
      <c r="D42" s="143" t="s">
        <v>1527</v>
      </c>
      <c r="E42" s="143" t="s">
        <v>313</v>
      </c>
      <c r="F42" s="143" t="s">
        <v>1556</v>
      </c>
      <c r="G42" s="143" t="s">
        <v>1557</v>
      </c>
      <c r="H42" s="143" t="s">
        <v>321</v>
      </c>
      <c r="I42" s="143" t="s">
        <v>754</v>
      </c>
      <c r="J42" s="143" t="s">
        <v>204</v>
      </c>
      <c r="K42" s="143" t="s">
        <v>204</v>
      </c>
      <c r="L42" s="143" t="s">
        <v>325</v>
      </c>
      <c r="M42" s="143" t="s">
        <v>340</v>
      </c>
      <c r="N42" s="143" t="s">
        <v>440</v>
      </c>
      <c r="O42" s="143" t="s">
        <v>339</v>
      </c>
      <c r="P42" s="143" t="s">
        <v>1530</v>
      </c>
      <c r="Q42" s="143" t="s">
        <v>415</v>
      </c>
      <c r="R42" s="143" t="s">
        <v>407</v>
      </c>
      <c r="S42" s="143" t="s">
        <v>1210</v>
      </c>
      <c r="T42" s="144">
        <v>5.97</v>
      </c>
      <c r="U42" s="143" t="s">
        <v>1558</v>
      </c>
      <c r="V42" s="146">
        <v>2.3900000000000001E-2</v>
      </c>
      <c r="W42" s="146">
        <v>3.0173999999999999E-2</v>
      </c>
      <c r="X42" s="143" t="s">
        <v>412</v>
      </c>
      <c r="Y42" s="145" t="s">
        <v>3853</v>
      </c>
      <c r="Z42" s="144">
        <v>20000</v>
      </c>
      <c r="AA42" s="145" t="s">
        <v>3853</v>
      </c>
      <c r="AB42" s="143" t="s">
        <v>1559</v>
      </c>
      <c r="AC42" s="145" t="s">
        <v>3853</v>
      </c>
      <c r="AD42" s="144">
        <v>21.99</v>
      </c>
      <c r="AE42" s="145" t="s">
        <v>3853</v>
      </c>
      <c r="AF42" s="145" t="s">
        <v>3853</v>
      </c>
      <c r="AG42" s="145" t="s">
        <v>3853</v>
      </c>
      <c r="AH42" s="146">
        <v>5.1425145044621602E-6</v>
      </c>
      <c r="AI42" s="146">
        <v>1.9885527109526485E-2</v>
      </c>
      <c r="AJ42" s="147">
        <v>1.4891624371186991E-3</v>
      </c>
      <c r="AK42" s="181"/>
    </row>
    <row r="43" spans="1:37" ht="15" x14ac:dyDescent="0.2">
      <c r="A43" s="142" t="s">
        <v>1205</v>
      </c>
      <c r="B43" s="143" t="s">
        <v>1206</v>
      </c>
      <c r="C43" s="143" t="s">
        <v>1510</v>
      </c>
      <c r="D43" s="143" t="s">
        <v>1511</v>
      </c>
      <c r="E43" s="143" t="s">
        <v>309</v>
      </c>
      <c r="F43" s="143" t="s">
        <v>1560</v>
      </c>
      <c r="G43" s="143" t="s">
        <v>1561</v>
      </c>
      <c r="H43" s="143" t="s">
        <v>321</v>
      </c>
      <c r="I43" s="143" t="s">
        <v>754</v>
      </c>
      <c r="J43" s="143" t="s">
        <v>204</v>
      </c>
      <c r="K43" s="143" t="s">
        <v>204</v>
      </c>
      <c r="L43" s="143" t="s">
        <v>325</v>
      </c>
      <c r="M43" s="143" t="s">
        <v>340</v>
      </c>
      <c r="N43" s="143" t="s">
        <v>448</v>
      </c>
      <c r="O43" s="143" t="s">
        <v>339</v>
      </c>
      <c r="P43" s="143" t="s">
        <v>1347</v>
      </c>
      <c r="Q43" s="143" t="s">
        <v>413</v>
      </c>
      <c r="R43" s="143" t="s">
        <v>407</v>
      </c>
      <c r="S43" s="143" t="s">
        <v>1210</v>
      </c>
      <c r="T43" s="144">
        <v>4.75</v>
      </c>
      <c r="U43" s="143" t="s">
        <v>1562</v>
      </c>
      <c r="V43" s="146">
        <v>2.5899999999999999E-2</v>
      </c>
      <c r="W43" s="146">
        <v>2.7512000000000002E-2</v>
      </c>
      <c r="X43" s="143" t="s">
        <v>412</v>
      </c>
      <c r="Y43" s="145" t="s">
        <v>3853</v>
      </c>
      <c r="Z43" s="144">
        <v>19000</v>
      </c>
      <c r="AA43" s="145" t="s">
        <v>3853</v>
      </c>
      <c r="AB43" s="143" t="s">
        <v>1563</v>
      </c>
      <c r="AC43" s="145" t="s">
        <v>3853</v>
      </c>
      <c r="AD43" s="144">
        <v>19.440799999999999</v>
      </c>
      <c r="AE43" s="145" t="s">
        <v>3853</v>
      </c>
      <c r="AF43" s="145" t="s">
        <v>3853</v>
      </c>
      <c r="AG43" s="145" t="s">
        <v>3853</v>
      </c>
      <c r="AH43" s="146">
        <v>4.2222222222222222E-5</v>
      </c>
      <c r="AI43" s="146">
        <v>1.7580289014592201E-2</v>
      </c>
      <c r="AJ43" s="147">
        <v>1.3165306551858665E-3</v>
      </c>
      <c r="AK43" s="181"/>
    </row>
    <row r="44" spans="1:37" ht="15" x14ac:dyDescent="0.2">
      <c r="A44" s="142" t="s">
        <v>1205</v>
      </c>
      <c r="B44" s="143" t="s">
        <v>1206</v>
      </c>
      <c r="C44" s="143" t="s">
        <v>1451</v>
      </c>
      <c r="D44" s="143" t="s">
        <v>1452</v>
      </c>
      <c r="E44" s="143" t="s">
        <v>309</v>
      </c>
      <c r="F44" s="143" t="s">
        <v>1564</v>
      </c>
      <c r="G44" s="143" t="s">
        <v>1565</v>
      </c>
      <c r="H44" s="143" t="s">
        <v>321</v>
      </c>
      <c r="I44" s="143" t="s">
        <v>754</v>
      </c>
      <c r="J44" s="143" t="s">
        <v>204</v>
      </c>
      <c r="K44" s="143" t="s">
        <v>204</v>
      </c>
      <c r="L44" s="143" t="s">
        <v>325</v>
      </c>
      <c r="M44" s="143" t="s">
        <v>340</v>
      </c>
      <c r="N44" s="143" t="s">
        <v>464</v>
      </c>
      <c r="O44" s="143" t="s">
        <v>339</v>
      </c>
      <c r="P44" s="143" t="s">
        <v>1359</v>
      </c>
      <c r="Q44" s="143" t="s">
        <v>415</v>
      </c>
      <c r="R44" s="143" t="s">
        <v>407</v>
      </c>
      <c r="S44" s="143" t="s">
        <v>1210</v>
      </c>
      <c r="T44" s="144">
        <v>5.37</v>
      </c>
      <c r="U44" s="143" t="s">
        <v>1566</v>
      </c>
      <c r="V44" s="146">
        <v>5.8999999999999999E-3</v>
      </c>
      <c r="W44" s="146">
        <v>3.5757999999999998E-2</v>
      </c>
      <c r="X44" s="143" t="s">
        <v>412</v>
      </c>
      <c r="Y44" s="145" t="s">
        <v>3853</v>
      </c>
      <c r="Z44" s="144">
        <v>20000</v>
      </c>
      <c r="AA44" s="145" t="s">
        <v>3853</v>
      </c>
      <c r="AB44" s="143" t="s">
        <v>1567</v>
      </c>
      <c r="AC44" s="145" t="s">
        <v>3853</v>
      </c>
      <c r="AD44" s="144">
        <v>18.8</v>
      </c>
      <c r="AE44" s="145" t="s">
        <v>3853</v>
      </c>
      <c r="AF44" s="145" t="s">
        <v>3853</v>
      </c>
      <c r="AG44" s="145" t="s">
        <v>3853</v>
      </c>
      <c r="AH44" s="146">
        <v>1.4280399936880632E-5</v>
      </c>
      <c r="AI44" s="146">
        <v>1.7000814445616096E-2</v>
      </c>
      <c r="AJ44" s="147">
        <v>1.2731356897604158E-3</v>
      </c>
      <c r="AK44" s="181"/>
    </row>
    <row r="45" spans="1:37" ht="15" x14ac:dyDescent="0.2">
      <c r="A45" s="142" t="s">
        <v>1205</v>
      </c>
      <c r="B45" s="143" t="s">
        <v>1206</v>
      </c>
      <c r="C45" s="143" t="s">
        <v>1568</v>
      </c>
      <c r="D45" s="143" t="s">
        <v>1569</v>
      </c>
      <c r="E45" s="143" t="s">
        <v>309</v>
      </c>
      <c r="F45" s="143" t="s">
        <v>1570</v>
      </c>
      <c r="G45" s="143" t="s">
        <v>1571</v>
      </c>
      <c r="H45" s="143" t="s">
        <v>321</v>
      </c>
      <c r="I45" s="143" t="s">
        <v>754</v>
      </c>
      <c r="J45" s="143" t="s">
        <v>204</v>
      </c>
      <c r="K45" s="143" t="s">
        <v>204</v>
      </c>
      <c r="L45" s="143" t="s">
        <v>325</v>
      </c>
      <c r="M45" s="143" t="s">
        <v>340</v>
      </c>
      <c r="N45" s="143" t="s">
        <v>448</v>
      </c>
      <c r="O45" s="143" t="s">
        <v>339</v>
      </c>
      <c r="P45" s="143" t="s">
        <v>1222</v>
      </c>
      <c r="Q45" s="143" t="s">
        <v>413</v>
      </c>
      <c r="R45" s="143" t="s">
        <v>407</v>
      </c>
      <c r="S45" s="143" t="s">
        <v>1210</v>
      </c>
      <c r="T45" s="144">
        <v>4.16</v>
      </c>
      <c r="U45" s="143" t="s">
        <v>1572</v>
      </c>
      <c r="V45" s="146">
        <v>1.3899999999999999E-2</v>
      </c>
      <c r="W45" s="146">
        <v>2.5141E-2</v>
      </c>
      <c r="X45" s="143" t="s">
        <v>412</v>
      </c>
      <c r="Y45" s="145" t="s">
        <v>3853</v>
      </c>
      <c r="Z45" s="144">
        <v>18000</v>
      </c>
      <c r="AA45" s="145" t="s">
        <v>3853</v>
      </c>
      <c r="AB45" s="143" t="s">
        <v>1573</v>
      </c>
      <c r="AC45" s="145" t="s">
        <v>3853</v>
      </c>
      <c r="AD45" s="144">
        <v>18.262799999999999</v>
      </c>
      <c r="AE45" s="145" t="s">
        <v>3853</v>
      </c>
      <c r="AF45" s="145" t="s">
        <v>3853</v>
      </c>
      <c r="AG45" s="145" t="s">
        <v>3853</v>
      </c>
      <c r="AH45" s="146">
        <v>1.0000000000000001E-5</v>
      </c>
      <c r="AI45" s="146">
        <v>1.6515025215819022E-2</v>
      </c>
      <c r="AJ45" s="147">
        <v>1.236756514625347E-3</v>
      </c>
      <c r="AK45" s="181"/>
    </row>
    <row r="46" spans="1:37" ht="15" x14ac:dyDescent="0.2">
      <c r="A46" s="142" t="s">
        <v>1205</v>
      </c>
      <c r="B46" s="143" t="s">
        <v>1206</v>
      </c>
      <c r="C46" s="143" t="s">
        <v>1574</v>
      </c>
      <c r="D46" s="143" t="s">
        <v>1575</v>
      </c>
      <c r="E46" s="143" t="s">
        <v>309</v>
      </c>
      <c r="F46" s="143" t="s">
        <v>1576</v>
      </c>
      <c r="G46" s="143" t="s">
        <v>1577</v>
      </c>
      <c r="H46" s="143" t="s">
        <v>321</v>
      </c>
      <c r="I46" s="143" t="s">
        <v>754</v>
      </c>
      <c r="J46" s="143" t="s">
        <v>204</v>
      </c>
      <c r="K46" s="143" t="s">
        <v>204</v>
      </c>
      <c r="L46" s="143" t="s">
        <v>325</v>
      </c>
      <c r="M46" s="143" t="s">
        <v>340</v>
      </c>
      <c r="N46" s="143" t="s">
        <v>464</v>
      </c>
      <c r="O46" s="143" t="s">
        <v>339</v>
      </c>
      <c r="P46" s="143" t="s">
        <v>1347</v>
      </c>
      <c r="Q46" s="143" t="s">
        <v>413</v>
      </c>
      <c r="R46" s="143" t="s">
        <v>407</v>
      </c>
      <c r="S46" s="143" t="s">
        <v>1210</v>
      </c>
      <c r="T46" s="144">
        <v>1.44</v>
      </c>
      <c r="U46" s="143" t="s">
        <v>1578</v>
      </c>
      <c r="V46" s="146">
        <v>1.95E-2</v>
      </c>
      <c r="W46" s="146">
        <v>2.826E-2</v>
      </c>
      <c r="X46" s="143" t="s">
        <v>412</v>
      </c>
      <c r="Y46" s="145" t="s">
        <v>3853</v>
      </c>
      <c r="Z46" s="144">
        <v>14792</v>
      </c>
      <c r="AA46" s="145" t="s">
        <v>3853</v>
      </c>
      <c r="AB46" s="143" t="s">
        <v>1579</v>
      </c>
      <c r="AC46" s="145" t="s">
        <v>3853</v>
      </c>
      <c r="AD46" s="144">
        <v>16.748999999999999</v>
      </c>
      <c r="AE46" s="145" t="s">
        <v>3853</v>
      </c>
      <c r="AF46" s="145" t="s">
        <v>3853</v>
      </c>
      <c r="AG46" s="145" t="s">
        <v>3853</v>
      </c>
      <c r="AH46" s="146">
        <v>2.9287819892262721E-5</v>
      </c>
      <c r="AI46" s="146">
        <v>1.5146081294395647E-2</v>
      </c>
      <c r="AJ46" s="147">
        <v>1.1342407575585379E-3</v>
      </c>
      <c r="AK46" s="181"/>
    </row>
    <row r="47" spans="1:37" ht="15" x14ac:dyDescent="0.2">
      <c r="A47" s="142" t="s">
        <v>1205</v>
      </c>
      <c r="B47" s="143" t="s">
        <v>1206</v>
      </c>
      <c r="C47" s="143" t="s">
        <v>1568</v>
      </c>
      <c r="D47" s="143" t="s">
        <v>1569</v>
      </c>
      <c r="E47" s="143" t="s">
        <v>309</v>
      </c>
      <c r="F47" s="143" t="s">
        <v>1580</v>
      </c>
      <c r="G47" s="143" t="s">
        <v>1581</v>
      </c>
      <c r="H47" s="143" t="s">
        <v>321</v>
      </c>
      <c r="I47" s="143" t="s">
        <v>754</v>
      </c>
      <c r="J47" s="143" t="s">
        <v>204</v>
      </c>
      <c r="K47" s="143" t="s">
        <v>204</v>
      </c>
      <c r="L47" s="143" t="s">
        <v>325</v>
      </c>
      <c r="M47" s="143" t="s">
        <v>340</v>
      </c>
      <c r="N47" s="143" t="s">
        <v>448</v>
      </c>
      <c r="O47" s="143" t="s">
        <v>339</v>
      </c>
      <c r="P47" s="143" t="s">
        <v>1222</v>
      </c>
      <c r="Q47" s="143" t="s">
        <v>413</v>
      </c>
      <c r="R47" s="143" t="s">
        <v>407</v>
      </c>
      <c r="S47" s="143" t="s">
        <v>1210</v>
      </c>
      <c r="T47" s="144">
        <v>3.8</v>
      </c>
      <c r="U47" s="143" t="s">
        <v>1582</v>
      </c>
      <c r="V47" s="146">
        <v>1E-3</v>
      </c>
      <c r="W47" s="146">
        <v>2.5401E-2</v>
      </c>
      <c r="X47" s="143" t="s">
        <v>412</v>
      </c>
      <c r="Y47" s="145" t="s">
        <v>3853</v>
      </c>
      <c r="Z47" s="144">
        <v>16000</v>
      </c>
      <c r="AA47" s="145" t="s">
        <v>3853</v>
      </c>
      <c r="AB47" s="143" t="s">
        <v>1583</v>
      </c>
      <c r="AC47" s="145" t="s">
        <v>3853</v>
      </c>
      <c r="AD47" s="144">
        <v>16.155200000000001</v>
      </c>
      <c r="AE47" s="145" t="s">
        <v>3853</v>
      </c>
      <c r="AF47" s="145" t="s">
        <v>3853</v>
      </c>
      <c r="AG47" s="145" t="s">
        <v>3853</v>
      </c>
      <c r="AH47" s="146">
        <v>1.4225259207583305E-5</v>
      </c>
      <c r="AI47" s="146">
        <v>1.4609125400628571E-2</v>
      </c>
      <c r="AJ47" s="147">
        <v>1.0940298774051846E-3</v>
      </c>
      <c r="AK47" s="181"/>
    </row>
    <row r="48" spans="1:37" ht="15" x14ac:dyDescent="0.2">
      <c r="A48" s="142" t="s">
        <v>1205</v>
      </c>
      <c r="B48" s="143" t="s">
        <v>1206</v>
      </c>
      <c r="C48" s="143" t="s">
        <v>1584</v>
      </c>
      <c r="D48" s="143" t="s">
        <v>1585</v>
      </c>
      <c r="E48" s="143" t="s">
        <v>309</v>
      </c>
      <c r="F48" s="143" t="s">
        <v>1586</v>
      </c>
      <c r="G48" s="143" t="s">
        <v>1587</v>
      </c>
      <c r="H48" s="143" t="s">
        <v>321</v>
      </c>
      <c r="I48" s="143" t="s">
        <v>754</v>
      </c>
      <c r="J48" s="143" t="s">
        <v>204</v>
      </c>
      <c r="K48" s="143" t="s">
        <v>204</v>
      </c>
      <c r="L48" s="143" t="s">
        <v>325</v>
      </c>
      <c r="M48" s="143" t="s">
        <v>340</v>
      </c>
      <c r="N48" s="143" t="s">
        <v>448</v>
      </c>
      <c r="O48" s="143" t="s">
        <v>339</v>
      </c>
      <c r="P48" s="143" t="s">
        <v>1222</v>
      </c>
      <c r="Q48" s="143" t="s">
        <v>413</v>
      </c>
      <c r="R48" s="143" t="s">
        <v>407</v>
      </c>
      <c r="S48" s="143" t="s">
        <v>1210</v>
      </c>
      <c r="T48" s="144">
        <v>2.98</v>
      </c>
      <c r="U48" s="143" t="s">
        <v>1588</v>
      </c>
      <c r="V48" s="146">
        <v>1.4999999999999999E-2</v>
      </c>
      <c r="W48" s="146">
        <v>2.4263E-2</v>
      </c>
      <c r="X48" s="143" t="s">
        <v>412</v>
      </c>
      <c r="Y48" s="145" t="s">
        <v>3853</v>
      </c>
      <c r="Z48" s="144">
        <v>14334.74</v>
      </c>
      <c r="AA48" s="145" t="s">
        <v>3853</v>
      </c>
      <c r="AB48" s="143" t="s">
        <v>1589</v>
      </c>
      <c r="AC48" s="145" t="s">
        <v>3853</v>
      </c>
      <c r="AD48" s="144">
        <v>15.9359</v>
      </c>
      <c r="AE48" s="145" t="s">
        <v>3853</v>
      </c>
      <c r="AF48" s="145" t="s">
        <v>3853</v>
      </c>
      <c r="AG48" s="145" t="s">
        <v>3853</v>
      </c>
      <c r="AH48" s="146">
        <v>5.1353212501552488E-5</v>
      </c>
      <c r="AI48" s="146">
        <v>1.441084025184574E-2</v>
      </c>
      <c r="AJ48" s="147">
        <v>1.0791809476393536E-3</v>
      </c>
      <c r="AK48" s="181"/>
    </row>
    <row r="49" spans="1:37" ht="15" x14ac:dyDescent="0.2">
      <c r="A49" s="142" t="s">
        <v>1205</v>
      </c>
      <c r="B49" s="143" t="s">
        <v>1206</v>
      </c>
      <c r="C49" s="143" t="s">
        <v>1481</v>
      </c>
      <c r="D49" s="143" t="s">
        <v>1482</v>
      </c>
      <c r="E49" s="143" t="s">
        <v>309</v>
      </c>
      <c r="F49" s="143" t="s">
        <v>1590</v>
      </c>
      <c r="G49" s="143" t="s">
        <v>1591</v>
      </c>
      <c r="H49" s="143" t="s">
        <v>321</v>
      </c>
      <c r="I49" s="143" t="s">
        <v>754</v>
      </c>
      <c r="J49" s="143" t="s">
        <v>204</v>
      </c>
      <c r="K49" s="143" t="s">
        <v>204</v>
      </c>
      <c r="L49" s="143" t="s">
        <v>325</v>
      </c>
      <c r="M49" s="143" t="s">
        <v>340</v>
      </c>
      <c r="N49" s="143" t="s">
        <v>448</v>
      </c>
      <c r="O49" s="143" t="s">
        <v>339</v>
      </c>
      <c r="P49" s="143" t="s">
        <v>1222</v>
      </c>
      <c r="Q49" s="143" t="s">
        <v>413</v>
      </c>
      <c r="R49" s="143" t="s">
        <v>407</v>
      </c>
      <c r="S49" s="143" t="s">
        <v>1210</v>
      </c>
      <c r="T49" s="144">
        <v>1.99</v>
      </c>
      <c r="U49" s="143" t="s">
        <v>1416</v>
      </c>
      <c r="V49" s="146">
        <v>8.3000000000000001E-3</v>
      </c>
      <c r="W49" s="146">
        <v>2.1007000000000001E-2</v>
      </c>
      <c r="X49" s="143" t="s">
        <v>412</v>
      </c>
      <c r="Y49" s="145" t="s">
        <v>3853</v>
      </c>
      <c r="Z49" s="144">
        <v>12834.5</v>
      </c>
      <c r="AA49" s="145" t="s">
        <v>3853</v>
      </c>
      <c r="AB49" s="143" t="s">
        <v>1592</v>
      </c>
      <c r="AC49" s="145" t="s">
        <v>3853</v>
      </c>
      <c r="AD49" s="144">
        <v>14.2142</v>
      </c>
      <c r="AE49" s="145" t="s">
        <v>3853</v>
      </c>
      <c r="AF49" s="145" t="s">
        <v>3853</v>
      </c>
      <c r="AG49" s="145" t="s">
        <v>3853</v>
      </c>
      <c r="AH49" s="146">
        <v>8.438487048866891E-6</v>
      </c>
      <c r="AI49" s="146">
        <v>1.2853889651595889E-2</v>
      </c>
      <c r="AJ49" s="147">
        <v>9.62585981985627E-4</v>
      </c>
      <c r="AK49" s="181"/>
    </row>
    <row r="50" spans="1:37" ht="15" x14ac:dyDescent="0.2">
      <c r="A50" s="142" t="s">
        <v>1205</v>
      </c>
      <c r="B50" s="143" t="s">
        <v>1206</v>
      </c>
      <c r="C50" s="143" t="s">
        <v>1349</v>
      </c>
      <c r="D50" s="143" t="s">
        <v>1350</v>
      </c>
      <c r="E50" s="143" t="s">
        <v>309</v>
      </c>
      <c r="F50" s="143" t="s">
        <v>1593</v>
      </c>
      <c r="G50" s="143" t="s">
        <v>1594</v>
      </c>
      <c r="H50" s="143" t="s">
        <v>321</v>
      </c>
      <c r="I50" s="143" t="s">
        <v>754</v>
      </c>
      <c r="J50" s="143" t="s">
        <v>204</v>
      </c>
      <c r="K50" s="143" t="s">
        <v>204</v>
      </c>
      <c r="L50" s="143" t="s">
        <v>325</v>
      </c>
      <c r="M50" s="143" t="s">
        <v>340</v>
      </c>
      <c r="N50" s="143" t="s">
        <v>448</v>
      </c>
      <c r="O50" s="143" t="s">
        <v>339</v>
      </c>
      <c r="P50" s="143" t="s">
        <v>1222</v>
      </c>
      <c r="Q50" s="143" t="s">
        <v>413</v>
      </c>
      <c r="R50" s="143" t="s">
        <v>407</v>
      </c>
      <c r="S50" s="143" t="s">
        <v>1210</v>
      </c>
      <c r="T50" s="144">
        <v>4.63</v>
      </c>
      <c r="U50" s="143" t="s">
        <v>1595</v>
      </c>
      <c r="V50" s="146">
        <v>1.9900000000000001E-2</v>
      </c>
      <c r="W50" s="146">
        <v>2.5776E-2</v>
      </c>
      <c r="X50" s="143" t="s">
        <v>412</v>
      </c>
      <c r="Y50" s="145" t="s">
        <v>3853</v>
      </c>
      <c r="Z50" s="144">
        <v>14000</v>
      </c>
      <c r="AA50" s="145" t="s">
        <v>3853</v>
      </c>
      <c r="AB50" s="143" t="s">
        <v>1596</v>
      </c>
      <c r="AC50" s="145" t="s">
        <v>3853</v>
      </c>
      <c r="AD50" s="144">
        <v>14.032200000000001</v>
      </c>
      <c r="AE50" s="145" t="s">
        <v>3853</v>
      </c>
      <c r="AF50" s="145" t="s">
        <v>3853</v>
      </c>
      <c r="AG50" s="145" t="s">
        <v>3853</v>
      </c>
      <c r="AH50" s="146">
        <v>5.185185185185185E-6</v>
      </c>
      <c r="AI50" s="146">
        <v>1.2689299386370966E-2</v>
      </c>
      <c r="AJ50" s="147">
        <v>9.5026035243915466E-4</v>
      </c>
      <c r="AK50" s="181"/>
    </row>
    <row r="51" spans="1:37" ht="15" x14ac:dyDescent="0.2">
      <c r="A51" s="142" t="s">
        <v>1205</v>
      </c>
      <c r="B51" s="143" t="s">
        <v>1206</v>
      </c>
      <c r="C51" s="143" t="s">
        <v>1355</v>
      </c>
      <c r="D51" s="143" t="s">
        <v>1356</v>
      </c>
      <c r="E51" s="143" t="s">
        <v>309</v>
      </c>
      <c r="F51" s="143" t="s">
        <v>1597</v>
      </c>
      <c r="G51" s="143" t="s">
        <v>1598</v>
      </c>
      <c r="H51" s="143" t="s">
        <v>321</v>
      </c>
      <c r="I51" s="143" t="s">
        <v>754</v>
      </c>
      <c r="J51" s="143" t="s">
        <v>204</v>
      </c>
      <c r="K51" s="143" t="s">
        <v>204</v>
      </c>
      <c r="L51" s="143" t="s">
        <v>325</v>
      </c>
      <c r="M51" s="143" t="s">
        <v>340</v>
      </c>
      <c r="N51" s="143" t="s">
        <v>445</v>
      </c>
      <c r="O51" s="143" t="s">
        <v>339</v>
      </c>
      <c r="P51" s="143" t="s">
        <v>1359</v>
      </c>
      <c r="Q51" s="143" t="s">
        <v>415</v>
      </c>
      <c r="R51" s="143" t="s">
        <v>407</v>
      </c>
      <c r="S51" s="143" t="s">
        <v>1210</v>
      </c>
      <c r="T51" s="144">
        <v>5.24</v>
      </c>
      <c r="U51" s="143" t="s">
        <v>1599</v>
      </c>
      <c r="V51" s="146">
        <v>4.6899999999999997E-2</v>
      </c>
      <c r="W51" s="146">
        <v>5.7537999999999999E-2</v>
      </c>
      <c r="X51" s="143" t="s">
        <v>412</v>
      </c>
      <c r="Y51" s="145" t="s">
        <v>3853</v>
      </c>
      <c r="Z51" s="144">
        <v>14000</v>
      </c>
      <c r="AA51" s="145" t="s">
        <v>3853</v>
      </c>
      <c r="AB51" s="143" t="s">
        <v>1600</v>
      </c>
      <c r="AC51" s="145" t="s">
        <v>3853</v>
      </c>
      <c r="AD51" s="144">
        <v>13.333600000000001</v>
      </c>
      <c r="AE51" s="145" t="s">
        <v>3853</v>
      </c>
      <c r="AF51" s="145" t="s">
        <v>3853</v>
      </c>
      <c r="AG51" s="145" t="s">
        <v>3853</v>
      </c>
      <c r="AH51" s="146">
        <v>2.8E-5</v>
      </c>
      <c r="AI51" s="146">
        <v>1.2057556355960997E-2</v>
      </c>
      <c r="AJ51" s="147">
        <v>9.0295117196752554E-4</v>
      </c>
      <c r="AK51" s="181"/>
    </row>
    <row r="52" spans="1:37" ht="15" x14ac:dyDescent="0.2">
      <c r="A52" s="142" t="s">
        <v>1205</v>
      </c>
      <c r="B52" s="143" t="s">
        <v>1206</v>
      </c>
      <c r="C52" s="143" t="s">
        <v>1568</v>
      </c>
      <c r="D52" s="143" t="s">
        <v>1569</v>
      </c>
      <c r="E52" s="143" t="s">
        <v>309</v>
      </c>
      <c r="F52" s="143" t="s">
        <v>1601</v>
      </c>
      <c r="G52" s="143" t="s">
        <v>1602</v>
      </c>
      <c r="H52" s="143" t="s">
        <v>321</v>
      </c>
      <c r="I52" s="143" t="s">
        <v>754</v>
      </c>
      <c r="J52" s="143" t="s">
        <v>204</v>
      </c>
      <c r="K52" s="143" t="s">
        <v>204</v>
      </c>
      <c r="L52" s="143" t="s">
        <v>325</v>
      </c>
      <c r="M52" s="143" t="s">
        <v>340</v>
      </c>
      <c r="N52" s="143" t="s">
        <v>448</v>
      </c>
      <c r="O52" s="143" t="s">
        <v>339</v>
      </c>
      <c r="P52" s="143" t="s">
        <v>1222</v>
      </c>
      <c r="Q52" s="143" t="s">
        <v>413</v>
      </c>
      <c r="R52" s="143" t="s">
        <v>407</v>
      </c>
      <c r="S52" s="143" t="s">
        <v>1210</v>
      </c>
      <c r="T52" s="144">
        <v>3.26</v>
      </c>
      <c r="U52" s="143" t="s">
        <v>1603</v>
      </c>
      <c r="V52" s="146">
        <v>1.7500000000000002E-2</v>
      </c>
      <c r="W52" s="146">
        <v>2.4340000000000001E-2</v>
      </c>
      <c r="X52" s="143" t="s">
        <v>412</v>
      </c>
      <c r="Y52" s="145" t="s">
        <v>3853</v>
      </c>
      <c r="Z52" s="144">
        <v>10217.77</v>
      </c>
      <c r="AA52" s="145" t="s">
        <v>3853</v>
      </c>
      <c r="AB52" s="143" t="s">
        <v>1604</v>
      </c>
      <c r="AC52" s="145" t="s">
        <v>3853</v>
      </c>
      <c r="AD52" s="144">
        <v>11.393799999999999</v>
      </c>
      <c r="AE52" s="145" t="s">
        <v>3853</v>
      </c>
      <c r="AF52" s="145" t="s">
        <v>3853</v>
      </c>
      <c r="AG52" s="145" t="s">
        <v>3853</v>
      </c>
      <c r="AH52" s="146">
        <v>3.9293223516876816E-6</v>
      </c>
      <c r="AI52" s="146">
        <v>1.0303429798842158E-2</v>
      </c>
      <c r="AJ52" s="147">
        <v>7.7159034032216688E-4</v>
      </c>
      <c r="AK52" s="181"/>
    </row>
    <row r="53" spans="1:37" ht="15" x14ac:dyDescent="0.2">
      <c r="A53" s="142" t="s">
        <v>1205</v>
      </c>
      <c r="B53" s="143" t="s">
        <v>1206</v>
      </c>
      <c r="C53" s="143" t="s">
        <v>1516</v>
      </c>
      <c r="D53" s="143" t="s">
        <v>1517</v>
      </c>
      <c r="E53" s="143" t="s">
        <v>309</v>
      </c>
      <c r="F53" s="143" t="s">
        <v>1605</v>
      </c>
      <c r="G53" s="143" t="s">
        <v>1606</v>
      </c>
      <c r="H53" s="143" t="s">
        <v>321</v>
      </c>
      <c r="I53" s="143" t="s">
        <v>754</v>
      </c>
      <c r="J53" s="143" t="s">
        <v>204</v>
      </c>
      <c r="K53" s="143" t="s">
        <v>204</v>
      </c>
      <c r="L53" s="143" t="s">
        <v>325</v>
      </c>
      <c r="M53" s="143" t="s">
        <v>340</v>
      </c>
      <c r="N53" s="143" t="s">
        <v>465</v>
      </c>
      <c r="O53" s="143" t="s">
        <v>339</v>
      </c>
      <c r="P53" s="143" t="s">
        <v>1402</v>
      </c>
      <c r="Q53" s="143" t="s">
        <v>415</v>
      </c>
      <c r="R53" s="143" t="s">
        <v>407</v>
      </c>
      <c r="S53" s="143" t="s">
        <v>1210</v>
      </c>
      <c r="T53" s="144">
        <v>0.25</v>
      </c>
      <c r="U53" s="143" t="s">
        <v>1607</v>
      </c>
      <c r="V53" s="146">
        <v>5.3499999999999999E-2</v>
      </c>
      <c r="W53" s="146">
        <v>3.9487000000000001E-2</v>
      </c>
      <c r="X53" s="143" t="s">
        <v>412</v>
      </c>
      <c r="Y53" s="145" t="s">
        <v>3853</v>
      </c>
      <c r="Z53" s="144">
        <v>8572.39</v>
      </c>
      <c r="AA53" s="145" t="s">
        <v>3853</v>
      </c>
      <c r="AB53" s="143" t="s">
        <v>1608</v>
      </c>
      <c r="AC53" s="145" t="s">
        <v>3853</v>
      </c>
      <c r="AD53" s="144">
        <v>10.2509</v>
      </c>
      <c r="AE53" s="145" t="s">
        <v>3853</v>
      </c>
      <c r="AF53" s="145" t="s">
        <v>3853</v>
      </c>
      <c r="AG53" s="145" t="s">
        <v>3853</v>
      </c>
      <c r="AH53" s="146">
        <v>2.5931369883323795E-5</v>
      </c>
      <c r="AI53" s="146">
        <v>9.2698423470859055E-3</v>
      </c>
      <c r="AJ53" s="147">
        <v>6.9418833834580102E-4</v>
      </c>
      <c r="AK53" s="181"/>
    </row>
    <row r="54" spans="1:37" ht="15" x14ac:dyDescent="0.2">
      <c r="A54" s="142" t="s">
        <v>1205</v>
      </c>
      <c r="B54" s="143" t="s">
        <v>1206</v>
      </c>
      <c r="C54" s="143" t="s">
        <v>1349</v>
      </c>
      <c r="D54" s="143" t="s">
        <v>1350</v>
      </c>
      <c r="E54" s="143" t="s">
        <v>309</v>
      </c>
      <c r="F54" s="143" t="s">
        <v>1609</v>
      </c>
      <c r="G54" s="143" t="s">
        <v>1610</v>
      </c>
      <c r="H54" s="143" t="s">
        <v>321</v>
      </c>
      <c r="I54" s="143" t="s">
        <v>754</v>
      </c>
      <c r="J54" s="143" t="s">
        <v>204</v>
      </c>
      <c r="K54" s="143" t="s">
        <v>204</v>
      </c>
      <c r="L54" s="143" t="s">
        <v>325</v>
      </c>
      <c r="M54" s="143" t="s">
        <v>340</v>
      </c>
      <c r="N54" s="143" t="s">
        <v>448</v>
      </c>
      <c r="O54" s="143" t="s">
        <v>339</v>
      </c>
      <c r="P54" s="143" t="s">
        <v>1209</v>
      </c>
      <c r="Q54" s="143" t="s">
        <v>415</v>
      </c>
      <c r="R54" s="143" t="s">
        <v>407</v>
      </c>
      <c r="S54" s="143" t="s">
        <v>1210</v>
      </c>
      <c r="T54" s="144">
        <v>0.67</v>
      </c>
      <c r="U54" s="143" t="s">
        <v>1611</v>
      </c>
      <c r="V54" s="146">
        <v>9.4999999999999998E-3</v>
      </c>
      <c r="W54" s="146">
        <v>2.8906999999999999E-2</v>
      </c>
      <c r="X54" s="143" t="s">
        <v>412</v>
      </c>
      <c r="Y54" s="145" t="s">
        <v>3853</v>
      </c>
      <c r="Z54" s="144">
        <v>6413.26</v>
      </c>
      <c r="AA54" s="145" t="s">
        <v>3853</v>
      </c>
      <c r="AB54" s="143" t="s">
        <v>1612</v>
      </c>
      <c r="AC54" s="145" t="s">
        <v>3853</v>
      </c>
      <c r="AD54" s="144">
        <v>7.2693999999999992</v>
      </c>
      <c r="AE54" s="145" t="s">
        <v>3853</v>
      </c>
      <c r="AF54" s="145" t="s">
        <v>3853</v>
      </c>
      <c r="AG54" s="145" t="s">
        <v>3853</v>
      </c>
      <c r="AH54" s="146">
        <v>3.9903713561066057E-5</v>
      </c>
      <c r="AI54" s="146">
        <v>6.5737358577428748E-3</v>
      </c>
      <c r="AJ54" s="147">
        <v>4.9228569386029547E-4</v>
      </c>
      <c r="AK54" s="181"/>
    </row>
    <row r="55" spans="1:37" ht="15" x14ac:dyDescent="0.2">
      <c r="A55" s="142" t="s">
        <v>1205</v>
      </c>
      <c r="B55" s="143" t="s">
        <v>1206</v>
      </c>
      <c r="C55" s="143" t="s">
        <v>1516</v>
      </c>
      <c r="D55" s="143" t="s">
        <v>1517</v>
      </c>
      <c r="E55" s="143" t="s">
        <v>309</v>
      </c>
      <c r="F55" s="143" t="s">
        <v>1613</v>
      </c>
      <c r="G55" s="143" t="s">
        <v>1614</v>
      </c>
      <c r="H55" s="143" t="s">
        <v>321</v>
      </c>
      <c r="I55" s="143" t="s">
        <v>754</v>
      </c>
      <c r="J55" s="143" t="s">
        <v>204</v>
      </c>
      <c r="K55" s="143" t="s">
        <v>204</v>
      </c>
      <c r="L55" s="143" t="s">
        <v>325</v>
      </c>
      <c r="M55" s="143" t="s">
        <v>340</v>
      </c>
      <c r="N55" s="143" t="s">
        <v>465</v>
      </c>
      <c r="O55" s="143" t="s">
        <v>339</v>
      </c>
      <c r="P55" s="143" t="s">
        <v>1402</v>
      </c>
      <c r="Q55" s="143" t="s">
        <v>415</v>
      </c>
      <c r="R55" s="143" t="s">
        <v>407</v>
      </c>
      <c r="S55" s="143" t="s">
        <v>1210</v>
      </c>
      <c r="T55" s="144">
        <v>4.3099999999999996</v>
      </c>
      <c r="U55" s="143" t="s">
        <v>1615</v>
      </c>
      <c r="V55" s="146">
        <v>1.7899999999999999E-2</v>
      </c>
      <c r="W55" s="146">
        <v>6.0524000000000001E-2</v>
      </c>
      <c r="X55" s="143" t="s">
        <v>412</v>
      </c>
      <c r="Y55" s="145" t="s">
        <v>3853</v>
      </c>
      <c r="Z55" s="144">
        <v>7439.85</v>
      </c>
      <c r="AA55" s="145" t="s">
        <v>3853</v>
      </c>
      <c r="AB55" s="143" t="s">
        <v>1616</v>
      </c>
      <c r="AC55" s="145" t="s">
        <v>3853</v>
      </c>
      <c r="AD55" s="144">
        <v>7.0247000000000002</v>
      </c>
      <c r="AE55" s="145" t="s">
        <v>3853</v>
      </c>
      <c r="AF55" s="145" t="s">
        <v>3853</v>
      </c>
      <c r="AG55" s="145" t="s">
        <v>3853</v>
      </c>
      <c r="AH55" s="146">
        <v>1.0589176418611143E-5</v>
      </c>
      <c r="AI55" s="146">
        <v>6.3524324218780532E-3</v>
      </c>
      <c r="AJ55" s="147">
        <v>4.757129994539541E-4</v>
      </c>
      <c r="AK55" s="181"/>
    </row>
    <row r="56" spans="1:37" ht="15" x14ac:dyDescent="0.2">
      <c r="A56" s="142" t="s">
        <v>1205</v>
      </c>
      <c r="B56" s="143" t="s">
        <v>1206</v>
      </c>
      <c r="C56" s="143" t="s">
        <v>1617</v>
      </c>
      <c r="D56" s="143" t="s">
        <v>1618</v>
      </c>
      <c r="E56" s="143" t="s">
        <v>309</v>
      </c>
      <c r="F56" s="143" t="s">
        <v>1619</v>
      </c>
      <c r="G56" s="143" t="s">
        <v>1620</v>
      </c>
      <c r="H56" s="143" t="s">
        <v>321</v>
      </c>
      <c r="I56" s="143" t="s">
        <v>754</v>
      </c>
      <c r="J56" s="143" t="s">
        <v>204</v>
      </c>
      <c r="K56" s="143" t="s">
        <v>204</v>
      </c>
      <c r="L56" s="143" t="s">
        <v>325</v>
      </c>
      <c r="M56" s="143" t="s">
        <v>340</v>
      </c>
      <c r="N56" s="143" t="s">
        <v>440</v>
      </c>
      <c r="O56" s="143" t="s">
        <v>339</v>
      </c>
      <c r="P56" s="143" t="s">
        <v>1347</v>
      </c>
      <c r="Q56" s="143" t="s">
        <v>413</v>
      </c>
      <c r="R56" s="143" t="s">
        <v>407</v>
      </c>
      <c r="S56" s="143" t="s">
        <v>1210</v>
      </c>
      <c r="T56" s="144">
        <v>3.31</v>
      </c>
      <c r="U56" s="143" t="s">
        <v>1621</v>
      </c>
      <c r="V56" s="146">
        <v>1.23E-2</v>
      </c>
      <c r="W56" s="146">
        <v>2.8667000000000002E-2</v>
      </c>
      <c r="X56" s="143" t="s">
        <v>412</v>
      </c>
      <c r="Y56" s="145" t="s">
        <v>3853</v>
      </c>
      <c r="Z56" s="144">
        <v>5729.28</v>
      </c>
      <c r="AA56" s="145" t="s">
        <v>3853</v>
      </c>
      <c r="AB56" s="143" t="s">
        <v>1622</v>
      </c>
      <c r="AC56" s="145" t="s">
        <v>3853</v>
      </c>
      <c r="AD56" s="144">
        <v>6.2093999999999996</v>
      </c>
      <c r="AE56" s="145" t="s">
        <v>3853</v>
      </c>
      <c r="AF56" s="145" t="s">
        <v>3853</v>
      </c>
      <c r="AG56" s="145" t="s">
        <v>3853</v>
      </c>
      <c r="AH56" s="146">
        <v>5.1388706217798269E-6</v>
      </c>
      <c r="AI56" s="146">
        <v>5.6151462500770343E-3</v>
      </c>
      <c r="AJ56" s="147">
        <v>4.2050003645801041E-4</v>
      </c>
      <c r="AK56" s="181"/>
    </row>
    <row r="57" spans="1:37" ht="15" x14ac:dyDescent="0.2">
      <c r="A57" s="142" t="s">
        <v>1205</v>
      </c>
      <c r="B57" s="143" t="s">
        <v>1206</v>
      </c>
      <c r="C57" s="143" t="s">
        <v>1623</v>
      </c>
      <c r="D57" s="143" t="s">
        <v>1624</v>
      </c>
      <c r="E57" s="143" t="s">
        <v>309</v>
      </c>
      <c r="F57" s="143" t="s">
        <v>1625</v>
      </c>
      <c r="G57" s="143" t="s">
        <v>1626</v>
      </c>
      <c r="H57" s="143" t="s">
        <v>321</v>
      </c>
      <c r="I57" s="143" t="s">
        <v>754</v>
      </c>
      <c r="J57" s="143" t="s">
        <v>204</v>
      </c>
      <c r="K57" s="143" t="s">
        <v>204</v>
      </c>
      <c r="L57" s="143" t="s">
        <v>325</v>
      </c>
      <c r="M57" s="143" t="s">
        <v>340</v>
      </c>
      <c r="N57" s="143" t="s">
        <v>445</v>
      </c>
      <c r="O57" s="143" t="s">
        <v>339</v>
      </c>
      <c r="P57" s="143" t="s">
        <v>1627</v>
      </c>
      <c r="Q57" s="143" t="s">
        <v>415</v>
      </c>
      <c r="R57" s="143" t="s">
        <v>407</v>
      </c>
      <c r="S57" s="143" t="s">
        <v>1210</v>
      </c>
      <c r="T57" s="144">
        <v>4.76</v>
      </c>
      <c r="U57" s="143" t="s">
        <v>1628</v>
      </c>
      <c r="V57" s="146">
        <v>5.1700000000000003E-2</v>
      </c>
      <c r="W57" s="146">
        <v>5.8743999999999998E-2</v>
      </c>
      <c r="X57" s="143" t="s">
        <v>412</v>
      </c>
      <c r="Y57" s="145" t="s">
        <v>3853</v>
      </c>
      <c r="Z57" s="144">
        <v>4888</v>
      </c>
      <c r="AA57" s="145" t="s">
        <v>3853</v>
      </c>
      <c r="AB57" s="143" t="s">
        <v>1629</v>
      </c>
      <c r="AC57" s="145" t="s">
        <v>3853</v>
      </c>
      <c r="AD57" s="144">
        <v>4.7696999999999994</v>
      </c>
      <c r="AE57" s="145" t="s">
        <v>3853</v>
      </c>
      <c r="AF57" s="145" t="s">
        <v>3853</v>
      </c>
      <c r="AG57" s="145" t="s">
        <v>3853</v>
      </c>
      <c r="AH57" s="146">
        <v>8.0103045816713479E-6</v>
      </c>
      <c r="AI57" s="146">
        <v>4.3132426313683683E-3</v>
      </c>
      <c r="AJ57" s="147">
        <v>3.230047095777356E-4</v>
      </c>
      <c r="AK57" s="181"/>
    </row>
    <row r="58" spans="1:37" ht="15" x14ac:dyDescent="0.2">
      <c r="A58" s="142" t="s">
        <v>1205</v>
      </c>
      <c r="B58" s="143" t="s">
        <v>1206</v>
      </c>
      <c r="C58" s="143" t="s">
        <v>1617</v>
      </c>
      <c r="D58" s="143" t="s">
        <v>1618</v>
      </c>
      <c r="E58" s="143" t="s">
        <v>309</v>
      </c>
      <c r="F58" s="143" t="s">
        <v>1630</v>
      </c>
      <c r="G58" s="143" t="s">
        <v>1631</v>
      </c>
      <c r="H58" s="143" t="s">
        <v>321</v>
      </c>
      <c r="I58" s="143" t="s">
        <v>754</v>
      </c>
      <c r="J58" s="143" t="s">
        <v>204</v>
      </c>
      <c r="K58" s="143" t="s">
        <v>204</v>
      </c>
      <c r="L58" s="143" t="s">
        <v>325</v>
      </c>
      <c r="M58" s="143" t="s">
        <v>340</v>
      </c>
      <c r="N58" s="143" t="s">
        <v>440</v>
      </c>
      <c r="O58" s="143" t="s">
        <v>339</v>
      </c>
      <c r="P58" s="143" t="s">
        <v>1347</v>
      </c>
      <c r="Q58" s="143" t="s">
        <v>413</v>
      </c>
      <c r="R58" s="143" t="s">
        <v>407</v>
      </c>
      <c r="S58" s="143" t="s">
        <v>1210</v>
      </c>
      <c r="T58" s="144">
        <v>2.34</v>
      </c>
      <c r="U58" s="143" t="s">
        <v>1632</v>
      </c>
      <c r="V58" s="146">
        <v>1.9400000000000001E-2</v>
      </c>
      <c r="W58" s="146">
        <v>2.5323999999999999E-2</v>
      </c>
      <c r="X58" s="143" t="s">
        <v>412</v>
      </c>
      <c r="Y58" s="145" t="s">
        <v>3853</v>
      </c>
      <c r="Z58" s="144">
        <v>4060.67</v>
      </c>
      <c r="AA58" s="145" t="s">
        <v>3853</v>
      </c>
      <c r="AB58" s="143" t="s">
        <v>1633</v>
      </c>
      <c r="AC58" s="145" t="s">
        <v>3853</v>
      </c>
      <c r="AD58" s="144">
        <v>4.5926</v>
      </c>
      <c r="AE58" s="145" t="s">
        <v>3853</v>
      </c>
      <c r="AF58" s="145" t="s">
        <v>3853</v>
      </c>
      <c r="AG58" s="145" t="s">
        <v>3853</v>
      </c>
      <c r="AH58" s="146">
        <v>1.347924100720068E-5</v>
      </c>
      <c r="AI58" s="146">
        <v>4.1530980067770841E-3</v>
      </c>
      <c r="AJ58" s="147">
        <v>3.1101199959653687E-4</v>
      </c>
      <c r="AK58" s="181"/>
    </row>
    <row r="59" spans="1:37" ht="15" x14ac:dyDescent="0.2">
      <c r="A59" s="142" t="s">
        <v>1205</v>
      </c>
      <c r="B59" s="143" t="s">
        <v>1206</v>
      </c>
      <c r="C59" s="143" t="s">
        <v>1634</v>
      </c>
      <c r="D59" s="143" t="s">
        <v>1635</v>
      </c>
      <c r="E59" s="143" t="s">
        <v>309</v>
      </c>
      <c r="F59" s="143" t="s">
        <v>1636</v>
      </c>
      <c r="G59" s="143" t="s">
        <v>1637</v>
      </c>
      <c r="H59" s="143" t="s">
        <v>321</v>
      </c>
      <c r="I59" s="143" t="s">
        <v>754</v>
      </c>
      <c r="J59" s="143" t="s">
        <v>204</v>
      </c>
      <c r="K59" s="143" t="s">
        <v>204</v>
      </c>
      <c r="L59" s="143" t="s">
        <v>325</v>
      </c>
      <c r="M59" s="143" t="s">
        <v>340</v>
      </c>
      <c r="N59" s="143" t="s">
        <v>464</v>
      </c>
      <c r="O59" s="143" t="s">
        <v>339</v>
      </c>
      <c r="P59" s="143" t="s">
        <v>1409</v>
      </c>
      <c r="Q59" s="143" t="s">
        <v>413</v>
      </c>
      <c r="R59" s="143" t="s">
        <v>407</v>
      </c>
      <c r="S59" s="143" t="s">
        <v>1210</v>
      </c>
      <c r="T59" s="144">
        <v>0.22</v>
      </c>
      <c r="U59" s="143" t="s">
        <v>1638</v>
      </c>
      <c r="V59" s="146">
        <v>0.04</v>
      </c>
      <c r="W59" s="146">
        <v>2.2232999999999999E-2</v>
      </c>
      <c r="X59" s="143" t="s">
        <v>412</v>
      </c>
      <c r="Y59" s="145" t="s">
        <v>3853</v>
      </c>
      <c r="Z59" s="144">
        <v>3556.78</v>
      </c>
      <c r="AA59" s="145" t="s">
        <v>3853</v>
      </c>
      <c r="AB59" s="143" t="s">
        <v>1639</v>
      </c>
      <c r="AC59" s="145" t="s">
        <v>3853</v>
      </c>
      <c r="AD59" s="144">
        <v>4.0907</v>
      </c>
      <c r="AE59" s="145" t="s">
        <v>3853</v>
      </c>
      <c r="AF59" s="145" t="s">
        <v>3853</v>
      </c>
      <c r="AG59" s="145" t="s">
        <v>3853</v>
      </c>
      <c r="AH59" s="146">
        <v>4.3689228203481415E-5</v>
      </c>
      <c r="AI59" s="146">
        <v>3.6991716563904557E-3</v>
      </c>
      <c r="AJ59" s="147">
        <v>2.7701893184977776E-4</v>
      </c>
      <c r="AK59" s="181"/>
    </row>
    <row r="60" spans="1:37" ht="15" x14ac:dyDescent="0.2">
      <c r="A60" s="142" t="s">
        <v>1205</v>
      </c>
      <c r="B60" s="143" t="s">
        <v>1206</v>
      </c>
      <c r="C60" s="143" t="s">
        <v>1640</v>
      </c>
      <c r="D60" s="143" t="s">
        <v>1641</v>
      </c>
      <c r="E60" s="143" t="s">
        <v>309</v>
      </c>
      <c r="F60" s="143" t="s">
        <v>1642</v>
      </c>
      <c r="G60" s="143" t="s">
        <v>1643</v>
      </c>
      <c r="H60" s="143" t="s">
        <v>321</v>
      </c>
      <c r="I60" s="143" t="s">
        <v>754</v>
      </c>
      <c r="J60" s="143" t="s">
        <v>204</v>
      </c>
      <c r="K60" s="143" t="s">
        <v>204</v>
      </c>
      <c r="L60" s="143" t="s">
        <v>325</v>
      </c>
      <c r="M60" s="143" t="s">
        <v>340</v>
      </c>
      <c r="N60" s="143" t="s">
        <v>445</v>
      </c>
      <c r="O60" s="143" t="s">
        <v>339</v>
      </c>
      <c r="P60" s="143" t="s">
        <v>1409</v>
      </c>
      <c r="Q60" s="143" t="s">
        <v>413</v>
      </c>
      <c r="R60" s="143" t="s">
        <v>407</v>
      </c>
      <c r="S60" s="143" t="s">
        <v>1210</v>
      </c>
      <c r="T60" s="144">
        <v>4.79</v>
      </c>
      <c r="U60" s="143" t="s">
        <v>1644</v>
      </c>
      <c r="V60" s="146">
        <v>4.4000000000000003E-3</v>
      </c>
      <c r="W60" s="146">
        <v>2.8766E-2</v>
      </c>
      <c r="X60" s="143" t="s">
        <v>412</v>
      </c>
      <c r="Y60" s="145" t="s">
        <v>3853</v>
      </c>
      <c r="Z60" s="144">
        <v>2622.4</v>
      </c>
      <c r="AA60" s="145" t="s">
        <v>3853</v>
      </c>
      <c r="AB60" s="143" t="s">
        <v>1645</v>
      </c>
      <c r="AC60" s="145" t="s">
        <v>3853</v>
      </c>
      <c r="AD60" s="144">
        <v>2.6506999999999996</v>
      </c>
      <c r="AE60" s="145" t="s">
        <v>3853</v>
      </c>
      <c r="AF60" s="145" t="s">
        <v>3853</v>
      </c>
      <c r="AG60" s="145" t="s">
        <v>3853</v>
      </c>
      <c r="AH60" s="146">
        <v>3.0743397232639614E-6</v>
      </c>
      <c r="AI60" s="146">
        <v>2.3970442291940015E-3</v>
      </c>
      <c r="AJ60" s="147">
        <v>1.7950684467990711E-4</v>
      </c>
      <c r="AK60" s="181"/>
    </row>
    <row r="61" spans="1:37" ht="15" x14ac:dyDescent="0.2">
      <c r="A61" s="142" t="s">
        <v>1205</v>
      </c>
      <c r="B61" s="143" t="s">
        <v>1206</v>
      </c>
      <c r="C61" s="143" t="s">
        <v>1623</v>
      </c>
      <c r="D61" s="143" t="s">
        <v>1624</v>
      </c>
      <c r="E61" s="143" t="s">
        <v>309</v>
      </c>
      <c r="F61" s="143" t="s">
        <v>1646</v>
      </c>
      <c r="G61" s="143" t="s">
        <v>1647</v>
      </c>
      <c r="H61" s="143" t="s">
        <v>321</v>
      </c>
      <c r="I61" s="143" t="s">
        <v>754</v>
      </c>
      <c r="J61" s="143" t="s">
        <v>204</v>
      </c>
      <c r="K61" s="143" t="s">
        <v>204</v>
      </c>
      <c r="L61" s="143" t="s">
        <v>325</v>
      </c>
      <c r="M61" s="143" t="s">
        <v>340</v>
      </c>
      <c r="N61" s="143" t="s">
        <v>445</v>
      </c>
      <c r="O61" s="143" t="s">
        <v>339</v>
      </c>
      <c r="P61" s="143" t="s">
        <v>1627</v>
      </c>
      <c r="Q61" s="143" t="s">
        <v>415</v>
      </c>
      <c r="R61" s="143" t="s">
        <v>407</v>
      </c>
      <c r="S61" s="143" t="s">
        <v>1210</v>
      </c>
      <c r="T61" s="144">
        <v>5.55</v>
      </c>
      <c r="U61" s="143" t="s">
        <v>1648</v>
      </c>
      <c r="V61" s="146">
        <v>5.3999999999999999E-2</v>
      </c>
      <c r="W61" s="146">
        <v>6.1131999999999999E-2</v>
      </c>
      <c r="X61" s="143" t="s">
        <v>412</v>
      </c>
      <c r="Y61" s="145" t="s">
        <v>3853</v>
      </c>
      <c r="Z61" s="144">
        <v>2650</v>
      </c>
      <c r="AA61" s="145" t="s">
        <v>3853</v>
      </c>
      <c r="AB61" s="143" t="s">
        <v>1649</v>
      </c>
      <c r="AC61" s="145" t="s">
        <v>3853</v>
      </c>
      <c r="AD61" s="144">
        <v>2.5623</v>
      </c>
      <c r="AE61" s="145" t="s">
        <v>3853</v>
      </c>
      <c r="AF61" s="145" t="s">
        <v>3853</v>
      </c>
      <c r="AG61" s="145" t="s">
        <v>3853</v>
      </c>
      <c r="AH61" s="146">
        <v>4.6368667871531126E-6</v>
      </c>
      <c r="AI61" s="146">
        <v>2.3170708426481614E-3</v>
      </c>
      <c r="AJ61" s="147">
        <v>1.7351789791690249E-4</v>
      </c>
      <c r="AK61" s="181"/>
    </row>
    <row r="62" spans="1:37" ht="15" x14ac:dyDescent="0.2">
      <c r="A62" s="142" t="s">
        <v>1205</v>
      </c>
      <c r="B62" s="143" t="s">
        <v>1206</v>
      </c>
      <c r="C62" s="143" t="s">
        <v>1349</v>
      </c>
      <c r="D62" s="143" t="s">
        <v>1350</v>
      </c>
      <c r="E62" s="143" t="s">
        <v>309</v>
      </c>
      <c r="F62" s="143" t="s">
        <v>1650</v>
      </c>
      <c r="G62" s="143" t="s">
        <v>1651</v>
      </c>
      <c r="H62" s="143" t="s">
        <v>321</v>
      </c>
      <c r="I62" s="143" t="s">
        <v>754</v>
      </c>
      <c r="J62" s="143" t="s">
        <v>204</v>
      </c>
      <c r="K62" s="143" t="s">
        <v>204</v>
      </c>
      <c r="L62" s="143" t="s">
        <v>325</v>
      </c>
      <c r="M62" s="143" t="s">
        <v>340</v>
      </c>
      <c r="N62" s="143" t="s">
        <v>448</v>
      </c>
      <c r="O62" s="143" t="s">
        <v>339</v>
      </c>
      <c r="P62" s="143" t="s">
        <v>1209</v>
      </c>
      <c r="Q62" s="143" t="s">
        <v>415</v>
      </c>
      <c r="R62" s="143" t="s">
        <v>407</v>
      </c>
      <c r="S62" s="143" t="s">
        <v>1210</v>
      </c>
      <c r="T62" s="144">
        <v>2.41</v>
      </c>
      <c r="U62" s="143" t="s">
        <v>1652</v>
      </c>
      <c r="V62" s="146">
        <v>5.0000000000000001E-3</v>
      </c>
      <c r="W62" s="146">
        <v>2.1951999999999999E-2</v>
      </c>
      <c r="X62" s="143" t="s">
        <v>412</v>
      </c>
      <c r="Y62" s="145" t="s">
        <v>3853</v>
      </c>
      <c r="Z62" s="144">
        <v>2035</v>
      </c>
      <c r="AA62" s="145" t="s">
        <v>3853</v>
      </c>
      <c r="AB62" s="143" t="s">
        <v>1653</v>
      </c>
      <c r="AC62" s="145" t="s">
        <v>3853</v>
      </c>
      <c r="AD62" s="144">
        <v>2.2035</v>
      </c>
      <c r="AE62" s="145" t="s">
        <v>3853</v>
      </c>
      <c r="AF62" s="145" t="s">
        <v>3853</v>
      </c>
      <c r="AG62" s="145" t="s">
        <v>3853</v>
      </c>
      <c r="AH62" s="146">
        <v>2.6662642734510892E-6</v>
      </c>
      <c r="AI62" s="146">
        <v>1.9926202462386263E-3</v>
      </c>
      <c r="AJ62" s="147">
        <v>1.4922084819764345E-4</v>
      </c>
      <c r="AK62" s="181"/>
    </row>
    <row r="63" spans="1:37" ht="15" x14ac:dyDescent="0.2">
      <c r="A63" s="142" t="s">
        <v>1205</v>
      </c>
      <c r="B63" s="143" t="s">
        <v>1206</v>
      </c>
      <c r="C63" s="143" t="s">
        <v>1654</v>
      </c>
      <c r="D63" s="143" t="s">
        <v>1655</v>
      </c>
      <c r="E63" s="143" t="s">
        <v>309</v>
      </c>
      <c r="F63" s="143" t="s">
        <v>1656</v>
      </c>
      <c r="G63" s="143" t="s">
        <v>1657</v>
      </c>
      <c r="H63" s="143" t="s">
        <v>321</v>
      </c>
      <c r="I63" s="143" t="s">
        <v>754</v>
      </c>
      <c r="J63" s="143" t="s">
        <v>204</v>
      </c>
      <c r="K63" s="143" t="s">
        <v>204</v>
      </c>
      <c r="L63" s="143" t="s">
        <v>325</v>
      </c>
      <c r="M63" s="143" t="s">
        <v>340</v>
      </c>
      <c r="N63" s="143" t="s">
        <v>464</v>
      </c>
      <c r="O63" s="143" t="s">
        <v>339</v>
      </c>
      <c r="P63" s="143" t="s">
        <v>1359</v>
      </c>
      <c r="Q63" s="143" t="s">
        <v>415</v>
      </c>
      <c r="R63" s="143" t="s">
        <v>407</v>
      </c>
      <c r="S63" s="143" t="s">
        <v>1210</v>
      </c>
      <c r="T63" s="144">
        <v>3.16</v>
      </c>
      <c r="U63" s="143" t="s">
        <v>1658</v>
      </c>
      <c r="V63" s="146">
        <v>1.9599999999999999E-2</v>
      </c>
      <c r="W63" s="146">
        <v>2.9968999999999999E-2</v>
      </c>
      <c r="X63" s="143" t="s">
        <v>412</v>
      </c>
      <c r="Y63" s="145" t="s">
        <v>3853</v>
      </c>
      <c r="Z63" s="144">
        <v>1048</v>
      </c>
      <c r="AA63" s="145" t="s">
        <v>3853</v>
      </c>
      <c r="AB63" s="143" t="s">
        <v>1659</v>
      </c>
      <c r="AC63" s="145" t="s">
        <v>3853</v>
      </c>
      <c r="AD63" s="144">
        <v>1.1644000000000001</v>
      </c>
      <c r="AE63" s="145" t="s">
        <v>3853</v>
      </c>
      <c r="AF63" s="145" t="s">
        <v>3853</v>
      </c>
      <c r="AG63" s="145" t="s">
        <v>3853</v>
      </c>
      <c r="AH63" s="146">
        <v>9.152098642632601E-7</v>
      </c>
      <c r="AI63" s="146">
        <v>1.0529949982547445E-3</v>
      </c>
      <c r="AJ63" s="147">
        <v>7.8855370000407038E-5</v>
      </c>
      <c r="AK63" s="181"/>
    </row>
    <row r="64" spans="1:37" ht="15" x14ac:dyDescent="0.2">
      <c r="A64" s="142" t="s">
        <v>1205</v>
      </c>
      <c r="B64" s="143" t="s">
        <v>1206</v>
      </c>
      <c r="C64" s="143" t="s">
        <v>1430</v>
      </c>
      <c r="D64" s="143" t="s">
        <v>1431</v>
      </c>
      <c r="E64" s="143" t="s">
        <v>309</v>
      </c>
      <c r="F64" s="143" t="s">
        <v>1660</v>
      </c>
      <c r="G64" s="143" t="s">
        <v>1661</v>
      </c>
      <c r="H64" s="143" t="s">
        <v>321</v>
      </c>
      <c r="I64" s="143" t="s">
        <v>754</v>
      </c>
      <c r="J64" s="143" t="s">
        <v>204</v>
      </c>
      <c r="K64" s="143" t="s">
        <v>204</v>
      </c>
      <c r="L64" s="143" t="s">
        <v>325</v>
      </c>
      <c r="M64" s="143" t="s">
        <v>340</v>
      </c>
      <c r="N64" s="143" t="s">
        <v>484</v>
      </c>
      <c r="O64" s="143" t="s">
        <v>339</v>
      </c>
      <c r="P64" s="143" t="s">
        <v>1396</v>
      </c>
      <c r="Q64" s="143" t="s">
        <v>413</v>
      </c>
      <c r="R64" s="143" t="s">
        <v>407</v>
      </c>
      <c r="S64" s="143" t="s">
        <v>1210</v>
      </c>
      <c r="T64" s="144">
        <v>0.01</v>
      </c>
      <c r="U64" s="143" t="s">
        <v>1662</v>
      </c>
      <c r="V64" s="146">
        <v>1.9800000000000002E-2</v>
      </c>
      <c r="W64" s="146">
        <v>7.3847999999999997E-2</v>
      </c>
      <c r="X64" s="143" t="s">
        <v>412</v>
      </c>
      <c r="Y64" s="145" t="s">
        <v>3853</v>
      </c>
      <c r="Z64" s="144">
        <v>860.43</v>
      </c>
      <c r="AA64" s="145" t="s">
        <v>3853</v>
      </c>
      <c r="AB64" s="143" t="s">
        <v>1663</v>
      </c>
      <c r="AC64" s="145" t="s">
        <v>3853</v>
      </c>
      <c r="AD64" s="144">
        <v>0.9867999999999999</v>
      </c>
      <c r="AE64" s="145" t="s">
        <v>3853</v>
      </c>
      <c r="AF64" s="145" t="s">
        <v>3853</v>
      </c>
      <c r="AG64" s="145" t="s">
        <v>3853</v>
      </c>
      <c r="AH64" s="146">
        <v>5.6629668897133528E-6</v>
      </c>
      <c r="AI64" s="146">
        <v>8.9238646574787267E-4</v>
      </c>
      <c r="AJ64" s="147">
        <v>6.6827919464513942E-5</v>
      </c>
      <c r="AK64" s="181"/>
    </row>
    <row r="65" spans="1:37" ht="15" x14ac:dyDescent="0.2">
      <c r="A65" s="142" t="s">
        <v>1205</v>
      </c>
      <c r="B65" s="143" t="s">
        <v>1206</v>
      </c>
      <c r="C65" s="143" t="s">
        <v>1654</v>
      </c>
      <c r="D65" s="143" t="s">
        <v>1655</v>
      </c>
      <c r="E65" s="143" t="s">
        <v>309</v>
      </c>
      <c r="F65" s="143" t="s">
        <v>1664</v>
      </c>
      <c r="G65" s="143" t="s">
        <v>1665</v>
      </c>
      <c r="H65" s="143" t="s">
        <v>321</v>
      </c>
      <c r="I65" s="143" t="s">
        <v>754</v>
      </c>
      <c r="J65" s="143" t="s">
        <v>204</v>
      </c>
      <c r="K65" s="143" t="s">
        <v>204</v>
      </c>
      <c r="L65" s="143" t="s">
        <v>325</v>
      </c>
      <c r="M65" s="143" t="s">
        <v>340</v>
      </c>
      <c r="N65" s="143" t="s">
        <v>464</v>
      </c>
      <c r="O65" s="143" t="s">
        <v>339</v>
      </c>
      <c r="P65" s="143" t="s">
        <v>1359</v>
      </c>
      <c r="Q65" s="143" t="s">
        <v>415</v>
      </c>
      <c r="R65" s="143" t="s">
        <v>407</v>
      </c>
      <c r="S65" s="143" t="s">
        <v>1210</v>
      </c>
      <c r="T65" s="144">
        <v>0.53</v>
      </c>
      <c r="U65" s="143" t="s">
        <v>1666</v>
      </c>
      <c r="V65" s="146">
        <v>2.75E-2</v>
      </c>
      <c r="W65" s="146">
        <v>3.1185999999999998E-2</v>
      </c>
      <c r="X65" s="143" t="s">
        <v>412</v>
      </c>
      <c r="Y65" s="145" t="s">
        <v>3853</v>
      </c>
      <c r="Z65" s="144">
        <v>196.92</v>
      </c>
      <c r="AA65" s="145" t="s">
        <v>3853</v>
      </c>
      <c r="AB65" s="143" t="s">
        <v>1667</v>
      </c>
      <c r="AC65" s="145" t="s">
        <v>3853</v>
      </c>
      <c r="AD65" s="144">
        <v>0.22550000000000001</v>
      </c>
      <c r="AE65" s="145" t="s">
        <v>3853</v>
      </c>
      <c r="AF65" s="145" t="s">
        <v>3853</v>
      </c>
      <c r="AG65" s="145" t="s">
        <v>3853</v>
      </c>
      <c r="AH65" s="146">
        <v>1.4244664099434641E-6</v>
      </c>
      <c r="AI65" s="146">
        <v>2.0393090403714374E-4</v>
      </c>
      <c r="AJ65" s="147">
        <v>1.5271722011044237E-5</v>
      </c>
      <c r="AK65" s="181"/>
    </row>
    <row r="66" spans="1:37" ht="15" x14ac:dyDescent="0.2">
      <c r="A66" s="142" t="s">
        <v>1205</v>
      </c>
      <c r="B66" s="143" t="s">
        <v>1213</v>
      </c>
      <c r="C66" s="143" t="s">
        <v>1343</v>
      </c>
      <c r="D66" s="143" t="s">
        <v>1344</v>
      </c>
      <c r="E66" s="143" t="s">
        <v>309</v>
      </c>
      <c r="F66" s="143" t="s">
        <v>1345</v>
      </c>
      <c r="G66" s="143" t="s">
        <v>1346</v>
      </c>
      <c r="H66" s="143" t="s">
        <v>321</v>
      </c>
      <c r="I66" s="143" t="s">
        <v>951</v>
      </c>
      <c r="J66" s="143" t="s">
        <v>204</v>
      </c>
      <c r="K66" s="143" t="s">
        <v>204</v>
      </c>
      <c r="L66" s="143" t="s">
        <v>325</v>
      </c>
      <c r="M66" s="143" t="s">
        <v>340</v>
      </c>
      <c r="N66" s="143" t="s">
        <v>445</v>
      </c>
      <c r="O66" s="143" t="s">
        <v>339</v>
      </c>
      <c r="P66" s="143" t="s">
        <v>1347</v>
      </c>
      <c r="Q66" s="143" t="s">
        <v>413</v>
      </c>
      <c r="R66" s="143" t="s">
        <v>407</v>
      </c>
      <c r="S66" s="143" t="s">
        <v>1210</v>
      </c>
      <c r="T66" s="144">
        <v>5.29</v>
      </c>
      <c r="U66" s="143" t="s">
        <v>1295</v>
      </c>
      <c r="V66" s="146">
        <v>2.64E-2</v>
      </c>
      <c r="W66" s="146">
        <v>5.8282E-2</v>
      </c>
      <c r="X66" s="143" t="s">
        <v>412</v>
      </c>
      <c r="Y66" s="145" t="s">
        <v>3853</v>
      </c>
      <c r="Z66" s="144">
        <v>13685.58</v>
      </c>
      <c r="AA66" s="145" t="s">
        <v>3853</v>
      </c>
      <c r="AB66" s="143" t="s">
        <v>1348</v>
      </c>
      <c r="AC66" s="145" t="s">
        <v>3853</v>
      </c>
      <c r="AD66" s="144">
        <v>11.7203</v>
      </c>
      <c r="AE66" s="145" t="s">
        <v>3853</v>
      </c>
      <c r="AF66" s="145" t="s">
        <v>3853</v>
      </c>
      <c r="AG66" s="145" t="s">
        <v>3853</v>
      </c>
      <c r="AH66" s="146">
        <v>8.3643882542401456E-6</v>
      </c>
      <c r="AI66" s="146">
        <v>3.7229888127142313E-2</v>
      </c>
      <c r="AJ66" s="147">
        <v>3.4592608570937879E-3</v>
      </c>
      <c r="AK66" s="181"/>
    </row>
    <row r="67" spans="1:37" ht="15" x14ac:dyDescent="0.2">
      <c r="A67" s="142" t="s">
        <v>1205</v>
      </c>
      <c r="B67" s="143" t="s">
        <v>1213</v>
      </c>
      <c r="C67" s="143" t="s">
        <v>1349</v>
      </c>
      <c r="D67" s="143" t="s">
        <v>1350</v>
      </c>
      <c r="E67" s="143" t="s">
        <v>309</v>
      </c>
      <c r="F67" s="143" t="s">
        <v>1351</v>
      </c>
      <c r="G67" s="143" t="s">
        <v>1352</v>
      </c>
      <c r="H67" s="143" t="s">
        <v>321</v>
      </c>
      <c r="I67" s="143" t="s">
        <v>951</v>
      </c>
      <c r="J67" s="143" t="s">
        <v>204</v>
      </c>
      <c r="K67" s="143" t="s">
        <v>204</v>
      </c>
      <c r="L67" s="143" t="s">
        <v>325</v>
      </c>
      <c r="M67" s="143" t="s">
        <v>340</v>
      </c>
      <c r="N67" s="143" t="s">
        <v>448</v>
      </c>
      <c r="O67" s="143" t="s">
        <v>339</v>
      </c>
      <c r="P67" s="143" t="s">
        <v>1222</v>
      </c>
      <c r="Q67" s="143" t="s">
        <v>413</v>
      </c>
      <c r="R67" s="143" t="s">
        <v>407</v>
      </c>
      <c r="S67" s="143" t="s">
        <v>1210</v>
      </c>
      <c r="T67" s="144">
        <v>0.93</v>
      </c>
      <c r="U67" s="143" t="s">
        <v>1353</v>
      </c>
      <c r="V67" s="146">
        <v>2.98E-2</v>
      </c>
      <c r="W67" s="146">
        <v>4.5124999999999998E-2</v>
      </c>
      <c r="X67" s="143" t="s">
        <v>412</v>
      </c>
      <c r="Y67" s="145" t="s">
        <v>3853</v>
      </c>
      <c r="Z67" s="144">
        <v>11063</v>
      </c>
      <c r="AA67" s="145" t="s">
        <v>3853</v>
      </c>
      <c r="AB67" s="143" t="s">
        <v>1354</v>
      </c>
      <c r="AC67" s="145" t="s">
        <v>3853</v>
      </c>
      <c r="AD67" s="144">
        <v>10.932499999999999</v>
      </c>
      <c r="AE67" s="145" t="s">
        <v>3853</v>
      </c>
      <c r="AF67" s="145" t="s">
        <v>3853</v>
      </c>
      <c r="AG67" s="145" t="s">
        <v>3853</v>
      </c>
      <c r="AH67" s="146">
        <v>4.3518949408582083E-6</v>
      </c>
      <c r="AI67" s="146">
        <v>3.4727188692390082E-2</v>
      </c>
      <c r="AJ67" s="147">
        <v>3.226719460188611E-3</v>
      </c>
      <c r="AK67" s="181"/>
    </row>
    <row r="68" spans="1:37" ht="15" x14ac:dyDescent="0.2">
      <c r="A68" s="142" t="s">
        <v>1205</v>
      </c>
      <c r="B68" s="143" t="s">
        <v>1213</v>
      </c>
      <c r="C68" s="143" t="s">
        <v>1380</v>
      </c>
      <c r="D68" s="143" t="s">
        <v>1381</v>
      </c>
      <c r="E68" s="143" t="s">
        <v>309</v>
      </c>
      <c r="F68" s="143" t="s">
        <v>1382</v>
      </c>
      <c r="G68" s="143" t="s">
        <v>1383</v>
      </c>
      <c r="H68" s="143" t="s">
        <v>321</v>
      </c>
      <c r="I68" s="143" t="s">
        <v>951</v>
      </c>
      <c r="J68" s="143" t="s">
        <v>204</v>
      </c>
      <c r="K68" s="143" t="s">
        <v>204</v>
      </c>
      <c r="L68" s="143" t="s">
        <v>325</v>
      </c>
      <c r="M68" s="143" t="s">
        <v>340</v>
      </c>
      <c r="N68" s="143" t="s">
        <v>445</v>
      </c>
      <c r="O68" s="143" t="s">
        <v>339</v>
      </c>
      <c r="P68" s="143" t="s">
        <v>1347</v>
      </c>
      <c r="Q68" s="143" t="s">
        <v>413</v>
      </c>
      <c r="R68" s="143" t="s">
        <v>407</v>
      </c>
      <c r="S68" s="143" t="s">
        <v>1210</v>
      </c>
      <c r="T68" s="144">
        <v>5.4</v>
      </c>
      <c r="U68" s="143" t="s">
        <v>1384</v>
      </c>
      <c r="V68" s="146">
        <v>5.2499999999999998E-2</v>
      </c>
      <c r="W68" s="146">
        <v>5.9947E-2</v>
      </c>
      <c r="X68" s="143" t="s">
        <v>412</v>
      </c>
      <c r="Y68" s="145" t="s">
        <v>3853</v>
      </c>
      <c r="Z68" s="144">
        <v>10000</v>
      </c>
      <c r="AA68" s="145" t="s">
        <v>3853</v>
      </c>
      <c r="AB68" s="143" t="s">
        <v>1385</v>
      </c>
      <c r="AC68" s="145" t="s">
        <v>3853</v>
      </c>
      <c r="AD68" s="144">
        <v>9.7420000000000009</v>
      </c>
      <c r="AE68" s="145" t="s">
        <v>3853</v>
      </c>
      <c r="AF68" s="145" t="s">
        <v>3853</v>
      </c>
      <c r="AG68" s="145" t="s">
        <v>3853</v>
      </c>
      <c r="AH68" s="146">
        <v>2.0000000000000002E-5</v>
      </c>
      <c r="AI68" s="146">
        <v>3.0945677135481534E-2</v>
      </c>
      <c r="AJ68" s="147">
        <v>2.8753556617052978E-3</v>
      </c>
      <c r="AK68" s="181"/>
    </row>
    <row r="69" spans="1:37" ht="15" x14ac:dyDescent="0.2">
      <c r="A69" s="142" t="s">
        <v>1205</v>
      </c>
      <c r="B69" s="143" t="s">
        <v>1213</v>
      </c>
      <c r="C69" s="143" t="s">
        <v>1430</v>
      </c>
      <c r="D69" s="143" t="s">
        <v>1431</v>
      </c>
      <c r="E69" s="143" t="s">
        <v>309</v>
      </c>
      <c r="F69" s="143" t="s">
        <v>1668</v>
      </c>
      <c r="G69" s="143" t="s">
        <v>1669</v>
      </c>
      <c r="H69" s="143" t="s">
        <v>321</v>
      </c>
      <c r="I69" s="143" t="s">
        <v>951</v>
      </c>
      <c r="J69" s="143" t="s">
        <v>204</v>
      </c>
      <c r="K69" s="143" t="s">
        <v>204</v>
      </c>
      <c r="L69" s="143" t="s">
        <v>325</v>
      </c>
      <c r="M69" s="143" t="s">
        <v>340</v>
      </c>
      <c r="N69" s="143" t="s">
        <v>484</v>
      </c>
      <c r="O69" s="143" t="s">
        <v>339</v>
      </c>
      <c r="P69" s="143" t="s">
        <v>1396</v>
      </c>
      <c r="Q69" s="143" t="s">
        <v>413</v>
      </c>
      <c r="R69" s="143" t="s">
        <v>407</v>
      </c>
      <c r="S69" s="143" t="s">
        <v>1210</v>
      </c>
      <c r="T69" s="144">
        <v>3.49</v>
      </c>
      <c r="U69" s="143" t="s">
        <v>1670</v>
      </c>
      <c r="V69" s="146">
        <v>4.7300000000000002E-2</v>
      </c>
      <c r="W69" s="146">
        <v>5.6944000000000002E-2</v>
      </c>
      <c r="X69" s="143" t="s">
        <v>412</v>
      </c>
      <c r="Y69" s="145" t="s">
        <v>3853</v>
      </c>
      <c r="Z69" s="144">
        <v>8000</v>
      </c>
      <c r="AA69" s="145" t="s">
        <v>3853</v>
      </c>
      <c r="AB69" s="143" t="s">
        <v>1671</v>
      </c>
      <c r="AC69" s="144">
        <v>0.18919999999999998</v>
      </c>
      <c r="AD69" s="144">
        <v>7.9459999999999997</v>
      </c>
      <c r="AE69" s="145" t="s">
        <v>3853</v>
      </c>
      <c r="AF69" s="145" t="s">
        <v>3853</v>
      </c>
      <c r="AG69" s="145" t="s">
        <v>3853</v>
      </c>
      <c r="AH69" s="146">
        <v>2.0257523770938048E-5</v>
      </c>
      <c r="AI69" s="146">
        <v>2.584164161697489E-2</v>
      </c>
      <c r="AJ69" s="147">
        <v>2.4011079223059885E-3</v>
      </c>
      <c r="AK69" s="181"/>
    </row>
    <row r="70" spans="1:37" ht="15" x14ac:dyDescent="0.2">
      <c r="A70" s="142" t="s">
        <v>1205</v>
      </c>
      <c r="B70" s="143" t="s">
        <v>1213</v>
      </c>
      <c r="C70" s="143" t="s">
        <v>1398</v>
      </c>
      <c r="D70" s="143" t="s">
        <v>1399</v>
      </c>
      <c r="E70" s="143" t="s">
        <v>309</v>
      </c>
      <c r="F70" s="143" t="s">
        <v>1400</v>
      </c>
      <c r="G70" s="143" t="s">
        <v>1401</v>
      </c>
      <c r="H70" s="143" t="s">
        <v>321</v>
      </c>
      <c r="I70" s="143" t="s">
        <v>951</v>
      </c>
      <c r="J70" s="143" t="s">
        <v>204</v>
      </c>
      <c r="K70" s="143" t="s">
        <v>204</v>
      </c>
      <c r="L70" s="143" t="s">
        <v>325</v>
      </c>
      <c r="M70" s="143" t="s">
        <v>340</v>
      </c>
      <c r="N70" s="143" t="s">
        <v>484</v>
      </c>
      <c r="O70" s="143" t="s">
        <v>339</v>
      </c>
      <c r="P70" s="143" t="s">
        <v>1402</v>
      </c>
      <c r="Q70" s="143" t="s">
        <v>415</v>
      </c>
      <c r="R70" s="143" t="s">
        <v>407</v>
      </c>
      <c r="S70" s="143" t="s">
        <v>1210</v>
      </c>
      <c r="T70" s="144">
        <v>2.3199999999999998</v>
      </c>
      <c r="U70" s="143" t="s">
        <v>1403</v>
      </c>
      <c r="V70" s="146">
        <v>3.6499999999999998E-2</v>
      </c>
      <c r="W70" s="146">
        <v>5.8046E-2</v>
      </c>
      <c r="X70" s="143" t="s">
        <v>412</v>
      </c>
      <c r="Y70" s="145" t="s">
        <v>3853</v>
      </c>
      <c r="Z70" s="144">
        <v>6000</v>
      </c>
      <c r="AA70" s="145" t="s">
        <v>3853</v>
      </c>
      <c r="AB70" s="143" t="s">
        <v>1404</v>
      </c>
      <c r="AC70" s="145" t="s">
        <v>3853</v>
      </c>
      <c r="AD70" s="144">
        <v>5.742</v>
      </c>
      <c r="AE70" s="145" t="s">
        <v>3853</v>
      </c>
      <c r="AF70" s="145" t="s">
        <v>3853</v>
      </c>
      <c r="AG70" s="145" t="s">
        <v>3853</v>
      </c>
      <c r="AH70" s="146">
        <v>2.9854212298146006E-6</v>
      </c>
      <c r="AI70" s="146">
        <v>1.8239589212885952E-2</v>
      </c>
      <c r="AJ70" s="147">
        <v>1.694753870818294E-3</v>
      </c>
      <c r="AK70" s="181"/>
    </row>
    <row r="71" spans="1:37" ht="15" x14ac:dyDescent="0.2">
      <c r="A71" s="142" t="s">
        <v>1205</v>
      </c>
      <c r="B71" s="143" t="s">
        <v>1213</v>
      </c>
      <c r="C71" s="143" t="s">
        <v>1672</v>
      </c>
      <c r="D71" s="143" t="s">
        <v>1673</v>
      </c>
      <c r="E71" s="143" t="s">
        <v>309</v>
      </c>
      <c r="F71" s="143" t="s">
        <v>1674</v>
      </c>
      <c r="G71" s="143" t="s">
        <v>1675</v>
      </c>
      <c r="H71" s="143" t="s">
        <v>321</v>
      </c>
      <c r="I71" s="143" t="s">
        <v>951</v>
      </c>
      <c r="J71" s="143" t="s">
        <v>204</v>
      </c>
      <c r="K71" s="143" t="s">
        <v>204</v>
      </c>
      <c r="L71" s="143" t="s">
        <v>325</v>
      </c>
      <c r="M71" s="143" t="s">
        <v>340</v>
      </c>
      <c r="N71" s="143" t="s">
        <v>447</v>
      </c>
      <c r="O71" s="143" t="s">
        <v>339</v>
      </c>
      <c r="P71" s="143" t="s">
        <v>1402</v>
      </c>
      <c r="Q71" s="143" t="s">
        <v>415</v>
      </c>
      <c r="R71" s="143" t="s">
        <v>407</v>
      </c>
      <c r="S71" s="143" t="s">
        <v>1210</v>
      </c>
      <c r="T71" s="144">
        <v>2.4900000000000002</v>
      </c>
      <c r="U71" s="143" t="s">
        <v>1428</v>
      </c>
      <c r="V71" s="146">
        <v>4.53E-2</v>
      </c>
      <c r="W71" s="146">
        <v>6.2630000000000005E-2</v>
      </c>
      <c r="X71" s="143" t="s">
        <v>412</v>
      </c>
      <c r="Y71" s="145" t="s">
        <v>3853</v>
      </c>
      <c r="Z71" s="144">
        <v>5581</v>
      </c>
      <c r="AA71" s="145" t="s">
        <v>3853</v>
      </c>
      <c r="AB71" s="143" t="s">
        <v>1676</v>
      </c>
      <c r="AC71" s="145" t="s">
        <v>3853</v>
      </c>
      <c r="AD71" s="144">
        <v>5.3633000000000006</v>
      </c>
      <c r="AE71" s="145" t="s">
        <v>3853</v>
      </c>
      <c r="AF71" s="145" t="s">
        <v>3853</v>
      </c>
      <c r="AG71" s="145" t="s">
        <v>3853</v>
      </c>
      <c r="AH71" s="146">
        <v>7.9728571428571432E-6</v>
      </c>
      <c r="AI71" s="146">
        <v>1.7036770576215426E-2</v>
      </c>
      <c r="AJ71" s="147">
        <v>1.5829924974344234E-3</v>
      </c>
      <c r="AK71" s="181"/>
    </row>
    <row r="72" spans="1:37" ht="15" x14ac:dyDescent="0.2">
      <c r="A72" s="142" t="s">
        <v>1205</v>
      </c>
      <c r="B72" s="143" t="s">
        <v>1213</v>
      </c>
      <c r="C72" s="143" t="s">
        <v>1343</v>
      </c>
      <c r="D72" s="143" t="s">
        <v>1344</v>
      </c>
      <c r="E72" s="143" t="s">
        <v>309</v>
      </c>
      <c r="F72" s="143" t="s">
        <v>1369</v>
      </c>
      <c r="G72" s="143" t="s">
        <v>1370</v>
      </c>
      <c r="H72" s="143" t="s">
        <v>321</v>
      </c>
      <c r="I72" s="143" t="s">
        <v>951</v>
      </c>
      <c r="J72" s="143" t="s">
        <v>204</v>
      </c>
      <c r="K72" s="143" t="s">
        <v>204</v>
      </c>
      <c r="L72" s="143" t="s">
        <v>325</v>
      </c>
      <c r="M72" s="143" t="s">
        <v>340</v>
      </c>
      <c r="N72" s="143" t="s">
        <v>445</v>
      </c>
      <c r="O72" s="143" t="s">
        <v>339</v>
      </c>
      <c r="P72" s="143" t="s">
        <v>1347</v>
      </c>
      <c r="Q72" s="143" t="s">
        <v>413</v>
      </c>
      <c r="R72" s="143" t="s">
        <v>407</v>
      </c>
      <c r="S72" s="143" t="s">
        <v>1210</v>
      </c>
      <c r="T72" s="144">
        <v>7.66</v>
      </c>
      <c r="U72" s="143" t="s">
        <v>1371</v>
      </c>
      <c r="V72" s="146">
        <v>5.3100000000000001E-2</v>
      </c>
      <c r="W72" s="146">
        <v>6.3355999999999996E-2</v>
      </c>
      <c r="X72" s="143" t="s">
        <v>412</v>
      </c>
      <c r="Y72" s="145" t="s">
        <v>3853</v>
      </c>
      <c r="Z72" s="144">
        <v>5524.34</v>
      </c>
      <c r="AA72" s="145" t="s">
        <v>3853</v>
      </c>
      <c r="AB72" s="143" t="s">
        <v>1372</v>
      </c>
      <c r="AC72" s="145" t="s">
        <v>3853</v>
      </c>
      <c r="AD72" s="144">
        <v>5.2664</v>
      </c>
      <c r="AE72" s="145" t="s">
        <v>3853</v>
      </c>
      <c r="AF72" s="145" t="s">
        <v>3853</v>
      </c>
      <c r="AG72" s="145" t="s">
        <v>3853</v>
      </c>
      <c r="AH72" s="146">
        <v>4.3383252743076792E-6</v>
      </c>
      <c r="AI72" s="146">
        <v>1.6728687085196328E-2</v>
      </c>
      <c r="AJ72" s="147">
        <v>1.5543665408492304E-3</v>
      </c>
      <c r="AK72" s="181"/>
    </row>
    <row r="73" spans="1:37" ht="15" x14ac:dyDescent="0.2">
      <c r="A73" s="142" t="s">
        <v>1205</v>
      </c>
      <c r="B73" s="143" t="s">
        <v>1213</v>
      </c>
      <c r="C73" s="143" t="s">
        <v>1424</v>
      </c>
      <c r="D73" s="143" t="s">
        <v>1425</v>
      </c>
      <c r="E73" s="143" t="s">
        <v>309</v>
      </c>
      <c r="F73" s="143" t="s">
        <v>1426</v>
      </c>
      <c r="G73" s="143" t="s">
        <v>1427</v>
      </c>
      <c r="H73" s="143" t="s">
        <v>321</v>
      </c>
      <c r="I73" s="143" t="s">
        <v>951</v>
      </c>
      <c r="J73" s="143" t="s">
        <v>204</v>
      </c>
      <c r="K73" s="143" t="s">
        <v>204</v>
      </c>
      <c r="L73" s="143" t="s">
        <v>325</v>
      </c>
      <c r="M73" s="143" t="s">
        <v>340</v>
      </c>
      <c r="N73" s="143" t="s">
        <v>445</v>
      </c>
      <c r="O73" s="143" t="s">
        <v>339</v>
      </c>
      <c r="P73" s="143" t="s">
        <v>1359</v>
      </c>
      <c r="Q73" s="143" t="s">
        <v>415</v>
      </c>
      <c r="R73" s="143" t="s">
        <v>407</v>
      </c>
      <c r="S73" s="143" t="s">
        <v>1210</v>
      </c>
      <c r="T73" s="144">
        <v>3.28</v>
      </c>
      <c r="U73" s="143" t="s">
        <v>1428</v>
      </c>
      <c r="V73" s="146">
        <v>4.36E-2</v>
      </c>
      <c r="W73" s="146">
        <v>5.1854999999999998E-2</v>
      </c>
      <c r="X73" s="143" t="s">
        <v>412</v>
      </c>
      <c r="Y73" s="145" t="s">
        <v>3853</v>
      </c>
      <c r="Z73" s="144">
        <v>4972</v>
      </c>
      <c r="AA73" s="145" t="s">
        <v>3853</v>
      </c>
      <c r="AB73" s="143" t="s">
        <v>1429</v>
      </c>
      <c r="AC73" s="145" t="s">
        <v>3853</v>
      </c>
      <c r="AD73" s="144">
        <v>4.8526999999999996</v>
      </c>
      <c r="AE73" s="145" t="s">
        <v>3853</v>
      </c>
      <c r="AF73" s="145" t="s">
        <v>3853</v>
      </c>
      <c r="AG73" s="145" t="s">
        <v>3853</v>
      </c>
      <c r="AH73" s="146">
        <v>1.6573333333333333E-5</v>
      </c>
      <c r="AI73" s="146">
        <v>1.5414619272879434E-2</v>
      </c>
      <c r="AJ73" s="147">
        <v>1.4322683134468045E-3</v>
      </c>
      <c r="AK73" s="181"/>
    </row>
    <row r="74" spans="1:37" ht="15" x14ac:dyDescent="0.2">
      <c r="A74" s="142" t="s">
        <v>1205</v>
      </c>
      <c r="B74" s="143" t="s">
        <v>1213</v>
      </c>
      <c r="C74" s="143" t="s">
        <v>1355</v>
      </c>
      <c r="D74" s="143" t="s">
        <v>1356</v>
      </c>
      <c r="E74" s="143" t="s">
        <v>309</v>
      </c>
      <c r="F74" s="143" t="s">
        <v>1357</v>
      </c>
      <c r="G74" s="143" t="s">
        <v>1358</v>
      </c>
      <c r="H74" s="143" t="s">
        <v>321</v>
      </c>
      <c r="I74" s="143" t="s">
        <v>951</v>
      </c>
      <c r="J74" s="143" t="s">
        <v>204</v>
      </c>
      <c r="K74" s="143" t="s">
        <v>204</v>
      </c>
      <c r="L74" s="143" t="s">
        <v>325</v>
      </c>
      <c r="M74" s="143" t="s">
        <v>340</v>
      </c>
      <c r="N74" s="143" t="s">
        <v>445</v>
      </c>
      <c r="O74" s="143" t="s">
        <v>339</v>
      </c>
      <c r="P74" s="143" t="s">
        <v>1359</v>
      </c>
      <c r="Q74" s="143" t="s">
        <v>415</v>
      </c>
      <c r="R74" s="143" t="s">
        <v>407</v>
      </c>
      <c r="S74" s="143" t="s">
        <v>1210</v>
      </c>
      <c r="T74" s="144">
        <v>1.05</v>
      </c>
      <c r="U74" s="143" t="s">
        <v>1360</v>
      </c>
      <c r="V74" s="146">
        <v>3.61E-2</v>
      </c>
      <c r="W74" s="146">
        <v>5.1234000000000002E-2</v>
      </c>
      <c r="X74" s="143" t="s">
        <v>412</v>
      </c>
      <c r="Y74" s="145" t="s">
        <v>3853</v>
      </c>
      <c r="Z74" s="144">
        <v>2529</v>
      </c>
      <c r="AA74" s="145" t="s">
        <v>3853</v>
      </c>
      <c r="AB74" s="143" t="s">
        <v>1361</v>
      </c>
      <c r="AC74" s="145" t="s">
        <v>3853</v>
      </c>
      <c r="AD74" s="144">
        <v>2.5293000000000001</v>
      </c>
      <c r="AE74" s="145" t="s">
        <v>3853</v>
      </c>
      <c r="AF74" s="145" t="s">
        <v>3853</v>
      </c>
      <c r="AG74" s="145" t="s">
        <v>3853</v>
      </c>
      <c r="AH74" s="146">
        <v>3.2951140065146579E-6</v>
      </c>
      <c r="AI74" s="146">
        <v>8.0342274314699619E-3</v>
      </c>
      <c r="AJ74" s="147">
        <v>7.4651012583653697E-4</v>
      </c>
      <c r="AK74" s="181"/>
    </row>
    <row r="75" spans="1:37" ht="15" x14ac:dyDescent="0.2">
      <c r="A75" s="142" t="s">
        <v>1205</v>
      </c>
      <c r="B75" s="143" t="s">
        <v>1213</v>
      </c>
      <c r="C75" s="143" t="s">
        <v>1386</v>
      </c>
      <c r="D75" s="143" t="s">
        <v>1387</v>
      </c>
      <c r="E75" s="143" t="s">
        <v>309</v>
      </c>
      <c r="F75" s="143" t="s">
        <v>1677</v>
      </c>
      <c r="G75" s="143" t="s">
        <v>1678</v>
      </c>
      <c r="H75" s="143" t="s">
        <v>321</v>
      </c>
      <c r="I75" s="143" t="s">
        <v>951</v>
      </c>
      <c r="J75" s="143" t="s">
        <v>204</v>
      </c>
      <c r="K75" s="143" t="s">
        <v>204</v>
      </c>
      <c r="L75" s="143" t="s">
        <v>325</v>
      </c>
      <c r="M75" s="143" t="s">
        <v>340</v>
      </c>
      <c r="N75" s="143" t="s">
        <v>464</v>
      </c>
      <c r="O75" s="143" t="s">
        <v>339</v>
      </c>
      <c r="P75" s="143" t="s">
        <v>1359</v>
      </c>
      <c r="Q75" s="143" t="s">
        <v>415</v>
      </c>
      <c r="R75" s="143" t="s">
        <v>407</v>
      </c>
      <c r="S75" s="143" t="s">
        <v>1210</v>
      </c>
      <c r="T75" s="144">
        <v>1.56</v>
      </c>
      <c r="U75" s="143" t="s">
        <v>1390</v>
      </c>
      <c r="V75" s="146">
        <v>6.7400000000000002E-2</v>
      </c>
      <c r="W75" s="146">
        <v>6.4237000000000002E-2</v>
      </c>
      <c r="X75" s="143" t="s">
        <v>412</v>
      </c>
      <c r="Y75" s="145" t="s">
        <v>3853</v>
      </c>
      <c r="Z75" s="144">
        <v>2468.25</v>
      </c>
      <c r="AA75" s="145" t="s">
        <v>3853</v>
      </c>
      <c r="AB75" s="143" t="s">
        <v>1679</v>
      </c>
      <c r="AC75" s="145" t="s">
        <v>3853</v>
      </c>
      <c r="AD75" s="144">
        <v>2.5008000000000004</v>
      </c>
      <c r="AE75" s="145" t="s">
        <v>3853</v>
      </c>
      <c r="AF75" s="145" t="s">
        <v>3853</v>
      </c>
      <c r="AG75" s="145" t="s">
        <v>3853</v>
      </c>
      <c r="AH75" s="146">
        <v>2.3517509039162906E-6</v>
      </c>
      <c r="AI75" s="146">
        <v>7.9439443237359578E-3</v>
      </c>
      <c r="AJ75" s="147">
        <v>7.3812135981138934E-4</v>
      </c>
      <c r="AK75" s="181"/>
    </row>
    <row r="76" spans="1:37" ht="15" x14ac:dyDescent="0.2">
      <c r="A76" s="142" t="s">
        <v>1205</v>
      </c>
      <c r="B76" s="143" t="s">
        <v>1213</v>
      </c>
      <c r="C76" s="143" t="s">
        <v>1680</v>
      </c>
      <c r="D76" s="143" t="s">
        <v>1681</v>
      </c>
      <c r="E76" s="143" t="s">
        <v>309</v>
      </c>
      <c r="F76" s="143" t="s">
        <v>1682</v>
      </c>
      <c r="G76" s="143" t="s">
        <v>1683</v>
      </c>
      <c r="H76" s="143" t="s">
        <v>321</v>
      </c>
      <c r="I76" s="143" t="s">
        <v>951</v>
      </c>
      <c r="J76" s="143" t="s">
        <v>204</v>
      </c>
      <c r="K76" s="143" t="s">
        <v>204</v>
      </c>
      <c r="L76" s="143" t="s">
        <v>325</v>
      </c>
      <c r="M76" s="143" t="s">
        <v>340</v>
      </c>
      <c r="N76" s="143" t="s">
        <v>451</v>
      </c>
      <c r="O76" s="143" t="s">
        <v>339</v>
      </c>
      <c r="P76" s="143" t="s">
        <v>1396</v>
      </c>
      <c r="Q76" s="143" t="s">
        <v>413</v>
      </c>
      <c r="R76" s="143" t="s">
        <v>407</v>
      </c>
      <c r="S76" s="143" t="s">
        <v>1210</v>
      </c>
      <c r="T76" s="144">
        <v>2.58</v>
      </c>
      <c r="U76" s="143" t="s">
        <v>1544</v>
      </c>
      <c r="V76" s="146">
        <v>2.1999999999999999E-2</v>
      </c>
      <c r="W76" s="146">
        <v>5.3846999999999999E-2</v>
      </c>
      <c r="X76" s="143" t="s">
        <v>412</v>
      </c>
      <c r="Y76" s="145" t="s">
        <v>3853</v>
      </c>
      <c r="Z76" s="144">
        <v>2481.75</v>
      </c>
      <c r="AA76" s="145" t="s">
        <v>3853</v>
      </c>
      <c r="AB76" s="143" t="s">
        <v>1684</v>
      </c>
      <c r="AC76" s="145" t="s">
        <v>3853</v>
      </c>
      <c r="AD76" s="144">
        <v>2.2924000000000002</v>
      </c>
      <c r="AE76" s="145" t="s">
        <v>3853</v>
      </c>
      <c r="AF76" s="145" t="s">
        <v>3853</v>
      </c>
      <c r="AG76" s="145" t="s">
        <v>3853</v>
      </c>
      <c r="AH76" s="146">
        <v>2.2899653979238756E-6</v>
      </c>
      <c r="AI76" s="146">
        <v>7.2818350851116221E-3</v>
      </c>
      <c r="AJ76" s="147">
        <v>6.766006653502228E-4</v>
      </c>
      <c r="AK76" s="181"/>
    </row>
    <row r="77" spans="1:37" ht="15" x14ac:dyDescent="0.2">
      <c r="A77" s="142" t="s">
        <v>1205</v>
      </c>
      <c r="B77" s="143" t="s">
        <v>1213</v>
      </c>
      <c r="C77" s="143" t="s">
        <v>1373</v>
      </c>
      <c r="D77" s="143" t="s">
        <v>1374</v>
      </c>
      <c r="E77" s="143" t="s">
        <v>309</v>
      </c>
      <c r="F77" s="143" t="s">
        <v>1375</v>
      </c>
      <c r="G77" s="143" t="s">
        <v>1376</v>
      </c>
      <c r="H77" s="143" t="s">
        <v>321</v>
      </c>
      <c r="I77" s="143" t="s">
        <v>951</v>
      </c>
      <c r="J77" s="143" t="s">
        <v>204</v>
      </c>
      <c r="K77" s="143" t="s">
        <v>204</v>
      </c>
      <c r="L77" s="143" t="s">
        <v>325</v>
      </c>
      <c r="M77" s="143" t="s">
        <v>340</v>
      </c>
      <c r="N77" s="143" t="s">
        <v>484</v>
      </c>
      <c r="O77" s="143" t="s">
        <v>339</v>
      </c>
      <c r="P77" s="143" t="s">
        <v>1377</v>
      </c>
      <c r="Q77" s="143" t="s">
        <v>415</v>
      </c>
      <c r="R77" s="143" t="s">
        <v>407</v>
      </c>
      <c r="S77" s="143" t="s">
        <v>1210</v>
      </c>
      <c r="T77" s="144">
        <v>0.9</v>
      </c>
      <c r="U77" s="143" t="s">
        <v>1378</v>
      </c>
      <c r="V77" s="146">
        <v>3.6499999999999998E-2</v>
      </c>
      <c r="W77" s="146">
        <v>4.8802999999999999E-2</v>
      </c>
      <c r="X77" s="143" t="s">
        <v>412</v>
      </c>
      <c r="Y77" s="145" t="s">
        <v>3853</v>
      </c>
      <c r="Z77" s="144">
        <v>2117.58</v>
      </c>
      <c r="AA77" s="145" t="s">
        <v>3853</v>
      </c>
      <c r="AB77" s="143" t="s">
        <v>1379</v>
      </c>
      <c r="AC77" s="145" t="s">
        <v>3853</v>
      </c>
      <c r="AD77" s="144">
        <v>2.1021000000000001</v>
      </c>
      <c r="AE77" s="145" t="s">
        <v>3853</v>
      </c>
      <c r="AF77" s="145" t="s">
        <v>3853</v>
      </c>
      <c r="AG77" s="145" t="s">
        <v>3853</v>
      </c>
      <c r="AH77" s="146">
        <v>1.9883736844700712E-6</v>
      </c>
      <c r="AI77" s="146">
        <v>6.6774356780472744E-3</v>
      </c>
      <c r="AJ77" s="147">
        <v>6.2044215088549303E-4</v>
      </c>
      <c r="AK77" s="181"/>
    </row>
    <row r="78" spans="1:37" ht="15" x14ac:dyDescent="0.2">
      <c r="A78" s="142" t="s">
        <v>1205</v>
      </c>
      <c r="B78" s="143" t="s">
        <v>1213</v>
      </c>
      <c r="C78" s="143" t="s">
        <v>1685</v>
      </c>
      <c r="D78" s="143" t="s">
        <v>1686</v>
      </c>
      <c r="E78" s="143" t="s">
        <v>309</v>
      </c>
      <c r="F78" s="143" t="s">
        <v>1687</v>
      </c>
      <c r="G78" s="143" t="s">
        <v>1688</v>
      </c>
      <c r="H78" s="143" t="s">
        <v>321</v>
      </c>
      <c r="I78" s="143" t="s">
        <v>951</v>
      </c>
      <c r="J78" s="143" t="s">
        <v>204</v>
      </c>
      <c r="K78" s="143" t="s">
        <v>204</v>
      </c>
      <c r="L78" s="143" t="s">
        <v>325</v>
      </c>
      <c r="M78" s="143" t="s">
        <v>340</v>
      </c>
      <c r="N78" s="143" t="s">
        <v>445</v>
      </c>
      <c r="O78" s="143" t="s">
        <v>339</v>
      </c>
      <c r="P78" s="143" t="s">
        <v>1359</v>
      </c>
      <c r="Q78" s="143" t="s">
        <v>415</v>
      </c>
      <c r="R78" s="143" t="s">
        <v>407</v>
      </c>
      <c r="S78" s="143" t="s">
        <v>1210</v>
      </c>
      <c r="T78" s="144">
        <v>2.2000000000000002</v>
      </c>
      <c r="U78" s="143" t="s">
        <v>1422</v>
      </c>
      <c r="V78" s="146">
        <v>1.84E-2</v>
      </c>
      <c r="W78" s="146">
        <v>4.8425999999999997E-2</v>
      </c>
      <c r="X78" s="143" t="s">
        <v>412</v>
      </c>
      <c r="Y78" s="145" t="s">
        <v>3853</v>
      </c>
      <c r="Z78" s="144">
        <v>2000</v>
      </c>
      <c r="AA78" s="145" t="s">
        <v>3853</v>
      </c>
      <c r="AB78" s="143" t="s">
        <v>1689</v>
      </c>
      <c r="AC78" s="145" t="s">
        <v>3853</v>
      </c>
      <c r="AD78" s="144">
        <v>1.8852</v>
      </c>
      <c r="AE78" s="145" t="s">
        <v>3853</v>
      </c>
      <c r="AF78" s="145" t="s">
        <v>3853</v>
      </c>
      <c r="AG78" s="145" t="s">
        <v>3853</v>
      </c>
      <c r="AH78" s="146">
        <v>6.6666666666666666E-6</v>
      </c>
      <c r="AI78" s="146">
        <v>5.9883792379192965E-3</v>
      </c>
      <c r="AJ78" s="147">
        <v>5.5641762404504494E-4</v>
      </c>
      <c r="AK78" s="181"/>
    </row>
    <row r="79" spans="1:37" ht="15" x14ac:dyDescent="0.2">
      <c r="A79" s="142" t="s">
        <v>1205</v>
      </c>
      <c r="B79" s="143" t="s">
        <v>1213</v>
      </c>
      <c r="C79" s="143" t="s">
        <v>1690</v>
      </c>
      <c r="D79" s="143" t="s">
        <v>1691</v>
      </c>
      <c r="E79" s="143" t="s">
        <v>309</v>
      </c>
      <c r="F79" s="143" t="s">
        <v>1692</v>
      </c>
      <c r="G79" s="143" t="s">
        <v>1693</v>
      </c>
      <c r="H79" s="143" t="s">
        <v>321</v>
      </c>
      <c r="I79" s="143" t="s">
        <v>951</v>
      </c>
      <c r="J79" s="143" t="s">
        <v>204</v>
      </c>
      <c r="K79" s="143" t="s">
        <v>204</v>
      </c>
      <c r="L79" s="143" t="s">
        <v>325</v>
      </c>
      <c r="M79" s="143" t="s">
        <v>340</v>
      </c>
      <c r="N79" s="143" t="s">
        <v>464</v>
      </c>
      <c r="O79" s="143" t="s">
        <v>339</v>
      </c>
      <c r="P79" s="143" t="s">
        <v>1440</v>
      </c>
      <c r="Q79" s="143" t="s">
        <v>415</v>
      </c>
      <c r="R79" s="143" t="s">
        <v>407</v>
      </c>
      <c r="S79" s="143" t="s">
        <v>1210</v>
      </c>
      <c r="T79" s="144">
        <v>3.35</v>
      </c>
      <c r="U79" s="143" t="s">
        <v>1694</v>
      </c>
      <c r="V79" s="146">
        <v>3.04E-2</v>
      </c>
      <c r="W79" s="146">
        <v>6.1107000000000002E-2</v>
      </c>
      <c r="X79" s="143" t="s">
        <v>412</v>
      </c>
      <c r="Y79" s="145" t="s">
        <v>3853</v>
      </c>
      <c r="Z79" s="144">
        <v>2074</v>
      </c>
      <c r="AA79" s="145" t="s">
        <v>3853</v>
      </c>
      <c r="AB79" s="143" t="s">
        <v>1695</v>
      </c>
      <c r="AC79" s="145" t="s">
        <v>3853</v>
      </c>
      <c r="AD79" s="144">
        <v>1.8797000000000001</v>
      </c>
      <c r="AE79" s="145" t="s">
        <v>3853</v>
      </c>
      <c r="AF79" s="145" t="s">
        <v>3853</v>
      </c>
      <c r="AG79" s="145" t="s">
        <v>3853</v>
      </c>
      <c r="AH79" s="146">
        <v>3.8265460053513751E-6</v>
      </c>
      <c r="AI79" s="146">
        <v>5.9708010005827816E-3</v>
      </c>
      <c r="AJ79" s="147">
        <v>5.5478432049744229E-4</v>
      </c>
      <c r="AK79" s="181"/>
    </row>
    <row r="80" spans="1:37" ht="15" x14ac:dyDescent="0.2">
      <c r="A80" s="142" t="s">
        <v>1205</v>
      </c>
      <c r="B80" s="143" t="s">
        <v>1213</v>
      </c>
      <c r="C80" s="143" t="s">
        <v>1696</v>
      </c>
      <c r="D80" s="143" t="s">
        <v>1697</v>
      </c>
      <c r="E80" s="143" t="s">
        <v>309</v>
      </c>
      <c r="F80" s="143" t="s">
        <v>1698</v>
      </c>
      <c r="G80" s="143" t="s">
        <v>1699</v>
      </c>
      <c r="H80" s="143" t="s">
        <v>321</v>
      </c>
      <c r="I80" s="143" t="s">
        <v>951</v>
      </c>
      <c r="J80" s="143" t="s">
        <v>204</v>
      </c>
      <c r="K80" s="143" t="s">
        <v>204</v>
      </c>
      <c r="L80" s="143" t="s">
        <v>325</v>
      </c>
      <c r="M80" s="143" t="s">
        <v>340</v>
      </c>
      <c r="N80" s="143" t="s">
        <v>443</v>
      </c>
      <c r="O80" s="143" t="s">
        <v>339</v>
      </c>
      <c r="P80" s="143" t="s">
        <v>1396</v>
      </c>
      <c r="Q80" s="143" t="s">
        <v>413</v>
      </c>
      <c r="R80" s="143" t="s">
        <v>407</v>
      </c>
      <c r="S80" s="143" t="s">
        <v>1210</v>
      </c>
      <c r="T80" s="144">
        <v>0.95</v>
      </c>
      <c r="U80" s="143" t="s">
        <v>1700</v>
      </c>
      <c r="V80" s="146">
        <v>4.7500000000000001E-2</v>
      </c>
      <c r="W80" s="146">
        <v>6.4534999999999995E-2</v>
      </c>
      <c r="X80" s="143" t="s">
        <v>412</v>
      </c>
      <c r="Y80" s="145" t="s">
        <v>3853</v>
      </c>
      <c r="Z80" s="144">
        <v>1813.29</v>
      </c>
      <c r="AA80" s="145" t="s">
        <v>3853</v>
      </c>
      <c r="AB80" s="143" t="s">
        <v>1701</v>
      </c>
      <c r="AC80" s="145" t="s">
        <v>3853</v>
      </c>
      <c r="AD80" s="144">
        <v>1.81</v>
      </c>
      <c r="AE80" s="145" t="s">
        <v>3853</v>
      </c>
      <c r="AF80" s="145" t="s">
        <v>3853</v>
      </c>
      <c r="AG80" s="145" t="s">
        <v>3853</v>
      </c>
      <c r="AH80" s="146">
        <v>2.1891410767374094E-6</v>
      </c>
      <c r="AI80" s="146">
        <v>5.7495876223147106E-3</v>
      </c>
      <c r="AJ80" s="147">
        <v>5.3423000730974494E-4</v>
      </c>
      <c r="AK80" s="181"/>
    </row>
    <row r="81" spans="1:37" ht="15" x14ac:dyDescent="0.2">
      <c r="A81" s="142" t="s">
        <v>1205</v>
      </c>
      <c r="B81" s="143" t="s">
        <v>1213</v>
      </c>
      <c r="C81" s="143" t="s">
        <v>1418</v>
      </c>
      <c r="D81" s="143" t="s">
        <v>1419</v>
      </c>
      <c r="E81" s="143" t="s">
        <v>309</v>
      </c>
      <c r="F81" s="143" t="s">
        <v>1420</v>
      </c>
      <c r="G81" s="143" t="s">
        <v>1421</v>
      </c>
      <c r="H81" s="143" t="s">
        <v>321</v>
      </c>
      <c r="I81" s="143" t="s">
        <v>951</v>
      </c>
      <c r="J81" s="143" t="s">
        <v>204</v>
      </c>
      <c r="K81" s="143" t="s">
        <v>204</v>
      </c>
      <c r="L81" s="143" t="s">
        <v>325</v>
      </c>
      <c r="M81" s="143" t="s">
        <v>340</v>
      </c>
      <c r="N81" s="143" t="s">
        <v>445</v>
      </c>
      <c r="O81" s="143" t="s">
        <v>339</v>
      </c>
      <c r="P81" s="143" t="s">
        <v>1377</v>
      </c>
      <c r="Q81" s="143" t="s">
        <v>415</v>
      </c>
      <c r="R81" s="143" t="s">
        <v>407</v>
      </c>
      <c r="S81" s="143" t="s">
        <v>1210</v>
      </c>
      <c r="T81" s="144">
        <v>1.2</v>
      </c>
      <c r="U81" s="143" t="s">
        <v>1422</v>
      </c>
      <c r="V81" s="146">
        <v>2.9399999999999999E-2</v>
      </c>
      <c r="W81" s="146">
        <v>4.9301999999999999E-2</v>
      </c>
      <c r="X81" s="143" t="s">
        <v>412</v>
      </c>
      <c r="Y81" s="145" t="s">
        <v>3853</v>
      </c>
      <c r="Z81" s="144">
        <v>1664.1</v>
      </c>
      <c r="AA81" s="145" t="s">
        <v>3853</v>
      </c>
      <c r="AB81" s="143" t="s">
        <v>1423</v>
      </c>
      <c r="AC81" s="145" t="s">
        <v>3853</v>
      </c>
      <c r="AD81" s="144">
        <v>1.6619000000000002</v>
      </c>
      <c r="AE81" s="145" t="s">
        <v>3853</v>
      </c>
      <c r="AF81" s="145" t="s">
        <v>3853</v>
      </c>
      <c r="AG81" s="145" t="s">
        <v>3853</v>
      </c>
      <c r="AH81" s="146">
        <v>1.0373249411308277E-5</v>
      </c>
      <c r="AI81" s="146">
        <v>5.2791783627014286E-3</v>
      </c>
      <c r="AJ81" s="147">
        <v>4.9052135223569585E-4</v>
      </c>
      <c r="AK81" s="181"/>
    </row>
    <row r="82" spans="1:37" ht="15" x14ac:dyDescent="0.2">
      <c r="A82" s="142" t="s">
        <v>1205</v>
      </c>
      <c r="B82" s="143" t="s">
        <v>1213</v>
      </c>
      <c r="C82" s="143" t="s">
        <v>1392</v>
      </c>
      <c r="D82" s="143" t="s">
        <v>1393</v>
      </c>
      <c r="E82" s="143" t="s">
        <v>309</v>
      </c>
      <c r="F82" s="143" t="s">
        <v>1702</v>
      </c>
      <c r="G82" s="143" t="s">
        <v>1703</v>
      </c>
      <c r="H82" s="143" t="s">
        <v>321</v>
      </c>
      <c r="I82" s="143" t="s">
        <v>951</v>
      </c>
      <c r="J82" s="143" t="s">
        <v>204</v>
      </c>
      <c r="K82" s="143" t="s">
        <v>204</v>
      </c>
      <c r="L82" s="143" t="s">
        <v>325</v>
      </c>
      <c r="M82" s="143" t="s">
        <v>340</v>
      </c>
      <c r="N82" s="143" t="s">
        <v>463</v>
      </c>
      <c r="O82" s="143" t="s">
        <v>339</v>
      </c>
      <c r="P82" s="143" t="s">
        <v>1396</v>
      </c>
      <c r="Q82" s="143" t="s">
        <v>413</v>
      </c>
      <c r="R82" s="143" t="s">
        <v>407</v>
      </c>
      <c r="S82" s="143" t="s">
        <v>1210</v>
      </c>
      <c r="T82" s="144">
        <v>3.27</v>
      </c>
      <c r="U82" s="143" t="s">
        <v>1704</v>
      </c>
      <c r="V82" s="146">
        <v>2.6200000000000001E-2</v>
      </c>
      <c r="W82" s="146">
        <v>5.6523999999999998E-2</v>
      </c>
      <c r="X82" s="143" t="s">
        <v>412</v>
      </c>
      <c r="Y82" s="145" t="s">
        <v>3853</v>
      </c>
      <c r="Z82" s="144">
        <v>1336.85</v>
      </c>
      <c r="AA82" s="145" t="s">
        <v>3853</v>
      </c>
      <c r="AB82" s="143" t="s">
        <v>1705</v>
      </c>
      <c r="AC82" s="144">
        <v>0.2414</v>
      </c>
      <c r="AD82" s="144">
        <v>1.4556</v>
      </c>
      <c r="AE82" s="145" t="s">
        <v>3853</v>
      </c>
      <c r="AF82" s="145" t="s">
        <v>3853</v>
      </c>
      <c r="AG82" s="145" t="s">
        <v>3853</v>
      </c>
      <c r="AH82" s="146">
        <v>3.1115757724724557E-6</v>
      </c>
      <c r="AI82" s="146">
        <v>5.3905805768237761E-3</v>
      </c>
      <c r="AJ82" s="147">
        <v>5.0087242601252156E-4</v>
      </c>
      <c r="AK82" s="181"/>
    </row>
    <row r="83" spans="1:37" ht="15" x14ac:dyDescent="0.2">
      <c r="A83" s="142" t="s">
        <v>1205</v>
      </c>
      <c r="B83" s="143" t="s">
        <v>1213</v>
      </c>
      <c r="C83" s="143" t="s">
        <v>1706</v>
      </c>
      <c r="D83" s="143" t="s">
        <v>1707</v>
      </c>
      <c r="E83" s="143" t="s">
        <v>309</v>
      </c>
      <c r="F83" s="143" t="s">
        <v>1708</v>
      </c>
      <c r="G83" s="143" t="s">
        <v>1709</v>
      </c>
      <c r="H83" s="143" t="s">
        <v>321</v>
      </c>
      <c r="I83" s="143" t="s">
        <v>951</v>
      </c>
      <c r="J83" s="143" t="s">
        <v>204</v>
      </c>
      <c r="K83" s="143" t="s">
        <v>224</v>
      </c>
      <c r="L83" s="143" t="s">
        <v>325</v>
      </c>
      <c r="M83" s="143" t="s">
        <v>340</v>
      </c>
      <c r="N83" s="143" t="s">
        <v>465</v>
      </c>
      <c r="O83" s="143" t="s">
        <v>339</v>
      </c>
      <c r="P83" s="143" t="s">
        <v>1409</v>
      </c>
      <c r="Q83" s="143" t="s">
        <v>413</v>
      </c>
      <c r="R83" s="143" t="s">
        <v>407</v>
      </c>
      <c r="S83" s="143" t="s">
        <v>1210</v>
      </c>
      <c r="T83" s="144">
        <v>0.5</v>
      </c>
      <c r="U83" s="143" t="s">
        <v>1710</v>
      </c>
      <c r="V83" s="146">
        <v>3.3799999999999997E-2</v>
      </c>
      <c r="W83" s="146">
        <v>5.8233E-2</v>
      </c>
      <c r="X83" s="143" t="s">
        <v>412</v>
      </c>
      <c r="Y83" s="145" t="s">
        <v>3853</v>
      </c>
      <c r="Z83" s="144">
        <v>500</v>
      </c>
      <c r="AA83" s="145" t="s">
        <v>3853</v>
      </c>
      <c r="AB83" s="143" t="s">
        <v>1711</v>
      </c>
      <c r="AC83" s="145" t="s">
        <v>3853</v>
      </c>
      <c r="AD83" s="144">
        <v>0.49430000000000002</v>
      </c>
      <c r="AE83" s="145" t="s">
        <v>3853</v>
      </c>
      <c r="AF83" s="145" t="s">
        <v>3853</v>
      </c>
      <c r="AG83" s="145" t="s">
        <v>3853</v>
      </c>
      <c r="AH83" s="146">
        <v>2.443407625142176E-6</v>
      </c>
      <c r="AI83" s="146">
        <v>1.5701548150347487E-3</v>
      </c>
      <c r="AJ83" s="147">
        <v>1.4589286630886148E-4</v>
      </c>
      <c r="AK83" s="181"/>
    </row>
    <row r="84" spans="1:37" ht="15" x14ac:dyDescent="0.2">
      <c r="A84" s="142" t="s">
        <v>1205</v>
      </c>
      <c r="B84" s="143" t="s">
        <v>1213</v>
      </c>
      <c r="C84" s="143" t="s">
        <v>1574</v>
      </c>
      <c r="D84" s="143" t="s">
        <v>1575</v>
      </c>
      <c r="E84" s="143" t="s">
        <v>309</v>
      </c>
      <c r="F84" s="143" t="s">
        <v>1712</v>
      </c>
      <c r="G84" s="143" t="s">
        <v>1713</v>
      </c>
      <c r="H84" s="143" t="s">
        <v>321</v>
      </c>
      <c r="I84" s="143" t="s">
        <v>754</v>
      </c>
      <c r="J84" s="143" t="s">
        <v>204</v>
      </c>
      <c r="K84" s="143" t="s">
        <v>204</v>
      </c>
      <c r="L84" s="143" t="s">
        <v>325</v>
      </c>
      <c r="M84" s="143" t="s">
        <v>340</v>
      </c>
      <c r="N84" s="143" t="s">
        <v>464</v>
      </c>
      <c r="O84" s="143" t="s">
        <v>339</v>
      </c>
      <c r="P84" s="143" t="s">
        <v>1359</v>
      </c>
      <c r="Q84" s="143" t="s">
        <v>415</v>
      </c>
      <c r="R84" s="143" t="s">
        <v>407</v>
      </c>
      <c r="S84" s="143" t="s">
        <v>1210</v>
      </c>
      <c r="T84" s="144">
        <v>4.45</v>
      </c>
      <c r="U84" s="143" t="s">
        <v>1714</v>
      </c>
      <c r="V84" s="146">
        <v>1.3299999999999999E-2</v>
      </c>
      <c r="W84" s="146">
        <v>3.5557999999999999E-2</v>
      </c>
      <c r="X84" s="143" t="s">
        <v>412</v>
      </c>
      <c r="Y84" s="145" t="s">
        <v>3853</v>
      </c>
      <c r="Z84" s="144">
        <v>20187.5</v>
      </c>
      <c r="AA84" s="145" t="s">
        <v>3853</v>
      </c>
      <c r="AB84" s="143" t="s">
        <v>1715</v>
      </c>
      <c r="AC84" s="145" t="s">
        <v>3853</v>
      </c>
      <c r="AD84" s="144">
        <v>20.837499999999999</v>
      </c>
      <c r="AE84" s="145" t="s">
        <v>3853</v>
      </c>
      <c r="AF84" s="145" t="s">
        <v>3853</v>
      </c>
      <c r="AG84" s="145" t="s">
        <v>3853</v>
      </c>
      <c r="AH84" s="146">
        <v>1.7E-5</v>
      </c>
      <c r="AI84" s="146">
        <v>6.6190895891345622E-2</v>
      </c>
      <c r="AJ84" s="147">
        <v>6.1502085225437746E-3</v>
      </c>
      <c r="AK84" s="181"/>
    </row>
    <row r="85" spans="1:37" ht="15" x14ac:dyDescent="0.2">
      <c r="A85" s="142" t="s">
        <v>1205</v>
      </c>
      <c r="B85" s="143" t="s">
        <v>1213</v>
      </c>
      <c r="C85" s="143" t="s">
        <v>1568</v>
      </c>
      <c r="D85" s="143" t="s">
        <v>1569</v>
      </c>
      <c r="E85" s="143" t="s">
        <v>309</v>
      </c>
      <c r="F85" s="143" t="s">
        <v>1580</v>
      </c>
      <c r="G85" s="143" t="s">
        <v>1581</v>
      </c>
      <c r="H85" s="143" t="s">
        <v>321</v>
      </c>
      <c r="I85" s="143" t="s">
        <v>754</v>
      </c>
      <c r="J85" s="143" t="s">
        <v>204</v>
      </c>
      <c r="K85" s="143" t="s">
        <v>204</v>
      </c>
      <c r="L85" s="143" t="s">
        <v>325</v>
      </c>
      <c r="M85" s="143" t="s">
        <v>340</v>
      </c>
      <c r="N85" s="143" t="s">
        <v>448</v>
      </c>
      <c r="O85" s="143" t="s">
        <v>339</v>
      </c>
      <c r="P85" s="143" t="s">
        <v>1222</v>
      </c>
      <c r="Q85" s="143" t="s">
        <v>413</v>
      </c>
      <c r="R85" s="143" t="s">
        <v>407</v>
      </c>
      <c r="S85" s="143" t="s">
        <v>1210</v>
      </c>
      <c r="T85" s="144">
        <v>3.8</v>
      </c>
      <c r="U85" s="143" t="s">
        <v>1582</v>
      </c>
      <c r="V85" s="146">
        <v>1E-3</v>
      </c>
      <c r="W85" s="146">
        <v>2.5401E-2</v>
      </c>
      <c r="X85" s="143" t="s">
        <v>412</v>
      </c>
      <c r="Y85" s="145" t="s">
        <v>3853</v>
      </c>
      <c r="Z85" s="144">
        <v>17920</v>
      </c>
      <c r="AA85" s="145" t="s">
        <v>3853</v>
      </c>
      <c r="AB85" s="143" t="s">
        <v>1583</v>
      </c>
      <c r="AC85" s="145" t="s">
        <v>3853</v>
      </c>
      <c r="AD85" s="144">
        <v>18.093799999999998</v>
      </c>
      <c r="AE85" s="145" t="s">
        <v>3853</v>
      </c>
      <c r="AF85" s="145" t="s">
        <v>3853</v>
      </c>
      <c r="AG85" s="145" t="s">
        <v>3853</v>
      </c>
      <c r="AH85" s="146">
        <v>1.5932290312493303E-5</v>
      </c>
      <c r="AI85" s="146">
        <v>5.7475429649992506E-2</v>
      </c>
      <c r="AJ85" s="147">
        <v>5.3404002545985631E-3</v>
      </c>
      <c r="AK85" s="181"/>
    </row>
    <row r="86" spans="1:37" ht="15" x14ac:dyDescent="0.2">
      <c r="A86" s="142" t="s">
        <v>1205</v>
      </c>
      <c r="B86" s="143" t="s">
        <v>1213</v>
      </c>
      <c r="C86" s="143" t="s">
        <v>1568</v>
      </c>
      <c r="D86" s="143" t="s">
        <v>1569</v>
      </c>
      <c r="E86" s="143" t="s">
        <v>309</v>
      </c>
      <c r="F86" s="143" t="s">
        <v>1601</v>
      </c>
      <c r="G86" s="143" t="s">
        <v>1602</v>
      </c>
      <c r="H86" s="143" t="s">
        <v>321</v>
      </c>
      <c r="I86" s="143" t="s">
        <v>754</v>
      </c>
      <c r="J86" s="143" t="s">
        <v>204</v>
      </c>
      <c r="K86" s="143" t="s">
        <v>204</v>
      </c>
      <c r="L86" s="143" t="s">
        <v>325</v>
      </c>
      <c r="M86" s="143" t="s">
        <v>340</v>
      </c>
      <c r="N86" s="143" t="s">
        <v>448</v>
      </c>
      <c r="O86" s="143" t="s">
        <v>339</v>
      </c>
      <c r="P86" s="143" t="s">
        <v>1222</v>
      </c>
      <c r="Q86" s="143" t="s">
        <v>413</v>
      </c>
      <c r="R86" s="143" t="s">
        <v>407</v>
      </c>
      <c r="S86" s="143" t="s">
        <v>1210</v>
      </c>
      <c r="T86" s="144">
        <v>3.26</v>
      </c>
      <c r="U86" s="143" t="s">
        <v>1603</v>
      </c>
      <c r="V86" s="146">
        <v>1.7500000000000002E-2</v>
      </c>
      <c r="W86" s="146">
        <v>2.4340000000000001E-2</v>
      </c>
      <c r="X86" s="143" t="s">
        <v>412</v>
      </c>
      <c r="Y86" s="145" t="s">
        <v>3853</v>
      </c>
      <c r="Z86" s="144">
        <v>14118.88</v>
      </c>
      <c r="AA86" s="145" t="s">
        <v>3853</v>
      </c>
      <c r="AB86" s="143" t="s">
        <v>1604</v>
      </c>
      <c r="AC86" s="145" t="s">
        <v>3853</v>
      </c>
      <c r="AD86" s="144">
        <v>15.744</v>
      </c>
      <c r="AE86" s="145" t="s">
        <v>3853</v>
      </c>
      <c r="AF86" s="145" t="s">
        <v>3853</v>
      </c>
      <c r="AG86" s="145" t="s">
        <v>3853</v>
      </c>
      <c r="AH86" s="146">
        <v>5.4295243252486765E-6</v>
      </c>
      <c r="AI86" s="146">
        <v>5.0011044811556847E-2</v>
      </c>
      <c r="AJ86" s="147">
        <v>4.6468377543379203E-3</v>
      </c>
      <c r="AK86" s="181"/>
    </row>
    <row r="87" spans="1:37" ht="15" x14ac:dyDescent="0.2">
      <c r="A87" s="142" t="s">
        <v>1205</v>
      </c>
      <c r="B87" s="143" t="s">
        <v>1213</v>
      </c>
      <c r="C87" s="143" t="s">
        <v>1467</v>
      </c>
      <c r="D87" s="143" t="s">
        <v>1468</v>
      </c>
      <c r="E87" s="143" t="s">
        <v>309</v>
      </c>
      <c r="F87" s="143" t="s">
        <v>1469</v>
      </c>
      <c r="G87" s="143" t="s">
        <v>1470</v>
      </c>
      <c r="H87" s="143" t="s">
        <v>321</v>
      </c>
      <c r="I87" s="143" t="s">
        <v>754</v>
      </c>
      <c r="J87" s="143" t="s">
        <v>204</v>
      </c>
      <c r="K87" s="143" t="s">
        <v>204</v>
      </c>
      <c r="L87" s="143" t="s">
        <v>325</v>
      </c>
      <c r="M87" s="143" t="s">
        <v>340</v>
      </c>
      <c r="N87" s="143" t="s">
        <v>456</v>
      </c>
      <c r="O87" s="143" t="s">
        <v>339</v>
      </c>
      <c r="P87" s="143" t="s">
        <v>1347</v>
      </c>
      <c r="Q87" s="143" t="s">
        <v>413</v>
      </c>
      <c r="R87" s="143" t="s">
        <v>407</v>
      </c>
      <c r="S87" s="143" t="s">
        <v>1210</v>
      </c>
      <c r="T87" s="144">
        <v>5.43</v>
      </c>
      <c r="U87" s="143" t="s">
        <v>1471</v>
      </c>
      <c r="V87" s="146">
        <v>5.1499999999999997E-2</v>
      </c>
      <c r="W87" s="146">
        <v>3.8883000000000001E-2</v>
      </c>
      <c r="X87" s="143" t="s">
        <v>412</v>
      </c>
      <c r="Y87" s="145" t="s">
        <v>3853</v>
      </c>
      <c r="Z87" s="144">
        <v>7916.24</v>
      </c>
      <c r="AA87" s="145" t="s">
        <v>3853</v>
      </c>
      <c r="AB87" s="143" t="s">
        <v>1472</v>
      </c>
      <c r="AC87" s="145" t="s">
        <v>3853</v>
      </c>
      <c r="AD87" s="144">
        <v>11.647200000000002</v>
      </c>
      <c r="AE87" s="145" t="s">
        <v>3853</v>
      </c>
      <c r="AF87" s="145" t="s">
        <v>3853</v>
      </c>
      <c r="AG87" s="145" t="s">
        <v>3853</v>
      </c>
      <c r="AH87" s="146">
        <v>2.7259903616848066E-6</v>
      </c>
      <c r="AI87" s="146">
        <v>3.6997472178688567E-2</v>
      </c>
      <c r="AJ87" s="147">
        <v>3.4376656433154204E-3</v>
      </c>
      <c r="AK87" s="181"/>
    </row>
    <row r="88" spans="1:37" ht="15" x14ac:dyDescent="0.2">
      <c r="A88" s="142" t="s">
        <v>1205</v>
      </c>
      <c r="B88" s="143" t="s">
        <v>1213</v>
      </c>
      <c r="C88" s="143" t="s">
        <v>1481</v>
      </c>
      <c r="D88" s="143" t="s">
        <v>1482</v>
      </c>
      <c r="E88" s="143" t="s">
        <v>309</v>
      </c>
      <c r="F88" s="143" t="s">
        <v>1483</v>
      </c>
      <c r="G88" s="143" t="s">
        <v>1484</v>
      </c>
      <c r="H88" s="143" t="s">
        <v>321</v>
      </c>
      <c r="I88" s="143" t="s">
        <v>754</v>
      </c>
      <c r="J88" s="143" t="s">
        <v>204</v>
      </c>
      <c r="K88" s="143" t="s">
        <v>204</v>
      </c>
      <c r="L88" s="143" t="s">
        <v>325</v>
      </c>
      <c r="M88" s="143" t="s">
        <v>340</v>
      </c>
      <c r="N88" s="143" t="s">
        <v>448</v>
      </c>
      <c r="O88" s="143" t="s">
        <v>339</v>
      </c>
      <c r="P88" s="143" t="s">
        <v>1222</v>
      </c>
      <c r="Q88" s="143" t="s">
        <v>413</v>
      </c>
      <c r="R88" s="143" t="s">
        <v>407</v>
      </c>
      <c r="S88" s="143" t="s">
        <v>1210</v>
      </c>
      <c r="T88" s="144">
        <v>5.39</v>
      </c>
      <c r="U88" s="143" t="s">
        <v>1485</v>
      </c>
      <c r="V88" s="146">
        <v>1E-3</v>
      </c>
      <c r="W88" s="146">
        <v>2.5815000000000001E-2</v>
      </c>
      <c r="X88" s="143" t="s">
        <v>412</v>
      </c>
      <c r="Y88" s="145" t="s">
        <v>3853</v>
      </c>
      <c r="Z88" s="144">
        <v>11600</v>
      </c>
      <c r="AA88" s="145" t="s">
        <v>3853</v>
      </c>
      <c r="AB88" s="143" t="s">
        <v>1486</v>
      </c>
      <c r="AC88" s="145" t="s">
        <v>3853</v>
      </c>
      <c r="AD88" s="144">
        <v>11.267100000000001</v>
      </c>
      <c r="AE88" s="145" t="s">
        <v>3853</v>
      </c>
      <c r="AF88" s="145" t="s">
        <v>3853</v>
      </c>
      <c r="AG88" s="145" t="s">
        <v>3853</v>
      </c>
      <c r="AH88" s="146">
        <v>4.6645710946984335E-6</v>
      </c>
      <c r="AI88" s="146">
        <v>3.5790127277729553E-2</v>
      </c>
      <c r="AJ88" s="147">
        <v>3.3254837065167858E-3</v>
      </c>
      <c r="AK88" s="181"/>
    </row>
    <row r="89" spans="1:37" ht="15" x14ac:dyDescent="0.2">
      <c r="A89" s="142" t="s">
        <v>1205</v>
      </c>
      <c r="B89" s="143" t="s">
        <v>1213</v>
      </c>
      <c r="C89" s="143" t="s">
        <v>1574</v>
      </c>
      <c r="D89" s="143" t="s">
        <v>1575</v>
      </c>
      <c r="E89" s="143" t="s">
        <v>309</v>
      </c>
      <c r="F89" s="143" t="s">
        <v>1716</v>
      </c>
      <c r="G89" s="143" t="s">
        <v>1717</v>
      </c>
      <c r="H89" s="143" t="s">
        <v>321</v>
      </c>
      <c r="I89" s="143" t="s">
        <v>754</v>
      </c>
      <c r="J89" s="143" t="s">
        <v>204</v>
      </c>
      <c r="K89" s="143" t="s">
        <v>204</v>
      </c>
      <c r="L89" s="143" t="s">
        <v>325</v>
      </c>
      <c r="M89" s="143" t="s">
        <v>340</v>
      </c>
      <c r="N89" s="143" t="s">
        <v>464</v>
      </c>
      <c r="O89" s="143" t="s">
        <v>339</v>
      </c>
      <c r="P89" s="143" t="s">
        <v>1359</v>
      </c>
      <c r="Q89" s="143" t="s">
        <v>415</v>
      </c>
      <c r="R89" s="143" t="s">
        <v>407</v>
      </c>
      <c r="S89" s="143" t="s">
        <v>1210</v>
      </c>
      <c r="T89" s="144">
        <v>4.6900000000000004</v>
      </c>
      <c r="U89" s="143" t="s">
        <v>1718</v>
      </c>
      <c r="V89" s="146">
        <v>1.17E-2</v>
      </c>
      <c r="W89" s="146">
        <v>3.5473999999999999E-2</v>
      </c>
      <c r="X89" s="143" t="s">
        <v>412</v>
      </c>
      <c r="Y89" s="145" t="s">
        <v>3853</v>
      </c>
      <c r="Z89" s="144">
        <v>10873.42</v>
      </c>
      <c r="AA89" s="145" t="s">
        <v>3853</v>
      </c>
      <c r="AB89" s="143" t="s">
        <v>1719</v>
      </c>
      <c r="AC89" s="145" t="s">
        <v>3853</v>
      </c>
      <c r="AD89" s="144">
        <v>11.0572</v>
      </c>
      <c r="AE89" s="145" t="s">
        <v>3853</v>
      </c>
      <c r="AF89" s="145" t="s">
        <v>3853</v>
      </c>
      <c r="AG89" s="145" t="s">
        <v>3853</v>
      </c>
      <c r="AH89" s="146">
        <v>1.5791271762154787E-5</v>
      </c>
      <c r="AI89" s="146">
        <v>3.5123377848855886E-2</v>
      </c>
      <c r="AJ89" s="147">
        <v>3.2635318630700474E-3</v>
      </c>
      <c r="AK89" s="181"/>
    </row>
    <row r="90" spans="1:37" ht="15" x14ac:dyDescent="0.2">
      <c r="A90" s="142" t="s">
        <v>1205</v>
      </c>
      <c r="B90" s="143" t="s">
        <v>1213</v>
      </c>
      <c r="C90" s="143" t="s">
        <v>1720</v>
      </c>
      <c r="D90" s="143" t="s">
        <v>1721</v>
      </c>
      <c r="E90" s="143" t="s">
        <v>309</v>
      </c>
      <c r="F90" s="143" t="s">
        <v>1722</v>
      </c>
      <c r="G90" s="143" t="s">
        <v>1723</v>
      </c>
      <c r="H90" s="143" t="s">
        <v>321</v>
      </c>
      <c r="I90" s="143" t="s">
        <v>754</v>
      </c>
      <c r="J90" s="143" t="s">
        <v>204</v>
      </c>
      <c r="K90" s="143" t="s">
        <v>204</v>
      </c>
      <c r="L90" s="143" t="s">
        <v>325</v>
      </c>
      <c r="M90" s="143" t="s">
        <v>340</v>
      </c>
      <c r="N90" s="143" t="s">
        <v>464</v>
      </c>
      <c r="O90" s="143" t="s">
        <v>339</v>
      </c>
      <c r="P90" s="143" t="s">
        <v>1530</v>
      </c>
      <c r="Q90" s="143" t="s">
        <v>415</v>
      </c>
      <c r="R90" s="143" t="s">
        <v>407</v>
      </c>
      <c r="S90" s="143" t="s">
        <v>1210</v>
      </c>
      <c r="T90" s="144">
        <v>5.71</v>
      </c>
      <c r="U90" s="143" t="s">
        <v>1724</v>
      </c>
      <c r="V90" s="146">
        <v>2.4799999999999999E-2</v>
      </c>
      <c r="W90" s="146">
        <v>3.3411000000000003E-2</v>
      </c>
      <c r="X90" s="143" t="s">
        <v>412</v>
      </c>
      <c r="Y90" s="145" t="s">
        <v>3853</v>
      </c>
      <c r="Z90" s="144">
        <v>10160</v>
      </c>
      <c r="AA90" s="145" t="s">
        <v>3853</v>
      </c>
      <c r="AB90" s="143" t="s">
        <v>1725</v>
      </c>
      <c r="AC90" s="145" t="s">
        <v>3853</v>
      </c>
      <c r="AD90" s="144">
        <v>11.004299999999999</v>
      </c>
      <c r="AE90" s="145" t="s">
        <v>3853</v>
      </c>
      <c r="AF90" s="145" t="s">
        <v>3853</v>
      </c>
      <c r="AG90" s="145" t="s">
        <v>3853</v>
      </c>
      <c r="AH90" s="146">
        <v>3.0839371192506276E-6</v>
      </c>
      <c r="AI90" s="146">
        <v>3.4955388125566714E-2</v>
      </c>
      <c r="AJ90" s="147">
        <v>3.2479228912626729E-3</v>
      </c>
      <c r="AK90" s="181"/>
    </row>
    <row r="91" spans="1:37" ht="15" x14ac:dyDescent="0.2">
      <c r="A91" s="142" t="s">
        <v>1205</v>
      </c>
      <c r="B91" s="143" t="s">
        <v>1213</v>
      </c>
      <c r="C91" s="143" t="s">
        <v>1349</v>
      </c>
      <c r="D91" s="143" t="s">
        <v>1350</v>
      </c>
      <c r="E91" s="143" t="s">
        <v>309</v>
      </c>
      <c r="F91" s="143" t="s">
        <v>1463</v>
      </c>
      <c r="G91" s="143" t="s">
        <v>1464</v>
      </c>
      <c r="H91" s="143" t="s">
        <v>321</v>
      </c>
      <c r="I91" s="143" t="s">
        <v>754</v>
      </c>
      <c r="J91" s="143" t="s">
        <v>204</v>
      </c>
      <c r="K91" s="143" t="s">
        <v>204</v>
      </c>
      <c r="L91" s="143" t="s">
        <v>325</v>
      </c>
      <c r="M91" s="143" t="s">
        <v>340</v>
      </c>
      <c r="N91" s="143" t="s">
        <v>448</v>
      </c>
      <c r="O91" s="143" t="s">
        <v>339</v>
      </c>
      <c r="P91" s="143" t="s">
        <v>1222</v>
      </c>
      <c r="Q91" s="143" t="s">
        <v>413</v>
      </c>
      <c r="R91" s="143" t="s">
        <v>407</v>
      </c>
      <c r="S91" s="143" t="s">
        <v>1210</v>
      </c>
      <c r="T91" s="144">
        <v>0.24</v>
      </c>
      <c r="U91" s="143" t="s">
        <v>1465</v>
      </c>
      <c r="V91" s="146">
        <v>8.6E-3</v>
      </c>
      <c r="W91" s="146">
        <v>2.5704999999999999E-2</v>
      </c>
      <c r="X91" s="143" t="s">
        <v>412</v>
      </c>
      <c r="Y91" s="145" t="s">
        <v>3853</v>
      </c>
      <c r="Z91" s="144">
        <v>8978</v>
      </c>
      <c r="AA91" s="145" t="s">
        <v>3853</v>
      </c>
      <c r="AB91" s="143" t="s">
        <v>1466</v>
      </c>
      <c r="AC91" s="145" t="s">
        <v>3853</v>
      </c>
      <c r="AD91" s="144">
        <v>10.3193</v>
      </c>
      <c r="AE91" s="145" t="s">
        <v>3853</v>
      </c>
      <c r="AF91" s="145" t="s">
        <v>3853</v>
      </c>
      <c r="AG91" s="145" t="s">
        <v>3853</v>
      </c>
      <c r="AH91" s="146">
        <v>3.5892603636994569E-6</v>
      </c>
      <c r="AI91" s="146">
        <v>3.2779525205000284E-2</v>
      </c>
      <c r="AJ91" s="147">
        <v>3.0457499111609743E-3</v>
      </c>
      <c r="AK91" s="181"/>
    </row>
    <row r="92" spans="1:37" ht="15" x14ac:dyDescent="0.2">
      <c r="A92" s="142" t="s">
        <v>1205</v>
      </c>
      <c r="B92" s="143" t="s">
        <v>1213</v>
      </c>
      <c r="C92" s="143" t="s">
        <v>1510</v>
      </c>
      <c r="D92" s="143" t="s">
        <v>1511</v>
      </c>
      <c r="E92" s="143" t="s">
        <v>309</v>
      </c>
      <c r="F92" s="143" t="s">
        <v>1560</v>
      </c>
      <c r="G92" s="143" t="s">
        <v>1561</v>
      </c>
      <c r="H92" s="143" t="s">
        <v>321</v>
      </c>
      <c r="I92" s="143" t="s">
        <v>754</v>
      </c>
      <c r="J92" s="143" t="s">
        <v>204</v>
      </c>
      <c r="K92" s="143" t="s">
        <v>204</v>
      </c>
      <c r="L92" s="143" t="s">
        <v>325</v>
      </c>
      <c r="M92" s="143" t="s">
        <v>340</v>
      </c>
      <c r="N92" s="143" t="s">
        <v>448</v>
      </c>
      <c r="O92" s="143" t="s">
        <v>339</v>
      </c>
      <c r="P92" s="143" t="s">
        <v>1347</v>
      </c>
      <c r="Q92" s="143" t="s">
        <v>413</v>
      </c>
      <c r="R92" s="143" t="s">
        <v>407</v>
      </c>
      <c r="S92" s="143" t="s">
        <v>1210</v>
      </c>
      <c r="T92" s="144">
        <v>4.75</v>
      </c>
      <c r="U92" s="143" t="s">
        <v>1562</v>
      </c>
      <c r="V92" s="146">
        <v>2.5899999999999999E-2</v>
      </c>
      <c r="W92" s="146">
        <v>2.7512000000000002E-2</v>
      </c>
      <c r="X92" s="143" t="s">
        <v>412</v>
      </c>
      <c r="Y92" s="145" t="s">
        <v>3853</v>
      </c>
      <c r="Z92" s="144">
        <v>10000</v>
      </c>
      <c r="AA92" s="145" t="s">
        <v>3853</v>
      </c>
      <c r="AB92" s="143" t="s">
        <v>1563</v>
      </c>
      <c r="AC92" s="145" t="s">
        <v>3853</v>
      </c>
      <c r="AD92" s="144">
        <v>10.231999999999999</v>
      </c>
      <c r="AE92" s="145" t="s">
        <v>3853</v>
      </c>
      <c r="AF92" s="145" t="s">
        <v>3853</v>
      </c>
      <c r="AG92" s="145" t="s">
        <v>3853</v>
      </c>
      <c r="AH92" s="146">
        <v>2.2222222222222223E-5</v>
      </c>
      <c r="AI92" s="146">
        <v>3.2502172905999493E-2</v>
      </c>
      <c r="AJ92" s="147">
        <v>3.0199793810889559E-3</v>
      </c>
      <c r="AK92" s="181"/>
    </row>
    <row r="93" spans="1:37" ht="15" x14ac:dyDescent="0.2">
      <c r="A93" s="142" t="s">
        <v>1205</v>
      </c>
      <c r="B93" s="143" t="s">
        <v>1213</v>
      </c>
      <c r="C93" s="143" t="s">
        <v>1550</v>
      </c>
      <c r="D93" s="143" t="s">
        <v>1551</v>
      </c>
      <c r="E93" s="143" t="s">
        <v>309</v>
      </c>
      <c r="F93" s="143" t="s">
        <v>1726</v>
      </c>
      <c r="G93" s="143" t="s">
        <v>1727</v>
      </c>
      <c r="H93" s="143" t="s">
        <v>321</v>
      </c>
      <c r="I93" s="143" t="s">
        <v>754</v>
      </c>
      <c r="J93" s="143" t="s">
        <v>204</v>
      </c>
      <c r="K93" s="143" t="s">
        <v>293</v>
      </c>
      <c r="L93" s="143" t="s">
        <v>325</v>
      </c>
      <c r="M93" s="143" t="s">
        <v>340</v>
      </c>
      <c r="N93" s="143" t="s">
        <v>465</v>
      </c>
      <c r="O93" s="143" t="s">
        <v>339</v>
      </c>
      <c r="P93" s="143" t="s">
        <v>1440</v>
      </c>
      <c r="Q93" s="143" t="s">
        <v>415</v>
      </c>
      <c r="R93" s="143" t="s">
        <v>407</v>
      </c>
      <c r="S93" s="143" t="s">
        <v>1210</v>
      </c>
      <c r="T93" s="144">
        <v>5.35</v>
      </c>
      <c r="U93" s="143" t="s">
        <v>1714</v>
      </c>
      <c r="V93" s="146">
        <v>1.54E-2</v>
      </c>
      <c r="W93" s="146">
        <v>4.0224999999999997E-2</v>
      </c>
      <c r="X93" s="143" t="s">
        <v>412</v>
      </c>
      <c r="Y93" s="145" t="s">
        <v>3853</v>
      </c>
      <c r="Z93" s="144">
        <v>10000</v>
      </c>
      <c r="AA93" s="145" t="s">
        <v>3853</v>
      </c>
      <c r="AB93" s="143" t="s">
        <v>1728</v>
      </c>
      <c r="AC93" s="145" t="s">
        <v>3853</v>
      </c>
      <c r="AD93" s="144">
        <v>9.73</v>
      </c>
      <c r="AE93" s="145" t="s">
        <v>3853</v>
      </c>
      <c r="AF93" s="145" t="s">
        <v>3853</v>
      </c>
      <c r="AG93" s="145" t="s">
        <v>3853</v>
      </c>
      <c r="AH93" s="146">
        <v>1.6766117688086498E-5</v>
      </c>
      <c r="AI93" s="146">
        <v>3.0907558871713748E-2</v>
      </c>
      <c r="AJ93" s="147">
        <v>2.8718138563326367E-3</v>
      </c>
      <c r="AK93" s="181"/>
    </row>
    <row r="94" spans="1:37" ht="15" x14ac:dyDescent="0.2">
      <c r="A94" s="142" t="s">
        <v>1205</v>
      </c>
      <c r="B94" s="143" t="s">
        <v>1213</v>
      </c>
      <c r="C94" s="143" t="s">
        <v>1362</v>
      </c>
      <c r="D94" s="143" t="s">
        <v>1363</v>
      </c>
      <c r="E94" s="143" t="s">
        <v>309</v>
      </c>
      <c r="F94" s="143" t="s">
        <v>1729</v>
      </c>
      <c r="G94" s="143" t="s">
        <v>1730</v>
      </c>
      <c r="H94" s="143" t="s">
        <v>321</v>
      </c>
      <c r="I94" s="143" t="s">
        <v>754</v>
      </c>
      <c r="J94" s="143" t="s">
        <v>204</v>
      </c>
      <c r="K94" s="143" t="s">
        <v>204</v>
      </c>
      <c r="L94" s="143" t="s">
        <v>325</v>
      </c>
      <c r="M94" s="143" t="s">
        <v>340</v>
      </c>
      <c r="N94" s="143" t="s">
        <v>440</v>
      </c>
      <c r="O94" s="143" t="s">
        <v>339</v>
      </c>
      <c r="P94" s="143" t="s">
        <v>1366</v>
      </c>
      <c r="Q94" s="143" t="s">
        <v>413</v>
      </c>
      <c r="R94" s="143" t="s">
        <v>407</v>
      </c>
      <c r="S94" s="143" t="s">
        <v>1210</v>
      </c>
      <c r="T94" s="144">
        <v>3.06</v>
      </c>
      <c r="U94" s="143" t="s">
        <v>1731</v>
      </c>
      <c r="V94" s="146">
        <v>2.75E-2</v>
      </c>
      <c r="W94" s="146">
        <v>3.2563000000000002E-2</v>
      </c>
      <c r="X94" s="143" t="s">
        <v>412</v>
      </c>
      <c r="Y94" s="145" t="s">
        <v>3853</v>
      </c>
      <c r="Z94" s="144">
        <v>7747.73</v>
      </c>
      <c r="AA94" s="145" t="s">
        <v>3853</v>
      </c>
      <c r="AB94" s="143" t="s">
        <v>1732</v>
      </c>
      <c r="AC94" s="145" t="s">
        <v>3853</v>
      </c>
      <c r="AD94" s="144">
        <v>8.6859999999999999</v>
      </c>
      <c r="AE94" s="145" t="s">
        <v>3853</v>
      </c>
      <c r="AF94" s="145" t="s">
        <v>3853</v>
      </c>
      <c r="AG94" s="145" t="s">
        <v>3853</v>
      </c>
      <c r="AH94" s="146">
        <v>9.2137434646500051E-6</v>
      </c>
      <c r="AI94" s="146">
        <v>2.759120672065845E-2</v>
      </c>
      <c r="AJ94" s="147">
        <v>2.5636709163026706E-3</v>
      </c>
      <c r="AK94" s="181"/>
    </row>
    <row r="95" spans="1:37" ht="15" x14ac:dyDescent="0.2">
      <c r="A95" s="142" t="s">
        <v>1205</v>
      </c>
      <c r="B95" s="143" t="s">
        <v>1213</v>
      </c>
      <c r="C95" s="143" t="s">
        <v>1349</v>
      </c>
      <c r="D95" s="143" t="s">
        <v>1350</v>
      </c>
      <c r="E95" s="143" t="s">
        <v>309</v>
      </c>
      <c r="F95" s="143" t="s">
        <v>1477</v>
      </c>
      <c r="G95" s="143" t="s">
        <v>1478</v>
      </c>
      <c r="H95" s="143" t="s">
        <v>321</v>
      </c>
      <c r="I95" s="143" t="s">
        <v>754</v>
      </c>
      <c r="J95" s="143" t="s">
        <v>204</v>
      </c>
      <c r="K95" s="143" t="s">
        <v>204</v>
      </c>
      <c r="L95" s="143" t="s">
        <v>325</v>
      </c>
      <c r="M95" s="143" t="s">
        <v>340</v>
      </c>
      <c r="N95" s="143" t="s">
        <v>448</v>
      </c>
      <c r="O95" s="143" t="s">
        <v>339</v>
      </c>
      <c r="P95" s="143" t="s">
        <v>1222</v>
      </c>
      <c r="Q95" s="143" t="s">
        <v>413</v>
      </c>
      <c r="R95" s="143" t="s">
        <v>407</v>
      </c>
      <c r="S95" s="143" t="s">
        <v>1210</v>
      </c>
      <c r="T95" s="144">
        <v>3.17</v>
      </c>
      <c r="U95" s="143" t="s">
        <v>1479</v>
      </c>
      <c r="V95" s="146">
        <v>1.2200000000000001E-2</v>
      </c>
      <c r="W95" s="146">
        <v>2.41E-2</v>
      </c>
      <c r="X95" s="143" t="s">
        <v>412</v>
      </c>
      <c r="Y95" s="145" t="s">
        <v>3853</v>
      </c>
      <c r="Z95" s="144">
        <v>7500</v>
      </c>
      <c r="AA95" s="145" t="s">
        <v>3853</v>
      </c>
      <c r="AB95" s="143" t="s">
        <v>1480</v>
      </c>
      <c r="AC95" s="145" t="s">
        <v>3853</v>
      </c>
      <c r="AD95" s="144">
        <v>8.3640000000000008</v>
      </c>
      <c r="AE95" s="145" t="s">
        <v>3853</v>
      </c>
      <c r="AF95" s="145" t="s">
        <v>3853</v>
      </c>
      <c r="AG95" s="145" t="s">
        <v>3853</v>
      </c>
      <c r="AH95" s="146">
        <v>2.4870573535322184E-6</v>
      </c>
      <c r="AI95" s="146">
        <v>2.6568429846147355E-2</v>
      </c>
      <c r="AJ95" s="147">
        <v>2.468638344744725E-3</v>
      </c>
      <c r="AK95" s="181"/>
    </row>
    <row r="96" spans="1:37" ht="15" x14ac:dyDescent="0.2">
      <c r="A96" s="142" t="s">
        <v>1205</v>
      </c>
      <c r="B96" s="143" t="s">
        <v>1213</v>
      </c>
      <c r="C96" s="143" t="s">
        <v>1349</v>
      </c>
      <c r="D96" s="143" t="s">
        <v>1350</v>
      </c>
      <c r="E96" s="143" t="s">
        <v>309</v>
      </c>
      <c r="F96" s="143" t="s">
        <v>1593</v>
      </c>
      <c r="G96" s="143" t="s">
        <v>1594</v>
      </c>
      <c r="H96" s="143" t="s">
        <v>321</v>
      </c>
      <c r="I96" s="143" t="s">
        <v>754</v>
      </c>
      <c r="J96" s="143" t="s">
        <v>204</v>
      </c>
      <c r="K96" s="143" t="s">
        <v>204</v>
      </c>
      <c r="L96" s="143" t="s">
        <v>325</v>
      </c>
      <c r="M96" s="143" t="s">
        <v>340</v>
      </c>
      <c r="N96" s="143" t="s">
        <v>448</v>
      </c>
      <c r="O96" s="143" t="s">
        <v>339</v>
      </c>
      <c r="P96" s="143" t="s">
        <v>1222</v>
      </c>
      <c r="Q96" s="143" t="s">
        <v>413</v>
      </c>
      <c r="R96" s="143" t="s">
        <v>407</v>
      </c>
      <c r="S96" s="143" t="s">
        <v>1210</v>
      </c>
      <c r="T96" s="144">
        <v>4.63</v>
      </c>
      <c r="U96" s="143" t="s">
        <v>1595</v>
      </c>
      <c r="V96" s="146">
        <v>1.9900000000000001E-2</v>
      </c>
      <c r="W96" s="146">
        <v>2.5776E-2</v>
      </c>
      <c r="X96" s="143" t="s">
        <v>412</v>
      </c>
      <c r="Y96" s="145" t="s">
        <v>3853</v>
      </c>
      <c r="Z96" s="144">
        <v>7000</v>
      </c>
      <c r="AA96" s="145" t="s">
        <v>3853</v>
      </c>
      <c r="AB96" s="143" t="s">
        <v>1596</v>
      </c>
      <c r="AC96" s="145" t="s">
        <v>3853</v>
      </c>
      <c r="AD96" s="144">
        <v>7.0161000000000007</v>
      </c>
      <c r="AE96" s="145" t="s">
        <v>3853</v>
      </c>
      <c r="AF96" s="145" t="s">
        <v>3853</v>
      </c>
      <c r="AG96" s="145" t="s">
        <v>3853</v>
      </c>
      <c r="AH96" s="146">
        <v>2.5925925925925925E-6</v>
      </c>
      <c r="AI96" s="146">
        <v>2.2286795868430711E-2</v>
      </c>
      <c r="AJ96" s="147">
        <v>2.0708050562605767E-3</v>
      </c>
      <c r="AK96" s="181"/>
    </row>
    <row r="97" spans="1:37" ht="15" x14ac:dyDescent="0.2">
      <c r="A97" s="142" t="s">
        <v>1205</v>
      </c>
      <c r="B97" s="143" t="s">
        <v>1213</v>
      </c>
      <c r="C97" s="143" t="s">
        <v>1481</v>
      </c>
      <c r="D97" s="143" t="s">
        <v>1482</v>
      </c>
      <c r="E97" s="143" t="s">
        <v>309</v>
      </c>
      <c r="F97" s="143" t="s">
        <v>1522</v>
      </c>
      <c r="G97" s="143" t="s">
        <v>1523</v>
      </c>
      <c r="H97" s="143" t="s">
        <v>321</v>
      </c>
      <c r="I97" s="143" t="s">
        <v>754</v>
      </c>
      <c r="J97" s="143" t="s">
        <v>204</v>
      </c>
      <c r="K97" s="143" t="s">
        <v>204</v>
      </c>
      <c r="L97" s="143" t="s">
        <v>325</v>
      </c>
      <c r="M97" s="143" t="s">
        <v>340</v>
      </c>
      <c r="N97" s="143" t="s">
        <v>448</v>
      </c>
      <c r="O97" s="143" t="s">
        <v>339</v>
      </c>
      <c r="P97" s="143" t="s">
        <v>1222</v>
      </c>
      <c r="Q97" s="143" t="s">
        <v>413</v>
      </c>
      <c r="R97" s="143" t="s">
        <v>407</v>
      </c>
      <c r="S97" s="143" t="s">
        <v>1210</v>
      </c>
      <c r="T97" s="144">
        <v>5.29</v>
      </c>
      <c r="U97" s="143" t="s">
        <v>1524</v>
      </c>
      <c r="V97" s="146">
        <v>2.0251999999999999E-2</v>
      </c>
      <c r="W97" s="146">
        <v>2.5944999999999999E-2</v>
      </c>
      <c r="X97" s="143" t="s">
        <v>412</v>
      </c>
      <c r="Y97" s="145" t="s">
        <v>3853</v>
      </c>
      <c r="Z97" s="144">
        <v>7000</v>
      </c>
      <c r="AA97" s="145" t="s">
        <v>3853</v>
      </c>
      <c r="AB97" s="143" t="s">
        <v>1525</v>
      </c>
      <c r="AC97" s="145" t="s">
        <v>3853</v>
      </c>
      <c r="AD97" s="144">
        <v>6.9391000000000007</v>
      </c>
      <c r="AE97" s="145" t="s">
        <v>3853</v>
      </c>
      <c r="AF97" s="145" t="s">
        <v>3853</v>
      </c>
      <c r="AG97" s="145" t="s">
        <v>3853</v>
      </c>
      <c r="AH97" s="146">
        <v>3.2976527307862262E-6</v>
      </c>
      <c r="AI97" s="146">
        <v>2.2042203675920746E-2</v>
      </c>
      <c r="AJ97" s="147">
        <v>2.0480784717860018E-3</v>
      </c>
      <c r="AK97" s="181"/>
    </row>
    <row r="98" spans="1:37" ht="15" x14ac:dyDescent="0.2">
      <c r="A98" s="142" t="s">
        <v>1205</v>
      </c>
      <c r="B98" s="143" t="s">
        <v>1213</v>
      </c>
      <c r="C98" s="143" t="s">
        <v>1355</v>
      </c>
      <c r="D98" s="143" t="s">
        <v>1356</v>
      </c>
      <c r="E98" s="143" t="s">
        <v>309</v>
      </c>
      <c r="F98" s="143" t="s">
        <v>1597</v>
      </c>
      <c r="G98" s="143" t="s">
        <v>1598</v>
      </c>
      <c r="H98" s="143" t="s">
        <v>321</v>
      </c>
      <c r="I98" s="143" t="s">
        <v>754</v>
      </c>
      <c r="J98" s="143" t="s">
        <v>204</v>
      </c>
      <c r="K98" s="143" t="s">
        <v>204</v>
      </c>
      <c r="L98" s="143" t="s">
        <v>325</v>
      </c>
      <c r="M98" s="143" t="s">
        <v>340</v>
      </c>
      <c r="N98" s="143" t="s">
        <v>445</v>
      </c>
      <c r="O98" s="143" t="s">
        <v>339</v>
      </c>
      <c r="P98" s="143" t="s">
        <v>1359</v>
      </c>
      <c r="Q98" s="143" t="s">
        <v>415</v>
      </c>
      <c r="R98" s="143" t="s">
        <v>407</v>
      </c>
      <c r="S98" s="143" t="s">
        <v>1210</v>
      </c>
      <c r="T98" s="144">
        <v>5.24</v>
      </c>
      <c r="U98" s="143" t="s">
        <v>1599</v>
      </c>
      <c r="V98" s="146">
        <v>4.6899999999999997E-2</v>
      </c>
      <c r="W98" s="146">
        <v>5.7537999999999999E-2</v>
      </c>
      <c r="X98" s="143" t="s">
        <v>412</v>
      </c>
      <c r="Y98" s="145" t="s">
        <v>3853</v>
      </c>
      <c r="Z98" s="144">
        <v>7000</v>
      </c>
      <c r="AA98" s="145" t="s">
        <v>3853</v>
      </c>
      <c r="AB98" s="143" t="s">
        <v>1600</v>
      </c>
      <c r="AC98" s="145" t="s">
        <v>3853</v>
      </c>
      <c r="AD98" s="144">
        <v>6.6668000000000003</v>
      </c>
      <c r="AE98" s="145" t="s">
        <v>3853</v>
      </c>
      <c r="AF98" s="145" t="s">
        <v>3853</v>
      </c>
      <c r="AG98" s="145" t="s">
        <v>3853</v>
      </c>
      <c r="AH98" s="146">
        <v>1.4E-5</v>
      </c>
      <c r="AI98" s="146">
        <v>2.1177236740590053E-2</v>
      </c>
      <c r="AJ98" s="147">
        <v>1.9677090048713691E-3</v>
      </c>
      <c r="AK98" s="181"/>
    </row>
    <row r="99" spans="1:37" ht="15" x14ac:dyDescent="0.2">
      <c r="A99" s="142" t="s">
        <v>1205</v>
      </c>
      <c r="B99" s="143" t="s">
        <v>1213</v>
      </c>
      <c r="C99" s="143" t="s">
        <v>1720</v>
      </c>
      <c r="D99" s="143" t="s">
        <v>1721</v>
      </c>
      <c r="E99" s="143" t="s">
        <v>309</v>
      </c>
      <c r="F99" s="143" t="s">
        <v>1733</v>
      </c>
      <c r="G99" s="143" t="s">
        <v>1734</v>
      </c>
      <c r="H99" s="143" t="s">
        <v>321</v>
      </c>
      <c r="I99" s="143" t="s">
        <v>754</v>
      </c>
      <c r="J99" s="143" t="s">
        <v>204</v>
      </c>
      <c r="K99" s="143" t="s">
        <v>204</v>
      </c>
      <c r="L99" s="143" t="s">
        <v>325</v>
      </c>
      <c r="M99" s="143" t="s">
        <v>340</v>
      </c>
      <c r="N99" s="143" t="s">
        <v>464</v>
      </c>
      <c r="O99" s="143" t="s">
        <v>339</v>
      </c>
      <c r="P99" s="143" t="s">
        <v>1735</v>
      </c>
      <c r="Q99" s="143" t="s">
        <v>413</v>
      </c>
      <c r="R99" s="143" t="s">
        <v>407</v>
      </c>
      <c r="S99" s="143" t="s">
        <v>1210</v>
      </c>
      <c r="T99" s="144">
        <v>10.57</v>
      </c>
      <c r="U99" s="143" t="s">
        <v>1736</v>
      </c>
      <c r="V99" s="146">
        <v>1.6899999999999998E-2</v>
      </c>
      <c r="W99" s="146">
        <v>3.8008E-2</v>
      </c>
      <c r="X99" s="143" t="s">
        <v>412</v>
      </c>
      <c r="Y99" s="145" t="s">
        <v>3853</v>
      </c>
      <c r="Z99" s="144">
        <v>6754</v>
      </c>
      <c r="AA99" s="145" t="s">
        <v>3853</v>
      </c>
      <c r="AB99" s="143" t="s">
        <v>1737</v>
      </c>
      <c r="AC99" s="144">
        <v>6.3799999999999996E-2</v>
      </c>
      <c r="AD99" s="144">
        <v>6.1288999999999998</v>
      </c>
      <c r="AE99" s="145" t="s">
        <v>3853</v>
      </c>
      <c r="AF99" s="145" t="s">
        <v>3853</v>
      </c>
      <c r="AG99" s="145" t="s">
        <v>3853</v>
      </c>
      <c r="AH99" s="146">
        <v>1.5480316115664595E-6</v>
      </c>
      <c r="AI99" s="146">
        <v>1.9671476379147016E-2</v>
      </c>
      <c r="AJ99" s="147">
        <v>1.827799428438723E-3</v>
      </c>
      <c r="AK99" s="181"/>
    </row>
    <row r="100" spans="1:37" ht="15" x14ac:dyDescent="0.2">
      <c r="A100" s="142" t="s">
        <v>1205</v>
      </c>
      <c r="B100" s="143" t="s">
        <v>1213</v>
      </c>
      <c r="C100" s="143" t="s">
        <v>1720</v>
      </c>
      <c r="D100" s="143" t="s">
        <v>1721</v>
      </c>
      <c r="E100" s="143" t="s">
        <v>309</v>
      </c>
      <c r="F100" s="143" t="s">
        <v>1738</v>
      </c>
      <c r="G100" s="143" t="s">
        <v>1739</v>
      </c>
      <c r="H100" s="143" t="s">
        <v>321</v>
      </c>
      <c r="I100" s="143" t="s">
        <v>754</v>
      </c>
      <c r="J100" s="143" t="s">
        <v>204</v>
      </c>
      <c r="K100" s="143" t="s">
        <v>204</v>
      </c>
      <c r="L100" s="143" t="s">
        <v>325</v>
      </c>
      <c r="M100" s="143" t="s">
        <v>340</v>
      </c>
      <c r="N100" s="143" t="s">
        <v>464</v>
      </c>
      <c r="O100" s="143" t="s">
        <v>339</v>
      </c>
      <c r="P100" s="143" t="s">
        <v>1530</v>
      </c>
      <c r="Q100" s="143" t="s">
        <v>415</v>
      </c>
      <c r="R100" s="143" t="s">
        <v>407</v>
      </c>
      <c r="S100" s="143" t="s">
        <v>1210</v>
      </c>
      <c r="T100" s="144">
        <v>3.14</v>
      </c>
      <c r="U100" s="143" t="s">
        <v>1704</v>
      </c>
      <c r="V100" s="146">
        <v>1.34E-2</v>
      </c>
      <c r="W100" s="146">
        <v>2.7778000000000001E-2</v>
      </c>
      <c r="X100" s="143" t="s">
        <v>412</v>
      </c>
      <c r="Y100" s="145" t="s">
        <v>3853</v>
      </c>
      <c r="Z100" s="144">
        <v>4992.67</v>
      </c>
      <c r="AA100" s="145" t="s">
        <v>3853</v>
      </c>
      <c r="AB100" s="143" t="s">
        <v>1740</v>
      </c>
      <c r="AC100" s="144">
        <v>0.5202</v>
      </c>
      <c r="AD100" s="144">
        <v>6.0121000000000002</v>
      </c>
      <c r="AE100" s="145" t="s">
        <v>3853</v>
      </c>
      <c r="AF100" s="145" t="s">
        <v>3853</v>
      </c>
      <c r="AG100" s="145" t="s">
        <v>3853</v>
      </c>
      <c r="AH100" s="146">
        <v>1.8835540183249935E-6</v>
      </c>
      <c r="AI100" s="146">
        <v>2.075011206550606E-2</v>
      </c>
      <c r="AJ100" s="147">
        <v>1.9280221902193595E-3</v>
      </c>
      <c r="AK100" s="181"/>
    </row>
    <row r="101" spans="1:37" ht="15" x14ac:dyDescent="0.2">
      <c r="A101" s="142" t="s">
        <v>1205</v>
      </c>
      <c r="B101" s="143" t="s">
        <v>1213</v>
      </c>
      <c r="C101" s="143" t="s">
        <v>1526</v>
      </c>
      <c r="D101" s="143" t="s">
        <v>1527</v>
      </c>
      <c r="E101" s="143" t="s">
        <v>313</v>
      </c>
      <c r="F101" s="143" t="s">
        <v>1546</v>
      </c>
      <c r="G101" s="143" t="s">
        <v>1547</v>
      </c>
      <c r="H101" s="143" t="s">
        <v>321</v>
      </c>
      <c r="I101" s="143" t="s">
        <v>754</v>
      </c>
      <c r="J101" s="143" t="s">
        <v>204</v>
      </c>
      <c r="K101" s="143" t="s">
        <v>204</v>
      </c>
      <c r="L101" s="143" t="s">
        <v>325</v>
      </c>
      <c r="M101" s="143" t="s">
        <v>340</v>
      </c>
      <c r="N101" s="143" t="s">
        <v>440</v>
      </c>
      <c r="O101" s="143" t="s">
        <v>339</v>
      </c>
      <c r="P101" s="143" t="s">
        <v>1530</v>
      </c>
      <c r="Q101" s="143" t="s">
        <v>415</v>
      </c>
      <c r="R101" s="143" t="s">
        <v>407</v>
      </c>
      <c r="S101" s="143" t="s">
        <v>1210</v>
      </c>
      <c r="T101" s="144">
        <v>1.1299999999999999</v>
      </c>
      <c r="U101" s="143" t="s">
        <v>1548</v>
      </c>
      <c r="V101" s="146">
        <v>4.4999999999999998E-2</v>
      </c>
      <c r="W101" s="146">
        <v>2.6681E-2</v>
      </c>
      <c r="X101" s="143" t="s">
        <v>412</v>
      </c>
      <c r="Y101" s="145" t="s">
        <v>3853</v>
      </c>
      <c r="Z101" s="144">
        <v>4356</v>
      </c>
      <c r="AA101" s="145" t="s">
        <v>3853</v>
      </c>
      <c r="AB101" s="143" t="s">
        <v>1549</v>
      </c>
      <c r="AC101" s="145" t="s">
        <v>3853</v>
      </c>
      <c r="AD101" s="144">
        <v>5.1962999999999999</v>
      </c>
      <c r="AE101" s="145" t="s">
        <v>3853</v>
      </c>
      <c r="AF101" s="145" t="s">
        <v>3853</v>
      </c>
      <c r="AG101" s="145" t="s">
        <v>3853</v>
      </c>
      <c r="AH101" s="146">
        <v>1.473810312090042E-6</v>
      </c>
      <c r="AI101" s="146">
        <v>1.6506073496039185E-2</v>
      </c>
      <c r="AJ101" s="147">
        <v>1.5336821253441773E-3</v>
      </c>
      <c r="AK101" s="181"/>
    </row>
    <row r="102" spans="1:37" ht="15" x14ac:dyDescent="0.2">
      <c r="A102" s="142" t="s">
        <v>1205</v>
      </c>
      <c r="B102" s="143" t="s">
        <v>1213</v>
      </c>
      <c r="C102" s="143" t="s">
        <v>1526</v>
      </c>
      <c r="D102" s="143" t="s">
        <v>1527</v>
      </c>
      <c r="E102" s="143" t="s">
        <v>313</v>
      </c>
      <c r="F102" s="143" t="s">
        <v>1528</v>
      </c>
      <c r="G102" s="143" t="s">
        <v>1529</v>
      </c>
      <c r="H102" s="143" t="s">
        <v>321</v>
      </c>
      <c r="I102" s="143" t="s">
        <v>754</v>
      </c>
      <c r="J102" s="143" t="s">
        <v>204</v>
      </c>
      <c r="K102" s="143" t="s">
        <v>204</v>
      </c>
      <c r="L102" s="143" t="s">
        <v>325</v>
      </c>
      <c r="M102" s="143" t="s">
        <v>340</v>
      </c>
      <c r="N102" s="143" t="s">
        <v>440</v>
      </c>
      <c r="O102" s="143" t="s">
        <v>339</v>
      </c>
      <c r="P102" s="143" t="s">
        <v>1530</v>
      </c>
      <c r="Q102" s="143" t="s">
        <v>415</v>
      </c>
      <c r="R102" s="143" t="s">
        <v>407</v>
      </c>
      <c r="S102" s="143" t="s">
        <v>1210</v>
      </c>
      <c r="T102" s="144">
        <v>10.64</v>
      </c>
      <c r="U102" s="143" t="s">
        <v>1531</v>
      </c>
      <c r="V102" s="146">
        <v>3.2000000000000001E-2</v>
      </c>
      <c r="W102" s="146">
        <v>3.5250999999999998E-2</v>
      </c>
      <c r="X102" s="143" t="s">
        <v>412</v>
      </c>
      <c r="Y102" s="145" t="s">
        <v>3853</v>
      </c>
      <c r="Z102" s="144">
        <v>5100</v>
      </c>
      <c r="AA102" s="145" t="s">
        <v>3853</v>
      </c>
      <c r="AB102" s="143" t="s">
        <v>1532</v>
      </c>
      <c r="AC102" s="145" t="s">
        <v>3853</v>
      </c>
      <c r="AD102" s="144">
        <v>5.0999999999999996</v>
      </c>
      <c r="AE102" s="145" t="s">
        <v>3853</v>
      </c>
      <c r="AF102" s="145" t="s">
        <v>3853</v>
      </c>
      <c r="AG102" s="145" t="s">
        <v>3853</v>
      </c>
      <c r="AH102" s="146">
        <v>1.6340005395405704E-6</v>
      </c>
      <c r="AI102" s="146">
        <v>1.6200262101309364E-2</v>
      </c>
      <c r="AJ102" s="147">
        <v>1.5052672833809299E-3</v>
      </c>
      <c r="AK102" s="181"/>
    </row>
    <row r="103" spans="1:37" ht="15" x14ac:dyDescent="0.2">
      <c r="A103" s="142" t="s">
        <v>1205</v>
      </c>
      <c r="B103" s="143" t="s">
        <v>1213</v>
      </c>
      <c r="C103" s="143" t="s">
        <v>1424</v>
      </c>
      <c r="D103" s="143" t="s">
        <v>1425</v>
      </c>
      <c r="E103" s="143" t="s">
        <v>309</v>
      </c>
      <c r="F103" s="143" t="s">
        <v>1741</v>
      </c>
      <c r="G103" s="143" t="s">
        <v>1742</v>
      </c>
      <c r="H103" s="143" t="s">
        <v>321</v>
      </c>
      <c r="I103" s="143" t="s">
        <v>754</v>
      </c>
      <c r="J103" s="143" t="s">
        <v>204</v>
      </c>
      <c r="K103" s="143" t="s">
        <v>204</v>
      </c>
      <c r="L103" s="143" t="s">
        <v>325</v>
      </c>
      <c r="M103" s="143" t="s">
        <v>340</v>
      </c>
      <c r="N103" s="143" t="s">
        <v>445</v>
      </c>
      <c r="O103" s="143" t="s">
        <v>339</v>
      </c>
      <c r="P103" s="143" t="s">
        <v>1359</v>
      </c>
      <c r="Q103" s="143" t="s">
        <v>415</v>
      </c>
      <c r="R103" s="143" t="s">
        <v>407</v>
      </c>
      <c r="S103" s="143" t="s">
        <v>1210</v>
      </c>
      <c r="T103" s="144">
        <v>2.44</v>
      </c>
      <c r="U103" s="143" t="s">
        <v>1514</v>
      </c>
      <c r="V103" s="146">
        <v>2.4E-2</v>
      </c>
      <c r="W103" s="146">
        <v>2.2946000000000001E-2</v>
      </c>
      <c r="X103" s="143" t="s">
        <v>412</v>
      </c>
      <c r="Y103" s="145" t="s">
        <v>3853</v>
      </c>
      <c r="Z103" s="144">
        <v>3970.18</v>
      </c>
      <c r="AA103" s="145" t="s">
        <v>3853</v>
      </c>
      <c r="AB103" s="143" t="s">
        <v>1743</v>
      </c>
      <c r="AC103" s="145" t="s">
        <v>3853</v>
      </c>
      <c r="AD103" s="144">
        <v>4.5199999999999996</v>
      </c>
      <c r="AE103" s="145" t="s">
        <v>3853</v>
      </c>
      <c r="AF103" s="145" t="s">
        <v>3853</v>
      </c>
      <c r="AG103" s="145" t="s">
        <v>3853</v>
      </c>
      <c r="AH103" s="146">
        <v>1.3449499535815127E-5</v>
      </c>
      <c r="AI103" s="146">
        <v>1.4358037956275499E-2</v>
      </c>
      <c r="AJ103" s="147">
        <v>1.334094760564169E-3</v>
      </c>
      <c r="AK103" s="181"/>
    </row>
    <row r="104" spans="1:37" ht="15" x14ac:dyDescent="0.2">
      <c r="A104" s="142" t="s">
        <v>1205</v>
      </c>
      <c r="B104" s="143" t="s">
        <v>1213</v>
      </c>
      <c r="C104" s="143" t="s">
        <v>1568</v>
      </c>
      <c r="D104" s="143" t="s">
        <v>1569</v>
      </c>
      <c r="E104" s="143" t="s">
        <v>309</v>
      </c>
      <c r="F104" s="143" t="s">
        <v>1744</v>
      </c>
      <c r="G104" s="143" t="s">
        <v>1745</v>
      </c>
      <c r="H104" s="143" t="s">
        <v>321</v>
      </c>
      <c r="I104" s="143" t="s">
        <v>754</v>
      </c>
      <c r="J104" s="143" t="s">
        <v>204</v>
      </c>
      <c r="K104" s="143" t="s">
        <v>204</v>
      </c>
      <c r="L104" s="143" t="s">
        <v>325</v>
      </c>
      <c r="M104" s="143" t="s">
        <v>340</v>
      </c>
      <c r="N104" s="143" t="s">
        <v>448</v>
      </c>
      <c r="O104" s="143" t="s">
        <v>339</v>
      </c>
      <c r="P104" s="143" t="s">
        <v>1222</v>
      </c>
      <c r="Q104" s="143" t="s">
        <v>413</v>
      </c>
      <c r="R104" s="143" t="s">
        <v>407</v>
      </c>
      <c r="S104" s="143" t="s">
        <v>1210</v>
      </c>
      <c r="T104" s="144">
        <v>2.29</v>
      </c>
      <c r="U104" s="143" t="s">
        <v>1746</v>
      </c>
      <c r="V104" s="146">
        <v>6.0000000000000001E-3</v>
      </c>
      <c r="W104" s="146">
        <v>2.1609E-2</v>
      </c>
      <c r="X104" s="143" t="s">
        <v>412</v>
      </c>
      <c r="Y104" s="145" t="s">
        <v>3853</v>
      </c>
      <c r="Z104" s="144">
        <v>3968</v>
      </c>
      <c r="AA104" s="145" t="s">
        <v>3853</v>
      </c>
      <c r="AB104" s="143" t="s">
        <v>1747</v>
      </c>
      <c r="AC104" s="145" t="s">
        <v>3853</v>
      </c>
      <c r="AD104" s="144">
        <v>4.3917999999999999</v>
      </c>
      <c r="AE104" s="145" t="s">
        <v>3853</v>
      </c>
      <c r="AF104" s="145" t="s">
        <v>3853</v>
      </c>
      <c r="AG104" s="145" t="s">
        <v>3853</v>
      </c>
      <c r="AH104" s="146">
        <v>4.4601408631181869E-6</v>
      </c>
      <c r="AI104" s="146">
        <v>1.3950593327826957E-2</v>
      </c>
      <c r="AJ104" s="147">
        <v>1.296236541656506E-3</v>
      </c>
      <c r="AK104" s="181"/>
    </row>
    <row r="105" spans="1:37" ht="15" x14ac:dyDescent="0.2">
      <c r="A105" s="142" t="s">
        <v>1205</v>
      </c>
      <c r="B105" s="143" t="s">
        <v>1213</v>
      </c>
      <c r="C105" s="143" t="s">
        <v>1550</v>
      </c>
      <c r="D105" s="143" t="s">
        <v>1551</v>
      </c>
      <c r="E105" s="143" t="s">
        <v>309</v>
      </c>
      <c r="F105" s="143" t="s">
        <v>1552</v>
      </c>
      <c r="G105" s="143" t="s">
        <v>1553</v>
      </c>
      <c r="H105" s="143" t="s">
        <v>321</v>
      </c>
      <c r="I105" s="143" t="s">
        <v>754</v>
      </c>
      <c r="J105" s="143" t="s">
        <v>204</v>
      </c>
      <c r="K105" s="143" t="s">
        <v>204</v>
      </c>
      <c r="L105" s="143" t="s">
        <v>325</v>
      </c>
      <c r="M105" s="143" t="s">
        <v>340</v>
      </c>
      <c r="N105" s="143" t="s">
        <v>465</v>
      </c>
      <c r="O105" s="143" t="s">
        <v>339</v>
      </c>
      <c r="P105" s="143" t="s">
        <v>1440</v>
      </c>
      <c r="Q105" s="143" t="s">
        <v>415</v>
      </c>
      <c r="R105" s="143" t="s">
        <v>407</v>
      </c>
      <c r="S105" s="143" t="s">
        <v>1210</v>
      </c>
      <c r="T105" s="144">
        <v>1.71</v>
      </c>
      <c r="U105" s="143" t="s">
        <v>1554</v>
      </c>
      <c r="V105" s="146">
        <v>2.5700000000000001E-2</v>
      </c>
      <c r="W105" s="146">
        <v>3.3569000000000002E-2</v>
      </c>
      <c r="X105" s="143" t="s">
        <v>412</v>
      </c>
      <c r="Y105" s="145" t="s">
        <v>3853</v>
      </c>
      <c r="Z105" s="144">
        <v>3400</v>
      </c>
      <c r="AA105" s="145" t="s">
        <v>3853</v>
      </c>
      <c r="AB105" s="143" t="s">
        <v>1555</v>
      </c>
      <c r="AC105" s="145" t="s">
        <v>3853</v>
      </c>
      <c r="AD105" s="144">
        <v>3.8660999999999999</v>
      </c>
      <c r="AE105" s="145" t="s">
        <v>3853</v>
      </c>
      <c r="AF105" s="145" t="s">
        <v>3853</v>
      </c>
      <c r="AG105" s="145" t="s">
        <v>3853</v>
      </c>
      <c r="AH105" s="146">
        <v>2.6512501151149406E-6</v>
      </c>
      <c r="AI105" s="146">
        <v>1.2280878690265918E-2</v>
      </c>
      <c r="AJ105" s="147">
        <v>1.1410929519549702E-3</v>
      </c>
      <c r="AK105" s="181"/>
    </row>
    <row r="106" spans="1:37" ht="15" x14ac:dyDescent="0.2">
      <c r="A106" s="142" t="s">
        <v>1205</v>
      </c>
      <c r="B106" s="143" t="s">
        <v>1213</v>
      </c>
      <c r="C106" s="143" t="s">
        <v>1349</v>
      </c>
      <c r="D106" s="143" t="s">
        <v>1350</v>
      </c>
      <c r="E106" s="143" t="s">
        <v>309</v>
      </c>
      <c r="F106" s="143" t="s">
        <v>1650</v>
      </c>
      <c r="G106" s="143" t="s">
        <v>1651</v>
      </c>
      <c r="H106" s="143" t="s">
        <v>321</v>
      </c>
      <c r="I106" s="143" t="s">
        <v>754</v>
      </c>
      <c r="J106" s="143" t="s">
        <v>204</v>
      </c>
      <c r="K106" s="143" t="s">
        <v>204</v>
      </c>
      <c r="L106" s="143" t="s">
        <v>325</v>
      </c>
      <c r="M106" s="143" t="s">
        <v>340</v>
      </c>
      <c r="N106" s="143" t="s">
        <v>448</v>
      </c>
      <c r="O106" s="143" t="s">
        <v>339</v>
      </c>
      <c r="P106" s="143" t="s">
        <v>1209</v>
      </c>
      <c r="Q106" s="143" t="s">
        <v>415</v>
      </c>
      <c r="R106" s="143" t="s">
        <v>407</v>
      </c>
      <c r="S106" s="143" t="s">
        <v>1210</v>
      </c>
      <c r="T106" s="144">
        <v>2.41</v>
      </c>
      <c r="U106" s="143" t="s">
        <v>1652</v>
      </c>
      <c r="V106" s="146">
        <v>5.0000000000000001E-3</v>
      </c>
      <c r="W106" s="146">
        <v>2.1951999999999999E-2</v>
      </c>
      <c r="X106" s="143" t="s">
        <v>412</v>
      </c>
      <c r="Y106" s="145" t="s">
        <v>3853</v>
      </c>
      <c r="Z106" s="144">
        <v>3498</v>
      </c>
      <c r="AA106" s="145" t="s">
        <v>3853</v>
      </c>
      <c r="AB106" s="143" t="s">
        <v>1653</v>
      </c>
      <c r="AC106" s="145" t="s">
        <v>3853</v>
      </c>
      <c r="AD106" s="144">
        <v>3.7875999999999999</v>
      </c>
      <c r="AE106" s="145" t="s">
        <v>3853</v>
      </c>
      <c r="AF106" s="145" t="s">
        <v>3853</v>
      </c>
      <c r="AG106" s="145" t="s">
        <v>3853</v>
      </c>
      <c r="AH106" s="146">
        <v>4.5830921024726831E-6</v>
      </c>
      <c r="AI106" s="146">
        <v>1.2031503926261889E-2</v>
      </c>
      <c r="AJ106" s="147">
        <v>1.1179219889663056E-3</v>
      </c>
      <c r="AK106" s="181"/>
    </row>
    <row r="107" spans="1:37" ht="15" x14ac:dyDescent="0.2">
      <c r="A107" s="142" t="s">
        <v>1205</v>
      </c>
      <c r="B107" s="143" t="s">
        <v>1213</v>
      </c>
      <c r="C107" s="143" t="s">
        <v>1748</v>
      </c>
      <c r="D107" s="143" t="s">
        <v>1749</v>
      </c>
      <c r="E107" s="143" t="s">
        <v>309</v>
      </c>
      <c r="F107" s="143" t="s">
        <v>1750</v>
      </c>
      <c r="G107" s="143" t="s">
        <v>1751</v>
      </c>
      <c r="H107" s="143" t="s">
        <v>321</v>
      </c>
      <c r="I107" s="143" t="s">
        <v>754</v>
      </c>
      <c r="J107" s="143" t="s">
        <v>204</v>
      </c>
      <c r="K107" s="143" t="s">
        <v>204</v>
      </c>
      <c r="L107" s="143" t="s">
        <v>325</v>
      </c>
      <c r="M107" s="143" t="s">
        <v>340</v>
      </c>
      <c r="N107" s="143" t="s">
        <v>440</v>
      </c>
      <c r="O107" s="143" t="s">
        <v>339</v>
      </c>
      <c r="P107" s="143" t="s">
        <v>1402</v>
      </c>
      <c r="Q107" s="143" t="s">
        <v>415</v>
      </c>
      <c r="R107" s="143" t="s">
        <v>407</v>
      </c>
      <c r="S107" s="143" t="s">
        <v>1210</v>
      </c>
      <c r="T107" s="144">
        <v>3.69</v>
      </c>
      <c r="U107" s="143" t="s">
        <v>1615</v>
      </c>
      <c r="V107" s="146">
        <v>1.7999999999999999E-2</v>
      </c>
      <c r="W107" s="146">
        <v>3.5799999999999998E-2</v>
      </c>
      <c r="X107" s="143" t="s">
        <v>412</v>
      </c>
      <c r="Y107" s="145" t="s">
        <v>3853</v>
      </c>
      <c r="Z107" s="144">
        <v>3160</v>
      </c>
      <c r="AA107" s="145" t="s">
        <v>3853</v>
      </c>
      <c r="AB107" s="143" t="s">
        <v>1752</v>
      </c>
      <c r="AC107" s="145" t="s">
        <v>3853</v>
      </c>
      <c r="AD107" s="144">
        <v>3.3793000000000002</v>
      </c>
      <c r="AE107" s="145" t="s">
        <v>3853</v>
      </c>
      <c r="AF107" s="145" t="s">
        <v>3853</v>
      </c>
      <c r="AG107" s="145" t="s">
        <v>3853</v>
      </c>
      <c r="AH107" s="146">
        <v>3.1760221583829485E-6</v>
      </c>
      <c r="AI107" s="146">
        <v>1.0734433435294732E-2</v>
      </c>
      <c r="AJ107" s="147">
        <v>9.9740308858790394E-4</v>
      </c>
      <c r="AK107" s="181"/>
    </row>
    <row r="108" spans="1:37" ht="15" x14ac:dyDescent="0.2">
      <c r="A108" s="142" t="s">
        <v>1205</v>
      </c>
      <c r="B108" s="143" t="s">
        <v>1213</v>
      </c>
      <c r="C108" s="143" t="s">
        <v>1481</v>
      </c>
      <c r="D108" s="143" t="s">
        <v>1482</v>
      </c>
      <c r="E108" s="143" t="s">
        <v>309</v>
      </c>
      <c r="F108" s="143" t="s">
        <v>1590</v>
      </c>
      <c r="G108" s="143" t="s">
        <v>1591</v>
      </c>
      <c r="H108" s="143" t="s">
        <v>321</v>
      </c>
      <c r="I108" s="143" t="s">
        <v>754</v>
      </c>
      <c r="J108" s="143" t="s">
        <v>204</v>
      </c>
      <c r="K108" s="143" t="s">
        <v>204</v>
      </c>
      <c r="L108" s="143" t="s">
        <v>325</v>
      </c>
      <c r="M108" s="143" t="s">
        <v>340</v>
      </c>
      <c r="N108" s="143" t="s">
        <v>448</v>
      </c>
      <c r="O108" s="143" t="s">
        <v>339</v>
      </c>
      <c r="P108" s="143" t="s">
        <v>1222</v>
      </c>
      <c r="Q108" s="143" t="s">
        <v>413</v>
      </c>
      <c r="R108" s="143" t="s">
        <v>407</v>
      </c>
      <c r="S108" s="143" t="s">
        <v>1210</v>
      </c>
      <c r="T108" s="144">
        <v>1.99</v>
      </c>
      <c r="U108" s="143" t="s">
        <v>1416</v>
      </c>
      <c r="V108" s="146">
        <v>8.3000000000000001E-3</v>
      </c>
      <c r="W108" s="146">
        <v>2.1007000000000001E-2</v>
      </c>
      <c r="X108" s="143" t="s">
        <v>412</v>
      </c>
      <c r="Y108" s="145" t="s">
        <v>3853</v>
      </c>
      <c r="Z108" s="144">
        <v>3036</v>
      </c>
      <c r="AA108" s="145" t="s">
        <v>3853</v>
      </c>
      <c r="AB108" s="143" t="s">
        <v>1592</v>
      </c>
      <c r="AC108" s="145" t="s">
        <v>3853</v>
      </c>
      <c r="AD108" s="144">
        <v>3.3624000000000001</v>
      </c>
      <c r="AE108" s="145" t="s">
        <v>3853</v>
      </c>
      <c r="AF108" s="145" t="s">
        <v>3853</v>
      </c>
      <c r="AG108" s="145" t="s">
        <v>3853</v>
      </c>
      <c r="AH108" s="146">
        <v>1.9961234703619059E-6</v>
      </c>
      <c r="AI108" s="146">
        <v>1.0680642212074425E-2</v>
      </c>
      <c r="AJ108" s="147">
        <v>9.9240501090618375E-4</v>
      </c>
      <c r="AK108" s="181"/>
    </row>
    <row r="109" spans="1:37" ht="15" x14ac:dyDescent="0.2">
      <c r="A109" s="142" t="s">
        <v>1205</v>
      </c>
      <c r="B109" s="143" t="s">
        <v>1213</v>
      </c>
      <c r="C109" s="143" t="s">
        <v>1753</v>
      </c>
      <c r="D109" s="143" t="s">
        <v>1754</v>
      </c>
      <c r="E109" s="143" t="s">
        <v>309</v>
      </c>
      <c r="F109" s="143" t="s">
        <v>1755</v>
      </c>
      <c r="G109" s="143" t="s">
        <v>1756</v>
      </c>
      <c r="H109" s="143" t="s">
        <v>321</v>
      </c>
      <c r="I109" s="143" t="s">
        <v>754</v>
      </c>
      <c r="J109" s="143" t="s">
        <v>204</v>
      </c>
      <c r="K109" s="143" t="s">
        <v>204</v>
      </c>
      <c r="L109" s="143" t="s">
        <v>325</v>
      </c>
      <c r="M109" s="143" t="s">
        <v>340</v>
      </c>
      <c r="N109" s="143" t="s">
        <v>464</v>
      </c>
      <c r="O109" s="143" t="s">
        <v>339</v>
      </c>
      <c r="P109" s="143" t="s">
        <v>1757</v>
      </c>
      <c r="Q109" s="143" t="s">
        <v>413</v>
      </c>
      <c r="R109" s="143" t="s">
        <v>407</v>
      </c>
      <c r="S109" s="143" t="s">
        <v>1210</v>
      </c>
      <c r="T109" s="144">
        <v>3.03</v>
      </c>
      <c r="U109" s="143" t="s">
        <v>1428</v>
      </c>
      <c r="V109" s="146">
        <v>1.7999999999999999E-2</v>
      </c>
      <c r="W109" s="146">
        <v>3.0234E-2</v>
      </c>
      <c r="X109" s="143" t="s">
        <v>412</v>
      </c>
      <c r="Y109" s="145" t="s">
        <v>3853</v>
      </c>
      <c r="Z109" s="144">
        <v>2222.4</v>
      </c>
      <c r="AA109" s="145" t="s">
        <v>3853</v>
      </c>
      <c r="AB109" s="143" t="s">
        <v>1758</v>
      </c>
      <c r="AC109" s="145" t="s">
        <v>3853</v>
      </c>
      <c r="AD109" s="144">
        <v>2.4561999999999999</v>
      </c>
      <c r="AE109" s="145" t="s">
        <v>3853</v>
      </c>
      <c r="AF109" s="145" t="s">
        <v>3853</v>
      </c>
      <c r="AG109" s="145" t="s">
        <v>3853</v>
      </c>
      <c r="AH109" s="146">
        <v>2.8177197969212135E-6</v>
      </c>
      <c r="AI109" s="146">
        <v>7.8021621075124439E-3</v>
      </c>
      <c r="AJ109" s="147">
        <v>7.2494749076458867E-4</v>
      </c>
      <c r="AK109" s="181"/>
    </row>
    <row r="110" spans="1:37" ht="15" x14ac:dyDescent="0.2">
      <c r="A110" s="142" t="s">
        <v>1205</v>
      </c>
      <c r="B110" s="143" t="s">
        <v>1213</v>
      </c>
      <c r="C110" s="143" t="s">
        <v>1349</v>
      </c>
      <c r="D110" s="143" t="s">
        <v>1350</v>
      </c>
      <c r="E110" s="143" t="s">
        <v>309</v>
      </c>
      <c r="F110" s="143" t="s">
        <v>1473</v>
      </c>
      <c r="G110" s="143" t="s">
        <v>1474</v>
      </c>
      <c r="H110" s="143" t="s">
        <v>321</v>
      </c>
      <c r="I110" s="143" t="s">
        <v>754</v>
      </c>
      <c r="J110" s="143" t="s">
        <v>204</v>
      </c>
      <c r="K110" s="143" t="s">
        <v>204</v>
      </c>
      <c r="L110" s="143" t="s">
        <v>325</v>
      </c>
      <c r="M110" s="143" t="s">
        <v>340</v>
      </c>
      <c r="N110" s="143" t="s">
        <v>448</v>
      </c>
      <c r="O110" s="143" t="s">
        <v>339</v>
      </c>
      <c r="P110" s="143" t="s">
        <v>1222</v>
      </c>
      <c r="Q110" s="143" t="s">
        <v>413</v>
      </c>
      <c r="R110" s="143" t="s">
        <v>407</v>
      </c>
      <c r="S110" s="143" t="s">
        <v>1210</v>
      </c>
      <c r="T110" s="144">
        <v>1.97</v>
      </c>
      <c r="U110" s="143" t="s">
        <v>1475</v>
      </c>
      <c r="V110" s="146">
        <v>3.8E-3</v>
      </c>
      <c r="W110" s="146">
        <v>2.2020999999999999E-2</v>
      </c>
      <c r="X110" s="143" t="s">
        <v>412</v>
      </c>
      <c r="Y110" s="145" t="s">
        <v>3853</v>
      </c>
      <c r="Z110" s="144">
        <v>2158</v>
      </c>
      <c r="AA110" s="145" t="s">
        <v>3853</v>
      </c>
      <c r="AB110" s="143" t="s">
        <v>1476</v>
      </c>
      <c r="AC110" s="145" t="s">
        <v>3853</v>
      </c>
      <c r="AD110" s="144">
        <v>2.33</v>
      </c>
      <c r="AE110" s="145" t="s">
        <v>3853</v>
      </c>
      <c r="AF110" s="145" t="s">
        <v>3853</v>
      </c>
      <c r="AG110" s="145" t="s">
        <v>3853</v>
      </c>
      <c r="AH110" s="146">
        <v>7.1933333333333334E-7</v>
      </c>
      <c r="AI110" s="146">
        <v>7.4012727086492681E-3</v>
      </c>
      <c r="AJ110" s="147">
        <v>6.8769835907836658E-4</v>
      </c>
      <c r="AK110" s="181"/>
    </row>
    <row r="111" spans="1:37" ht="15" x14ac:dyDescent="0.2">
      <c r="A111" s="142" t="s">
        <v>1205</v>
      </c>
      <c r="B111" s="143" t="s">
        <v>1213</v>
      </c>
      <c r="C111" s="143" t="s">
        <v>1533</v>
      </c>
      <c r="D111" s="143" t="s">
        <v>1534</v>
      </c>
      <c r="E111" s="143" t="s">
        <v>309</v>
      </c>
      <c r="F111" s="143" t="s">
        <v>1535</v>
      </c>
      <c r="G111" s="143" t="s">
        <v>1536</v>
      </c>
      <c r="H111" s="143" t="s">
        <v>321</v>
      </c>
      <c r="I111" s="143" t="s">
        <v>754</v>
      </c>
      <c r="J111" s="143" t="s">
        <v>204</v>
      </c>
      <c r="K111" s="143" t="s">
        <v>204</v>
      </c>
      <c r="L111" s="143" t="s">
        <v>325</v>
      </c>
      <c r="M111" s="143" t="s">
        <v>340</v>
      </c>
      <c r="N111" s="143" t="s">
        <v>464</v>
      </c>
      <c r="O111" s="143" t="s">
        <v>339</v>
      </c>
      <c r="P111" s="143" t="s">
        <v>1409</v>
      </c>
      <c r="Q111" s="143" t="s">
        <v>413</v>
      </c>
      <c r="R111" s="143" t="s">
        <v>407</v>
      </c>
      <c r="S111" s="143" t="s">
        <v>1210</v>
      </c>
      <c r="T111" s="144">
        <v>2.4300000000000002</v>
      </c>
      <c r="U111" s="143" t="s">
        <v>1299</v>
      </c>
      <c r="V111" s="146">
        <v>2.3400000000000001E-2</v>
      </c>
      <c r="W111" s="146">
        <v>2.7517E-2</v>
      </c>
      <c r="X111" s="143" t="s">
        <v>412</v>
      </c>
      <c r="Y111" s="145" t="s">
        <v>3853</v>
      </c>
      <c r="Z111" s="144">
        <v>2048.0500000000002</v>
      </c>
      <c r="AA111" s="145" t="s">
        <v>3853</v>
      </c>
      <c r="AB111" s="143" t="s">
        <v>1537</v>
      </c>
      <c r="AC111" s="145" t="s">
        <v>3853</v>
      </c>
      <c r="AD111" s="144">
        <v>2.3159000000000001</v>
      </c>
      <c r="AE111" s="145" t="s">
        <v>3853</v>
      </c>
      <c r="AF111" s="145" t="s">
        <v>3853</v>
      </c>
      <c r="AG111" s="145" t="s">
        <v>3853</v>
      </c>
      <c r="AH111" s="146">
        <v>9.7084358175215668E-7</v>
      </c>
      <c r="AI111" s="146">
        <v>7.3566182426627793E-3</v>
      </c>
      <c r="AJ111" s="147">
        <v>6.8354923443544641E-4</v>
      </c>
      <c r="AK111" s="181"/>
    </row>
    <row r="112" spans="1:37" ht="15" x14ac:dyDescent="0.2">
      <c r="A112" s="142" t="s">
        <v>1205</v>
      </c>
      <c r="B112" s="143" t="s">
        <v>1213</v>
      </c>
      <c r="C112" s="143" t="s">
        <v>1584</v>
      </c>
      <c r="D112" s="143" t="s">
        <v>1585</v>
      </c>
      <c r="E112" s="143" t="s">
        <v>309</v>
      </c>
      <c r="F112" s="143" t="s">
        <v>1586</v>
      </c>
      <c r="G112" s="143" t="s">
        <v>1587</v>
      </c>
      <c r="H112" s="143" t="s">
        <v>321</v>
      </c>
      <c r="I112" s="143" t="s">
        <v>754</v>
      </c>
      <c r="J112" s="143" t="s">
        <v>204</v>
      </c>
      <c r="K112" s="143" t="s">
        <v>204</v>
      </c>
      <c r="L112" s="143" t="s">
        <v>325</v>
      </c>
      <c r="M112" s="143" t="s">
        <v>340</v>
      </c>
      <c r="N112" s="143" t="s">
        <v>448</v>
      </c>
      <c r="O112" s="143" t="s">
        <v>339</v>
      </c>
      <c r="P112" s="143" t="s">
        <v>1222</v>
      </c>
      <c r="Q112" s="143" t="s">
        <v>413</v>
      </c>
      <c r="R112" s="143" t="s">
        <v>407</v>
      </c>
      <c r="S112" s="143" t="s">
        <v>1210</v>
      </c>
      <c r="T112" s="144">
        <v>2.98</v>
      </c>
      <c r="U112" s="143" t="s">
        <v>1588</v>
      </c>
      <c r="V112" s="146">
        <v>1.4999999999999999E-2</v>
      </c>
      <c r="W112" s="146">
        <v>2.4263E-2</v>
      </c>
      <c r="X112" s="143" t="s">
        <v>412</v>
      </c>
      <c r="Y112" s="145" t="s">
        <v>3853</v>
      </c>
      <c r="Z112" s="144">
        <v>2030.22</v>
      </c>
      <c r="AA112" s="145" t="s">
        <v>3853</v>
      </c>
      <c r="AB112" s="143" t="s">
        <v>1589</v>
      </c>
      <c r="AC112" s="145" t="s">
        <v>3853</v>
      </c>
      <c r="AD112" s="144">
        <v>2.2570000000000001</v>
      </c>
      <c r="AE112" s="145" t="s">
        <v>3853</v>
      </c>
      <c r="AF112" s="145" t="s">
        <v>3853</v>
      </c>
      <c r="AG112" s="145" t="s">
        <v>3853</v>
      </c>
      <c r="AH112" s="146">
        <v>7.2731224343728518E-6</v>
      </c>
      <c r="AI112" s="146">
        <v>7.1693960510382689E-3</v>
      </c>
      <c r="AJ112" s="147">
        <v>6.6615325417211028E-4</v>
      </c>
      <c r="AK112" s="181"/>
    </row>
    <row r="113" spans="1:37" ht="15" x14ac:dyDescent="0.2">
      <c r="A113" s="142" t="s">
        <v>1205</v>
      </c>
      <c r="B113" s="143" t="s">
        <v>1213</v>
      </c>
      <c r="C113" s="143" t="s">
        <v>1516</v>
      </c>
      <c r="D113" s="143" t="s">
        <v>1517</v>
      </c>
      <c r="E113" s="143" t="s">
        <v>309</v>
      </c>
      <c r="F113" s="143" t="s">
        <v>1613</v>
      </c>
      <c r="G113" s="143" t="s">
        <v>1614</v>
      </c>
      <c r="H113" s="143" t="s">
        <v>321</v>
      </c>
      <c r="I113" s="143" t="s">
        <v>754</v>
      </c>
      <c r="J113" s="143" t="s">
        <v>204</v>
      </c>
      <c r="K113" s="143" t="s">
        <v>204</v>
      </c>
      <c r="L113" s="143" t="s">
        <v>325</v>
      </c>
      <c r="M113" s="143" t="s">
        <v>340</v>
      </c>
      <c r="N113" s="143" t="s">
        <v>465</v>
      </c>
      <c r="O113" s="143" t="s">
        <v>339</v>
      </c>
      <c r="P113" s="143" t="s">
        <v>1402</v>
      </c>
      <c r="Q113" s="143" t="s">
        <v>415</v>
      </c>
      <c r="R113" s="143" t="s">
        <v>407</v>
      </c>
      <c r="S113" s="143" t="s">
        <v>1210</v>
      </c>
      <c r="T113" s="144">
        <v>4.3099999999999996</v>
      </c>
      <c r="U113" s="143" t="s">
        <v>1615</v>
      </c>
      <c r="V113" s="146">
        <v>1.7899999999999999E-2</v>
      </c>
      <c r="W113" s="146">
        <v>6.0524000000000001E-2</v>
      </c>
      <c r="X113" s="143" t="s">
        <v>412</v>
      </c>
      <c r="Y113" s="145" t="s">
        <v>3853</v>
      </c>
      <c r="Z113" s="144">
        <v>2341.5700000000002</v>
      </c>
      <c r="AA113" s="145" t="s">
        <v>3853</v>
      </c>
      <c r="AB113" s="143" t="s">
        <v>1616</v>
      </c>
      <c r="AC113" s="145" t="s">
        <v>3853</v>
      </c>
      <c r="AD113" s="144">
        <v>2.2109000000000001</v>
      </c>
      <c r="AE113" s="145" t="s">
        <v>3853</v>
      </c>
      <c r="AF113" s="145" t="s">
        <v>3853</v>
      </c>
      <c r="AG113" s="145" t="s">
        <v>3853</v>
      </c>
      <c r="AH113" s="146">
        <v>3.3327685136833799E-6</v>
      </c>
      <c r="AI113" s="146">
        <v>7.0230054637861082E-3</v>
      </c>
      <c r="AJ113" s="147">
        <v>6.5255119266177284E-4</v>
      </c>
      <c r="AK113" s="181"/>
    </row>
    <row r="114" spans="1:37" ht="15" x14ac:dyDescent="0.2">
      <c r="A114" s="142" t="s">
        <v>1205</v>
      </c>
      <c r="B114" s="143" t="s">
        <v>1213</v>
      </c>
      <c r="C114" s="143" t="s">
        <v>1516</v>
      </c>
      <c r="D114" s="143" t="s">
        <v>1517</v>
      </c>
      <c r="E114" s="143" t="s">
        <v>309</v>
      </c>
      <c r="F114" s="143" t="s">
        <v>1605</v>
      </c>
      <c r="G114" s="143" t="s">
        <v>1606</v>
      </c>
      <c r="H114" s="143" t="s">
        <v>321</v>
      </c>
      <c r="I114" s="143" t="s">
        <v>754</v>
      </c>
      <c r="J114" s="143" t="s">
        <v>204</v>
      </c>
      <c r="K114" s="143" t="s">
        <v>204</v>
      </c>
      <c r="L114" s="143" t="s">
        <v>325</v>
      </c>
      <c r="M114" s="143" t="s">
        <v>340</v>
      </c>
      <c r="N114" s="143" t="s">
        <v>465</v>
      </c>
      <c r="O114" s="143" t="s">
        <v>339</v>
      </c>
      <c r="P114" s="143" t="s">
        <v>1402</v>
      </c>
      <c r="Q114" s="143" t="s">
        <v>415</v>
      </c>
      <c r="R114" s="143" t="s">
        <v>407</v>
      </c>
      <c r="S114" s="143" t="s">
        <v>1210</v>
      </c>
      <c r="T114" s="144">
        <v>0.25</v>
      </c>
      <c r="U114" s="143" t="s">
        <v>1607</v>
      </c>
      <c r="V114" s="146">
        <v>5.3499999999999999E-2</v>
      </c>
      <c r="W114" s="146">
        <v>3.9487000000000001E-2</v>
      </c>
      <c r="X114" s="143" t="s">
        <v>412</v>
      </c>
      <c r="Y114" s="145" t="s">
        <v>3853</v>
      </c>
      <c r="Z114" s="144">
        <v>1848.8</v>
      </c>
      <c r="AA114" s="145" t="s">
        <v>3853</v>
      </c>
      <c r="AB114" s="143" t="s">
        <v>1608</v>
      </c>
      <c r="AC114" s="145" t="s">
        <v>3853</v>
      </c>
      <c r="AD114" s="144">
        <v>2.2108000000000003</v>
      </c>
      <c r="AE114" s="145" t="s">
        <v>3853</v>
      </c>
      <c r="AF114" s="145" t="s">
        <v>3853</v>
      </c>
      <c r="AG114" s="145" t="s">
        <v>3853</v>
      </c>
      <c r="AH114" s="146">
        <v>5.5925963051481597E-6</v>
      </c>
      <c r="AI114" s="146">
        <v>7.0226390392695527E-3</v>
      </c>
      <c r="AJ114" s="147">
        <v>6.5251714587702631E-4</v>
      </c>
      <c r="AK114" s="181"/>
    </row>
    <row r="115" spans="1:37" ht="15" x14ac:dyDescent="0.2">
      <c r="A115" s="142" t="s">
        <v>1205</v>
      </c>
      <c r="B115" s="143" t="s">
        <v>1213</v>
      </c>
      <c r="C115" s="143" t="s">
        <v>1720</v>
      </c>
      <c r="D115" s="143" t="s">
        <v>1721</v>
      </c>
      <c r="E115" s="143" t="s">
        <v>309</v>
      </c>
      <c r="F115" s="143" t="s">
        <v>1759</v>
      </c>
      <c r="G115" s="143" t="s">
        <v>1760</v>
      </c>
      <c r="H115" s="143" t="s">
        <v>321</v>
      </c>
      <c r="I115" s="143" t="s">
        <v>754</v>
      </c>
      <c r="J115" s="143" t="s">
        <v>204</v>
      </c>
      <c r="K115" s="143" t="s">
        <v>204</v>
      </c>
      <c r="L115" s="143" t="s">
        <v>325</v>
      </c>
      <c r="M115" s="143" t="s">
        <v>340</v>
      </c>
      <c r="N115" s="143" t="s">
        <v>464</v>
      </c>
      <c r="O115" s="143" t="s">
        <v>339</v>
      </c>
      <c r="P115" s="143" t="s">
        <v>1530</v>
      </c>
      <c r="Q115" s="143" t="s">
        <v>415</v>
      </c>
      <c r="R115" s="143" t="s">
        <v>407</v>
      </c>
      <c r="S115" s="143" t="s">
        <v>1210</v>
      </c>
      <c r="T115" s="144">
        <v>2.8</v>
      </c>
      <c r="U115" s="143" t="s">
        <v>1544</v>
      </c>
      <c r="V115" s="146">
        <v>1.77E-2</v>
      </c>
      <c r="W115" s="146">
        <v>2.6707999999999999E-2</v>
      </c>
      <c r="X115" s="143" t="s">
        <v>412</v>
      </c>
      <c r="Y115" s="145" t="s">
        <v>3853</v>
      </c>
      <c r="Z115" s="144">
        <v>1600</v>
      </c>
      <c r="AA115" s="145" t="s">
        <v>3853</v>
      </c>
      <c r="AB115" s="143" t="s">
        <v>1761</v>
      </c>
      <c r="AC115" s="145" t="s">
        <v>3853</v>
      </c>
      <c r="AD115" s="144">
        <v>1.7727999999999999</v>
      </c>
      <c r="AE115" s="145" t="s">
        <v>3853</v>
      </c>
      <c r="AF115" s="145" t="s">
        <v>3853</v>
      </c>
      <c r="AG115" s="145" t="s">
        <v>3853</v>
      </c>
      <c r="AH115" s="146">
        <v>6.1663857340333063E-7</v>
      </c>
      <c r="AI115" s="146">
        <v>5.6313381672943603E-3</v>
      </c>
      <c r="AJ115" s="147">
        <v>5.2324271372112012E-4</v>
      </c>
      <c r="AK115" s="181"/>
    </row>
    <row r="116" spans="1:37" ht="15" x14ac:dyDescent="0.2">
      <c r="A116" s="142" t="s">
        <v>1205</v>
      </c>
      <c r="B116" s="143" t="s">
        <v>1213</v>
      </c>
      <c r="C116" s="143" t="s">
        <v>1349</v>
      </c>
      <c r="D116" s="143" t="s">
        <v>1350</v>
      </c>
      <c r="E116" s="143" t="s">
        <v>309</v>
      </c>
      <c r="F116" s="143" t="s">
        <v>1609</v>
      </c>
      <c r="G116" s="143" t="s">
        <v>1610</v>
      </c>
      <c r="H116" s="143" t="s">
        <v>321</v>
      </c>
      <c r="I116" s="143" t="s">
        <v>754</v>
      </c>
      <c r="J116" s="143" t="s">
        <v>204</v>
      </c>
      <c r="K116" s="143" t="s">
        <v>204</v>
      </c>
      <c r="L116" s="143" t="s">
        <v>325</v>
      </c>
      <c r="M116" s="143" t="s">
        <v>340</v>
      </c>
      <c r="N116" s="143" t="s">
        <v>448</v>
      </c>
      <c r="O116" s="143" t="s">
        <v>339</v>
      </c>
      <c r="P116" s="143" t="s">
        <v>1209</v>
      </c>
      <c r="Q116" s="143" t="s">
        <v>415</v>
      </c>
      <c r="R116" s="143" t="s">
        <v>407</v>
      </c>
      <c r="S116" s="143" t="s">
        <v>1210</v>
      </c>
      <c r="T116" s="144">
        <v>0.67</v>
      </c>
      <c r="U116" s="143" t="s">
        <v>1611</v>
      </c>
      <c r="V116" s="146">
        <v>9.4999999999999998E-3</v>
      </c>
      <c r="W116" s="146">
        <v>2.8906999999999999E-2</v>
      </c>
      <c r="X116" s="143" t="s">
        <v>412</v>
      </c>
      <c r="Y116" s="145" t="s">
        <v>3853</v>
      </c>
      <c r="Z116" s="144">
        <v>1504.16</v>
      </c>
      <c r="AA116" s="145" t="s">
        <v>3853</v>
      </c>
      <c r="AB116" s="143" t="s">
        <v>1612</v>
      </c>
      <c r="AC116" s="145" t="s">
        <v>3853</v>
      </c>
      <c r="AD116" s="144">
        <v>1.7050000000000001</v>
      </c>
      <c r="AE116" s="145" t="s">
        <v>3853</v>
      </c>
      <c r="AF116" s="145" t="s">
        <v>3853</v>
      </c>
      <c r="AG116" s="145" t="s">
        <v>3853</v>
      </c>
      <c r="AH116" s="146">
        <v>9.3589796437401751E-6</v>
      </c>
      <c r="AI116" s="146">
        <v>5.4158599422849561E-3</v>
      </c>
      <c r="AJ116" s="147">
        <v>5.0322128935407627E-4</v>
      </c>
      <c r="AK116" s="181"/>
    </row>
    <row r="117" spans="1:37" ht="15" x14ac:dyDescent="0.2">
      <c r="A117" s="142" t="s">
        <v>1205</v>
      </c>
      <c r="B117" s="143" t="s">
        <v>1213</v>
      </c>
      <c r="C117" s="143" t="s">
        <v>1762</v>
      </c>
      <c r="D117" s="143" t="s">
        <v>1763</v>
      </c>
      <c r="E117" s="143" t="s">
        <v>309</v>
      </c>
      <c r="F117" s="143" t="s">
        <v>1764</v>
      </c>
      <c r="G117" s="143" t="s">
        <v>1765</v>
      </c>
      <c r="H117" s="143" t="s">
        <v>321</v>
      </c>
      <c r="I117" s="143" t="s">
        <v>754</v>
      </c>
      <c r="J117" s="143" t="s">
        <v>204</v>
      </c>
      <c r="K117" s="143" t="s">
        <v>204</v>
      </c>
      <c r="L117" s="143" t="s">
        <v>325</v>
      </c>
      <c r="M117" s="143" t="s">
        <v>340</v>
      </c>
      <c r="N117" s="143" t="s">
        <v>451</v>
      </c>
      <c r="O117" s="143" t="s">
        <v>339</v>
      </c>
      <c r="P117" s="145" t="s">
        <v>3853</v>
      </c>
      <c r="Q117" s="143" t="s">
        <v>410</v>
      </c>
      <c r="R117" s="143" t="s">
        <v>410</v>
      </c>
      <c r="S117" s="143" t="s">
        <v>1210</v>
      </c>
      <c r="T117" s="144">
        <v>3.02</v>
      </c>
      <c r="U117" s="143" t="s">
        <v>1544</v>
      </c>
      <c r="V117" s="146">
        <v>3.6999999999999998E-2</v>
      </c>
      <c r="W117" s="146">
        <v>4.7534E-2</v>
      </c>
      <c r="X117" s="143" t="s">
        <v>412</v>
      </c>
      <c r="Y117" s="145" t="s">
        <v>3853</v>
      </c>
      <c r="Z117" s="144">
        <v>1319.14</v>
      </c>
      <c r="AA117" s="145" t="s">
        <v>3853</v>
      </c>
      <c r="AB117" s="143" t="s">
        <v>1766</v>
      </c>
      <c r="AC117" s="145" t="s">
        <v>3853</v>
      </c>
      <c r="AD117" s="144">
        <v>1.4541999999999999</v>
      </c>
      <c r="AE117" s="145" t="s">
        <v>3853</v>
      </c>
      <c r="AF117" s="145" t="s">
        <v>3853</v>
      </c>
      <c r="AG117" s="145" t="s">
        <v>3853</v>
      </c>
      <c r="AH117" s="146">
        <v>1.6704387794045564E-6</v>
      </c>
      <c r="AI117" s="146">
        <v>4.6193615914018292E-3</v>
      </c>
      <c r="AJ117" s="147">
        <v>4.2921366519629601E-4</v>
      </c>
      <c r="AK117" s="181"/>
    </row>
    <row r="118" spans="1:37" ht="15" x14ac:dyDescent="0.2">
      <c r="A118" s="142" t="s">
        <v>1205</v>
      </c>
      <c r="B118" s="143" t="s">
        <v>1213</v>
      </c>
      <c r="C118" s="143" t="s">
        <v>1634</v>
      </c>
      <c r="D118" s="143" t="s">
        <v>1635</v>
      </c>
      <c r="E118" s="143" t="s">
        <v>309</v>
      </c>
      <c r="F118" s="143" t="s">
        <v>1636</v>
      </c>
      <c r="G118" s="143" t="s">
        <v>1637</v>
      </c>
      <c r="H118" s="143" t="s">
        <v>321</v>
      </c>
      <c r="I118" s="143" t="s">
        <v>754</v>
      </c>
      <c r="J118" s="143" t="s">
        <v>204</v>
      </c>
      <c r="K118" s="143" t="s">
        <v>204</v>
      </c>
      <c r="L118" s="143" t="s">
        <v>325</v>
      </c>
      <c r="M118" s="143" t="s">
        <v>340</v>
      </c>
      <c r="N118" s="143" t="s">
        <v>464</v>
      </c>
      <c r="O118" s="143" t="s">
        <v>339</v>
      </c>
      <c r="P118" s="143" t="s">
        <v>1409</v>
      </c>
      <c r="Q118" s="143" t="s">
        <v>413</v>
      </c>
      <c r="R118" s="143" t="s">
        <v>407</v>
      </c>
      <c r="S118" s="143" t="s">
        <v>1210</v>
      </c>
      <c r="T118" s="144">
        <v>0.22</v>
      </c>
      <c r="U118" s="143" t="s">
        <v>1638</v>
      </c>
      <c r="V118" s="146">
        <v>0.04</v>
      </c>
      <c r="W118" s="146">
        <v>2.2232999999999999E-2</v>
      </c>
      <c r="X118" s="143" t="s">
        <v>412</v>
      </c>
      <c r="Y118" s="145" t="s">
        <v>3853</v>
      </c>
      <c r="Z118" s="144">
        <v>956.31</v>
      </c>
      <c r="AA118" s="145" t="s">
        <v>3853</v>
      </c>
      <c r="AB118" s="143" t="s">
        <v>1639</v>
      </c>
      <c r="AC118" s="145" t="s">
        <v>3853</v>
      </c>
      <c r="AD118" s="144">
        <v>1.0999000000000001</v>
      </c>
      <c r="AE118" s="145" t="s">
        <v>3853</v>
      </c>
      <c r="AF118" s="145" t="s">
        <v>3853</v>
      </c>
      <c r="AG118" s="145" t="s">
        <v>3853</v>
      </c>
      <c r="AH118" s="146">
        <v>1.1746705116220658E-5</v>
      </c>
      <c r="AI118" s="146">
        <v>3.4937044695850278E-3</v>
      </c>
      <c r="AJ118" s="147">
        <v>3.2462184889237185E-4</v>
      </c>
      <c r="AK118" s="181"/>
    </row>
    <row r="119" spans="1:37" ht="15" x14ac:dyDescent="0.2">
      <c r="A119" s="142" t="s">
        <v>1205</v>
      </c>
      <c r="B119" s="143" t="s">
        <v>1213</v>
      </c>
      <c r="C119" s="143" t="s">
        <v>1623</v>
      </c>
      <c r="D119" s="143" t="s">
        <v>1624</v>
      </c>
      <c r="E119" s="143" t="s">
        <v>309</v>
      </c>
      <c r="F119" s="143" t="s">
        <v>1625</v>
      </c>
      <c r="G119" s="143" t="s">
        <v>1626</v>
      </c>
      <c r="H119" s="143" t="s">
        <v>321</v>
      </c>
      <c r="I119" s="143" t="s">
        <v>754</v>
      </c>
      <c r="J119" s="143" t="s">
        <v>204</v>
      </c>
      <c r="K119" s="143" t="s">
        <v>204</v>
      </c>
      <c r="L119" s="143" t="s">
        <v>325</v>
      </c>
      <c r="M119" s="143" t="s">
        <v>340</v>
      </c>
      <c r="N119" s="143" t="s">
        <v>445</v>
      </c>
      <c r="O119" s="143" t="s">
        <v>339</v>
      </c>
      <c r="P119" s="143" t="s">
        <v>1627</v>
      </c>
      <c r="Q119" s="143" t="s">
        <v>415</v>
      </c>
      <c r="R119" s="143" t="s">
        <v>407</v>
      </c>
      <c r="S119" s="143" t="s">
        <v>1210</v>
      </c>
      <c r="T119" s="144">
        <v>4.76</v>
      </c>
      <c r="U119" s="143" t="s">
        <v>1628</v>
      </c>
      <c r="V119" s="146">
        <v>5.1700000000000003E-2</v>
      </c>
      <c r="W119" s="146">
        <v>5.8743999999999998E-2</v>
      </c>
      <c r="X119" s="143" t="s">
        <v>412</v>
      </c>
      <c r="Y119" s="145" t="s">
        <v>3853</v>
      </c>
      <c r="Z119" s="144">
        <v>981</v>
      </c>
      <c r="AA119" s="145" t="s">
        <v>3853</v>
      </c>
      <c r="AB119" s="143" t="s">
        <v>1629</v>
      </c>
      <c r="AC119" s="145" t="s">
        <v>3853</v>
      </c>
      <c r="AD119" s="144">
        <v>0.95729999999999993</v>
      </c>
      <c r="AE119" s="145" t="s">
        <v>3853</v>
      </c>
      <c r="AF119" s="145" t="s">
        <v>3853</v>
      </c>
      <c r="AG119" s="145" t="s">
        <v>3853</v>
      </c>
      <c r="AH119" s="146">
        <v>1.6076327321234845E-6</v>
      </c>
      <c r="AI119" s="146">
        <v>3.0407567958915648E-3</v>
      </c>
      <c r="AJ119" s="147">
        <v>2.8253565855603375E-4</v>
      </c>
      <c r="AK119" s="181"/>
    </row>
    <row r="120" spans="1:37" ht="15" x14ac:dyDescent="0.2">
      <c r="A120" s="142" t="s">
        <v>1205</v>
      </c>
      <c r="B120" s="143" t="s">
        <v>1213</v>
      </c>
      <c r="C120" s="143" t="s">
        <v>1623</v>
      </c>
      <c r="D120" s="143" t="s">
        <v>1624</v>
      </c>
      <c r="E120" s="143" t="s">
        <v>309</v>
      </c>
      <c r="F120" s="143" t="s">
        <v>1646</v>
      </c>
      <c r="G120" s="143" t="s">
        <v>1647</v>
      </c>
      <c r="H120" s="143" t="s">
        <v>321</v>
      </c>
      <c r="I120" s="143" t="s">
        <v>754</v>
      </c>
      <c r="J120" s="143" t="s">
        <v>204</v>
      </c>
      <c r="K120" s="143" t="s">
        <v>204</v>
      </c>
      <c r="L120" s="143" t="s">
        <v>325</v>
      </c>
      <c r="M120" s="143" t="s">
        <v>340</v>
      </c>
      <c r="N120" s="143" t="s">
        <v>445</v>
      </c>
      <c r="O120" s="143" t="s">
        <v>339</v>
      </c>
      <c r="P120" s="143" t="s">
        <v>1627</v>
      </c>
      <c r="Q120" s="143" t="s">
        <v>415</v>
      </c>
      <c r="R120" s="143" t="s">
        <v>407</v>
      </c>
      <c r="S120" s="143" t="s">
        <v>1210</v>
      </c>
      <c r="T120" s="144">
        <v>5.55</v>
      </c>
      <c r="U120" s="143" t="s">
        <v>1648</v>
      </c>
      <c r="V120" s="146">
        <v>5.3999999999999999E-2</v>
      </c>
      <c r="W120" s="146">
        <v>6.1131999999999999E-2</v>
      </c>
      <c r="X120" s="143" t="s">
        <v>412</v>
      </c>
      <c r="Y120" s="145" t="s">
        <v>3853</v>
      </c>
      <c r="Z120" s="144">
        <v>532</v>
      </c>
      <c r="AA120" s="145" t="s">
        <v>3853</v>
      </c>
      <c r="AB120" s="143" t="s">
        <v>1649</v>
      </c>
      <c r="AC120" s="145" t="s">
        <v>3853</v>
      </c>
      <c r="AD120" s="144">
        <v>0.51439999999999997</v>
      </c>
      <c r="AE120" s="145" t="s">
        <v>3853</v>
      </c>
      <c r="AF120" s="145" t="s">
        <v>3853</v>
      </c>
      <c r="AG120" s="145" t="s">
        <v>3853</v>
      </c>
      <c r="AH120" s="146">
        <v>9.3087287953413436E-7</v>
      </c>
      <c r="AI120" s="146">
        <v>1.6339736828435696E-3</v>
      </c>
      <c r="AJ120" s="147">
        <v>1.5182267492394965E-4</v>
      </c>
      <c r="AK120" s="181"/>
    </row>
    <row r="121" spans="1:37" ht="15" x14ac:dyDescent="0.2">
      <c r="A121" s="142" t="s">
        <v>1205</v>
      </c>
      <c r="B121" s="143" t="s">
        <v>1205</v>
      </c>
      <c r="C121" s="143" t="s">
        <v>1343</v>
      </c>
      <c r="D121" s="143" t="s">
        <v>1344</v>
      </c>
      <c r="E121" s="143" t="s">
        <v>309</v>
      </c>
      <c r="F121" s="143" t="s">
        <v>1345</v>
      </c>
      <c r="G121" s="143" t="s">
        <v>1346</v>
      </c>
      <c r="H121" s="143" t="s">
        <v>321</v>
      </c>
      <c r="I121" s="143" t="s">
        <v>951</v>
      </c>
      <c r="J121" s="143" t="s">
        <v>204</v>
      </c>
      <c r="K121" s="143" t="s">
        <v>204</v>
      </c>
      <c r="L121" s="143" t="s">
        <v>325</v>
      </c>
      <c r="M121" s="143" t="s">
        <v>340</v>
      </c>
      <c r="N121" s="143" t="s">
        <v>445</v>
      </c>
      <c r="O121" s="143" t="s">
        <v>339</v>
      </c>
      <c r="P121" s="143" t="s">
        <v>1347</v>
      </c>
      <c r="Q121" s="143" t="s">
        <v>413</v>
      </c>
      <c r="R121" s="143" t="s">
        <v>407</v>
      </c>
      <c r="S121" s="143" t="s">
        <v>1210</v>
      </c>
      <c r="T121" s="144">
        <v>5.29</v>
      </c>
      <c r="U121" s="143" t="s">
        <v>1295</v>
      </c>
      <c r="V121" s="146">
        <v>2.64E-2</v>
      </c>
      <c r="W121" s="146">
        <v>5.8282E-2</v>
      </c>
      <c r="X121" s="143" t="s">
        <v>412</v>
      </c>
      <c r="Y121" s="145" t="s">
        <v>3853</v>
      </c>
      <c r="Z121" s="144">
        <v>2099815.98</v>
      </c>
      <c r="AA121" s="145" t="s">
        <v>3853</v>
      </c>
      <c r="AB121" s="143" t="s">
        <v>1348</v>
      </c>
      <c r="AC121" s="145" t="s">
        <v>3853</v>
      </c>
      <c r="AD121" s="144">
        <v>1798.2823999999998</v>
      </c>
      <c r="AE121" s="145" t="s">
        <v>3853</v>
      </c>
      <c r="AF121" s="145" t="s">
        <v>3853</v>
      </c>
      <c r="AG121" s="145" t="s">
        <v>3853</v>
      </c>
      <c r="AH121" s="146">
        <v>1.2833709728910108E-3</v>
      </c>
      <c r="AI121" s="146">
        <v>2.4434905135085651E-2</v>
      </c>
      <c r="AJ121" s="147">
        <v>2.7152245362056637E-3</v>
      </c>
      <c r="AK121" s="181"/>
    </row>
    <row r="122" spans="1:37" ht="15" x14ac:dyDescent="0.2">
      <c r="A122" s="142" t="s">
        <v>1205</v>
      </c>
      <c r="B122" s="143" t="s">
        <v>1205</v>
      </c>
      <c r="C122" s="143" t="s">
        <v>1398</v>
      </c>
      <c r="D122" s="143" t="s">
        <v>1399</v>
      </c>
      <c r="E122" s="143" t="s">
        <v>309</v>
      </c>
      <c r="F122" s="143" t="s">
        <v>1400</v>
      </c>
      <c r="G122" s="143" t="s">
        <v>1401</v>
      </c>
      <c r="H122" s="143" t="s">
        <v>321</v>
      </c>
      <c r="I122" s="143" t="s">
        <v>951</v>
      </c>
      <c r="J122" s="143" t="s">
        <v>204</v>
      </c>
      <c r="K122" s="143" t="s">
        <v>204</v>
      </c>
      <c r="L122" s="143" t="s">
        <v>325</v>
      </c>
      <c r="M122" s="143" t="s">
        <v>340</v>
      </c>
      <c r="N122" s="143" t="s">
        <v>484</v>
      </c>
      <c r="O122" s="143" t="s">
        <v>339</v>
      </c>
      <c r="P122" s="143" t="s">
        <v>1402</v>
      </c>
      <c r="Q122" s="143" t="s">
        <v>415</v>
      </c>
      <c r="R122" s="143" t="s">
        <v>407</v>
      </c>
      <c r="S122" s="143" t="s">
        <v>1210</v>
      </c>
      <c r="T122" s="144">
        <v>2.3199999999999998</v>
      </c>
      <c r="U122" s="143" t="s">
        <v>1403</v>
      </c>
      <c r="V122" s="146">
        <v>3.6499999999999998E-2</v>
      </c>
      <c r="W122" s="146">
        <v>5.8046E-2</v>
      </c>
      <c r="X122" s="143" t="s">
        <v>412</v>
      </c>
      <c r="Y122" s="145" t="s">
        <v>3853</v>
      </c>
      <c r="Z122" s="144">
        <v>1545170.04</v>
      </c>
      <c r="AA122" s="145" t="s">
        <v>3853</v>
      </c>
      <c r="AB122" s="143" t="s">
        <v>1404</v>
      </c>
      <c r="AC122" s="145" t="s">
        <v>3853</v>
      </c>
      <c r="AD122" s="144">
        <v>1478.7276999999999</v>
      </c>
      <c r="AE122" s="145" t="s">
        <v>3853</v>
      </c>
      <c r="AF122" s="145" t="s">
        <v>3853</v>
      </c>
      <c r="AG122" s="145" t="s">
        <v>3853</v>
      </c>
      <c r="AH122" s="146">
        <v>7.6883057351491261E-4</v>
      </c>
      <c r="AI122" s="146">
        <v>2.0092823938672337E-2</v>
      </c>
      <c r="AJ122" s="147">
        <v>2.2327292968126523E-3</v>
      </c>
      <c r="AK122" s="181"/>
    </row>
    <row r="123" spans="1:37" ht="15" x14ac:dyDescent="0.2">
      <c r="A123" s="142" t="s">
        <v>1205</v>
      </c>
      <c r="B123" s="143" t="s">
        <v>1205</v>
      </c>
      <c r="C123" s="143" t="s">
        <v>1767</v>
      </c>
      <c r="D123" s="143" t="s">
        <v>1768</v>
      </c>
      <c r="E123" s="143" t="s">
        <v>309</v>
      </c>
      <c r="F123" s="143" t="s">
        <v>1769</v>
      </c>
      <c r="G123" s="143" t="s">
        <v>1770</v>
      </c>
      <c r="H123" s="143" t="s">
        <v>321</v>
      </c>
      <c r="I123" s="143" t="s">
        <v>951</v>
      </c>
      <c r="J123" s="143" t="s">
        <v>204</v>
      </c>
      <c r="K123" s="143" t="s">
        <v>204</v>
      </c>
      <c r="L123" s="143" t="s">
        <v>325</v>
      </c>
      <c r="M123" s="143" t="s">
        <v>340</v>
      </c>
      <c r="N123" s="143" t="s">
        <v>440</v>
      </c>
      <c r="O123" s="143" t="s">
        <v>339</v>
      </c>
      <c r="P123" s="143" t="s">
        <v>1396</v>
      </c>
      <c r="Q123" s="143" t="s">
        <v>413</v>
      </c>
      <c r="R123" s="143" t="s">
        <v>407</v>
      </c>
      <c r="S123" s="143" t="s">
        <v>1210</v>
      </c>
      <c r="T123" s="144">
        <v>4.71</v>
      </c>
      <c r="U123" s="143" t="s">
        <v>1771</v>
      </c>
      <c r="V123" s="146">
        <v>5.7500000000000002E-2</v>
      </c>
      <c r="W123" s="146">
        <v>6.7768999999999996E-2</v>
      </c>
      <c r="X123" s="143" t="s">
        <v>412</v>
      </c>
      <c r="Y123" s="145" t="s">
        <v>3853</v>
      </c>
      <c r="Z123" s="144">
        <v>1219000</v>
      </c>
      <c r="AA123" s="145" t="s">
        <v>3853</v>
      </c>
      <c r="AB123" s="143" t="s">
        <v>1772</v>
      </c>
      <c r="AC123" s="145" t="s">
        <v>3853</v>
      </c>
      <c r="AD123" s="144">
        <v>1186.6965</v>
      </c>
      <c r="AE123" s="145" t="s">
        <v>3853</v>
      </c>
      <c r="AF123" s="145" t="s">
        <v>3853</v>
      </c>
      <c r="AG123" s="145" t="s">
        <v>3853</v>
      </c>
      <c r="AH123" s="146">
        <v>2.321904761904762E-3</v>
      </c>
      <c r="AI123" s="146">
        <v>1.6124728972840192E-2</v>
      </c>
      <c r="AJ123" s="147">
        <v>1.7917916809857331E-3</v>
      </c>
      <c r="AK123" s="181"/>
    </row>
    <row r="124" spans="1:37" ht="15" x14ac:dyDescent="0.2">
      <c r="A124" s="142" t="s">
        <v>1205</v>
      </c>
      <c r="B124" s="143" t="s">
        <v>1205</v>
      </c>
      <c r="C124" s="143" t="s">
        <v>1380</v>
      </c>
      <c r="D124" s="143" t="s">
        <v>1381</v>
      </c>
      <c r="E124" s="143" t="s">
        <v>309</v>
      </c>
      <c r="F124" s="143" t="s">
        <v>1382</v>
      </c>
      <c r="G124" s="143" t="s">
        <v>1383</v>
      </c>
      <c r="H124" s="143" t="s">
        <v>321</v>
      </c>
      <c r="I124" s="143" t="s">
        <v>951</v>
      </c>
      <c r="J124" s="143" t="s">
        <v>204</v>
      </c>
      <c r="K124" s="143" t="s">
        <v>204</v>
      </c>
      <c r="L124" s="143" t="s">
        <v>325</v>
      </c>
      <c r="M124" s="143" t="s">
        <v>340</v>
      </c>
      <c r="N124" s="143" t="s">
        <v>445</v>
      </c>
      <c r="O124" s="143" t="s">
        <v>339</v>
      </c>
      <c r="P124" s="143" t="s">
        <v>1347</v>
      </c>
      <c r="Q124" s="143" t="s">
        <v>413</v>
      </c>
      <c r="R124" s="143" t="s">
        <v>407</v>
      </c>
      <c r="S124" s="143" t="s">
        <v>1210</v>
      </c>
      <c r="T124" s="144">
        <v>5.4</v>
      </c>
      <c r="U124" s="143" t="s">
        <v>1384</v>
      </c>
      <c r="V124" s="146">
        <v>5.2499999999999998E-2</v>
      </c>
      <c r="W124" s="146">
        <v>5.9947E-2</v>
      </c>
      <c r="X124" s="143" t="s">
        <v>412</v>
      </c>
      <c r="Y124" s="145" t="s">
        <v>3853</v>
      </c>
      <c r="Z124" s="144">
        <v>869000</v>
      </c>
      <c r="AA124" s="145" t="s">
        <v>3853</v>
      </c>
      <c r="AB124" s="143" t="s">
        <v>1385</v>
      </c>
      <c r="AC124" s="145" t="s">
        <v>3853</v>
      </c>
      <c r="AD124" s="144">
        <v>846.57980000000009</v>
      </c>
      <c r="AE124" s="145" t="s">
        <v>3853</v>
      </c>
      <c r="AF124" s="145" t="s">
        <v>3853</v>
      </c>
      <c r="AG124" s="145" t="s">
        <v>3853</v>
      </c>
      <c r="AH124" s="146">
        <v>1.738E-3</v>
      </c>
      <c r="AI124" s="146">
        <v>1.1503252793685038E-2</v>
      </c>
      <c r="AJ124" s="147">
        <v>1.2782498666934349E-3</v>
      </c>
      <c r="AK124" s="181"/>
    </row>
    <row r="125" spans="1:37" ht="15" x14ac:dyDescent="0.2">
      <c r="A125" s="142" t="s">
        <v>1205</v>
      </c>
      <c r="B125" s="143" t="s">
        <v>1205</v>
      </c>
      <c r="C125" s="143" t="s">
        <v>1773</v>
      </c>
      <c r="D125" s="143" t="s">
        <v>1774</v>
      </c>
      <c r="E125" s="143" t="s">
        <v>309</v>
      </c>
      <c r="F125" s="143" t="s">
        <v>1775</v>
      </c>
      <c r="G125" s="143" t="s">
        <v>1776</v>
      </c>
      <c r="H125" s="143" t="s">
        <v>321</v>
      </c>
      <c r="I125" s="143" t="s">
        <v>951</v>
      </c>
      <c r="J125" s="143" t="s">
        <v>204</v>
      </c>
      <c r="K125" s="143" t="s">
        <v>204</v>
      </c>
      <c r="L125" s="143" t="s">
        <v>325</v>
      </c>
      <c r="M125" s="143" t="s">
        <v>340</v>
      </c>
      <c r="N125" s="143" t="s">
        <v>445</v>
      </c>
      <c r="O125" s="143" t="s">
        <v>339</v>
      </c>
      <c r="P125" s="143" t="s">
        <v>1377</v>
      </c>
      <c r="Q125" s="143" t="s">
        <v>415</v>
      </c>
      <c r="R125" s="143" t="s">
        <v>407</v>
      </c>
      <c r="S125" s="143" t="s">
        <v>1210</v>
      </c>
      <c r="T125" s="144">
        <v>5.2</v>
      </c>
      <c r="U125" s="143" t="s">
        <v>1777</v>
      </c>
      <c r="V125" s="146">
        <v>1.95E-2</v>
      </c>
      <c r="W125" s="146">
        <v>5.7405999999999999E-2</v>
      </c>
      <c r="X125" s="143" t="s">
        <v>412</v>
      </c>
      <c r="Y125" s="145" t="s">
        <v>3853</v>
      </c>
      <c r="Z125" s="144">
        <v>920051.76</v>
      </c>
      <c r="AA125" s="145" t="s">
        <v>3853</v>
      </c>
      <c r="AB125" s="143" t="s">
        <v>1778</v>
      </c>
      <c r="AC125" s="145" t="s">
        <v>3853</v>
      </c>
      <c r="AD125" s="144">
        <v>755.82249999999999</v>
      </c>
      <c r="AE125" s="145" t="s">
        <v>3853</v>
      </c>
      <c r="AF125" s="145" t="s">
        <v>3853</v>
      </c>
      <c r="AG125" s="145" t="s">
        <v>3853</v>
      </c>
      <c r="AH125" s="146">
        <v>8.7714421822249308E-4</v>
      </c>
      <c r="AI125" s="146">
        <v>1.0270050767078069E-2</v>
      </c>
      <c r="AJ125" s="147">
        <v>1.1412155552348708E-3</v>
      </c>
      <c r="AK125" s="181"/>
    </row>
    <row r="126" spans="1:37" ht="15" x14ac:dyDescent="0.2">
      <c r="A126" s="142" t="s">
        <v>1205</v>
      </c>
      <c r="B126" s="143" t="s">
        <v>1205</v>
      </c>
      <c r="C126" s="143" t="s">
        <v>1501</v>
      </c>
      <c r="D126" s="143" t="s">
        <v>1502</v>
      </c>
      <c r="E126" s="143" t="s">
        <v>309</v>
      </c>
      <c r="F126" s="143" t="s">
        <v>1779</v>
      </c>
      <c r="G126" s="143" t="s">
        <v>1780</v>
      </c>
      <c r="H126" s="143" t="s">
        <v>321</v>
      </c>
      <c r="I126" s="143" t="s">
        <v>951</v>
      </c>
      <c r="J126" s="143" t="s">
        <v>204</v>
      </c>
      <c r="K126" s="143" t="s">
        <v>204</v>
      </c>
      <c r="L126" s="143" t="s">
        <v>325</v>
      </c>
      <c r="M126" s="143" t="s">
        <v>340</v>
      </c>
      <c r="N126" s="143" t="s">
        <v>464</v>
      </c>
      <c r="O126" s="143" t="s">
        <v>339</v>
      </c>
      <c r="P126" s="143" t="s">
        <v>1409</v>
      </c>
      <c r="Q126" s="143" t="s">
        <v>413</v>
      </c>
      <c r="R126" s="143" t="s">
        <v>407</v>
      </c>
      <c r="S126" s="143" t="s">
        <v>1210</v>
      </c>
      <c r="T126" s="144">
        <v>5.5</v>
      </c>
      <c r="U126" s="143" t="s">
        <v>1781</v>
      </c>
      <c r="V126" s="146">
        <v>2.4400000000000002E-2</v>
      </c>
      <c r="W126" s="146">
        <v>6.1372000000000003E-2</v>
      </c>
      <c r="X126" s="143" t="s">
        <v>412</v>
      </c>
      <c r="Y126" s="145" t="s">
        <v>3853</v>
      </c>
      <c r="Z126" s="144">
        <v>900000</v>
      </c>
      <c r="AA126" s="145" t="s">
        <v>3853</v>
      </c>
      <c r="AB126" s="143" t="s">
        <v>1782</v>
      </c>
      <c r="AC126" s="145" t="s">
        <v>3853</v>
      </c>
      <c r="AD126" s="144">
        <v>748.08</v>
      </c>
      <c r="AE126" s="145" t="s">
        <v>3853</v>
      </c>
      <c r="AF126" s="145" t="s">
        <v>3853</v>
      </c>
      <c r="AG126" s="145" t="s">
        <v>3853</v>
      </c>
      <c r="AH126" s="146">
        <v>7.405347319017426E-4</v>
      </c>
      <c r="AI126" s="146">
        <v>1.0164846066371892E-2</v>
      </c>
      <c r="AJ126" s="147">
        <v>1.129525131920257E-3</v>
      </c>
      <c r="AK126" s="181"/>
    </row>
    <row r="127" spans="1:37" ht="15" x14ac:dyDescent="0.2">
      <c r="A127" s="142" t="s">
        <v>1205</v>
      </c>
      <c r="B127" s="143" t="s">
        <v>1205</v>
      </c>
      <c r="C127" s="143" t="s">
        <v>1380</v>
      </c>
      <c r="D127" s="143" t="s">
        <v>1381</v>
      </c>
      <c r="E127" s="143" t="s">
        <v>309</v>
      </c>
      <c r="F127" s="143" t="s">
        <v>1783</v>
      </c>
      <c r="G127" s="143" t="s">
        <v>1784</v>
      </c>
      <c r="H127" s="143" t="s">
        <v>321</v>
      </c>
      <c r="I127" s="143" t="s">
        <v>951</v>
      </c>
      <c r="J127" s="143" t="s">
        <v>204</v>
      </c>
      <c r="K127" s="143" t="s">
        <v>204</v>
      </c>
      <c r="L127" s="143" t="s">
        <v>325</v>
      </c>
      <c r="M127" s="143" t="s">
        <v>340</v>
      </c>
      <c r="N127" s="143" t="s">
        <v>445</v>
      </c>
      <c r="O127" s="143" t="s">
        <v>339</v>
      </c>
      <c r="P127" s="143" t="s">
        <v>1347</v>
      </c>
      <c r="Q127" s="143" t="s">
        <v>413</v>
      </c>
      <c r="R127" s="143" t="s">
        <v>407</v>
      </c>
      <c r="S127" s="143" t="s">
        <v>1210</v>
      </c>
      <c r="T127" s="144">
        <v>3.39</v>
      </c>
      <c r="U127" s="143" t="s">
        <v>1785</v>
      </c>
      <c r="V127" s="146">
        <v>4.7E-2</v>
      </c>
      <c r="W127" s="146">
        <v>5.5723000000000002E-2</v>
      </c>
      <c r="X127" s="143" t="s">
        <v>412</v>
      </c>
      <c r="Y127" s="145" t="s">
        <v>3853</v>
      </c>
      <c r="Z127" s="144">
        <v>739000</v>
      </c>
      <c r="AA127" s="145" t="s">
        <v>3853</v>
      </c>
      <c r="AB127" s="143" t="s">
        <v>1786</v>
      </c>
      <c r="AC127" s="145" t="s">
        <v>3853</v>
      </c>
      <c r="AD127" s="144">
        <v>729.76250000000005</v>
      </c>
      <c r="AE127" s="145" t="s">
        <v>3853</v>
      </c>
      <c r="AF127" s="145" t="s">
        <v>3853</v>
      </c>
      <c r="AG127" s="145" t="s">
        <v>3853</v>
      </c>
      <c r="AH127" s="146">
        <v>8.2193304415526642E-4</v>
      </c>
      <c r="AI127" s="146">
        <v>9.9159494673172893E-3</v>
      </c>
      <c r="AJ127" s="147">
        <v>1.1018675597301846E-3</v>
      </c>
      <c r="AK127" s="181"/>
    </row>
    <row r="128" spans="1:37" ht="15" x14ac:dyDescent="0.2">
      <c r="A128" s="142" t="s">
        <v>1205</v>
      </c>
      <c r="B128" s="143" t="s">
        <v>1205</v>
      </c>
      <c r="C128" s="143" t="s">
        <v>1343</v>
      </c>
      <c r="D128" s="143" t="s">
        <v>1344</v>
      </c>
      <c r="E128" s="143" t="s">
        <v>309</v>
      </c>
      <c r="F128" s="143" t="s">
        <v>1369</v>
      </c>
      <c r="G128" s="143" t="s">
        <v>1370</v>
      </c>
      <c r="H128" s="143" t="s">
        <v>321</v>
      </c>
      <c r="I128" s="143" t="s">
        <v>951</v>
      </c>
      <c r="J128" s="143" t="s">
        <v>204</v>
      </c>
      <c r="K128" s="143" t="s">
        <v>204</v>
      </c>
      <c r="L128" s="143" t="s">
        <v>325</v>
      </c>
      <c r="M128" s="143" t="s">
        <v>340</v>
      </c>
      <c r="N128" s="143" t="s">
        <v>445</v>
      </c>
      <c r="O128" s="143" t="s">
        <v>339</v>
      </c>
      <c r="P128" s="143" t="s">
        <v>1347</v>
      </c>
      <c r="Q128" s="143" t="s">
        <v>413</v>
      </c>
      <c r="R128" s="143" t="s">
        <v>407</v>
      </c>
      <c r="S128" s="143" t="s">
        <v>1210</v>
      </c>
      <c r="T128" s="144">
        <v>7.66</v>
      </c>
      <c r="U128" s="143" t="s">
        <v>1371</v>
      </c>
      <c r="V128" s="146">
        <v>5.3100000000000001E-2</v>
      </c>
      <c r="W128" s="146">
        <v>6.3355999999999996E-2</v>
      </c>
      <c r="X128" s="143" t="s">
        <v>412</v>
      </c>
      <c r="Y128" s="145" t="s">
        <v>3853</v>
      </c>
      <c r="Z128" s="144">
        <v>758826.55</v>
      </c>
      <c r="AA128" s="145" t="s">
        <v>3853</v>
      </c>
      <c r="AB128" s="143" t="s">
        <v>1372</v>
      </c>
      <c r="AC128" s="145" t="s">
        <v>3853</v>
      </c>
      <c r="AD128" s="144">
        <v>723.38940000000002</v>
      </c>
      <c r="AE128" s="145" t="s">
        <v>3853</v>
      </c>
      <c r="AF128" s="145" t="s">
        <v>3853</v>
      </c>
      <c r="AG128" s="145" t="s">
        <v>3853</v>
      </c>
      <c r="AH128" s="146">
        <v>5.9591487864264325E-4</v>
      </c>
      <c r="AI128" s="146">
        <v>9.8293516602125132E-3</v>
      </c>
      <c r="AJ128" s="147">
        <v>1.0922447480461372E-3</v>
      </c>
      <c r="AK128" s="181"/>
    </row>
    <row r="129" spans="1:37" ht="15" x14ac:dyDescent="0.2">
      <c r="A129" s="142" t="s">
        <v>1205</v>
      </c>
      <c r="B129" s="143" t="s">
        <v>1205</v>
      </c>
      <c r="C129" s="143" t="s">
        <v>1424</v>
      </c>
      <c r="D129" s="143" t="s">
        <v>1425</v>
      </c>
      <c r="E129" s="143" t="s">
        <v>309</v>
      </c>
      <c r="F129" s="143" t="s">
        <v>1787</v>
      </c>
      <c r="G129" s="143" t="s">
        <v>1788</v>
      </c>
      <c r="H129" s="143" t="s">
        <v>321</v>
      </c>
      <c r="I129" s="143" t="s">
        <v>951</v>
      </c>
      <c r="J129" s="143" t="s">
        <v>204</v>
      </c>
      <c r="K129" s="143" t="s">
        <v>204</v>
      </c>
      <c r="L129" s="143" t="s">
        <v>325</v>
      </c>
      <c r="M129" s="143" t="s">
        <v>340</v>
      </c>
      <c r="N129" s="143" t="s">
        <v>445</v>
      </c>
      <c r="O129" s="143" t="s">
        <v>339</v>
      </c>
      <c r="P129" s="143" t="s">
        <v>1347</v>
      </c>
      <c r="Q129" s="143" t="s">
        <v>413</v>
      </c>
      <c r="R129" s="143" t="s">
        <v>407</v>
      </c>
      <c r="S129" s="143" t="s">
        <v>1210</v>
      </c>
      <c r="T129" s="144">
        <v>7.65</v>
      </c>
      <c r="U129" s="143" t="s">
        <v>1789</v>
      </c>
      <c r="V129" s="146">
        <v>6.0199999999999997E-2</v>
      </c>
      <c r="W129" s="146">
        <v>6.1143999999999997E-2</v>
      </c>
      <c r="X129" s="143" t="s">
        <v>412</v>
      </c>
      <c r="Y129" s="145" t="s">
        <v>3853</v>
      </c>
      <c r="Z129" s="144">
        <v>660000</v>
      </c>
      <c r="AA129" s="145" t="s">
        <v>3853</v>
      </c>
      <c r="AB129" s="143" t="s">
        <v>1532</v>
      </c>
      <c r="AC129" s="145" t="s">
        <v>3853</v>
      </c>
      <c r="AD129" s="144">
        <v>660</v>
      </c>
      <c r="AE129" s="145" t="s">
        <v>3853</v>
      </c>
      <c r="AF129" s="145" t="s">
        <v>3853</v>
      </c>
      <c r="AG129" s="145" t="s">
        <v>3853</v>
      </c>
      <c r="AH129" s="146">
        <v>1.32E-3</v>
      </c>
      <c r="AI129" s="146">
        <v>8.968022676458999E-3</v>
      </c>
      <c r="AJ129" s="147">
        <v>9.9653324118726544E-4</v>
      </c>
      <c r="AK129" s="181"/>
    </row>
    <row r="130" spans="1:37" ht="15" x14ac:dyDescent="0.2">
      <c r="A130" s="142" t="s">
        <v>1205</v>
      </c>
      <c r="B130" s="143" t="s">
        <v>1205</v>
      </c>
      <c r="C130" s="143" t="s">
        <v>1349</v>
      </c>
      <c r="D130" s="143" t="s">
        <v>1350</v>
      </c>
      <c r="E130" s="143" t="s">
        <v>309</v>
      </c>
      <c r="F130" s="143" t="s">
        <v>1790</v>
      </c>
      <c r="G130" s="143" t="s">
        <v>1791</v>
      </c>
      <c r="H130" s="143" t="s">
        <v>321</v>
      </c>
      <c r="I130" s="143" t="s">
        <v>951</v>
      </c>
      <c r="J130" s="143" t="s">
        <v>204</v>
      </c>
      <c r="K130" s="143" t="s">
        <v>204</v>
      </c>
      <c r="L130" s="143" t="s">
        <v>325</v>
      </c>
      <c r="M130" s="143" t="s">
        <v>340</v>
      </c>
      <c r="N130" s="143" t="s">
        <v>448</v>
      </c>
      <c r="O130" s="143" t="s">
        <v>339</v>
      </c>
      <c r="P130" s="143" t="s">
        <v>1222</v>
      </c>
      <c r="Q130" s="143" t="s">
        <v>413</v>
      </c>
      <c r="R130" s="143" t="s">
        <v>407</v>
      </c>
      <c r="S130" s="143" t="s">
        <v>1210</v>
      </c>
      <c r="T130" s="144">
        <v>3.49</v>
      </c>
      <c r="U130" s="143" t="s">
        <v>1792</v>
      </c>
      <c r="V130" s="146">
        <v>2.7400000000000001E-2</v>
      </c>
      <c r="W130" s="146">
        <v>5.0221000000000002E-2</v>
      </c>
      <c r="X130" s="143" t="s">
        <v>412</v>
      </c>
      <c r="Y130" s="145" t="s">
        <v>3853</v>
      </c>
      <c r="Z130" s="144">
        <v>700020.03</v>
      </c>
      <c r="AA130" s="145" t="s">
        <v>3853</v>
      </c>
      <c r="AB130" s="143" t="s">
        <v>1793</v>
      </c>
      <c r="AC130" s="145" t="s">
        <v>3853</v>
      </c>
      <c r="AD130" s="144">
        <v>651.64859999999999</v>
      </c>
      <c r="AE130" s="145" t="s">
        <v>3853</v>
      </c>
      <c r="AF130" s="145" t="s">
        <v>3853</v>
      </c>
      <c r="AG130" s="145" t="s">
        <v>3853</v>
      </c>
      <c r="AH130" s="146">
        <v>4.6728610035245136E-4</v>
      </c>
      <c r="AI130" s="146">
        <v>8.8545452026623298E-3</v>
      </c>
      <c r="AJ130" s="147">
        <v>9.8392354127413038E-4</v>
      </c>
      <c r="AK130" s="181"/>
    </row>
    <row r="131" spans="1:37" ht="15" x14ac:dyDescent="0.2">
      <c r="A131" s="142" t="s">
        <v>1205</v>
      </c>
      <c r="B131" s="143" t="s">
        <v>1205</v>
      </c>
      <c r="C131" s="143" t="s">
        <v>1430</v>
      </c>
      <c r="D131" s="143" t="s">
        <v>1431</v>
      </c>
      <c r="E131" s="143" t="s">
        <v>309</v>
      </c>
      <c r="F131" s="143" t="s">
        <v>1668</v>
      </c>
      <c r="G131" s="143" t="s">
        <v>1669</v>
      </c>
      <c r="H131" s="143" t="s">
        <v>321</v>
      </c>
      <c r="I131" s="143" t="s">
        <v>951</v>
      </c>
      <c r="J131" s="143" t="s">
        <v>204</v>
      </c>
      <c r="K131" s="143" t="s">
        <v>204</v>
      </c>
      <c r="L131" s="143" t="s">
        <v>325</v>
      </c>
      <c r="M131" s="143" t="s">
        <v>340</v>
      </c>
      <c r="N131" s="143" t="s">
        <v>484</v>
      </c>
      <c r="O131" s="143" t="s">
        <v>339</v>
      </c>
      <c r="P131" s="143" t="s">
        <v>1396</v>
      </c>
      <c r="Q131" s="143" t="s">
        <v>413</v>
      </c>
      <c r="R131" s="143" t="s">
        <v>407</v>
      </c>
      <c r="S131" s="143" t="s">
        <v>1210</v>
      </c>
      <c r="T131" s="144">
        <v>3.49</v>
      </c>
      <c r="U131" s="143" t="s">
        <v>1670</v>
      </c>
      <c r="V131" s="146">
        <v>4.7300000000000002E-2</v>
      </c>
      <c r="W131" s="146">
        <v>5.6944000000000002E-2</v>
      </c>
      <c r="X131" s="143" t="s">
        <v>412</v>
      </c>
      <c r="Y131" s="145" t="s">
        <v>3853</v>
      </c>
      <c r="Z131" s="144">
        <v>650000</v>
      </c>
      <c r="AA131" s="145" t="s">
        <v>3853</v>
      </c>
      <c r="AB131" s="143" t="s">
        <v>1671</v>
      </c>
      <c r="AC131" s="144">
        <v>15.3725</v>
      </c>
      <c r="AD131" s="144">
        <v>645.61249999999995</v>
      </c>
      <c r="AE131" s="145" t="s">
        <v>3853</v>
      </c>
      <c r="AF131" s="145" t="s">
        <v>3853</v>
      </c>
      <c r="AG131" s="145" t="s">
        <v>3853</v>
      </c>
      <c r="AH131" s="146">
        <v>1.6459238063887165E-3</v>
      </c>
      <c r="AI131" s="146">
        <v>8.9814067709079581E-3</v>
      </c>
      <c r="AJ131" s="147">
        <v>9.9802049155479499E-4</v>
      </c>
      <c r="AK131" s="181"/>
    </row>
    <row r="132" spans="1:37" ht="15" x14ac:dyDescent="0.2">
      <c r="A132" s="142" t="s">
        <v>1205</v>
      </c>
      <c r="B132" s="143" t="s">
        <v>1205</v>
      </c>
      <c r="C132" s="143" t="s">
        <v>1794</v>
      </c>
      <c r="D132" s="143" t="s">
        <v>1795</v>
      </c>
      <c r="E132" s="143" t="s">
        <v>309</v>
      </c>
      <c r="F132" s="143" t="s">
        <v>1796</v>
      </c>
      <c r="G132" s="143" t="s">
        <v>1797</v>
      </c>
      <c r="H132" s="143" t="s">
        <v>321</v>
      </c>
      <c r="I132" s="143" t="s">
        <v>951</v>
      </c>
      <c r="J132" s="143" t="s">
        <v>204</v>
      </c>
      <c r="K132" s="143" t="s">
        <v>204</v>
      </c>
      <c r="L132" s="143" t="s">
        <v>325</v>
      </c>
      <c r="M132" s="143" t="s">
        <v>340</v>
      </c>
      <c r="N132" s="143" t="s">
        <v>443</v>
      </c>
      <c r="O132" s="143" t="s">
        <v>339</v>
      </c>
      <c r="P132" s="143" t="s">
        <v>1402</v>
      </c>
      <c r="Q132" s="143" t="s">
        <v>415</v>
      </c>
      <c r="R132" s="143" t="s">
        <v>407</v>
      </c>
      <c r="S132" s="143" t="s">
        <v>1210</v>
      </c>
      <c r="T132" s="144">
        <v>1.19</v>
      </c>
      <c r="U132" s="143" t="s">
        <v>1422</v>
      </c>
      <c r="V132" s="146">
        <v>6.9000000000000006E-2</v>
      </c>
      <c r="W132" s="146">
        <v>6.8987000000000007E-2</v>
      </c>
      <c r="X132" s="143" t="s">
        <v>412</v>
      </c>
      <c r="Y132" s="145" t="s">
        <v>3853</v>
      </c>
      <c r="Z132" s="144">
        <v>600000</v>
      </c>
      <c r="AA132" s="145" t="s">
        <v>3853</v>
      </c>
      <c r="AB132" s="143" t="s">
        <v>1798</v>
      </c>
      <c r="AC132" s="145" t="s">
        <v>3853</v>
      </c>
      <c r="AD132" s="144">
        <v>611.22</v>
      </c>
      <c r="AE132" s="145" t="s">
        <v>3853</v>
      </c>
      <c r="AF132" s="145" t="s">
        <v>3853</v>
      </c>
      <c r="AG132" s="145" t="s">
        <v>3853</v>
      </c>
      <c r="AH132" s="146">
        <v>1.6629711751662971E-3</v>
      </c>
      <c r="AI132" s="146">
        <v>8.3052042731898024E-3</v>
      </c>
      <c r="AJ132" s="147">
        <v>9.2288037527042492E-4</v>
      </c>
      <c r="AK132" s="181"/>
    </row>
    <row r="133" spans="1:37" ht="15" x14ac:dyDescent="0.2">
      <c r="A133" s="142" t="s">
        <v>1205</v>
      </c>
      <c r="B133" s="143" t="s">
        <v>1205</v>
      </c>
      <c r="C133" s="143" t="s">
        <v>1672</v>
      </c>
      <c r="D133" s="143" t="s">
        <v>1673</v>
      </c>
      <c r="E133" s="143" t="s">
        <v>309</v>
      </c>
      <c r="F133" s="143" t="s">
        <v>1674</v>
      </c>
      <c r="G133" s="143" t="s">
        <v>1675</v>
      </c>
      <c r="H133" s="143" t="s">
        <v>321</v>
      </c>
      <c r="I133" s="143" t="s">
        <v>951</v>
      </c>
      <c r="J133" s="143" t="s">
        <v>204</v>
      </c>
      <c r="K133" s="143" t="s">
        <v>204</v>
      </c>
      <c r="L133" s="143" t="s">
        <v>325</v>
      </c>
      <c r="M133" s="143" t="s">
        <v>340</v>
      </c>
      <c r="N133" s="143" t="s">
        <v>447</v>
      </c>
      <c r="O133" s="143" t="s">
        <v>339</v>
      </c>
      <c r="P133" s="143" t="s">
        <v>1402</v>
      </c>
      <c r="Q133" s="143" t="s">
        <v>415</v>
      </c>
      <c r="R133" s="143" t="s">
        <v>407</v>
      </c>
      <c r="S133" s="143" t="s">
        <v>1210</v>
      </c>
      <c r="T133" s="144">
        <v>2.4900000000000002</v>
      </c>
      <c r="U133" s="143" t="s">
        <v>1428</v>
      </c>
      <c r="V133" s="146">
        <v>4.53E-2</v>
      </c>
      <c r="W133" s="146">
        <v>6.2630000000000005E-2</v>
      </c>
      <c r="X133" s="143" t="s">
        <v>412</v>
      </c>
      <c r="Y133" s="145" t="s">
        <v>3853</v>
      </c>
      <c r="Z133" s="144">
        <v>632765</v>
      </c>
      <c r="AA133" s="145" t="s">
        <v>3853</v>
      </c>
      <c r="AB133" s="143" t="s">
        <v>1676</v>
      </c>
      <c r="AC133" s="145" t="s">
        <v>3853</v>
      </c>
      <c r="AD133" s="144">
        <v>608.08719999999994</v>
      </c>
      <c r="AE133" s="145" t="s">
        <v>3853</v>
      </c>
      <c r="AF133" s="145" t="s">
        <v>3853</v>
      </c>
      <c r="AG133" s="145" t="s">
        <v>3853</v>
      </c>
      <c r="AH133" s="146">
        <v>9.0395000000000004E-4</v>
      </c>
      <c r="AI133" s="146">
        <v>8.2626355833085845E-3</v>
      </c>
      <c r="AJ133" s="147">
        <v>9.1815011130579624E-4</v>
      </c>
      <c r="AK133" s="181"/>
    </row>
    <row r="134" spans="1:37" ht="15" x14ac:dyDescent="0.2">
      <c r="A134" s="142" t="s">
        <v>1205</v>
      </c>
      <c r="B134" s="143" t="s">
        <v>1205</v>
      </c>
      <c r="C134" s="143" t="s">
        <v>1362</v>
      </c>
      <c r="D134" s="143" t="s">
        <v>1363</v>
      </c>
      <c r="E134" s="143" t="s">
        <v>309</v>
      </c>
      <c r="F134" s="143" t="s">
        <v>1364</v>
      </c>
      <c r="G134" s="143" t="s">
        <v>1365</v>
      </c>
      <c r="H134" s="143" t="s">
        <v>321</v>
      </c>
      <c r="I134" s="143" t="s">
        <v>951</v>
      </c>
      <c r="J134" s="143" t="s">
        <v>204</v>
      </c>
      <c r="K134" s="143" t="s">
        <v>204</v>
      </c>
      <c r="L134" s="143" t="s">
        <v>325</v>
      </c>
      <c r="M134" s="143" t="s">
        <v>340</v>
      </c>
      <c r="N134" s="143" t="s">
        <v>440</v>
      </c>
      <c r="O134" s="143" t="s">
        <v>339</v>
      </c>
      <c r="P134" s="143" t="s">
        <v>1366</v>
      </c>
      <c r="Q134" s="143" t="s">
        <v>413</v>
      </c>
      <c r="R134" s="143" t="s">
        <v>407</v>
      </c>
      <c r="S134" s="143" t="s">
        <v>1210</v>
      </c>
      <c r="T134" s="144">
        <v>3.26</v>
      </c>
      <c r="U134" s="143" t="s">
        <v>1367</v>
      </c>
      <c r="V134" s="146">
        <v>2.5000000000000001E-2</v>
      </c>
      <c r="W134" s="146">
        <v>5.9434000000000001E-2</v>
      </c>
      <c r="X134" s="143" t="s">
        <v>412</v>
      </c>
      <c r="Y134" s="145" t="s">
        <v>3853</v>
      </c>
      <c r="Z134" s="144">
        <v>664050</v>
      </c>
      <c r="AA134" s="145" t="s">
        <v>3853</v>
      </c>
      <c r="AB134" s="143" t="s">
        <v>1368</v>
      </c>
      <c r="AC134" s="145" t="s">
        <v>3853</v>
      </c>
      <c r="AD134" s="144">
        <v>600.16840000000002</v>
      </c>
      <c r="AE134" s="145" t="s">
        <v>3853</v>
      </c>
      <c r="AF134" s="145" t="s">
        <v>3853</v>
      </c>
      <c r="AG134" s="145" t="s">
        <v>3853</v>
      </c>
      <c r="AH134" s="146">
        <v>8.2161155757099185E-4</v>
      </c>
      <c r="AI134" s="146">
        <v>8.1550359563846795E-3</v>
      </c>
      <c r="AJ134" s="147">
        <v>9.0619356203764073E-4</v>
      </c>
      <c r="AK134" s="181"/>
    </row>
    <row r="135" spans="1:37" ht="15" x14ac:dyDescent="0.2">
      <c r="A135" s="142" t="s">
        <v>1205</v>
      </c>
      <c r="B135" s="143" t="s">
        <v>1205</v>
      </c>
      <c r="C135" s="143" t="s">
        <v>1690</v>
      </c>
      <c r="D135" s="143" t="s">
        <v>1691</v>
      </c>
      <c r="E135" s="143" t="s">
        <v>309</v>
      </c>
      <c r="F135" s="143" t="s">
        <v>1799</v>
      </c>
      <c r="G135" s="143" t="s">
        <v>1800</v>
      </c>
      <c r="H135" s="143" t="s">
        <v>321</v>
      </c>
      <c r="I135" s="143" t="s">
        <v>951</v>
      </c>
      <c r="J135" s="143" t="s">
        <v>204</v>
      </c>
      <c r="K135" s="143" t="s">
        <v>204</v>
      </c>
      <c r="L135" s="143" t="s">
        <v>325</v>
      </c>
      <c r="M135" s="143" t="s">
        <v>340</v>
      </c>
      <c r="N135" s="143" t="s">
        <v>464</v>
      </c>
      <c r="O135" s="143" t="s">
        <v>339</v>
      </c>
      <c r="P135" s="143" t="s">
        <v>1440</v>
      </c>
      <c r="Q135" s="143" t="s">
        <v>415</v>
      </c>
      <c r="R135" s="143" t="s">
        <v>407</v>
      </c>
      <c r="S135" s="143" t="s">
        <v>1210</v>
      </c>
      <c r="T135" s="144">
        <v>5.55</v>
      </c>
      <c r="U135" s="143" t="s">
        <v>1801</v>
      </c>
      <c r="V135" s="146">
        <v>5.4800000000000001E-2</v>
      </c>
      <c r="W135" s="146">
        <v>6.3372999999999999E-2</v>
      </c>
      <c r="X135" s="143" t="s">
        <v>412</v>
      </c>
      <c r="Y135" s="145" t="s">
        <v>3853</v>
      </c>
      <c r="Z135" s="144">
        <v>620000</v>
      </c>
      <c r="AA135" s="145" t="s">
        <v>3853</v>
      </c>
      <c r="AB135" s="143" t="s">
        <v>1802</v>
      </c>
      <c r="AC135" s="145" t="s">
        <v>3853</v>
      </c>
      <c r="AD135" s="144">
        <v>595.07600000000002</v>
      </c>
      <c r="AE135" s="145" t="s">
        <v>3853</v>
      </c>
      <c r="AF135" s="145" t="s">
        <v>3853</v>
      </c>
      <c r="AG135" s="145" t="s">
        <v>3853</v>
      </c>
      <c r="AH135" s="146">
        <v>2.0666666666666667E-3</v>
      </c>
      <c r="AI135" s="146">
        <v>8.0858410033583569E-3</v>
      </c>
      <c r="AJ135" s="147">
        <v>8.9850456823144427E-4</v>
      </c>
      <c r="AK135" s="181"/>
    </row>
    <row r="136" spans="1:37" ht="15" x14ac:dyDescent="0.2">
      <c r="A136" s="142" t="s">
        <v>1205</v>
      </c>
      <c r="B136" s="143" t="s">
        <v>1205</v>
      </c>
      <c r="C136" s="143" t="s">
        <v>1355</v>
      </c>
      <c r="D136" s="143" t="s">
        <v>1356</v>
      </c>
      <c r="E136" s="143" t="s">
        <v>309</v>
      </c>
      <c r="F136" s="143" t="s">
        <v>1357</v>
      </c>
      <c r="G136" s="143" t="s">
        <v>1358</v>
      </c>
      <c r="H136" s="143" t="s">
        <v>321</v>
      </c>
      <c r="I136" s="143" t="s">
        <v>951</v>
      </c>
      <c r="J136" s="143" t="s">
        <v>204</v>
      </c>
      <c r="K136" s="143" t="s">
        <v>204</v>
      </c>
      <c r="L136" s="143" t="s">
        <v>325</v>
      </c>
      <c r="M136" s="143" t="s">
        <v>340</v>
      </c>
      <c r="N136" s="143" t="s">
        <v>445</v>
      </c>
      <c r="O136" s="143" t="s">
        <v>339</v>
      </c>
      <c r="P136" s="143" t="s">
        <v>1359</v>
      </c>
      <c r="Q136" s="143" t="s">
        <v>415</v>
      </c>
      <c r="R136" s="143" t="s">
        <v>407</v>
      </c>
      <c r="S136" s="143" t="s">
        <v>1210</v>
      </c>
      <c r="T136" s="144">
        <v>1.05</v>
      </c>
      <c r="U136" s="143" t="s">
        <v>1360</v>
      </c>
      <c r="V136" s="146">
        <v>3.61E-2</v>
      </c>
      <c r="W136" s="146">
        <v>5.1234000000000002E-2</v>
      </c>
      <c r="X136" s="143" t="s">
        <v>412</v>
      </c>
      <c r="Y136" s="145" t="s">
        <v>3853</v>
      </c>
      <c r="Z136" s="144">
        <v>574992</v>
      </c>
      <c r="AA136" s="145" t="s">
        <v>3853</v>
      </c>
      <c r="AB136" s="143" t="s">
        <v>1361</v>
      </c>
      <c r="AC136" s="145" t="s">
        <v>3853</v>
      </c>
      <c r="AD136" s="144">
        <v>575.04949999999997</v>
      </c>
      <c r="AE136" s="145" t="s">
        <v>3853</v>
      </c>
      <c r="AF136" s="145" t="s">
        <v>3853</v>
      </c>
      <c r="AG136" s="145" t="s">
        <v>3853</v>
      </c>
      <c r="AH136" s="146">
        <v>7.4917524429967428E-4</v>
      </c>
      <c r="AI136" s="146">
        <v>7.8137226498666539E-3</v>
      </c>
      <c r="AJ136" s="147">
        <v>8.6826657769831792E-4</v>
      </c>
      <c r="AK136" s="181"/>
    </row>
    <row r="137" spans="1:37" ht="15" x14ac:dyDescent="0.2">
      <c r="A137" s="142" t="s">
        <v>1205</v>
      </c>
      <c r="B137" s="143" t="s">
        <v>1205</v>
      </c>
      <c r="C137" s="143" t="s">
        <v>1424</v>
      </c>
      <c r="D137" s="143" t="s">
        <v>1425</v>
      </c>
      <c r="E137" s="143" t="s">
        <v>309</v>
      </c>
      <c r="F137" s="143" t="s">
        <v>1426</v>
      </c>
      <c r="G137" s="143" t="s">
        <v>1427</v>
      </c>
      <c r="H137" s="143" t="s">
        <v>321</v>
      </c>
      <c r="I137" s="143" t="s">
        <v>951</v>
      </c>
      <c r="J137" s="143" t="s">
        <v>204</v>
      </c>
      <c r="K137" s="143" t="s">
        <v>204</v>
      </c>
      <c r="L137" s="143" t="s">
        <v>325</v>
      </c>
      <c r="M137" s="143" t="s">
        <v>340</v>
      </c>
      <c r="N137" s="143" t="s">
        <v>445</v>
      </c>
      <c r="O137" s="143" t="s">
        <v>339</v>
      </c>
      <c r="P137" s="143" t="s">
        <v>1359</v>
      </c>
      <c r="Q137" s="143" t="s">
        <v>415</v>
      </c>
      <c r="R137" s="143" t="s">
        <v>407</v>
      </c>
      <c r="S137" s="143" t="s">
        <v>1210</v>
      </c>
      <c r="T137" s="144">
        <v>3.28</v>
      </c>
      <c r="U137" s="143" t="s">
        <v>1428</v>
      </c>
      <c r="V137" s="146">
        <v>4.36E-2</v>
      </c>
      <c r="W137" s="146">
        <v>5.1854999999999998E-2</v>
      </c>
      <c r="X137" s="143" t="s">
        <v>412</v>
      </c>
      <c r="Y137" s="145" t="s">
        <v>3853</v>
      </c>
      <c r="Z137" s="144">
        <v>589000</v>
      </c>
      <c r="AA137" s="145" t="s">
        <v>3853</v>
      </c>
      <c r="AB137" s="143" t="s">
        <v>1429</v>
      </c>
      <c r="AC137" s="145" t="s">
        <v>3853</v>
      </c>
      <c r="AD137" s="144">
        <v>574.86400000000003</v>
      </c>
      <c r="AE137" s="145" t="s">
        <v>3853</v>
      </c>
      <c r="AF137" s="145" t="s">
        <v>3853</v>
      </c>
      <c r="AG137" s="145" t="s">
        <v>3853</v>
      </c>
      <c r="AH137" s="146">
        <v>1.9633333333333334E-3</v>
      </c>
      <c r="AI137" s="146">
        <v>7.8112021028483736E-3</v>
      </c>
      <c r="AJ137" s="147">
        <v>8.6798649266950942E-4</v>
      </c>
      <c r="AK137" s="181"/>
    </row>
    <row r="138" spans="1:37" ht="15" x14ac:dyDescent="0.2">
      <c r="A138" s="142" t="s">
        <v>1205</v>
      </c>
      <c r="B138" s="143" t="s">
        <v>1205</v>
      </c>
      <c r="C138" s="143" t="s">
        <v>1386</v>
      </c>
      <c r="D138" s="143" t="s">
        <v>1387</v>
      </c>
      <c r="E138" s="143" t="s">
        <v>309</v>
      </c>
      <c r="F138" s="143" t="s">
        <v>1803</v>
      </c>
      <c r="G138" s="143" t="s">
        <v>1804</v>
      </c>
      <c r="H138" s="143" t="s">
        <v>321</v>
      </c>
      <c r="I138" s="143" t="s">
        <v>951</v>
      </c>
      <c r="J138" s="143" t="s">
        <v>204</v>
      </c>
      <c r="K138" s="143" t="s">
        <v>204</v>
      </c>
      <c r="L138" s="143" t="s">
        <v>325</v>
      </c>
      <c r="M138" s="143" t="s">
        <v>340</v>
      </c>
      <c r="N138" s="143" t="s">
        <v>464</v>
      </c>
      <c r="O138" s="143" t="s">
        <v>339</v>
      </c>
      <c r="P138" s="143" t="s">
        <v>1347</v>
      </c>
      <c r="Q138" s="143" t="s">
        <v>413</v>
      </c>
      <c r="R138" s="143" t="s">
        <v>407</v>
      </c>
      <c r="S138" s="143" t="s">
        <v>1210</v>
      </c>
      <c r="T138" s="144">
        <v>6.47</v>
      </c>
      <c r="U138" s="143" t="s">
        <v>1805</v>
      </c>
      <c r="V138" s="146">
        <v>4.9399999999999999E-2</v>
      </c>
      <c r="W138" s="146">
        <v>6.9442000000000004E-2</v>
      </c>
      <c r="X138" s="143" t="s">
        <v>412</v>
      </c>
      <c r="Y138" s="145" t="s">
        <v>3853</v>
      </c>
      <c r="Z138" s="144">
        <v>600000</v>
      </c>
      <c r="AA138" s="145" t="s">
        <v>3853</v>
      </c>
      <c r="AB138" s="143" t="s">
        <v>1806</v>
      </c>
      <c r="AC138" s="145" t="s">
        <v>3853</v>
      </c>
      <c r="AD138" s="144">
        <v>538.55999999999995</v>
      </c>
      <c r="AE138" s="145" t="s">
        <v>3853</v>
      </c>
      <c r="AF138" s="145" t="s">
        <v>3853</v>
      </c>
      <c r="AG138" s="145" t="s">
        <v>3853</v>
      </c>
      <c r="AH138" s="146">
        <v>6.6844845315457537E-4</v>
      </c>
      <c r="AI138" s="146">
        <v>7.3179065039905436E-3</v>
      </c>
      <c r="AJ138" s="147">
        <v>8.131711248088087E-4</v>
      </c>
      <c r="AK138" s="181"/>
    </row>
    <row r="139" spans="1:37" ht="15" x14ac:dyDescent="0.2">
      <c r="A139" s="142" t="s">
        <v>1205</v>
      </c>
      <c r="B139" s="143" t="s">
        <v>1205</v>
      </c>
      <c r="C139" s="143" t="s">
        <v>1807</v>
      </c>
      <c r="D139" s="143" t="s">
        <v>1808</v>
      </c>
      <c r="E139" s="143" t="s">
        <v>309</v>
      </c>
      <c r="F139" s="143" t="s">
        <v>1809</v>
      </c>
      <c r="G139" s="143" t="s">
        <v>1810</v>
      </c>
      <c r="H139" s="143" t="s">
        <v>321</v>
      </c>
      <c r="I139" s="143" t="s">
        <v>951</v>
      </c>
      <c r="J139" s="143" t="s">
        <v>204</v>
      </c>
      <c r="K139" s="143" t="s">
        <v>204</v>
      </c>
      <c r="L139" s="143" t="s">
        <v>325</v>
      </c>
      <c r="M139" s="143" t="s">
        <v>340</v>
      </c>
      <c r="N139" s="143" t="s">
        <v>464</v>
      </c>
      <c r="O139" s="143" t="s">
        <v>339</v>
      </c>
      <c r="P139" s="143" t="s">
        <v>1757</v>
      </c>
      <c r="Q139" s="143" t="s">
        <v>413</v>
      </c>
      <c r="R139" s="143" t="s">
        <v>407</v>
      </c>
      <c r="S139" s="143" t="s">
        <v>1210</v>
      </c>
      <c r="T139" s="144">
        <v>2.4900000000000002</v>
      </c>
      <c r="U139" s="143" t="s">
        <v>1811</v>
      </c>
      <c r="V139" s="146">
        <v>5.0125999999999997E-2</v>
      </c>
      <c r="W139" s="146">
        <v>5.7846000000000002E-2</v>
      </c>
      <c r="X139" s="143" t="s">
        <v>412</v>
      </c>
      <c r="Y139" s="145" t="s">
        <v>3853</v>
      </c>
      <c r="Z139" s="144">
        <v>531428.6</v>
      </c>
      <c r="AA139" s="145" t="s">
        <v>3853</v>
      </c>
      <c r="AB139" s="143" t="s">
        <v>1812</v>
      </c>
      <c r="AC139" s="145" t="s">
        <v>3853</v>
      </c>
      <c r="AD139" s="144">
        <v>533.18230000000005</v>
      </c>
      <c r="AE139" s="145" t="s">
        <v>3853</v>
      </c>
      <c r="AF139" s="145" t="s">
        <v>3853</v>
      </c>
      <c r="AG139" s="145" t="s">
        <v>3853</v>
      </c>
      <c r="AH139" s="146">
        <v>1.1709203166211425E-3</v>
      </c>
      <c r="AI139" s="146">
        <v>7.2448349788586837E-3</v>
      </c>
      <c r="AJ139" s="147">
        <v>8.0505136347398332E-4</v>
      </c>
      <c r="AK139" s="181"/>
    </row>
    <row r="140" spans="1:37" ht="15" x14ac:dyDescent="0.2">
      <c r="A140" s="142" t="s">
        <v>1205</v>
      </c>
      <c r="B140" s="143" t="s">
        <v>1205</v>
      </c>
      <c r="C140" s="143" t="s">
        <v>1412</v>
      </c>
      <c r="D140" s="143" t="s">
        <v>1413</v>
      </c>
      <c r="E140" s="143" t="s">
        <v>309</v>
      </c>
      <c r="F140" s="143" t="s">
        <v>1813</v>
      </c>
      <c r="G140" s="143" t="s">
        <v>1814</v>
      </c>
      <c r="H140" s="143" t="s">
        <v>321</v>
      </c>
      <c r="I140" s="143" t="s">
        <v>951</v>
      </c>
      <c r="J140" s="143" t="s">
        <v>204</v>
      </c>
      <c r="K140" s="143" t="s">
        <v>204</v>
      </c>
      <c r="L140" s="143" t="s">
        <v>325</v>
      </c>
      <c r="M140" s="143" t="s">
        <v>340</v>
      </c>
      <c r="N140" s="143" t="s">
        <v>451</v>
      </c>
      <c r="O140" s="143" t="s">
        <v>339</v>
      </c>
      <c r="P140" s="143" t="s">
        <v>1396</v>
      </c>
      <c r="Q140" s="143" t="s">
        <v>413</v>
      </c>
      <c r="R140" s="143" t="s">
        <v>407</v>
      </c>
      <c r="S140" s="143" t="s">
        <v>1210</v>
      </c>
      <c r="T140" s="144">
        <v>5.05</v>
      </c>
      <c r="U140" s="143" t="s">
        <v>1815</v>
      </c>
      <c r="V140" s="146">
        <v>2.07E-2</v>
      </c>
      <c r="W140" s="146">
        <v>5.9485999999999997E-2</v>
      </c>
      <c r="X140" s="143" t="s">
        <v>412</v>
      </c>
      <c r="Y140" s="145" t="s">
        <v>3853</v>
      </c>
      <c r="Z140" s="144">
        <v>640000</v>
      </c>
      <c r="AA140" s="145" t="s">
        <v>3853</v>
      </c>
      <c r="AB140" s="143" t="s">
        <v>1816</v>
      </c>
      <c r="AC140" s="145" t="s">
        <v>3853</v>
      </c>
      <c r="AD140" s="144">
        <v>526.976</v>
      </c>
      <c r="AE140" s="145" t="s">
        <v>3853</v>
      </c>
      <c r="AF140" s="145" t="s">
        <v>3853</v>
      </c>
      <c r="AG140" s="145" t="s">
        <v>3853</v>
      </c>
      <c r="AH140" s="146">
        <v>1.5583150718285854E-3</v>
      </c>
      <c r="AI140" s="146">
        <v>7.1605041181055425E-3</v>
      </c>
      <c r="AJ140" s="147">
        <v>7.9568045652712188E-4</v>
      </c>
      <c r="AK140" s="181"/>
    </row>
    <row r="141" spans="1:37" ht="15" x14ac:dyDescent="0.2">
      <c r="A141" s="142" t="s">
        <v>1205</v>
      </c>
      <c r="B141" s="143" t="s">
        <v>1205</v>
      </c>
      <c r="C141" s="143" t="s">
        <v>1451</v>
      </c>
      <c r="D141" s="143" t="s">
        <v>1452</v>
      </c>
      <c r="E141" s="143" t="s">
        <v>309</v>
      </c>
      <c r="F141" s="143" t="s">
        <v>1453</v>
      </c>
      <c r="G141" s="143" t="s">
        <v>1454</v>
      </c>
      <c r="H141" s="143" t="s">
        <v>321</v>
      </c>
      <c r="I141" s="143" t="s">
        <v>951</v>
      </c>
      <c r="J141" s="143" t="s">
        <v>204</v>
      </c>
      <c r="K141" s="143" t="s">
        <v>204</v>
      </c>
      <c r="L141" s="143" t="s">
        <v>325</v>
      </c>
      <c r="M141" s="143" t="s">
        <v>340</v>
      </c>
      <c r="N141" s="143" t="s">
        <v>464</v>
      </c>
      <c r="O141" s="143" t="s">
        <v>339</v>
      </c>
      <c r="P141" s="143" t="s">
        <v>1409</v>
      </c>
      <c r="Q141" s="143" t="s">
        <v>413</v>
      </c>
      <c r="R141" s="143" t="s">
        <v>407</v>
      </c>
      <c r="S141" s="143" t="s">
        <v>1210</v>
      </c>
      <c r="T141" s="144">
        <v>5.38</v>
      </c>
      <c r="U141" s="143" t="s">
        <v>1455</v>
      </c>
      <c r="V141" s="146">
        <v>2.5499999999999998E-2</v>
      </c>
      <c r="W141" s="146">
        <v>6.1415999999999998E-2</v>
      </c>
      <c r="X141" s="143" t="s">
        <v>412</v>
      </c>
      <c r="Y141" s="145" t="s">
        <v>3853</v>
      </c>
      <c r="Z141" s="144">
        <v>632756.39</v>
      </c>
      <c r="AA141" s="145" t="s">
        <v>3853</v>
      </c>
      <c r="AB141" s="143" t="s">
        <v>1456</v>
      </c>
      <c r="AC141" s="145" t="s">
        <v>3853</v>
      </c>
      <c r="AD141" s="144">
        <v>524.04880000000003</v>
      </c>
      <c r="AE141" s="145" t="s">
        <v>3853</v>
      </c>
      <c r="AF141" s="145" t="s">
        <v>3853</v>
      </c>
      <c r="AG141" s="145" t="s">
        <v>3853</v>
      </c>
      <c r="AH141" s="146">
        <v>3.6492926267324893E-4</v>
      </c>
      <c r="AI141" s="146">
        <v>7.1207301521268905E-3</v>
      </c>
      <c r="AJ141" s="147">
        <v>7.9126074432728298E-4</v>
      </c>
      <c r="AK141" s="181"/>
    </row>
    <row r="142" spans="1:37" ht="15" x14ac:dyDescent="0.2">
      <c r="A142" s="142" t="s">
        <v>1205</v>
      </c>
      <c r="B142" s="143" t="s">
        <v>1205</v>
      </c>
      <c r="C142" s="143" t="s">
        <v>1685</v>
      </c>
      <c r="D142" s="143" t="s">
        <v>1686</v>
      </c>
      <c r="E142" s="143" t="s">
        <v>309</v>
      </c>
      <c r="F142" s="143" t="s">
        <v>1687</v>
      </c>
      <c r="G142" s="143" t="s">
        <v>1688</v>
      </c>
      <c r="H142" s="143" t="s">
        <v>321</v>
      </c>
      <c r="I142" s="143" t="s">
        <v>951</v>
      </c>
      <c r="J142" s="143" t="s">
        <v>204</v>
      </c>
      <c r="K142" s="143" t="s">
        <v>204</v>
      </c>
      <c r="L142" s="143" t="s">
        <v>325</v>
      </c>
      <c r="M142" s="143" t="s">
        <v>340</v>
      </c>
      <c r="N142" s="143" t="s">
        <v>445</v>
      </c>
      <c r="O142" s="143" t="s">
        <v>339</v>
      </c>
      <c r="P142" s="143" t="s">
        <v>1359</v>
      </c>
      <c r="Q142" s="143" t="s">
        <v>415</v>
      </c>
      <c r="R142" s="143" t="s">
        <v>407</v>
      </c>
      <c r="S142" s="143" t="s">
        <v>1210</v>
      </c>
      <c r="T142" s="144">
        <v>2.2000000000000002</v>
      </c>
      <c r="U142" s="143" t="s">
        <v>1422</v>
      </c>
      <c r="V142" s="146">
        <v>1.84E-2</v>
      </c>
      <c r="W142" s="146">
        <v>4.8425999999999997E-2</v>
      </c>
      <c r="X142" s="143" t="s">
        <v>412</v>
      </c>
      <c r="Y142" s="145" t="s">
        <v>3853</v>
      </c>
      <c r="Z142" s="144">
        <v>542000</v>
      </c>
      <c r="AA142" s="145" t="s">
        <v>3853</v>
      </c>
      <c r="AB142" s="143" t="s">
        <v>1689</v>
      </c>
      <c r="AC142" s="145" t="s">
        <v>3853</v>
      </c>
      <c r="AD142" s="144">
        <v>510.88920000000002</v>
      </c>
      <c r="AE142" s="145" t="s">
        <v>3853</v>
      </c>
      <c r="AF142" s="145" t="s">
        <v>3853</v>
      </c>
      <c r="AG142" s="145" t="s">
        <v>3853</v>
      </c>
      <c r="AH142" s="146">
        <v>1.8066666666666667E-3</v>
      </c>
      <c r="AI142" s="146">
        <v>6.9419180769060562E-3</v>
      </c>
      <c r="AJ142" s="147">
        <v>7.7139101570237751E-4</v>
      </c>
      <c r="AK142" s="181"/>
    </row>
    <row r="143" spans="1:37" ht="15" x14ac:dyDescent="0.2">
      <c r="A143" s="142" t="s">
        <v>1205</v>
      </c>
      <c r="B143" s="143" t="s">
        <v>1205</v>
      </c>
      <c r="C143" s="143" t="s">
        <v>1412</v>
      </c>
      <c r="D143" s="143" t="s">
        <v>1413</v>
      </c>
      <c r="E143" s="143" t="s">
        <v>309</v>
      </c>
      <c r="F143" s="143" t="s">
        <v>1817</v>
      </c>
      <c r="G143" s="143" t="s">
        <v>1818</v>
      </c>
      <c r="H143" s="143" t="s">
        <v>321</v>
      </c>
      <c r="I143" s="143" t="s">
        <v>951</v>
      </c>
      <c r="J143" s="143" t="s">
        <v>204</v>
      </c>
      <c r="K143" s="143" t="s">
        <v>204</v>
      </c>
      <c r="L143" s="143" t="s">
        <v>325</v>
      </c>
      <c r="M143" s="143" t="s">
        <v>340</v>
      </c>
      <c r="N143" s="143" t="s">
        <v>451</v>
      </c>
      <c r="O143" s="143" t="s">
        <v>339</v>
      </c>
      <c r="P143" s="143" t="s">
        <v>1396</v>
      </c>
      <c r="Q143" s="143" t="s">
        <v>413</v>
      </c>
      <c r="R143" s="143" t="s">
        <v>407</v>
      </c>
      <c r="S143" s="143" t="s">
        <v>1210</v>
      </c>
      <c r="T143" s="144">
        <v>3.13</v>
      </c>
      <c r="U143" s="143" t="s">
        <v>1819</v>
      </c>
      <c r="V143" s="146">
        <v>0.04</v>
      </c>
      <c r="W143" s="146">
        <v>5.6988999999999998E-2</v>
      </c>
      <c r="X143" s="143" t="s">
        <v>412</v>
      </c>
      <c r="Y143" s="145" t="s">
        <v>3853</v>
      </c>
      <c r="Z143" s="144">
        <v>525000.06000000006</v>
      </c>
      <c r="AA143" s="145" t="s">
        <v>3853</v>
      </c>
      <c r="AB143" s="143" t="s">
        <v>1820</v>
      </c>
      <c r="AC143" s="145" t="s">
        <v>3853</v>
      </c>
      <c r="AD143" s="144">
        <v>508.83009999999996</v>
      </c>
      <c r="AE143" s="145" t="s">
        <v>3853</v>
      </c>
      <c r="AF143" s="145" t="s">
        <v>3853</v>
      </c>
      <c r="AG143" s="145" t="s">
        <v>3853</v>
      </c>
      <c r="AH143" s="146">
        <v>7.7493049763555522E-4</v>
      </c>
      <c r="AI143" s="146">
        <v>6.9139386363198298E-3</v>
      </c>
      <c r="AJ143" s="147">
        <v>7.6828191979351121E-4</v>
      </c>
      <c r="AK143" s="181"/>
    </row>
    <row r="144" spans="1:37" ht="15" x14ac:dyDescent="0.2">
      <c r="A144" s="142" t="s">
        <v>1205</v>
      </c>
      <c r="B144" s="143" t="s">
        <v>1205</v>
      </c>
      <c r="C144" s="143" t="s">
        <v>1373</v>
      </c>
      <c r="D144" s="143" t="s">
        <v>1374</v>
      </c>
      <c r="E144" s="143" t="s">
        <v>309</v>
      </c>
      <c r="F144" s="143" t="s">
        <v>1821</v>
      </c>
      <c r="G144" s="143" t="s">
        <v>1822</v>
      </c>
      <c r="H144" s="143" t="s">
        <v>321</v>
      </c>
      <c r="I144" s="143" t="s">
        <v>951</v>
      </c>
      <c r="J144" s="143" t="s">
        <v>204</v>
      </c>
      <c r="K144" s="143" t="s">
        <v>204</v>
      </c>
      <c r="L144" s="143" t="s">
        <v>325</v>
      </c>
      <c r="M144" s="143" t="s">
        <v>340</v>
      </c>
      <c r="N144" s="143" t="s">
        <v>484</v>
      </c>
      <c r="O144" s="143" t="s">
        <v>339</v>
      </c>
      <c r="P144" s="143" t="s">
        <v>1377</v>
      </c>
      <c r="Q144" s="143" t="s">
        <v>415</v>
      </c>
      <c r="R144" s="143" t="s">
        <v>407</v>
      </c>
      <c r="S144" s="143" t="s">
        <v>1210</v>
      </c>
      <c r="T144" s="144">
        <v>8.09</v>
      </c>
      <c r="U144" s="143" t="s">
        <v>1823</v>
      </c>
      <c r="V144" s="146">
        <v>2.7900000000000001E-2</v>
      </c>
      <c r="W144" s="146">
        <v>5.8882999999999998E-2</v>
      </c>
      <c r="X144" s="143" t="s">
        <v>412</v>
      </c>
      <c r="Y144" s="145" t="s">
        <v>3853</v>
      </c>
      <c r="Z144" s="144">
        <v>630000</v>
      </c>
      <c r="AA144" s="145" t="s">
        <v>3853</v>
      </c>
      <c r="AB144" s="143" t="s">
        <v>1824</v>
      </c>
      <c r="AC144" s="145" t="s">
        <v>3853</v>
      </c>
      <c r="AD144" s="144">
        <v>495.68400000000003</v>
      </c>
      <c r="AE144" s="145" t="s">
        <v>3853</v>
      </c>
      <c r="AF144" s="145" t="s">
        <v>3853</v>
      </c>
      <c r="AG144" s="145" t="s">
        <v>3853</v>
      </c>
      <c r="AH144" s="146">
        <v>7.307202930304362E-4</v>
      </c>
      <c r="AI144" s="146">
        <v>6.7353111399362162E-3</v>
      </c>
      <c r="AJ144" s="147">
        <v>7.4843270170404323E-4</v>
      </c>
      <c r="AK144" s="181"/>
    </row>
    <row r="145" spans="1:37" ht="15" x14ac:dyDescent="0.2">
      <c r="A145" s="142" t="s">
        <v>1205</v>
      </c>
      <c r="B145" s="143" t="s">
        <v>1205</v>
      </c>
      <c r="C145" s="143" t="s">
        <v>1825</v>
      </c>
      <c r="D145" s="143" t="s">
        <v>1826</v>
      </c>
      <c r="E145" s="143" t="s">
        <v>309</v>
      </c>
      <c r="F145" s="143" t="s">
        <v>1827</v>
      </c>
      <c r="G145" s="143" t="s">
        <v>1828</v>
      </c>
      <c r="H145" s="143" t="s">
        <v>321</v>
      </c>
      <c r="I145" s="143" t="s">
        <v>951</v>
      </c>
      <c r="J145" s="143" t="s">
        <v>204</v>
      </c>
      <c r="K145" s="143" t="s">
        <v>224</v>
      </c>
      <c r="L145" s="143" t="s">
        <v>325</v>
      </c>
      <c r="M145" s="143" t="s">
        <v>340</v>
      </c>
      <c r="N145" s="143" t="s">
        <v>465</v>
      </c>
      <c r="O145" s="143" t="s">
        <v>339</v>
      </c>
      <c r="P145" s="143" t="s">
        <v>1347</v>
      </c>
      <c r="Q145" s="143" t="s">
        <v>413</v>
      </c>
      <c r="R145" s="143" t="s">
        <v>407</v>
      </c>
      <c r="S145" s="143" t="s">
        <v>1210</v>
      </c>
      <c r="T145" s="144">
        <v>1.1599999999999999</v>
      </c>
      <c r="U145" s="143" t="s">
        <v>1829</v>
      </c>
      <c r="V145" s="146">
        <v>4.8000000000000001E-2</v>
      </c>
      <c r="W145" s="146">
        <v>5.4014E-2</v>
      </c>
      <c r="X145" s="143" t="s">
        <v>412</v>
      </c>
      <c r="Y145" s="145" t="s">
        <v>3853</v>
      </c>
      <c r="Z145" s="144">
        <v>477196.5</v>
      </c>
      <c r="AA145" s="145" t="s">
        <v>3853</v>
      </c>
      <c r="AB145" s="143" t="s">
        <v>1830</v>
      </c>
      <c r="AC145" s="145" t="s">
        <v>3853</v>
      </c>
      <c r="AD145" s="144">
        <v>478.1986</v>
      </c>
      <c r="AE145" s="145" t="s">
        <v>3853</v>
      </c>
      <c r="AF145" s="145" t="s">
        <v>3853</v>
      </c>
      <c r="AG145" s="145" t="s">
        <v>3853</v>
      </c>
      <c r="AH145" s="146">
        <v>1.2725239999999999E-3</v>
      </c>
      <c r="AI145" s="146">
        <v>6.4977212152976267E-3</v>
      </c>
      <c r="AJ145" s="147">
        <v>7.2203153544751243E-4</v>
      </c>
      <c r="AK145" s="181"/>
    </row>
    <row r="146" spans="1:37" ht="15" x14ac:dyDescent="0.2">
      <c r="A146" s="142" t="s">
        <v>1205</v>
      </c>
      <c r="B146" s="143" t="s">
        <v>1205</v>
      </c>
      <c r="C146" s="143" t="s">
        <v>1831</v>
      </c>
      <c r="D146" s="143" t="s">
        <v>1832</v>
      </c>
      <c r="E146" s="143" t="s">
        <v>309</v>
      </c>
      <c r="F146" s="143" t="s">
        <v>1833</v>
      </c>
      <c r="G146" s="143" t="s">
        <v>1834</v>
      </c>
      <c r="H146" s="143" t="s">
        <v>321</v>
      </c>
      <c r="I146" s="143" t="s">
        <v>951</v>
      </c>
      <c r="J146" s="143" t="s">
        <v>204</v>
      </c>
      <c r="K146" s="143" t="s">
        <v>204</v>
      </c>
      <c r="L146" s="143" t="s">
        <v>325</v>
      </c>
      <c r="M146" s="143" t="s">
        <v>340</v>
      </c>
      <c r="N146" s="143" t="s">
        <v>454</v>
      </c>
      <c r="O146" s="143" t="s">
        <v>339</v>
      </c>
      <c r="P146" s="143" t="s">
        <v>1366</v>
      </c>
      <c r="Q146" s="143" t="s">
        <v>413</v>
      </c>
      <c r="R146" s="143" t="s">
        <v>407</v>
      </c>
      <c r="S146" s="143" t="s">
        <v>1210</v>
      </c>
      <c r="T146" s="144">
        <v>3.87</v>
      </c>
      <c r="U146" s="143" t="s">
        <v>1835</v>
      </c>
      <c r="V146" s="146">
        <v>6.7000000000000004E-2</v>
      </c>
      <c r="W146" s="146">
        <v>6.6008999999999998E-2</v>
      </c>
      <c r="X146" s="143" t="s">
        <v>412</v>
      </c>
      <c r="Y146" s="145" t="s">
        <v>3853</v>
      </c>
      <c r="Z146" s="144">
        <v>465000</v>
      </c>
      <c r="AA146" s="145" t="s">
        <v>3853</v>
      </c>
      <c r="AB146" s="143" t="s">
        <v>1836</v>
      </c>
      <c r="AC146" s="145" t="s">
        <v>3853</v>
      </c>
      <c r="AD146" s="144">
        <v>478.06650000000002</v>
      </c>
      <c r="AE146" s="145" t="s">
        <v>3853</v>
      </c>
      <c r="AF146" s="145" t="s">
        <v>3853</v>
      </c>
      <c r="AG146" s="145" t="s">
        <v>3853</v>
      </c>
      <c r="AH146" s="146">
        <v>5.1098901098901102E-4</v>
      </c>
      <c r="AI146" s="146">
        <v>6.4959260800839186E-3</v>
      </c>
      <c r="AJ146" s="147">
        <v>7.2183205870916952E-4</v>
      </c>
      <c r="AK146" s="181"/>
    </row>
    <row r="147" spans="1:37" ht="15" x14ac:dyDescent="0.2">
      <c r="A147" s="142" t="s">
        <v>1205</v>
      </c>
      <c r="B147" s="143" t="s">
        <v>1205</v>
      </c>
      <c r="C147" s="143" t="s">
        <v>1418</v>
      </c>
      <c r="D147" s="143" t="s">
        <v>1419</v>
      </c>
      <c r="E147" s="143" t="s">
        <v>309</v>
      </c>
      <c r="F147" s="143" t="s">
        <v>1420</v>
      </c>
      <c r="G147" s="143" t="s">
        <v>1421</v>
      </c>
      <c r="H147" s="143" t="s">
        <v>321</v>
      </c>
      <c r="I147" s="143" t="s">
        <v>951</v>
      </c>
      <c r="J147" s="143" t="s">
        <v>204</v>
      </c>
      <c r="K147" s="143" t="s">
        <v>204</v>
      </c>
      <c r="L147" s="143" t="s">
        <v>325</v>
      </c>
      <c r="M147" s="143" t="s">
        <v>340</v>
      </c>
      <c r="N147" s="143" t="s">
        <v>445</v>
      </c>
      <c r="O147" s="143" t="s">
        <v>339</v>
      </c>
      <c r="P147" s="143" t="s">
        <v>1377</v>
      </c>
      <c r="Q147" s="143" t="s">
        <v>415</v>
      </c>
      <c r="R147" s="143" t="s">
        <v>407</v>
      </c>
      <c r="S147" s="143" t="s">
        <v>1210</v>
      </c>
      <c r="T147" s="144">
        <v>1.2</v>
      </c>
      <c r="U147" s="143" t="s">
        <v>1422</v>
      </c>
      <c r="V147" s="146">
        <v>2.9399999999999999E-2</v>
      </c>
      <c r="W147" s="146">
        <v>4.9301999999999999E-2</v>
      </c>
      <c r="X147" s="143" t="s">
        <v>412</v>
      </c>
      <c r="Y147" s="145" t="s">
        <v>3853</v>
      </c>
      <c r="Z147" s="144">
        <v>455915.33</v>
      </c>
      <c r="AA147" s="145" t="s">
        <v>3853</v>
      </c>
      <c r="AB147" s="143" t="s">
        <v>1423</v>
      </c>
      <c r="AC147" s="145" t="s">
        <v>3853</v>
      </c>
      <c r="AD147" s="144">
        <v>455.32259999999997</v>
      </c>
      <c r="AE147" s="145" t="s">
        <v>3853</v>
      </c>
      <c r="AF147" s="145" t="s">
        <v>3853</v>
      </c>
      <c r="AG147" s="145" t="s">
        <v>3853</v>
      </c>
      <c r="AH147" s="146">
        <v>2.8419706919830053E-3</v>
      </c>
      <c r="AI147" s="146">
        <v>6.1868844867604654E-3</v>
      </c>
      <c r="AJ147" s="147">
        <v>6.8749113075135813E-4</v>
      </c>
      <c r="AK147" s="181"/>
    </row>
    <row r="148" spans="1:37" ht="15" x14ac:dyDescent="0.2">
      <c r="A148" s="142" t="s">
        <v>1205</v>
      </c>
      <c r="B148" s="143" t="s">
        <v>1205</v>
      </c>
      <c r="C148" s="143" t="s">
        <v>1386</v>
      </c>
      <c r="D148" s="143" t="s">
        <v>1387</v>
      </c>
      <c r="E148" s="143" t="s">
        <v>309</v>
      </c>
      <c r="F148" s="143" t="s">
        <v>1837</v>
      </c>
      <c r="G148" s="143" t="s">
        <v>1838</v>
      </c>
      <c r="H148" s="143" t="s">
        <v>321</v>
      </c>
      <c r="I148" s="143" t="s">
        <v>951</v>
      </c>
      <c r="J148" s="143" t="s">
        <v>204</v>
      </c>
      <c r="K148" s="143" t="s">
        <v>204</v>
      </c>
      <c r="L148" s="143" t="s">
        <v>325</v>
      </c>
      <c r="M148" s="143" t="s">
        <v>340</v>
      </c>
      <c r="N148" s="143" t="s">
        <v>464</v>
      </c>
      <c r="O148" s="143" t="s">
        <v>339</v>
      </c>
      <c r="P148" s="143" t="s">
        <v>1359</v>
      </c>
      <c r="Q148" s="143" t="s">
        <v>415</v>
      </c>
      <c r="R148" s="143" t="s">
        <v>407</v>
      </c>
      <c r="S148" s="143" t="s">
        <v>1210</v>
      </c>
      <c r="T148" s="144">
        <v>4.57</v>
      </c>
      <c r="U148" s="143" t="s">
        <v>1839</v>
      </c>
      <c r="V148" s="146">
        <v>2.41E-2</v>
      </c>
      <c r="W148" s="146">
        <v>6.4957000000000001E-2</v>
      </c>
      <c r="X148" s="143" t="s">
        <v>412</v>
      </c>
      <c r="Y148" s="145" t="s">
        <v>3853</v>
      </c>
      <c r="Z148" s="144">
        <v>533333.34</v>
      </c>
      <c r="AA148" s="145" t="s">
        <v>3853</v>
      </c>
      <c r="AB148" s="143" t="s">
        <v>1840</v>
      </c>
      <c r="AC148" s="145" t="s">
        <v>3853</v>
      </c>
      <c r="AD148" s="144">
        <v>448.96</v>
      </c>
      <c r="AE148" s="145" t="s">
        <v>3853</v>
      </c>
      <c r="AF148" s="145" t="s">
        <v>3853</v>
      </c>
      <c r="AG148" s="145" t="s">
        <v>3853</v>
      </c>
      <c r="AH148" s="146">
        <v>3.0284032802560827E-4</v>
      </c>
      <c r="AI148" s="146">
        <v>6.1004295623508726E-3</v>
      </c>
      <c r="AJ148" s="147">
        <v>6.7788419629693836E-4</v>
      </c>
      <c r="AK148" s="181"/>
    </row>
    <row r="149" spans="1:37" ht="15" x14ac:dyDescent="0.2">
      <c r="A149" s="142" t="s">
        <v>1205</v>
      </c>
      <c r="B149" s="143" t="s">
        <v>1205</v>
      </c>
      <c r="C149" s="143" t="s">
        <v>1373</v>
      </c>
      <c r="D149" s="143" t="s">
        <v>1374</v>
      </c>
      <c r="E149" s="143" t="s">
        <v>309</v>
      </c>
      <c r="F149" s="143" t="s">
        <v>1375</v>
      </c>
      <c r="G149" s="143" t="s">
        <v>1376</v>
      </c>
      <c r="H149" s="143" t="s">
        <v>321</v>
      </c>
      <c r="I149" s="143" t="s">
        <v>951</v>
      </c>
      <c r="J149" s="143" t="s">
        <v>204</v>
      </c>
      <c r="K149" s="143" t="s">
        <v>204</v>
      </c>
      <c r="L149" s="143" t="s">
        <v>325</v>
      </c>
      <c r="M149" s="143" t="s">
        <v>340</v>
      </c>
      <c r="N149" s="143" t="s">
        <v>484</v>
      </c>
      <c r="O149" s="143" t="s">
        <v>339</v>
      </c>
      <c r="P149" s="143" t="s">
        <v>1377</v>
      </c>
      <c r="Q149" s="143" t="s">
        <v>415</v>
      </c>
      <c r="R149" s="143" t="s">
        <v>407</v>
      </c>
      <c r="S149" s="143" t="s">
        <v>1210</v>
      </c>
      <c r="T149" s="144">
        <v>0.9</v>
      </c>
      <c r="U149" s="143" t="s">
        <v>1378</v>
      </c>
      <c r="V149" s="146">
        <v>3.6499999999999998E-2</v>
      </c>
      <c r="W149" s="146">
        <v>4.8802999999999999E-2</v>
      </c>
      <c r="X149" s="143" t="s">
        <v>412</v>
      </c>
      <c r="Y149" s="145" t="s">
        <v>3853</v>
      </c>
      <c r="Z149" s="144">
        <v>424669.82</v>
      </c>
      <c r="AA149" s="145" t="s">
        <v>3853</v>
      </c>
      <c r="AB149" s="143" t="s">
        <v>1379</v>
      </c>
      <c r="AC149" s="145" t="s">
        <v>3853</v>
      </c>
      <c r="AD149" s="144">
        <v>421.56970000000001</v>
      </c>
      <c r="AE149" s="145" t="s">
        <v>3853</v>
      </c>
      <c r="AF149" s="145" t="s">
        <v>3853</v>
      </c>
      <c r="AG149" s="145" t="s">
        <v>3853</v>
      </c>
      <c r="AH149" s="146">
        <v>3.9875815538333476E-4</v>
      </c>
      <c r="AI149" s="146">
        <v>5.7282528805525108E-3</v>
      </c>
      <c r="AJ149" s="147">
        <v>6.3652765111553314E-4</v>
      </c>
      <c r="AK149" s="181"/>
    </row>
    <row r="150" spans="1:37" ht="15" x14ac:dyDescent="0.2">
      <c r="A150" s="142" t="s">
        <v>1205</v>
      </c>
      <c r="B150" s="143" t="s">
        <v>1205</v>
      </c>
      <c r="C150" s="143" t="s">
        <v>1696</v>
      </c>
      <c r="D150" s="143" t="s">
        <v>1697</v>
      </c>
      <c r="E150" s="143" t="s">
        <v>309</v>
      </c>
      <c r="F150" s="143" t="s">
        <v>1698</v>
      </c>
      <c r="G150" s="143" t="s">
        <v>1699</v>
      </c>
      <c r="H150" s="143" t="s">
        <v>321</v>
      </c>
      <c r="I150" s="143" t="s">
        <v>951</v>
      </c>
      <c r="J150" s="143" t="s">
        <v>204</v>
      </c>
      <c r="K150" s="143" t="s">
        <v>204</v>
      </c>
      <c r="L150" s="143" t="s">
        <v>325</v>
      </c>
      <c r="M150" s="143" t="s">
        <v>340</v>
      </c>
      <c r="N150" s="143" t="s">
        <v>443</v>
      </c>
      <c r="O150" s="143" t="s">
        <v>339</v>
      </c>
      <c r="P150" s="143" t="s">
        <v>1396</v>
      </c>
      <c r="Q150" s="143" t="s">
        <v>413</v>
      </c>
      <c r="R150" s="143" t="s">
        <v>407</v>
      </c>
      <c r="S150" s="143" t="s">
        <v>1210</v>
      </c>
      <c r="T150" s="144">
        <v>0.95</v>
      </c>
      <c r="U150" s="143" t="s">
        <v>1700</v>
      </c>
      <c r="V150" s="146">
        <v>4.7500000000000001E-2</v>
      </c>
      <c r="W150" s="146">
        <v>6.4534999999999995E-2</v>
      </c>
      <c r="X150" s="143" t="s">
        <v>412</v>
      </c>
      <c r="Y150" s="145" t="s">
        <v>3853</v>
      </c>
      <c r="Z150" s="144">
        <v>416318.63</v>
      </c>
      <c r="AA150" s="145" t="s">
        <v>3853</v>
      </c>
      <c r="AB150" s="143" t="s">
        <v>1701</v>
      </c>
      <c r="AC150" s="145" t="s">
        <v>3853</v>
      </c>
      <c r="AD150" s="144">
        <v>415.5693</v>
      </c>
      <c r="AE150" s="145" t="s">
        <v>3853</v>
      </c>
      <c r="AF150" s="145" t="s">
        <v>3853</v>
      </c>
      <c r="AG150" s="145" t="s">
        <v>3853</v>
      </c>
      <c r="AH150" s="146">
        <v>5.0261139362376848E-4</v>
      </c>
      <c r="AI150" s="146">
        <v>5.6467189630701421E-3</v>
      </c>
      <c r="AJ150" s="147">
        <v>6.2746754255128031E-4</v>
      </c>
      <c r="AK150" s="181"/>
    </row>
    <row r="151" spans="1:37" ht="15" x14ac:dyDescent="0.2">
      <c r="A151" s="142" t="s">
        <v>1205</v>
      </c>
      <c r="B151" s="143" t="s">
        <v>1205</v>
      </c>
      <c r="C151" s="143" t="s">
        <v>1841</v>
      </c>
      <c r="D151" s="143" t="s">
        <v>1842</v>
      </c>
      <c r="E151" s="143" t="s">
        <v>309</v>
      </c>
      <c r="F151" s="143" t="s">
        <v>1843</v>
      </c>
      <c r="G151" s="143" t="s">
        <v>1844</v>
      </c>
      <c r="H151" s="143" t="s">
        <v>321</v>
      </c>
      <c r="I151" s="143" t="s">
        <v>951</v>
      </c>
      <c r="J151" s="143" t="s">
        <v>204</v>
      </c>
      <c r="K151" s="143" t="s">
        <v>204</v>
      </c>
      <c r="L151" s="143" t="s">
        <v>325</v>
      </c>
      <c r="M151" s="143" t="s">
        <v>340</v>
      </c>
      <c r="N151" s="143" t="s">
        <v>454</v>
      </c>
      <c r="O151" s="143" t="s">
        <v>339</v>
      </c>
      <c r="P151" s="143" t="s">
        <v>1409</v>
      </c>
      <c r="Q151" s="143" t="s">
        <v>413</v>
      </c>
      <c r="R151" s="143" t="s">
        <v>407</v>
      </c>
      <c r="S151" s="143" t="s">
        <v>1210</v>
      </c>
      <c r="T151" s="144">
        <v>3.49</v>
      </c>
      <c r="U151" s="143" t="s">
        <v>1845</v>
      </c>
      <c r="V151" s="146">
        <v>2.24E-2</v>
      </c>
      <c r="W151" s="146">
        <v>5.5280999999999997E-2</v>
      </c>
      <c r="X151" s="143" t="s">
        <v>412</v>
      </c>
      <c r="Y151" s="145" t="s">
        <v>3853</v>
      </c>
      <c r="Z151" s="144">
        <v>462151.54</v>
      </c>
      <c r="AA151" s="145" t="s">
        <v>3853</v>
      </c>
      <c r="AB151" s="143" t="s">
        <v>1846</v>
      </c>
      <c r="AC151" s="145" t="s">
        <v>3853</v>
      </c>
      <c r="AD151" s="144">
        <v>415.428</v>
      </c>
      <c r="AE151" s="145" t="s">
        <v>3853</v>
      </c>
      <c r="AF151" s="145" t="s">
        <v>3853</v>
      </c>
      <c r="AG151" s="145" t="s">
        <v>3853</v>
      </c>
      <c r="AH151" s="146">
        <v>7.865653205150839E-4</v>
      </c>
      <c r="AI151" s="146">
        <v>5.6447998448070531E-3</v>
      </c>
      <c r="AJ151" s="147">
        <v>6.272542887257789E-4</v>
      </c>
      <c r="AK151" s="181"/>
    </row>
    <row r="152" spans="1:37" ht="15" x14ac:dyDescent="0.2">
      <c r="A152" s="142" t="s">
        <v>1205</v>
      </c>
      <c r="B152" s="143" t="s">
        <v>1205</v>
      </c>
      <c r="C152" s="143" t="s">
        <v>1690</v>
      </c>
      <c r="D152" s="143" t="s">
        <v>1691</v>
      </c>
      <c r="E152" s="143" t="s">
        <v>309</v>
      </c>
      <c r="F152" s="143" t="s">
        <v>1692</v>
      </c>
      <c r="G152" s="143" t="s">
        <v>1693</v>
      </c>
      <c r="H152" s="143" t="s">
        <v>321</v>
      </c>
      <c r="I152" s="143" t="s">
        <v>951</v>
      </c>
      <c r="J152" s="143" t="s">
        <v>204</v>
      </c>
      <c r="K152" s="143" t="s">
        <v>204</v>
      </c>
      <c r="L152" s="143" t="s">
        <v>325</v>
      </c>
      <c r="M152" s="143" t="s">
        <v>340</v>
      </c>
      <c r="N152" s="143" t="s">
        <v>464</v>
      </c>
      <c r="O152" s="143" t="s">
        <v>339</v>
      </c>
      <c r="P152" s="143" t="s">
        <v>1440</v>
      </c>
      <c r="Q152" s="143" t="s">
        <v>415</v>
      </c>
      <c r="R152" s="143" t="s">
        <v>407</v>
      </c>
      <c r="S152" s="143" t="s">
        <v>1210</v>
      </c>
      <c r="T152" s="144">
        <v>3.35</v>
      </c>
      <c r="U152" s="143" t="s">
        <v>1694</v>
      </c>
      <c r="V152" s="146">
        <v>3.04E-2</v>
      </c>
      <c r="W152" s="146">
        <v>6.1107000000000002E-2</v>
      </c>
      <c r="X152" s="143" t="s">
        <v>412</v>
      </c>
      <c r="Y152" s="145" t="s">
        <v>3853</v>
      </c>
      <c r="Z152" s="144">
        <v>443635</v>
      </c>
      <c r="AA152" s="145" t="s">
        <v>3853</v>
      </c>
      <c r="AB152" s="143" t="s">
        <v>1695</v>
      </c>
      <c r="AC152" s="145" t="s">
        <v>3853</v>
      </c>
      <c r="AD152" s="144">
        <v>402.06640000000004</v>
      </c>
      <c r="AE152" s="145" t="s">
        <v>3853</v>
      </c>
      <c r="AF152" s="145" t="s">
        <v>3853</v>
      </c>
      <c r="AG152" s="145" t="s">
        <v>3853</v>
      </c>
      <c r="AH152" s="146">
        <v>8.1850999859404874E-4</v>
      </c>
      <c r="AI152" s="146">
        <v>5.4632433289791612E-3</v>
      </c>
      <c r="AJ152" s="147">
        <v>6.0707959585267E-4</v>
      </c>
      <c r="AK152" s="181"/>
    </row>
    <row r="153" spans="1:37" ht="15" x14ac:dyDescent="0.2">
      <c r="A153" s="142" t="s">
        <v>1205</v>
      </c>
      <c r="B153" s="143" t="s">
        <v>1205</v>
      </c>
      <c r="C153" s="143" t="s">
        <v>1825</v>
      </c>
      <c r="D153" s="143" t="s">
        <v>1826</v>
      </c>
      <c r="E153" s="143" t="s">
        <v>309</v>
      </c>
      <c r="F153" s="143" t="s">
        <v>1847</v>
      </c>
      <c r="G153" s="143" t="s">
        <v>1848</v>
      </c>
      <c r="H153" s="143" t="s">
        <v>321</v>
      </c>
      <c r="I153" s="143" t="s">
        <v>951</v>
      </c>
      <c r="J153" s="143" t="s">
        <v>204</v>
      </c>
      <c r="K153" s="143" t="s">
        <v>224</v>
      </c>
      <c r="L153" s="143" t="s">
        <v>325</v>
      </c>
      <c r="M153" s="143" t="s">
        <v>340</v>
      </c>
      <c r="N153" s="143" t="s">
        <v>465</v>
      </c>
      <c r="O153" s="143" t="s">
        <v>339</v>
      </c>
      <c r="P153" s="143" t="s">
        <v>1396</v>
      </c>
      <c r="Q153" s="143" t="s">
        <v>413</v>
      </c>
      <c r="R153" s="143" t="s">
        <v>407</v>
      </c>
      <c r="S153" s="143" t="s">
        <v>1210</v>
      </c>
      <c r="T153" s="144">
        <v>1.89</v>
      </c>
      <c r="U153" s="143" t="s">
        <v>1849</v>
      </c>
      <c r="V153" s="146">
        <v>4.3499999999999997E-2</v>
      </c>
      <c r="W153" s="146">
        <v>6.9700999999999999E-2</v>
      </c>
      <c r="X153" s="143" t="s">
        <v>412</v>
      </c>
      <c r="Y153" s="145" t="s">
        <v>3853</v>
      </c>
      <c r="Z153" s="144">
        <v>350000</v>
      </c>
      <c r="AA153" s="145" t="s">
        <v>3853</v>
      </c>
      <c r="AB153" s="143" t="s">
        <v>1850</v>
      </c>
      <c r="AC153" s="145" t="s">
        <v>3853</v>
      </c>
      <c r="AD153" s="144">
        <v>340.16500000000002</v>
      </c>
      <c r="AE153" s="145" t="s">
        <v>3853</v>
      </c>
      <c r="AF153" s="145" t="s">
        <v>3853</v>
      </c>
      <c r="AG153" s="145" t="s">
        <v>3853</v>
      </c>
      <c r="AH153" s="146">
        <v>7.2164948453608247E-4</v>
      </c>
      <c r="AI153" s="146">
        <v>4.6221324753601143E-3</v>
      </c>
      <c r="AJ153" s="147">
        <v>5.1361474240676694E-4</v>
      </c>
      <c r="AK153" s="181"/>
    </row>
    <row r="154" spans="1:37" ht="15" x14ac:dyDescent="0.2">
      <c r="A154" s="142" t="s">
        <v>1205</v>
      </c>
      <c r="B154" s="143" t="s">
        <v>1205</v>
      </c>
      <c r="C154" s="143" t="s">
        <v>1851</v>
      </c>
      <c r="D154" s="143" t="s">
        <v>1852</v>
      </c>
      <c r="E154" s="143" t="s">
        <v>309</v>
      </c>
      <c r="F154" s="143" t="s">
        <v>1853</v>
      </c>
      <c r="G154" s="143" t="s">
        <v>1854</v>
      </c>
      <c r="H154" s="143" t="s">
        <v>321</v>
      </c>
      <c r="I154" s="143" t="s">
        <v>951</v>
      </c>
      <c r="J154" s="143" t="s">
        <v>204</v>
      </c>
      <c r="K154" s="143" t="s">
        <v>204</v>
      </c>
      <c r="L154" s="143" t="s">
        <v>325</v>
      </c>
      <c r="M154" s="143" t="s">
        <v>340</v>
      </c>
      <c r="N154" s="143" t="s">
        <v>441</v>
      </c>
      <c r="O154" s="143" t="s">
        <v>339</v>
      </c>
      <c r="P154" s="145" t="s">
        <v>3853</v>
      </c>
      <c r="Q154" s="143" t="s">
        <v>410</v>
      </c>
      <c r="R154" s="143" t="s">
        <v>410</v>
      </c>
      <c r="S154" s="143" t="s">
        <v>1210</v>
      </c>
      <c r="T154" s="144">
        <v>3.85</v>
      </c>
      <c r="U154" s="143" t="s">
        <v>1599</v>
      </c>
      <c r="V154" s="146">
        <v>6.9500000000000006E-2</v>
      </c>
      <c r="W154" s="146">
        <v>6.7645999999999998E-2</v>
      </c>
      <c r="X154" s="143" t="s">
        <v>412</v>
      </c>
      <c r="Y154" s="145" t="s">
        <v>3853</v>
      </c>
      <c r="Z154" s="144">
        <v>320000</v>
      </c>
      <c r="AA154" s="145" t="s">
        <v>3853</v>
      </c>
      <c r="AB154" s="143" t="s">
        <v>1855</v>
      </c>
      <c r="AC154" s="145" t="s">
        <v>3853</v>
      </c>
      <c r="AD154" s="144">
        <v>323.61599999999999</v>
      </c>
      <c r="AE154" s="145" t="s">
        <v>3853</v>
      </c>
      <c r="AF154" s="145" t="s">
        <v>3853</v>
      </c>
      <c r="AG154" s="145" t="s">
        <v>3853</v>
      </c>
      <c r="AH154" s="146">
        <v>5.7250098845873791E-4</v>
      </c>
      <c r="AI154" s="146">
        <v>4.3972661007044781E-3</v>
      </c>
      <c r="AJ154" s="147">
        <v>4.8862742633342142E-4</v>
      </c>
      <c r="AK154" s="181"/>
    </row>
    <row r="155" spans="1:37" ht="15" x14ac:dyDescent="0.2">
      <c r="A155" s="142" t="s">
        <v>1205</v>
      </c>
      <c r="B155" s="143" t="s">
        <v>1205</v>
      </c>
      <c r="C155" s="143" t="s">
        <v>1680</v>
      </c>
      <c r="D155" s="143" t="s">
        <v>1681</v>
      </c>
      <c r="E155" s="143" t="s">
        <v>309</v>
      </c>
      <c r="F155" s="143" t="s">
        <v>1682</v>
      </c>
      <c r="G155" s="143" t="s">
        <v>1683</v>
      </c>
      <c r="H155" s="143" t="s">
        <v>321</v>
      </c>
      <c r="I155" s="143" t="s">
        <v>951</v>
      </c>
      <c r="J155" s="143" t="s">
        <v>204</v>
      </c>
      <c r="K155" s="143" t="s">
        <v>204</v>
      </c>
      <c r="L155" s="143" t="s">
        <v>325</v>
      </c>
      <c r="M155" s="143" t="s">
        <v>340</v>
      </c>
      <c r="N155" s="143" t="s">
        <v>451</v>
      </c>
      <c r="O155" s="143" t="s">
        <v>339</v>
      </c>
      <c r="P155" s="143" t="s">
        <v>1396</v>
      </c>
      <c r="Q155" s="143" t="s">
        <v>413</v>
      </c>
      <c r="R155" s="143" t="s">
        <v>407</v>
      </c>
      <c r="S155" s="143" t="s">
        <v>1210</v>
      </c>
      <c r="T155" s="144">
        <v>2.58</v>
      </c>
      <c r="U155" s="143" t="s">
        <v>1544</v>
      </c>
      <c r="V155" s="146">
        <v>2.1999999999999999E-2</v>
      </c>
      <c r="W155" s="146">
        <v>5.3846999999999999E-2</v>
      </c>
      <c r="X155" s="143" t="s">
        <v>412</v>
      </c>
      <c r="Y155" s="145" t="s">
        <v>3853</v>
      </c>
      <c r="Z155" s="144">
        <v>345201</v>
      </c>
      <c r="AA155" s="145" t="s">
        <v>3853</v>
      </c>
      <c r="AB155" s="143" t="s">
        <v>1684</v>
      </c>
      <c r="AC155" s="145" t="s">
        <v>3853</v>
      </c>
      <c r="AD155" s="144">
        <v>318.86220000000003</v>
      </c>
      <c r="AE155" s="145" t="s">
        <v>3853</v>
      </c>
      <c r="AF155" s="145" t="s">
        <v>3853</v>
      </c>
      <c r="AG155" s="145" t="s">
        <v>3853</v>
      </c>
      <c r="AH155" s="146">
        <v>3.1852456747404843E-4</v>
      </c>
      <c r="AI155" s="146">
        <v>4.3326713859490633E-3</v>
      </c>
      <c r="AJ155" s="147">
        <v>4.8144961436961432E-4</v>
      </c>
      <c r="AK155" s="181"/>
    </row>
    <row r="156" spans="1:37" ht="15" x14ac:dyDescent="0.2">
      <c r="A156" s="142" t="s">
        <v>1205</v>
      </c>
      <c r="B156" s="143" t="s">
        <v>1205</v>
      </c>
      <c r="C156" s="143" t="s">
        <v>1405</v>
      </c>
      <c r="D156" s="143" t="s">
        <v>1406</v>
      </c>
      <c r="E156" s="143" t="s">
        <v>309</v>
      </c>
      <c r="F156" s="143" t="s">
        <v>1407</v>
      </c>
      <c r="G156" s="143" t="s">
        <v>1408</v>
      </c>
      <c r="H156" s="143" t="s">
        <v>321</v>
      </c>
      <c r="I156" s="143" t="s">
        <v>951</v>
      </c>
      <c r="J156" s="143" t="s">
        <v>204</v>
      </c>
      <c r="K156" s="143" t="s">
        <v>204</v>
      </c>
      <c r="L156" s="143" t="s">
        <v>325</v>
      </c>
      <c r="M156" s="143" t="s">
        <v>340</v>
      </c>
      <c r="N156" s="143" t="s">
        <v>475</v>
      </c>
      <c r="O156" s="143" t="s">
        <v>339</v>
      </c>
      <c r="P156" s="143" t="s">
        <v>1409</v>
      </c>
      <c r="Q156" s="143" t="s">
        <v>413</v>
      </c>
      <c r="R156" s="143" t="s">
        <v>407</v>
      </c>
      <c r="S156" s="143" t="s">
        <v>1210</v>
      </c>
      <c r="T156" s="144">
        <v>2.5</v>
      </c>
      <c r="U156" s="143" t="s">
        <v>1410</v>
      </c>
      <c r="V156" s="146">
        <v>5.0900000000000001E-2</v>
      </c>
      <c r="W156" s="146">
        <v>5.1853000000000003E-2</v>
      </c>
      <c r="X156" s="143" t="s">
        <v>412</v>
      </c>
      <c r="Y156" s="145" t="s">
        <v>3853</v>
      </c>
      <c r="Z156" s="144">
        <v>278332.69</v>
      </c>
      <c r="AA156" s="145" t="s">
        <v>3853</v>
      </c>
      <c r="AB156" s="143" t="s">
        <v>1411</v>
      </c>
      <c r="AC156" s="145" t="s">
        <v>3853</v>
      </c>
      <c r="AD156" s="144">
        <v>287.96300000000002</v>
      </c>
      <c r="AE156" s="145" t="s">
        <v>3853</v>
      </c>
      <c r="AF156" s="145" t="s">
        <v>3853</v>
      </c>
      <c r="AG156" s="145" t="s">
        <v>3853</v>
      </c>
      <c r="AH156" s="146">
        <v>4.4931596232696816E-4</v>
      </c>
      <c r="AI156" s="146">
        <v>3.912816247898211E-3</v>
      </c>
      <c r="AJ156" s="147">
        <v>4.3479500424588671E-4</v>
      </c>
      <c r="AK156" s="181"/>
    </row>
    <row r="157" spans="1:37" ht="15" x14ac:dyDescent="0.2">
      <c r="A157" s="142" t="s">
        <v>1205</v>
      </c>
      <c r="B157" s="143" t="s">
        <v>1205</v>
      </c>
      <c r="C157" s="143" t="s">
        <v>1856</v>
      </c>
      <c r="D157" s="143" t="s">
        <v>1857</v>
      </c>
      <c r="E157" s="143" t="s">
        <v>309</v>
      </c>
      <c r="F157" s="143" t="s">
        <v>1858</v>
      </c>
      <c r="G157" s="143" t="s">
        <v>1859</v>
      </c>
      <c r="H157" s="143" t="s">
        <v>321</v>
      </c>
      <c r="I157" s="143" t="s">
        <v>951</v>
      </c>
      <c r="J157" s="143" t="s">
        <v>204</v>
      </c>
      <c r="K157" s="143" t="s">
        <v>204</v>
      </c>
      <c r="L157" s="143" t="s">
        <v>325</v>
      </c>
      <c r="M157" s="143" t="s">
        <v>340</v>
      </c>
      <c r="N157" s="143" t="s">
        <v>464</v>
      </c>
      <c r="O157" s="143" t="s">
        <v>339</v>
      </c>
      <c r="P157" s="143" t="s">
        <v>1377</v>
      </c>
      <c r="Q157" s="143" t="s">
        <v>415</v>
      </c>
      <c r="R157" s="143" t="s">
        <v>407</v>
      </c>
      <c r="S157" s="143" t="s">
        <v>1210</v>
      </c>
      <c r="T157" s="144">
        <v>2.34</v>
      </c>
      <c r="U157" s="143" t="s">
        <v>1544</v>
      </c>
      <c r="V157" s="146">
        <v>5.6500000000000002E-2</v>
      </c>
      <c r="W157" s="146">
        <v>5.2422999999999997E-2</v>
      </c>
      <c r="X157" s="143" t="s">
        <v>412</v>
      </c>
      <c r="Y157" s="145" t="s">
        <v>3853</v>
      </c>
      <c r="Z157" s="144">
        <v>217411.8</v>
      </c>
      <c r="AA157" s="145" t="s">
        <v>3853</v>
      </c>
      <c r="AB157" s="143" t="s">
        <v>1860</v>
      </c>
      <c r="AC157" s="145" t="s">
        <v>3853</v>
      </c>
      <c r="AD157" s="144">
        <v>219.82509999999999</v>
      </c>
      <c r="AE157" s="145" t="s">
        <v>3853</v>
      </c>
      <c r="AF157" s="145" t="s">
        <v>3853</v>
      </c>
      <c r="AG157" s="145" t="s">
        <v>3853</v>
      </c>
      <c r="AH157" s="146">
        <v>1.3930457650029357E-3</v>
      </c>
      <c r="AI157" s="146">
        <v>2.9869639718224988E-3</v>
      </c>
      <c r="AJ157" s="147">
        <v>3.3191362193624261E-4</v>
      </c>
      <c r="AK157" s="181"/>
    </row>
    <row r="158" spans="1:37" ht="15" x14ac:dyDescent="0.2">
      <c r="A158" s="142" t="s">
        <v>1205</v>
      </c>
      <c r="B158" s="143" t="s">
        <v>1205</v>
      </c>
      <c r="C158" s="143" t="s">
        <v>1861</v>
      </c>
      <c r="D158" s="143" t="s">
        <v>1862</v>
      </c>
      <c r="E158" s="143" t="s">
        <v>309</v>
      </c>
      <c r="F158" s="143" t="s">
        <v>1863</v>
      </c>
      <c r="G158" s="143" t="s">
        <v>1864</v>
      </c>
      <c r="H158" s="143" t="s">
        <v>321</v>
      </c>
      <c r="I158" s="143" t="s">
        <v>951</v>
      </c>
      <c r="J158" s="143" t="s">
        <v>204</v>
      </c>
      <c r="K158" s="143" t="s">
        <v>204</v>
      </c>
      <c r="L158" s="143" t="s">
        <v>325</v>
      </c>
      <c r="M158" s="143" t="s">
        <v>340</v>
      </c>
      <c r="N158" s="143" t="s">
        <v>454</v>
      </c>
      <c r="O158" s="143" t="s">
        <v>339</v>
      </c>
      <c r="P158" s="143" t="s">
        <v>1402</v>
      </c>
      <c r="Q158" s="143" t="s">
        <v>415</v>
      </c>
      <c r="R158" s="143" t="s">
        <v>407</v>
      </c>
      <c r="S158" s="143" t="s">
        <v>1210</v>
      </c>
      <c r="T158" s="144">
        <v>2.88</v>
      </c>
      <c r="U158" s="143" t="s">
        <v>1865</v>
      </c>
      <c r="V158" s="146">
        <v>6.7500000000000004E-2</v>
      </c>
      <c r="W158" s="146">
        <v>6.2689999999999996E-2</v>
      </c>
      <c r="X158" s="143" t="s">
        <v>412</v>
      </c>
      <c r="Y158" s="145" t="s">
        <v>3853</v>
      </c>
      <c r="Z158" s="144">
        <v>205076.78</v>
      </c>
      <c r="AA158" s="145" t="s">
        <v>3853</v>
      </c>
      <c r="AB158" s="143" t="s">
        <v>1866</v>
      </c>
      <c r="AC158" s="145" t="s">
        <v>3853</v>
      </c>
      <c r="AD158" s="144">
        <v>214.22320000000002</v>
      </c>
      <c r="AE158" s="145" t="s">
        <v>3853</v>
      </c>
      <c r="AF158" s="145" t="s">
        <v>3853</v>
      </c>
      <c r="AG158" s="145" t="s">
        <v>3853</v>
      </c>
      <c r="AH158" s="146">
        <v>1.1718673142857142E-4</v>
      </c>
      <c r="AI158" s="146">
        <v>2.9108462951140837E-3</v>
      </c>
      <c r="AJ158" s="147">
        <v>3.234553700095389E-4</v>
      </c>
      <c r="AK158" s="181"/>
    </row>
    <row r="159" spans="1:37" ht="15" x14ac:dyDescent="0.2">
      <c r="A159" s="142" t="s">
        <v>1205</v>
      </c>
      <c r="B159" s="143" t="s">
        <v>1205</v>
      </c>
      <c r="C159" s="143" t="s">
        <v>1867</v>
      </c>
      <c r="D159" s="143" t="s">
        <v>1868</v>
      </c>
      <c r="E159" s="143" t="s">
        <v>309</v>
      </c>
      <c r="F159" s="143" t="s">
        <v>1869</v>
      </c>
      <c r="G159" s="143" t="s">
        <v>1870</v>
      </c>
      <c r="H159" s="143" t="s">
        <v>321</v>
      </c>
      <c r="I159" s="143" t="s">
        <v>951</v>
      </c>
      <c r="J159" s="143" t="s">
        <v>204</v>
      </c>
      <c r="K159" s="143" t="s">
        <v>204</v>
      </c>
      <c r="L159" s="143" t="s">
        <v>325</v>
      </c>
      <c r="M159" s="143" t="s">
        <v>340</v>
      </c>
      <c r="N159" s="143" t="s">
        <v>484</v>
      </c>
      <c r="O159" s="143" t="s">
        <v>339</v>
      </c>
      <c r="P159" s="143" t="s">
        <v>1347</v>
      </c>
      <c r="Q159" s="143" t="s">
        <v>413</v>
      </c>
      <c r="R159" s="143" t="s">
        <v>407</v>
      </c>
      <c r="S159" s="143" t="s">
        <v>1210</v>
      </c>
      <c r="T159" s="144">
        <v>2.33</v>
      </c>
      <c r="U159" s="143" t="s">
        <v>1871</v>
      </c>
      <c r="V159" s="146">
        <v>0.04</v>
      </c>
      <c r="W159" s="146">
        <v>5.2908999999999998E-2</v>
      </c>
      <c r="X159" s="143" t="s">
        <v>412</v>
      </c>
      <c r="Y159" s="145" t="s">
        <v>3853</v>
      </c>
      <c r="Z159" s="144">
        <v>169609.3</v>
      </c>
      <c r="AA159" s="145" t="s">
        <v>3853</v>
      </c>
      <c r="AB159" s="143" t="s">
        <v>1872</v>
      </c>
      <c r="AC159" s="145" t="s">
        <v>3853</v>
      </c>
      <c r="AD159" s="144">
        <v>164.9281</v>
      </c>
      <c r="AE159" s="145" t="s">
        <v>3853</v>
      </c>
      <c r="AF159" s="145" t="s">
        <v>3853</v>
      </c>
      <c r="AG159" s="145" t="s">
        <v>3853</v>
      </c>
      <c r="AH159" s="146">
        <v>2.847780285380966E-4</v>
      </c>
      <c r="AI159" s="146">
        <v>2.2410284715131505E-3</v>
      </c>
      <c r="AJ159" s="147">
        <v>2.4902472338436817E-4</v>
      </c>
      <c r="AK159" s="181"/>
    </row>
    <row r="160" spans="1:37" ht="15" x14ac:dyDescent="0.2">
      <c r="A160" s="142" t="s">
        <v>1205</v>
      </c>
      <c r="B160" s="143" t="s">
        <v>1205</v>
      </c>
      <c r="C160" s="143" t="s">
        <v>1706</v>
      </c>
      <c r="D160" s="143" t="s">
        <v>1707</v>
      </c>
      <c r="E160" s="143" t="s">
        <v>309</v>
      </c>
      <c r="F160" s="143" t="s">
        <v>1708</v>
      </c>
      <c r="G160" s="143" t="s">
        <v>1709</v>
      </c>
      <c r="H160" s="143" t="s">
        <v>321</v>
      </c>
      <c r="I160" s="143" t="s">
        <v>951</v>
      </c>
      <c r="J160" s="143" t="s">
        <v>204</v>
      </c>
      <c r="K160" s="143" t="s">
        <v>224</v>
      </c>
      <c r="L160" s="143" t="s">
        <v>325</v>
      </c>
      <c r="M160" s="143" t="s">
        <v>340</v>
      </c>
      <c r="N160" s="143" t="s">
        <v>465</v>
      </c>
      <c r="O160" s="143" t="s">
        <v>339</v>
      </c>
      <c r="P160" s="143" t="s">
        <v>1409</v>
      </c>
      <c r="Q160" s="143" t="s">
        <v>413</v>
      </c>
      <c r="R160" s="143" t="s">
        <v>407</v>
      </c>
      <c r="S160" s="143" t="s">
        <v>1210</v>
      </c>
      <c r="T160" s="144">
        <v>0.5</v>
      </c>
      <c r="U160" s="143" t="s">
        <v>1710</v>
      </c>
      <c r="V160" s="146">
        <v>3.3799999999999997E-2</v>
      </c>
      <c r="W160" s="146">
        <v>5.8233E-2</v>
      </c>
      <c r="X160" s="143" t="s">
        <v>412</v>
      </c>
      <c r="Y160" s="145" t="s">
        <v>3853</v>
      </c>
      <c r="Z160" s="144">
        <v>128250</v>
      </c>
      <c r="AA160" s="145" t="s">
        <v>3853</v>
      </c>
      <c r="AB160" s="143" t="s">
        <v>1711</v>
      </c>
      <c r="AC160" s="145" t="s">
        <v>3853</v>
      </c>
      <c r="AD160" s="144">
        <v>126.788</v>
      </c>
      <c r="AE160" s="145" t="s">
        <v>3853</v>
      </c>
      <c r="AF160" s="145" t="s">
        <v>3853</v>
      </c>
      <c r="AG160" s="145" t="s">
        <v>3853</v>
      </c>
      <c r="AH160" s="146">
        <v>6.2673405584896813E-4</v>
      </c>
      <c r="AI160" s="146">
        <v>1.7227836525784089E-3</v>
      </c>
      <c r="AJ160" s="147">
        <v>1.9143697993483175E-4</v>
      </c>
      <c r="AK160" s="181"/>
    </row>
    <row r="161" spans="1:37" ht="15" x14ac:dyDescent="0.2">
      <c r="A161" s="142" t="s">
        <v>1205</v>
      </c>
      <c r="B161" s="143" t="s">
        <v>1205</v>
      </c>
      <c r="C161" s="143" t="s">
        <v>1349</v>
      </c>
      <c r="D161" s="143" t="s">
        <v>1350</v>
      </c>
      <c r="E161" s="143" t="s">
        <v>309</v>
      </c>
      <c r="F161" s="143" t="s">
        <v>1351</v>
      </c>
      <c r="G161" s="143" t="s">
        <v>1352</v>
      </c>
      <c r="H161" s="143" t="s">
        <v>321</v>
      </c>
      <c r="I161" s="143" t="s">
        <v>951</v>
      </c>
      <c r="J161" s="143" t="s">
        <v>204</v>
      </c>
      <c r="K161" s="143" t="s">
        <v>204</v>
      </c>
      <c r="L161" s="143" t="s">
        <v>325</v>
      </c>
      <c r="M161" s="143" t="s">
        <v>340</v>
      </c>
      <c r="N161" s="143" t="s">
        <v>448</v>
      </c>
      <c r="O161" s="143" t="s">
        <v>339</v>
      </c>
      <c r="P161" s="143" t="s">
        <v>1222</v>
      </c>
      <c r="Q161" s="143" t="s">
        <v>413</v>
      </c>
      <c r="R161" s="143" t="s">
        <v>407</v>
      </c>
      <c r="S161" s="143" t="s">
        <v>1210</v>
      </c>
      <c r="T161" s="144">
        <v>0.93</v>
      </c>
      <c r="U161" s="143" t="s">
        <v>1353</v>
      </c>
      <c r="V161" s="146">
        <v>2.98E-2</v>
      </c>
      <c r="W161" s="146">
        <v>4.5124999999999998E-2</v>
      </c>
      <c r="X161" s="143" t="s">
        <v>412</v>
      </c>
      <c r="Y161" s="145" t="s">
        <v>3853</v>
      </c>
      <c r="Z161" s="144">
        <v>104858</v>
      </c>
      <c r="AA161" s="145" t="s">
        <v>3853</v>
      </c>
      <c r="AB161" s="143" t="s">
        <v>1354</v>
      </c>
      <c r="AC161" s="145" t="s">
        <v>3853</v>
      </c>
      <c r="AD161" s="144">
        <v>103.6207</v>
      </c>
      <c r="AE161" s="145" t="s">
        <v>3853</v>
      </c>
      <c r="AF161" s="145" t="s">
        <v>3853</v>
      </c>
      <c r="AG161" s="145" t="s">
        <v>3853</v>
      </c>
      <c r="AH161" s="146">
        <v>4.1248395526395187E-5</v>
      </c>
      <c r="AI161" s="146">
        <v>1.4079887401981844E-3</v>
      </c>
      <c r="AJ161" s="147">
        <v>1.5645673895406395E-4</v>
      </c>
      <c r="AK161" s="181"/>
    </row>
    <row r="162" spans="1:37" ht="15" x14ac:dyDescent="0.2">
      <c r="A162" s="142" t="s">
        <v>1205</v>
      </c>
      <c r="B162" s="143" t="s">
        <v>1205</v>
      </c>
      <c r="C162" s="143" t="s">
        <v>1412</v>
      </c>
      <c r="D162" s="143" t="s">
        <v>1413</v>
      </c>
      <c r="E162" s="143" t="s">
        <v>309</v>
      </c>
      <c r="F162" s="143" t="s">
        <v>1414</v>
      </c>
      <c r="G162" s="143" t="s">
        <v>1415</v>
      </c>
      <c r="H162" s="143" t="s">
        <v>321</v>
      </c>
      <c r="I162" s="143" t="s">
        <v>951</v>
      </c>
      <c r="J162" s="143" t="s">
        <v>204</v>
      </c>
      <c r="K162" s="143" t="s">
        <v>204</v>
      </c>
      <c r="L162" s="143" t="s">
        <v>325</v>
      </c>
      <c r="M162" s="143" t="s">
        <v>340</v>
      </c>
      <c r="N162" s="143" t="s">
        <v>451</v>
      </c>
      <c r="O162" s="143" t="s">
        <v>339</v>
      </c>
      <c r="P162" s="143" t="s">
        <v>1396</v>
      </c>
      <c r="Q162" s="143" t="s">
        <v>413</v>
      </c>
      <c r="R162" s="143" t="s">
        <v>407</v>
      </c>
      <c r="S162" s="143" t="s">
        <v>1210</v>
      </c>
      <c r="T162" s="144">
        <v>1.46</v>
      </c>
      <c r="U162" s="143" t="s">
        <v>1416</v>
      </c>
      <c r="V162" s="146">
        <v>0.04</v>
      </c>
      <c r="W162" s="146">
        <v>4.9484E-2</v>
      </c>
      <c r="X162" s="143" t="s">
        <v>412</v>
      </c>
      <c r="Y162" s="145" t="s">
        <v>3853</v>
      </c>
      <c r="Z162" s="144">
        <v>89804.39</v>
      </c>
      <c r="AA162" s="145" t="s">
        <v>3853</v>
      </c>
      <c r="AB162" s="143" t="s">
        <v>1417</v>
      </c>
      <c r="AC162" s="145" t="s">
        <v>3853</v>
      </c>
      <c r="AD162" s="144">
        <v>88.690799999999996</v>
      </c>
      <c r="AE162" s="145" t="s">
        <v>3853</v>
      </c>
      <c r="AF162" s="145" t="s">
        <v>3853</v>
      </c>
      <c r="AG162" s="145" t="s">
        <v>3853</v>
      </c>
      <c r="AH162" s="146">
        <v>6.8158712417658361E-4</v>
      </c>
      <c r="AI162" s="146">
        <v>1.2051230987448406E-3</v>
      </c>
      <c r="AJ162" s="147">
        <v>1.3391416045081044E-4</v>
      </c>
      <c r="AK162" s="181"/>
    </row>
    <row r="163" spans="1:37" ht="15" x14ac:dyDescent="0.2">
      <c r="A163" s="142" t="s">
        <v>1205</v>
      </c>
      <c r="B163" s="143" t="s">
        <v>1205</v>
      </c>
      <c r="C163" s="143" t="s">
        <v>1424</v>
      </c>
      <c r="D163" s="143" t="s">
        <v>1425</v>
      </c>
      <c r="E163" s="143" t="s">
        <v>309</v>
      </c>
      <c r="F163" s="143" t="s">
        <v>1443</v>
      </c>
      <c r="G163" s="143" t="s">
        <v>1444</v>
      </c>
      <c r="H163" s="143" t="s">
        <v>321</v>
      </c>
      <c r="I163" s="143" t="s">
        <v>951</v>
      </c>
      <c r="J163" s="143" t="s">
        <v>204</v>
      </c>
      <c r="K163" s="143" t="s">
        <v>204</v>
      </c>
      <c r="L163" s="143" t="s">
        <v>325</v>
      </c>
      <c r="M163" s="143" t="s">
        <v>340</v>
      </c>
      <c r="N163" s="143" t="s">
        <v>445</v>
      </c>
      <c r="O163" s="143" t="s">
        <v>339</v>
      </c>
      <c r="P163" s="143" t="s">
        <v>1359</v>
      </c>
      <c r="Q163" s="143" t="s">
        <v>415</v>
      </c>
      <c r="R163" s="143" t="s">
        <v>407</v>
      </c>
      <c r="S163" s="143" t="s">
        <v>1210</v>
      </c>
      <c r="T163" s="144">
        <v>4.97</v>
      </c>
      <c r="U163" s="143" t="s">
        <v>1445</v>
      </c>
      <c r="V163" s="146">
        <v>3.95E-2</v>
      </c>
      <c r="W163" s="146">
        <v>5.5541E-2</v>
      </c>
      <c r="X163" s="143" t="s">
        <v>412</v>
      </c>
      <c r="Y163" s="145" t="s">
        <v>3853</v>
      </c>
      <c r="Z163" s="144">
        <v>90970</v>
      </c>
      <c r="AA163" s="145" t="s">
        <v>3853</v>
      </c>
      <c r="AB163" s="143" t="s">
        <v>1446</v>
      </c>
      <c r="AC163" s="145" t="s">
        <v>3853</v>
      </c>
      <c r="AD163" s="144">
        <v>84.438399999999987</v>
      </c>
      <c r="AE163" s="145" t="s">
        <v>3853</v>
      </c>
      <c r="AF163" s="145" t="s">
        <v>3853</v>
      </c>
      <c r="AG163" s="145" t="s">
        <v>3853</v>
      </c>
      <c r="AH163" s="146">
        <v>3.7902591656055891E-4</v>
      </c>
      <c r="AI163" s="146">
        <v>1.1473410203558675E-3</v>
      </c>
      <c r="AJ163" s="147">
        <v>1.2749337362445107E-4</v>
      </c>
      <c r="AK163" s="181"/>
    </row>
    <row r="164" spans="1:37" ht="15" x14ac:dyDescent="0.2">
      <c r="A164" s="142" t="s">
        <v>1205</v>
      </c>
      <c r="B164" s="143" t="s">
        <v>1205</v>
      </c>
      <c r="C164" s="143" t="s">
        <v>1424</v>
      </c>
      <c r="D164" s="143" t="s">
        <v>1425</v>
      </c>
      <c r="E164" s="143" t="s">
        <v>309</v>
      </c>
      <c r="F164" s="143" t="s">
        <v>1447</v>
      </c>
      <c r="G164" s="143" t="s">
        <v>1448</v>
      </c>
      <c r="H164" s="143" t="s">
        <v>321</v>
      </c>
      <c r="I164" s="143" t="s">
        <v>951</v>
      </c>
      <c r="J164" s="143" t="s">
        <v>204</v>
      </c>
      <c r="K164" s="143" t="s">
        <v>204</v>
      </c>
      <c r="L164" s="143" t="s">
        <v>325</v>
      </c>
      <c r="M164" s="143" t="s">
        <v>340</v>
      </c>
      <c r="N164" s="143" t="s">
        <v>445</v>
      </c>
      <c r="O164" s="143" t="s">
        <v>339</v>
      </c>
      <c r="P164" s="143" t="s">
        <v>1359</v>
      </c>
      <c r="Q164" s="143" t="s">
        <v>415</v>
      </c>
      <c r="R164" s="143" t="s">
        <v>407</v>
      </c>
      <c r="S164" s="143" t="s">
        <v>1210</v>
      </c>
      <c r="T164" s="144">
        <v>4.16</v>
      </c>
      <c r="U164" s="143" t="s">
        <v>1449</v>
      </c>
      <c r="V164" s="146">
        <v>3.95E-2</v>
      </c>
      <c r="W164" s="146">
        <v>5.3097999999999999E-2</v>
      </c>
      <c r="X164" s="143" t="s">
        <v>412</v>
      </c>
      <c r="Y164" s="145" t="s">
        <v>3853</v>
      </c>
      <c r="Z164" s="144">
        <v>83298</v>
      </c>
      <c r="AA164" s="145" t="s">
        <v>3853</v>
      </c>
      <c r="AB164" s="143" t="s">
        <v>1450</v>
      </c>
      <c r="AC164" s="145" t="s">
        <v>3853</v>
      </c>
      <c r="AD164" s="144">
        <v>79.033100000000005</v>
      </c>
      <c r="AE164" s="145" t="s">
        <v>3853</v>
      </c>
      <c r="AF164" s="145" t="s">
        <v>3853</v>
      </c>
      <c r="AG164" s="145" t="s">
        <v>3853</v>
      </c>
      <c r="AH164" s="146">
        <v>3.4706057818689062E-4</v>
      </c>
      <c r="AI164" s="146">
        <v>1.0738954745985049E-3</v>
      </c>
      <c r="AJ164" s="147">
        <v>1.1933205084407076E-4</v>
      </c>
      <c r="AK164" s="181"/>
    </row>
    <row r="165" spans="1:37" ht="15" x14ac:dyDescent="0.2">
      <c r="A165" s="142" t="s">
        <v>1205</v>
      </c>
      <c r="B165" s="143" t="s">
        <v>1205</v>
      </c>
      <c r="C165" s="143" t="s">
        <v>1873</v>
      </c>
      <c r="D165" s="143" t="s">
        <v>1874</v>
      </c>
      <c r="E165" s="143" t="s">
        <v>309</v>
      </c>
      <c r="F165" s="143" t="s">
        <v>1875</v>
      </c>
      <c r="G165" s="143" t="s">
        <v>1876</v>
      </c>
      <c r="H165" s="143" t="s">
        <v>321</v>
      </c>
      <c r="I165" s="143" t="s">
        <v>951</v>
      </c>
      <c r="J165" s="143" t="s">
        <v>204</v>
      </c>
      <c r="K165" s="143" t="s">
        <v>204</v>
      </c>
      <c r="L165" s="143" t="s">
        <v>325</v>
      </c>
      <c r="M165" s="143" t="s">
        <v>340</v>
      </c>
      <c r="N165" s="143" t="s">
        <v>445</v>
      </c>
      <c r="O165" s="143" t="s">
        <v>339</v>
      </c>
      <c r="P165" s="143" t="s">
        <v>1440</v>
      </c>
      <c r="Q165" s="143" t="s">
        <v>415</v>
      </c>
      <c r="R165" s="143" t="s">
        <v>407</v>
      </c>
      <c r="S165" s="143" t="s">
        <v>1210</v>
      </c>
      <c r="T165" s="144">
        <v>1.35</v>
      </c>
      <c r="U165" s="143" t="s">
        <v>1877</v>
      </c>
      <c r="V165" s="146">
        <v>3.27E-2</v>
      </c>
      <c r="W165" s="146">
        <v>5.0407E-2</v>
      </c>
      <c r="X165" s="143" t="s">
        <v>412</v>
      </c>
      <c r="Y165" s="145" t="s">
        <v>3853</v>
      </c>
      <c r="Z165" s="144">
        <v>62000</v>
      </c>
      <c r="AA165" s="145" t="s">
        <v>3853</v>
      </c>
      <c r="AB165" s="143" t="s">
        <v>1878</v>
      </c>
      <c r="AC165" s="145" t="s">
        <v>3853</v>
      </c>
      <c r="AD165" s="144">
        <v>60.859199999999994</v>
      </c>
      <c r="AE165" s="145" t="s">
        <v>3853</v>
      </c>
      <c r="AF165" s="145" t="s">
        <v>3853</v>
      </c>
      <c r="AG165" s="145" t="s">
        <v>3853</v>
      </c>
      <c r="AH165" s="146">
        <v>1.9645556143513956E-4</v>
      </c>
      <c r="AI165" s="146">
        <v>8.2694952374417206E-4</v>
      </c>
      <c r="AJ165" s="147">
        <v>9.1891236109187924E-5</v>
      </c>
      <c r="AK165" s="181"/>
    </row>
    <row r="166" spans="1:37" ht="15" x14ac:dyDescent="0.2">
      <c r="A166" s="142" t="s">
        <v>1205</v>
      </c>
      <c r="B166" s="143" t="s">
        <v>1205</v>
      </c>
      <c r="C166" s="143" t="s">
        <v>1355</v>
      </c>
      <c r="D166" s="143" t="s">
        <v>1356</v>
      </c>
      <c r="E166" s="143" t="s">
        <v>309</v>
      </c>
      <c r="F166" s="143" t="s">
        <v>1879</v>
      </c>
      <c r="G166" s="143" t="s">
        <v>1880</v>
      </c>
      <c r="H166" s="143" t="s">
        <v>321</v>
      </c>
      <c r="I166" s="143" t="s">
        <v>951</v>
      </c>
      <c r="J166" s="143" t="s">
        <v>204</v>
      </c>
      <c r="K166" s="143" t="s">
        <v>204</v>
      </c>
      <c r="L166" s="143" t="s">
        <v>325</v>
      </c>
      <c r="M166" s="143" t="s">
        <v>340</v>
      </c>
      <c r="N166" s="143" t="s">
        <v>445</v>
      </c>
      <c r="O166" s="143" t="s">
        <v>339</v>
      </c>
      <c r="P166" s="143" t="s">
        <v>1359</v>
      </c>
      <c r="Q166" s="143" t="s">
        <v>415</v>
      </c>
      <c r="R166" s="143" t="s">
        <v>407</v>
      </c>
      <c r="S166" s="143" t="s">
        <v>1210</v>
      </c>
      <c r="T166" s="144">
        <v>4.53</v>
      </c>
      <c r="U166" s="143" t="s">
        <v>1881</v>
      </c>
      <c r="V166" s="146">
        <v>2.6200000000000001E-2</v>
      </c>
      <c r="W166" s="146">
        <v>5.5462999999999998E-2</v>
      </c>
      <c r="X166" s="143" t="s">
        <v>412</v>
      </c>
      <c r="Y166" s="145" t="s">
        <v>3853</v>
      </c>
      <c r="Z166" s="144">
        <v>62000</v>
      </c>
      <c r="AA166" s="145" t="s">
        <v>3853</v>
      </c>
      <c r="AB166" s="143" t="s">
        <v>1882</v>
      </c>
      <c r="AC166" s="145" t="s">
        <v>3853</v>
      </c>
      <c r="AD166" s="144">
        <v>54.857599999999998</v>
      </c>
      <c r="AE166" s="145" t="s">
        <v>3853</v>
      </c>
      <c r="AF166" s="145" t="s">
        <v>3853</v>
      </c>
      <c r="AG166" s="145" t="s">
        <v>3853</v>
      </c>
      <c r="AH166" s="146">
        <v>4.7937118870910753E-5</v>
      </c>
      <c r="AI166" s="146">
        <v>7.4540030420623823E-4</v>
      </c>
      <c r="AJ166" s="147">
        <v>8.2829427169325062E-5</v>
      </c>
      <c r="AK166" s="181"/>
    </row>
    <row r="167" spans="1:37" ht="15" x14ac:dyDescent="0.2">
      <c r="A167" s="142" t="s">
        <v>1205</v>
      </c>
      <c r="B167" s="143" t="s">
        <v>1205</v>
      </c>
      <c r="C167" s="143" t="s">
        <v>1883</v>
      </c>
      <c r="D167" s="143" t="s">
        <v>1884</v>
      </c>
      <c r="E167" s="143" t="s">
        <v>309</v>
      </c>
      <c r="F167" s="143" t="s">
        <v>1885</v>
      </c>
      <c r="G167" s="143" t="s">
        <v>1886</v>
      </c>
      <c r="H167" s="143" t="s">
        <v>321</v>
      </c>
      <c r="I167" s="143" t="s">
        <v>951</v>
      </c>
      <c r="J167" s="143" t="s">
        <v>204</v>
      </c>
      <c r="K167" s="143" t="s">
        <v>204</v>
      </c>
      <c r="L167" s="143" t="s">
        <v>325</v>
      </c>
      <c r="M167" s="143" t="s">
        <v>340</v>
      </c>
      <c r="N167" s="143" t="s">
        <v>464</v>
      </c>
      <c r="O167" s="143" t="s">
        <v>339</v>
      </c>
      <c r="P167" s="143" t="s">
        <v>1409</v>
      </c>
      <c r="Q167" s="143" t="s">
        <v>413</v>
      </c>
      <c r="R167" s="143" t="s">
        <v>407</v>
      </c>
      <c r="S167" s="143" t="s">
        <v>1210</v>
      </c>
      <c r="T167" s="144">
        <v>0.98</v>
      </c>
      <c r="U167" s="143" t="s">
        <v>1887</v>
      </c>
      <c r="V167" s="146">
        <v>2.5499999999999998E-2</v>
      </c>
      <c r="W167" s="146">
        <v>4.9253999999999999E-2</v>
      </c>
      <c r="X167" s="143" t="s">
        <v>412</v>
      </c>
      <c r="Y167" s="145" t="s">
        <v>3853</v>
      </c>
      <c r="Z167" s="144">
        <v>49800.01</v>
      </c>
      <c r="AA167" s="145" t="s">
        <v>3853</v>
      </c>
      <c r="AB167" s="143" t="s">
        <v>1888</v>
      </c>
      <c r="AC167" s="145" t="s">
        <v>3853</v>
      </c>
      <c r="AD167" s="144">
        <v>48.719300000000004</v>
      </c>
      <c r="AE167" s="145" t="s">
        <v>3853</v>
      </c>
      <c r="AF167" s="145" t="s">
        <v>3853</v>
      </c>
      <c r="AG167" s="145" t="s">
        <v>3853</v>
      </c>
      <c r="AH167" s="146">
        <v>7.4208753054777379E-4</v>
      </c>
      <c r="AI167" s="146">
        <v>6.6199429338830579E-4</v>
      </c>
      <c r="AJ167" s="147">
        <v>7.3561290223922866E-5</v>
      </c>
      <c r="AK167" s="181"/>
    </row>
    <row r="168" spans="1:37" ht="15" x14ac:dyDescent="0.2">
      <c r="A168" s="142" t="s">
        <v>1205</v>
      </c>
      <c r="B168" s="143" t="s">
        <v>1205</v>
      </c>
      <c r="C168" s="143" t="s">
        <v>1889</v>
      </c>
      <c r="D168" s="143" t="s">
        <v>1890</v>
      </c>
      <c r="E168" s="143" t="s">
        <v>309</v>
      </c>
      <c r="F168" s="143" t="s">
        <v>1891</v>
      </c>
      <c r="G168" s="143" t="s">
        <v>1892</v>
      </c>
      <c r="H168" s="143" t="s">
        <v>321</v>
      </c>
      <c r="I168" s="143" t="s">
        <v>951</v>
      </c>
      <c r="J168" s="143" t="s">
        <v>204</v>
      </c>
      <c r="K168" s="143" t="s">
        <v>204</v>
      </c>
      <c r="L168" s="143" t="s">
        <v>325</v>
      </c>
      <c r="M168" s="143" t="s">
        <v>340</v>
      </c>
      <c r="N168" s="143" t="s">
        <v>437</v>
      </c>
      <c r="O168" s="143" t="s">
        <v>339</v>
      </c>
      <c r="P168" s="143" t="s">
        <v>1359</v>
      </c>
      <c r="Q168" s="143" t="s">
        <v>415</v>
      </c>
      <c r="R168" s="143" t="s">
        <v>407</v>
      </c>
      <c r="S168" s="143" t="s">
        <v>1210</v>
      </c>
      <c r="T168" s="144">
        <v>2</v>
      </c>
      <c r="U168" s="143" t="s">
        <v>1893</v>
      </c>
      <c r="V168" s="146">
        <v>0.05</v>
      </c>
      <c r="W168" s="146">
        <v>5.2474E-2</v>
      </c>
      <c r="X168" s="143" t="s">
        <v>412</v>
      </c>
      <c r="Y168" s="145" t="s">
        <v>3853</v>
      </c>
      <c r="Z168" s="144">
        <v>47961.65</v>
      </c>
      <c r="AA168" s="145" t="s">
        <v>3853</v>
      </c>
      <c r="AB168" s="143" t="s">
        <v>1894</v>
      </c>
      <c r="AC168" s="145" t="s">
        <v>3853</v>
      </c>
      <c r="AD168" s="144">
        <v>48.5899</v>
      </c>
      <c r="AE168" s="145" t="s">
        <v>3853</v>
      </c>
      <c r="AF168" s="145" t="s">
        <v>3853</v>
      </c>
      <c r="AG168" s="145" t="s">
        <v>3853</v>
      </c>
      <c r="AH168" s="146">
        <v>1.719248548907897E-4</v>
      </c>
      <c r="AI168" s="146">
        <v>6.6023598796859833E-4</v>
      </c>
      <c r="AJ168" s="147">
        <v>7.3365906039235445E-5</v>
      </c>
      <c r="AK168" s="181"/>
    </row>
    <row r="169" spans="1:37" ht="15" x14ac:dyDescent="0.2">
      <c r="A169" s="142" t="s">
        <v>1205</v>
      </c>
      <c r="B169" s="143" t="s">
        <v>1205</v>
      </c>
      <c r="C169" s="143" t="s">
        <v>1349</v>
      </c>
      <c r="D169" s="143" t="s">
        <v>1350</v>
      </c>
      <c r="E169" s="143" t="s">
        <v>309</v>
      </c>
      <c r="F169" s="143" t="s">
        <v>1477</v>
      </c>
      <c r="G169" s="143" t="s">
        <v>1478</v>
      </c>
      <c r="H169" s="143" t="s">
        <v>321</v>
      </c>
      <c r="I169" s="143" t="s">
        <v>754</v>
      </c>
      <c r="J169" s="143" t="s">
        <v>204</v>
      </c>
      <c r="K169" s="143" t="s">
        <v>204</v>
      </c>
      <c r="L169" s="143" t="s">
        <v>325</v>
      </c>
      <c r="M169" s="143" t="s">
        <v>340</v>
      </c>
      <c r="N169" s="143" t="s">
        <v>448</v>
      </c>
      <c r="O169" s="143" t="s">
        <v>339</v>
      </c>
      <c r="P169" s="143" t="s">
        <v>1222</v>
      </c>
      <c r="Q169" s="143" t="s">
        <v>413</v>
      </c>
      <c r="R169" s="143" t="s">
        <v>407</v>
      </c>
      <c r="S169" s="143" t="s">
        <v>1210</v>
      </c>
      <c r="T169" s="144">
        <v>3.17</v>
      </c>
      <c r="U169" s="143" t="s">
        <v>1479</v>
      </c>
      <c r="V169" s="146">
        <v>1.2200000000000001E-2</v>
      </c>
      <c r="W169" s="146">
        <v>2.41E-2</v>
      </c>
      <c r="X169" s="143" t="s">
        <v>412</v>
      </c>
      <c r="Y169" s="145" t="s">
        <v>3853</v>
      </c>
      <c r="Z169" s="144">
        <v>1754135</v>
      </c>
      <c r="AA169" s="145" t="s">
        <v>3853</v>
      </c>
      <c r="AB169" s="143" t="s">
        <v>1480</v>
      </c>
      <c r="AC169" s="145" t="s">
        <v>3853</v>
      </c>
      <c r="AD169" s="144">
        <v>1956.2113999999999</v>
      </c>
      <c r="AE169" s="145" t="s">
        <v>3853</v>
      </c>
      <c r="AF169" s="145" t="s">
        <v>3853</v>
      </c>
      <c r="AG169" s="145" t="s">
        <v>3853</v>
      </c>
      <c r="AH169" s="146">
        <v>5.81684580111765E-4</v>
      </c>
      <c r="AI169" s="146">
        <v>2.6580829946488665E-2</v>
      </c>
      <c r="AJ169" s="147">
        <v>2.953681271296792E-3</v>
      </c>
      <c r="AK169" s="181"/>
    </row>
    <row r="170" spans="1:37" ht="15" x14ac:dyDescent="0.2">
      <c r="A170" s="142" t="s">
        <v>1205</v>
      </c>
      <c r="B170" s="143" t="s">
        <v>1205</v>
      </c>
      <c r="C170" s="143" t="s">
        <v>1481</v>
      </c>
      <c r="D170" s="143" t="s">
        <v>1482</v>
      </c>
      <c r="E170" s="143" t="s">
        <v>309</v>
      </c>
      <c r="F170" s="143" t="s">
        <v>1483</v>
      </c>
      <c r="G170" s="143" t="s">
        <v>1484</v>
      </c>
      <c r="H170" s="143" t="s">
        <v>321</v>
      </c>
      <c r="I170" s="143" t="s">
        <v>754</v>
      </c>
      <c r="J170" s="143" t="s">
        <v>204</v>
      </c>
      <c r="K170" s="143" t="s">
        <v>204</v>
      </c>
      <c r="L170" s="143" t="s">
        <v>325</v>
      </c>
      <c r="M170" s="143" t="s">
        <v>340</v>
      </c>
      <c r="N170" s="143" t="s">
        <v>448</v>
      </c>
      <c r="O170" s="143" t="s">
        <v>339</v>
      </c>
      <c r="P170" s="143" t="s">
        <v>1222</v>
      </c>
      <c r="Q170" s="143" t="s">
        <v>413</v>
      </c>
      <c r="R170" s="143" t="s">
        <v>407</v>
      </c>
      <c r="S170" s="143" t="s">
        <v>1210</v>
      </c>
      <c r="T170" s="144">
        <v>5.39</v>
      </c>
      <c r="U170" s="143" t="s">
        <v>1485</v>
      </c>
      <c r="V170" s="146">
        <v>1E-3</v>
      </c>
      <c r="W170" s="146">
        <v>2.5815000000000001E-2</v>
      </c>
      <c r="X170" s="143" t="s">
        <v>412</v>
      </c>
      <c r="Y170" s="145" t="s">
        <v>3853</v>
      </c>
      <c r="Z170" s="144">
        <v>1800000</v>
      </c>
      <c r="AA170" s="145" t="s">
        <v>3853</v>
      </c>
      <c r="AB170" s="143" t="s">
        <v>1486</v>
      </c>
      <c r="AC170" s="145" t="s">
        <v>3853</v>
      </c>
      <c r="AD170" s="144">
        <v>1748.34</v>
      </c>
      <c r="AE170" s="145" t="s">
        <v>3853</v>
      </c>
      <c r="AF170" s="145" t="s">
        <v>3853</v>
      </c>
      <c r="AG170" s="145" t="s">
        <v>3853</v>
      </c>
      <c r="AH170" s="146">
        <v>7.238127560738949E-4</v>
      </c>
      <c r="AI170" s="146">
        <v>2.3756292069939889E-2</v>
      </c>
      <c r="AJ170" s="147">
        <v>2.6398165559050665E-3</v>
      </c>
      <c r="AK170" s="181"/>
    </row>
    <row r="171" spans="1:37" ht="15" x14ac:dyDescent="0.2">
      <c r="A171" s="142" t="s">
        <v>1205</v>
      </c>
      <c r="B171" s="143" t="s">
        <v>1205</v>
      </c>
      <c r="C171" s="143" t="s">
        <v>1343</v>
      </c>
      <c r="D171" s="143" t="s">
        <v>1344</v>
      </c>
      <c r="E171" s="143" t="s">
        <v>309</v>
      </c>
      <c r="F171" s="143" t="s">
        <v>1487</v>
      </c>
      <c r="G171" s="143" t="s">
        <v>1488</v>
      </c>
      <c r="H171" s="143" t="s">
        <v>321</v>
      </c>
      <c r="I171" s="143" t="s">
        <v>754</v>
      </c>
      <c r="J171" s="143" t="s">
        <v>204</v>
      </c>
      <c r="K171" s="143" t="s">
        <v>204</v>
      </c>
      <c r="L171" s="143" t="s">
        <v>325</v>
      </c>
      <c r="M171" s="143" t="s">
        <v>340</v>
      </c>
      <c r="N171" s="143" t="s">
        <v>445</v>
      </c>
      <c r="O171" s="143" t="s">
        <v>339</v>
      </c>
      <c r="P171" s="143" t="s">
        <v>1347</v>
      </c>
      <c r="Q171" s="143" t="s">
        <v>413</v>
      </c>
      <c r="R171" s="143" t="s">
        <v>407</v>
      </c>
      <c r="S171" s="143" t="s">
        <v>1210</v>
      </c>
      <c r="T171" s="144">
        <v>6.93</v>
      </c>
      <c r="U171" s="143" t="s">
        <v>1489</v>
      </c>
      <c r="V171" s="146">
        <v>2.5000000000000001E-2</v>
      </c>
      <c r="W171" s="146">
        <v>6.1810999999999998E-2</v>
      </c>
      <c r="X171" s="143" t="s">
        <v>412</v>
      </c>
      <c r="Y171" s="145" t="s">
        <v>3853</v>
      </c>
      <c r="Z171" s="144">
        <v>2216422</v>
      </c>
      <c r="AA171" s="145" t="s">
        <v>3853</v>
      </c>
      <c r="AB171" s="143" t="s">
        <v>1490</v>
      </c>
      <c r="AC171" s="145" t="s">
        <v>3853</v>
      </c>
      <c r="AD171" s="144">
        <v>1744.5458000000001</v>
      </c>
      <c r="AE171" s="145" t="s">
        <v>3853</v>
      </c>
      <c r="AF171" s="145" t="s">
        <v>3853</v>
      </c>
      <c r="AG171" s="145" t="s">
        <v>3853</v>
      </c>
      <c r="AH171" s="146">
        <v>1.6619251731271845E-3</v>
      </c>
      <c r="AI171" s="146">
        <v>2.3704736214730172E-2</v>
      </c>
      <c r="AJ171" s="147">
        <v>2.6340876315537501E-3</v>
      </c>
      <c r="AK171" s="181"/>
    </row>
    <row r="172" spans="1:37" ht="15" x14ac:dyDescent="0.2">
      <c r="A172" s="142" t="s">
        <v>1205</v>
      </c>
      <c r="B172" s="143" t="s">
        <v>1205</v>
      </c>
      <c r="C172" s="143" t="s">
        <v>1568</v>
      </c>
      <c r="D172" s="143" t="s">
        <v>1569</v>
      </c>
      <c r="E172" s="143" t="s">
        <v>309</v>
      </c>
      <c r="F172" s="143" t="s">
        <v>1601</v>
      </c>
      <c r="G172" s="143" t="s">
        <v>1602</v>
      </c>
      <c r="H172" s="143" t="s">
        <v>321</v>
      </c>
      <c r="I172" s="143" t="s">
        <v>754</v>
      </c>
      <c r="J172" s="143" t="s">
        <v>204</v>
      </c>
      <c r="K172" s="143" t="s">
        <v>204</v>
      </c>
      <c r="L172" s="143" t="s">
        <v>325</v>
      </c>
      <c r="M172" s="143" t="s">
        <v>340</v>
      </c>
      <c r="N172" s="143" t="s">
        <v>448</v>
      </c>
      <c r="O172" s="143" t="s">
        <v>339</v>
      </c>
      <c r="P172" s="143" t="s">
        <v>1222</v>
      </c>
      <c r="Q172" s="143" t="s">
        <v>413</v>
      </c>
      <c r="R172" s="143" t="s">
        <v>407</v>
      </c>
      <c r="S172" s="143" t="s">
        <v>1210</v>
      </c>
      <c r="T172" s="144">
        <v>3.26</v>
      </c>
      <c r="U172" s="143" t="s">
        <v>1603</v>
      </c>
      <c r="V172" s="146">
        <v>1.7500000000000002E-2</v>
      </c>
      <c r="W172" s="146">
        <v>2.4340000000000001E-2</v>
      </c>
      <c r="X172" s="143" t="s">
        <v>412</v>
      </c>
      <c r="Y172" s="145" t="s">
        <v>3853</v>
      </c>
      <c r="Z172" s="144">
        <v>1343526.48</v>
      </c>
      <c r="AA172" s="145" t="s">
        <v>3853</v>
      </c>
      <c r="AB172" s="143" t="s">
        <v>1604</v>
      </c>
      <c r="AC172" s="145" t="s">
        <v>3853</v>
      </c>
      <c r="AD172" s="144">
        <v>1498.1663999999998</v>
      </c>
      <c r="AE172" s="145" t="s">
        <v>3853</v>
      </c>
      <c r="AF172" s="145" t="s">
        <v>3853</v>
      </c>
      <c r="AG172" s="145" t="s">
        <v>3853</v>
      </c>
      <c r="AH172" s="146">
        <v>5.1666348214417354E-4</v>
      </c>
      <c r="AI172" s="146">
        <v>2.0356954620680767E-2</v>
      </c>
      <c r="AJ172" s="147">
        <v>2.2620796914464441E-3</v>
      </c>
      <c r="AK172" s="181"/>
    </row>
    <row r="173" spans="1:37" ht="15" x14ac:dyDescent="0.2">
      <c r="A173" s="142" t="s">
        <v>1205</v>
      </c>
      <c r="B173" s="143" t="s">
        <v>1205</v>
      </c>
      <c r="C173" s="143" t="s">
        <v>1526</v>
      </c>
      <c r="D173" s="143" t="s">
        <v>1527</v>
      </c>
      <c r="E173" s="143" t="s">
        <v>313</v>
      </c>
      <c r="F173" s="143" t="s">
        <v>1556</v>
      </c>
      <c r="G173" s="143" t="s">
        <v>1557</v>
      </c>
      <c r="H173" s="143" t="s">
        <v>321</v>
      </c>
      <c r="I173" s="143" t="s">
        <v>754</v>
      </c>
      <c r="J173" s="143" t="s">
        <v>204</v>
      </c>
      <c r="K173" s="143" t="s">
        <v>204</v>
      </c>
      <c r="L173" s="143" t="s">
        <v>325</v>
      </c>
      <c r="M173" s="143" t="s">
        <v>340</v>
      </c>
      <c r="N173" s="143" t="s">
        <v>440</v>
      </c>
      <c r="O173" s="143" t="s">
        <v>339</v>
      </c>
      <c r="P173" s="143" t="s">
        <v>1530</v>
      </c>
      <c r="Q173" s="143" t="s">
        <v>415</v>
      </c>
      <c r="R173" s="143" t="s">
        <v>407</v>
      </c>
      <c r="S173" s="143" t="s">
        <v>1210</v>
      </c>
      <c r="T173" s="144">
        <v>5.97</v>
      </c>
      <c r="U173" s="143" t="s">
        <v>1558</v>
      </c>
      <c r="V173" s="146">
        <v>2.3900000000000001E-2</v>
      </c>
      <c r="W173" s="146">
        <v>3.0173999999999999E-2</v>
      </c>
      <c r="X173" s="143" t="s">
        <v>412</v>
      </c>
      <c r="Y173" s="145" t="s">
        <v>3853</v>
      </c>
      <c r="Z173" s="144">
        <v>1200000</v>
      </c>
      <c r="AA173" s="145" t="s">
        <v>3853</v>
      </c>
      <c r="AB173" s="143" t="s">
        <v>1559</v>
      </c>
      <c r="AC173" s="145" t="s">
        <v>3853</v>
      </c>
      <c r="AD173" s="144">
        <v>1319.4</v>
      </c>
      <c r="AE173" s="145" t="s">
        <v>3853</v>
      </c>
      <c r="AF173" s="145" t="s">
        <v>3853</v>
      </c>
      <c r="AG173" s="145" t="s">
        <v>3853</v>
      </c>
      <c r="AH173" s="146">
        <v>3.0855087026772962E-4</v>
      </c>
      <c r="AI173" s="146">
        <v>1.7927892605030308E-2</v>
      </c>
      <c r="AJ173" s="147">
        <v>1.992160543064361E-3</v>
      </c>
      <c r="AK173" s="181"/>
    </row>
    <row r="174" spans="1:37" ht="15" x14ac:dyDescent="0.2">
      <c r="A174" s="142" t="s">
        <v>1205</v>
      </c>
      <c r="B174" s="143" t="s">
        <v>1205</v>
      </c>
      <c r="C174" s="143" t="s">
        <v>1895</v>
      </c>
      <c r="D174" s="143" t="s">
        <v>1896</v>
      </c>
      <c r="E174" s="143" t="s">
        <v>309</v>
      </c>
      <c r="F174" s="143" t="s">
        <v>1897</v>
      </c>
      <c r="G174" s="143" t="s">
        <v>1898</v>
      </c>
      <c r="H174" s="143" t="s">
        <v>321</v>
      </c>
      <c r="I174" s="143" t="s">
        <v>754</v>
      </c>
      <c r="J174" s="143" t="s">
        <v>204</v>
      </c>
      <c r="K174" s="143" t="s">
        <v>204</v>
      </c>
      <c r="L174" s="143" t="s">
        <v>325</v>
      </c>
      <c r="M174" s="143" t="s">
        <v>340</v>
      </c>
      <c r="N174" s="143" t="s">
        <v>448</v>
      </c>
      <c r="O174" s="143" t="s">
        <v>339</v>
      </c>
      <c r="P174" s="143" t="s">
        <v>1222</v>
      </c>
      <c r="Q174" s="143" t="s">
        <v>413</v>
      </c>
      <c r="R174" s="143" t="s">
        <v>407</v>
      </c>
      <c r="S174" s="143" t="s">
        <v>1210</v>
      </c>
      <c r="T174" s="144">
        <v>5.3</v>
      </c>
      <c r="U174" s="143" t="s">
        <v>1899</v>
      </c>
      <c r="V174" s="146">
        <v>2.1100000000000001E-2</v>
      </c>
      <c r="W174" s="146">
        <v>2.606E-2</v>
      </c>
      <c r="X174" s="143" t="s">
        <v>412</v>
      </c>
      <c r="Y174" s="145" t="s">
        <v>3853</v>
      </c>
      <c r="Z174" s="144">
        <v>1280000</v>
      </c>
      <c r="AA174" s="145" t="s">
        <v>3853</v>
      </c>
      <c r="AB174" s="143" t="s">
        <v>1900</v>
      </c>
      <c r="AC174" s="145" t="s">
        <v>3853</v>
      </c>
      <c r="AD174" s="144">
        <v>1284.3520000000001</v>
      </c>
      <c r="AE174" s="145" t="s">
        <v>3853</v>
      </c>
      <c r="AF174" s="145" t="s">
        <v>3853</v>
      </c>
      <c r="AG174" s="145" t="s">
        <v>3853</v>
      </c>
      <c r="AH174" s="146">
        <v>8.1912975143251716E-4</v>
      </c>
      <c r="AI174" s="146">
        <v>1.7451663425084044E-2</v>
      </c>
      <c r="AJ174" s="147">
        <v>1.9392416081596164E-3</v>
      </c>
      <c r="AK174" s="181"/>
    </row>
    <row r="175" spans="1:37" ht="15" x14ac:dyDescent="0.2">
      <c r="A175" s="142" t="s">
        <v>1205</v>
      </c>
      <c r="B175" s="143" t="s">
        <v>1205</v>
      </c>
      <c r="C175" s="143" t="s">
        <v>1720</v>
      </c>
      <c r="D175" s="143" t="s">
        <v>1721</v>
      </c>
      <c r="E175" s="143" t="s">
        <v>309</v>
      </c>
      <c r="F175" s="143" t="s">
        <v>1733</v>
      </c>
      <c r="G175" s="143" t="s">
        <v>1734</v>
      </c>
      <c r="H175" s="143" t="s">
        <v>321</v>
      </c>
      <c r="I175" s="143" t="s">
        <v>754</v>
      </c>
      <c r="J175" s="143" t="s">
        <v>204</v>
      </c>
      <c r="K175" s="143" t="s">
        <v>204</v>
      </c>
      <c r="L175" s="143" t="s">
        <v>325</v>
      </c>
      <c r="M175" s="143" t="s">
        <v>340</v>
      </c>
      <c r="N175" s="143" t="s">
        <v>464</v>
      </c>
      <c r="O175" s="143" t="s">
        <v>339</v>
      </c>
      <c r="P175" s="143" t="s">
        <v>1735</v>
      </c>
      <c r="Q175" s="143" t="s">
        <v>413</v>
      </c>
      <c r="R175" s="143" t="s">
        <v>407</v>
      </c>
      <c r="S175" s="143" t="s">
        <v>1210</v>
      </c>
      <c r="T175" s="144">
        <v>10.57</v>
      </c>
      <c r="U175" s="143" t="s">
        <v>1736</v>
      </c>
      <c r="V175" s="146">
        <v>1.6899999999999998E-2</v>
      </c>
      <c r="W175" s="146">
        <v>3.8008E-2</v>
      </c>
      <c r="X175" s="143" t="s">
        <v>412</v>
      </c>
      <c r="Y175" s="145" t="s">
        <v>3853</v>
      </c>
      <c r="Z175" s="144">
        <v>1389191</v>
      </c>
      <c r="AA175" s="145" t="s">
        <v>3853</v>
      </c>
      <c r="AB175" s="143" t="s">
        <v>1737</v>
      </c>
      <c r="AC175" s="144">
        <v>13.13</v>
      </c>
      <c r="AD175" s="144">
        <v>1260.6236000000001</v>
      </c>
      <c r="AE175" s="145" t="s">
        <v>3853</v>
      </c>
      <c r="AF175" s="145" t="s">
        <v>3853</v>
      </c>
      <c r="AG175" s="145" t="s">
        <v>3853</v>
      </c>
      <c r="AH175" s="146">
        <v>3.1840562370500763E-4</v>
      </c>
      <c r="AI175" s="146">
        <v>1.7307653259220061E-2</v>
      </c>
      <c r="AJ175" s="147">
        <v>1.9232390931649716E-3</v>
      </c>
      <c r="AK175" s="181"/>
    </row>
    <row r="176" spans="1:37" ht="15" x14ac:dyDescent="0.2">
      <c r="A176" s="142" t="s">
        <v>1205</v>
      </c>
      <c r="B176" s="143" t="s">
        <v>1205</v>
      </c>
      <c r="C176" s="143" t="s">
        <v>1481</v>
      </c>
      <c r="D176" s="143" t="s">
        <v>1482</v>
      </c>
      <c r="E176" s="143" t="s">
        <v>309</v>
      </c>
      <c r="F176" s="143" t="s">
        <v>1522</v>
      </c>
      <c r="G176" s="143" t="s">
        <v>1523</v>
      </c>
      <c r="H176" s="143" t="s">
        <v>321</v>
      </c>
      <c r="I176" s="143" t="s">
        <v>754</v>
      </c>
      <c r="J176" s="143" t="s">
        <v>204</v>
      </c>
      <c r="K176" s="143" t="s">
        <v>204</v>
      </c>
      <c r="L176" s="143" t="s">
        <v>325</v>
      </c>
      <c r="M176" s="143" t="s">
        <v>340</v>
      </c>
      <c r="N176" s="143" t="s">
        <v>448</v>
      </c>
      <c r="O176" s="143" t="s">
        <v>339</v>
      </c>
      <c r="P176" s="143" t="s">
        <v>1222</v>
      </c>
      <c r="Q176" s="143" t="s">
        <v>413</v>
      </c>
      <c r="R176" s="143" t="s">
        <v>407</v>
      </c>
      <c r="S176" s="143" t="s">
        <v>1210</v>
      </c>
      <c r="T176" s="144">
        <v>5.29</v>
      </c>
      <c r="U176" s="143" t="s">
        <v>1524</v>
      </c>
      <c r="V176" s="146">
        <v>2.0251999999999999E-2</v>
      </c>
      <c r="W176" s="146">
        <v>2.5944999999999999E-2</v>
      </c>
      <c r="X176" s="143" t="s">
        <v>412</v>
      </c>
      <c r="Y176" s="145" t="s">
        <v>3853</v>
      </c>
      <c r="Z176" s="144">
        <v>1260000</v>
      </c>
      <c r="AA176" s="145" t="s">
        <v>3853</v>
      </c>
      <c r="AB176" s="143" t="s">
        <v>1525</v>
      </c>
      <c r="AC176" s="145" t="s">
        <v>3853</v>
      </c>
      <c r="AD176" s="144">
        <v>1249.038</v>
      </c>
      <c r="AE176" s="145" t="s">
        <v>3853</v>
      </c>
      <c r="AF176" s="145" t="s">
        <v>3853</v>
      </c>
      <c r="AG176" s="145" t="s">
        <v>3853</v>
      </c>
      <c r="AH176" s="146">
        <v>5.9357749154152078E-4</v>
      </c>
      <c r="AI176" s="146">
        <v>1.6971819860240902E-2</v>
      </c>
      <c r="AJ176" s="147">
        <v>1.8859210401606966E-3</v>
      </c>
      <c r="AK176" s="181"/>
    </row>
    <row r="177" spans="1:37" ht="15" x14ac:dyDescent="0.2">
      <c r="A177" s="142" t="s">
        <v>1205</v>
      </c>
      <c r="B177" s="143" t="s">
        <v>1205</v>
      </c>
      <c r="C177" s="143" t="s">
        <v>1526</v>
      </c>
      <c r="D177" s="143" t="s">
        <v>1527</v>
      </c>
      <c r="E177" s="143" t="s">
        <v>313</v>
      </c>
      <c r="F177" s="143" t="s">
        <v>1528</v>
      </c>
      <c r="G177" s="143" t="s">
        <v>1529</v>
      </c>
      <c r="H177" s="143" t="s">
        <v>321</v>
      </c>
      <c r="I177" s="143" t="s">
        <v>754</v>
      </c>
      <c r="J177" s="143" t="s">
        <v>204</v>
      </c>
      <c r="K177" s="143" t="s">
        <v>204</v>
      </c>
      <c r="L177" s="143" t="s">
        <v>325</v>
      </c>
      <c r="M177" s="143" t="s">
        <v>340</v>
      </c>
      <c r="N177" s="143" t="s">
        <v>440</v>
      </c>
      <c r="O177" s="143" t="s">
        <v>339</v>
      </c>
      <c r="P177" s="143" t="s">
        <v>1530</v>
      </c>
      <c r="Q177" s="143" t="s">
        <v>415</v>
      </c>
      <c r="R177" s="143" t="s">
        <v>407</v>
      </c>
      <c r="S177" s="143" t="s">
        <v>1210</v>
      </c>
      <c r="T177" s="144">
        <v>10.64</v>
      </c>
      <c r="U177" s="143" t="s">
        <v>1531</v>
      </c>
      <c r="V177" s="146">
        <v>3.2000000000000001E-2</v>
      </c>
      <c r="W177" s="146">
        <v>3.5250999999999998E-2</v>
      </c>
      <c r="X177" s="143" t="s">
        <v>412</v>
      </c>
      <c r="Y177" s="145" t="s">
        <v>3853</v>
      </c>
      <c r="Z177" s="144">
        <v>1223991</v>
      </c>
      <c r="AA177" s="145" t="s">
        <v>3853</v>
      </c>
      <c r="AB177" s="143" t="s">
        <v>1532</v>
      </c>
      <c r="AC177" s="145" t="s">
        <v>3853</v>
      </c>
      <c r="AD177" s="144">
        <v>1223.991</v>
      </c>
      <c r="AE177" s="145" t="s">
        <v>3853</v>
      </c>
      <c r="AF177" s="145" t="s">
        <v>3853</v>
      </c>
      <c r="AG177" s="145" t="s">
        <v>3853</v>
      </c>
      <c r="AH177" s="146">
        <v>3.9215724595937301E-4</v>
      </c>
      <c r="AI177" s="146">
        <v>1.6631483399669283E-2</v>
      </c>
      <c r="AJ177" s="147">
        <v>1.8481026036576398E-3</v>
      </c>
      <c r="AK177" s="181"/>
    </row>
    <row r="178" spans="1:37" ht="15" x14ac:dyDescent="0.2">
      <c r="A178" s="142" t="s">
        <v>1205</v>
      </c>
      <c r="B178" s="143" t="s">
        <v>1205</v>
      </c>
      <c r="C178" s="143" t="s">
        <v>1526</v>
      </c>
      <c r="D178" s="143" t="s">
        <v>1527</v>
      </c>
      <c r="E178" s="143" t="s">
        <v>313</v>
      </c>
      <c r="F178" s="143" t="s">
        <v>1538</v>
      </c>
      <c r="G178" s="143" t="s">
        <v>1539</v>
      </c>
      <c r="H178" s="143" t="s">
        <v>321</v>
      </c>
      <c r="I178" s="143" t="s">
        <v>754</v>
      </c>
      <c r="J178" s="143" t="s">
        <v>204</v>
      </c>
      <c r="K178" s="143" t="s">
        <v>204</v>
      </c>
      <c r="L178" s="143" t="s">
        <v>325</v>
      </c>
      <c r="M178" s="143" t="s">
        <v>340</v>
      </c>
      <c r="N178" s="143" t="s">
        <v>440</v>
      </c>
      <c r="O178" s="143" t="s">
        <v>339</v>
      </c>
      <c r="P178" s="143" t="s">
        <v>1530</v>
      </c>
      <c r="Q178" s="143" t="s">
        <v>415</v>
      </c>
      <c r="R178" s="143" t="s">
        <v>407</v>
      </c>
      <c r="S178" s="143" t="s">
        <v>1210</v>
      </c>
      <c r="T178" s="144">
        <v>7.89</v>
      </c>
      <c r="U178" s="143" t="s">
        <v>1540</v>
      </c>
      <c r="V178" s="146">
        <v>0.03</v>
      </c>
      <c r="W178" s="146">
        <v>3.3659000000000001E-2</v>
      </c>
      <c r="X178" s="143" t="s">
        <v>412</v>
      </c>
      <c r="Y178" s="145" t="s">
        <v>3853</v>
      </c>
      <c r="Z178" s="144">
        <v>1205000</v>
      </c>
      <c r="AA178" s="145" t="s">
        <v>3853</v>
      </c>
      <c r="AB178" s="143" t="s">
        <v>1541</v>
      </c>
      <c r="AC178" s="145" t="s">
        <v>3853</v>
      </c>
      <c r="AD178" s="144">
        <v>1210.5429999999999</v>
      </c>
      <c r="AE178" s="145" t="s">
        <v>3853</v>
      </c>
      <c r="AF178" s="145" t="s">
        <v>3853</v>
      </c>
      <c r="AG178" s="145" t="s">
        <v>3853</v>
      </c>
      <c r="AH178" s="146">
        <v>4.7142425679281278E-4</v>
      </c>
      <c r="AI178" s="146">
        <v>1.644875314367986E-2</v>
      </c>
      <c r="AJ178" s="147">
        <v>1.8277974839190241E-3</v>
      </c>
      <c r="AK178" s="181"/>
    </row>
    <row r="179" spans="1:37" ht="15" x14ac:dyDescent="0.2">
      <c r="A179" s="142" t="s">
        <v>1205</v>
      </c>
      <c r="B179" s="143" t="s">
        <v>1205</v>
      </c>
      <c r="C179" s="143" t="s">
        <v>1451</v>
      </c>
      <c r="D179" s="143" t="s">
        <v>1452</v>
      </c>
      <c r="E179" s="143" t="s">
        <v>309</v>
      </c>
      <c r="F179" s="143" t="s">
        <v>1564</v>
      </c>
      <c r="G179" s="143" t="s">
        <v>1565</v>
      </c>
      <c r="H179" s="143" t="s">
        <v>321</v>
      </c>
      <c r="I179" s="143" t="s">
        <v>754</v>
      </c>
      <c r="J179" s="143" t="s">
        <v>204</v>
      </c>
      <c r="K179" s="143" t="s">
        <v>204</v>
      </c>
      <c r="L179" s="143" t="s">
        <v>325</v>
      </c>
      <c r="M179" s="143" t="s">
        <v>340</v>
      </c>
      <c r="N179" s="143" t="s">
        <v>464</v>
      </c>
      <c r="O179" s="143" t="s">
        <v>339</v>
      </c>
      <c r="P179" s="143" t="s">
        <v>1359</v>
      </c>
      <c r="Q179" s="143" t="s">
        <v>415</v>
      </c>
      <c r="R179" s="143" t="s">
        <v>407</v>
      </c>
      <c r="S179" s="143" t="s">
        <v>1210</v>
      </c>
      <c r="T179" s="144">
        <v>5.37</v>
      </c>
      <c r="U179" s="143" t="s">
        <v>1566</v>
      </c>
      <c r="V179" s="146">
        <v>5.8999999999999999E-3</v>
      </c>
      <c r="W179" s="146">
        <v>3.5757999999999998E-2</v>
      </c>
      <c r="X179" s="143" t="s">
        <v>412</v>
      </c>
      <c r="Y179" s="145" t="s">
        <v>3853</v>
      </c>
      <c r="Z179" s="144">
        <v>1200000</v>
      </c>
      <c r="AA179" s="145" t="s">
        <v>3853</v>
      </c>
      <c r="AB179" s="143" t="s">
        <v>1567</v>
      </c>
      <c r="AC179" s="145" t="s">
        <v>3853</v>
      </c>
      <c r="AD179" s="144">
        <v>1128</v>
      </c>
      <c r="AE179" s="145" t="s">
        <v>3853</v>
      </c>
      <c r="AF179" s="145" t="s">
        <v>3853</v>
      </c>
      <c r="AG179" s="145" t="s">
        <v>3853</v>
      </c>
      <c r="AH179" s="146">
        <v>8.5682399621283796E-4</v>
      </c>
      <c r="AI179" s="146">
        <v>1.5327166028857199E-2</v>
      </c>
      <c r="AJ179" s="147">
        <v>1.7031659031200538E-3</v>
      </c>
      <c r="AK179" s="181"/>
    </row>
    <row r="180" spans="1:37" ht="15" x14ac:dyDescent="0.2">
      <c r="A180" s="142" t="s">
        <v>1205</v>
      </c>
      <c r="B180" s="143" t="s">
        <v>1205</v>
      </c>
      <c r="C180" s="143" t="s">
        <v>1568</v>
      </c>
      <c r="D180" s="143" t="s">
        <v>1569</v>
      </c>
      <c r="E180" s="143" t="s">
        <v>309</v>
      </c>
      <c r="F180" s="143" t="s">
        <v>1570</v>
      </c>
      <c r="G180" s="143" t="s">
        <v>1571</v>
      </c>
      <c r="H180" s="143" t="s">
        <v>321</v>
      </c>
      <c r="I180" s="143" t="s">
        <v>754</v>
      </c>
      <c r="J180" s="143" t="s">
        <v>204</v>
      </c>
      <c r="K180" s="143" t="s">
        <v>204</v>
      </c>
      <c r="L180" s="143" t="s">
        <v>325</v>
      </c>
      <c r="M180" s="143" t="s">
        <v>340</v>
      </c>
      <c r="N180" s="143" t="s">
        <v>448</v>
      </c>
      <c r="O180" s="143" t="s">
        <v>339</v>
      </c>
      <c r="P180" s="143" t="s">
        <v>1222</v>
      </c>
      <c r="Q180" s="143" t="s">
        <v>413</v>
      </c>
      <c r="R180" s="143" t="s">
        <v>407</v>
      </c>
      <c r="S180" s="143" t="s">
        <v>1210</v>
      </c>
      <c r="T180" s="144">
        <v>4.16</v>
      </c>
      <c r="U180" s="143" t="s">
        <v>1572</v>
      </c>
      <c r="V180" s="146">
        <v>1.3899999999999999E-2</v>
      </c>
      <c r="W180" s="146">
        <v>2.5141E-2</v>
      </c>
      <c r="X180" s="143" t="s">
        <v>412</v>
      </c>
      <c r="Y180" s="145" t="s">
        <v>3853</v>
      </c>
      <c r="Z180" s="144">
        <v>1079100</v>
      </c>
      <c r="AA180" s="145" t="s">
        <v>3853</v>
      </c>
      <c r="AB180" s="143" t="s">
        <v>1573</v>
      </c>
      <c r="AC180" s="145" t="s">
        <v>3853</v>
      </c>
      <c r="AD180" s="144">
        <v>1094.8548999999998</v>
      </c>
      <c r="AE180" s="145" t="s">
        <v>3853</v>
      </c>
      <c r="AF180" s="145" t="s">
        <v>3853</v>
      </c>
      <c r="AG180" s="145" t="s">
        <v>3853</v>
      </c>
      <c r="AH180" s="146">
        <v>5.9949999999999999E-4</v>
      </c>
      <c r="AI180" s="146">
        <v>1.4876792745320217E-2</v>
      </c>
      <c r="AJ180" s="147">
        <v>1.6531200943415603E-3</v>
      </c>
      <c r="AK180" s="181"/>
    </row>
    <row r="181" spans="1:37" ht="15" x14ac:dyDescent="0.2">
      <c r="A181" s="142" t="s">
        <v>1205</v>
      </c>
      <c r="B181" s="143" t="s">
        <v>1205</v>
      </c>
      <c r="C181" s="143" t="s">
        <v>1568</v>
      </c>
      <c r="D181" s="143" t="s">
        <v>1569</v>
      </c>
      <c r="E181" s="143" t="s">
        <v>309</v>
      </c>
      <c r="F181" s="143" t="s">
        <v>1580</v>
      </c>
      <c r="G181" s="143" t="s">
        <v>1581</v>
      </c>
      <c r="H181" s="143" t="s">
        <v>321</v>
      </c>
      <c r="I181" s="143" t="s">
        <v>754</v>
      </c>
      <c r="J181" s="143" t="s">
        <v>204</v>
      </c>
      <c r="K181" s="143" t="s">
        <v>204</v>
      </c>
      <c r="L181" s="143" t="s">
        <v>325</v>
      </c>
      <c r="M181" s="143" t="s">
        <v>340</v>
      </c>
      <c r="N181" s="143" t="s">
        <v>448</v>
      </c>
      <c r="O181" s="143" t="s">
        <v>339</v>
      </c>
      <c r="P181" s="143" t="s">
        <v>1222</v>
      </c>
      <c r="Q181" s="143" t="s">
        <v>413</v>
      </c>
      <c r="R181" s="143" t="s">
        <v>407</v>
      </c>
      <c r="S181" s="143" t="s">
        <v>1210</v>
      </c>
      <c r="T181" s="144">
        <v>3.8</v>
      </c>
      <c r="U181" s="143" t="s">
        <v>1582</v>
      </c>
      <c r="V181" s="146">
        <v>1E-3</v>
      </c>
      <c r="W181" s="146">
        <v>2.5401E-2</v>
      </c>
      <c r="X181" s="143" t="s">
        <v>412</v>
      </c>
      <c r="Y181" s="145" t="s">
        <v>3853</v>
      </c>
      <c r="Z181" s="144">
        <v>1056000.01</v>
      </c>
      <c r="AA181" s="145" t="s">
        <v>3853</v>
      </c>
      <c r="AB181" s="143" t="s">
        <v>1583</v>
      </c>
      <c r="AC181" s="145" t="s">
        <v>3853</v>
      </c>
      <c r="AD181" s="144">
        <v>1066.2431999999999</v>
      </c>
      <c r="AE181" s="145" t="s">
        <v>3853</v>
      </c>
      <c r="AF181" s="145" t="s">
        <v>3853</v>
      </c>
      <c r="AG181" s="145" t="s">
        <v>3853</v>
      </c>
      <c r="AH181" s="146">
        <v>9.3886711659128515E-4</v>
      </c>
      <c r="AI181" s="146">
        <v>1.4488020131470202E-2</v>
      </c>
      <c r="AJ181" s="147">
        <v>1.6099193970482999E-3</v>
      </c>
      <c r="AK181" s="181"/>
    </row>
    <row r="182" spans="1:37" ht="15" x14ac:dyDescent="0.2">
      <c r="A182" s="142" t="s">
        <v>1205</v>
      </c>
      <c r="B182" s="143" t="s">
        <v>1205</v>
      </c>
      <c r="C182" s="143" t="s">
        <v>1386</v>
      </c>
      <c r="D182" s="143" t="s">
        <v>1387</v>
      </c>
      <c r="E182" s="143" t="s">
        <v>309</v>
      </c>
      <c r="F182" s="143" t="s">
        <v>1901</v>
      </c>
      <c r="G182" s="143" t="s">
        <v>1902</v>
      </c>
      <c r="H182" s="143" t="s">
        <v>321</v>
      </c>
      <c r="I182" s="143" t="s">
        <v>754</v>
      </c>
      <c r="J182" s="143" t="s">
        <v>204</v>
      </c>
      <c r="K182" s="143" t="s">
        <v>204</v>
      </c>
      <c r="L182" s="143" t="s">
        <v>325</v>
      </c>
      <c r="M182" s="143" t="s">
        <v>340</v>
      </c>
      <c r="N182" s="143" t="s">
        <v>464</v>
      </c>
      <c r="O182" s="143" t="s">
        <v>339</v>
      </c>
      <c r="P182" s="143" t="s">
        <v>1347</v>
      </c>
      <c r="Q182" s="143" t="s">
        <v>413</v>
      </c>
      <c r="R182" s="143" t="s">
        <v>407</v>
      </c>
      <c r="S182" s="143" t="s">
        <v>1210</v>
      </c>
      <c r="T182" s="144">
        <v>7.13</v>
      </c>
      <c r="U182" s="143" t="s">
        <v>1805</v>
      </c>
      <c r="V182" s="146">
        <v>2.5600000000000001E-2</v>
      </c>
      <c r="W182" s="146">
        <v>4.5317999999999997E-2</v>
      </c>
      <c r="X182" s="143" t="s">
        <v>412</v>
      </c>
      <c r="Y182" s="145" t="s">
        <v>3853</v>
      </c>
      <c r="Z182" s="144">
        <v>1102201</v>
      </c>
      <c r="AA182" s="145" t="s">
        <v>3853</v>
      </c>
      <c r="AB182" s="143" t="s">
        <v>1903</v>
      </c>
      <c r="AC182" s="145" t="s">
        <v>3853</v>
      </c>
      <c r="AD182" s="144">
        <v>1025.8185000000001</v>
      </c>
      <c r="AE182" s="145" t="s">
        <v>3853</v>
      </c>
      <c r="AF182" s="145" t="s">
        <v>3853</v>
      </c>
      <c r="AG182" s="145" t="s">
        <v>3853</v>
      </c>
      <c r="AH182" s="146">
        <v>1.0492355875409336E-3</v>
      </c>
      <c r="AI182" s="146">
        <v>1.3938732283588018E-2</v>
      </c>
      <c r="AJ182" s="147">
        <v>1.5488821295097501E-3</v>
      </c>
      <c r="AK182" s="181"/>
    </row>
    <row r="183" spans="1:37" ht="15" x14ac:dyDescent="0.2">
      <c r="A183" s="142" t="s">
        <v>1205</v>
      </c>
      <c r="B183" s="143" t="s">
        <v>1205</v>
      </c>
      <c r="C183" s="143" t="s">
        <v>1748</v>
      </c>
      <c r="D183" s="143" t="s">
        <v>1749</v>
      </c>
      <c r="E183" s="143" t="s">
        <v>309</v>
      </c>
      <c r="F183" s="143" t="s">
        <v>1750</v>
      </c>
      <c r="G183" s="143" t="s">
        <v>1751</v>
      </c>
      <c r="H183" s="143" t="s">
        <v>321</v>
      </c>
      <c r="I183" s="143" t="s">
        <v>754</v>
      </c>
      <c r="J183" s="143" t="s">
        <v>204</v>
      </c>
      <c r="K183" s="143" t="s">
        <v>204</v>
      </c>
      <c r="L183" s="143" t="s">
        <v>325</v>
      </c>
      <c r="M183" s="143" t="s">
        <v>340</v>
      </c>
      <c r="N183" s="143" t="s">
        <v>440</v>
      </c>
      <c r="O183" s="143" t="s">
        <v>339</v>
      </c>
      <c r="P183" s="143" t="s">
        <v>1402</v>
      </c>
      <c r="Q183" s="143" t="s">
        <v>415</v>
      </c>
      <c r="R183" s="143" t="s">
        <v>407</v>
      </c>
      <c r="S183" s="143" t="s">
        <v>1210</v>
      </c>
      <c r="T183" s="144">
        <v>3.69</v>
      </c>
      <c r="U183" s="143" t="s">
        <v>1615</v>
      </c>
      <c r="V183" s="146">
        <v>1.7999999999999999E-2</v>
      </c>
      <c r="W183" s="146">
        <v>3.5799999999999998E-2</v>
      </c>
      <c r="X183" s="143" t="s">
        <v>412</v>
      </c>
      <c r="Y183" s="145" t="s">
        <v>3853</v>
      </c>
      <c r="Z183" s="144">
        <v>947999.98</v>
      </c>
      <c r="AA183" s="145" t="s">
        <v>3853</v>
      </c>
      <c r="AB183" s="143" t="s">
        <v>1752</v>
      </c>
      <c r="AC183" s="145" t="s">
        <v>3853</v>
      </c>
      <c r="AD183" s="144">
        <v>1013.7912</v>
      </c>
      <c r="AE183" s="145" t="s">
        <v>3853</v>
      </c>
      <c r="AF183" s="145" t="s">
        <v>3853</v>
      </c>
      <c r="AG183" s="145" t="s">
        <v>3853</v>
      </c>
      <c r="AH183" s="146">
        <v>9.5280662741347843E-4</v>
      </c>
      <c r="AI183" s="146">
        <v>1.3775306483312898E-2</v>
      </c>
      <c r="AJ183" s="147">
        <v>1.530722135014052E-3</v>
      </c>
      <c r="AK183" s="181"/>
    </row>
    <row r="184" spans="1:37" ht="15" x14ac:dyDescent="0.2">
      <c r="A184" s="142" t="s">
        <v>1205</v>
      </c>
      <c r="B184" s="143" t="s">
        <v>1205</v>
      </c>
      <c r="C184" s="143" t="s">
        <v>1349</v>
      </c>
      <c r="D184" s="143" t="s">
        <v>1350</v>
      </c>
      <c r="E184" s="143" t="s">
        <v>309</v>
      </c>
      <c r="F184" s="143" t="s">
        <v>1650</v>
      </c>
      <c r="G184" s="143" t="s">
        <v>1651</v>
      </c>
      <c r="H184" s="143" t="s">
        <v>321</v>
      </c>
      <c r="I184" s="143" t="s">
        <v>754</v>
      </c>
      <c r="J184" s="143" t="s">
        <v>204</v>
      </c>
      <c r="K184" s="143" t="s">
        <v>204</v>
      </c>
      <c r="L184" s="143" t="s">
        <v>325</v>
      </c>
      <c r="M184" s="143" t="s">
        <v>340</v>
      </c>
      <c r="N184" s="143" t="s">
        <v>448</v>
      </c>
      <c r="O184" s="143" t="s">
        <v>339</v>
      </c>
      <c r="P184" s="143" t="s">
        <v>1209</v>
      </c>
      <c r="Q184" s="143" t="s">
        <v>415</v>
      </c>
      <c r="R184" s="143" t="s">
        <v>407</v>
      </c>
      <c r="S184" s="143" t="s">
        <v>1210</v>
      </c>
      <c r="T184" s="144">
        <v>2.41</v>
      </c>
      <c r="U184" s="143" t="s">
        <v>1652</v>
      </c>
      <c r="V184" s="146">
        <v>5.0000000000000001E-3</v>
      </c>
      <c r="W184" s="146">
        <v>2.1951999999999999E-2</v>
      </c>
      <c r="X184" s="143" t="s">
        <v>412</v>
      </c>
      <c r="Y184" s="145" t="s">
        <v>3853</v>
      </c>
      <c r="Z184" s="144">
        <v>923789</v>
      </c>
      <c r="AA184" s="145" t="s">
        <v>3853</v>
      </c>
      <c r="AB184" s="143" t="s">
        <v>1653</v>
      </c>
      <c r="AC184" s="145" t="s">
        <v>3853</v>
      </c>
      <c r="AD184" s="144">
        <v>1000.2787</v>
      </c>
      <c r="AE184" s="145" t="s">
        <v>3853</v>
      </c>
      <c r="AF184" s="145" t="s">
        <v>3853</v>
      </c>
      <c r="AG184" s="145" t="s">
        <v>3853</v>
      </c>
      <c r="AH184" s="146">
        <v>1.2103516495858026E-3</v>
      </c>
      <c r="AI184" s="146">
        <v>1.3591700494310896E-2</v>
      </c>
      <c r="AJ184" s="147">
        <v>1.5103197031823561E-3</v>
      </c>
      <c r="AK184" s="181"/>
    </row>
    <row r="185" spans="1:37" ht="15" x14ac:dyDescent="0.2">
      <c r="A185" s="142" t="s">
        <v>1205</v>
      </c>
      <c r="B185" s="143" t="s">
        <v>1205</v>
      </c>
      <c r="C185" s="143" t="s">
        <v>1343</v>
      </c>
      <c r="D185" s="143" t="s">
        <v>1344</v>
      </c>
      <c r="E185" s="143" t="s">
        <v>309</v>
      </c>
      <c r="F185" s="143" t="s">
        <v>1507</v>
      </c>
      <c r="G185" s="143" t="s">
        <v>1508</v>
      </c>
      <c r="H185" s="143" t="s">
        <v>321</v>
      </c>
      <c r="I185" s="143" t="s">
        <v>754</v>
      </c>
      <c r="J185" s="143" t="s">
        <v>204</v>
      </c>
      <c r="K185" s="143" t="s">
        <v>204</v>
      </c>
      <c r="L185" s="143" t="s">
        <v>325</v>
      </c>
      <c r="M185" s="143" t="s">
        <v>340</v>
      </c>
      <c r="N185" s="143" t="s">
        <v>445</v>
      </c>
      <c r="O185" s="143" t="s">
        <v>339</v>
      </c>
      <c r="P185" s="143" t="s">
        <v>1347</v>
      </c>
      <c r="Q185" s="143" t="s">
        <v>413</v>
      </c>
      <c r="R185" s="143" t="s">
        <v>407</v>
      </c>
      <c r="S185" s="143" t="s">
        <v>1210</v>
      </c>
      <c r="T185" s="144">
        <v>1.06</v>
      </c>
      <c r="U185" s="143" t="s">
        <v>1360</v>
      </c>
      <c r="V185" s="146">
        <v>2.4799999999999999E-2</v>
      </c>
      <c r="W185" s="146">
        <v>2.7913E-2</v>
      </c>
      <c r="X185" s="143" t="s">
        <v>412</v>
      </c>
      <c r="Y185" s="145" t="s">
        <v>3853</v>
      </c>
      <c r="Z185" s="144">
        <v>809721.26</v>
      </c>
      <c r="AA185" s="145" t="s">
        <v>3853</v>
      </c>
      <c r="AB185" s="143" t="s">
        <v>1509</v>
      </c>
      <c r="AC185" s="145" t="s">
        <v>3853</v>
      </c>
      <c r="AD185" s="144">
        <v>927.77859999999998</v>
      </c>
      <c r="AE185" s="145" t="s">
        <v>3853</v>
      </c>
      <c r="AF185" s="145" t="s">
        <v>3853</v>
      </c>
      <c r="AG185" s="145" t="s">
        <v>3853</v>
      </c>
      <c r="AH185" s="146">
        <v>1.9120368951044784E-3</v>
      </c>
      <c r="AI185" s="146">
        <v>1.2606575303447234E-2</v>
      </c>
      <c r="AJ185" s="147">
        <v>1.4008518712149405E-3</v>
      </c>
      <c r="AK185" s="181"/>
    </row>
    <row r="186" spans="1:37" ht="15" x14ac:dyDescent="0.2">
      <c r="A186" s="142" t="s">
        <v>1205</v>
      </c>
      <c r="B186" s="143" t="s">
        <v>1205</v>
      </c>
      <c r="C186" s="143" t="s">
        <v>1574</v>
      </c>
      <c r="D186" s="143" t="s">
        <v>1575</v>
      </c>
      <c r="E186" s="143" t="s">
        <v>309</v>
      </c>
      <c r="F186" s="143" t="s">
        <v>1712</v>
      </c>
      <c r="G186" s="143" t="s">
        <v>1713</v>
      </c>
      <c r="H186" s="143" t="s">
        <v>321</v>
      </c>
      <c r="I186" s="143" t="s">
        <v>754</v>
      </c>
      <c r="J186" s="143" t="s">
        <v>204</v>
      </c>
      <c r="K186" s="143" t="s">
        <v>204</v>
      </c>
      <c r="L186" s="143" t="s">
        <v>325</v>
      </c>
      <c r="M186" s="143" t="s">
        <v>340</v>
      </c>
      <c r="N186" s="143" t="s">
        <v>464</v>
      </c>
      <c r="O186" s="143" t="s">
        <v>339</v>
      </c>
      <c r="P186" s="143" t="s">
        <v>1359</v>
      </c>
      <c r="Q186" s="143" t="s">
        <v>415</v>
      </c>
      <c r="R186" s="143" t="s">
        <v>407</v>
      </c>
      <c r="S186" s="143" t="s">
        <v>1210</v>
      </c>
      <c r="T186" s="144">
        <v>4.45</v>
      </c>
      <c r="U186" s="143" t="s">
        <v>1714</v>
      </c>
      <c r="V186" s="146">
        <v>1.3299999999999999E-2</v>
      </c>
      <c r="W186" s="146">
        <v>3.5557999999999999E-2</v>
      </c>
      <c r="X186" s="143" t="s">
        <v>412</v>
      </c>
      <c r="Y186" s="145" t="s">
        <v>3853</v>
      </c>
      <c r="Z186" s="144">
        <v>874000</v>
      </c>
      <c r="AA186" s="145" t="s">
        <v>3853</v>
      </c>
      <c r="AB186" s="143" t="s">
        <v>1715</v>
      </c>
      <c r="AC186" s="145" t="s">
        <v>3853</v>
      </c>
      <c r="AD186" s="144">
        <v>902.14280000000008</v>
      </c>
      <c r="AE186" s="145" t="s">
        <v>3853</v>
      </c>
      <c r="AF186" s="145" t="s">
        <v>3853</v>
      </c>
      <c r="AG186" s="145" t="s">
        <v>3853</v>
      </c>
      <c r="AH186" s="146">
        <v>7.36E-4</v>
      </c>
      <c r="AI186" s="146">
        <v>1.225823801182457E-2</v>
      </c>
      <c r="AJ186" s="147">
        <v>1.36214437651175E-3</v>
      </c>
      <c r="AK186" s="181"/>
    </row>
    <row r="187" spans="1:37" ht="15" x14ac:dyDescent="0.2">
      <c r="A187" s="142" t="s">
        <v>1205</v>
      </c>
      <c r="B187" s="143" t="s">
        <v>1205</v>
      </c>
      <c r="C187" s="143" t="s">
        <v>1510</v>
      </c>
      <c r="D187" s="143" t="s">
        <v>1511</v>
      </c>
      <c r="E187" s="143" t="s">
        <v>309</v>
      </c>
      <c r="F187" s="143" t="s">
        <v>1560</v>
      </c>
      <c r="G187" s="143" t="s">
        <v>1561</v>
      </c>
      <c r="H187" s="143" t="s">
        <v>321</v>
      </c>
      <c r="I187" s="143" t="s">
        <v>754</v>
      </c>
      <c r="J187" s="143" t="s">
        <v>204</v>
      </c>
      <c r="K187" s="143" t="s">
        <v>204</v>
      </c>
      <c r="L187" s="143" t="s">
        <v>325</v>
      </c>
      <c r="M187" s="143" t="s">
        <v>340</v>
      </c>
      <c r="N187" s="143" t="s">
        <v>448</v>
      </c>
      <c r="O187" s="143" t="s">
        <v>339</v>
      </c>
      <c r="P187" s="143" t="s">
        <v>1347</v>
      </c>
      <c r="Q187" s="143" t="s">
        <v>413</v>
      </c>
      <c r="R187" s="143" t="s">
        <v>407</v>
      </c>
      <c r="S187" s="143" t="s">
        <v>1210</v>
      </c>
      <c r="T187" s="144">
        <v>4.75</v>
      </c>
      <c r="U187" s="143" t="s">
        <v>1562</v>
      </c>
      <c r="V187" s="146">
        <v>2.5899999999999999E-2</v>
      </c>
      <c r="W187" s="146">
        <v>2.7512000000000002E-2</v>
      </c>
      <c r="X187" s="143" t="s">
        <v>412</v>
      </c>
      <c r="Y187" s="145" t="s">
        <v>3853</v>
      </c>
      <c r="Z187" s="144">
        <v>869000</v>
      </c>
      <c r="AA187" s="145" t="s">
        <v>3853</v>
      </c>
      <c r="AB187" s="143" t="s">
        <v>1563</v>
      </c>
      <c r="AC187" s="145" t="s">
        <v>3853</v>
      </c>
      <c r="AD187" s="144">
        <v>889.16079999999999</v>
      </c>
      <c r="AE187" s="145" t="s">
        <v>3853</v>
      </c>
      <c r="AF187" s="145" t="s">
        <v>3853</v>
      </c>
      <c r="AG187" s="145" t="s">
        <v>3853</v>
      </c>
      <c r="AH187" s="146">
        <v>1.9311111111111111E-3</v>
      </c>
      <c r="AI187" s="146">
        <v>1.208183972336125E-2</v>
      </c>
      <c r="AJ187" s="147">
        <v>1.3425428696373666E-3</v>
      </c>
      <c r="AK187" s="181"/>
    </row>
    <row r="188" spans="1:37" ht="15" x14ac:dyDescent="0.2">
      <c r="A188" s="142" t="s">
        <v>1205</v>
      </c>
      <c r="B188" s="143" t="s">
        <v>1205</v>
      </c>
      <c r="C188" s="143" t="s">
        <v>1501</v>
      </c>
      <c r="D188" s="143" t="s">
        <v>1502</v>
      </c>
      <c r="E188" s="143" t="s">
        <v>309</v>
      </c>
      <c r="F188" s="143" t="s">
        <v>1904</v>
      </c>
      <c r="G188" s="143" t="s">
        <v>1905</v>
      </c>
      <c r="H188" s="143" t="s">
        <v>321</v>
      </c>
      <c r="I188" s="143" t="s">
        <v>754</v>
      </c>
      <c r="J188" s="143" t="s">
        <v>204</v>
      </c>
      <c r="K188" s="143" t="s">
        <v>204</v>
      </c>
      <c r="L188" s="143" t="s">
        <v>325</v>
      </c>
      <c r="M188" s="143" t="s">
        <v>340</v>
      </c>
      <c r="N188" s="143" t="s">
        <v>464</v>
      </c>
      <c r="O188" s="143" t="s">
        <v>339</v>
      </c>
      <c r="P188" s="143" t="s">
        <v>1409</v>
      </c>
      <c r="Q188" s="143" t="s">
        <v>413</v>
      </c>
      <c r="R188" s="143" t="s">
        <v>407</v>
      </c>
      <c r="S188" s="143" t="s">
        <v>1210</v>
      </c>
      <c r="T188" s="144">
        <v>5.8</v>
      </c>
      <c r="U188" s="143" t="s">
        <v>1781</v>
      </c>
      <c r="V188" s="146">
        <v>9.1999999999999998E-3</v>
      </c>
      <c r="W188" s="146">
        <v>3.5089000000000002E-2</v>
      </c>
      <c r="X188" s="143" t="s">
        <v>412</v>
      </c>
      <c r="Y188" s="145" t="s">
        <v>3853</v>
      </c>
      <c r="Z188" s="144">
        <v>900000</v>
      </c>
      <c r="AA188" s="145" t="s">
        <v>3853</v>
      </c>
      <c r="AB188" s="143" t="s">
        <v>1906</v>
      </c>
      <c r="AC188" s="145" t="s">
        <v>3853</v>
      </c>
      <c r="AD188" s="144">
        <v>887.31</v>
      </c>
      <c r="AE188" s="145" t="s">
        <v>3853</v>
      </c>
      <c r="AF188" s="145" t="s">
        <v>3853</v>
      </c>
      <c r="AG188" s="145" t="s">
        <v>3853</v>
      </c>
      <c r="AH188" s="146">
        <v>3.4793191204435898E-4</v>
      </c>
      <c r="AI188" s="146">
        <v>1.2056691213710356E-2</v>
      </c>
      <c r="AJ188" s="147">
        <v>1.3397483488452615E-3</v>
      </c>
      <c r="AK188" s="181"/>
    </row>
    <row r="189" spans="1:37" ht="15" x14ac:dyDescent="0.2">
      <c r="A189" s="142" t="s">
        <v>1205</v>
      </c>
      <c r="B189" s="143" t="s">
        <v>1205</v>
      </c>
      <c r="C189" s="143" t="s">
        <v>1748</v>
      </c>
      <c r="D189" s="143" t="s">
        <v>1749</v>
      </c>
      <c r="E189" s="143" t="s">
        <v>309</v>
      </c>
      <c r="F189" s="143" t="s">
        <v>1907</v>
      </c>
      <c r="G189" s="143" t="s">
        <v>1908</v>
      </c>
      <c r="H189" s="143" t="s">
        <v>321</v>
      </c>
      <c r="I189" s="143" t="s">
        <v>754</v>
      </c>
      <c r="J189" s="143" t="s">
        <v>204</v>
      </c>
      <c r="K189" s="143" t="s">
        <v>204</v>
      </c>
      <c r="L189" s="143" t="s">
        <v>325</v>
      </c>
      <c r="M189" s="143" t="s">
        <v>340</v>
      </c>
      <c r="N189" s="143" t="s">
        <v>440</v>
      </c>
      <c r="O189" s="143" t="s">
        <v>339</v>
      </c>
      <c r="P189" s="143" t="s">
        <v>1402</v>
      </c>
      <c r="Q189" s="143" t="s">
        <v>415</v>
      </c>
      <c r="R189" s="143" t="s">
        <v>407</v>
      </c>
      <c r="S189" s="143" t="s">
        <v>1210</v>
      </c>
      <c r="T189" s="144">
        <v>5.97</v>
      </c>
      <c r="U189" s="143" t="s">
        <v>1909</v>
      </c>
      <c r="V189" s="146">
        <v>3.3000000000000002E-2</v>
      </c>
      <c r="W189" s="146">
        <v>4.1916000000000002E-2</v>
      </c>
      <c r="X189" s="143" t="s">
        <v>412</v>
      </c>
      <c r="Y189" s="145" t="s">
        <v>3853</v>
      </c>
      <c r="Z189" s="144">
        <v>880650.02</v>
      </c>
      <c r="AA189" s="145" t="s">
        <v>3853</v>
      </c>
      <c r="AB189" s="143" t="s">
        <v>1910</v>
      </c>
      <c r="AC189" s="145" t="s">
        <v>3853</v>
      </c>
      <c r="AD189" s="144">
        <v>886.90260000000001</v>
      </c>
      <c r="AE189" s="145" t="s">
        <v>3853</v>
      </c>
      <c r="AF189" s="145" t="s">
        <v>3853</v>
      </c>
      <c r="AG189" s="145" t="s">
        <v>3853</v>
      </c>
      <c r="AH189" s="146">
        <v>7.0336577475745921E-4</v>
      </c>
      <c r="AI189" s="146">
        <v>1.2051155975401058E-2</v>
      </c>
      <c r="AJ189" s="147">
        <v>1.3391332691145212E-3</v>
      </c>
      <c r="AK189" s="181"/>
    </row>
    <row r="190" spans="1:37" ht="15" x14ac:dyDescent="0.2">
      <c r="A190" s="142" t="s">
        <v>1205</v>
      </c>
      <c r="B190" s="143" t="s">
        <v>1205</v>
      </c>
      <c r="C190" s="143" t="s">
        <v>1467</v>
      </c>
      <c r="D190" s="143" t="s">
        <v>1468</v>
      </c>
      <c r="E190" s="143" t="s">
        <v>309</v>
      </c>
      <c r="F190" s="143" t="s">
        <v>1469</v>
      </c>
      <c r="G190" s="143" t="s">
        <v>1470</v>
      </c>
      <c r="H190" s="143" t="s">
        <v>321</v>
      </c>
      <c r="I190" s="143" t="s">
        <v>754</v>
      </c>
      <c r="J190" s="143" t="s">
        <v>204</v>
      </c>
      <c r="K190" s="143" t="s">
        <v>204</v>
      </c>
      <c r="L190" s="143" t="s">
        <v>325</v>
      </c>
      <c r="M190" s="143" t="s">
        <v>340</v>
      </c>
      <c r="N190" s="143" t="s">
        <v>456</v>
      </c>
      <c r="O190" s="143" t="s">
        <v>339</v>
      </c>
      <c r="P190" s="143" t="s">
        <v>1347</v>
      </c>
      <c r="Q190" s="143" t="s">
        <v>413</v>
      </c>
      <c r="R190" s="143" t="s">
        <v>407</v>
      </c>
      <c r="S190" s="143" t="s">
        <v>1210</v>
      </c>
      <c r="T190" s="144">
        <v>5.43</v>
      </c>
      <c r="U190" s="143" t="s">
        <v>1471</v>
      </c>
      <c r="V190" s="146">
        <v>5.1499999999999997E-2</v>
      </c>
      <c r="W190" s="146">
        <v>3.8883000000000001E-2</v>
      </c>
      <c r="X190" s="143" t="s">
        <v>412</v>
      </c>
      <c r="Y190" s="145" t="s">
        <v>3853</v>
      </c>
      <c r="Z190" s="144">
        <v>586528.44999999995</v>
      </c>
      <c r="AA190" s="145" t="s">
        <v>3853</v>
      </c>
      <c r="AB190" s="143" t="s">
        <v>1472</v>
      </c>
      <c r="AC190" s="145" t="s">
        <v>3853</v>
      </c>
      <c r="AD190" s="144">
        <v>862.9593000000001</v>
      </c>
      <c r="AE190" s="145" t="s">
        <v>3853</v>
      </c>
      <c r="AF190" s="145" t="s">
        <v>3853</v>
      </c>
      <c r="AG190" s="145" t="s">
        <v>3853</v>
      </c>
      <c r="AH190" s="146">
        <v>2.0197352550629198E-4</v>
      </c>
      <c r="AI190" s="146">
        <v>1.1725816132355845E-2</v>
      </c>
      <c r="AJ190" s="147">
        <v>1.3029812677231491E-3</v>
      </c>
      <c r="AK190" s="181"/>
    </row>
    <row r="191" spans="1:37" ht="15" x14ac:dyDescent="0.2">
      <c r="A191" s="142" t="s">
        <v>1205</v>
      </c>
      <c r="B191" s="143" t="s">
        <v>1205</v>
      </c>
      <c r="C191" s="143" t="s">
        <v>1349</v>
      </c>
      <c r="D191" s="143" t="s">
        <v>1350</v>
      </c>
      <c r="E191" s="143" t="s">
        <v>309</v>
      </c>
      <c r="F191" s="143" t="s">
        <v>1911</v>
      </c>
      <c r="G191" s="143" t="s">
        <v>1912</v>
      </c>
      <c r="H191" s="143" t="s">
        <v>321</v>
      </c>
      <c r="I191" s="143" t="s">
        <v>754</v>
      </c>
      <c r="J191" s="143" t="s">
        <v>204</v>
      </c>
      <c r="K191" s="143" t="s">
        <v>204</v>
      </c>
      <c r="L191" s="143" t="s">
        <v>325</v>
      </c>
      <c r="M191" s="143" t="s">
        <v>340</v>
      </c>
      <c r="N191" s="143" t="s">
        <v>448</v>
      </c>
      <c r="O191" s="143" t="s">
        <v>339</v>
      </c>
      <c r="P191" s="143" t="s">
        <v>1222</v>
      </c>
      <c r="Q191" s="143" t="s">
        <v>413</v>
      </c>
      <c r="R191" s="143" t="s">
        <v>407</v>
      </c>
      <c r="S191" s="143" t="s">
        <v>1210</v>
      </c>
      <c r="T191" s="144">
        <v>3.73</v>
      </c>
      <c r="U191" s="143" t="s">
        <v>1913</v>
      </c>
      <c r="V191" s="146">
        <v>1.6400000000000001E-2</v>
      </c>
      <c r="W191" s="146">
        <v>2.5266E-2</v>
      </c>
      <c r="X191" s="143" t="s">
        <v>412</v>
      </c>
      <c r="Y191" s="145" t="s">
        <v>3853</v>
      </c>
      <c r="Z191" s="144">
        <v>800010</v>
      </c>
      <c r="AA191" s="145" t="s">
        <v>3853</v>
      </c>
      <c r="AB191" s="143" t="s">
        <v>1914</v>
      </c>
      <c r="AC191" s="145" t="s">
        <v>3853</v>
      </c>
      <c r="AD191" s="144">
        <v>823.77030000000002</v>
      </c>
      <c r="AE191" s="145" t="s">
        <v>3853</v>
      </c>
      <c r="AF191" s="145" t="s">
        <v>3853</v>
      </c>
      <c r="AG191" s="145" t="s">
        <v>3853</v>
      </c>
      <c r="AH191" s="146">
        <v>7.4380165289256194E-4</v>
      </c>
      <c r="AI191" s="146">
        <v>1.1193319248014189E-2</v>
      </c>
      <c r="AJ191" s="147">
        <v>1.2438098243381915E-3</v>
      </c>
      <c r="AK191" s="181"/>
    </row>
    <row r="192" spans="1:37" ht="15" x14ac:dyDescent="0.2">
      <c r="A192" s="142" t="s">
        <v>1205</v>
      </c>
      <c r="B192" s="143" t="s">
        <v>1205</v>
      </c>
      <c r="C192" s="143" t="s">
        <v>1516</v>
      </c>
      <c r="D192" s="143" t="s">
        <v>1517</v>
      </c>
      <c r="E192" s="143" t="s">
        <v>309</v>
      </c>
      <c r="F192" s="143" t="s">
        <v>1613</v>
      </c>
      <c r="G192" s="143" t="s">
        <v>1614</v>
      </c>
      <c r="H192" s="143" t="s">
        <v>321</v>
      </c>
      <c r="I192" s="143" t="s">
        <v>754</v>
      </c>
      <c r="J192" s="143" t="s">
        <v>204</v>
      </c>
      <c r="K192" s="143" t="s">
        <v>204</v>
      </c>
      <c r="L192" s="143" t="s">
        <v>325</v>
      </c>
      <c r="M192" s="143" t="s">
        <v>340</v>
      </c>
      <c r="N192" s="143" t="s">
        <v>465</v>
      </c>
      <c r="O192" s="143" t="s">
        <v>339</v>
      </c>
      <c r="P192" s="143" t="s">
        <v>1402</v>
      </c>
      <c r="Q192" s="143" t="s">
        <v>415</v>
      </c>
      <c r="R192" s="143" t="s">
        <v>407</v>
      </c>
      <c r="S192" s="143" t="s">
        <v>1210</v>
      </c>
      <c r="T192" s="144">
        <v>4.3099999999999996</v>
      </c>
      <c r="U192" s="143" t="s">
        <v>1615</v>
      </c>
      <c r="V192" s="146">
        <v>1.7899999999999999E-2</v>
      </c>
      <c r="W192" s="146">
        <v>6.0524000000000001E-2</v>
      </c>
      <c r="X192" s="143" t="s">
        <v>412</v>
      </c>
      <c r="Y192" s="145" t="s">
        <v>3853</v>
      </c>
      <c r="Z192" s="144">
        <v>820004.83</v>
      </c>
      <c r="AA192" s="145" t="s">
        <v>3853</v>
      </c>
      <c r="AB192" s="143" t="s">
        <v>1616</v>
      </c>
      <c r="AC192" s="145" t="s">
        <v>3853</v>
      </c>
      <c r="AD192" s="144">
        <v>774.24860000000001</v>
      </c>
      <c r="AE192" s="145" t="s">
        <v>3853</v>
      </c>
      <c r="AF192" s="145" t="s">
        <v>3853</v>
      </c>
      <c r="AG192" s="145" t="s">
        <v>3853</v>
      </c>
      <c r="AH192" s="146">
        <v>1.1671170532985529E-3</v>
      </c>
      <c r="AI192" s="146">
        <v>1.0520422193415433E-2</v>
      </c>
      <c r="AJ192" s="147">
        <v>1.1690370113116488E-3</v>
      </c>
      <c r="AK192" s="181"/>
    </row>
    <row r="193" spans="1:37" ht="15" x14ac:dyDescent="0.2">
      <c r="A193" s="142" t="s">
        <v>1205</v>
      </c>
      <c r="B193" s="143" t="s">
        <v>1205</v>
      </c>
      <c r="C193" s="143" t="s">
        <v>1753</v>
      </c>
      <c r="D193" s="143" t="s">
        <v>1754</v>
      </c>
      <c r="E193" s="143" t="s">
        <v>309</v>
      </c>
      <c r="F193" s="143" t="s">
        <v>1915</v>
      </c>
      <c r="G193" s="143" t="s">
        <v>1916</v>
      </c>
      <c r="H193" s="143" t="s">
        <v>321</v>
      </c>
      <c r="I193" s="143" t="s">
        <v>754</v>
      </c>
      <c r="J193" s="143" t="s">
        <v>204</v>
      </c>
      <c r="K193" s="143" t="s">
        <v>204</v>
      </c>
      <c r="L193" s="143" t="s">
        <v>325</v>
      </c>
      <c r="M193" s="143" t="s">
        <v>340</v>
      </c>
      <c r="N193" s="143" t="s">
        <v>464</v>
      </c>
      <c r="O193" s="143" t="s">
        <v>339</v>
      </c>
      <c r="P193" s="143" t="s">
        <v>1757</v>
      </c>
      <c r="Q193" s="143" t="s">
        <v>413</v>
      </c>
      <c r="R193" s="143" t="s">
        <v>407</v>
      </c>
      <c r="S193" s="143" t="s">
        <v>1210</v>
      </c>
      <c r="T193" s="144">
        <v>3.44</v>
      </c>
      <c r="U193" s="143" t="s">
        <v>1445</v>
      </c>
      <c r="V193" s="146">
        <v>2.7E-2</v>
      </c>
      <c r="W193" s="146">
        <v>3.4224999999999998E-2</v>
      </c>
      <c r="X193" s="143" t="s">
        <v>412</v>
      </c>
      <c r="Y193" s="145" t="s">
        <v>3853</v>
      </c>
      <c r="Z193" s="144">
        <v>741000</v>
      </c>
      <c r="AA193" s="145" t="s">
        <v>3853</v>
      </c>
      <c r="AB193" s="143" t="s">
        <v>1917</v>
      </c>
      <c r="AC193" s="145" t="s">
        <v>3853</v>
      </c>
      <c r="AD193" s="144">
        <v>762.85950000000003</v>
      </c>
      <c r="AE193" s="145" t="s">
        <v>3853</v>
      </c>
      <c r="AF193" s="145" t="s">
        <v>3853</v>
      </c>
      <c r="AG193" s="145" t="s">
        <v>3853</v>
      </c>
      <c r="AH193" s="146">
        <v>1.6932653285071844E-3</v>
      </c>
      <c r="AI193" s="146">
        <v>1.0365668628715416E-2</v>
      </c>
      <c r="AJ193" s="147">
        <v>1.1518406819780254E-3</v>
      </c>
      <c r="AK193" s="181"/>
    </row>
    <row r="194" spans="1:37" ht="15" x14ac:dyDescent="0.2">
      <c r="A194" s="142" t="s">
        <v>1205</v>
      </c>
      <c r="B194" s="143" t="s">
        <v>1205</v>
      </c>
      <c r="C194" s="143" t="s">
        <v>1720</v>
      </c>
      <c r="D194" s="143" t="s">
        <v>1721</v>
      </c>
      <c r="E194" s="143" t="s">
        <v>309</v>
      </c>
      <c r="F194" s="143" t="s">
        <v>1738</v>
      </c>
      <c r="G194" s="143" t="s">
        <v>1739</v>
      </c>
      <c r="H194" s="143" t="s">
        <v>321</v>
      </c>
      <c r="I194" s="143" t="s">
        <v>754</v>
      </c>
      <c r="J194" s="143" t="s">
        <v>204</v>
      </c>
      <c r="K194" s="143" t="s">
        <v>204</v>
      </c>
      <c r="L194" s="143" t="s">
        <v>325</v>
      </c>
      <c r="M194" s="143" t="s">
        <v>340</v>
      </c>
      <c r="N194" s="143" t="s">
        <v>464</v>
      </c>
      <c r="O194" s="143" t="s">
        <v>339</v>
      </c>
      <c r="P194" s="143" t="s">
        <v>1530</v>
      </c>
      <c r="Q194" s="143" t="s">
        <v>415</v>
      </c>
      <c r="R194" s="143" t="s">
        <v>407</v>
      </c>
      <c r="S194" s="143" t="s">
        <v>1210</v>
      </c>
      <c r="T194" s="144">
        <v>3.14</v>
      </c>
      <c r="U194" s="143" t="s">
        <v>1704</v>
      </c>
      <c r="V194" s="146">
        <v>1.34E-2</v>
      </c>
      <c r="W194" s="146">
        <v>2.7778000000000001E-2</v>
      </c>
      <c r="X194" s="143" t="s">
        <v>412</v>
      </c>
      <c r="Y194" s="145" t="s">
        <v>3853</v>
      </c>
      <c r="Z194" s="144">
        <v>631633.81000000006</v>
      </c>
      <c r="AA194" s="145" t="s">
        <v>3853</v>
      </c>
      <c r="AB194" s="143" t="s">
        <v>1740</v>
      </c>
      <c r="AC194" s="144">
        <v>65.811300000000003</v>
      </c>
      <c r="AD194" s="144">
        <v>760.60850000000005</v>
      </c>
      <c r="AE194" s="145" t="s">
        <v>3853</v>
      </c>
      <c r="AF194" s="145" t="s">
        <v>3853</v>
      </c>
      <c r="AG194" s="145" t="s">
        <v>3853</v>
      </c>
      <c r="AH194" s="146">
        <v>2.3829261716384729E-4</v>
      </c>
      <c r="AI194" s="146">
        <v>1.1229319527092647E-2</v>
      </c>
      <c r="AJ194" s="147">
        <v>1.2478102016886942E-3</v>
      </c>
      <c r="AK194" s="181"/>
    </row>
    <row r="195" spans="1:37" ht="15" x14ac:dyDescent="0.2">
      <c r="A195" s="142" t="s">
        <v>1205</v>
      </c>
      <c r="B195" s="143" t="s">
        <v>1205</v>
      </c>
      <c r="C195" s="143" t="s">
        <v>1491</v>
      </c>
      <c r="D195" s="143" t="s">
        <v>1492</v>
      </c>
      <c r="E195" s="143" t="s">
        <v>309</v>
      </c>
      <c r="F195" s="143" t="s">
        <v>1918</v>
      </c>
      <c r="G195" s="143" t="s">
        <v>1919</v>
      </c>
      <c r="H195" s="143" t="s">
        <v>321</v>
      </c>
      <c r="I195" s="143" t="s">
        <v>754</v>
      </c>
      <c r="J195" s="143" t="s">
        <v>204</v>
      </c>
      <c r="K195" s="143" t="s">
        <v>204</v>
      </c>
      <c r="L195" s="143" t="s">
        <v>325</v>
      </c>
      <c r="M195" s="143" t="s">
        <v>340</v>
      </c>
      <c r="N195" s="143" t="s">
        <v>464</v>
      </c>
      <c r="O195" s="143" t="s">
        <v>339</v>
      </c>
      <c r="P195" s="143" t="s">
        <v>1409</v>
      </c>
      <c r="Q195" s="143" t="s">
        <v>413</v>
      </c>
      <c r="R195" s="143" t="s">
        <v>407</v>
      </c>
      <c r="S195" s="143" t="s">
        <v>1210</v>
      </c>
      <c r="T195" s="144">
        <v>6.29</v>
      </c>
      <c r="U195" s="143" t="s">
        <v>1920</v>
      </c>
      <c r="V195" s="146">
        <v>3.61E-2</v>
      </c>
      <c r="W195" s="146">
        <v>3.6984999999999997E-2</v>
      </c>
      <c r="X195" s="143" t="s">
        <v>412</v>
      </c>
      <c r="Y195" s="145" t="s">
        <v>3853</v>
      </c>
      <c r="Z195" s="144">
        <v>633535.36</v>
      </c>
      <c r="AA195" s="145" t="s">
        <v>3853</v>
      </c>
      <c r="AB195" s="143" t="s">
        <v>1921</v>
      </c>
      <c r="AC195" s="144">
        <v>18.770299999999999</v>
      </c>
      <c r="AD195" s="144">
        <v>676.50669999999991</v>
      </c>
      <c r="AE195" s="145" t="s">
        <v>3853</v>
      </c>
      <c r="AF195" s="145" t="s">
        <v>3853</v>
      </c>
      <c r="AG195" s="145" t="s">
        <v>3853</v>
      </c>
      <c r="AH195" s="146">
        <v>5.9295349363196659E-4</v>
      </c>
      <c r="AI195" s="146">
        <v>9.4473625475799232E-3</v>
      </c>
      <c r="AJ195" s="147">
        <v>1.0497978383712493E-3</v>
      </c>
      <c r="AK195" s="181"/>
    </row>
    <row r="196" spans="1:37" ht="15" x14ac:dyDescent="0.2">
      <c r="A196" s="142" t="s">
        <v>1205</v>
      </c>
      <c r="B196" s="143" t="s">
        <v>1205</v>
      </c>
      <c r="C196" s="143" t="s">
        <v>1623</v>
      </c>
      <c r="D196" s="143" t="s">
        <v>1624</v>
      </c>
      <c r="E196" s="143" t="s">
        <v>309</v>
      </c>
      <c r="F196" s="143" t="s">
        <v>1625</v>
      </c>
      <c r="G196" s="143" t="s">
        <v>1626</v>
      </c>
      <c r="H196" s="143" t="s">
        <v>321</v>
      </c>
      <c r="I196" s="143" t="s">
        <v>754</v>
      </c>
      <c r="J196" s="143" t="s">
        <v>204</v>
      </c>
      <c r="K196" s="143" t="s">
        <v>204</v>
      </c>
      <c r="L196" s="143" t="s">
        <v>325</v>
      </c>
      <c r="M196" s="143" t="s">
        <v>340</v>
      </c>
      <c r="N196" s="143" t="s">
        <v>445</v>
      </c>
      <c r="O196" s="143" t="s">
        <v>339</v>
      </c>
      <c r="P196" s="143" t="s">
        <v>1627</v>
      </c>
      <c r="Q196" s="143" t="s">
        <v>415</v>
      </c>
      <c r="R196" s="143" t="s">
        <v>407</v>
      </c>
      <c r="S196" s="143" t="s">
        <v>1210</v>
      </c>
      <c r="T196" s="144">
        <v>4.76</v>
      </c>
      <c r="U196" s="143" t="s">
        <v>1628</v>
      </c>
      <c r="V196" s="146">
        <v>5.1700000000000003E-2</v>
      </c>
      <c r="W196" s="146">
        <v>5.8743999999999998E-2</v>
      </c>
      <c r="X196" s="143" t="s">
        <v>412</v>
      </c>
      <c r="Y196" s="145" t="s">
        <v>3853</v>
      </c>
      <c r="Z196" s="144">
        <v>679730</v>
      </c>
      <c r="AA196" s="145" t="s">
        <v>3853</v>
      </c>
      <c r="AB196" s="143" t="s">
        <v>1629</v>
      </c>
      <c r="AC196" s="145" t="s">
        <v>3853</v>
      </c>
      <c r="AD196" s="144">
        <v>663.28049999999996</v>
      </c>
      <c r="AE196" s="145" t="s">
        <v>3853</v>
      </c>
      <c r="AF196" s="145" t="s">
        <v>3853</v>
      </c>
      <c r="AG196" s="145" t="s">
        <v>3853</v>
      </c>
      <c r="AH196" s="146">
        <v>1.1139206901185485E-3</v>
      </c>
      <c r="AI196" s="146">
        <v>9.0125982875239926E-3</v>
      </c>
      <c r="AJ196" s="147">
        <v>1.0014865157021823E-3</v>
      </c>
      <c r="AK196" s="181"/>
    </row>
    <row r="197" spans="1:37" ht="15" x14ac:dyDescent="0.2">
      <c r="A197" s="142" t="s">
        <v>1205</v>
      </c>
      <c r="B197" s="143" t="s">
        <v>1205</v>
      </c>
      <c r="C197" s="143" t="s">
        <v>1550</v>
      </c>
      <c r="D197" s="143" t="s">
        <v>1551</v>
      </c>
      <c r="E197" s="143" t="s">
        <v>309</v>
      </c>
      <c r="F197" s="143" t="s">
        <v>1726</v>
      </c>
      <c r="G197" s="143" t="s">
        <v>1727</v>
      </c>
      <c r="H197" s="143" t="s">
        <v>321</v>
      </c>
      <c r="I197" s="143" t="s">
        <v>754</v>
      </c>
      <c r="J197" s="143" t="s">
        <v>204</v>
      </c>
      <c r="K197" s="143" t="s">
        <v>293</v>
      </c>
      <c r="L197" s="143" t="s">
        <v>325</v>
      </c>
      <c r="M197" s="143" t="s">
        <v>340</v>
      </c>
      <c r="N197" s="143" t="s">
        <v>465</v>
      </c>
      <c r="O197" s="143" t="s">
        <v>339</v>
      </c>
      <c r="P197" s="143" t="s">
        <v>1440</v>
      </c>
      <c r="Q197" s="143" t="s">
        <v>415</v>
      </c>
      <c r="R197" s="143" t="s">
        <v>407</v>
      </c>
      <c r="S197" s="143" t="s">
        <v>1210</v>
      </c>
      <c r="T197" s="144">
        <v>5.35</v>
      </c>
      <c r="U197" s="143" t="s">
        <v>1714</v>
      </c>
      <c r="V197" s="146">
        <v>1.54E-2</v>
      </c>
      <c r="W197" s="146">
        <v>4.0224999999999997E-2</v>
      </c>
      <c r="X197" s="143" t="s">
        <v>412</v>
      </c>
      <c r="Y197" s="145" t="s">
        <v>3853</v>
      </c>
      <c r="Z197" s="144">
        <v>655000</v>
      </c>
      <c r="AA197" s="145" t="s">
        <v>3853</v>
      </c>
      <c r="AB197" s="143" t="s">
        <v>1728</v>
      </c>
      <c r="AC197" s="145" t="s">
        <v>3853</v>
      </c>
      <c r="AD197" s="144">
        <v>637.31500000000005</v>
      </c>
      <c r="AE197" s="145" t="s">
        <v>3853</v>
      </c>
      <c r="AF197" s="145" t="s">
        <v>3853</v>
      </c>
      <c r="AG197" s="145" t="s">
        <v>3853</v>
      </c>
      <c r="AH197" s="146">
        <v>1.0981807085696656E-3</v>
      </c>
      <c r="AI197" s="146">
        <v>8.6597808667385878E-3</v>
      </c>
      <c r="AJ197" s="147">
        <v>9.6228118576857896E-4</v>
      </c>
      <c r="AK197" s="181"/>
    </row>
    <row r="198" spans="1:37" ht="15" x14ac:dyDescent="0.2">
      <c r="A198" s="142" t="s">
        <v>1205</v>
      </c>
      <c r="B198" s="143" t="s">
        <v>1205</v>
      </c>
      <c r="C198" s="143" t="s">
        <v>1349</v>
      </c>
      <c r="D198" s="143" t="s">
        <v>1350</v>
      </c>
      <c r="E198" s="143" t="s">
        <v>309</v>
      </c>
      <c r="F198" s="143" t="s">
        <v>1593</v>
      </c>
      <c r="G198" s="143" t="s">
        <v>1594</v>
      </c>
      <c r="H198" s="143" t="s">
        <v>321</v>
      </c>
      <c r="I198" s="143" t="s">
        <v>754</v>
      </c>
      <c r="J198" s="143" t="s">
        <v>204</v>
      </c>
      <c r="K198" s="143" t="s">
        <v>204</v>
      </c>
      <c r="L198" s="143" t="s">
        <v>325</v>
      </c>
      <c r="M198" s="143" t="s">
        <v>340</v>
      </c>
      <c r="N198" s="143" t="s">
        <v>448</v>
      </c>
      <c r="O198" s="143" t="s">
        <v>339</v>
      </c>
      <c r="P198" s="143" t="s">
        <v>1222</v>
      </c>
      <c r="Q198" s="143" t="s">
        <v>413</v>
      </c>
      <c r="R198" s="143" t="s">
        <v>407</v>
      </c>
      <c r="S198" s="143" t="s">
        <v>1210</v>
      </c>
      <c r="T198" s="144">
        <v>4.63</v>
      </c>
      <c r="U198" s="143" t="s">
        <v>1595</v>
      </c>
      <c r="V198" s="146">
        <v>1.9900000000000001E-2</v>
      </c>
      <c r="W198" s="146">
        <v>2.5776E-2</v>
      </c>
      <c r="X198" s="143" t="s">
        <v>412</v>
      </c>
      <c r="Y198" s="145" t="s">
        <v>3853</v>
      </c>
      <c r="Z198" s="144">
        <v>630000</v>
      </c>
      <c r="AA198" s="145" t="s">
        <v>3853</v>
      </c>
      <c r="AB198" s="143" t="s">
        <v>1596</v>
      </c>
      <c r="AC198" s="145" t="s">
        <v>3853</v>
      </c>
      <c r="AD198" s="144">
        <v>631.44899999999996</v>
      </c>
      <c r="AE198" s="145" t="s">
        <v>3853</v>
      </c>
      <c r="AF198" s="145" t="s">
        <v>3853</v>
      </c>
      <c r="AG198" s="145" t="s">
        <v>3853</v>
      </c>
      <c r="AH198" s="146">
        <v>2.3333333333333333E-4</v>
      </c>
      <c r="AI198" s="146">
        <v>8.5800741682232704E-3</v>
      </c>
      <c r="AJ198" s="147">
        <v>9.5342411911281458E-4</v>
      </c>
      <c r="AK198" s="181"/>
    </row>
    <row r="199" spans="1:37" ht="15" x14ac:dyDescent="0.2">
      <c r="A199" s="142" t="s">
        <v>1205</v>
      </c>
      <c r="B199" s="143" t="s">
        <v>1205</v>
      </c>
      <c r="C199" s="143" t="s">
        <v>1574</v>
      </c>
      <c r="D199" s="143" t="s">
        <v>1575</v>
      </c>
      <c r="E199" s="143" t="s">
        <v>309</v>
      </c>
      <c r="F199" s="143" t="s">
        <v>1922</v>
      </c>
      <c r="G199" s="143" t="s">
        <v>1923</v>
      </c>
      <c r="H199" s="143" t="s">
        <v>321</v>
      </c>
      <c r="I199" s="143" t="s">
        <v>754</v>
      </c>
      <c r="J199" s="143" t="s">
        <v>204</v>
      </c>
      <c r="K199" s="143" t="s">
        <v>204</v>
      </c>
      <c r="L199" s="143" t="s">
        <v>325</v>
      </c>
      <c r="M199" s="143" t="s">
        <v>340</v>
      </c>
      <c r="N199" s="143" t="s">
        <v>464</v>
      </c>
      <c r="O199" s="143" t="s">
        <v>339</v>
      </c>
      <c r="P199" s="143" t="s">
        <v>1409</v>
      </c>
      <c r="Q199" s="143" t="s">
        <v>413</v>
      </c>
      <c r="R199" s="143" t="s">
        <v>407</v>
      </c>
      <c r="S199" s="143" t="s">
        <v>1210</v>
      </c>
      <c r="T199" s="144">
        <v>5.59</v>
      </c>
      <c r="U199" s="143" t="s">
        <v>1924</v>
      </c>
      <c r="V199" s="146">
        <v>2.5999999999999999E-2</v>
      </c>
      <c r="W199" s="146">
        <v>3.1829000000000003E-2</v>
      </c>
      <c r="X199" s="143" t="s">
        <v>412</v>
      </c>
      <c r="Y199" s="145" t="s">
        <v>3853</v>
      </c>
      <c r="Z199" s="144">
        <v>629000</v>
      </c>
      <c r="AA199" s="145" t="s">
        <v>3853</v>
      </c>
      <c r="AB199" s="143" t="s">
        <v>1925</v>
      </c>
      <c r="AC199" s="144">
        <v>8.6294000000000004</v>
      </c>
      <c r="AD199" s="144">
        <v>630.08140000000003</v>
      </c>
      <c r="AE199" s="145" t="s">
        <v>3853</v>
      </c>
      <c r="AF199" s="145" t="s">
        <v>3853</v>
      </c>
      <c r="AG199" s="145" t="s">
        <v>3853</v>
      </c>
      <c r="AH199" s="146">
        <v>1.1735074626865671E-3</v>
      </c>
      <c r="AI199" s="146">
        <v>8.678746060633194E-3</v>
      </c>
      <c r="AJ199" s="147">
        <v>9.6438861198987398E-4</v>
      </c>
      <c r="AK199" s="181"/>
    </row>
    <row r="200" spans="1:37" ht="15" x14ac:dyDescent="0.2">
      <c r="A200" s="142" t="s">
        <v>1205</v>
      </c>
      <c r="B200" s="143" t="s">
        <v>1205</v>
      </c>
      <c r="C200" s="143" t="s">
        <v>1926</v>
      </c>
      <c r="D200" s="143" t="s">
        <v>1927</v>
      </c>
      <c r="E200" s="143" t="s">
        <v>309</v>
      </c>
      <c r="F200" s="143" t="s">
        <v>1928</v>
      </c>
      <c r="G200" s="143" t="s">
        <v>1929</v>
      </c>
      <c r="H200" s="143" t="s">
        <v>321</v>
      </c>
      <c r="I200" s="143" t="s">
        <v>754</v>
      </c>
      <c r="J200" s="143" t="s">
        <v>204</v>
      </c>
      <c r="K200" s="143" t="s">
        <v>204</v>
      </c>
      <c r="L200" s="143" t="s">
        <v>325</v>
      </c>
      <c r="M200" s="143" t="s">
        <v>340</v>
      </c>
      <c r="N200" s="143" t="s">
        <v>477</v>
      </c>
      <c r="O200" s="143" t="s">
        <v>339</v>
      </c>
      <c r="P200" s="143" t="s">
        <v>1222</v>
      </c>
      <c r="Q200" s="143" t="s">
        <v>413</v>
      </c>
      <c r="R200" s="143" t="s">
        <v>407</v>
      </c>
      <c r="S200" s="143" t="s">
        <v>1210</v>
      </c>
      <c r="T200" s="144">
        <v>11.71</v>
      </c>
      <c r="U200" s="143" t="s">
        <v>1930</v>
      </c>
      <c r="V200" s="146">
        <v>2.07E-2</v>
      </c>
      <c r="W200" s="146">
        <v>3.2603E-2</v>
      </c>
      <c r="X200" s="143" t="s">
        <v>412</v>
      </c>
      <c r="Y200" s="145" t="s">
        <v>3853</v>
      </c>
      <c r="Z200" s="144">
        <v>640000</v>
      </c>
      <c r="AA200" s="145" t="s">
        <v>3853</v>
      </c>
      <c r="AB200" s="143" t="s">
        <v>1931</v>
      </c>
      <c r="AC200" s="145" t="s">
        <v>3853</v>
      </c>
      <c r="AD200" s="144">
        <v>622.84799999999996</v>
      </c>
      <c r="AE200" s="145" t="s">
        <v>3853</v>
      </c>
      <c r="AF200" s="145" t="s">
        <v>3853</v>
      </c>
      <c r="AG200" s="145" t="s">
        <v>3853</v>
      </c>
      <c r="AH200" s="146">
        <v>1.4055189642626394E-4</v>
      </c>
      <c r="AI200" s="146">
        <v>8.4632045272532343E-3</v>
      </c>
      <c r="AJ200" s="147">
        <v>9.4043747910152421E-4</v>
      </c>
      <c r="AK200" s="181"/>
    </row>
    <row r="201" spans="1:37" ht="15" x14ac:dyDescent="0.2">
      <c r="A201" s="142" t="s">
        <v>1205</v>
      </c>
      <c r="B201" s="143" t="s">
        <v>1205</v>
      </c>
      <c r="C201" s="143" t="s">
        <v>1568</v>
      </c>
      <c r="D201" s="143" t="s">
        <v>1569</v>
      </c>
      <c r="E201" s="143" t="s">
        <v>309</v>
      </c>
      <c r="F201" s="143" t="s">
        <v>1744</v>
      </c>
      <c r="G201" s="143" t="s">
        <v>1745</v>
      </c>
      <c r="H201" s="143" t="s">
        <v>321</v>
      </c>
      <c r="I201" s="143" t="s">
        <v>754</v>
      </c>
      <c r="J201" s="143" t="s">
        <v>204</v>
      </c>
      <c r="K201" s="143" t="s">
        <v>204</v>
      </c>
      <c r="L201" s="143" t="s">
        <v>325</v>
      </c>
      <c r="M201" s="143" t="s">
        <v>340</v>
      </c>
      <c r="N201" s="143" t="s">
        <v>448</v>
      </c>
      <c r="O201" s="143" t="s">
        <v>339</v>
      </c>
      <c r="P201" s="143" t="s">
        <v>1222</v>
      </c>
      <c r="Q201" s="143" t="s">
        <v>413</v>
      </c>
      <c r="R201" s="143" t="s">
        <v>407</v>
      </c>
      <c r="S201" s="143" t="s">
        <v>1210</v>
      </c>
      <c r="T201" s="144">
        <v>2.29</v>
      </c>
      <c r="U201" s="143" t="s">
        <v>1746</v>
      </c>
      <c r="V201" s="146">
        <v>6.0000000000000001E-3</v>
      </c>
      <c r="W201" s="146">
        <v>2.1609E-2</v>
      </c>
      <c r="X201" s="143" t="s">
        <v>412</v>
      </c>
      <c r="Y201" s="145" t="s">
        <v>3853</v>
      </c>
      <c r="Z201" s="144">
        <v>551842.71</v>
      </c>
      <c r="AA201" s="145" t="s">
        <v>3853</v>
      </c>
      <c r="AB201" s="143" t="s">
        <v>1747</v>
      </c>
      <c r="AC201" s="145" t="s">
        <v>3853</v>
      </c>
      <c r="AD201" s="144">
        <v>610.77949999999998</v>
      </c>
      <c r="AE201" s="145" t="s">
        <v>3853</v>
      </c>
      <c r="AF201" s="145" t="s">
        <v>3853</v>
      </c>
      <c r="AG201" s="145" t="s">
        <v>3853</v>
      </c>
      <c r="AH201" s="146">
        <v>6.2028634598913291E-4</v>
      </c>
      <c r="AI201" s="146">
        <v>8.2992189527315956E-3</v>
      </c>
      <c r="AJ201" s="147">
        <v>9.2221528208199903E-4</v>
      </c>
      <c r="AK201" s="181"/>
    </row>
    <row r="202" spans="1:37" ht="15" x14ac:dyDescent="0.2">
      <c r="A202" s="142" t="s">
        <v>1205</v>
      </c>
      <c r="B202" s="143" t="s">
        <v>1205</v>
      </c>
      <c r="C202" s="143" t="s">
        <v>1753</v>
      </c>
      <c r="D202" s="143" t="s">
        <v>1754</v>
      </c>
      <c r="E202" s="143" t="s">
        <v>309</v>
      </c>
      <c r="F202" s="143" t="s">
        <v>1932</v>
      </c>
      <c r="G202" s="143" t="s">
        <v>1933</v>
      </c>
      <c r="H202" s="143" t="s">
        <v>321</v>
      </c>
      <c r="I202" s="143" t="s">
        <v>754</v>
      </c>
      <c r="J202" s="143" t="s">
        <v>204</v>
      </c>
      <c r="K202" s="143" t="s">
        <v>204</v>
      </c>
      <c r="L202" s="143" t="s">
        <v>325</v>
      </c>
      <c r="M202" s="143" t="s">
        <v>340</v>
      </c>
      <c r="N202" s="143" t="s">
        <v>464</v>
      </c>
      <c r="O202" s="143" t="s">
        <v>339</v>
      </c>
      <c r="P202" s="143" t="s">
        <v>1366</v>
      </c>
      <c r="Q202" s="143" t="s">
        <v>413</v>
      </c>
      <c r="R202" s="143" t="s">
        <v>407</v>
      </c>
      <c r="S202" s="143" t="s">
        <v>1210</v>
      </c>
      <c r="T202" s="144">
        <v>4.96</v>
      </c>
      <c r="U202" s="143" t="s">
        <v>1934</v>
      </c>
      <c r="V202" s="146">
        <v>4.4499999999999998E-2</v>
      </c>
      <c r="W202" s="146">
        <v>4.759E-2</v>
      </c>
      <c r="X202" s="143" t="s">
        <v>412</v>
      </c>
      <c r="Y202" s="145" t="s">
        <v>3853</v>
      </c>
      <c r="Z202" s="144">
        <v>598000</v>
      </c>
      <c r="AA202" s="145" t="s">
        <v>3853</v>
      </c>
      <c r="AB202" s="143" t="s">
        <v>1935</v>
      </c>
      <c r="AC202" s="145" t="s">
        <v>3853</v>
      </c>
      <c r="AD202" s="144">
        <v>606.25240000000008</v>
      </c>
      <c r="AE202" s="145" t="s">
        <v>3853</v>
      </c>
      <c r="AF202" s="145" t="s">
        <v>3853</v>
      </c>
      <c r="AG202" s="145" t="s">
        <v>3853</v>
      </c>
      <c r="AH202" s="146">
        <v>1.3288888888888888E-3</v>
      </c>
      <c r="AI202" s="146">
        <v>8.2377049558449884E-3</v>
      </c>
      <c r="AJ202" s="147">
        <v>9.1537980174175547E-4</v>
      </c>
      <c r="AK202" s="181"/>
    </row>
    <row r="203" spans="1:37" ht="15" x14ac:dyDescent="0.2">
      <c r="A203" s="142" t="s">
        <v>1205</v>
      </c>
      <c r="B203" s="143" t="s">
        <v>1205</v>
      </c>
      <c r="C203" s="143" t="s">
        <v>1936</v>
      </c>
      <c r="D203" s="143" t="s">
        <v>1937</v>
      </c>
      <c r="E203" s="143" t="s">
        <v>309</v>
      </c>
      <c r="F203" s="143" t="s">
        <v>1938</v>
      </c>
      <c r="G203" s="143" t="s">
        <v>1939</v>
      </c>
      <c r="H203" s="143" t="s">
        <v>321</v>
      </c>
      <c r="I203" s="143" t="s">
        <v>754</v>
      </c>
      <c r="J203" s="143" t="s">
        <v>204</v>
      </c>
      <c r="K203" s="143" t="s">
        <v>204</v>
      </c>
      <c r="L203" s="143" t="s">
        <v>325</v>
      </c>
      <c r="M203" s="143" t="s">
        <v>340</v>
      </c>
      <c r="N203" s="143" t="s">
        <v>448</v>
      </c>
      <c r="O203" s="143" t="s">
        <v>339</v>
      </c>
      <c r="P203" s="143" t="s">
        <v>1222</v>
      </c>
      <c r="Q203" s="143" t="s">
        <v>413</v>
      </c>
      <c r="R203" s="143" t="s">
        <v>407</v>
      </c>
      <c r="S203" s="143" t="s">
        <v>1210</v>
      </c>
      <c r="T203" s="144">
        <v>2.42</v>
      </c>
      <c r="U203" s="143" t="s">
        <v>1940</v>
      </c>
      <c r="V203" s="146">
        <v>1E-3</v>
      </c>
      <c r="W203" s="146">
        <v>2.1586999999999999E-2</v>
      </c>
      <c r="X203" s="143" t="s">
        <v>412</v>
      </c>
      <c r="Y203" s="145" t="s">
        <v>3853</v>
      </c>
      <c r="Z203" s="144">
        <v>568000</v>
      </c>
      <c r="AA203" s="145" t="s">
        <v>3853</v>
      </c>
      <c r="AB203" s="143" t="s">
        <v>1941</v>
      </c>
      <c r="AC203" s="145" t="s">
        <v>3853</v>
      </c>
      <c r="AD203" s="144">
        <v>599.18319999999994</v>
      </c>
      <c r="AE203" s="145" t="s">
        <v>3853</v>
      </c>
      <c r="AF203" s="145" t="s">
        <v>3853</v>
      </c>
      <c r="AG203" s="145" t="s">
        <v>3853</v>
      </c>
      <c r="AH203" s="146">
        <v>1.2166570633582734E-3</v>
      </c>
      <c r="AI203" s="146">
        <v>8.1416492802322236E-3</v>
      </c>
      <c r="AJ203" s="147">
        <v>9.0470602478932968E-4</v>
      </c>
      <c r="AK203" s="181"/>
    </row>
    <row r="204" spans="1:37" ht="15" x14ac:dyDescent="0.2">
      <c r="A204" s="142" t="s">
        <v>1205</v>
      </c>
      <c r="B204" s="143" t="s">
        <v>1205</v>
      </c>
      <c r="C204" s="143" t="s">
        <v>1355</v>
      </c>
      <c r="D204" s="143" t="s">
        <v>1356</v>
      </c>
      <c r="E204" s="143" t="s">
        <v>309</v>
      </c>
      <c r="F204" s="143" t="s">
        <v>1597</v>
      </c>
      <c r="G204" s="143" t="s">
        <v>1598</v>
      </c>
      <c r="H204" s="143" t="s">
        <v>321</v>
      </c>
      <c r="I204" s="143" t="s">
        <v>754</v>
      </c>
      <c r="J204" s="143" t="s">
        <v>204</v>
      </c>
      <c r="K204" s="143" t="s">
        <v>204</v>
      </c>
      <c r="L204" s="143" t="s">
        <v>325</v>
      </c>
      <c r="M204" s="143" t="s">
        <v>340</v>
      </c>
      <c r="N204" s="143" t="s">
        <v>445</v>
      </c>
      <c r="O204" s="143" t="s">
        <v>339</v>
      </c>
      <c r="P204" s="143" t="s">
        <v>1359</v>
      </c>
      <c r="Q204" s="143" t="s">
        <v>415</v>
      </c>
      <c r="R204" s="143" t="s">
        <v>407</v>
      </c>
      <c r="S204" s="143" t="s">
        <v>1210</v>
      </c>
      <c r="T204" s="144">
        <v>5.24</v>
      </c>
      <c r="U204" s="143" t="s">
        <v>1599</v>
      </c>
      <c r="V204" s="146">
        <v>4.6899999999999997E-2</v>
      </c>
      <c r="W204" s="146">
        <v>5.7537999999999999E-2</v>
      </c>
      <c r="X204" s="143" t="s">
        <v>412</v>
      </c>
      <c r="Y204" s="145" t="s">
        <v>3853</v>
      </c>
      <c r="Z204" s="144">
        <v>620000</v>
      </c>
      <c r="AA204" s="145" t="s">
        <v>3853</v>
      </c>
      <c r="AB204" s="143" t="s">
        <v>1600</v>
      </c>
      <c r="AC204" s="145" t="s">
        <v>3853</v>
      </c>
      <c r="AD204" s="144">
        <v>590.48800000000006</v>
      </c>
      <c r="AE204" s="145" t="s">
        <v>3853</v>
      </c>
      <c r="AF204" s="145" t="s">
        <v>3853</v>
      </c>
      <c r="AG204" s="145" t="s">
        <v>3853</v>
      </c>
      <c r="AH204" s="146">
        <v>1.24E-3</v>
      </c>
      <c r="AI204" s="146">
        <v>8.023499657843821E-3</v>
      </c>
      <c r="AJ204" s="147">
        <v>8.9157715230634251E-4</v>
      </c>
      <c r="AK204" s="181"/>
    </row>
    <row r="205" spans="1:37" ht="15" x14ac:dyDescent="0.2">
      <c r="A205" s="142" t="s">
        <v>1205</v>
      </c>
      <c r="B205" s="143" t="s">
        <v>1205</v>
      </c>
      <c r="C205" s="143" t="s">
        <v>1856</v>
      </c>
      <c r="D205" s="143" t="s">
        <v>1857</v>
      </c>
      <c r="E205" s="143" t="s">
        <v>309</v>
      </c>
      <c r="F205" s="143" t="s">
        <v>1942</v>
      </c>
      <c r="G205" s="143" t="s">
        <v>1943</v>
      </c>
      <c r="H205" s="143" t="s">
        <v>321</v>
      </c>
      <c r="I205" s="143" t="s">
        <v>754</v>
      </c>
      <c r="J205" s="143" t="s">
        <v>204</v>
      </c>
      <c r="K205" s="143" t="s">
        <v>204</v>
      </c>
      <c r="L205" s="143" t="s">
        <v>325</v>
      </c>
      <c r="M205" s="143" t="s">
        <v>340</v>
      </c>
      <c r="N205" s="143" t="s">
        <v>464</v>
      </c>
      <c r="O205" s="143" t="s">
        <v>339</v>
      </c>
      <c r="P205" s="143" t="s">
        <v>1409</v>
      </c>
      <c r="Q205" s="143" t="s">
        <v>413</v>
      </c>
      <c r="R205" s="143" t="s">
        <v>407</v>
      </c>
      <c r="S205" s="143" t="s">
        <v>1210</v>
      </c>
      <c r="T205" s="144">
        <v>6.05</v>
      </c>
      <c r="U205" s="143" t="s">
        <v>1944</v>
      </c>
      <c r="V205" s="146">
        <v>3.5000000000000001E-3</v>
      </c>
      <c r="W205" s="146">
        <v>3.6639999999999999E-2</v>
      </c>
      <c r="X205" s="143" t="s">
        <v>412</v>
      </c>
      <c r="Y205" s="145" t="s">
        <v>3853</v>
      </c>
      <c r="Z205" s="144">
        <v>640000</v>
      </c>
      <c r="AA205" s="145" t="s">
        <v>3853</v>
      </c>
      <c r="AB205" s="143" t="s">
        <v>1945</v>
      </c>
      <c r="AC205" s="145" t="s">
        <v>3853</v>
      </c>
      <c r="AD205" s="144">
        <v>581.76</v>
      </c>
      <c r="AE205" s="145" t="s">
        <v>3853</v>
      </c>
      <c r="AF205" s="145" t="s">
        <v>3853</v>
      </c>
      <c r="AG205" s="145" t="s">
        <v>3853</v>
      </c>
      <c r="AH205" s="146">
        <v>1.836842573235057E-4</v>
      </c>
      <c r="AI205" s="146">
        <v>7.9049043519042236E-3</v>
      </c>
      <c r="AJ205" s="147">
        <v>8.7839875514106607E-4</v>
      </c>
      <c r="AK205" s="181"/>
    </row>
    <row r="206" spans="1:37" ht="15" x14ac:dyDescent="0.2">
      <c r="A206" s="142" t="s">
        <v>1205</v>
      </c>
      <c r="B206" s="143" t="s">
        <v>1205</v>
      </c>
      <c r="C206" s="143" t="s">
        <v>1807</v>
      </c>
      <c r="D206" s="143" t="s">
        <v>1808</v>
      </c>
      <c r="E206" s="143" t="s">
        <v>309</v>
      </c>
      <c r="F206" s="143" t="s">
        <v>1946</v>
      </c>
      <c r="G206" s="143" t="s">
        <v>1947</v>
      </c>
      <c r="H206" s="143" t="s">
        <v>321</v>
      </c>
      <c r="I206" s="143" t="s">
        <v>754</v>
      </c>
      <c r="J206" s="143" t="s">
        <v>204</v>
      </c>
      <c r="K206" s="143" t="s">
        <v>204</v>
      </c>
      <c r="L206" s="143" t="s">
        <v>325</v>
      </c>
      <c r="M206" s="143" t="s">
        <v>340</v>
      </c>
      <c r="N206" s="143" t="s">
        <v>464</v>
      </c>
      <c r="O206" s="143" t="s">
        <v>339</v>
      </c>
      <c r="P206" s="143" t="s">
        <v>1757</v>
      </c>
      <c r="Q206" s="143" t="s">
        <v>413</v>
      </c>
      <c r="R206" s="143" t="s">
        <v>407</v>
      </c>
      <c r="S206" s="143" t="s">
        <v>1210</v>
      </c>
      <c r="T206" s="144">
        <v>1.69</v>
      </c>
      <c r="U206" s="143" t="s">
        <v>1948</v>
      </c>
      <c r="V206" s="146">
        <v>3.0599999999999999E-2</v>
      </c>
      <c r="W206" s="146">
        <v>2.9069000000000001E-2</v>
      </c>
      <c r="X206" s="143" t="s">
        <v>412</v>
      </c>
      <c r="Y206" s="145" t="s">
        <v>3853</v>
      </c>
      <c r="Z206" s="144">
        <v>479090.93</v>
      </c>
      <c r="AA206" s="145" t="s">
        <v>3853</v>
      </c>
      <c r="AB206" s="143" t="s">
        <v>1949</v>
      </c>
      <c r="AC206" s="144">
        <v>9.1652999999999984</v>
      </c>
      <c r="AD206" s="144">
        <v>563.18610000000001</v>
      </c>
      <c r="AE206" s="145" t="s">
        <v>3853</v>
      </c>
      <c r="AF206" s="145" t="s">
        <v>3853</v>
      </c>
      <c r="AG206" s="145" t="s">
        <v>3853</v>
      </c>
      <c r="AH206" s="146">
        <v>1.3720791437564586E-3</v>
      </c>
      <c r="AI206" s="146">
        <v>7.7770609961278752E-3</v>
      </c>
      <c r="AJ206" s="147">
        <v>8.6419270791167108E-4</v>
      </c>
      <c r="AK206" s="181"/>
    </row>
    <row r="207" spans="1:37" ht="15" x14ac:dyDescent="0.2">
      <c r="A207" s="142" t="s">
        <v>1205</v>
      </c>
      <c r="B207" s="143" t="s">
        <v>1205</v>
      </c>
      <c r="C207" s="143" t="s">
        <v>1574</v>
      </c>
      <c r="D207" s="143" t="s">
        <v>1575</v>
      </c>
      <c r="E207" s="143" t="s">
        <v>309</v>
      </c>
      <c r="F207" s="143" t="s">
        <v>1950</v>
      </c>
      <c r="G207" s="143" t="s">
        <v>1951</v>
      </c>
      <c r="H207" s="143" t="s">
        <v>321</v>
      </c>
      <c r="I207" s="143" t="s">
        <v>754</v>
      </c>
      <c r="J207" s="143" t="s">
        <v>204</v>
      </c>
      <c r="K207" s="143" t="s">
        <v>204</v>
      </c>
      <c r="L207" s="143" t="s">
        <v>325</v>
      </c>
      <c r="M207" s="143" t="s">
        <v>340</v>
      </c>
      <c r="N207" s="143" t="s">
        <v>464</v>
      </c>
      <c r="O207" s="143" t="s">
        <v>339</v>
      </c>
      <c r="P207" s="143" t="s">
        <v>1347</v>
      </c>
      <c r="Q207" s="143" t="s">
        <v>413</v>
      </c>
      <c r="R207" s="143" t="s">
        <v>407</v>
      </c>
      <c r="S207" s="143" t="s">
        <v>1210</v>
      </c>
      <c r="T207" s="144">
        <v>5.53</v>
      </c>
      <c r="U207" s="143" t="s">
        <v>1952</v>
      </c>
      <c r="V207" s="146">
        <v>1.8700000000000001E-2</v>
      </c>
      <c r="W207" s="146">
        <v>3.7307E-2</v>
      </c>
      <c r="X207" s="143" t="s">
        <v>412</v>
      </c>
      <c r="Y207" s="145" t="s">
        <v>3853</v>
      </c>
      <c r="Z207" s="144">
        <v>563199.99</v>
      </c>
      <c r="AA207" s="145" t="s">
        <v>3853</v>
      </c>
      <c r="AB207" s="143" t="s">
        <v>1953</v>
      </c>
      <c r="AC207" s="145" t="s">
        <v>3853</v>
      </c>
      <c r="AD207" s="144">
        <v>556.49790000000007</v>
      </c>
      <c r="AE207" s="145" t="s">
        <v>3853</v>
      </c>
      <c r="AF207" s="145" t="s">
        <v>3853</v>
      </c>
      <c r="AG207" s="145" t="s">
        <v>3853</v>
      </c>
      <c r="AH207" s="146">
        <v>1.0759285997568463E-3</v>
      </c>
      <c r="AI207" s="146">
        <v>7.5616452687109611E-3</v>
      </c>
      <c r="AJ207" s="147">
        <v>8.4025555467397975E-4</v>
      </c>
      <c r="AK207" s="181"/>
    </row>
    <row r="208" spans="1:37" ht="15" x14ac:dyDescent="0.2">
      <c r="A208" s="142" t="s">
        <v>1205</v>
      </c>
      <c r="B208" s="143" t="s">
        <v>1205</v>
      </c>
      <c r="C208" s="143" t="s">
        <v>1574</v>
      </c>
      <c r="D208" s="143" t="s">
        <v>1575</v>
      </c>
      <c r="E208" s="143" t="s">
        <v>309</v>
      </c>
      <c r="F208" s="143" t="s">
        <v>1716</v>
      </c>
      <c r="G208" s="143" t="s">
        <v>1717</v>
      </c>
      <c r="H208" s="143" t="s">
        <v>321</v>
      </c>
      <c r="I208" s="143" t="s">
        <v>754</v>
      </c>
      <c r="J208" s="143" t="s">
        <v>204</v>
      </c>
      <c r="K208" s="143" t="s">
        <v>204</v>
      </c>
      <c r="L208" s="143" t="s">
        <v>325</v>
      </c>
      <c r="M208" s="143" t="s">
        <v>340</v>
      </c>
      <c r="N208" s="143" t="s">
        <v>464</v>
      </c>
      <c r="O208" s="143" t="s">
        <v>339</v>
      </c>
      <c r="P208" s="143" t="s">
        <v>1359</v>
      </c>
      <c r="Q208" s="143" t="s">
        <v>415</v>
      </c>
      <c r="R208" s="143" t="s">
        <v>407</v>
      </c>
      <c r="S208" s="143" t="s">
        <v>1210</v>
      </c>
      <c r="T208" s="144">
        <v>4.6900000000000004</v>
      </c>
      <c r="U208" s="143" t="s">
        <v>1718</v>
      </c>
      <c r="V208" s="146">
        <v>1.17E-2</v>
      </c>
      <c r="W208" s="146">
        <v>3.5473999999999999E-2</v>
      </c>
      <c r="X208" s="143" t="s">
        <v>412</v>
      </c>
      <c r="Y208" s="145" t="s">
        <v>3853</v>
      </c>
      <c r="Z208" s="144">
        <v>535652.4</v>
      </c>
      <c r="AA208" s="145" t="s">
        <v>3853</v>
      </c>
      <c r="AB208" s="143" t="s">
        <v>1719</v>
      </c>
      <c r="AC208" s="145" t="s">
        <v>3853</v>
      </c>
      <c r="AD208" s="144">
        <v>544.70490000000007</v>
      </c>
      <c r="AE208" s="145" t="s">
        <v>3853</v>
      </c>
      <c r="AF208" s="145" t="s">
        <v>3853</v>
      </c>
      <c r="AG208" s="145" t="s">
        <v>3853</v>
      </c>
      <c r="AH208" s="146">
        <v>7.7791831994445542E-4</v>
      </c>
      <c r="AI208" s="146">
        <v>7.4014032187893807E-3</v>
      </c>
      <c r="AJ208" s="147">
        <v>8.2244934084693179E-4</v>
      </c>
      <c r="AK208" s="181"/>
    </row>
    <row r="209" spans="1:37" ht="15" x14ac:dyDescent="0.2">
      <c r="A209" s="142" t="s">
        <v>1205</v>
      </c>
      <c r="B209" s="143" t="s">
        <v>1205</v>
      </c>
      <c r="C209" s="143" t="s">
        <v>1895</v>
      </c>
      <c r="D209" s="143" t="s">
        <v>1896</v>
      </c>
      <c r="E209" s="143" t="s">
        <v>309</v>
      </c>
      <c r="F209" s="143" t="s">
        <v>1954</v>
      </c>
      <c r="G209" s="143" t="s">
        <v>1955</v>
      </c>
      <c r="H209" s="143" t="s">
        <v>321</v>
      </c>
      <c r="I209" s="143" t="s">
        <v>754</v>
      </c>
      <c r="J209" s="143" t="s">
        <v>204</v>
      </c>
      <c r="K209" s="143" t="s">
        <v>204</v>
      </c>
      <c r="L209" s="143" t="s">
        <v>325</v>
      </c>
      <c r="M209" s="143" t="s">
        <v>340</v>
      </c>
      <c r="N209" s="143" t="s">
        <v>448</v>
      </c>
      <c r="O209" s="143" t="s">
        <v>339</v>
      </c>
      <c r="P209" s="143" t="s">
        <v>1222</v>
      </c>
      <c r="Q209" s="143" t="s">
        <v>413</v>
      </c>
      <c r="R209" s="143" t="s">
        <v>407</v>
      </c>
      <c r="S209" s="143" t="s">
        <v>1210</v>
      </c>
      <c r="T209" s="144">
        <v>3.96</v>
      </c>
      <c r="U209" s="143" t="s">
        <v>1956</v>
      </c>
      <c r="V209" s="146">
        <v>2E-3</v>
      </c>
      <c r="W209" s="146">
        <v>2.5773000000000001E-2</v>
      </c>
      <c r="X209" s="143" t="s">
        <v>412</v>
      </c>
      <c r="Y209" s="145" t="s">
        <v>3853</v>
      </c>
      <c r="Z209" s="144">
        <v>536842.1</v>
      </c>
      <c r="AA209" s="145" t="s">
        <v>3853</v>
      </c>
      <c r="AB209" s="143" t="s">
        <v>1957</v>
      </c>
      <c r="AC209" s="145" t="s">
        <v>3853</v>
      </c>
      <c r="AD209" s="144">
        <v>541.40530000000001</v>
      </c>
      <c r="AE209" s="145" t="s">
        <v>3853</v>
      </c>
      <c r="AF209" s="145" t="s">
        <v>3853</v>
      </c>
      <c r="AG209" s="145" t="s">
        <v>3853</v>
      </c>
      <c r="AH209" s="146">
        <v>1.3896227193631119E-4</v>
      </c>
      <c r="AI209" s="146">
        <v>7.3565676205347456E-3</v>
      </c>
      <c r="AJ209" s="147">
        <v>8.1746717636528446E-4</v>
      </c>
      <c r="AK209" s="181"/>
    </row>
    <row r="210" spans="1:37" ht="15" x14ac:dyDescent="0.2">
      <c r="A210" s="142" t="s">
        <v>1205</v>
      </c>
      <c r="B210" s="143" t="s">
        <v>1205</v>
      </c>
      <c r="C210" s="143" t="s">
        <v>1349</v>
      </c>
      <c r="D210" s="143" t="s">
        <v>1350</v>
      </c>
      <c r="E210" s="143" t="s">
        <v>309</v>
      </c>
      <c r="F210" s="143" t="s">
        <v>1473</v>
      </c>
      <c r="G210" s="143" t="s">
        <v>1474</v>
      </c>
      <c r="H210" s="143" t="s">
        <v>321</v>
      </c>
      <c r="I210" s="143" t="s">
        <v>754</v>
      </c>
      <c r="J210" s="143" t="s">
        <v>204</v>
      </c>
      <c r="K210" s="143" t="s">
        <v>204</v>
      </c>
      <c r="L210" s="143" t="s">
        <v>325</v>
      </c>
      <c r="M210" s="143" t="s">
        <v>340</v>
      </c>
      <c r="N210" s="143" t="s">
        <v>448</v>
      </c>
      <c r="O210" s="143" t="s">
        <v>339</v>
      </c>
      <c r="P210" s="143" t="s">
        <v>1222</v>
      </c>
      <c r="Q210" s="143" t="s">
        <v>413</v>
      </c>
      <c r="R210" s="143" t="s">
        <v>407</v>
      </c>
      <c r="S210" s="143" t="s">
        <v>1210</v>
      </c>
      <c r="T210" s="144">
        <v>1.97</v>
      </c>
      <c r="U210" s="143" t="s">
        <v>1475</v>
      </c>
      <c r="V210" s="146">
        <v>3.8E-3</v>
      </c>
      <c r="W210" s="146">
        <v>2.2020999999999999E-2</v>
      </c>
      <c r="X210" s="143" t="s">
        <v>412</v>
      </c>
      <c r="Y210" s="145" t="s">
        <v>3853</v>
      </c>
      <c r="Z210" s="144">
        <v>500362</v>
      </c>
      <c r="AA210" s="145" t="s">
        <v>3853</v>
      </c>
      <c r="AB210" s="143" t="s">
        <v>1476</v>
      </c>
      <c r="AC210" s="145" t="s">
        <v>3853</v>
      </c>
      <c r="AD210" s="144">
        <v>540.24090000000001</v>
      </c>
      <c r="AE210" s="145" t="s">
        <v>3853</v>
      </c>
      <c r="AF210" s="145" t="s">
        <v>3853</v>
      </c>
      <c r="AG210" s="145" t="s">
        <v>3853</v>
      </c>
      <c r="AH210" s="146">
        <v>1.6678733333333332E-4</v>
      </c>
      <c r="AI210" s="146">
        <v>7.3407457668253281E-3</v>
      </c>
      <c r="AJ210" s="147">
        <v>8.1570904040516648E-4</v>
      </c>
      <c r="AK210" s="181"/>
    </row>
    <row r="211" spans="1:37" ht="15" x14ac:dyDescent="0.2">
      <c r="A211" s="142" t="s">
        <v>1205</v>
      </c>
      <c r="B211" s="143" t="s">
        <v>1205</v>
      </c>
      <c r="C211" s="143" t="s">
        <v>1807</v>
      </c>
      <c r="D211" s="143" t="s">
        <v>1808</v>
      </c>
      <c r="E211" s="143" t="s">
        <v>309</v>
      </c>
      <c r="F211" s="143" t="s">
        <v>1958</v>
      </c>
      <c r="G211" s="143" t="s">
        <v>1959</v>
      </c>
      <c r="H211" s="143" t="s">
        <v>321</v>
      </c>
      <c r="I211" s="143" t="s">
        <v>754</v>
      </c>
      <c r="J211" s="143" t="s">
        <v>204</v>
      </c>
      <c r="K211" s="143" t="s">
        <v>204</v>
      </c>
      <c r="L211" s="143" t="s">
        <v>325</v>
      </c>
      <c r="M211" s="143" t="s">
        <v>340</v>
      </c>
      <c r="N211" s="143" t="s">
        <v>464</v>
      </c>
      <c r="O211" s="143" t="s">
        <v>339</v>
      </c>
      <c r="P211" s="143" t="s">
        <v>1757</v>
      </c>
      <c r="Q211" s="143" t="s">
        <v>413</v>
      </c>
      <c r="R211" s="143" t="s">
        <v>407</v>
      </c>
      <c r="S211" s="143" t="s">
        <v>1210</v>
      </c>
      <c r="T211" s="144">
        <v>6.3</v>
      </c>
      <c r="U211" s="143" t="s">
        <v>1789</v>
      </c>
      <c r="V211" s="146">
        <v>3.6799999999999999E-2</v>
      </c>
      <c r="W211" s="146">
        <v>4.3203999999999999E-2</v>
      </c>
      <c r="X211" s="143" t="s">
        <v>412</v>
      </c>
      <c r="Y211" s="145" t="s">
        <v>3853</v>
      </c>
      <c r="Z211" s="144">
        <v>550000</v>
      </c>
      <c r="AA211" s="145" t="s">
        <v>3853</v>
      </c>
      <c r="AB211" s="143" t="s">
        <v>1322</v>
      </c>
      <c r="AC211" s="145" t="s">
        <v>3853</v>
      </c>
      <c r="AD211" s="144">
        <v>540.15499999999997</v>
      </c>
      <c r="AE211" s="145" t="s">
        <v>3853</v>
      </c>
      <c r="AF211" s="145" t="s">
        <v>3853</v>
      </c>
      <c r="AG211" s="145" t="s">
        <v>3853</v>
      </c>
      <c r="AH211" s="146">
        <v>2.2571788547484889E-3</v>
      </c>
      <c r="AI211" s="146">
        <v>7.3395792254586532E-3</v>
      </c>
      <c r="AJ211" s="147">
        <v>8.1557941347501126E-4</v>
      </c>
      <c r="AK211" s="181"/>
    </row>
    <row r="212" spans="1:37" ht="15" x14ac:dyDescent="0.2">
      <c r="A212" s="142" t="s">
        <v>1205</v>
      </c>
      <c r="B212" s="143" t="s">
        <v>1205</v>
      </c>
      <c r="C212" s="143" t="s">
        <v>1584</v>
      </c>
      <c r="D212" s="143" t="s">
        <v>1585</v>
      </c>
      <c r="E212" s="143" t="s">
        <v>309</v>
      </c>
      <c r="F212" s="143" t="s">
        <v>1586</v>
      </c>
      <c r="G212" s="143" t="s">
        <v>1587</v>
      </c>
      <c r="H212" s="143" t="s">
        <v>321</v>
      </c>
      <c r="I212" s="143" t="s">
        <v>754</v>
      </c>
      <c r="J212" s="143" t="s">
        <v>204</v>
      </c>
      <c r="K212" s="143" t="s">
        <v>204</v>
      </c>
      <c r="L212" s="143" t="s">
        <v>325</v>
      </c>
      <c r="M212" s="143" t="s">
        <v>340</v>
      </c>
      <c r="N212" s="143" t="s">
        <v>448</v>
      </c>
      <c r="O212" s="143" t="s">
        <v>339</v>
      </c>
      <c r="P212" s="143" t="s">
        <v>1222</v>
      </c>
      <c r="Q212" s="143" t="s">
        <v>413</v>
      </c>
      <c r="R212" s="143" t="s">
        <v>407</v>
      </c>
      <c r="S212" s="143" t="s">
        <v>1210</v>
      </c>
      <c r="T212" s="144">
        <v>2.98</v>
      </c>
      <c r="U212" s="143" t="s">
        <v>1588</v>
      </c>
      <c r="V212" s="146">
        <v>1.4999999999999999E-2</v>
      </c>
      <c r="W212" s="146">
        <v>2.4263E-2</v>
      </c>
      <c r="X212" s="143" t="s">
        <v>412</v>
      </c>
      <c r="Y212" s="145" t="s">
        <v>3853</v>
      </c>
      <c r="Z212" s="144">
        <v>446721.05</v>
      </c>
      <c r="AA212" s="145" t="s">
        <v>3853</v>
      </c>
      <c r="AB212" s="143" t="s">
        <v>1589</v>
      </c>
      <c r="AC212" s="145" t="s">
        <v>3853</v>
      </c>
      <c r="AD212" s="144">
        <v>496.6198</v>
      </c>
      <c r="AE212" s="145" t="s">
        <v>3853</v>
      </c>
      <c r="AF212" s="145" t="s">
        <v>3853</v>
      </c>
      <c r="AG212" s="145" t="s">
        <v>3853</v>
      </c>
      <c r="AH212" s="146">
        <v>1.6003471991516173E-3</v>
      </c>
      <c r="AI212" s="146">
        <v>6.7480265906397201E-3</v>
      </c>
      <c r="AJ212" s="147">
        <v>7.4984565188937024E-4</v>
      </c>
      <c r="AK212" s="181"/>
    </row>
    <row r="213" spans="1:37" ht="15" x14ac:dyDescent="0.2">
      <c r="A213" s="142" t="s">
        <v>1205</v>
      </c>
      <c r="B213" s="143" t="s">
        <v>1205</v>
      </c>
      <c r="C213" s="143" t="s">
        <v>1526</v>
      </c>
      <c r="D213" s="143" t="s">
        <v>1527</v>
      </c>
      <c r="E213" s="143" t="s">
        <v>313</v>
      </c>
      <c r="F213" s="143" t="s">
        <v>1960</v>
      </c>
      <c r="G213" s="143" t="s">
        <v>1961</v>
      </c>
      <c r="H213" s="143" t="s">
        <v>321</v>
      </c>
      <c r="I213" s="143" t="s">
        <v>754</v>
      </c>
      <c r="J213" s="143" t="s">
        <v>204</v>
      </c>
      <c r="K213" s="143" t="s">
        <v>204</v>
      </c>
      <c r="L213" s="143" t="s">
        <v>325</v>
      </c>
      <c r="M213" s="143" t="s">
        <v>340</v>
      </c>
      <c r="N213" s="143" t="s">
        <v>440</v>
      </c>
      <c r="O213" s="143" t="s">
        <v>339</v>
      </c>
      <c r="P213" s="143" t="s">
        <v>1530</v>
      </c>
      <c r="Q213" s="143" t="s">
        <v>415</v>
      </c>
      <c r="R213" s="143" t="s">
        <v>407</v>
      </c>
      <c r="S213" s="143" t="s">
        <v>1210</v>
      </c>
      <c r="T213" s="144">
        <v>2.99</v>
      </c>
      <c r="U213" s="143" t="s">
        <v>1962</v>
      </c>
      <c r="V213" s="146">
        <v>0.01</v>
      </c>
      <c r="W213" s="146">
        <v>2.3366999999999999E-2</v>
      </c>
      <c r="X213" s="143" t="s">
        <v>412</v>
      </c>
      <c r="Y213" s="145" t="s">
        <v>3853</v>
      </c>
      <c r="Z213" s="144">
        <v>455057</v>
      </c>
      <c r="AA213" s="145" t="s">
        <v>3853</v>
      </c>
      <c r="AB213" s="143" t="s">
        <v>1963</v>
      </c>
      <c r="AC213" s="145" t="s">
        <v>3853</v>
      </c>
      <c r="AD213" s="144">
        <v>493.96440000000001</v>
      </c>
      <c r="AE213" s="145" t="s">
        <v>3853</v>
      </c>
      <c r="AF213" s="145" t="s">
        <v>3853</v>
      </c>
      <c r="AG213" s="145" t="s">
        <v>3853</v>
      </c>
      <c r="AH213" s="146">
        <v>3.7866478717127902E-4</v>
      </c>
      <c r="AI213" s="146">
        <v>6.7119450044103987E-3</v>
      </c>
      <c r="AJ213" s="147">
        <v>7.4583623962877574E-4</v>
      </c>
      <c r="AK213" s="181"/>
    </row>
    <row r="214" spans="1:37" ht="15" x14ac:dyDescent="0.2">
      <c r="A214" s="142" t="s">
        <v>1205</v>
      </c>
      <c r="B214" s="143" t="s">
        <v>1205</v>
      </c>
      <c r="C214" s="143" t="s">
        <v>1533</v>
      </c>
      <c r="D214" s="143" t="s">
        <v>1534</v>
      </c>
      <c r="E214" s="143" t="s">
        <v>309</v>
      </c>
      <c r="F214" s="143" t="s">
        <v>1535</v>
      </c>
      <c r="G214" s="143" t="s">
        <v>1536</v>
      </c>
      <c r="H214" s="143" t="s">
        <v>321</v>
      </c>
      <c r="I214" s="143" t="s">
        <v>754</v>
      </c>
      <c r="J214" s="143" t="s">
        <v>204</v>
      </c>
      <c r="K214" s="143" t="s">
        <v>204</v>
      </c>
      <c r="L214" s="143" t="s">
        <v>325</v>
      </c>
      <c r="M214" s="143" t="s">
        <v>340</v>
      </c>
      <c r="N214" s="143" t="s">
        <v>464</v>
      </c>
      <c r="O214" s="143" t="s">
        <v>339</v>
      </c>
      <c r="P214" s="143" t="s">
        <v>1409</v>
      </c>
      <c r="Q214" s="143" t="s">
        <v>413</v>
      </c>
      <c r="R214" s="143" t="s">
        <v>407</v>
      </c>
      <c r="S214" s="143" t="s">
        <v>1210</v>
      </c>
      <c r="T214" s="144">
        <v>2.4300000000000002</v>
      </c>
      <c r="U214" s="143" t="s">
        <v>1299</v>
      </c>
      <c r="V214" s="146">
        <v>2.3400000000000001E-2</v>
      </c>
      <c r="W214" s="146">
        <v>2.7517E-2</v>
      </c>
      <c r="X214" s="143" t="s">
        <v>412</v>
      </c>
      <c r="Y214" s="145" t="s">
        <v>3853</v>
      </c>
      <c r="Z214" s="144">
        <v>413883.84</v>
      </c>
      <c r="AA214" s="145" t="s">
        <v>3853</v>
      </c>
      <c r="AB214" s="143" t="s">
        <v>1537</v>
      </c>
      <c r="AC214" s="145" t="s">
        <v>3853</v>
      </c>
      <c r="AD214" s="144">
        <v>468.01979999999998</v>
      </c>
      <c r="AE214" s="145" t="s">
        <v>3853</v>
      </c>
      <c r="AF214" s="145" t="s">
        <v>3853</v>
      </c>
      <c r="AG214" s="145" t="s">
        <v>3853</v>
      </c>
      <c r="AH214" s="146">
        <v>1.9619465816505288E-4</v>
      </c>
      <c r="AI214" s="146">
        <v>6.3594130218184103E-3</v>
      </c>
      <c r="AJ214" s="147">
        <v>7.0666262779606355E-4</v>
      </c>
      <c r="AK214" s="181"/>
    </row>
    <row r="215" spans="1:37" ht="15" x14ac:dyDescent="0.2">
      <c r="A215" s="142" t="s">
        <v>1205</v>
      </c>
      <c r="B215" s="143" t="s">
        <v>1205</v>
      </c>
      <c r="C215" s="143" t="s">
        <v>1720</v>
      </c>
      <c r="D215" s="143" t="s">
        <v>1721</v>
      </c>
      <c r="E215" s="143" t="s">
        <v>309</v>
      </c>
      <c r="F215" s="143" t="s">
        <v>1759</v>
      </c>
      <c r="G215" s="143" t="s">
        <v>1760</v>
      </c>
      <c r="H215" s="143" t="s">
        <v>321</v>
      </c>
      <c r="I215" s="143" t="s">
        <v>754</v>
      </c>
      <c r="J215" s="143" t="s">
        <v>204</v>
      </c>
      <c r="K215" s="143" t="s">
        <v>204</v>
      </c>
      <c r="L215" s="143" t="s">
        <v>325</v>
      </c>
      <c r="M215" s="143" t="s">
        <v>340</v>
      </c>
      <c r="N215" s="143" t="s">
        <v>464</v>
      </c>
      <c r="O215" s="143" t="s">
        <v>339</v>
      </c>
      <c r="P215" s="143" t="s">
        <v>1530</v>
      </c>
      <c r="Q215" s="143" t="s">
        <v>415</v>
      </c>
      <c r="R215" s="143" t="s">
        <v>407</v>
      </c>
      <c r="S215" s="143" t="s">
        <v>1210</v>
      </c>
      <c r="T215" s="144">
        <v>2.8</v>
      </c>
      <c r="U215" s="143" t="s">
        <v>1544</v>
      </c>
      <c r="V215" s="146">
        <v>1.77E-2</v>
      </c>
      <c r="W215" s="146">
        <v>2.6707999999999999E-2</v>
      </c>
      <c r="X215" s="143" t="s">
        <v>412</v>
      </c>
      <c r="Y215" s="145" t="s">
        <v>3853</v>
      </c>
      <c r="Z215" s="144">
        <v>402400</v>
      </c>
      <c r="AA215" s="145" t="s">
        <v>3853</v>
      </c>
      <c r="AB215" s="143" t="s">
        <v>1761</v>
      </c>
      <c r="AC215" s="145" t="s">
        <v>3853</v>
      </c>
      <c r="AD215" s="144">
        <v>445.85919999999999</v>
      </c>
      <c r="AE215" s="145" t="s">
        <v>3853</v>
      </c>
      <c r="AF215" s="145" t="s">
        <v>3853</v>
      </c>
      <c r="AG215" s="145" t="s">
        <v>3853</v>
      </c>
      <c r="AH215" s="146">
        <v>1.5508460121093764E-4</v>
      </c>
      <c r="AI215" s="146">
        <v>6.0582960850119223E-3</v>
      </c>
      <c r="AJ215" s="147">
        <v>6.7320229346842612E-4</v>
      </c>
      <c r="AK215" s="181"/>
    </row>
    <row r="216" spans="1:37" ht="15" x14ac:dyDescent="0.2">
      <c r="A216" s="142" t="s">
        <v>1205</v>
      </c>
      <c r="B216" s="143" t="s">
        <v>1205</v>
      </c>
      <c r="C216" s="143" t="s">
        <v>1510</v>
      </c>
      <c r="D216" s="143" t="s">
        <v>1511</v>
      </c>
      <c r="E216" s="143" t="s">
        <v>309</v>
      </c>
      <c r="F216" s="143" t="s">
        <v>1512</v>
      </c>
      <c r="G216" s="143" t="s">
        <v>1513</v>
      </c>
      <c r="H216" s="143" t="s">
        <v>321</v>
      </c>
      <c r="I216" s="143" t="s">
        <v>754</v>
      </c>
      <c r="J216" s="143" t="s">
        <v>204</v>
      </c>
      <c r="K216" s="143" t="s">
        <v>204</v>
      </c>
      <c r="L216" s="143" t="s">
        <v>325</v>
      </c>
      <c r="M216" s="143" t="s">
        <v>340</v>
      </c>
      <c r="N216" s="143" t="s">
        <v>448</v>
      </c>
      <c r="O216" s="143" t="s">
        <v>339</v>
      </c>
      <c r="P216" s="143" t="s">
        <v>1347</v>
      </c>
      <c r="Q216" s="143" t="s">
        <v>413</v>
      </c>
      <c r="R216" s="143" t="s">
        <v>407</v>
      </c>
      <c r="S216" s="143" t="s">
        <v>1210</v>
      </c>
      <c r="T216" s="144">
        <v>1.48</v>
      </c>
      <c r="U216" s="143" t="s">
        <v>1514</v>
      </c>
      <c r="V216" s="146">
        <v>2E-3</v>
      </c>
      <c r="W216" s="146">
        <v>2.0419E-2</v>
      </c>
      <c r="X216" s="143" t="s">
        <v>412</v>
      </c>
      <c r="Y216" s="145" t="s">
        <v>3853</v>
      </c>
      <c r="Z216" s="144">
        <v>405750</v>
      </c>
      <c r="AA216" s="145" t="s">
        <v>3853</v>
      </c>
      <c r="AB216" s="143" t="s">
        <v>1515</v>
      </c>
      <c r="AC216" s="145" t="s">
        <v>3853</v>
      </c>
      <c r="AD216" s="144">
        <v>444.33679999999998</v>
      </c>
      <c r="AE216" s="145" t="s">
        <v>3853</v>
      </c>
      <c r="AF216" s="145" t="s">
        <v>3853</v>
      </c>
      <c r="AG216" s="145" t="s">
        <v>3853</v>
      </c>
      <c r="AH216" s="146">
        <v>9.7018202977268788E-4</v>
      </c>
      <c r="AI216" s="146">
        <v>6.0376101857360521E-3</v>
      </c>
      <c r="AJ216" s="147">
        <v>6.7090366120622544E-4</v>
      </c>
      <c r="AK216" s="181"/>
    </row>
    <row r="217" spans="1:37" ht="15" x14ac:dyDescent="0.2">
      <c r="A217" s="142" t="s">
        <v>1205</v>
      </c>
      <c r="B217" s="143" t="s">
        <v>1205</v>
      </c>
      <c r="C217" s="143" t="s">
        <v>1640</v>
      </c>
      <c r="D217" s="143" t="s">
        <v>1641</v>
      </c>
      <c r="E217" s="143" t="s">
        <v>309</v>
      </c>
      <c r="F217" s="143" t="s">
        <v>1642</v>
      </c>
      <c r="G217" s="143" t="s">
        <v>1643</v>
      </c>
      <c r="H217" s="143" t="s">
        <v>321</v>
      </c>
      <c r="I217" s="143" t="s">
        <v>754</v>
      </c>
      <c r="J217" s="143" t="s">
        <v>204</v>
      </c>
      <c r="K217" s="143" t="s">
        <v>204</v>
      </c>
      <c r="L217" s="143" t="s">
        <v>325</v>
      </c>
      <c r="M217" s="143" t="s">
        <v>340</v>
      </c>
      <c r="N217" s="143" t="s">
        <v>445</v>
      </c>
      <c r="O217" s="143" t="s">
        <v>339</v>
      </c>
      <c r="P217" s="143" t="s">
        <v>1409</v>
      </c>
      <c r="Q217" s="143" t="s">
        <v>413</v>
      </c>
      <c r="R217" s="143" t="s">
        <v>407</v>
      </c>
      <c r="S217" s="143" t="s">
        <v>1210</v>
      </c>
      <c r="T217" s="144">
        <v>4.79</v>
      </c>
      <c r="U217" s="143" t="s">
        <v>1644</v>
      </c>
      <c r="V217" s="146">
        <v>4.4000000000000003E-3</v>
      </c>
      <c r="W217" s="146">
        <v>2.8766E-2</v>
      </c>
      <c r="X217" s="143" t="s">
        <v>412</v>
      </c>
      <c r="Y217" s="145" t="s">
        <v>3853</v>
      </c>
      <c r="Z217" s="144">
        <v>425681.52</v>
      </c>
      <c r="AA217" s="145" t="s">
        <v>3853</v>
      </c>
      <c r="AB217" s="143" t="s">
        <v>1645</v>
      </c>
      <c r="AC217" s="145" t="s">
        <v>3853</v>
      </c>
      <c r="AD217" s="144">
        <v>430.27890000000002</v>
      </c>
      <c r="AE217" s="145" t="s">
        <v>3853</v>
      </c>
      <c r="AF217" s="145" t="s">
        <v>3853</v>
      </c>
      <c r="AG217" s="145" t="s">
        <v>3853</v>
      </c>
      <c r="AH217" s="146">
        <v>4.9904271140763516E-4</v>
      </c>
      <c r="AI217" s="146">
        <v>5.8465920557152704E-3</v>
      </c>
      <c r="AJ217" s="147">
        <v>6.496775868414914E-4</v>
      </c>
      <c r="AK217" s="181"/>
    </row>
    <row r="218" spans="1:37" ht="15" x14ac:dyDescent="0.2">
      <c r="A218" s="142" t="s">
        <v>1205</v>
      </c>
      <c r="B218" s="143" t="s">
        <v>1205</v>
      </c>
      <c r="C218" s="143" t="s">
        <v>1753</v>
      </c>
      <c r="D218" s="143" t="s">
        <v>1754</v>
      </c>
      <c r="E218" s="143" t="s">
        <v>309</v>
      </c>
      <c r="F218" s="143" t="s">
        <v>1755</v>
      </c>
      <c r="G218" s="143" t="s">
        <v>1756</v>
      </c>
      <c r="H218" s="143" t="s">
        <v>321</v>
      </c>
      <c r="I218" s="143" t="s">
        <v>754</v>
      </c>
      <c r="J218" s="143" t="s">
        <v>204</v>
      </c>
      <c r="K218" s="143" t="s">
        <v>204</v>
      </c>
      <c r="L218" s="143" t="s">
        <v>325</v>
      </c>
      <c r="M218" s="143" t="s">
        <v>340</v>
      </c>
      <c r="N218" s="143" t="s">
        <v>464</v>
      </c>
      <c r="O218" s="143" t="s">
        <v>339</v>
      </c>
      <c r="P218" s="143" t="s">
        <v>1757</v>
      </c>
      <c r="Q218" s="143" t="s">
        <v>413</v>
      </c>
      <c r="R218" s="143" t="s">
        <v>407</v>
      </c>
      <c r="S218" s="143" t="s">
        <v>1210</v>
      </c>
      <c r="T218" s="144">
        <v>3.03</v>
      </c>
      <c r="U218" s="143" t="s">
        <v>1428</v>
      </c>
      <c r="V218" s="146">
        <v>1.7999999999999999E-2</v>
      </c>
      <c r="W218" s="146">
        <v>3.0234E-2</v>
      </c>
      <c r="X218" s="143" t="s">
        <v>412</v>
      </c>
      <c r="Y218" s="145" t="s">
        <v>3853</v>
      </c>
      <c r="Z218" s="144">
        <v>385024.91</v>
      </c>
      <c r="AA218" s="145" t="s">
        <v>3853</v>
      </c>
      <c r="AB218" s="143" t="s">
        <v>1758</v>
      </c>
      <c r="AC218" s="145" t="s">
        <v>3853</v>
      </c>
      <c r="AD218" s="144">
        <v>425.52949999999998</v>
      </c>
      <c r="AE218" s="145" t="s">
        <v>3853</v>
      </c>
      <c r="AF218" s="145" t="s">
        <v>3853</v>
      </c>
      <c r="AG218" s="145" t="s">
        <v>3853</v>
      </c>
      <c r="AH218" s="146">
        <v>4.8816248704770001E-4</v>
      </c>
      <c r="AI218" s="146">
        <v>5.7820583019908001E-3</v>
      </c>
      <c r="AJ218" s="147">
        <v>6.4250654891204455E-4</v>
      </c>
      <c r="AK218" s="181"/>
    </row>
    <row r="219" spans="1:37" ht="15" x14ac:dyDescent="0.2">
      <c r="A219" s="142" t="s">
        <v>1205</v>
      </c>
      <c r="B219" s="143" t="s">
        <v>1205</v>
      </c>
      <c r="C219" s="143" t="s">
        <v>1964</v>
      </c>
      <c r="D219" s="143" t="s">
        <v>1965</v>
      </c>
      <c r="E219" s="143" t="s">
        <v>309</v>
      </c>
      <c r="F219" s="143" t="s">
        <v>1966</v>
      </c>
      <c r="G219" s="143" t="s">
        <v>1967</v>
      </c>
      <c r="H219" s="143" t="s">
        <v>321</v>
      </c>
      <c r="I219" s="143" t="s">
        <v>754</v>
      </c>
      <c r="J219" s="143" t="s">
        <v>204</v>
      </c>
      <c r="K219" s="143" t="s">
        <v>204</v>
      </c>
      <c r="L219" s="143" t="s">
        <v>325</v>
      </c>
      <c r="M219" s="143" t="s">
        <v>340</v>
      </c>
      <c r="N219" s="143" t="s">
        <v>464</v>
      </c>
      <c r="O219" s="143" t="s">
        <v>339</v>
      </c>
      <c r="P219" s="143" t="s">
        <v>1209</v>
      </c>
      <c r="Q219" s="143" t="s">
        <v>415</v>
      </c>
      <c r="R219" s="143" t="s">
        <v>407</v>
      </c>
      <c r="S219" s="143" t="s">
        <v>1210</v>
      </c>
      <c r="T219" s="144">
        <v>1.71</v>
      </c>
      <c r="U219" s="143" t="s">
        <v>1514</v>
      </c>
      <c r="V219" s="146">
        <v>8.3000000000000001E-3</v>
      </c>
      <c r="W219" s="146">
        <v>2.2022E-2</v>
      </c>
      <c r="X219" s="143" t="s">
        <v>412</v>
      </c>
      <c r="Y219" s="145" t="s">
        <v>3853</v>
      </c>
      <c r="Z219" s="144">
        <v>379753.14</v>
      </c>
      <c r="AA219" s="145" t="s">
        <v>3853</v>
      </c>
      <c r="AB219" s="143" t="s">
        <v>1968</v>
      </c>
      <c r="AC219" s="145" t="s">
        <v>3853</v>
      </c>
      <c r="AD219" s="144">
        <v>425.09570000000002</v>
      </c>
      <c r="AE219" s="145" t="s">
        <v>3853</v>
      </c>
      <c r="AF219" s="145" t="s">
        <v>3853</v>
      </c>
      <c r="AG219" s="145" t="s">
        <v>3853</v>
      </c>
      <c r="AH219" s="146">
        <v>3.1996670493178431E-4</v>
      </c>
      <c r="AI219" s="146">
        <v>5.776162973683492E-3</v>
      </c>
      <c r="AJ219" s="147">
        <v>6.4185145571726853E-4</v>
      </c>
      <c r="AK219" s="181"/>
    </row>
    <row r="220" spans="1:37" ht="15" x14ac:dyDescent="0.2">
      <c r="A220" s="142" t="s">
        <v>1205</v>
      </c>
      <c r="B220" s="143" t="s">
        <v>1205</v>
      </c>
      <c r="C220" s="143" t="s">
        <v>1617</v>
      </c>
      <c r="D220" s="143" t="s">
        <v>1618</v>
      </c>
      <c r="E220" s="143" t="s">
        <v>309</v>
      </c>
      <c r="F220" s="143" t="s">
        <v>1630</v>
      </c>
      <c r="G220" s="143" t="s">
        <v>1631</v>
      </c>
      <c r="H220" s="143" t="s">
        <v>321</v>
      </c>
      <c r="I220" s="143" t="s">
        <v>754</v>
      </c>
      <c r="J220" s="143" t="s">
        <v>204</v>
      </c>
      <c r="K220" s="143" t="s">
        <v>204</v>
      </c>
      <c r="L220" s="143" t="s">
        <v>325</v>
      </c>
      <c r="M220" s="143" t="s">
        <v>340</v>
      </c>
      <c r="N220" s="143" t="s">
        <v>440</v>
      </c>
      <c r="O220" s="143" t="s">
        <v>339</v>
      </c>
      <c r="P220" s="143" t="s">
        <v>1347</v>
      </c>
      <c r="Q220" s="143" t="s">
        <v>413</v>
      </c>
      <c r="R220" s="143" t="s">
        <v>407</v>
      </c>
      <c r="S220" s="143" t="s">
        <v>1210</v>
      </c>
      <c r="T220" s="144">
        <v>2.34</v>
      </c>
      <c r="U220" s="143" t="s">
        <v>1632</v>
      </c>
      <c r="V220" s="146">
        <v>1.9400000000000001E-2</v>
      </c>
      <c r="W220" s="146">
        <v>2.5323999999999999E-2</v>
      </c>
      <c r="X220" s="143" t="s">
        <v>412</v>
      </c>
      <c r="Y220" s="145" t="s">
        <v>3853</v>
      </c>
      <c r="Z220" s="144">
        <v>375690.85</v>
      </c>
      <c r="AA220" s="145" t="s">
        <v>3853</v>
      </c>
      <c r="AB220" s="143" t="s">
        <v>1633</v>
      </c>
      <c r="AC220" s="145" t="s">
        <v>3853</v>
      </c>
      <c r="AD220" s="144">
        <v>424.90640000000002</v>
      </c>
      <c r="AE220" s="145" t="s">
        <v>3853</v>
      </c>
      <c r="AF220" s="145" t="s">
        <v>3853</v>
      </c>
      <c r="AG220" s="145" t="s">
        <v>3853</v>
      </c>
      <c r="AH220" s="146">
        <v>1.2470916157555478E-3</v>
      </c>
      <c r="AI220" s="146">
        <v>5.7735905973912956E-3</v>
      </c>
      <c r="AJ220" s="147">
        <v>6.4156561138162206E-4</v>
      </c>
      <c r="AK220" s="181"/>
    </row>
    <row r="221" spans="1:37" ht="15" x14ac:dyDescent="0.2">
      <c r="A221" s="142" t="s">
        <v>1205</v>
      </c>
      <c r="B221" s="143" t="s">
        <v>1205</v>
      </c>
      <c r="C221" s="143" t="s">
        <v>1451</v>
      </c>
      <c r="D221" s="143" t="s">
        <v>1452</v>
      </c>
      <c r="E221" s="143" t="s">
        <v>309</v>
      </c>
      <c r="F221" s="143" t="s">
        <v>1969</v>
      </c>
      <c r="G221" s="143" t="s">
        <v>1970</v>
      </c>
      <c r="H221" s="143" t="s">
        <v>321</v>
      </c>
      <c r="I221" s="143" t="s">
        <v>754</v>
      </c>
      <c r="J221" s="143" t="s">
        <v>204</v>
      </c>
      <c r="K221" s="143" t="s">
        <v>204</v>
      </c>
      <c r="L221" s="143" t="s">
        <v>325</v>
      </c>
      <c r="M221" s="143" t="s">
        <v>340</v>
      </c>
      <c r="N221" s="143" t="s">
        <v>464</v>
      </c>
      <c r="O221" s="143" t="s">
        <v>339</v>
      </c>
      <c r="P221" s="143" t="s">
        <v>1359</v>
      </c>
      <c r="Q221" s="143" t="s">
        <v>415</v>
      </c>
      <c r="R221" s="143" t="s">
        <v>407</v>
      </c>
      <c r="S221" s="143" t="s">
        <v>1210</v>
      </c>
      <c r="T221" s="144">
        <v>4.21</v>
      </c>
      <c r="U221" s="143" t="s">
        <v>1971</v>
      </c>
      <c r="V221" s="146">
        <v>5.0000000000000001E-3</v>
      </c>
      <c r="W221" s="146">
        <v>3.3514000000000002E-2</v>
      </c>
      <c r="X221" s="143" t="s">
        <v>412</v>
      </c>
      <c r="Y221" s="145" t="s">
        <v>3853</v>
      </c>
      <c r="Z221" s="144">
        <v>365700.02</v>
      </c>
      <c r="AA221" s="145" t="s">
        <v>3853</v>
      </c>
      <c r="AB221" s="143" t="s">
        <v>1972</v>
      </c>
      <c r="AC221" s="145" t="s">
        <v>3853</v>
      </c>
      <c r="AD221" s="144">
        <v>367.34570000000002</v>
      </c>
      <c r="AE221" s="145" t="s">
        <v>3853</v>
      </c>
      <c r="AF221" s="145" t="s">
        <v>3853</v>
      </c>
      <c r="AG221" s="145" t="s">
        <v>3853</v>
      </c>
      <c r="AH221" s="146">
        <v>2.272250740928143E-4</v>
      </c>
      <c r="AI221" s="146">
        <v>4.9914610597971915E-3</v>
      </c>
      <c r="AJ221" s="147">
        <v>5.546548049255995E-4</v>
      </c>
      <c r="AK221" s="181"/>
    </row>
    <row r="222" spans="1:37" ht="15" x14ac:dyDescent="0.2">
      <c r="A222" s="142" t="s">
        <v>1205</v>
      </c>
      <c r="B222" s="143" t="s">
        <v>1205</v>
      </c>
      <c r="C222" s="143" t="s">
        <v>1516</v>
      </c>
      <c r="D222" s="143" t="s">
        <v>1517</v>
      </c>
      <c r="E222" s="143" t="s">
        <v>309</v>
      </c>
      <c r="F222" s="143" t="s">
        <v>1518</v>
      </c>
      <c r="G222" s="143" t="s">
        <v>1519</v>
      </c>
      <c r="H222" s="143" t="s">
        <v>321</v>
      </c>
      <c r="I222" s="143" t="s">
        <v>754</v>
      </c>
      <c r="J222" s="143" t="s">
        <v>204</v>
      </c>
      <c r="K222" s="143" t="s">
        <v>204</v>
      </c>
      <c r="L222" s="143" t="s">
        <v>325</v>
      </c>
      <c r="M222" s="143" t="s">
        <v>340</v>
      </c>
      <c r="N222" s="143" t="s">
        <v>465</v>
      </c>
      <c r="O222" s="143" t="s">
        <v>339</v>
      </c>
      <c r="P222" s="143" t="s">
        <v>1402</v>
      </c>
      <c r="Q222" s="143" t="s">
        <v>415</v>
      </c>
      <c r="R222" s="143" t="s">
        <v>407</v>
      </c>
      <c r="S222" s="143" t="s">
        <v>1210</v>
      </c>
      <c r="T222" s="144">
        <v>2.1</v>
      </c>
      <c r="U222" s="143" t="s">
        <v>1520</v>
      </c>
      <c r="V222" s="146">
        <v>0.04</v>
      </c>
      <c r="W222" s="146">
        <v>5.3921999999999998E-2</v>
      </c>
      <c r="X222" s="143" t="s">
        <v>412</v>
      </c>
      <c r="Y222" s="145" t="s">
        <v>3853</v>
      </c>
      <c r="Z222" s="144">
        <v>267865.52</v>
      </c>
      <c r="AA222" s="145" t="s">
        <v>3853</v>
      </c>
      <c r="AB222" s="143" t="s">
        <v>1521</v>
      </c>
      <c r="AC222" s="145" t="s">
        <v>3853</v>
      </c>
      <c r="AD222" s="144">
        <v>295.40209999999996</v>
      </c>
      <c r="AE222" s="145" t="s">
        <v>3853</v>
      </c>
      <c r="AF222" s="145" t="s">
        <v>3853</v>
      </c>
      <c r="AG222" s="145" t="s">
        <v>3853</v>
      </c>
      <c r="AH222" s="146">
        <v>1.2389296108520603E-4</v>
      </c>
      <c r="AI222" s="146">
        <v>4.0138980162468391E-3</v>
      </c>
      <c r="AJ222" s="147">
        <v>4.4602728430042076E-4</v>
      </c>
      <c r="AK222" s="181"/>
    </row>
    <row r="223" spans="1:37" ht="15" x14ac:dyDescent="0.2">
      <c r="A223" s="142" t="s">
        <v>1205</v>
      </c>
      <c r="B223" s="143" t="s">
        <v>1205</v>
      </c>
      <c r="C223" s="143" t="s">
        <v>1349</v>
      </c>
      <c r="D223" s="143" t="s">
        <v>1350</v>
      </c>
      <c r="E223" s="143" t="s">
        <v>309</v>
      </c>
      <c r="F223" s="143" t="s">
        <v>1609</v>
      </c>
      <c r="G223" s="143" t="s">
        <v>1610</v>
      </c>
      <c r="H223" s="143" t="s">
        <v>321</v>
      </c>
      <c r="I223" s="143" t="s">
        <v>754</v>
      </c>
      <c r="J223" s="143" t="s">
        <v>204</v>
      </c>
      <c r="K223" s="143" t="s">
        <v>204</v>
      </c>
      <c r="L223" s="143" t="s">
        <v>325</v>
      </c>
      <c r="M223" s="143" t="s">
        <v>340</v>
      </c>
      <c r="N223" s="143" t="s">
        <v>448</v>
      </c>
      <c r="O223" s="143" t="s">
        <v>339</v>
      </c>
      <c r="P223" s="143" t="s">
        <v>1209</v>
      </c>
      <c r="Q223" s="143" t="s">
        <v>415</v>
      </c>
      <c r="R223" s="143" t="s">
        <v>407</v>
      </c>
      <c r="S223" s="143" t="s">
        <v>1210</v>
      </c>
      <c r="T223" s="144">
        <v>0.67</v>
      </c>
      <c r="U223" s="143" t="s">
        <v>1611</v>
      </c>
      <c r="V223" s="146">
        <v>9.4999999999999998E-3</v>
      </c>
      <c r="W223" s="146">
        <v>2.8906999999999999E-2</v>
      </c>
      <c r="X223" s="143" t="s">
        <v>412</v>
      </c>
      <c r="Y223" s="145" t="s">
        <v>3853</v>
      </c>
      <c r="Z223" s="144">
        <v>244060.28</v>
      </c>
      <c r="AA223" s="145" t="s">
        <v>3853</v>
      </c>
      <c r="AB223" s="143" t="s">
        <v>1612</v>
      </c>
      <c r="AC223" s="145" t="s">
        <v>3853</v>
      </c>
      <c r="AD223" s="144">
        <v>276.64229999999998</v>
      </c>
      <c r="AE223" s="145" t="s">
        <v>3853</v>
      </c>
      <c r="AF223" s="145" t="s">
        <v>3853</v>
      </c>
      <c r="AG223" s="145" t="s">
        <v>3853</v>
      </c>
      <c r="AH223" s="146">
        <v>1.5185586588963458E-3</v>
      </c>
      <c r="AI223" s="146">
        <v>3.7589919169882342E-3</v>
      </c>
      <c r="AJ223" s="147">
        <v>4.1770193205087878E-4</v>
      </c>
      <c r="AK223" s="181"/>
    </row>
    <row r="224" spans="1:37" ht="15" x14ac:dyDescent="0.2">
      <c r="A224" s="142" t="s">
        <v>1205</v>
      </c>
      <c r="B224" s="143" t="s">
        <v>1205</v>
      </c>
      <c r="C224" s="143" t="s">
        <v>1617</v>
      </c>
      <c r="D224" s="143" t="s">
        <v>1618</v>
      </c>
      <c r="E224" s="143" t="s">
        <v>309</v>
      </c>
      <c r="F224" s="143" t="s">
        <v>1619</v>
      </c>
      <c r="G224" s="143" t="s">
        <v>1620</v>
      </c>
      <c r="H224" s="143" t="s">
        <v>321</v>
      </c>
      <c r="I224" s="143" t="s">
        <v>754</v>
      </c>
      <c r="J224" s="143" t="s">
        <v>204</v>
      </c>
      <c r="K224" s="143" t="s">
        <v>204</v>
      </c>
      <c r="L224" s="143" t="s">
        <v>325</v>
      </c>
      <c r="M224" s="143" t="s">
        <v>340</v>
      </c>
      <c r="N224" s="143" t="s">
        <v>440</v>
      </c>
      <c r="O224" s="143" t="s">
        <v>339</v>
      </c>
      <c r="P224" s="143" t="s">
        <v>1347</v>
      </c>
      <c r="Q224" s="143" t="s">
        <v>413</v>
      </c>
      <c r="R224" s="143" t="s">
        <v>407</v>
      </c>
      <c r="S224" s="143" t="s">
        <v>1210</v>
      </c>
      <c r="T224" s="144">
        <v>3.31</v>
      </c>
      <c r="U224" s="143" t="s">
        <v>1621</v>
      </c>
      <c r="V224" s="146">
        <v>1.23E-2</v>
      </c>
      <c r="W224" s="146">
        <v>2.8667000000000002E-2</v>
      </c>
      <c r="X224" s="143" t="s">
        <v>412</v>
      </c>
      <c r="Y224" s="145" t="s">
        <v>3853</v>
      </c>
      <c r="Z224" s="144">
        <v>250707.87</v>
      </c>
      <c r="AA224" s="145" t="s">
        <v>3853</v>
      </c>
      <c r="AB224" s="143" t="s">
        <v>1622</v>
      </c>
      <c r="AC224" s="145" t="s">
        <v>3853</v>
      </c>
      <c r="AD224" s="144">
        <v>271.71719999999999</v>
      </c>
      <c r="AE224" s="145" t="s">
        <v>3853</v>
      </c>
      <c r="AF224" s="145" t="s">
        <v>3853</v>
      </c>
      <c r="AG224" s="145" t="s">
        <v>3853</v>
      </c>
      <c r="AH224" s="146">
        <v>2.2487211443532104E-4</v>
      </c>
      <c r="AI224" s="146">
        <v>3.6920695713235081E-3</v>
      </c>
      <c r="AJ224" s="147">
        <v>4.1026547203743734E-4</v>
      </c>
      <c r="AK224" s="181"/>
    </row>
    <row r="225" spans="1:37" ht="15" x14ac:dyDescent="0.2">
      <c r="A225" s="142" t="s">
        <v>1205</v>
      </c>
      <c r="B225" s="143" t="s">
        <v>1205</v>
      </c>
      <c r="C225" s="143" t="s">
        <v>1516</v>
      </c>
      <c r="D225" s="143" t="s">
        <v>1517</v>
      </c>
      <c r="E225" s="143" t="s">
        <v>309</v>
      </c>
      <c r="F225" s="143" t="s">
        <v>1542</v>
      </c>
      <c r="G225" s="143" t="s">
        <v>1543</v>
      </c>
      <c r="H225" s="143" t="s">
        <v>321</v>
      </c>
      <c r="I225" s="143" t="s">
        <v>754</v>
      </c>
      <c r="J225" s="143" t="s">
        <v>204</v>
      </c>
      <c r="K225" s="143" t="s">
        <v>204</v>
      </c>
      <c r="L225" s="143" t="s">
        <v>325</v>
      </c>
      <c r="M225" s="143" t="s">
        <v>340</v>
      </c>
      <c r="N225" s="143" t="s">
        <v>465</v>
      </c>
      <c r="O225" s="143" t="s">
        <v>339</v>
      </c>
      <c r="P225" s="143" t="s">
        <v>1402</v>
      </c>
      <c r="Q225" s="143" t="s">
        <v>415</v>
      </c>
      <c r="R225" s="143" t="s">
        <v>407</v>
      </c>
      <c r="S225" s="143" t="s">
        <v>1210</v>
      </c>
      <c r="T225" s="144">
        <v>2.46</v>
      </c>
      <c r="U225" s="143" t="s">
        <v>1544</v>
      </c>
      <c r="V225" s="146">
        <v>3.2800000000000003E-2</v>
      </c>
      <c r="W225" s="146">
        <v>5.8094E-2</v>
      </c>
      <c r="X225" s="143" t="s">
        <v>412</v>
      </c>
      <c r="Y225" s="145" t="s">
        <v>3853</v>
      </c>
      <c r="Z225" s="144">
        <v>228828.83</v>
      </c>
      <c r="AA225" s="145" t="s">
        <v>3853</v>
      </c>
      <c r="AB225" s="143" t="s">
        <v>1545</v>
      </c>
      <c r="AC225" s="145" t="s">
        <v>3853</v>
      </c>
      <c r="AD225" s="144">
        <v>248.0505</v>
      </c>
      <c r="AE225" s="145" t="s">
        <v>3853</v>
      </c>
      <c r="AF225" s="145" t="s">
        <v>3853</v>
      </c>
      <c r="AG225" s="145" t="s">
        <v>3853</v>
      </c>
      <c r="AH225" s="146">
        <v>1.6551782234470663E-4</v>
      </c>
      <c r="AI225" s="146">
        <v>3.3704879938346336E-3</v>
      </c>
      <c r="AJ225" s="147">
        <v>3.745310918643893E-4</v>
      </c>
      <c r="AK225" s="181"/>
    </row>
    <row r="226" spans="1:37" ht="15" x14ac:dyDescent="0.2">
      <c r="A226" s="142" t="s">
        <v>1205</v>
      </c>
      <c r="B226" s="143" t="s">
        <v>1205</v>
      </c>
      <c r="C226" s="143" t="s">
        <v>1973</v>
      </c>
      <c r="D226" s="143" t="s">
        <v>1974</v>
      </c>
      <c r="E226" s="143" t="s">
        <v>309</v>
      </c>
      <c r="F226" s="143" t="s">
        <v>1975</v>
      </c>
      <c r="G226" s="143" t="s">
        <v>1976</v>
      </c>
      <c r="H226" s="143" t="s">
        <v>321</v>
      </c>
      <c r="I226" s="143" t="s">
        <v>754</v>
      </c>
      <c r="J226" s="143" t="s">
        <v>204</v>
      </c>
      <c r="K226" s="143" t="s">
        <v>204</v>
      </c>
      <c r="L226" s="143" t="s">
        <v>325</v>
      </c>
      <c r="M226" s="143" t="s">
        <v>340</v>
      </c>
      <c r="N226" s="143" t="s">
        <v>464</v>
      </c>
      <c r="O226" s="143" t="s">
        <v>339</v>
      </c>
      <c r="P226" s="143" t="s">
        <v>1409</v>
      </c>
      <c r="Q226" s="143" t="s">
        <v>413</v>
      </c>
      <c r="R226" s="143" t="s">
        <v>407</v>
      </c>
      <c r="S226" s="143" t="s">
        <v>1210</v>
      </c>
      <c r="T226" s="144">
        <v>1.41</v>
      </c>
      <c r="U226" s="143" t="s">
        <v>1403</v>
      </c>
      <c r="V226" s="146">
        <v>1.6E-2</v>
      </c>
      <c r="W226" s="146">
        <v>2.6533999999999999E-2</v>
      </c>
      <c r="X226" s="143" t="s">
        <v>412</v>
      </c>
      <c r="Y226" s="145" t="s">
        <v>3853</v>
      </c>
      <c r="Z226" s="144">
        <v>195450.82</v>
      </c>
      <c r="AA226" s="145" t="s">
        <v>3853</v>
      </c>
      <c r="AB226" s="143" t="s">
        <v>1977</v>
      </c>
      <c r="AC226" s="145" t="s">
        <v>3853</v>
      </c>
      <c r="AD226" s="144">
        <v>222.0908</v>
      </c>
      <c r="AE226" s="145" t="s">
        <v>3853</v>
      </c>
      <c r="AF226" s="145" t="s">
        <v>3853</v>
      </c>
      <c r="AG226" s="145" t="s">
        <v>3853</v>
      </c>
      <c r="AH226" s="146">
        <v>5.0412968433976798E-4</v>
      </c>
      <c r="AI226" s="146">
        <v>3.017750049378265E-3</v>
      </c>
      <c r="AJ226" s="147">
        <v>3.3533459339861671E-4</v>
      </c>
      <c r="AK226" s="181"/>
    </row>
    <row r="227" spans="1:37" ht="15" x14ac:dyDescent="0.2">
      <c r="A227" s="142" t="s">
        <v>1205</v>
      </c>
      <c r="B227" s="143" t="s">
        <v>1205</v>
      </c>
      <c r="C227" s="143" t="s">
        <v>1491</v>
      </c>
      <c r="D227" s="143" t="s">
        <v>1492</v>
      </c>
      <c r="E227" s="143" t="s">
        <v>309</v>
      </c>
      <c r="F227" s="143" t="s">
        <v>1493</v>
      </c>
      <c r="G227" s="143" t="s">
        <v>1494</v>
      </c>
      <c r="H227" s="143" t="s">
        <v>321</v>
      </c>
      <c r="I227" s="143" t="s">
        <v>754</v>
      </c>
      <c r="J227" s="143" t="s">
        <v>204</v>
      </c>
      <c r="K227" s="143" t="s">
        <v>204</v>
      </c>
      <c r="L227" s="143" t="s">
        <v>325</v>
      </c>
      <c r="M227" s="143" t="s">
        <v>340</v>
      </c>
      <c r="N227" s="143" t="s">
        <v>464</v>
      </c>
      <c r="O227" s="143" t="s">
        <v>339</v>
      </c>
      <c r="P227" s="143" t="s">
        <v>1409</v>
      </c>
      <c r="Q227" s="143" t="s">
        <v>413</v>
      </c>
      <c r="R227" s="143" t="s">
        <v>407</v>
      </c>
      <c r="S227" s="143" t="s">
        <v>1210</v>
      </c>
      <c r="T227" s="144">
        <v>1.01</v>
      </c>
      <c r="U227" s="143" t="s">
        <v>1495</v>
      </c>
      <c r="V227" s="146">
        <v>2.1100000000000001E-2</v>
      </c>
      <c r="W227" s="146">
        <v>2.5402999999999998E-2</v>
      </c>
      <c r="X227" s="143" t="s">
        <v>412</v>
      </c>
      <c r="Y227" s="145" t="s">
        <v>3853</v>
      </c>
      <c r="Z227" s="144">
        <v>186217.52</v>
      </c>
      <c r="AA227" s="145" t="s">
        <v>3853</v>
      </c>
      <c r="AB227" s="143" t="s">
        <v>1496</v>
      </c>
      <c r="AC227" s="144">
        <v>4.5333999999999994</v>
      </c>
      <c r="AD227" s="144">
        <v>217.64070000000001</v>
      </c>
      <c r="AE227" s="145" t="s">
        <v>3853</v>
      </c>
      <c r="AF227" s="145" t="s">
        <v>3853</v>
      </c>
      <c r="AG227" s="145" t="s">
        <v>3853</v>
      </c>
      <c r="AH227" s="146">
        <v>2.421648777639205E-4</v>
      </c>
      <c r="AI227" s="146">
        <v>3.018881964964804E-3</v>
      </c>
      <c r="AJ227" s="147">
        <v>3.3546037268674956E-4</v>
      </c>
      <c r="AK227" s="181"/>
    </row>
    <row r="228" spans="1:37" ht="15" x14ac:dyDescent="0.2">
      <c r="A228" s="142" t="s">
        <v>1205</v>
      </c>
      <c r="B228" s="143" t="s">
        <v>1205</v>
      </c>
      <c r="C228" s="143" t="s">
        <v>1550</v>
      </c>
      <c r="D228" s="143" t="s">
        <v>1551</v>
      </c>
      <c r="E228" s="143" t="s">
        <v>309</v>
      </c>
      <c r="F228" s="143" t="s">
        <v>1552</v>
      </c>
      <c r="G228" s="143" t="s">
        <v>1553</v>
      </c>
      <c r="H228" s="143" t="s">
        <v>321</v>
      </c>
      <c r="I228" s="143" t="s">
        <v>754</v>
      </c>
      <c r="J228" s="143" t="s">
        <v>204</v>
      </c>
      <c r="K228" s="143" t="s">
        <v>204</v>
      </c>
      <c r="L228" s="143" t="s">
        <v>325</v>
      </c>
      <c r="M228" s="143" t="s">
        <v>340</v>
      </c>
      <c r="N228" s="143" t="s">
        <v>465</v>
      </c>
      <c r="O228" s="143" t="s">
        <v>339</v>
      </c>
      <c r="P228" s="143" t="s">
        <v>1440</v>
      </c>
      <c r="Q228" s="143" t="s">
        <v>415</v>
      </c>
      <c r="R228" s="143" t="s">
        <v>407</v>
      </c>
      <c r="S228" s="143" t="s">
        <v>1210</v>
      </c>
      <c r="T228" s="144">
        <v>1.71</v>
      </c>
      <c r="U228" s="143" t="s">
        <v>1554</v>
      </c>
      <c r="V228" s="146">
        <v>2.5700000000000001E-2</v>
      </c>
      <c r="W228" s="146">
        <v>3.3569000000000002E-2</v>
      </c>
      <c r="X228" s="143" t="s">
        <v>412</v>
      </c>
      <c r="Y228" s="145" t="s">
        <v>3853</v>
      </c>
      <c r="Z228" s="144">
        <v>181787</v>
      </c>
      <c r="AA228" s="145" t="s">
        <v>3853</v>
      </c>
      <c r="AB228" s="143" t="s">
        <v>1555</v>
      </c>
      <c r="AC228" s="145" t="s">
        <v>3853</v>
      </c>
      <c r="AD228" s="144">
        <v>206.71</v>
      </c>
      <c r="AE228" s="145" t="s">
        <v>3853</v>
      </c>
      <c r="AF228" s="145" t="s">
        <v>3853</v>
      </c>
      <c r="AG228" s="145" t="s">
        <v>3853</v>
      </c>
      <c r="AH228" s="146">
        <v>1.4175376608129405E-4</v>
      </c>
      <c r="AI228" s="146">
        <v>2.808757495188466E-3</v>
      </c>
      <c r="AJ228" s="147">
        <v>3.1211118786938363E-4</v>
      </c>
      <c r="AK228" s="181"/>
    </row>
    <row r="229" spans="1:37" ht="15" x14ac:dyDescent="0.2">
      <c r="A229" s="142" t="s">
        <v>1205</v>
      </c>
      <c r="B229" s="143" t="s">
        <v>1205</v>
      </c>
      <c r="C229" s="143" t="s">
        <v>1491</v>
      </c>
      <c r="D229" s="143" t="s">
        <v>1492</v>
      </c>
      <c r="E229" s="143" t="s">
        <v>309</v>
      </c>
      <c r="F229" s="143" t="s">
        <v>1978</v>
      </c>
      <c r="G229" s="143" t="s">
        <v>1979</v>
      </c>
      <c r="H229" s="143" t="s">
        <v>321</v>
      </c>
      <c r="I229" s="143" t="s">
        <v>754</v>
      </c>
      <c r="J229" s="143" t="s">
        <v>204</v>
      </c>
      <c r="K229" s="143" t="s">
        <v>204</v>
      </c>
      <c r="L229" s="143" t="s">
        <v>325</v>
      </c>
      <c r="M229" s="143" t="s">
        <v>340</v>
      </c>
      <c r="N229" s="143" t="s">
        <v>464</v>
      </c>
      <c r="O229" s="143" t="s">
        <v>339</v>
      </c>
      <c r="P229" s="143" t="s">
        <v>1409</v>
      </c>
      <c r="Q229" s="143" t="s">
        <v>413</v>
      </c>
      <c r="R229" s="143" t="s">
        <v>407</v>
      </c>
      <c r="S229" s="143" t="s">
        <v>1210</v>
      </c>
      <c r="T229" s="144">
        <v>1.01</v>
      </c>
      <c r="U229" s="143" t="s">
        <v>1495</v>
      </c>
      <c r="V229" s="146">
        <v>9.5983000000000006E-3</v>
      </c>
      <c r="W229" s="146">
        <v>2.7944E-2</v>
      </c>
      <c r="X229" s="143" t="s">
        <v>412</v>
      </c>
      <c r="Y229" s="145" t="s">
        <v>3853</v>
      </c>
      <c r="Z229" s="144">
        <v>158687.98000000001</v>
      </c>
      <c r="AA229" s="145" t="s">
        <v>3853</v>
      </c>
      <c r="AB229" s="143" t="s">
        <v>1980</v>
      </c>
      <c r="AC229" s="144">
        <v>4.3635000000000002</v>
      </c>
      <c r="AD229" s="144">
        <v>186.47379999999998</v>
      </c>
      <c r="AE229" s="145" t="s">
        <v>3853</v>
      </c>
      <c r="AF229" s="145" t="s">
        <v>3853</v>
      </c>
      <c r="AG229" s="145" t="s">
        <v>3853</v>
      </c>
      <c r="AH229" s="146">
        <v>1.970044570215613E-4</v>
      </c>
      <c r="AI229" s="146">
        <v>2.5930804651496243E-3</v>
      </c>
      <c r="AJ229" s="147">
        <v>2.881449984931638E-4</v>
      </c>
      <c r="AK229" s="181"/>
    </row>
    <row r="230" spans="1:37" ht="15" x14ac:dyDescent="0.2">
      <c r="A230" s="142" t="s">
        <v>1205</v>
      </c>
      <c r="B230" s="143" t="s">
        <v>1205</v>
      </c>
      <c r="C230" s="143" t="s">
        <v>1451</v>
      </c>
      <c r="D230" s="143" t="s">
        <v>1452</v>
      </c>
      <c r="E230" s="143" t="s">
        <v>309</v>
      </c>
      <c r="F230" s="143" t="s">
        <v>1981</v>
      </c>
      <c r="G230" s="143" t="s">
        <v>1982</v>
      </c>
      <c r="H230" s="143" t="s">
        <v>321</v>
      </c>
      <c r="I230" s="143" t="s">
        <v>754</v>
      </c>
      <c r="J230" s="143" t="s">
        <v>204</v>
      </c>
      <c r="K230" s="143" t="s">
        <v>204</v>
      </c>
      <c r="L230" s="143" t="s">
        <v>325</v>
      </c>
      <c r="M230" s="143" t="s">
        <v>340</v>
      </c>
      <c r="N230" s="143" t="s">
        <v>464</v>
      </c>
      <c r="O230" s="143" t="s">
        <v>339</v>
      </c>
      <c r="P230" s="143" t="s">
        <v>1359</v>
      </c>
      <c r="Q230" s="143" t="s">
        <v>415</v>
      </c>
      <c r="R230" s="143" t="s">
        <v>407</v>
      </c>
      <c r="S230" s="143" t="s">
        <v>1210</v>
      </c>
      <c r="T230" s="144">
        <v>1.21</v>
      </c>
      <c r="U230" s="143" t="s">
        <v>1983</v>
      </c>
      <c r="V230" s="146">
        <v>4.7500000000000001E-2</v>
      </c>
      <c r="W230" s="146">
        <v>2.8712000000000001E-2</v>
      </c>
      <c r="X230" s="143" t="s">
        <v>412</v>
      </c>
      <c r="Y230" s="145" t="s">
        <v>3853</v>
      </c>
      <c r="Z230" s="144">
        <v>113764.05</v>
      </c>
      <c r="AA230" s="145" t="s">
        <v>3853</v>
      </c>
      <c r="AB230" s="143" t="s">
        <v>1984</v>
      </c>
      <c r="AC230" s="145" t="s">
        <v>3853</v>
      </c>
      <c r="AD230" s="144">
        <v>162.21620000000001</v>
      </c>
      <c r="AE230" s="145" t="s">
        <v>3853</v>
      </c>
      <c r="AF230" s="145" t="s">
        <v>3853</v>
      </c>
      <c r="AG230" s="145" t="s">
        <v>3853</v>
      </c>
      <c r="AH230" s="146">
        <v>1.190540823065852E-4</v>
      </c>
      <c r="AI230" s="146">
        <v>2.2041790779673276E-3</v>
      </c>
      <c r="AJ230" s="147">
        <v>2.449299918130043E-4</v>
      </c>
      <c r="AK230" s="181"/>
    </row>
    <row r="231" spans="1:37" ht="15" x14ac:dyDescent="0.2">
      <c r="A231" s="142" t="s">
        <v>1205</v>
      </c>
      <c r="B231" s="143" t="s">
        <v>1205</v>
      </c>
      <c r="C231" s="143" t="s">
        <v>1985</v>
      </c>
      <c r="D231" s="143" t="s">
        <v>1986</v>
      </c>
      <c r="E231" s="143" t="s">
        <v>309</v>
      </c>
      <c r="F231" s="143" t="s">
        <v>1987</v>
      </c>
      <c r="G231" s="143" t="s">
        <v>1988</v>
      </c>
      <c r="H231" s="143" t="s">
        <v>321</v>
      </c>
      <c r="I231" s="143" t="s">
        <v>754</v>
      </c>
      <c r="J231" s="143" t="s">
        <v>204</v>
      </c>
      <c r="K231" s="143" t="s">
        <v>204</v>
      </c>
      <c r="L231" s="143" t="s">
        <v>325</v>
      </c>
      <c r="M231" s="143" t="s">
        <v>340</v>
      </c>
      <c r="N231" s="143" t="s">
        <v>464</v>
      </c>
      <c r="O231" s="143" t="s">
        <v>339</v>
      </c>
      <c r="P231" s="143" t="s">
        <v>1409</v>
      </c>
      <c r="Q231" s="143" t="s">
        <v>413</v>
      </c>
      <c r="R231" s="143" t="s">
        <v>407</v>
      </c>
      <c r="S231" s="143" t="s">
        <v>1210</v>
      </c>
      <c r="T231" s="144">
        <v>2.57</v>
      </c>
      <c r="U231" s="143" t="s">
        <v>1989</v>
      </c>
      <c r="V231" s="146">
        <v>1.5800000000000002E-2</v>
      </c>
      <c r="W231" s="146">
        <v>2.6127000000000001E-2</v>
      </c>
      <c r="X231" s="143" t="s">
        <v>412</v>
      </c>
      <c r="Y231" s="145" t="s">
        <v>3853</v>
      </c>
      <c r="Z231" s="144">
        <v>127206.75</v>
      </c>
      <c r="AA231" s="145" t="s">
        <v>3853</v>
      </c>
      <c r="AB231" s="143" t="s">
        <v>1990</v>
      </c>
      <c r="AC231" s="145" t="s">
        <v>3853</v>
      </c>
      <c r="AD231" s="144">
        <v>142.43340000000001</v>
      </c>
      <c r="AE231" s="145" t="s">
        <v>3853</v>
      </c>
      <c r="AF231" s="145" t="s">
        <v>3853</v>
      </c>
      <c r="AG231" s="145" t="s">
        <v>3853</v>
      </c>
      <c r="AH231" s="146">
        <v>2.9626302333535812E-4</v>
      </c>
      <c r="AI231" s="146">
        <v>1.9353726407953173E-3</v>
      </c>
      <c r="AJ231" s="147">
        <v>2.1506002384445827E-4</v>
      </c>
      <c r="AK231" s="181"/>
    </row>
    <row r="232" spans="1:37" ht="15" x14ac:dyDescent="0.2">
      <c r="A232" s="142" t="s">
        <v>1205</v>
      </c>
      <c r="B232" s="143" t="s">
        <v>1205</v>
      </c>
      <c r="C232" s="143" t="s">
        <v>1856</v>
      </c>
      <c r="D232" s="143" t="s">
        <v>1857</v>
      </c>
      <c r="E232" s="143" t="s">
        <v>309</v>
      </c>
      <c r="F232" s="143" t="s">
        <v>1991</v>
      </c>
      <c r="G232" s="143" t="s">
        <v>1992</v>
      </c>
      <c r="H232" s="143" t="s">
        <v>321</v>
      </c>
      <c r="I232" s="143" t="s">
        <v>754</v>
      </c>
      <c r="J232" s="143" t="s">
        <v>204</v>
      </c>
      <c r="K232" s="143" t="s">
        <v>204</v>
      </c>
      <c r="L232" s="143" t="s">
        <v>325</v>
      </c>
      <c r="M232" s="143" t="s">
        <v>340</v>
      </c>
      <c r="N232" s="143" t="s">
        <v>464</v>
      </c>
      <c r="O232" s="143" t="s">
        <v>339</v>
      </c>
      <c r="P232" s="143" t="s">
        <v>1409</v>
      </c>
      <c r="Q232" s="143" t="s">
        <v>413</v>
      </c>
      <c r="R232" s="143" t="s">
        <v>407</v>
      </c>
      <c r="S232" s="143" t="s">
        <v>1210</v>
      </c>
      <c r="T232" s="144">
        <v>2.4700000000000002</v>
      </c>
      <c r="U232" s="143" t="s">
        <v>1333</v>
      </c>
      <c r="V232" s="146">
        <v>2.5999999999999999E-2</v>
      </c>
      <c r="W232" s="146">
        <v>2.6943999999999999E-2</v>
      </c>
      <c r="X232" s="143" t="s">
        <v>412</v>
      </c>
      <c r="Y232" s="145" t="s">
        <v>3853</v>
      </c>
      <c r="Z232" s="144">
        <v>122107.97</v>
      </c>
      <c r="AA232" s="145" t="s">
        <v>3853</v>
      </c>
      <c r="AB232" s="143" t="s">
        <v>1993</v>
      </c>
      <c r="AC232" s="145" t="s">
        <v>3853</v>
      </c>
      <c r="AD232" s="144">
        <v>140.5341</v>
      </c>
      <c r="AE232" s="145" t="s">
        <v>3853</v>
      </c>
      <c r="AF232" s="145" t="s">
        <v>3853</v>
      </c>
      <c r="AG232" s="145" t="s">
        <v>3853</v>
      </c>
      <c r="AH232" s="146">
        <v>3.385197710656772E-4</v>
      </c>
      <c r="AI232" s="146">
        <v>1.9095646376763246E-3</v>
      </c>
      <c r="AJ232" s="147">
        <v>2.1219221965566515E-4</v>
      </c>
      <c r="AK232" s="181"/>
    </row>
    <row r="233" spans="1:37" ht="15" x14ac:dyDescent="0.2">
      <c r="A233" s="142" t="s">
        <v>1205</v>
      </c>
      <c r="B233" s="143" t="s">
        <v>1205</v>
      </c>
      <c r="C233" s="143" t="s">
        <v>1430</v>
      </c>
      <c r="D233" s="143" t="s">
        <v>1431</v>
      </c>
      <c r="E233" s="143" t="s">
        <v>309</v>
      </c>
      <c r="F233" s="143" t="s">
        <v>1660</v>
      </c>
      <c r="G233" s="143" t="s">
        <v>1661</v>
      </c>
      <c r="H233" s="143" t="s">
        <v>321</v>
      </c>
      <c r="I233" s="143" t="s">
        <v>754</v>
      </c>
      <c r="J233" s="143" t="s">
        <v>204</v>
      </c>
      <c r="K233" s="143" t="s">
        <v>204</v>
      </c>
      <c r="L233" s="143" t="s">
        <v>325</v>
      </c>
      <c r="M233" s="143" t="s">
        <v>340</v>
      </c>
      <c r="N233" s="143" t="s">
        <v>484</v>
      </c>
      <c r="O233" s="143" t="s">
        <v>339</v>
      </c>
      <c r="P233" s="143" t="s">
        <v>1396</v>
      </c>
      <c r="Q233" s="143" t="s">
        <v>413</v>
      </c>
      <c r="R233" s="143" t="s">
        <v>407</v>
      </c>
      <c r="S233" s="143" t="s">
        <v>1210</v>
      </c>
      <c r="T233" s="144">
        <v>0.01</v>
      </c>
      <c r="U233" s="143" t="s">
        <v>1662</v>
      </c>
      <c r="V233" s="146">
        <v>1.9800000000000002E-2</v>
      </c>
      <c r="W233" s="146">
        <v>7.3847999999999997E-2</v>
      </c>
      <c r="X233" s="143" t="s">
        <v>412</v>
      </c>
      <c r="Y233" s="145" t="s">
        <v>3853</v>
      </c>
      <c r="Z233" s="144">
        <v>75909.820000000007</v>
      </c>
      <c r="AA233" s="145" t="s">
        <v>3853</v>
      </c>
      <c r="AB233" s="143" t="s">
        <v>1663</v>
      </c>
      <c r="AC233" s="145" t="s">
        <v>3853</v>
      </c>
      <c r="AD233" s="144">
        <v>87.061000000000007</v>
      </c>
      <c r="AE233" s="145" t="s">
        <v>3853</v>
      </c>
      <c r="AF233" s="145" t="s">
        <v>3853</v>
      </c>
      <c r="AG233" s="145" t="s">
        <v>3853</v>
      </c>
      <c r="AH233" s="146">
        <v>4.9960461311681422E-4</v>
      </c>
      <c r="AI233" s="146">
        <v>1.1829769335374525E-3</v>
      </c>
      <c r="AJ233" s="147">
        <v>1.3145326236990807E-4</v>
      </c>
      <c r="AK233" s="181"/>
    </row>
    <row r="234" spans="1:37" ht="15" x14ac:dyDescent="0.2">
      <c r="A234" s="142" t="s">
        <v>1205</v>
      </c>
      <c r="B234" s="143" t="s">
        <v>1205</v>
      </c>
      <c r="C234" s="143" t="s">
        <v>1654</v>
      </c>
      <c r="D234" s="143" t="s">
        <v>1655</v>
      </c>
      <c r="E234" s="143" t="s">
        <v>309</v>
      </c>
      <c r="F234" s="143" t="s">
        <v>1664</v>
      </c>
      <c r="G234" s="143" t="s">
        <v>1665</v>
      </c>
      <c r="H234" s="143" t="s">
        <v>321</v>
      </c>
      <c r="I234" s="143" t="s">
        <v>754</v>
      </c>
      <c r="J234" s="143" t="s">
        <v>204</v>
      </c>
      <c r="K234" s="143" t="s">
        <v>204</v>
      </c>
      <c r="L234" s="143" t="s">
        <v>325</v>
      </c>
      <c r="M234" s="143" t="s">
        <v>340</v>
      </c>
      <c r="N234" s="143" t="s">
        <v>464</v>
      </c>
      <c r="O234" s="143" t="s">
        <v>339</v>
      </c>
      <c r="P234" s="143" t="s">
        <v>1359</v>
      </c>
      <c r="Q234" s="143" t="s">
        <v>415</v>
      </c>
      <c r="R234" s="143" t="s">
        <v>407</v>
      </c>
      <c r="S234" s="143" t="s">
        <v>1210</v>
      </c>
      <c r="T234" s="144">
        <v>0.53</v>
      </c>
      <c r="U234" s="143" t="s">
        <v>1666</v>
      </c>
      <c r="V234" s="146">
        <v>2.75E-2</v>
      </c>
      <c r="W234" s="146">
        <v>3.1185999999999998E-2</v>
      </c>
      <c r="X234" s="143" t="s">
        <v>412</v>
      </c>
      <c r="Y234" s="145" t="s">
        <v>3853</v>
      </c>
      <c r="Z234" s="144">
        <v>67977.56</v>
      </c>
      <c r="AA234" s="145" t="s">
        <v>3853</v>
      </c>
      <c r="AB234" s="143" t="s">
        <v>1667</v>
      </c>
      <c r="AC234" s="145" t="s">
        <v>3853</v>
      </c>
      <c r="AD234" s="144">
        <v>77.847899999999996</v>
      </c>
      <c r="AE234" s="145" t="s">
        <v>3853</v>
      </c>
      <c r="AF234" s="145" t="s">
        <v>3853</v>
      </c>
      <c r="AG234" s="145" t="s">
        <v>3853</v>
      </c>
      <c r="AH234" s="146">
        <v>4.9173141808813955E-4</v>
      </c>
      <c r="AI234" s="146">
        <v>1.0577905270726779E-3</v>
      </c>
      <c r="AJ234" s="147">
        <v>1.1754245729195006E-4</v>
      </c>
      <c r="AK234" s="181"/>
    </row>
    <row r="235" spans="1:37" ht="15" x14ac:dyDescent="0.2">
      <c r="A235" s="142" t="s">
        <v>1205</v>
      </c>
      <c r="B235" s="143" t="s">
        <v>1205</v>
      </c>
      <c r="C235" s="143" t="s">
        <v>1654</v>
      </c>
      <c r="D235" s="143" t="s">
        <v>1655</v>
      </c>
      <c r="E235" s="143" t="s">
        <v>309</v>
      </c>
      <c r="F235" s="143" t="s">
        <v>1656</v>
      </c>
      <c r="G235" s="143" t="s">
        <v>1657</v>
      </c>
      <c r="H235" s="143" t="s">
        <v>321</v>
      </c>
      <c r="I235" s="143" t="s">
        <v>754</v>
      </c>
      <c r="J235" s="143" t="s">
        <v>204</v>
      </c>
      <c r="K235" s="143" t="s">
        <v>204</v>
      </c>
      <c r="L235" s="143" t="s">
        <v>325</v>
      </c>
      <c r="M235" s="143" t="s">
        <v>340</v>
      </c>
      <c r="N235" s="143" t="s">
        <v>464</v>
      </c>
      <c r="O235" s="143" t="s">
        <v>339</v>
      </c>
      <c r="P235" s="143" t="s">
        <v>1359</v>
      </c>
      <c r="Q235" s="143" t="s">
        <v>415</v>
      </c>
      <c r="R235" s="143" t="s">
        <v>407</v>
      </c>
      <c r="S235" s="143" t="s">
        <v>1210</v>
      </c>
      <c r="T235" s="144">
        <v>3.16</v>
      </c>
      <c r="U235" s="143" t="s">
        <v>1658</v>
      </c>
      <c r="V235" s="146">
        <v>1.9599999999999999E-2</v>
      </c>
      <c r="W235" s="146">
        <v>2.9968999999999999E-2</v>
      </c>
      <c r="X235" s="143" t="s">
        <v>412</v>
      </c>
      <c r="Y235" s="145" t="s">
        <v>3853</v>
      </c>
      <c r="Z235" s="144">
        <v>59026</v>
      </c>
      <c r="AA235" s="145" t="s">
        <v>3853</v>
      </c>
      <c r="AB235" s="143" t="s">
        <v>1659</v>
      </c>
      <c r="AC235" s="145" t="s">
        <v>3853</v>
      </c>
      <c r="AD235" s="144">
        <v>65.583799999999997</v>
      </c>
      <c r="AE235" s="145" t="s">
        <v>3853</v>
      </c>
      <c r="AF235" s="145" t="s">
        <v>3853</v>
      </c>
      <c r="AG235" s="145" t="s">
        <v>3853</v>
      </c>
      <c r="AH235" s="146">
        <v>5.1546925045804575E-5</v>
      </c>
      <c r="AI235" s="146">
        <v>8.9114682329226248E-4</v>
      </c>
      <c r="AJ235" s="147">
        <v>9.9024887004391573E-5</v>
      </c>
      <c r="AK235" s="181"/>
    </row>
    <row r="236" spans="1:37" ht="15" x14ac:dyDescent="0.2">
      <c r="A236" s="142" t="s">
        <v>1205</v>
      </c>
      <c r="B236" s="143" t="s">
        <v>1205</v>
      </c>
      <c r="C236" s="143" t="s">
        <v>1856</v>
      </c>
      <c r="D236" s="143" t="s">
        <v>1857</v>
      </c>
      <c r="E236" s="143" t="s">
        <v>309</v>
      </c>
      <c r="F236" s="143" t="s">
        <v>1994</v>
      </c>
      <c r="G236" s="143" t="s">
        <v>1995</v>
      </c>
      <c r="H236" s="143" t="s">
        <v>321</v>
      </c>
      <c r="I236" s="143" t="s">
        <v>754</v>
      </c>
      <c r="J236" s="143" t="s">
        <v>204</v>
      </c>
      <c r="K236" s="143" t="s">
        <v>204</v>
      </c>
      <c r="L236" s="143" t="s">
        <v>325</v>
      </c>
      <c r="M236" s="143" t="s">
        <v>340</v>
      </c>
      <c r="N236" s="143" t="s">
        <v>464</v>
      </c>
      <c r="O236" s="143" t="s">
        <v>339</v>
      </c>
      <c r="P236" s="143" t="s">
        <v>1409</v>
      </c>
      <c r="Q236" s="143" t="s">
        <v>413</v>
      </c>
      <c r="R236" s="143" t="s">
        <v>407</v>
      </c>
      <c r="S236" s="143" t="s">
        <v>1210</v>
      </c>
      <c r="T236" s="144">
        <v>1.99</v>
      </c>
      <c r="U236" s="143" t="s">
        <v>1422</v>
      </c>
      <c r="V236" s="146">
        <v>2.4E-2</v>
      </c>
      <c r="W236" s="146">
        <v>2.7054000000000002E-2</v>
      </c>
      <c r="X236" s="143" t="s">
        <v>412</v>
      </c>
      <c r="Y236" s="145" t="s">
        <v>3853</v>
      </c>
      <c r="Z236" s="144">
        <v>47340.11</v>
      </c>
      <c r="AA236" s="145" t="s">
        <v>3853</v>
      </c>
      <c r="AB236" s="143" t="s">
        <v>1996</v>
      </c>
      <c r="AC236" s="145" t="s">
        <v>3853</v>
      </c>
      <c r="AD236" s="144">
        <v>54.086100000000002</v>
      </c>
      <c r="AE236" s="145" t="s">
        <v>3853</v>
      </c>
      <c r="AF236" s="145" t="s">
        <v>3853</v>
      </c>
      <c r="AG236" s="145" t="s">
        <v>3853</v>
      </c>
      <c r="AH236" s="146">
        <v>8.2044682248148427E-5</v>
      </c>
      <c r="AI236" s="146">
        <v>7.3491689868799626E-4</v>
      </c>
      <c r="AJ236" s="147">
        <v>8.1664503478041616E-5</v>
      </c>
      <c r="AK236" s="181"/>
    </row>
    <row r="237" spans="1:37" ht="15" x14ac:dyDescent="0.2">
      <c r="A237" s="142" t="s">
        <v>1205</v>
      </c>
      <c r="B237" s="143" t="s">
        <v>1205</v>
      </c>
      <c r="C237" s="143" t="s">
        <v>1516</v>
      </c>
      <c r="D237" s="143" t="s">
        <v>1517</v>
      </c>
      <c r="E237" s="143" t="s">
        <v>309</v>
      </c>
      <c r="F237" s="143" t="s">
        <v>1605</v>
      </c>
      <c r="G237" s="143" t="s">
        <v>1606</v>
      </c>
      <c r="H237" s="143" t="s">
        <v>321</v>
      </c>
      <c r="I237" s="143" t="s">
        <v>754</v>
      </c>
      <c r="J237" s="143" t="s">
        <v>204</v>
      </c>
      <c r="K237" s="143" t="s">
        <v>204</v>
      </c>
      <c r="L237" s="143" t="s">
        <v>325</v>
      </c>
      <c r="M237" s="143" t="s">
        <v>340</v>
      </c>
      <c r="N237" s="143" t="s">
        <v>465</v>
      </c>
      <c r="O237" s="143" t="s">
        <v>339</v>
      </c>
      <c r="P237" s="143" t="s">
        <v>1402</v>
      </c>
      <c r="Q237" s="143" t="s">
        <v>415</v>
      </c>
      <c r="R237" s="143" t="s">
        <v>407</v>
      </c>
      <c r="S237" s="143" t="s">
        <v>1210</v>
      </c>
      <c r="T237" s="144">
        <v>0.25</v>
      </c>
      <c r="U237" s="143" t="s">
        <v>1607</v>
      </c>
      <c r="V237" s="146">
        <v>5.3499999999999999E-2</v>
      </c>
      <c r="W237" s="146">
        <v>3.9487000000000001E-2</v>
      </c>
      <c r="X237" s="143" t="s">
        <v>412</v>
      </c>
      <c r="Y237" s="145" t="s">
        <v>3853</v>
      </c>
      <c r="Z237" s="144">
        <v>42348.53</v>
      </c>
      <c r="AA237" s="145" t="s">
        <v>3853</v>
      </c>
      <c r="AB237" s="143" t="s">
        <v>1608</v>
      </c>
      <c r="AC237" s="145" t="s">
        <v>3853</v>
      </c>
      <c r="AD237" s="144">
        <v>50.6404</v>
      </c>
      <c r="AE237" s="145" t="s">
        <v>3853</v>
      </c>
      <c r="AF237" s="145" t="s">
        <v>3853</v>
      </c>
      <c r="AG237" s="145" t="s">
        <v>3853</v>
      </c>
      <c r="AH237" s="146">
        <v>1.2810376049678492E-4</v>
      </c>
      <c r="AI237" s="146">
        <v>6.8809697878902327E-4</v>
      </c>
      <c r="AJ237" s="147">
        <v>7.6461839723463085E-5</v>
      </c>
      <c r="AK237" s="181"/>
    </row>
    <row r="238" spans="1:37" ht="15" x14ac:dyDescent="0.2">
      <c r="A238" s="142" t="s">
        <v>1205</v>
      </c>
      <c r="B238" s="143" t="s">
        <v>1205</v>
      </c>
      <c r="C238" s="143" t="s">
        <v>1623</v>
      </c>
      <c r="D238" s="143" t="s">
        <v>1624</v>
      </c>
      <c r="E238" s="143" t="s">
        <v>309</v>
      </c>
      <c r="F238" s="143" t="s">
        <v>1646</v>
      </c>
      <c r="G238" s="143" t="s">
        <v>1647</v>
      </c>
      <c r="H238" s="143" t="s">
        <v>321</v>
      </c>
      <c r="I238" s="143" t="s">
        <v>754</v>
      </c>
      <c r="J238" s="143" t="s">
        <v>204</v>
      </c>
      <c r="K238" s="143" t="s">
        <v>204</v>
      </c>
      <c r="L238" s="143" t="s">
        <v>325</v>
      </c>
      <c r="M238" s="143" t="s">
        <v>340</v>
      </c>
      <c r="N238" s="143" t="s">
        <v>445</v>
      </c>
      <c r="O238" s="143" t="s">
        <v>339</v>
      </c>
      <c r="P238" s="143" t="s">
        <v>1627</v>
      </c>
      <c r="Q238" s="143" t="s">
        <v>415</v>
      </c>
      <c r="R238" s="143" t="s">
        <v>407</v>
      </c>
      <c r="S238" s="143" t="s">
        <v>1210</v>
      </c>
      <c r="T238" s="144">
        <v>5.55</v>
      </c>
      <c r="U238" s="143" t="s">
        <v>1648</v>
      </c>
      <c r="V238" s="146">
        <v>5.3999999999999999E-2</v>
      </c>
      <c r="W238" s="146">
        <v>6.1131999999999999E-2</v>
      </c>
      <c r="X238" s="143" t="s">
        <v>412</v>
      </c>
      <c r="Y238" s="145" t="s">
        <v>3853</v>
      </c>
      <c r="Z238" s="144">
        <v>43215</v>
      </c>
      <c r="AA238" s="145" t="s">
        <v>3853</v>
      </c>
      <c r="AB238" s="143" t="s">
        <v>1649</v>
      </c>
      <c r="AC238" s="145" t="s">
        <v>3853</v>
      </c>
      <c r="AD238" s="144">
        <v>41.784599999999998</v>
      </c>
      <c r="AE238" s="145" t="s">
        <v>3853</v>
      </c>
      <c r="AF238" s="145" t="s">
        <v>3853</v>
      </c>
      <c r="AG238" s="145" t="s">
        <v>3853</v>
      </c>
      <c r="AH238" s="146">
        <v>7.5615923851630857E-5</v>
      </c>
      <c r="AI238" s="146">
        <v>5.6776529144605232E-4</v>
      </c>
      <c r="AJ238" s="147">
        <v>6.3090494586234754E-5</v>
      </c>
      <c r="AK238" s="181"/>
    </row>
    <row r="239" spans="1:37" ht="15" x14ac:dyDescent="0.2">
      <c r="A239" s="142" t="s">
        <v>1205</v>
      </c>
      <c r="B239" s="143" t="s">
        <v>1205</v>
      </c>
      <c r="C239" s="143" t="s">
        <v>1491</v>
      </c>
      <c r="D239" s="143" t="s">
        <v>1492</v>
      </c>
      <c r="E239" s="143" t="s">
        <v>309</v>
      </c>
      <c r="F239" s="143" t="s">
        <v>1997</v>
      </c>
      <c r="G239" s="143" t="s">
        <v>1998</v>
      </c>
      <c r="H239" s="143" t="s">
        <v>321</v>
      </c>
      <c r="I239" s="143" t="s">
        <v>754</v>
      </c>
      <c r="J239" s="143" t="s">
        <v>204</v>
      </c>
      <c r="K239" s="143" t="s">
        <v>204</v>
      </c>
      <c r="L239" s="143" t="s">
        <v>325</v>
      </c>
      <c r="M239" s="143" t="s">
        <v>340</v>
      </c>
      <c r="N239" s="143" t="s">
        <v>464</v>
      </c>
      <c r="O239" s="143" t="s">
        <v>339</v>
      </c>
      <c r="P239" s="143" t="s">
        <v>1409</v>
      </c>
      <c r="Q239" s="143" t="s">
        <v>413</v>
      </c>
      <c r="R239" s="143" t="s">
        <v>407</v>
      </c>
      <c r="S239" s="143" t="s">
        <v>1210</v>
      </c>
      <c r="T239" s="144">
        <v>4.13</v>
      </c>
      <c r="U239" s="143" t="s">
        <v>1999</v>
      </c>
      <c r="V239" s="146">
        <v>2.2499999999999999E-2</v>
      </c>
      <c r="W239" s="146">
        <v>3.0984000000000001E-2</v>
      </c>
      <c r="X239" s="143" t="s">
        <v>412</v>
      </c>
      <c r="Y239" s="145" t="s">
        <v>3853</v>
      </c>
      <c r="Z239" s="144">
        <v>28995.49</v>
      </c>
      <c r="AA239" s="145" t="s">
        <v>3853</v>
      </c>
      <c r="AB239" s="143" t="s">
        <v>2000</v>
      </c>
      <c r="AC239" s="144">
        <v>2.8918000000000004</v>
      </c>
      <c r="AD239" s="144">
        <v>35.131900000000002</v>
      </c>
      <c r="AE239" s="145" t="s">
        <v>3853</v>
      </c>
      <c r="AF239" s="145" t="s">
        <v>3853</v>
      </c>
      <c r="AG239" s="145" t="s">
        <v>3853</v>
      </c>
      <c r="AH239" s="146">
        <v>2.4646859818631384E-5</v>
      </c>
      <c r="AI239" s="146">
        <v>5.1666362080721748E-4</v>
      </c>
      <c r="AJ239" s="147">
        <v>5.741203955673547E-5</v>
      </c>
      <c r="AK239" s="181"/>
    </row>
    <row r="240" spans="1:37" ht="15" x14ac:dyDescent="0.2">
      <c r="A240" s="142" t="s">
        <v>1205</v>
      </c>
      <c r="B240" s="143" t="s">
        <v>1205</v>
      </c>
      <c r="C240" s="143" t="s">
        <v>1501</v>
      </c>
      <c r="D240" s="143" t="s">
        <v>1502</v>
      </c>
      <c r="E240" s="143" t="s">
        <v>309</v>
      </c>
      <c r="F240" s="143" t="s">
        <v>1503</v>
      </c>
      <c r="G240" s="143" t="s">
        <v>1504</v>
      </c>
      <c r="H240" s="143" t="s">
        <v>321</v>
      </c>
      <c r="I240" s="143" t="s">
        <v>754</v>
      </c>
      <c r="J240" s="143" t="s">
        <v>204</v>
      </c>
      <c r="K240" s="143" t="s">
        <v>204</v>
      </c>
      <c r="L240" s="143" t="s">
        <v>325</v>
      </c>
      <c r="M240" s="143" t="s">
        <v>340</v>
      </c>
      <c r="N240" s="143" t="s">
        <v>464</v>
      </c>
      <c r="O240" s="143" t="s">
        <v>339</v>
      </c>
      <c r="P240" s="143" t="s">
        <v>1409</v>
      </c>
      <c r="Q240" s="143" t="s">
        <v>413</v>
      </c>
      <c r="R240" s="143" t="s">
        <v>407</v>
      </c>
      <c r="S240" s="143" t="s">
        <v>1210</v>
      </c>
      <c r="T240" s="144">
        <v>2.4300000000000002</v>
      </c>
      <c r="U240" s="143" t="s">
        <v>1505</v>
      </c>
      <c r="V240" s="146">
        <v>3.2000000000000001E-2</v>
      </c>
      <c r="W240" s="146">
        <v>2.8108999999999999E-2</v>
      </c>
      <c r="X240" s="143" t="s">
        <v>412</v>
      </c>
      <c r="Y240" s="145" t="s">
        <v>3853</v>
      </c>
      <c r="Z240" s="144">
        <v>20637</v>
      </c>
      <c r="AA240" s="145" t="s">
        <v>3853</v>
      </c>
      <c r="AB240" s="143" t="s">
        <v>1506</v>
      </c>
      <c r="AC240" s="144">
        <v>8.7914999999999992</v>
      </c>
      <c r="AD240" s="144">
        <v>32.387799999999999</v>
      </c>
      <c r="AE240" s="145" t="s">
        <v>3853</v>
      </c>
      <c r="AF240" s="145" t="s">
        <v>3853</v>
      </c>
      <c r="AG240" s="145" t="s">
        <v>3853</v>
      </c>
      <c r="AH240" s="146">
        <v>1.9614418008653267E-5</v>
      </c>
      <c r="AI240" s="146">
        <v>5.5954137414567678E-4</v>
      </c>
      <c r="AJ240" s="147">
        <v>6.2176646878856384E-5</v>
      </c>
      <c r="AK240" s="181"/>
    </row>
    <row r="241" spans="1:37" ht="15" x14ac:dyDescent="0.2">
      <c r="A241" s="142" t="s">
        <v>1205</v>
      </c>
      <c r="B241" s="143" t="s">
        <v>1205</v>
      </c>
      <c r="C241" s="143" t="s">
        <v>1574</v>
      </c>
      <c r="D241" s="143" t="s">
        <v>1575</v>
      </c>
      <c r="E241" s="143" t="s">
        <v>309</v>
      </c>
      <c r="F241" s="143" t="s">
        <v>2001</v>
      </c>
      <c r="G241" s="143" t="s">
        <v>2002</v>
      </c>
      <c r="H241" s="143" t="s">
        <v>321</v>
      </c>
      <c r="I241" s="143" t="s">
        <v>754</v>
      </c>
      <c r="J241" s="143" t="s">
        <v>204</v>
      </c>
      <c r="K241" s="143" t="s">
        <v>204</v>
      </c>
      <c r="L241" s="143" t="s">
        <v>325</v>
      </c>
      <c r="M241" s="143" t="s">
        <v>340</v>
      </c>
      <c r="N241" s="143" t="s">
        <v>464</v>
      </c>
      <c r="O241" s="143" t="s">
        <v>339</v>
      </c>
      <c r="P241" s="143" t="s">
        <v>1347</v>
      </c>
      <c r="Q241" s="143" t="s">
        <v>413</v>
      </c>
      <c r="R241" s="143" t="s">
        <v>407</v>
      </c>
      <c r="S241" s="143" t="s">
        <v>1210</v>
      </c>
      <c r="T241" s="144">
        <v>0.85</v>
      </c>
      <c r="U241" s="143" t="s">
        <v>2003</v>
      </c>
      <c r="V241" s="146">
        <v>2.5000000000000001E-2</v>
      </c>
      <c r="W241" s="146">
        <v>2.9173000000000001E-2</v>
      </c>
      <c r="X241" s="143" t="s">
        <v>412</v>
      </c>
      <c r="Y241" s="145" t="s">
        <v>3853</v>
      </c>
      <c r="Z241" s="144">
        <v>14540.28</v>
      </c>
      <c r="AA241" s="145" t="s">
        <v>3853</v>
      </c>
      <c r="AB241" s="143" t="s">
        <v>2004</v>
      </c>
      <c r="AC241" s="145" t="s">
        <v>3853</v>
      </c>
      <c r="AD241" s="144">
        <v>16.5425</v>
      </c>
      <c r="AE241" s="145" t="s">
        <v>3853</v>
      </c>
      <c r="AF241" s="145" t="s">
        <v>3853</v>
      </c>
      <c r="AG241" s="145" t="s">
        <v>3853</v>
      </c>
      <c r="AH241" s="146">
        <v>6.1741650698080803E-5</v>
      </c>
      <c r="AI241" s="146">
        <v>2.2477773466515058E-4</v>
      </c>
      <c r="AJ241" s="147">
        <v>2.4977466332750052E-5</v>
      </c>
      <c r="AK241" s="181"/>
    </row>
    <row r="242" spans="1:37" ht="15" x14ac:dyDescent="0.2">
      <c r="A242" s="142" t="s">
        <v>1205</v>
      </c>
      <c r="B242" s="143" t="s">
        <v>1205</v>
      </c>
      <c r="C242" s="143" t="s">
        <v>1634</v>
      </c>
      <c r="D242" s="143" t="s">
        <v>1635</v>
      </c>
      <c r="E242" s="143" t="s">
        <v>309</v>
      </c>
      <c r="F242" s="143" t="s">
        <v>1636</v>
      </c>
      <c r="G242" s="143" t="s">
        <v>1637</v>
      </c>
      <c r="H242" s="143" t="s">
        <v>321</v>
      </c>
      <c r="I242" s="143" t="s">
        <v>754</v>
      </c>
      <c r="J242" s="143" t="s">
        <v>204</v>
      </c>
      <c r="K242" s="143" t="s">
        <v>204</v>
      </c>
      <c r="L242" s="143" t="s">
        <v>325</v>
      </c>
      <c r="M242" s="143" t="s">
        <v>340</v>
      </c>
      <c r="N242" s="143" t="s">
        <v>464</v>
      </c>
      <c r="O242" s="143" t="s">
        <v>339</v>
      </c>
      <c r="P242" s="143" t="s">
        <v>1409</v>
      </c>
      <c r="Q242" s="143" t="s">
        <v>413</v>
      </c>
      <c r="R242" s="143" t="s">
        <v>407</v>
      </c>
      <c r="S242" s="143" t="s">
        <v>1210</v>
      </c>
      <c r="T242" s="144">
        <v>0.22</v>
      </c>
      <c r="U242" s="143" t="s">
        <v>1638</v>
      </c>
      <c r="V242" s="146">
        <v>0.04</v>
      </c>
      <c r="W242" s="146">
        <v>2.2232999999999999E-2</v>
      </c>
      <c r="X242" s="143" t="s">
        <v>412</v>
      </c>
      <c r="Y242" s="145" t="s">
        <v>3853</v>
      </c>
      <c r="Z242" s="144">
        <v>7326.02</v>
      </c>
      <c r="AA242" s="145" t="s">
        <v>3853</v>
      </c>
      <c r="AB242" s="143" t="s">
        <v>1639</v>
      </c>
      <c r="AC242" s="145" t="s">
        <v>3853</v>
      </c>
      <c r="AD242" s="144">
        <v>8.4257000000000009</v>
      </c>
      <c r="AE242" s="145" t="s">
        <v>3853</v>
      </c>
      <c r="AF242" s="145" t="s">
        <v>3853</v>
      </c>
      <c r="AG242" s="145" t="s">
        <v>3853</v>
      </c>
      <c r="AH242" s="146">
        <v>8.9988180208859953E-5</v>
      </c>
      <c r="AI242" s="146">
        <v>1.1448707651934819E-4</v>
      </c>
      <c r="AJ242" s="147">
        <v>1.2721887706346516E-5</v>
      </c>
      <c r="AK242" s="181"/>
    </row>
    <row r="243" spans="1:37" ht="15" x14ac:dyDescent="0.2">
      <c r="A243" s="142" t="s">
        <v>1205</v>
      </c>
      <c r="B243" s="143" t="s">
        <v>1205</v>
      </c>
      <c r="C243" s="143" t="s">
        <v>2005</v>
      </c>
      <c r="D243" s="143" t="s">
        <v>2006</v>
      </c>
      <c r="E243" s="143" t="s">
        <v>309</v>
      </c>
      <c r="F243" s="143" t="s">
        <v>2007</v>
      </c>
      <c r="G243" s="143" t="s">
        <v>2008</v>
      </c>
      <c r="H243" s="143" t="s">
        <v>321</v>
      </c>
      <c r="I243" s="143" t="s">
        <v>755</v>
      </c>
      <c r="J243" s="143" t="s">
        <v>204</v>
      </c>
      <c r="K243" s="143" t="s">
        <v>233</v>
      </c>
      <c r="L243" s="143" t="s">
        <v>325</v>
      </c>
      <c r="M243" s="143" t="s">
        <v>340</v>
      </c>
      <c r="N243" s="143" t="s">
        <v>465</v>
      </c>
      <c r="O243" s="143" t="s">
        <v>339</v>
      </c>
      <c r="P243" s="143" t="s">
        <v>1359</v>
      </c>
      <c r="Q243" s="143" t="s">
        <v>415</v>
      </c>
      <c r="R243" s="143" t="s">
        <v>407</v>
      </c>
      <c r="S243" s="143" t="s">
        <v>1210</v>
      </c>
      <c r="T243" s="144">
        <v>3.09</v>
      </c>
      <c r="U243" s="143" t="s">
        <v>2009</v>
      </c>
      <c r="V243" s="146">
        <v>4.2999999999999997E-2</v>
      </c>
      <c r="W243" s="146">
        <v>8.4699999999999998E-2</v>
      </c>
      <c r="X243" s="143" t="s">
        <v>412</v>
      </c>
      <c r="Y243" s="145" t="s">
        <v>3853</v>
      </c>
      <c r="Z243" s="144">
        <v>343481.11</v>
      </c>
      <c r="AA243" s="145" t="s">
        <v>3853</v>
      </c>
      <c r="AB243" s="143" t="s">
        <v>2010</v>
      </c>
      <c r="AC243" s="145" t="s">
        <v>3853</v>
      </c>
      <c r="AD243" s="144">
        <v>311.43430000000001</v>
      </c>
      <c r="AE243" s="145" t="s">
        <v>3853</v>
      </c>
      <c r="AF243" s="145" t="s">
        <v>3853</v>
      </c>
      <c r="AG243" s="145" t="s">
        <v>3853</v>
      </c>
      <c r="AH243" s="146">
        <v>3.0508942660210399E-4</v>
      </c>
      <c r="AI243" s="146">
        <v>4.2317425240040304E-3</v>
      </c>
      <c r="AJ243" s="147">
        <v>4.702343253865205E-4</v>
      </c>
      <c r="AK243" s="181"/>
    </row>
    <row r="244" spans="1:37" ht="15" x14ac:dyDescent="0.2">
      <c r="A244" s="142" t="s">
        <v>1205</v>
      </c>
      <c r="B244" s="143" t="s">
        <v>1205</v>
      </c>
      <c r="C244" s="143" t="s">
        <v>2011</v>
      </c>
      <c r="D244" s="143" t="s">
        <v>2012</v>
      </c>
      <c r="E244" s="143" t="s">
        <v>309</v>
      </c>
      <c r="F244" s="143" t="s">
        <v>2013</v>
      </c>
      <c r="G244" s="143" t="s">
        <v>2014</v>
      </c>
      <c r="H244" s="143" t="s">
        <v>321</v>
      </c>
      <c r="I244" s="143" t="s">
        <v>755</v>
      </c>
      <c r="J244" s="143" t="s">
        <v>204</v>
      </c>
      <c r="K244" s="143" t="s">
        <v>204</v>
      </c>
      <c r="L244" s="143" t="s">
        <v>325</v>
      </c>
      <c r="M244" s="143" t="s">
        <v>340</v>
      </c>
      <c r="N244" s="143" t="s">
        <v>480</v>
      </c>
      <c r="O244" s="143" t="s">
        <v>339</v>
      </c>
      <c r="P244" s="143" t="s">
        <v>1347</v>
      </c>
      <c r="Q244" s="143" t="s">
        <v>413</v>
      </c>
      <c r="R244" s="143" t="s">
        <v>407</v>
      </c>
      <c r="S244" s="143" t="s">
        <v>1210</v>
      </c>
      <c r="T244" s="144">
        <v>0.98</v>
      </c>
      <c r="U244" s="143" t="s">
        <v>2015</v>
      </c>
      <c r="V244" s="146">
        <v>3.3700000000000001E-2</v>
      </c>
      <c r="W244" s="146">
        <v>6.4588000000000007E-2</v>
      </c>
      <c r="X244" s="143" t="s">
        <v>412</v>
      </c>
      <c r="Y244" s="145" t="s">
        <v>3853</v>
      </c>
      <c r="Z244" s="144">
        <v>0.01</v>
      </c>
      <c r="AA244" s="145" t="s">
        <v>3853</v>
      </c>
      <c r="AB244" s="143" t="s">
        <v>2016</v>
      </c>
      <c r="AC244" s="145" t="s">
        <v>3853</v>
      </c>
      <c r="AD244" s="144">
        <v>0</v>
      </c>
      <c r="AE244" s="145" t="s">
        <v>3853</v>
      </c>
      <c r="AF244" s="145" t="s">
        <v>3853</v>
      </c>
      <c r="AG244" s="145" t="s">
        <v>3853</v>
      </c>
      <c r="AH244" s="146">
        <v>7.1428571428571427E-11</v>
      </c>
      <c r="AI244" s="146">
        <v>1.4034955488658335E-10</v>
      </c>
      <c r="AJ244" s="147">
        <v>1.5595745224580705E-11</v>
      </c>
      <c r="AK244" s="181"/>
    </row>
    <row r="245" spans="1:37" ht="15" x14ac:dyDescent="0.2">
      <c r="A245" s="142" t="s">
        <v>1205</v>
      </c>
      <c r="B245" s="143" t="s">
        <v>1205</v>
      </c>
      <c r="C245" s="143" t="s">
        <v>2017</v>
      </c>
      <c r="D245" s="143" t="s">
        <v>2018</v>
      </c>
      <c r="E245" s="143" t="s">
        <v>313</v>
      </c>
      <c r="F245" s="143" t="s">
        <v>2019</v>
      </c>
      <c r="G245" s="143" t="s">
        <v>2020</v>
      </c>
      <c r="H245" s="143" t="s">
        <v>321</v>
      </c>
      <c r="I245" s="143" t="s">
        <v>755</v>
      </c>
      <c r="J245" s="143" t="s">
        <v>205</v>
      </c>
      <c r="K245" s="143" t="s">
        <v>268</v>
      </c>
      <c r="L245" s="143" t="s">
        <v>325</v>
      </c>
      <c r="M245" s="143" t="s">
        <v>364</v>
      </c>
      <c r="N245" s="143" t="s">
        <v>539</v>
      </c>
      <c r="O245" s="143" t="s">
        <v>339</v>
      </c>
      <c r="P245" s="143" t="s">
        <v>2021</v>
      </c>
      <c r="Q245" s="143" t="s">
        <v>423</v>
      </c>
      <c r="R245" s="143" t="s">
        <v>407</v>
      </c>
      <c r="S245" s="143" t="s">
        <v>1211</v>
      </c>
      <c r="T245" s="144">
        <v>2.645</v>
      </c>
      <c r="U245" s="143" t="s">
        <v>2022</v>
      </c>
      <c r="V245" s="146">
        <v>5.6250000000000001E-2</v>
      </c>
      <c r="W245" s="146">
        <v>8.7309999999999999E-2</v>
      </c>
      <c r="X245" s="143" t="s">
        <v>412</v>
      </c>
      <c r="Y245" s="145" t="s">
        <v>3853</v>
      </c>
      <c r="Z245" s="144">
        <v>260000</v>
      </c>
      <c r="AA245" s="143" t="s">
        <v>1212</v>
      </c>
      <c r="AB245" s="143" t="s">
        <v>2023</v>
      </c>
      <c r="AC245" s="145" t="s">
        <v>3853</v>
      </c>
      <c r="AD245" s="144">
        <v>1010.7103000000001</v>
      </c>
      <c r="AE245" s="145" t="s">
        <v>3853</v>
      </c>
      <c r="AF245" s="145" t="s">
        <v>3853</v>
      </c>
      <c r="AG245" s="145" t="s">
        <v>3853</v>
      </c>
      <c r="AH245" s="146">
        <v>3.2499999999999999E-4</v>
      </c>
      <c r="AI245" s="146">
        <v>1.3733443889350548E-2</v>
      </c>
      <c r="AJ245" s="147">
        <v>1.5260703329445374E-3</v>
      </c>
      <c r="AK245" s="181"/>
    </row>
    <row r="246" spans="1:37" ht="15" x14ac:dyDescent="0.2">
      <c r="A246" s="142" t="s">
        <v>1205</v>
      </c>
      <c r="B246" s="143" t="s">
        <v>1205</v>
      </c>
      <c r="C246" s="143" t="s">
        <v>2024</v>
      </c>
      <c r="D246" s="143" t="s">
        <v>2025</v>
      </c>
      <c r="E246" s="143" t="s">
        <v>313</v>
      </c>
      <c r="F246" s="143" t="s">
        <v>2026</v>
      </c>
      <c r="G246" s="143" t="s">
        <v>2027</v>
      </c>
      <c r="H246" s="143" t="s">
        <v>321</v>
      </c>
      <c r="I246" s="143" t="s">
        <v>755</v>
      </c>
      <c r="J246" s="143" t="s">
        <v>205</v>
      </c>
      <c r="K246" s="143" t="s">
        <v>224</v>
      </c>
      <c r="L246" s="143" t="s">
        <v>325</v>
      </c>
      <c r="M246" s="143" t="s">
        <v>344</v>
      </c>
      <c r="N246" s="143" t="s">
        <v>539</v>
      </c>
      <c r="O246" s="143" t="s">
        <v>339</v>
      </c>
      <c r="P246" s="143" t="s">
        <v>2028</v>
      </c>
      <c r="Q246" s="143" t="s">
        <v>421</v>
      </c>
      <c r="R246" s="143" t="s">
        <v>407</v>
      </c>
      <c r="S246" s="143" t="s">
        <v>1211</v>
      </c>
      <c r="T246" s="144">
        <v>1.93</v>
      </c>
      <c r="U246" s="143" t="s">
        <v>2029</v>
      </c>
      <c r="V246" s="146">
        <v>3.4500000000000003E-2</v>
      </c>
      <c r="W246" s="146">
        <v>5.7880000000000001E-2</v>
      </c>
      <c r="X246" s="143" t="s">
        <v>412</v>
      </c>
      <c r="Y246" s="145" t="s">
        <v>3853</v>
      </c>
      <c r="Z246" s="144">
        <v>260000</v>
      </c>
      <c r="AA246" s="143" t="s">
        <v>1212</v>
      </c>
      <c r="AB246" s="143" t="s">
        <v>2030</v>
      </c>
      <c r="AC246" s="145" t="s">
        <v>3853</v>
      </c>
      <c r="AD246" s="144">
        <v>947.14639999999997</v>
      </c>
      <c r="AE246" s="145" t="s">
        <v>3853</v>
      </c>
      <c r="AF246" s="145" t="s">
        <v>3853</v>
      </c>
      <c r="AG246" s="145" t="s">
        <v>3853</v>
      </c>
      <c r="AH246" s="146">
        <v>2.5999999999999998E-4</v>
      </c>
      <c r="AI246" s="146">
        <v>1.286974359853944E-2</v>
      </c>
      <c r="AJ246" s="147">
        <v>1.4300953247104787E-3</v>
      </c>
      <c r="AK246" s="181"/>
    </row>
    <row r="247" spans="1:37" ht="15" x14ac:dyDescent="0.2">
      <c r="A247" s="142" t="s">
        <v>1205</v>
      </c>
      <c r="B247" s="143" t="s">
        <v>1205</v>
      </c>
      <c r="C247" s="143" t="s">
        <v>2031</v>
      </c>
      <c r="D247" s="143" t="s">
        <v>2032</v>
      </c>
      <c r="E247" s="143" t="s">
        <v>313</v>
      </c>
      <c r="F247" s="143" t="s">
        <v>2033</v>
      </c>
      <c r="G247" s="143" t="s">
        <v>2034</v>
      </c>
      <c r="H247" s="143" t="s">
        <v>321</v>
      </c>
      <c r="I247" s="143" t="s">
        <v>755</v>
      </c>
      <c r="J247" s="143" t="s">
        <v>205</v>
      </c>
      <c r="K247" s="143" t="s">
        <v>233</v>
      </c>
      <c r="L247" s="143" t="s">
        <v>325</v>
      </c>
      <c r="M247" s="143" t="s">
        <v>388</v>
      </c>
      <c r="N247" s="143" t="s">
        <v>549</v>
      </c>
      <c r="O247" s="143" t="s">
        <v>339</v>
      </c>
      <c r="P247" s="143" t="s">
        <v>2035</v>
      </c>
      <c r="Q247" s="143" t="s">
        <v>433</v>
      </c>
      <c r="R247" s="143" t="s">
        <v>407</v>
      </c>
      <c r="S247" s="143" t="s">
        <v>1211</v>
      </c>
      <c r="T247" s="144">
        <v>0.249</v>
      </c>
      <c r="U247" s="143" t="s">
        <v>1341</v>
      </c>
      <c r="V247" s="146">
        <v>6.25E-2</v>
      </c>
      <c r="W247" s="146">
        <v>7.2520000000000001E-2</v>
      </c>
      <c r="X247" s="143" t="s">
        <v>412</v>
      </c>
      <c r="Y247" s="145" t="s">
        <v>3853</v>
      </c>
      <c r="Z247" s="144">
        <v>148000</v>
      </c>
      <c r="AA247" s="143" t="s">
        <v>1212</v>
      </c>
      <c r="AB247" s="143" t="s">
        <v>2036</v>
      </c>
      <c r="AC247" s="145" t="s">
        <v>3853</v>
      </c>
      <c r="AD247" s="144">
        <v>581.96230000000003</v>
      </c>
      <c r="AE247" s="145" t="s">
        <v>3853</v>
      </c>
      <c r="AF247" s="145" t="s">
        <v>3853</v>
      </c>
      <c r="AG247" s="145" t="s">
        <v>3853</v>
      </c>
      <c r="AH247" s="146">
        <v>1.1384615384615384E-4</v>
      </c>
      <c r="AI247" s="146">
        <v>7.9076529186536751E-3</v>
      </c>
      <c r="AJ247" s="147">
        <v>8.7870417788923102E-4</v>
      </c>
      <c r="AK247" s="181"/>
    </row>
    <row r="248" spans="1:37" ht="15" x14ac:dyDescent="0.2">
      <c r="A248" s="142" t="s">
        <v>1205</v>
      </c>
      <c r="B248" s="143" t="s">
        <v>1205</v>
      </c>
      <c r="C248" s="143" t="s">
        <v>1851</v>
      </c>
      <c r="D248" s="143" t="s">
        <v>1852</v>
      </c>
      <c r="E248" s="143" t="s">
        <v>309</v>
      </c>
      <c r="F248" s="143" t="s">
        <v>2037</v>
      </c>
      <c r="G248" s="143" t="s">
        <v>2038</v>
      </c>
      <c r="H248" s="143" t="s">
        <v>321</v>
      </c>
      <c r="I248" s="143" t="s">
        <v>952</v>
      </c>
      <c r="J248" s="143" t="s">
        <v>204</v>
      </c>
      <c r="K248" s="143" t="s">
        <v>204</v>
      </c>
      <c r="L248" s="143" t="s">
        <v>325</v>
      </c>
      <c r="M248" s="143" t="s">
        <v>340</v>
      </c>
      <c r="N248" s="143" t="s">
        <v>441</v>
      </c>
      <c r="O248" s="143" t="s">
        <v>339</v>
      </c>
      <c r="P248" s="145" t="s">
        <v>3853</v>
      </c>
      <c r="Q248" s="143" t="s">
        <v>410</v>
      </c>
      <c r="R248" s="143" t="s">
        <v>410</v>
      </c>
      <c r="S248" s="143" t="s">
        <v>1210</v>
      </c>
      <c r="T248" s="144">
        <v>4.08</v>
      </c>
      <c r="U248" s="143" t="s">
        <v>1694</v>
      </c>
      <c r="V248" s="146">
        <v>0.05</v>
      </c>
      <c r="W248" s="146">
        <v>5.0389000000000003E-2</v>
      </c>
      <c r="X248" s="143" t="s">
        <v>412</v>
      </c>
      <c r="Y248" s="145" t="s">
        <v>3853</v>
      </c>
      <c r="Z248" s="144">
        <v>536000</v>
      </c>
      <c r="AA248" s="145" t="s">
        <v>3853</v>
      </c>
      <c r="AB248" s="143" t="s">
        <v>2039</v>
      </c>
      <c r="AC248" s="145" t="s">
        <v>3853</v>
      </c>
      <c r="AD248" s="144">
        <v>536.53599999999994</v>
      </c>
      <c r="AE248" s="145" t="s">
        <v>3853</v>
      </c>
      <c r="AF248" s="145" t="s">
        <v>3853</v>
      </c>
      <c r="AG248" s="145" t="s">
        <v>3853</v>
      </c>
      <c r="AH248" s="146">
        <v>1.3151760520181573E-3</v>
      </c>
      <c r="AI248" s="146">
        <v>7.2904045677827361E-3</v>
      </c>
      <c r="AJ248" s="147">
        <v>8.101150895358344E-4</v>
      </c>
      <c r="AK248" s="181"/>
    </row>
    <row r="249" spans="1:37" ht="15" x14ac:dyDescent="0.2">
      <c r="A249" s="142" t="s">
        <v>1218</v>
      </c>
      <c r="B249" s="143" t="s">
        <v>1219</v>
      </c>
      <c r="C249" s="143" t="s">
        <v>1343</v>
      </c>
      <c r="D249" s="143" t="s">
        <v>1344</v>
      </c>
      <c r="E249" s="143" t="s">
        <v>309</v>
      </c>
      <c r="F249" s="143" t="s">
        <v>1345</v>
      </c>
      <c r="G249" s="143" t="s">
        <v>1346</v>
      </c>
      <c r="H249" s="143" t="s">
        <v>321</v>
      </c>
      <c r="I249" s="143" t="s">
        <v>951</v>
      </c>
      <c r="J249" s="143" t="s">
        <v>204</v>
      </c>
      <c r="K249" s="143" t="s">
        <v>204</v>
      </c>
      <c r="L249" s="143" t="s">
        <v>325</v>
      </c>
      <c r="M249" s="143" t="s">
        <v>340</v>
      </c>
      <c r="N249" s="143" t="s">
        <v>445</v>
      </c>
      <c r="O249" s="143" t="s">
        <v>339</v>
      </c>
      <c r="P249" s="143" t="s">
        <v>1347</v>
      </c>
      <c r="Q249" s="143" t="s">
        <v>413</v>
      </c>
      <c r="R249" s="143" t="s">
        <v>407</v>
      </c>
      <c r="S249" s="143" t="s">
        <v>1210</v>
      </c>
      <c r="T249" s="144">
        <v>5.29</v>
      </c>
      <c r="U249" s="143" t="s">
        <v>1295</v>
      </c>
      <c r="V249" s="146">
        <v>2.64E-2</v>
      </c>
      <c r="W249" s="146">
        <v>5.8282E-2</v>
      </c>
      <c r="X249" s="143" t="s">
        <v>412</v>
      </c>
      <c r="Y249" s="145" t="s">
        <v>3853</v>
      </c>
      <c r="Z249" s="144">
        <v>757977.16</v>
      </c>
      <c r="AA249" s="145" t="s">
        <v>3853</v>
      </c>
      <c r="AB249" s="143" t="s">
        <v>1348</v>
      </c>
      <c r="AC249" s="145" t="s">
        <v>3853</v>
      </c>
      <c r="AD249" s="144">
        <v>649.13159999999993</v>
      </c>
      <c r="AE249" s="145" t="s">
        <v>3853</v>
      </c>
      <c r="AF249" s="145" t="s">
        <v>3853</v>
      </c>
      <c r="AG249" s="145" t="s">
        <v>3853</v>
      </c>
      <c r="AH249" s="146">
        <v>4.6326244514929604E-4</v>
      </c>
      <c r="AI249" s="146">
        <v>3.8188690671292054E-2</v>
      </c>
      <c r="AJ249" s="147">
        <v>2.2880283100741934E-3</v>
      </c>
      <c r="AK249" s="181"/>
    </row>
    <row r="250" spans="1:37" ht="15" x14ac:dyDescent="0.2">
      <c r="A250" s="142" t="s">
        <v>1218</v>
      </c>
      <c r="B250" s="143" t="s">
        <v>1219</v>
      </c>
      <c r="C250" s="143" t="s">
        <v>1349</v>
      </c>
      <c r="D250" s="143" t="s">
        <v>1350</v>
      </c>
      <c r="E250" s="143" t="s">
        <v>309</v>
      </c>
      <c r="F250" s="143" t="s">
        <v>1351</v>
      </c>
      <c r="G250" s="143" t="s">
        <v>1352</v>
      </c>
      <c r="H250" s="143" t="s">
        <v>321</v>
      </c>
      <c r="I250" s="143" t="s">
        <v>951</v>
      </c>
      <c r="J250" s="143" t="s">
        <v>204</v>
      </c>
      <c r="K250" s="143" t="s">
        <v>204</v>
      </c>
      <c r="L250" s="143" t="s">
        <v>325</v>
      </c>
      <c r="M250" s="143" t="s">
        <v>340</v>
      </c>
      <c r="N250" s="143" t="s">
        <v>448</v>
      </c>
      <c r="O250" s="143" t="s">
        <v>339</v>
      </c>
      <c r="P250" s="143" t="s">
        <v>1222</v>
      </c>
      <c r="Q250" s="143" t="s">
        <v>413</v>
      </c>
      <c r="R250" s="143" t="s">
        <v>407</v>
      </c>
      <c r="S250" s="143" t="s">
        <v>1210</v>
      </c>
      <c r="T250" s="144">
        <v>0.93</v>
      </c>
      <c r="U250" s="143" t="s">
        <v>1353</v>
      </c>
      <c r="V250" s="146">
        <v>2.98E-2</v>
      </c>
      <c r="W250" s="146">
        <v>4.5124999999999998E-2</v>
      </c>
      <c r="X250" s="143" t="s">
        <v>412</v>
      </c>
      <c r="Y250" s="145" t="s">
        <v>3853</v>
      </c>
      <c r="Z250" s="144">
        <v>622905</v>
      </c>
      <c r="AA250" s="145" t="s">
        <v>3853</v>
      </c>
      <c r="AB250" s="143" t="s">
        <v>1354</v>
      </c>
      <c r="AC250" s="145" t="s">
        <v>3853</v>
      </c>
      <c r="AD250" s="144">
        <v>615.55469999999991</v>
      </c>
      <c r="AE250" s="145" t="s">
        <v>3853</v>
      </c>
      <c r="AF250" s="145" t="s">
        <v>3853</v>
      </c>
      <c r="AG250" s="145" t="s">
        <v>3853</v>
      </c>
      <c r="AH250" s="146">
        <v>2.4503454019120328E-4</v>
      </c>
      <c r="AI250" s="146">
        <v>3.6213346244986663E-2</v>
      </c>
      <c r="AJ250" s="147">
        <v>2.1696779846221716E-3</v>
      </c>
      <c r="AK250" s="181"/>
    </row>
    <row r="251" spans="1:37" ht="15" x14ac:dyDescent="0.2">
      <c r="A251" s="142" t="s">
        <v>1218</v>
      </c>
      <c r="B251" s="143" t="s">
        <v>1219</v>
      </c>
      <c r="C251" s="143" t="s">
        <v>1355</v>
      </c>
      <c r="D251" s="143" t="s">
        <v>1356</v>
      </c>
      <c r="E251" s="143" t="s">
        <v>309</v>
      </c>
      <c r="F251" s="143" t="s">
        <v>1357</v>
      </c>
      <c r="G251" s="143" t="s">
        <v>1358</v>
      </c>
      <c r="H251" s="143" t="s">
        <v>321</v>
      </c>
      <c r="I251" s="143" t="s">
        <v>951</v>
      </c>
      <c r="J251" s="143" t="s">
        <v>204</v>
      </c>
      <c r="K251" s="143" t="s">
        <v>204</v>
      </c>
      <c r="L251" s="143" t="s">
        <v>325</v>
      </c>
      <c r="M251" s="143" t="s">
        <v>340</v>
      </c>
      <c r="N251" s="143" t="s">
        <v>445</v>
      </c>
      <c r="O251" s="143" t="s">
        <v>339</v>
      </c>
      <c r="P251" s="143" t="s">
        <v>1359</v>
      </c>
      <c r="Q251" s="143" t="s">
        <v>415</v>
      </c>
      <c r="R251" s="143" t="s">
        <v>407</v>
      </c>
      <c r="S251" s="143" t="s">
        <v>1210</v>
      </c>
      <c r="T251" s="144">
        <v>1.05</v>
      </c>
      <c r="U251" s="143" t="s">
        <v>1360</v>
      </c>
      <c r="V251" s="146">
        <v>3.61E-2</v>
      </c>
      <c r="W251" s="146">
        <v>5.1234000000000002E-2</v>
      </c>
      <c r="X251" s="143" t="s">
        <v>412</v>
      </c>
      <c r="Y251" s="145" t="s">
        <v>3853</v>
      </c>
      <c r="Z251" s="144">
        <v>384165</v>
      </c>
      <c r="AA251" s="145" t="s">
        <v>3853</v>
      </c>
      <c r="AB251" s="143" t="s">
        <v>1361</v>
      </c>
      <c r="AC251" s="145" t="s">
        <v>3853</v>
      </c>
      <c r="AD251" s="144">
        <v>384.20340000000004</v>
      </c>
      <c r="AE251" s="145" t="s">
        <v>3853</v>
      </c>
      <c r="AF251" s="145" t="s">
        <v>3853</v>
      </c>
      <c r="AG251" s="145" t="s">
        <v>3853</v>
      </c>
      <c r="AH251" s="146">
        <v>5.0054071661237789E-4</v>
      </c>
      <c r="AI251" s="146">
        <v>2.2602850527437223E-2</v>
      </c>
      <c r="AJ251" s="147">
        <v>1.3542219171716382E-3</v>
      </c>
      <c r="AK251" s="181"/>
    </row>
    <row r="252" spans="1:37" ht="15" x14ac:dyDescent="0.2">
      <c r="A252" s="142" t="s">
        <v>1218</v>
      </c>
      <c r="B252" s="143" t="s">
        <v>1219</v>
      </c>
      <c r="C252" s="143" t="s">
        <v>1380</v>
      </c>
      <c r="D252" s="143" t="s">
        <v>1381</v>
      </c>
      <c r="E252" s="143" t="s">
        <v>309</v>
      </c>
      <c r="F252" s="143" t="s">
        <v>1382</v>
      </c>
      <c r="G252" s="143" t="s">
        <v>1383</v>
      </c>
      <c r="H252" s="143" t="s">
        <v>321</v>
      </c>
      <c r="I252" s="143" t="s">
        <v>951</v>
      </c>
      <c r="J252" s="143" t="s">
        <v>204</v>
      </c>
      <c r="K252" s="143" t="s">
        <v>204</v>
      </c>
      <c r="L252" s="143" t="s">
        <v>325</v>
      </c>
      <c r="M252" s="143" t="s">
        <v>340</v>
      </c>
      <c r="N252" s="143" t="s">
        <v>445</v>
      </c>
      <c r="O252" s="143" t="s">
        <v>339</v>
      </c>
      <c r="P252" s="143" t="s">
        <v>1347</v>
      </c>
      <c r="Q252" s="143" t="s">
        <v>413</v>
      </c>
      <c r="R252" s="143" t="s">
        <v>407</v>
      </c>
      <c r="S252" s="143" t="s">
        <v>1210</v>
      </c>
      <c r="T252" s="144">
        <v>5.4</v>
      </c>
      <c r="U252" s="143" t="s">
        <v>1384</v>
      </c>
      <c r="V252" s="146">
        <v>5.2499999999999998E-2</v>
      </c>
      <c r="W252" s="146">
        <v>5.9947E-2</v>
      </c>
      <c r="X252" s="143" t="s">
        <v>412</v>
      </c>
      <c r="Y252" s="145" t="s">
        <v>3853</v>
      </c>
      <c r="Z252" s="144">
        <v>346000</v>
      </c>
      <c r="AA252" s="145" t="s">
        <v>3853</v>
      </c>
      <c r="AB252" s="143" t="s">
        <v>1385</v>
      </c>
      <c r="AC252" s="145" t="s">
        <v>3853</v>
      </c>
      <c r="AD252" s="144">
        <v>337.07319999999999</v>
      </c>
      <c r="AE252" s="145" t="s">
        <v>3853</v>
      </c>
      <c r="AF252" s="145" t="s">
        <v>3853</v>
      </c>
      <c r="AG252" s="145" t="s">
        <v>3853</v>
      </c>
      <c r="AH252" s="146">
        <v>6.9200000000000002E-4</v>
      </c>
      <c r="AI252" s="146">
        <v>1.9830159829942458E-2</v>
      </c>
      <c r="AJ252" s="147">
        <v>1.1880995731103265E-3</v>
      </c>
      <c r="AK252" s="181"/>
    </row>
    <row r="253" spans="1:37" ht="15" x14ac:dyDescent="0.2">
      <c r="A253" s="142" t="s">
        <v>1218</v>
      </c>
      <c r="B253" s="143" t="s">
        <v>1219</v>
      </c>
      <c r="C253" s="143" t="s">
        <v>1343</v>
      </c>
      <c r="D253" s="143" t="s">
        <v>1344</v>
      </c>
      <c r="E253" s="143" t="s">
        <v>309</v>
      </c>
      <c r="F253" s="143" t="s">
        <v>1369</v>
      </c>
      <c r="G253" s="143" t="s">
        <v>1370</v>
      </c>
      <c r="H253" s="143" t="s">
        <v>321</v>
      </c>
      <c r="I253" s="143" t="s">
        <v>951</v>
      </c>
      <c r="J253" s="143" t="s">
        <v>204</v>
      </c>
      <c r="K253" s="143" t="s">
        <v>204</v>
      </c>
      <c r="L253" s="143" t="s">
        <v>325</v>
      </c>
      <c r="M253" s="143" t="s">
        <v>340</v>
      </c>
      <c r="N253" s="143" t="s">
        <v>445</v>
      </c>
      <c r="O253" s="143" t="s">
        <v>339</v>
      </c>
      <c r="P253" s="143" t="s">
        <v>1347</v>
      </c>
      <c r="Q253" s="143" t="s">
        <v>413</v>
      </c>
      <c r="R253" s="143" t="s">
        <v>407</v>
      </c>
      <c r="S253" s="143" t="s">
        <v>1210</v>
      </c>
      <c r="T253" s="144">
        <v>7.66</v>
      </c>
      <c r="U253" s="143" t="s">
        <v>1371</v>
      </c>
      <c r="V253" s="146">
        <v>5.3100000000000001E-2</v>
      </c>
      <c r="W253" s="146">
        <v>6.3355999999999996E-2</v>
      </c>
      <c r="X253" s="143" t="s">
        <v>412</v>
      </c>
      <c r="Y253" s="145" t="s">
        <v>3853</v>
      </c>
      <c r="Z253" s="144">
        <v>303875.93</v>
      </c>
      <c r="AA253" s="145" t="s">
        <v>3853</v>
      </c>
      <c r="AB253" s="143" t="s">
        <v>1372</v>
      </c>
      <c r="AC253" s="145" t="s">
        <v>3853</v>
      </c>
      <c r="AD253" s="144">
        <v>289.68490000000003</v>
      </c>
      <c r="AE253" s="145" t="s">
        <v>3853</v>
      </c>
      <c r="AF253" s="145" t="s">
        <v>3853</v>
      </c>
      <c r="AG253" s="145" t="s">
        <v>3853</v>
      </c>
      <c r="AH253" s="146">
        <v>2.3863712721750491E-4</v>
      </c>
      <c r="AI253" s="146">
        <v>1.7042287386279938E-2</v>
      </c>
      <c r="AJ253" s="147">
        <v>1.0210676334483912E-3</v>
      </c>
      <c r="AK253" s="181"/>
    </row>
    <row r="254" spans="1:37" ht="15" x14ac:dyDescent="0.2">
      <c r="A254" s="142" t="s">
        <v>1218</v>
      </c>
      <c r="B254" s="143" t="s">
        <v>1219</v>
      </c>
      <c r="C254" s="143" t="s">
        <v>1373</v>
      </c>
      <c r="D254" s="143" t="s">
        <v>1374</v>
      </c>
      <c r="E254" s="143" t="s">
        <v>309</v>
      </c>
      <c r="F254" s="143" t="s">
        <v>1375</v>
      </c>
      <c r="G254" s="143" t="s">
        <v>1376</v>
      </c>
      <c r="H254" s="143" t="s">
        <v>321</v>
      </c>
      <c r="I254" s="143" t="s">
        <v>951</v>
      </c>
      <c r="J254" s="143" t="s">
        <v>204</v>
      </c>
      <c r="K254" s="143" t="s">
        <v>204</v>
      </c>
      <c r="L254" s="143" t="s">
        <v>325</v>
      </c>
      <c r="M254" s="143" t="s">
        <v>340</v>
      </c>
      <c r="N254" s="143" t="s">
        <v>484</v>
      </c>
      <c r="O254" s="143" t="s">
        <v>339</v>
      </c>
      <c r="P254" s="143" t="s">
        <v>1377</v>
      </c>
      <c r="Q254" s="143" t="s">
        <v>415</v>
      </c>
      <c r="R254" s="143" t="s">
        <v>407</v>
      </c>
      <c r="S254" s="143" t="s">
        <v>1210</v>
      </c>
      <c r="T254" s="144">
        <v>0.9</v>
      </c>
      <c r="U254" s="143" t="s">
        <v>1378</v>
      </c>
      <c r="V254" s="146">
        <v>3.6499999999999998E-2</v>
      </c>
      <c r="W254" s="146">
        <v>4.8802999999999999E-2</v>
      </c>
      <c r="X254" s="143" t="s">
        <v>412</v>
      </c>
      <c r="Y254" s="145" t="s">
        <v>3853</v>
      </c>
      <c r="Z254" s="144">
        <v>260399.94</v>
      </c>
      <c r="AA254" s="145" t="s">
        <v>3853</v>
      </c>
      <c r="AB254" s="143" t="s">
        <v>1379</v>
      </c>
      <c r="AC254" s="145" t="s">
        <v>3853</v>
      </c>
      <c r="AD254" s="144">
        <v>258.49900000000002</v>
      </c>
      <c r="AE254" s="145" t="s">
        <v>3853</v>
      </c>
      <c r="AF254" s="145" t="s">
        <v>3853</v>
      </c>
      <c r="AG254" s="145" t="s">
        <v>3853</v>
      </c>
      <c r="AH254" s="146">
        <v>2.445113705898174E-4</v>
      </c>
      <c r="AI254" s="146">
        <v>1.5207607401505377E-2</v>
      </c>
      <c r="AJ254" s="147">
        <v>9.1114504455360259E-4</v>
      </c>
      <c r="AK254" s="181"/>
    </row>
    <row r="255" spans="1:37" ht="15" x14ac:dyDescent="0.2">
      <c r="A255" s="142" t="s">
        <v>1218</v>
      </c>
      <c r="B255" s="143" t="s">
        <v>1219</v>
      </c>
      <c r="C255" s="143" t="s">
        <v>1398</v>
      </c>
      <c r="D255" s="143" t="s">
        <v>1399</v>
      </c>
      <c r="E255" s="143" t="s">
        <v>309</v>
      </c>
      <c r="F255" s="143" t="s">
        <v>1400</v>
      </c>
      <c r="G255" s="143" t="s">
        <v>1401</v>
      </c>
      <c r="H255" s="143" t="s">
        <v>321</v>
      </c>
      <c r="I255" s="143" t="s">
        <v>951</v>
      </c>
      <c r="J255" s="143" t="s">
        <v>204</v>
      </c>
      <c r="K255" s="143" t="s">
        <v>204</v>
      </c>
      <c r="L255" s="143" t="s">
        <v>325</v>
      </c>
      <c r="M255" s="143" t="s">
        <v>340</v>
      </c>
      <c r="N255" s="143" t="s">
        <v>484</v>
      </c>
      <c r="O255" s="143" t="s">
        <v>339</v>
      </c>
      <c r="P255" s="143" t="s">
        <v>1402</v>
      </c>
      <c r="Q255" s="143" t="s">
        <v>415</v>
      </c>
      <c r="R255" s="143" t="s">
        <v>407</v>
      </c>
      <c r="S255" s="143" t="s">
        <v>1210</v>
      </c>
      <c r="T255" s="144">
        <v>2.3199999999999998</v>
      </c>
      <c r="U255" s="143" t="s">
        <v>1403</v>
      </c>
      <c r="V255" s="146">
        <v>3.6499999999999998E-2</v>
      </c>
      <c r="W255" s="146">
        <v>5.8046E-2</v>
      </c>
      <c r="X255" s="143" t="s">
        <v>412</v>
      </c>
      <c r="Y255" s="145" t="s">
        <v>3853</v>
      </c>
      <c r="Z255" s="144">
        <v>238460.93</v>
      </c>
      <c r="AA255" s="145" t="s">
        <v>3853</v>
      </c>
      <c r="AB255" s="143" t="s">
        <v>1404</v>
      </c>
      <c r="AC255" s="145" t="s">
        <v>3853</v>
      </c>
      <c r="AD255" s="144">
        <v>228.2071</v>
      </c>
      <c r="AE255" s="145" t="s">
        <v>3853</v>
      </c>
      <c r="AF255" s="145" t="s">
        <v>3853</v>
      </c>
      <c r="AG255" s="145" t="s">
        <v>3853</v>
      </c>
      <c r="AH255" s="146">
        <v>1.1865105381722223E-4</v>
      </c>
      <c r="AI255" s="146">
        <v>1.3425521417388158E-2</v>
      </c>
      <c r="AJ255" s="147">
        <v>8.0437356035312907E-4</v>
      </c>
      <c r="AK255" s="181"/>
    </row>
    <row r="256" spans="1:37" ht="15" x14ac:dyDescent="0.2">
      <c r="A256" s="142" t="s">
        <v>1218</v>
      </c>
      <c r="B256" s="143" t="s">
        <v>1219</v>
      </c>
      <c r="C256" s="143" t="s">
        <v>1362</v>
      </c>
      <c r="D256" s="143" t="s">
        <v>1363</v>
      </c>
      <c r="E256" s="143" t="s">
        <v>309</v>
      </c>
      <c r="F256" s="143" t="s">
        <v>1364</v>
      </c>
      <c r="G256" s="143" t="s">
        <v>1365</v>
      </c>
      <c r="H256" s="143" t="s">
        <v>321</v>
      </c>
      <c r="I256" s="143" t="s">
        <v>951</v>
      </c>
      <c r="J256" s="143" t="s">
        <v>204</v>
      </c>
      <c r="K256" s="143" t="s">
        <v>204</v>
      </c>
      <c r="L256" s="143" t="s">
        <v>325</v>
      </c>
      <c r="M256" s="143" t="s">
        <v>340</v>
      </c>
      <c r="N256" s="143" t="s">
        <v>440</v>
      </c>
      <c r="O256" s="143" t="s">
        <v>339</v>
      </c>
      <c r="P256" s="143" t="s">
        <v>1366</v>
      </c>
      <c r="Q256" s="143" t="s">
        <v>413</v>
      </c>
      <c r="R256" s="143" t="s">
        <v>407</v>
      </c>
      <c r="S256" s="143" t="s">
        <v>1210</v>
      </c>
      <c r="T256" s="144">
        <v>3.26</v>
      </c>
      <c r="U256" s="143" t="s">
        <v>1367</v>
      </c>
      <c r="V256" s="146">
        <v>2.5000000000000001E-2</v>
      </c>
      <c r="W256" s="146">
        <v>5.9434000000000001E-2</v>
      </c>
      <c r="X256" s="143" t="s">
        <v>412</v>
      </c>
      <c r="Y256" s="145" t="s">
        <v>3853</v>
      </c>
      <c r="Z256" s="144">
        <v>190000</v>
      </c>
      <c r="AA256" s="145" t="s">
        <v>3853</v>
      </c>
      <c r="AB256" s="143" t="s">
        <v>1368</v>
      </c>
      <c r="AC256" s="145" t="s">
        <v>3853</v>
      </c>
      <c r="AD256" s="144">
        <v>171.72200000000001</v>
      </c>
      <c r="AE256" s="145" t="s">
        <v>3853</v>
      </c>
      <c r="AF256" s="145" t="s">
        <v>3853</v>
      </c>
      <c r="AG256" s="145" t="s">
        <v>3853</v>
      </c>
      <c r="AH256" s="146">
        <v>2.3508199072131382E-4</v>
      </c>
      <c r="AI256" s="146">
        <v>1.0102478352824785E-2</v>
      </c>
      <c r="AJ256" s="147">
        <v>6.0527753287313113E-4</v>
      </c>
      <c r="AK256" s="181"/>
    </row>
    <row r="257" spans="1:37" ht="15" x14ac:dyDescent="0.2">
      <c r="A257" s="142" t="s">
        <v>1218</v>
      </c>
      <c r="B257" s="143" t="s">
        <v>1219</v>
      </c>
      <c r="C257" s="143" t="s">
        <v>1418</v>
      </c>
      <c r="D257" s="143" t="s">
        <v>1419</v>
      </c>
      <c r="E257" s="143" t="s">
        <v>309</v>
      </c>
      <c r="F257" s="143" t="s">
        <v>1420</v>
      </c>
      <c r="G257" s="143" t="s">
        <v>1421</v>
      </c>
      <c r="H257" s="143" t="s">
        <v>321</v>
      </c>
      <c r="I257" s="143" t="s">
        <v>951</v>
      </c>
      <c r="J257" s="143" t="s">
        <v>204</v>
      </c>
      <c r="K257" s="143" t="s">
        <v>204</v>
      </c>
      <c r="L257" s="143" t="s">
        <v>325</v>
      </c>
      <c r="M257" s="143" t="s">
        <v>340</v>
      </c>
      <c r="N257" s="143" t="s">
        <v>445</v>
      </c>
      <c r="O257" s="143" t="s">
        <v>339</v>
      </c>
      <c r="P257" s="143" t="s">
        <v>1377</v>
      </c>
      <c r="Q257" s="143" t="s">
        <v>415</v>
      </c>
      <c r="R257" s="143" t="s">
        <v>407</v>
      </c>
      <c r="S257" s="143" t="s">
        <v>1210</v>
      </c>
      <c r="T257" s="144">
        <v>1.2</v>
      </c>
      <c r="U257" s="143" t="s">
        <v>1422</v>
      </c>
      <c r="V257" s="146">
        <v>2.9399999999999999E-2</v>
      </c>
      <c r="W257" s="146">
        <v>4.9301999999999999E-2</v>
      </c>
      <c r="X257" s="143" t="s">
        <v>412</v>
      </c>
      <c r="Y257" s="145" t="s">
        <v>3853</v>
      </c>
      <c r="Z257" s="144">
        <v>100567.99</v>
      </c>
      <c r="AA257" s="145" t="s">
        <v>3853</v>
      </c>
      <c r="AB257" s="143" t="s">
        <v>1423</v>
      </c>
      <c r="AC257" s="145" t="s">
        <v>3853</v>
      </c>
      <c r="AD257" s="144">
        <v>100.43730000000001</v>
      </c>
      <c r="AE257" s="145" t="s">
        <v>3853</v>
      </c>
      <c r="AF257" s="145" t="s">
        <v>3853</v>
      </c>
      <c r="AG257" s="145" t="s">
        <v>3853</v>
      </c>
      <c r="AH257" s="146">
        <v>6.2689552494679212E-4</v>
      </c>
      <c r="AI257" s="146">
        <v>5.908766263131973E-3</v>
      </c>
      <c r="AJ257" s="147">
        <v>3.5401644439777403E-4</v>
      </c>
      <c r="AK257" s="181"/>
    </row>
    <row r="258" spans="1:37" ht="15" x14ac:dyDescent="0.2">
      <c r="A258" s="142" t="s">
        <v>1218</v>
      </c>
      <c r="B258" s="143" t="s">
        <v>1219</v>
      </c>
      <c r="C258" s="143" t="s">
        <v>1424</v>
      </c>
      <c r="D258" s="143" t="s">
        <v>1425</v>
      </c>
      <c r="E258" s="143" t="s">
        <v>309</v>
      </c>
      <c r="F258" s="143" t="s">
        <v>1426</v>
      </c>
      <c r="G258" s="143" t="s">
        <v>1427</v>
      </c>
      <c r="H258" s="143" t="s">
        <v>321</v>
      </c>
      <c r="I258" s="143" t="s">
        <v>951</v>
      </c>
      <c r="J258" s="143" t="s">
        <v>204</v>
      </c>
      <c r="K258" s="143" t="s">
        <v>204</v>
      </c>
      <c r="L258" s="143" t="s">
        <v>325</v>
      </c>
      <c r="M258" s="143" t="s">
        <v>340</v>
      </c>
      <c r="N258" s="143" t="s">
        <v>445</v>
      </c>
      <c r="O258" s="143" t="s">
        <v>339</v>
      </c>
      <c r="P258" s="143" t="s">
        <v>1359</v>
      </c>
      <c r="Q258" s="143" t="s">
        <v>415</v>
      </c>
      <c r="R258" s="143" t="s">
        <v>407</v>
      </c>
      <c r="S258" s="143" t="s">
        <v>1210</v>
      </c>
      <c r="T258" s="144">
        <v>3.28</v>
      </c>
      <c r="U258" s="143" t="s">
        <v>1428</v>
      </c>
      <c r="V258" s="146">
        <v>4.36E-2</v>
      </c>
      <c r="W258" s="146">
        <v>5.1854999999999998E-2</v>
      </c>
      <c r="X258" s="143" t="s">
        <v>412</v>
      </c>
      <c r="Y258" s="145" t="s">
        <v>3853</v>
      </c>
      <c r="Z258" s="144">
        <v>102740</v>
      </c>
      <c r="AA258" s="145" t="s">
        <v>3853</v>
      </c>
      <c r="AB258" s="143" t="s">
        <v>1429</v>
      </c>
      <c r="AC258" s="145" t="s">
        <v>3853</v>
      </c>
      <c r="AD258" s="144">
        <v>100.27419999999999</v>
      </c>
      <c r="AE258" s="145" t="s">
        <v>3853</v>
      </c>
      <c r="AF258" s="145" t="s">
        <v>3853</v>
      </c>
      <c r="AG258" s="145" t="s">
        <v>3853</v>
      </c>
      <c r="AH258" s="146">
        <v>3.4246666666666668E-4</v>
      </c>
      <c r="AI258" s="146">
        <v>5.8991762205539014E-3</v>
      </c>
      <c r="AJ258" s="147">
        <v>3.53441868822447E-4</v>
      </c>
      <c r="AK258" s="181"/>
    </row>
    <row r="259" spans="1:37" ht="15" x14ac:dyDescent="0.2">
      <c r="A259" s="142" t="s">
        <v>1218</v>
      </c>
      <c r="B259" s="143" t="s">
        <v>1219</v>
      </c>
      <c r="C259" s="143" t="s">
        <v>1405</v>
      </c>
      <c r="D259" s="143" t="s">
        <v>1406</v>
      </c>
      <c r="E259" s="143" t="s">
        <v>309</v>
      </c>
      <c r="F259" s="143" t="s">
        <v>1407</v>
      </c>
      <c r="G259" s="143" t="s">
        <v>1408</v>
      </c>
      <c r="H259" s="143" t="s">
        <v>321</v>
      </c>
      <c r="I259" s="143" t="s">
        <v>951</v>
      </c>
      <c r="J259" s="143" t="s">
        <v>204</v>
      </c>
      <c r="K259" s="143" t="s">
        <v>204</v>
      </c>
      <c r="L259" s="143" t="s">
        <v>325</v>
      </c>
      <c r="M259" s="143" t="s">
        <v>340</v>
      </c>
      <c r="N259" s="143" t="s">
        <v>475</v>
      </c>
      <c r="O259" s="143" t="s">
        <v>339</v>
      </c>
      <c r="P259" s="143" t="s">
        <v>1409</v>
      </c>
      <c r="Q259" s="143" t="s">
        <v>413</v>
      </c>
      <c r="R259" s="143" t="s">
        <v>407</v>
      </c>
      <c r="S259" s="143" t="s">
        <v>1210</v>
      </c>
      <c r="T259" s="144">
        <v>2.5</v>
      </c>
      <c r="U259" s="143" t="s">
        <v>1410</v>
      </c>
      <c r="V259" s="146">
        <v>5.0900000000000001E-2</v>
      </c>
      <c r="W259" s="146">
        <v>5.1853000000000003E-2</v>
      </c>
      <c r="X259" s="143" t="s">
        <v>412</v>
      </c>
      <c r="Y259" s="145" t="s">
        <v>3853</v>
      </c>
      <c r="Z259" s="144">
        <v>86113.05</v>
      </c>
      <c r="AA259" s="145" t="s">
        <v>3853</v>
      </c>
      <c r="AB259" s="143" t="s">
        <v>1411</v>
      </c>
      <c r="AC259" s="145" t="s">
        <v>3853</v>
      </c>
      <c r="AD259" s="144">
        <v>89.092600000000004</v>
      </c>
      <c r="AE259" s="145" t="s">
        <v>3853</v>
      </c>
      <c r="AF259" s="145" t="s">
        <v>3853</v>
      </c>
      <c r="AG259" s="145" t="s">
        <v>3853</v>
      </c>
      <c r="AH259" s="146">
        <v>1.3901337974228011E-4</v>
      </c>
      <c r="AI259" s="146">
        <v>5.2413533167243289E-3</v>
      </c>
      <c r="AJ259" s="147">
        <v>3.1402922071852198E-4</v>
      </c>
      <c r="AK259" s="181"/>
    </row>
    <row r="260" spans="1:37" ht="15" x14ac:dyDescent="0.2">
      <c r="A260" s="142" t="s">
        <v>1218</v>
      </c>
      <c r="B260" s="143" t="s">
        <v>1219</v>
      </c>
      <c r="C260" s="143" t="s">
        <v>1412</v>
      </c>
      <c r="D260" s="143" t="s">
        <v>1413</v>
      </c>
      <c r="E260" s="143" t="s">
        <v>309</v>
      </c>
      <c r="F260" s="143" t="s">
        <v>1414</v>
      </c>
      <c r="G260" s="143" t="s">
        <v>1415</v>
      </c>
      <c r="H260" s="143" t="s">
        <v>321</v>
      </c>
      <c r="I260" s="143" t="s">
        <v>951</v>
      </c>
      <c r="J260" s="143" t="s">
        <v>204</v>
      </c>
      <c r="K260" s="143" t="s">
        <v>204</v>
      </c>
      <c r="L260" s="143" t="s">
        <v>325</v>
      </c>
      <c r="M260" s="143" t="s">
        <v>340</v>
      </c>
      <c r="N260" s="143" t="s">
        <v>451</v>
      </c>
      <c r="O260" s="143" t="s">
        <v>339</v>
      </c>
      <c r="P260" s="143" t="s">
        <v>1396</v>
      </c>
      <c r="Q260" s="143" t="s">
        <v>413</v>
      </c>
      <c r="R260" s="143" t="s">
        <v>407</v>
      </c>
      <c r="S260" s="143" t="s">
        <v>1210</v>
      </c>
      <c r="T260" s="144">
        <v>1.46</v>
      </c>
      <c r="U260" s="143" t="s">
        <v>1416</v>
      </c>
      <c r="V260" s="146">
        <v>0.04</v>
      </c>
      <c r="W260" s="146">
        <v>4.9484E-2</v>
      </c>
      <c r="X260" s="143" t="s">
        <v>412</v>
      </c>
      <c r="Y260" s="145" t="s">
        <v>3853</v>
      </c>
      <c r="Z260" s="144">
        <v>73340.19</v>
      </c>
      <c r="AA260" s="145" t="s">
        <v>3853</v>
      </c>
      <c r="AB260" s="143" t="s">
        <v>1417</v>
      </c>
      <c r="AC260" s="145" t="s">
        <v>3853</v>
      </c>
      <c r="AD260" s="144">
        <v>72.430800000000005</v>
      </c>
      <c r="AE260" s="145" t="s">
        <v>3853</v>
      </c>
      <c r="AF260" s="145" t="s">
        <v>3853</v>
      </c>
      <c r="AG260" s="145" t="s">
        <v>3853</v>
      </c>
      <c r="AH260" s="146">
        <v>5.5662901544862372E-4</v>
      </c>
      <c r="AI260" s="146">
        <v>4.2611331257026196E-3</v>
      </c>
      <c r="AJ260" s="147">
        <v>2.553005367092013E-4</v>
      </c>
      <c r="AK260" s="181"/>
    </row>
    <row r="261" spans="1:37" ht="15" x14ac:dyDescent="0.2">
      <c r="A261" s="142" t="s">
        <v>1218</v>
      </c>
      <c r="B261" s="143" t="s">
        <v>1219</v>
      </c>
      <c r="C261" s="143" t="s">
        <v>1436</v>
      </c>
      <c r="D261" s="143" t="s">
        <v>1437</v>
      </c>
      <c r="E261" s="143" t="s">
        <v>309</v>
      </c>
      <c r="F261" s="143" t="s">
        <v>1438</v>
      </c>
      <c r="G261" s="143" t="s">
        <v>1439</v>
      </c>
      <c r="H261" s="143" t="s">
        <v>321</v>
      </c>
      <c r="I261" s="143" t="s">
        <v>951</v>
      </c>
      <c r="J261" s="143" t="s">
        <v>204</v>
      </c>
      <c r="K261" s="143" t="s">
        <v>204</v>
      </c>
      <c r="L261" s="143" t="s">
        <v>325</v>
      </c>
      <c r="M261" s="143" t="s">
        <v>340</v>
      </c>
      <c r="N261" s="143" t="s">
        <v>465</v>
      </c>
      <c r="O261" s="143" t="s">
        <v>339</v>
      </c>
      <c r="P261" s="143" t="s">
        <v>1440</v>
      </c>
      <c r="Q261" s="143" t="s">
        <v>415</v>
      </c>
      <c r="R261" s="143" t="s">
        <v>407</v>
      </c>
      <c r="S261" s="143" t="s">
        <v>1210</v>
      </c>
      <c r="T261" s="144">
        <v>0.61</v>
      </c>
      <c r="U261" s="143" t="s">
        <v>1441</v>
      </c>
      <c r="V261" s="146">
        <v>3.5000000000000003E-2</v>
      </c>
      <c r="W261" s="146">
        <v>5.5946000000000003E-2</v>
      </c>
      <c r="X261" s="143" t="s">
        <v>412</v>
      </c>
      <c r="Y261" s="145" t="s">
        <v>3853</v>
      </c>
      <c r="Z261" s="144">
        <v>38015.620000000003</v>
      </c>
      <c r="AA261" s="145" t="s">
        <v>3853</v>
      </c>
      <c r="AB261" s="143" t="s">
        <v>1442</v>
      </c>
      <c r="AC261" s="145" t="s">
        <v>3853</v>
      </c>
      <c r="AD261" s="144">
        <v>38.057400000000001</v>
      </c>
      <c r="AE261" s="145" t="s">
        <v>3853</v>
      </c>
      <c r="AF261" s="145" t="s">
        <v>3853</v>
      </c>
      <c r="AG261" s="145" t="s">
        <v>3853</v>
      </c>
      <c r="AH261" s="146">
        <v>2.643829195354336E-4</v>
      </c>
      <c r="AI261" s="146">
        <v>2.2389352284223575E-3</v>
      </c>
      <c r="AJ261" s="147">
        <v>1.3414304331998888E-4</v>
      </c>
      <c r="AK261" s="181"/>
    </row>
    <row r="262" spans="1:37" ht="15" x14ac:dyDescent="0.2">
      <c r="A262" s="142" t="s">
        <v>1218</v>
      </c>
      <c r="B262" s="143" t="s">
        <v>1219</v>
      </c>
      <c r="C262" s="143" t="s">
        <v>1392</v>
      </c>
      <c r="D262" s="143" t="s">
        <v>1393</v>
      </c>
      <c r="E262" s="143" t="s">
        <v>309</v>
      </c>
      <c r="F262" s="143" t="s">
        <v>1394</v>
      </c>
      <c r="G262" s="143" t="s">
        <v>1395</v>
      </c>
      <c r="H262" s="143" t="s">
        <v>321</v>
      </c>
      <c r="I262" s="143" t="s">
        <v>951</v>
      </c>
      <c r="J262" s="143" t="s">
        <v>204</v>
      </c>
      <c r="K262" s="143" t="s">
        <v>204</v>
      </c>
      <c r="L262" s="143" t="s">
        <v>325</v>
      </c>
      <c r="M262" s="143" t="s">
        <v>340</v>
      </c>
      <c r="N262" s="143" t="s">
        <v>463</v>
      </c>
      <c r="O262" s="143" t="s">
        <v>339</v>
      </c>
      <c r="P262" s="143" t="s">
        <v>1396</v>
      </c>
      <c r="Q262" s="143" t="s">
        <v>413</v>
      </c>
      <c r="R262" s="143" t="s">
        <v>407</v>
      </c>
      <c r="S262" s="143" t="s">
        <v>1210</v>
      </c>
      <c r="T262" s="144">
        <v>0.73</v>
      </c>
      <c r="U262" s="143" t="s">
        <v>1397</v>
      </c>
      <c r="V262" s="146">
        <v>3.3500000000000002E-2</v>
      </c>
      <c r="W262" s="146">
        <v>5.6055000000000001E-2</v>
      </c>
      <c r="X262" s="143" t="s">
        <v>412</v>
      </c>
      <c r="Y262" s="145" t="s">
        <v>3853</v>
      </c>
      <c r="Z262" s="144">
        <v>21732.69</v>
      </c>
      <c r="AA262" s="145" t="s">
        <v>3853</v>
      </c>
      <c r="AB262" s="143" t="s">
        <v>1379</v>
      </c>
      <c r="AC262" s="145" t="s">
        <v>3853</v>
      </c>
      <c r="AD262" s="144">
        <v>21.574000000000002</v>
      </c>
      <c r="AE262" s="145" t="s">
        <v>3853</v>
      </c>
      <c r="AF262" s="145" t="s">
        <v>3853</v>
      </c>
      <c r="AG262" s="145" t="s">
        <v>3853</v>
      </c>
      <c r="AH262" s="146">
        <v>1.5813137031194519E-4</v>
      </c>
      <c r="AI262" s="146">
        <v>1.2692100362950234E-3</v>
      </c>
      <c r="AJ262" s="147">
        <v>7.6043154227760707E-5</v>
      </c>
      <c r="AK262" s="181"/>
    </row>
    <row r="263" spans="1:37" ht="15" x14ac:dyDescent="0.2">
      <c r="A263" s="142" t="s">
        <v>1218</v>
      </c>
      <c r="B263" s="143" t="s">
        <v>1219</v>
      </c>
      <c r="C263" s="143" t="s">
        <v>1672</v>
      </c>
      <c r="D263" s="143" t="s">
        <v>1673</v>
      </c>
      <c r="E263" s="143" t="s">
        <v>309</v>
      </c>
      <c r="F263" s="143" t="s">
        <v>1674</v>
      </c>
      <c r="G263" s="143" t="s">
        <v>1675</v>
      </c>
      <c r="H263" s="143" t="s">
        <v>321</v>
      </c>
      <c r="I263" s="143" t="s">
        <v>951</v>
      </c>
      <c r="J263" s="143" t="s">
        <v>204</v>
      </c>
      <c r="K263" s="143" t="s">
        <v>204</v>
      </c>
      <c r="L263" s="143" t="s">
        <v>325</v>
      </c>
      <c r="M263" s="143" t="s">
        <v>340</v>
      </c>
      <c r="N263" s="143" t="s">
        <v>447</v>
      </c>
      <c r="O263" s="143" t="s">
        <v>339</v>
      </c>
      <c r="P263" s="143" t="s">
        <v>1402</v>
      </c>
      <c r="Q263" s="143" t="s">
        <v>415</v>
      </c>
      <c r="R263" s="143" t="s">
        <v>407</v>
      </c>
      <c r="S263" s="143" t="s">
        <v>1210</v>
      </c>
      <c r="T263" s="144">
        <v>2.4900000000000002</v>
      </c>
      <c r="U263" s="143" t="s">
        <v>1428</v>
      </c>
      <c r="V263" s="146">
        <v>4.53E-2</v>
      </c>
      <c r="W263" s="146">
        <v>6.2630000000000005E-2</v>
      </c>
      <c r="X263" s="143" t="s">
        <v>412</v>
      </c>
      <c r="Y263" s="145" t="s">
        <v>3853</v>
      </c>
      <c r="Z263" s="144">
        <v>18267</v>
      </c>
      <c r="AA263" s="145" t="s">
        <v>3853</v>
      </c>
      <c r="AB263" s="143" t="s">
        <v>1676</v>
      </c>
      <c r="AC263" s="145" t="s">
        <v>3853</v>
      </c>
      <c r="AD263" s="144">
        <v>17.554599999999997</v>
      </c>
      <c r="AE263" s="145" t="s">
        <v>3853</v>
      </c>
      <c r="AF263" s="145" t="s">
        <v>3853</v>
      </c>
      <c r="AG263" s="145" t="s">
        <v>3853</v>
      </c>
      <c r="AH263" s="146">
        <v>2.6095714285714286E-5</v>
      </c>
      <c r="AI263" s="146">
        <v>1.0327438252540698E-3</v>
      </c>
      <c r="AJ263" s="147">
        <v>6.1875572786053857E-5</v>
      </c>
      <c r="AK263" s="181"/>
    </row>
    <row r="264" spans="1:37" ht="15" x14ac:dyDescent="0.2">
      <c r="A264" s="142" t="s">
        <v>1218</v>
      </c>
      <c r="B264" s="143" t="s">
        <v>1219</v>
      </c>
      <c r="C264" s="143" t="s">
        <v>1424</v>
      </c>
      <c r="D264" s="143" t="s">
        <v>1425</v>
      </c>
      <c r="E264" s="143" t="s">
        <v>309</v>
      </c>
      <c r="F264" s="143" t="s">
        <v>1443</v>
      </c>
      <c r="G264" s="143" t="s">
        <v>1444</v>
      </c>
      <c r="H264" s="143" t="s">
        <v>321</v>
      </c>
      <c r="I264" s="143" t="s">
        <v>951</v>
      </c>
      <c r="J264" s="143" t="s">
        <v>204</v>
      </c>
      <c r="K264" s="143" t="s">
        <v>204</v>
      </c>
      <c r="L264" s="143" t="s">
        <v>325</v>
      </c>
      <c r="M264" s="143" t="s">
        <v>340</v>
      </c>
      <c r="N264" s="143" t="s">
        <v>445</v>
      </c>
      <c r="O264" s="143" t="s">
        <v>339</v>
      </c>
      <c r="P264" s="143" t="s">
        <v>1359</v>
      </c>
      <c r="Q264" s="143" t="s">
        <v>415</v>
      </c>
      <c r="R264" s="143" t="s">
        <v>407</v>
      </c>
      <c r="S264" s="143" t="s">
        <v>1210</v>
      </c>
      <c r="T264" s="144">
        <v>4.97</v>
      </c>
      <c r="U264" s="143" t="s">
        <v>1445</v>
      </c>
      <c r="V264" s="146">
        <v>3.95E-2</v>
      </c>
      <c r="W264" s="146">
        <v>5.5541E-2</v>
      </c>
      <c r="X264" s="143" t="s">
        <v>412</v>
      </c>
      <c r="Y264" s="145" t="s">
        <v>3853</v>
      </c>
      <c r="Z264" s="144">
        <v>18313</v>
      </c>
      <c r="AA264" s="145" t="s">
        <v>3853</v>
      </c>
      <c r="AB264" s="143" t="s">
        <v>1446</v>
      </c>
      <c r="AC264" s="145" t="s">
        <v>3853</v>
      </c>
      <c r="AD264" s="144">
        <v>16.998099999999997</v>
      </c>
      <c r="AE264" s="145" t="s">
        <v>3853</v>
      </c>
      <c r="AF264" s="145" t="s">
        <v>3853</v>
      </c>
      <c r="AG264" s="145" t="s">
        <v>3853</v>
      </c>
      <c r="AH264" s="146">
        <v>7.6300996042360296E-5</v>
      </c>
      <c r="AI264" s="146">
        <v>1.000007023066789E-3</v>
      </c>
      <c r="AJ264" s="147">
        <v>5.9914187651629637E-5</v>
      </c>
      <c r="AK264" s="181"/>
    </row>
    <row r="265" spans="1:37" ht="15" x14ac:dyDescent="0.2">
      <c r="A265" s="142" t="s">
        <v>1218</v>
      </c>
      <c r="B265" s="143" t="s">
        <v>1219</v>
      </c>
      <c r="C265" s="143" t="s">
        <v>1386</v>
      </c>
      <c r="D265" s="143" t="s">
        <v>1387</v>
      </c>
      <c r="E265" s="143" t="s">
        <v>309</v>
      </c>
      <c r="F265" s="143" t="s">
        <v>1388</v>
      </c>
      <c r="G265" s="143" t="s">
        <v>1389</v>
      </c>
      <c r="H265" s="143" t="s">
        <v>321</v>
      </c>
      <c r="I265" s="143" t="s">
        <v>951</v>
      </c>
      <c r="J265" s="143" t="s">
        <v>204</v>
      </c>
      <c r="K265" s="143" t="s">
        <v>204</v>
      </c>
      <c r="L265" s="143" t="s">
        <v>325</v>
      </c>
      <c r="M265" s="143" t="s">
        <v>340</v>
      </c>
      <c r="N265" s="143" t="s">
        <v>464</v>
      </c>
      <c r="O265" s="143" t="s">
        <v>339</v>
      </c>
      <c r="P265" s="143" t="s">
        <v>1359</v>
      </c>
      <c r="Q265" s="143" t="s">
        <v>415</v>
      </c>
      <c r="R265" s="143" t="s">
        <v>407</v>
      </c>
      <c r="S265" s="143" t="s">
        <v>1210</v>
      </c>
      <c r="T265" s="144">
        <v>1.6</v>
      </c>
      <c r="U265" s="143" t="s">
        <v>1390</v>
      </c>
      <c r="V265" s="146">
        <v>3.85E-2</v>
      </c>
      <c r="W265" s="146">
        <v>5.5798E-2</v>
      </c>
      <c r="X265" s="143" t="s">
        <v>412</v>
      </c>
      <c r="Y265" s="145" t="s">
        <v>3853</v>
      </c>
      <c r="Z265" s="144">
        <v>13450.05</v>
      </c>
      <c r="AA265" s="145" t="s">
        <v>3853</v>
      </c>
      <c r="AB265" s="143" t="s">
        <v>1391</v>
      </c>
      <c r="AC265" s="145" t="s">
        <v>3853</v>
      </c>
      <c r="AD265" s="144">
        <v>13.267100000000001</v>
      </c>
      <c r="AE265" s="145" t="s">
        <v>3853</v>
      </c>
      <c r="AF265" s="145" t="s">
        <v>3853</v>
      </c>
      <c r="AG265" s="145" t="s">
        <v>3853</v>
      </c>
      <c r="AH265" s="146">
        <v>1.8713451903410815E-5</v>
      </c>
      <c r="AI265" s="146">
        <v>7.8051086499940023E-4</v>
      </c>
      <c r="AJ265" s="147">
        <v>4.6763346007607541E-5</v>
      </c>
      <c r="AK265" s="181"/>
    </row>
    <row r="266" spans="1:37" ht="15" x14ac:dyDescent="0.2">
      <c r="A266" s="142" t="s">
        <v>1218</v>
      </c>
      <c r="B266" s="143" t="s">
        <v>1219</v>
      </c>
      <c r="C266" s="143" t="s">
        <v>1424</v>
      </c>
      <c r="D266" s="143" t="s">
        <v>1425</v>
      </c>
      <c r="E266" s="143" t="s">
        <v>309</v>
      </c>
      <c r="F266" s="143" t="s">
        <v>1447</v>
      </c>
      <c r="G266" s="143" t="s">
        <v>1448</v>
      </c>
      <c r="H266" s="143" t="s">
        <v>321</v>
      </c>
      <c r="I266" s="143" t="s">
        <v>951</v>
      </c>
      <c r="J266" s="143" t="s">
        <v>204</v>
      </c>
      <c r="K266" s="143" t="s">
        <v>204</v>
      </c>
      <c r="L266" s="143" t="s">
        <v>325</v>
      </c>
      <c r="M266" s="143" t="s">
        <v>340</v>
      </c>
      <c r="N266" s="143" t="s">
        <v>445</v>
      </c>
      <c r="O266" s="143" t="s">
        <v>339</v>
      </c>
      <c r="P266" s="143" t="s">
        <v>1359</v>
      </c>
      <c r="Q266" s="143" t="s">
        <v>415</v>
      </c>
      <c r="R266" s="143" t="s">
        <v>407</v>
      </c>
      <c r="S266" s="143" t="s">
        <v>1210</v>
      </c>
      <c r="T266" s="144">
        <v>4.16</v>
      </c>
      <c r="U266" s="143" t="s">
        <v>1449</v>
      </c>
      <c r="V266" s="146">
        <v>3.95E-2</v>
      </c>
      <c r="W266" s="146">
        <v>5.3097999999999999E-2</v>
      </c>
      <c r="X266" s="143" t="s">
        <v>412</v>
      </c>
      <c r="Y266" s="145" t="s">
        <v>3853</v>
      </c>
      <c r="Z266" s="144">
        <v>13212</v>
      </c>
      <c r="AA266" s="145" t="s">
        <v>3853</v>
      </c>
      <c r="AB266" s="143" t="s">
        <v>1450</v>
      </c>
      <c r="AC266" s="145" t="s">
        <v>3853</v>
      </c>
      <c r="AD266" s="144">
        <v>12.535500000000001</v>
      </c>
      <c r="AE266" s="145" t="s">
        <v>3853</v>
      </c>
      <c r="AF266" s="145" t="s">
        <v>3853</v>
      </c>
      <c r="AG266" s="145" t="s">
        <v>3853</v>
      </c>
      <c r="AH266" s="146">
        <v>5.5047712538178569E-5</v>
      </c>
      <c r="AI266" s="146">
        <v>7.3747148335593564E-4</v>
      </c>
      <c r="AJ266" s="147">
        <v>4.4184694529452453E-5</v>
      </c>
      <c r="AK266" s="181"/>
    </row>
    <row r="267" spans="1:37" ht="15" x14ac:dyDescent="0.2">
      <c r="A267" s="142" t="s">
        <v>1218</v>
      </c>
      <c r="B267" s="143" t="s">
        <v>1219</v>
      </c>
      <c r="C267" s="143" t="s">
        <v>1451</v>
      </c>
      <c r="D267" s="143" t="s">
        <v>1452</v>
      </c>
      <c r="E267" s="143" t="s">
        <v>309</v>
      </c>
      <c r="F267" s="143" t="s">
        <v>1453</v>
      </c>
      <c r="G267" s="143" t="s">
        <v>1454</v>
      </c>
      <c r="H267" s="143" t="s">
        <v>321</v>
      </c>
      <c r="I267" s="143" t="s">
        <v>951</v>
      </c>
      <c r="J267" s="143" t="s">
        <v>204</v>
      </c>
      <c r="K267" s="143" t="s">
        <v>204</v>
      </c>
      <c r="L267" s="143" t="s">
        <v>325</v>
      </c>
      <c r="M267" s="143" t="s">
        <v>340</v>
      </c>
      <c r="N267" s="143" t="s">
        <v>464</v>
      </c>
      <c r="O267" s="143" t="s">
        <v>339</v>
      </c>
      <c r="P267" s="143" t="s">
        <v>1409</v>
      </c>
      <c r="Q267" s="143" t="s">
        <v>413</v>
      </c>
      <c r="R267" s="143" t="s">
        <v>407</v>
      </c>
      <c r="S267" s="143" t="s">
        <v>1210</v>
      </c>
      <c r="T267" s="144">
        <v>5.38</v>
      </c>
      <c r="U267" s="143" t="s">
        <v>1455</v>
      </c>
      <c r="V267" s="146">
        <v>2.5499999999999998E-2</v>
      </c>
      <c r="W267" s="146">
        <v>6.1415999999999998E-2</v>
      </c>
      <c r="X267" s="143" t="s">
        <v>412</v>
      </c>
      <c r="Y267" s="145" t="s">
        <v>3853</v>
      </c>
      <c r="Z267" s="144">
        <v>7204.6</v>
      </c>
      <c r="AA267" s="145" t="s">
        <v>3853</v>
      </c>
      <c r="AB267" s="143" t="s">
        <v>1456</v>
      </c>
      <c r="AC267" s="145" t="s">
        <v>3853</v>
      </c>
      <c r="AD267" s="144">
        <v>5.9668000000000001</v>
      </c>
      <c r="AE267" s="145" t="s">
        <v>3853</v>
      </c>
      <c r="AF267" s="145" t="s">
        <v>3853</v>
      </c>
      <c r="AG267" s="145" t="s">
        <v>3853</v>
      </c>
      <c r="AH267" s="146">
        <v>4.1551051991046494E-6</v>
      </c>
      <c r="AI267" s="146">
        <v>3.5103230879478822E-4</v>
      </c>
      <c r="AJ267" s="147">
        <v>2.1031667914107298E-5</v>
      </c>
      <c r="AK267" s="181"/>
    </row>
    <row r="268" spans="1:37" ht="15" x14ac:dyDescent="0.2">
      <c r="A268" s="142" t="s">
        <v>1218</v>
      </c>
      <c r="B268" s="143" t="s">
        <v>1219</v>
      </c>
      <c r="C268" s="143" t="s">
        <v>1430</v>
      </c>
      <c r="D268" s="143" t="s">
        <v>1431</v>
      </c>
      <c r="E268" s="143" t="s">
        <v>309</v>
      </c>
      <c r="F268" s="143" t="s">
        <v>1432</v>
      </c>
      <c r="G268" s="143" t="s">
        <v>1433</v>
      </c>
      <c r="H268" s="143" t="s">
        <v>321</v>
      </c>
      <c r="I268" s="143" t="s">
        <v>951</v>
      </c>
      <c r="J268" s="143" t="s">
        <v>204</v>
      </c>
      <c r="K268" s="143" t="s">
        <v>204</v>
      </c>
      <c r="L268" s="143" t="s">
        <v>325</v>
      </c>
      <c r="M268" s="143" t="s">
        <v>340</v>
      </c>
      <c r="N268" s="143" t="s">
        <v>484</v>
      </c>
      <c r="O268" s="143" t="s">
        <v>339</v>
      </c>
      <c r="P268" s="143" t="s">
        <v>1396</v>
      </c>
      <c r="Q268" s="143" t="s">
        <v>413</v>
      </c>
      <c r="R268" s="143" t="s">
        <v>407</v>
      </c>
      <c r="S268" s="143" t="s">
        <v>1210</v>
      </c>
      <c r="T268" s="144">
        <v>1</v>
      </c>
      <c r="U268" s="143" t="s">
        <v>1434</v>
      </c>
      <c r="V268" s="146">
        <v>4.1399999999999999E-2</v>
      </c>
      <c r="W268" s="146">
        <v>5.1020999999999997E-2</v>
      </c>
      <c r="X268" s="143" t="s">
        <v>412</v>
      </c>
      <c r="Y268" s="145" t="s">
        <v>3853</v>
      </c>
      <c r="Z268" s="144">
        <v>2007.88</v>
      </c>
      <c r="AA268" s="145" t="s">
        <v>3853</v>
      </c>
      <c r="AB268" s="143" t="s">
        <v>1435</v>
      </c>
      <c r="AC268" s="144">
        <v>2.0910000000000002</v>
      </c>
      <c r="AD268" s="144">
        <v>4.0804</v>
      </c>
      <c r="AE268" s="145" t="s">
        <v>3853</v>
      </c>
      <c r="AF268" s="145" t="s">
        <v>3853</v>
      </c>
      <c r="AG268" s="145" t="s">
        <v>3853</v>
      </c>
      <c r="AH268" s="146">
        <v>1.7838088334180026E-5</v>
      </c>
      <c r="AI268" s="146">
        <v>3.6306770690527418E-4</v>
      </c>
      <c r="AJ268" s="147">
        <v>2.1752753950725624E-5</v>
      </c>
      <c r="AK268" s="181"/>
    </row>
    <row r="269" spans="1:37" ht="15" x14ac:dyDescent="0.2">
      <c r="A269" s="142" t="s">
        <v>1218</v>
      </c>
      <c r="B269" s="143" t="s">
        <v>1219</v>
      </c>
      <c r="C269" s="143" t="s">
        <v>1349</v>
      </c>
      <c r="D269" s="143" t="s">
        <v>1350</v>
      </c>
      <c r="E269" s="143" t="s">
        <v>309</v>
      </c>
      <c r="F269" s="143" t="s">
        <v>1463</v>
      </c>
      <c r="G269" s="143" t="s">
        <v>1464</v>
      </c>
      <c r="H269" s="143" t="s">
        <v>321</v>
      </c>
      <c r="I269" s="143" t="s">
        <v>754</v>
      </c>
      <c r="J269" s="143" t="s">
        <v>204</v>
      </c>
      <c r="K269" s="143" t="s">
        <v>204</v>
      </c>
      <c r="L269" s="143" t="s">
        <v>325</v>
      </c>
      <c r="M269" s="143" t="s">
        <v>340</v>
      </c>
      <c r="N269" s="143" t="s">
        <v>448</v>
      </c>
      <c r="O269" s="143" t="s">
        <v>339</v>
      </c>
      <c r="P269" s="143" t="s">
        <v>1222</v>
      </c>
      <c r="Q269" s="143" t="s">
        <v>413</v>
      </c>
      <c r="R269" s="143" t="s">
        <v>407</v>
      </c>
      <c r="S269" s="143" t="s">
        <v>1210</v>
      </c>
      <c r="T269" s="144">
        <v>0.24</v>
      </c>
      <c r="U269" s="143" t="s">
        <v>1465</v>
      </c>
      <c r="V269" s="146">
        <v>8.6E-3</v>
      </c>
      <c r="W269" s="146">
        <v>2.5704999999999999E-2</v>
      </c>
      <c r="X269" s="143" t="s">
        <v>412</v>
      </c>
      <c r="Y269" s="145" t="s">
        <v>3853</v>
      </c>
      <c r="Z269" s="144">
        <v>772486</v>
      </c>
      <c r="AA269" s="145" t="s">
        <v>3853</v>
      </c>
      <c r="AB269" s="143" t="s">
        <v>1466</v>
      </c>
      <c r="AC269" s="145" t="s">
        <v>3853</v>
      </c>
      <c r="AD269" s="144">
        <v>887.8954</v>
      </c>
      <c r="AE269" s="145" t="s">
        <v>3853</v>
      </c>
      <c r="AF269" s="145" t="s">
        <v>3853</v>
      </c>
      <c r="AG269" s="145" t="s">
        <v>3853</v>
      </c>
      <c r="AH269" s="146">
        <v>3.0882750961380468E-4</v>
      </c>
      <c r="AI269" s="146">
        <v>5.2235264805520092E-2</v>
      </c>
      <c r="AJ269" s="147">
        <v>3.1296114781200614E-3</v>
      </c>
      <c r="AK269" s="181"/>
    </row>
    <row r="270" spans="1:37" ht="15" x14ac:dyDescent="0.2">
      <c r="A270" s="142" t="s">
        <v>1218</v>
      </c>
      <c r="B270" s="143" t="s">
        <v>1219</v>
      </c>
      <c r="C270" s="143" t="s">
        <v>1349</v>
      </c>
      <c r="D270" s="143" t="s">
        <v>1350</v>
      </c>
      <c r="E270" s="143" t="s">
        <v>309</v>
      </c>
      <c r="F270" s="143" t="s">
        <v>1473</v>
      </c>
      <c r="G270" s="143" t="s">
        <v>1474</v>
      </c>
      <c r="H270" s="143" t="s">
        <v>321</v>
      </c>
      <c r="I270" s="143" t="s">
        <v>754</v>
      </c>
      <c r="J270" s="143" t="s">
        <v>204</v>
      </c>
      <c r="K270" s="143" t="s">
        <v>204</v>
      </c>
      <c r="L270" s="143" t="s">
        <v>325</v>
      </c>
      <c r="M270" s="143" t="s">
        <v>340</v>
      </c>
      <c r="N270" s="143" t="s">
        <v>448</v>
      </c>
      <c r="O270" s="143" t="s">
        <v>339</v>
      </c>
      <c r="P270" s="143" t="s">
        <v>1222</v>
      </c>
      <c r="Q270" s="143" t="s">
        <v>413</v>
      </c>
      <c r="R270" s="143" t="s">
        <v>407</v>
      </c>
      <c r="S270" s="143" t="s">
        <v>1210</v>
      </c>
      <c r="T270" s="144">
        <v>1.97</v>
      </c>
      <c r="U270" s="143" t="s">
        <v>1475</v>
      </c>
      <c r="V270" s="146">
        <v>3.8E-3</v>
      </c>
      <c r="W270" s="146">
        <v>2.2020999999999999E-2</v>
      </c>
      <c r="X270" s="143" t="s">
        <v>412</v>
      </c>
      <c r="Y270" s="145" t="s">
        <v>3853</v>
      </c>
      <c r="Z270" s="144">
        <v>734516</v>
      </c>
      <c r="AA270" s="145" t="s">
        <v>3853</v>
      </c>
      <c r="AB270" s="143" t="s">
        <v>1476</v>
      </c>
      <c r="AC270" s="145" t="s">
        <v>3853</v>
      </c>
      <c r="AD270" s="144">
        <v>793.05690000000004</v>
      </c>
      <c r="AE270" s="145" t="s">
        <v>3853</v>
      </c>
      <c r="AF270" s="145" t="s">
        <v>3853</v>
      </c>
      <c r="AG270" s="145" t="s">
        <v>3853</v>
      </c>
      <c r="AH270" s="146">
        <v>2.4483866666666668E-4</v>
      </c>
      <c r="AI270" s="146">
        <v>4.6655876471219666E-2</v>
      </c>
      <c r="AJ270" s="147">
        <v>2.7953293061634926E-3</v>
      </c>
      <c r="AK270" s="181"/>
    </row>
    <row r="271" spans="1:37" ht="15" x14ac:dyDescent="0.2">
      <c r="A271" s="142" t="s">
        <v>1218</v>
      </c>
      <c r="B271" s="143" t="s">
        <v>1219</v>
      </c>
      <c r="C271" s="143" t="s">
        <v>1568</v>
      </c>
      <c r="D271" s="143" t="s">
        <v>1569</v>
      </c>
      <c r="E271" s="143" t="s">
        <v>309</v>
      </c>
      <c r="F271" s="143" t="s">
        <v>1601</v>
      </c>
      <c r="G271" s="143" t="s">
        <v>1602</v>
      </c>
      <c r="H271" s="143" t="s">
        <v>321</v>
      </c>
      <c r="I271" s="143" t="s">
        <v>754</v>
      </c>
      <c r="J271" s="143" t="s">
        <v>204</v>
      </c>
      <c r="K271" s="143" t="s">
        <v>204</v>
      </c>
      <c r="L271" s="143" t="s">
        <v>325</v>
      </c>
      <c r="M271" s="143" t="s">
        <v>340</v>
      </c>
      <c r="N271" s="143" t="s">
        <v>448</v>
      </c>
      <c r="O271" s="143" t="s">
        <v>339</v>
      </c>
      <c r="P271" s="143" t="s">
        <v>1222</v>
      </c>
      <c r="Q271" s="143" t="s">
        <v>413</v>
      </c>
      <c r="R271" s="143" t="s">
        <v>407</v>
      </c>
      <c r="S271" s="143" t="s">
        <v>1210</v>
      </c>
      <c r="T271" s="144">
        <v>3.26</v>
      </c>
      <c r="U271" s="143" t="s">
        <v>1603</v>
      </c>
      <c r="V271" s="146">
        <v>1.7500000000000002E-2</v>
      </c>
      <c r="W271" s="146">
        <v>2.4340000000000001E-2</v>
      </c>
      <c r="X271" s="143" t="s">
        <v>412</v>
      </c>
      <c r="Y271" s="145" t="s">
        <v>3853</v>
      </c>
      <c r="Z271" s="144">
        <v>602731.31000000006</v>
      </c>
      <c r="AA271" s="145" t="s">
        <v>3853</v>
      </c>
      <c r="AB271" s="143" t="s">
        <v>1604</v>
      </c>
      <c r="AC271" s="145" t="s">
        <v>3853</v>
      </c>
      <c r="AD271" s="144">
        <v>672.10569999999996</v>
      </c>
      <c r="AE271" s="145" t="s">
        <v>3853</v>
      </c>
      <c r="AF271" s="145" t="s">
        <v>3853</v>
      </c>
      <c r="AG271" s="145" t="s">
        <v>3853</v>
      </c>
      <c r="AH271" s="146">
        <v>2.317849793492119E-4</v>
      </c>
      <c r="AI271" s="146">
        <v>3.954026345609795E-2</v>
      </c>
      <c r="AJ271" s="147">
        <v>2.3690061268152743E-3</v>
      </c>
      <c r="AK271" s="181"/>
    </row>
    <row r="272" spans="1:37" ht="15" x14ac:dyDescent="0.2">
      <c r="A272" s="142" t="s">
        <v>1218</v>
      </c>
      <c r="B272" s="143" t="s">
        <v>1219</v>
      </c>
      <c r="C272" s="143" t="s">
        <v>1481</v>
      </c>
      <c r="D272" s="143" t="s">
        <v>1482</v>
      </c>
      <c r="E272" s="143" t="s">
        <v>309</v>
      </c>
      <c r="F272" s="143" t="s">
        <v>1483</v>
      </c>
      <c r="G272" s="143" t="s">
        <v>1484</v>
      </c>
      <c r="H272" s="143" t="s">
        <v>321</v>
      </c>
      <c r="I272" s="143" t="s">
        <v>754</v>
      </c>
      <c r="J272" s="143" t="s">
        <v>204</v>
      </c>
      <c r="K272" s="143" t="s">
        <v>204</v>
      </c>
      <c r="L272" s="143" t="s">
        <v>325</v>
      </c>
      <c r="M272" s="143" t="s">
        <v>340</v>
      </c>
      <c r="N272" s="143" t="s">
        <v>448</v>
      </c>
      <c r="O272" s="143" t="s">
        <v>339</v>
      </c>
      <c r="P272" s="143" t="s">
        <v>1222</v>
      </c>
      <c r="Q272" s="143" t="s">
        <v>413</v>
      </c>
      <c r="R272" s="143" t="s">
        <v>407</v>
      </c>
      <c r="S272" s="143" t="s">
        <v>1210</v>
      </c>
      <c r="T272" s="144">
        <v>5.39</v>
      </c>
      <c r="U272" s="143" t="s">
        <v>1485</v>
      </c>
      <c r="V272" s="146">
        <v>1E-3</v>
      </c>
      <c r="W272" s="146">
        <v>2.5815000000000001E-2</v>
      </c>
      <c r="X272" s="143" t="s">
        <v>412</v>
      </c>
      <c r="Y272" s="145" t="s">
        <v>3853</v>
      </c>
      <c r="Z272" s="144">
        <v>660000</v>
      </c>
      <c r="AA272" s="145" t="s">
        <v>3853</v>
      </c>
      <c r="AB272" s="143" t="s">
        <v>1486</v>
      </c>
      <c r="AC272" s="145" t="s">
        <v>3853</v>
      </c>
      <c r="AD272" s="144">
        <v>641.05799999999999</v>
      </c>
      <c r="AE272" s="145" t="s">
        <v>3853</v>
      </c>
      <c r="AF272" s="145" t="s">
        <v>3853</v>
      </c>
      <c r="AG272" s="145" t="s">
        <v>3853</v>
      </c>
      <c r="AH272" s="146">
        <v>2.653980105604281E-4</v>
      </c>
      <c r="AI272" s="146">
        <v>3.7713715003931648E-2</v>
      </c>
      <c r="AJ272" s="147">
        <v>2.2595707286694991E-3</v>
      </c>
      <c r="AK272" s="181"/>
    </row>
    <row r="273" spans="1:37" ht="15" x14ac:dyDescent="0.2">
      <c r="A273" s="142" t="s">
        <v>1218</v>
      </c>
      <c r="B273" s="143" t="s">
        <v>1219</v>
      </c>
      <c r="C273" s="143" t="s">
        <v>1349</v>
      </c>
      <c r="D273" s="143" t="s">
        <v>1350</v>
      </c>
      <c r="E273" s="143" t="s">
        <v>309</v>
      </c>
      <c r="F273" s="143" t="s">
        <v>1650</v>
      </c>
      <c r="G273" s="143" t="s">
        <v>1651</v>
      </c>
      <c r="H273" s="143" t="s">
        <v>321</v>
      </c>
      <c r="I273" s="143" t="s">
        <v>754</v>
      </c>
      <c r="J273" s="143" t="s">
        <v>204</v>
      </c>
      <c r="K273" s="143" t="s">
        <v>204</v>
      </c>
      <c r="L273" s="143" t="s">
        <v>325</v>
      </c>
      <c r="M273" s="143" t="s">
        <v>340</v>
      </c>
      <c r="N273" s="143" t="s">
        <v>448</v>
      </c>
      <c r="O273" s="143" t="s">
        <v>339</v>
      </c>
      <c r="P273" s="143" t="s">
        <v>1209</v>
      </c>
      <c r="Q273" s="143" t="s">
        <v>415</v>
      </c>
      <c r="R273" s="143" t="s">
        <v>407</v>
      </c>
      <c r="S273" s="143" t="s">
        <v>1210</v>
      </c>
      <c r="T273" s="144">
        <v>2.41</v>
      </c>
      <c r="U273" s="143" t="s">
        <v>1652</v>
      </c>
      <c r="V273" s="146">
        <v>5.0000000000000001E-3</v>
      </c>
      <c r="W273" s="146">
        <v>2.1951999999999999E-2</v>
      </c>
      <c r="X273" s="143" t="s">
        <v>412</v>
      </c>
      <c r="Y273" s="145" t="s">
        <v>3853</v>
      </c>
      <c r="Z273" s="144">
        <v>542209</v>
      </c>
      <c r="AA273" s="145" t="s">
        <v>3853</v>
      </c>
      <c r="AB273" s="143" t="s">
        <v>1653</v>
      </c>
      <c r="AC273" s="145" t="s">
        <v>3853</v>
      </c>
      <c r="AD273" s="144">
        <v>587.10390000000007</v>
      </c>
      <c r="AE273" s="145" t="s">
        <v>3853</v>
      </c>
      <c r="AF273" s="145" t="s">
        <v>3853</v>
      </c>
      <c r="AG273" s="145" t="s">
        <v>3853</v>
      </c>
      <c r="AH273" s="146">
        <v>7.1040416975117523E-4</v>
      </c>
      <c r="AI273" s="146">
        <v>3.4539572641489699E-2</v>
      </c>
      <c r="AJ273" s="147">
        <v>2.0693959031436661E-3</v>
      </c>
      <c r="AK273" s="181"/>
    </row>
    <row r="274" spans="1:37" ht="15" x14ac:dyDescent="0.2">
      <c r="A274" s="142" t="s">
        <v>1218</v>
      </c>
      <c r="B274" s="143" t="s">
        <v>1219</v>
      </c>
      <c r="C274" s="143" t="s">
        <v>1349</v>
      </c>
      <c r="D274" s="143" t="s">
        <v>1350</v>
      </c>
      <c r="E274" s="143" t="s">
        <v>309</v>
      </c>
      <c r="F274" s="143" t="s">
        <v>1477</v>
      </c>
      <c r="G274" s="143" t="s">
        <v>1478</v>
      </c>
      <c r="H274" s="143" t="s">
        <v>321</v>
      </c>
      <c r="I274" s="143" t="s">
        <v>754</v>
      </c>
      <c r="J274" s="143" t="s">
        <v>204</v>
      </c>
      <c r="K274" s="143" t="s">
        <v>204</v>
      </c>
      <c r="L274" s="143" t="s">
        <v>325</v>
      </c>
      <c r="M274" s="143" t="s">
        <v>340</v>
      </c>
      <c r="N274" s="143" t="s">
        <v>448</v>
      </c>
      <c r="O274" s="143" t="s">
        <v>339</v>
      </c>
      <c r="P274" s="143" t="s">
        <v>1222</v>
      </c>
      <c r="Q274" s="143" t="s">
        <v>413</v>
      </c>
      <c r="R274" s="143" t="s">
        <v>407</v>
      </c>
      <c r="S274" s="143" t="s">
        <v>1210</v>
      </c>
      <c r="T274" s="144">
        <v>3.17</v>
      </c>
      <c r="U274" s="143" t="s">
        <v>1479</v>
      </c>
      <c r="V274" s="146">
        <v>1.2200000000000001E-2</v>
      </c>
      <c r="W274" s="146">
        <v>2.41E-2</v>
      </c>
      <c r="X274" s="143" t="s">
        <v>412</v>
      </c>
      <c r="Y274" s="145" t="s">
        <v>3853</v>
      </c>
      <c r="Z274" s="144">
        <v>524225</v>
      </c>
      <c r="AA274" s="145" t="s">
        <v>3853</v>
      </c>
      <c r="AB274" s="143" t="s">
        <v>1480</v>
      </c>
      <c r="AC274" s="145" t="s">
        <v>3853</v>
      </c>
      <c r="AD274" s="144">
        <v>584.61569999999995</v>
      </c>
      <c r="AE274" s="145" t="s">
        <v>3853</v>
      </c>
      <c r="AF274" s="145" t="s">
        <v>3853</v>
      </c>
      <c r="AG274" s="145" t="s">
        <v>3853</v>
      </c>
      <c r="AH274" s="146">
        <v>1.7383701882072361E-4</v>
      </c>
      <c r="AI274" s="146">
        <v>3.4393191647087006E-2</v>
      </c>
      <c r="AJ274" s="147">
        <v>2.0606256663703499E-3</v>
      </c>
      <c r="AK274" s="181"/>
    </row>
    <row r="275" spans="1:37" ht="15" x14ac:dyDescent="0.2">
      <c r="A275" s="142" t="s">
        <v>1218</v>
      </c>
      <c r="B275" s="143" t="s">
        <v>1219</v>
      </c>
      <c r="C275" s="143" t="s">
        <v>1467</v>
      </c>
      <c r="D275" s="143" t="s">
        <v>1468</v>
      </c>
      <c r="E275" s="143" t="s">
        <v>309</v>
      </c>
      <c r="F275" s="143" t="s">
        <v>1469</v>
      </c>
      <c r="G275" s="143" t="s">
        <v>1470</v>
      </c>
      <c r="H275" s="143" t="s">
        <v>321</v>
      </c>
      <c r="I275" s="143" t="s">
        <v>754</v>
      </c>
      <c r="J275" s="143" t="s">
        <v>204</v>
      </c>
      <c r="K275" s="143" t="s">
        <v>204</v>
      </c>
      <c r="L275" s="143" t="s">
        <v>325</v>
      </c>
      <c r="M275" s="143" t="s">
        <v>340</v>
      </c>
      <c r="N275" s="143" t="s">
        <v>456</v>
      </c>
      <c r="O275" s="143" t="s">
        <v>339</v>
      </c>
      <c r="P275" s="143" t="s">
        <v>1347</v>
      </c>
      <c r="Q275" s="143" t="s">
        <v>413</v>
      </c>
      <c r="R275" s="143" t="s">
        <v>407</v>
      </c>
      <c r="S275" s="143" t="s">
        <v>1210</v>
      </c>
      <c r="T275" s="144">
        <v>5.43</v>
      </c>
      <c r="U275" s="143" t="s">
        <v>1471</v>
      </c>
      <c r="V275" s="146">
        <v>5.1499999999999997E-2</v>
      </c>
      <c r="W275" s="146">
        <v>3.8883000000000001E-2</v>
      </c>
      <c r="X275" s="143" t="s">
        <v>412</v>
      </c>
      <c r="Y275" s="145" t="s">
        <v>3853</v>
      </c>
      <c r="Z275" s="144">
        <v>378940.15999999997</v>
      </c>
      <c r="AA275" s="145" t="s">
        <v>3853</v>
      </c>
      <c r="AB275" s="143" t="s">
        <v>1472</v>
      </c>
      <c r="AC275" s="145" t="s">
        <v>3853</v>
      </c>
      <c r="AD275" s="144">
        <v>557.53469999999993</v>
      </c>
      <c r="AE275" s="145" t="s">
        <v>3853</v>
      </c>
      <c r="AF275" s="145" t="s">
        <v>3853</v>
      </c>
      <c r="AG275" s="145" t="s">
        <v>3853</v>
      </c>
      <c r="AH275" s="146">
        <v>1.3048962939669569E-4</v>
      </c>
      <c r="AI275" s="146">
        <v>3.2800001207846999E-2</v>
      </c>
      <c r="AJ275" s="147">
        <v>1.9651716258090438E-3</v>
      </c>
      <c r="AK275" s="181"/>
    </row>
    <row r="276" spans="1:37" ht="15" x14ac:dyDescent="0.2">
      <c r="A276" s="142" t="s">
        <v>1218</v>
      </c>
      <c r="B276" s="143" t="s">
        <v>1219</v>
      </c>
      <c r="C276" s="143" t="s">
        <v>1481</v>
      </c>
      <c r="D276" s="143" t="s">
        <v>1482</v>
      </c>
      <c r="E276" s="143" t="s">
        <v>309</v>
      </c>
      <c r="F276" s="143" t="s">
        <v>1522</v>
      </c>
      <c r="G276" s="143" t="s">
        <v>1523</v>
      </c>
      <c r="H276" s="143" t="s">
        <v>321</v>
      </c>
      <c r="I276" s="143" t="s">
        <v>754</v>
      </c>
      <c r="J276" s="143" t="s">
        <v>204</v>
      </c>
      <c r="K276" s="143" t="s">
        <v>204</v>
      </c>
      <c r="L276" s="143" t="s">
        <v>325</v>
      </c>
      <c r="M276" s="143" t="s">
        <v>340</v>
      </c>
      <c r="N276" s="143" t="s">
        <v>448</v>
      </c>
      <c r="O276" s="143" t="s">
        <v>339</v>
      </c>
      <c r="P276" s="143" t="s">
        <v>1222</v>
      </c>
      <c r="Q276" s="143" t="s">
        <v>413</v>
      </c>
      <c r="R276" s="143" t="s">
        <v>407</v>
      </c>
      <c r="S276" s="143" t="s">
        <v>1210</v>
      </c>
      <c r="T276" s="144">
        <v>5.29</v>
      </c>
      <c r="U276" s="143" t="s">
        <v>1524</v>
      </c>
      <c r="V276" s="146">
        <v>2.0251999999999999E-2</v>
      </c>
      <c r="W276" s="146">
        <v>2.5944999999999999E-2</v>
      </c>
      <c r="X276" s="143" t="s">
        <v>412</v>
      </c>
      <c r="Y276" s="145" t="s">
        <v>3853</v>
      </c>
      <c r="Z276" s="144">
        <v>500000</v>
      </c>
      <c r="AA276" s="145" t="s">
        <v>3853</v>
      </c>
      <c r="AB276" s="143" t="s">
        <v>1525</v>
      </c>
      <c r="AC276" s="145" t="s">
        <v>3853</v>
      </c>
      <c r="AD276" s="144">
        <v>495.65</v>
      </c>
      <c r="AE276" s="145" t="s">
        <v>3853</v>
      </c>
      <c r="AF276" s="145" t="s">
        <v>3853</v>
      </c>
      <c r="AG276" s="145" t="s">
        <v>3853</v>
      </c>
      <c r="AH276" s="146">
        <v>2.3554662362758761E-4</v>
      </c>
      <c r="AI276" s="146">
        <v>2.9159300471562202E-2</v>
      </c>
      <c r="AJ276" s="147">
        <v>1.7470435306400313E-3</v>
      </c>
      <c r="AK276" s="181"/>
    </row>
    <row r="277" spans="1:37" ht="15" x14ac:dyDescent="0.2">
      <c r="A277" s="142" t="s">
        <v>1218</v>
      </c>
      <c r="B277" s="143" t="s">
        <v>1219</v>
      </c>
      <c r="C277" s="143" t="s">
        <v>1526</v>
      </c>
      <c r="D277" s="143" t="s">
        <v>1527</v>
      </c>
      <c r="E277" s="143" t="s">
        <v>313</v>
      </c>
      <c r="F277" s="143" t="s">
        <v>1528</v>
      </c>
      <c r="G277" s="143" t="s">
        <v>1529</v>
      </c>
      <c r="H277" s="143" t="s">
        <v>321</v>
      </c>
      <c r="I277" s="143" t="s">
        <v>754</v>
      </c>
      <c r="J277" s="143" t="s">
        <v>204</v>
      </c>
      <c r="K277" s="143" t="s">
        <v>204</v>
      </c>
      <c r="L277" s="143" t="s">
        <v>325</v>
      </c>
      <c r="M277" s="143" t="s">
        <v>340</v>
      </c>
      <c r="N277" s="143" t="s">
        <v>440</v>
      </c>
      <c r="O277" s="143" t="s">
        <v>339</v>
      </c>
      <c r="P277" s="143" t="s">
        <v>1530</v>
      </c>
      <c r="Q277" s="143" t="s">
        <v>415</v>
      </c>
      <c r="R277" s="143" t="s">
        <v>407</v>
      </c>
      <c r="S277" s="143" t="s">
        <v>1210</v>
      </c>
      <c r="T277" s="144">
        <v>10.64</v>
      </c>
      <c r="U277" s="143" t="s">
        <v>1531</v>
      </c>
      <c r="V277" s="146">
        <v>3.2000000000000001E-2</v>
      </c>
      <c r="W277" s="146">
        <v>3.5250999999999998E-2</v>
      </c>
      <c r="X277" s="143" t="s">
        <v>412</v>
      </c>
      <c r="Y277" s="145" t="s">
        <v>3853</v>
      </c>
      <c r="Z277" s="144">
        <v>469197</v>
      </c>
      <c r="AA277" s="145" t="s">
        <v>3853</v>
      </c>
      <c r="AB277" s="143" t="s">
        <v>1532</v>
      </c>
      <c r="AC277" s="145" t="s">
        <v>3853</v>
      </c>
      <c r="AD277" s="144">
        <v>469.197</v>
      </c>
      <c r="AE277" s="145" t="s">
        <v>3853</v>
      </c>
      <c r="AF277" s="145" t="s">
        <v>3853</v>
      </c>
      <c r="AG277" s="145" t="s">
        <v>3853</v>
      </c>
      <c r="AH277" s="146">
        <v>1.503270884609445E-4</v>
      </c>
      <c r="AI277" s="146">
        <v>2.7603059221942037E-2</v>
      </c>
      <c r="AJ277" s="147">
        <v>1.6538032552117637E-3</v>
      </c>
      <c r="AK277" s="181"/>
    </row>
    <row r="278" spans="1:37" ht="15" x14ac:dyDescent="0.2">
      <c r="A278" s="142" t="s">
        <v>1218</v>
      </c>
      <c r="B278" s="143" t="s">
        <v>1219</v>
      </c>
      <c r="C278" s="143" t="s">
        <v>1491</v>
      </c>
      <c r="D278" s="143" t="s">
        <v>1492</v>
      </c>
      <c r="E278" s="143" t="s">
        <v>309</v>
      </c>
      <c r="F278" s="143" t="s">
        <v>1497</v>
      </c>
      <c r="G278" s="143" t="s">
        <v>1498</v>
      </c>
      <c r="H278" s="143" t="s">
        <v>321</v>
      </c>
      <c r="I278" s="143" t="s">
        <v>754</v>
      </c>
      <c r="J278" s="143" t="s">
        <v>204</v>
      </c>
      <c r="K278" s="143" t="s">
        <v>204</v>
      </c>
      <c r="L278" s="143" t="s">
        <v>325</v>
      </c>
      <c r="M278" s="143" t="s">
        <v>340</v>
      </c>
      <c r="N278" s="143" t="s">
        <v>464</v>
      </c>
      <c r="O278" s="143" t="s">
        <v>339</v>
      </c>
      <c r="P278" s="143" t="s">
        <v>1409</v>
      </c>
      <c r="Q278" s="143" t="s">
        <v>413</v>
      </c>
      <c r="R278" s="143" t="s">
        <v>407</v>
      </c>
      <c r="S278" s="143" t="s">
        <v>1210</v>
      </c>
      <c r="T278" s="144">
        <v>1.75</v>
      </c>
      <c r="U278" s="143" t="s">
        <v>1499</v>
      </c>
      <c r="V278" s="146">
        <v>2.1499999999999998E-2</v>
      </c>
      <c r="W278" s="146">
        <v>2.6091E-2</v>
      </c>
      <c r="X278" s="143" t="s">
        <v>412</v>
      </c>
      <c r="Y278" s="145" t="s">
        <v>3853</v>
      </c>
      <c r="Z278" s="144">
        <v>406434.57</v>
      </c>
      <c r="AA278" s="145" t="s">
        <v>3853</v>
      </c>
      <c r="AB278" s="143" t="s">
        <v>1500</v>
      </c>
      <c r="AC278" s="145" t="s">
        <v>3853</v>
      </c>
      <c r="AD278" s="144">
        <v>468.05009999999999</v>
      </c>
      <c r="AE278" s="145" t="s">
        <v>3853</v>
      </c>
      <c r="AF278" s="145" t="s">
        <v>3853</v>
      </c>
      <c r="AG278" s="145" t="s">
        <v>3853</v>
      </c>
      <c r="AH278" s="146">
        <v>3.4071385507569382E-4</v>
      </c>
      <c r="AI278" s="146">
        <v>2.753558371301738E-2</v>
      </c>
      <c r="AJ278" s="147">
        <v>1.6497605433003985E-3</v>
      </c>
      <c r="AK278" s="181"/>
    </row>
    <row r="279" spans="1:37" ht="15" x14ac:dyDescent="0.2">
      <c r="A279" s="142" t="s">
        <v>1218</v>
      </c>
      <c r="B279" s="143" t="s">
        <v>1219</v>
      </c>
      <c r="C279" s="143" t="s">
        <v>1501</v>
      </c>
      <c r="D279" s="143" t="s">
        <v>1502</v>
      </c>
      <c r="E279" s="143" t="s">
        <v>309</v>
      </c>
      <c r="F279" s="143" t="s">
        <v>1503</v>
      </c>
      <c r="G279" s="143" t="s">
        <v>1504</v>
      </c>
      <c r="H279" s="143" t="s">
        <v>321</v>
      </c>
      <c r="I279" s="143" t="s">
        <v>754</v>
      </c>
      <c r="J279" s="143" t="s">
        <v>204</v>
      </c>
      <c r="K279" s="143" t="s">
        <v>204</v>
      </c>
      <c r="L279" s="143" t="s">
        <v>325</v>
      </c>
      <c r="M279" s="143" t="s">
        <v>340</v>
      </c>
      <c r="N279" s="143" t="s">
        <v>464</v>
      </c>
      <c r="O279" s="143" t="s">
        <v>339</v>
      </c>
      <c r="P279" s="143" t="s">
        <v>1409</v>
      </c>
      <c r="Q279" s="143" t="s">
        <v>413</v>
      </c>
      <c r="R279" s="143" t="s">
        <v>407</v>
      </c>
      <c r="S279" s="143" t="s">
        <v>1210</v>
      </c>
      <c r="T279" s="144">
        <v>2.4300000000000002</v>
      </c>
      <c r="U279" s="143" t="s">
        <v>1505</v>
      </c>
      <c r="V279" s="146">
        <v>3.2000000000000001E-2</v>
      </c>
      <c r="W279" s="146">
        <v>2.8108999999999999E-2</v>
      </c>
      <c r="X279" s="143" t="s">
        <v>412</v>
      </c>
      <c r="Y279" s="145" t="s">
        <v>3853</v>
      </c>
      <c r="Z279" s="144">
        <v>295896</v>
      </c>
      <c r="AA279" s="145" t="s">
        <v>3853</v>
      </c>
      <c r="AB279" s="143" t="s">
        <v>1506</v>
      </c>
      <c r="AC279" s="144">
        <v>126.05369999999999</v>
      </c>
      <c r="AD279" s="144">
        <v>464.38120000000004</v>
      </c>
      <c r="AE279" s="145" t="s">
        <v>3853</v>
      </c>
      <c r="AF279" s="145" t="s">
        <v>3853</v>
      </c>
      <c r="AG279" s="145" t="s">
        <v>3853</v>
      </c>
      <c r="AH279" s="146">
        <v>2.812340859179371E-4</v>
      </c>
      <c r="AI279" s="146">
        <v>3.4735532153479805E-2</v>
      </c>
      <c r="AJ279" s="147">
        <v>2.0811365756616359E-3</v>
      </c>
      <c r="AK279" s="181"/>
    </row>
    <row r="280" spans="1:37" ht="15" x14ac:dyDescent="0.2">
      <c r="A280" s="142" t="s">
        <v>1218</v>
      </c>
      <c r="B280" s="143" t="s">
        <v>1219</v>
      </c>
      <c r="C280" s="143" t="s">
        <v>1526</v>
      </c>
      <c r="D280" s="143" t="s">
        <v>1527</v>
      </c>
      <c r="E280" s="143" t="s">
        <v>313</v>
      </c>
      <c r="F280" s="143" t="s">
        <v>1538</v>
      </c>
      <c r="G280" s="143" t="s">
        <v>1539</v>
      </c>
      <c r="H280" s="143" t="s">
        <v>321</v>
      </c>
      <c r="I280" s="143" t="s">
        <v>754</v>
      </c>
      <c r="J280" s="143" t="s">
        <v>204</v>
      </c>
      <c r="K280" s="143" t="s">
        <v>204</v>
      </c>
      <c r="L280" s="143" t="s">
        <v>325</v>
      </c>
      <c r="M280" s="143" t="s">
        <v>340</v>
      </c>
      <c r="N280" s="143" t="s">
        <v>440</v>
      </c>
      <c r="O280" s="143" t="s">
        <v>339</v>
      </c>
      <c r="P280" s="143" t="s">
        <v>1530</v>
      </c>
      <c r="Q280" s="143" t="s">
        <v>415</v>
      </c>
      <c r="R280" s="143" t="s">
        <v>407</v>
      </c>
      <c r="S280" s="143" t="s">
        <v>1210</v>
      </c>
      <c r="T280" s="144">
        <v>7.89</v>
      </c>
      <c r="U280" s="143" t="s">
        <v>1540</v>
      </c>
      <c r="V280" s="146">
        <v>0.03</v>
      </c>
      <c r="W280" s="146">
        <v>3.3659000000000001E-2</v>
      </c>
      <c r="X280" s="143" t="s">
        <v>412</v>
      </c>
      <c r="Y280" s="145" t="s">
        <v>3853</v>
      </c>
      <c r="Z280" s="144">
        <v>445000</v>
      </c>
      <c r="AA280" s="145" t="s">
        <v>3853</v>
      </c>
      <c r="AB280" s="143" t="s">
        <v>1541</v>
      </c>
      <c r="AC280" s="145" t="s">
        <v>3853</v>
      </c>
      <c r="AD280" s="144">
        <v>447.04700000000003</v>
      </c>
      <c r="AE280" s="145" t="s">
        <v>3853</v>
      </c>
      <c r="AF280" s="145" t="s">
        <v>3853</v>
      </c>
      <c r="AG280" s="145" t="s">
        <v>3853</v>
      </c>
      <c r="AH280" s="146">
        <v>1.7409443508116323E-4</v>
      </c>
      <c r="AI280" s="146">
        <v>2.629996529387767E-2</v>
      </c>
      <c r="AJ280" s="147">
        <v>1.5757299893917765E-3</v>
      </c>
      <c r="AK280" s="181"/>
    </row>
    <row r="281" spans="1:37" ht="15" x14ac:dyDescent="0.2">
      <c r="A281" s="142" t="s">
        <v>1218</v>
      </c>
      <c r="B281" s="143" t="s">
        <v>1219</v>
      </c>
      <c r="C281" s="143" t="s">
        <v>1526</v>
      </c>
      <c r="D281" s="143" t="s">
        <v>1527</v>
      </c>
      <c r="E281" s="143" t="s">
        <v>313</v>
      </c>
      <c r="F281" s="143" t="s">
        <v>1556</v>
      </c>
      <c r="G281" s="143" t="s">
        <v>1557</v>
      </c>
      <c r="H281" s="143" t="s">
        <v>321</v>
      </c>
      <c r="I281" s="143" t="s">
        <v>754</v>
      </c>
      <c r="J281" s="143" t="s">
        <v>204</v>
      </c>
      <c r="K281" s="143" t="s">
        <v>204</v>
      </c>
      <c r="L281" s="143" t="s">
        <v>325</v>
      </c>
      <c r="M281" s="143" t="s">
        <v>340</v>
      </c>
      <c r="N281" s="143" t="s">
        <v>440</v>
      </c>
      <c r="O281" s="143" t="s">
        <v>339</v>
      </c>
      <c r="P281" s="143" t="s">
        <v>1530</v>
      </c>
      <c r="Q281" s="143" t="s">
        <v>415</v>
      </c>
      <c r="R281" s="143" t="s">
        <v>407</v>
      </c>
      <c r="S281" s="143" t="s">
        <v>1210</v>
      </c>
      <c r="T281" s="144">
        <v>5.97</v>
      </c>
      <c r="U281" s="143" t="s">
        <v>1558</v>
      </c>
      <c r="V281" s="146">
        <v>2.3900000000000001E-2</v>
      </c>
      <c r="W281" s="146">
        <v>3.0173999999999999E-2</v>
      </c>
      <c r="X281" s="143" t="s">
        <v>412</v>
      </c>
      <c r="Y281" s="145" t="s">
        <v>3853</v>
      </c>
      <c r="Z281" s="144">
        <v>400000</v>
      </c>
      <c r="AA281" s="145" t="s">
        <v>3853</v>
      </c>
      <c r="AB281" s="143" t="s">
        <v>1559</v>
      </c>
      <c r="AC281" s="145" t="s">
        <v>3853</v>
      </c>
      <c r="AD281" s="144">
        <v>439.8</v>
      </c>
      <c r="AE281" s="145" t="s">
        <v>3853</v>
      </c>
      <c r="AF281" s="145" t="s">
        <v>3853</v>
      </c>
      <c r="AG281" s="145" t="s">
        <v>3853</v>
      </c>
      <c r="AH281" s="146">
        <v>1.028502900892432E-4</v>
      </c>
      <c r="AI281" s="146">
        <v>2.5873621199219321E-2</v>
      </c>
      <c r="AJ281" s="147">
        <v>1.5501861086966323E-3</v>
      </c>
      <c r="AK281" s="181"/>
    </row>
    <row r="282" spans="1:37" ht="15" x14ac:dyDescent="0.2">
      <c r="A282" s="142" t="s">
        <v>1218</v>
      </c>
      <c r="B282" s="143" t="s">
        <v>1219</v>
      </c>
      <c r="C282" s="143" t="s">
        <v>1510</v>
      </c>
      <c r="D282" s="143" t="s">
        <v>1511</v>
      </c>
      <c r="E282" s="143" t="s">
        <v>309</v>
      </c>
      <c r="F282" s="143" t="s">
        <v>1512</v>
      </c>
      <c r="G282" s="143" t="s">
        <v>1513</v>
      </c>
      <c r="H282" s="143" t="s">
        <v>321</v>
      </c>
      <c r="I282" s="143" t="s">
        <v>754</v>
      </c>
      <c r="J282" s="143" t="s">
        <v>204</v>
      </c>
      <c r="K282" s="143" t="s">
        <v>204</v>
      </c>
      <c r="L282" s="143" t="s">
        <v>325</v>
      </c>
      <c r="M282" s="143" t="s">
        <v>340</v>
      </c>
      <c r="N282" s="143" t="s">
        <v>448</v>
      </c>
      <c r="O282" s="143" t="s">
        <v>339</v>
      </c>
      <c r="P282" s="143" t="s">
        <v>1347</v>
      </c>
      <c r="Q282" s="143" t="s">
        <v>413</v>
      </c>
      <c r="R282" s="143" t="s">
        <v>407</v>
      </c>
      <c r="S282" s="143" t="s">
        <v>1210</v>
      </c>
      <c r="T282" s="144">
        <v>1.48</v>
      </c>
      <c r="U282" s="143" t="s">
        <v>1514</v>
      </c>
      <c r="V282" s="146">
        <v>2E-3</v>
      </c>
      <c r="W282" s="146">
        <v>2.0419E-2</v>
      </c>
      <c r="X282" s="143" t="s">
        <v>412</v>
      </c>
      <c r="Y282" s="145" t="s">
        <v>3853</v>
      </c>
      <c r="Z282" s="144">
        <v>397207.5</v>
      </c>
      <c r="AA282" s="145" t="s">
        <v>3853</v>
      </c>
      <c r="AB282" s="143" t="s">
        <v>1515</v>
      </c>
      <c r="AC282" s="145" t="s">
        <v>3853</v>
      </c>
      <c r="AD282" s="144">
        <v>434.9819</v>
      </c>
      <c r="AE282" s="145" t="s">
        <v>3853</v>
      </c>
      <c r="AF282" s="145" t="s">
        <v>3853</v>
      </c>
      <c r="AG282" s="145" t="s">
        <v>3853</v>
      </c>
      <c r="AH282" s="146">
        <v>9.4975620108671581E-4</v>
      </c>
      <c r="AI282" s="146">
        <v>2.5590172281524791E-2</v>
      </c>
      <c r="AJ282" s="147">
        <v>1.533203616321409E-3</v>
      </c>
      <c r="AK282" s="181"/>
    </row>
    <row r="283" spans="1:37" ht="15" x14ac:dyDescent="0.2">
      <c r="A283" s="142" t="s">
        <v>1218</v>
      </c>
      <c r="B283" s="143" t="s">
        <v>1219</v>
      </c>
      <c r="C283" s="143" t="s">
        <v>1533</v>
      </c>
      <c r="D283" s="143" t="s">
        <v>1534</v>
      </c>
      <c r="E283" s="143" t="s">
        <v>309</v>
      </c>
      <c r="F283" s="143" t="s">
        <v>1535</v>
      </c>
      <c r="G283" s="143" t="s">
        <v>1536</v>
      </c>
      <c r="H283" s="143" t="s">
        <v>321</v>
      </c>
      <c r="I283" s="143" t="s">
        <v>754</v>
      </c>
      <c r="J283" s="143" t="s">
        <v>204</v>
      </c>
      <c r="K283" s="143" t="s">
        <v>204</v>
      </c>
      <c r="L283" s="143" t="s">
        <v>325</v>
      </c>
      <c r="M283" s="143" t="s">
        <v>340</v>
      </c>
      <c r="N283" s="143" t="s">
        <v>464</v>
      </c>
      <c r="O283" s="143" t="s">
        <v>339</v>
      </c>
      <c r="P283" s="143" t="s">
        <v>1409</v>
      </c>
      <c r="Q283" s="143" t="s">
        <v>413</v>
      </c>
      <c r="R283" s="143" t="s">
        <v>407</v>
      </c>
      <c r="S283" s="143" t="s">
        <v>1210</v>
      </c>
      <c r="T283" s="144">
        <v>2.4300000000000002</v>
      </c>
      <c r="U283" s="143" t="s">
        <v>1299</v>
      </c>
      <c r="V283" s="146">
        <v>2.3400000000000001E-2</v>
      </c>
      <c r="W283" s="146">
        <v>2.7517E-2</v>
      </c>
      <c r="X283" s="143" t="s">
        <v>412</v>
      </c>
      <c r="Y283" s="145" t="s">
        <v>3853</v>
      </c>
      <c r="Z283" s="144">
        <v>355792.96</v>
      </c>
      <c r="AA283" s="145" t="s">
        <v>3853</v>
      </c>
      <c r="AB283" s="143" t="s">
        <v>1537</v>
      </c>
      <c r="AC283" s="145" t="s">
        <v>3853</v>
      </c>
      <c r="AD283" s="144">
        <v>402.33070000000004</v>
      </c>
      <c r="AE283" s="145" t="s">
        <v>3853</v>
      </c>
      <c r="AF283" s="145" t="s">
        <v>3853</v>
      </c>
      <c r="AG283" s="145" t="s">
        <v>3853</v>
      </c>
      <c r="AH283" s="146">
        <v>1.6865765564737277E-4</v>
      </c>
      <c r="AI283" s="146">
        <v>2.366928510599698E-2</v>
      </c>
      <c r="AJ283" s="147">
        <v>1.4181160298970331E-3</v>
      </c>
      <c r="AK283" s="181"/>
    </row>
    <row r="284" spans="1:37" ht="15" x14ac:dyDescent="0.2">
      <c r="A284" s="142" t="s">
        <v>1218</v>
      </c>
      <c r="B284" s="143" t="s">
        <v>1219</v>
      </c>
      <c r="C284" s="143" t="s">
        <v>1343</v>
      </c>
      <c r="D284" s="143" t="s">
        <v>1344</v>
      </c>
      <c r="E284" s="143" t="s">
        <v>309</v>
      </c>
      <c r="F284" s="143" t="s">
        <v>1487</v>
      </c>
      <c r="G284" s="143" t="s">
        <v>1488</v>
      </c>
      <c r="H284" s="143" t="s">
        <v>321</v>
      </c>
      <c r="I284" s="143" t="s">
        <v>754</v>
      </c>
      <c r="J284" s="143" t="s">
        <v>204</v>
      </c>
      <c r="K284" s="143" t="s">
        <v>204</v>
      </c>
      <c r="L284" s="143" t="s">
        <v>325</v>
      </c>
      <c r="M284" s="143" t="s">
        <v>340</v>
      </c>
      <c r="N284" s="143" t="s">
        <v>445</v>
      </c>
      <c r="O284" s="143" t="s">
        <v>339</v>
      </c>
      <c r="P284" s="143" t="s">
        <v>1347</v>
      </c>
      <c r="Q284" s="143" t="s">
        <v>413</v>
      </c>
      <c r="R284" s="143" t="s">
        <v>407</v>
      </c>
      <c r="S284" s="143" t="s">
        <v>1210</v>
      </c>
      <c r="T284" s="144">
        <v>6.93</v>
      </c>
      <c r="U284" s="143" t="s">
        <v>1489</v>
      </c>
      <c r="V284" s="146">
        <v>2.5000000000000001E-2</v>
      </c>
      <c r="W284" s="146">
        <v>6.1810999999999998E-2</v>
      </c>
      <c r="X284" s="143" t="s">
        <v>412</v>
      </c>
      <c r="Y284" s="145" t="s">
        <v>3853</v>
      </c>
      <c r="Z284" s="144">
        <v>500000</v>
      </c>
      <c r="AA284" s="145" t="s">
        <v>3853</v>
      </c>
      <c r="AB284" s="143" t="s">
        <v>1490</v>
      </c>
      <c r="AC284" s="145" t="s">
        <v>3853</v>
      </c>
      <c r="AD284" s="144">
        <v>393.55</v>
      </c>
      <c r="AE284" s="145" t="s">
        <v>3853</v>
      </c>
      <c r="AF284" s="145" t="s">
        <v>3853</v>
      </c>
      <c r="AG284" s="145" t="s">
        <v>3853</v>
      </c>
      <c r="AH284" s="146">
        <v>3.749117210366944E-4</v>
      </c>
      <c r="AI284" s="146">
        <v>2.315271401308041E-2</v>
      </c>
      <c r="AJ284" s="147">
        <v>1.3871663098625729E-3</v>
      </c>
      <c r="AK284" s="181"/>
    </row>
    <row r="285" spans="1:37" ht="15" x14ac:dyDescent="0.2">
      <c r="A285" s="142" t="s">
        <v>1218</v>
      </c>
      <c r="B285" s="143" t="s">
        <v>1219</v>
      </c>
      <c r="C285" s="143" t="s">
        <v>1451</v>
      </c>
      <c r="D285" s="143" t="s">
        <v>1452</v>
      </c>
      <c r="E285" s="143" t="s">
        <v>309</v>
      </c>
      <c r="F285" s="143" t="s">
        <v>1564</v>
      </c>
      <c r="G285" s="143" t="s">
        <v>1565</v>
      </c>
      <c r="H285" s="143" t="s">
        <v>321</v>
      </c>
      <c r="I285" s="143" t="s">
        <v>754</v>
      </c>
      <c r="J285" s="143" t="s">
        <v>204</v>
      </c>
      <c r="K285" s="143" t="s">
        <v>204</v>
      </c>
      <c r="L285" s="143" t="s">
        <v>325</v>
      </c>
      <c r="M285" s="143" t="s">
        <v>340</v>
      </c>
      <c r="N285" s="143" t="s">
        <v>464</v>
      </c>
      <c r="O285" s="143" t="s">
        <v>339</v>
      </c>
      <c r="P285" s="143" t="s">
        <v>1359</v>
      </c>
      <c r="Q285" s="143" t="s">
        <v>415</v>
      </c>
      <c r="R285" s="143" t="s">
        <v>407</v>
      </c>
      <c r="S285" s="143" t="s">
        <v>1210</v>
      </c>
      <c r="T285" s="144">
        <v>5.37</v>
      </c>
      <c r="U285" s="143" t="s">
        <v>1566</v>
      </c>
      <c r="V285" s="146">
        <v>5.8999999999999999E-3</v>
      </c>
      <c r="W285" s="146">
        <v>3.5757999999999998E-2</v>
      </c>
      <c r="X285" s="143" t="s">
        <v>412</v>
      </c>
      <c r="Y285" s="145" t="s">
        <v>3853</v>
      </c>
      <c r="Z285" s="144">
        <v>400000</v>
      </c>
      <c r="AA285" s="145" t="s">
        <v>3853</v>
      </c>
      <c r="AB285" s="143" t="s">
        <v>1567</v>
      </c>
      <c r="AC285" s="145" t="s">
        <v>3853</v>
      </c>
      <c r="AD285" s="144">
        <v>376</v>
      </c>
      <c r="AE285" s="145" t="s">
        <v>3853</v>
      </c>
      <c r="AF285" s="145" t="s">
        <v>3853</v>
      </c>
      <c r="AG285" s="145" t="s">
        <v>3853</v>
      </c>
      <c r="AH285" s="146">
        <v>2.8560799873761264E-4</v>
      </c>
      <c r="AI285" s="146">
        <v>2.2120240042988779E-2</v>
      </c>
      <c r="AJ285" s="147">
        <v>1.3253069051158111E-3</v>
      </c>
      <c r="AK285" s="181"/>
    </row>
    <row r="286" spans="1:37" ht="15" x14ac:dyDescent="0.2">
      <c r="A286" s="142" t="s">
        <v>1218</v>
      </c>
      <c r="B286" s="143" t="s">
        <v>1219</v>
      </c>
      <c r="C286" s="143" t="s">
        <v>1550</v>
      </c>
      <c r="D286" s="143" t="s">
        <v>1551</v>
      </c>
      <c r="E286" s="143" t="s">
        <v>309</v>
      </c>
      <c r="F286" s="143" t="s">
        <v>1552</v>
      </c>
      <c r="G286" s="143" t="s">
        <v>1553</v>
      </c>
      <c r="H286" s="143" t="s">
        <v>321</v>
      </c>
      <c r="I286" s="143" t="s">
        <v>754</v>
      </c>
      <c r="J286" s="143" t="s">
        <v>204</v>
      </c>
      <c r="K286" s="143" t="s">
        <v>204</v>
      </c>
      <c r="L286" s="143" t="s">
        <v>325</v>
      </c>
      <c r="M286" s="143" t="s">
        <v>340</v>
      </c>
      <c r="N286" s="143" t="s">
        <v>465</v>
      </c>
      <c r="O286" s="143" t="s">
        <v>339</v>
      </c>
      <c r="P286" s="143" t="s">
        <v>1440</v>
      </c>
      <c r="Q286" s="143" t="s">
        <v>415</v>
      </c>
      <c r="R286" s="143" t="s">
        <v>407</v>
      </c>
      <c r="S286" s="143" t="s">
        <v>1210</v>
      </c>
      <c r="T286" s="144">
        <v>1.71</v>
      </c>
      <c r="U286" s="143" t="s">
        <v>1554</v>
      </c>
      <c r="V286" s="146">
        <v>2.5700000000000001E-2</v>
      </c>
      <c r="W286" s="146">
        <v>3.3569000000000002E-2</v>
      </c>
      <c r="X286" s="143" t="s">
        <v>412</v>
      </c>
      <c r="Y286" s="145" t="s">
        <v>3853</v>
      </c>
      <c r="Z286" s="144">
        <v>322150</v>
      </c>
      <c r="AA286" s="145" t="s">
        <v>3853</v>
      </c>
      <c r="AB286" s="143" t="s">
        <v>1555</v>
      </c>
      <c r="AC286" s="145" t="s">
        <v>3853</v>
      </c>
      <c r="AD286" s="144">
        <v>366.3168</v>
      </c>
      <c r="AE286" s="145" t="s">
        <v>3853</v>
      </c>
      <c r="AF286" s="145" t="s">
        <v>3853</v>
      </c>
      <c r="AG286" s="145" t="s">
        <v>3853</v>
      </c>
      <c r="AH286" s="146">
        <v>2.5120594840714064E-4</v>
      </c>
      <c r="AI286" s="146">
        <v>2.1550571206306143E-2</v>
      </c>
      <c r="AJ286" s="147">
        <v>1.2911758992398561E-3</v>
      </c>
      <c r="AK286" s="181"/>
    </row>
    <row r="287" spans="1:37" ht="15" x14ac:dyDescent="0.2">
      <c r="A287" s="142" t="s">
        <v>1218</v>
      </c>
      <c r="B287" s="143" t="s">
        <v>1219</v>
      </c>
      <c r="C287" s="143" t="s">
        <v>1568</v>
      </c>
      <c r="D287" s="143" t="s">
        <v>1569</v>
      </c>
      <c r="E287" s="143" t="s">
        <v>309</v>
      </c>
      <c r="F287" s="143" t="s">
        <v>1570</v>
      </c>
      <c r="G287" s="143" t="s">
        <v>1571</v>
      </c>
      <c r="H287" s="143" t="s">
        <v>321</v>
      </c>
      <c r="I287" s="143" t="s">
        <v>754</v>
      </c>
      <c r="J287" s="143" t="s">
        <v>204</v>
      </c>
      <c r="K287" s="143" t="s">
        <v>204</v>
      </c>
      <c r="L287" s="143" t="s">
        <v>325</v>
      </c>
      <c r="M287" s="143" t="s">
        <v>340</v>
      </c>
      <c r="N287" s="143" t="s">
        <v>448</v>
      </c>
      <c r="O287" s="143" t="s">
        <v>339</v>
      </c>
      <c r="P287" s="143" t="s">
        <v>1222</v>
      </c>
      <c r="Q287" s="143" t="s">
        <v>413</v>
      </c>
      <c r="R287" s="143" t="s">
        <v>407</v>
      </c>
      <c r="S287" s="143" t="s">
        <v>1210</v>
      </c>
      <c r="T287" s="144">
        <v>4.16</v>
      </c>
      <c r="U287" s="143" t="s">
        <v>1572</v>
      </c>
      <c r="V287" s="146">
        <v>1.3899999999999999E-2</v>
      </c>
      <c r="W287" s="146">
        <v>2.5141E-2</v>
      </c>
      <c r="X287" s="143" t="s">
        <v>412</v>
      </c>
      <c r="Y287" s="145" t="s">
        <v>3853</v>
      </c>
      <c r="Z287" s="144">
        <v>360000</v>
      </c>
      <c r="AA287" s="145" t="s">
        <v>3853</v>
      </c>
      <c r="AB287" s="143" t="s">
        <v>1573</v>
      </c>
      <c r="AC287" s="145" t="s">
        <v>3853</v>
      </c>
      <c r="AD287" s="144">
        <v>365.25599999999997</v>
      </c>
      <c r="AE287" s="145" t="s">
        <v>3853</v>
      </c>
      <c r="AF287" s="145" t="s">
        <v>3853</v>
      </c>
      <c r="AG287" s="145" t="s">
        <v>3853</v>
      </c>
      <c r="AH287" s="146">
        <v>2.0000000000000001E-4</v>
      </c>
      <c r="AI287" s="146">
        <v>2.1488165949845501E-2</v>
      </c>
      <c r="AJ287" s="147">
        <v>1.2874369652526082E-3</v>
      </c>
      <c r="AK287" s="181"/>
    </row>
    <row r="288" spans="1:37" ht="15" x14ac:dyDescent="0.2">
      <c r="A288" s="142" t="s">
        <v>1218</v>
      </c>
      <c r="B288" s="143" t="s">
        <v>1219</v>
      </c>
      <c r="C288" s="143" t="s">
        <v>1510</v>
      </c>
      <c r="D288" s="143" t="s">
        <v>1511</v>
      </c>
      <c r="E288" s="143" t="s">
        <v>309</v>
      </c>
      <c r="F288" s="143" t="s">
        <v>1560</v>
      </c>
      <c r="G288" s="143" t="s">
        <v>1561</v>
      </c>
      <c r="H288" s="143" t="s">
        <v>321</v>
      </c>
      <c r="I288" s="143" t="s">
        <v>754</v>
      </c>
      <c r="J288" s="143" t="s">
        <v>204</v>
      </c>
      <c r="K288" s="143" t="s">
        <v>204</v>
      </c>
      <c r="L288" s="143" t="s">
        <v>325</v>
      </c>
      <c r="M288" s="143" t="s">
        <v>340</v>
      </c>
      <c r="N288" s="143" t="s">
        <v>448</v>
      </c>
      <c r="O288" s="143" t="s">
        <v>339</v>
      </c>
      <c r="P288" s="143" t="s">
        <v>1347</v>
      </c>
      <c r="Q288" s="143" t="s">
        <v>413</v>
      </c>
      <c r="R288" s="143" t="s">
        <v>407</v>
      </c>
      <c r="S288" s="143" t="s">
        <v>1210</v>
      </c>
      <c r="T288" s="144">
        <v>4.75</v>
      </c>
      <c r="U288" s="143" t="s">
        <v>1562</v>
      </c>
      <c r="V288" s="146">
        <v>2.5899999999999999E-2</v>
      </c>
      <c r="W288" s="146">
        <v>2.7512000000000002E-2</v>
      </c>
      <c r="X288" s="143" t="s">
        <v>412</v>
      </c>
      <c r="Y288" s="145" t="s">
        <v>3853</v>
      </c>
      <c r="Z288" s="144">
        <v>346000</v>
      </c>
      <c r="AA288" s="145" t="s">
        <v>3853</v>
      </c>
      <c r="AB288" s="143" t="s">
        <v>1563</v>
      </c>
      <c r="AC288" s="145" t="s">
        <v>3853</v>
      </c>
      <c r="AD288" s="144">
        <v>354.02719999999999</v>
      </c>
      <c r="AE288" s="145" t="s">
        <v>3853</v>
      </c>
      <c r="AF288" s="145" t="s">
        <v>3853</v>
      </c>
      <c r="AG288" s="145" t="s">
        <v>3853</v>
      </c>
      <c r="AH288" s="146">
        <v>7.6888888888888894E-4</v>
      </c>
      <c r="AI288" s="146">
        <v>2.0827570866348927E-2</v>
      </c>
      <c r="AJ288" s="147">
        <v>1.2478582254223836E-3</v>
      </c>
      <c r="AK288" s="181"/>
    </row>
    <row r="289" spans="1:37" ht="15" x14ac:dyDescent="0.2">
      <c r="A289" s="142" t="s">
        <v>1218</v>
      </c>
      <c r="B289" s="143" t="s">
        <v>1219</v>
      </c>
      <c r="C289" s="143" t="s">
        <v>1516</v>
      </c>
      <c r="D289" s="143" t="s">
        <v>1517</v>
      </c>
      <c r="E289" s="143" t="s">
        <v>309</v>
      </c>
      <c r="F289" s="143" t="s">
        <v>1542</v>
      </c>
      <c r="G289" s="143" t="s">
        <v>1543</v>
      </c>
      <c r="H289" s="143" t="s">
        <v>321</v>
      </c>
      <c r="I289" s="143" t="s">
        <v>754</v>
      </c>
      <c r="J289" s="143" t="s">
        <v>204</v>
      </c>
      <c r="K289" s="143" t="s">
        <v>204</v>
      </c>
      <c r="L289" s="143" t="s">
        <v>325</v>
      </c>
      <c r="M289" s="143" t="s">
        <v>340</v>
      </c>
      <c r="N289" s="143" t="s">
        <v>465</v>
      </c>
      <c r="O289" s="143" t="s">
        <v>339</v>
      </c>
      <c r="P289" s="143" t="s">
        <v>1402</v>
      </c>
      <c r="Q289" s="143" t="s">
        <v>415</v>
      </c>
      <c r="R289" s="143" t="s">
        <v>407</v>
      </c>
      <c r="S289" s="143" t="s">
        <v>1210</v>
      </c>
      <c r="T289" s="144">
        <v>2.46</v>
      </c>
      <c r="U289" s="143" t="s">
        <v>1544</v>
      </c>
      <c r="V289" s="146">
        <v>3.2800000000000003E-2</v>
      </c>
      <c r="W289" s="146">
        <v>5.8094E-2</v>
      </c>
      <c r="X289" s="143" t="s">
        <v>412</v>
      </c>
      <c r="Y289" s="145" t="s">
        <v>3853</v>
      </c>
      <c r="Z289" s="144">
        <v>324262.43</v>
      </c>
      <c r="AA289" s="145" t="s">
        <v>3853</v>
      </c>
      <c r="AB289" s="143" t="s">
        <v>1545</v>
      </c>
      <c r="AC289" s="145" t="s">
        <v>3853</v>
      </c>
      <c r="AD289" s="144">
        <v>351.50049999999999</v>
      </c>
      <c r="AE289" s="145" t="s">
        <v>3853</v>
      </c>
      <c r="AF289" s="145" t="s">
        <v>3853</v>
      </c>
      <c r="AG289" s="145" t="s">
        <v>3853</v>
      </c>
      <c r="AH289" s="146">
        <v>2.3454741818066749E-4</v>
      </c>
      <c r="AI289" s="146">
        <v>2.067892250733714E-2</v>
      </c>
      <c r="AJ289" s="147">
        <v>1.2389521422944613E-3</v>
      </c>
      <c r="AK289" s="181"/>
    </row>
    <row r="290" spans="1:37" ht="15" x14ac:dyDescent="0.2">
      <c r="A290" s="142" t="s">
        <v>1218</v>
      </c>
      <c r="B290" s="143" t="s">
        <v>1219</v>
      </c>
      <c r="C290" s="143" t="s">
        <v>1526</v>
      </c>
      <c r="D290" s="143" t="s">
        <v>1527</v>
      </c>
      <c r="E290" s="143" t="s">
        <v>313</v>
      </c>
      <c r="F290" s="143" t="s">
        <v>1546</v>
      </c>
      <c r="G290" s="143" t="s">
        <v>1547</v>
      </c>
      <c r="H290" s="143" t="s">
        <v>321</v>
      </c>
      <c r="I290" s="143" t="s">
        <v>754</v>
      </c>
      <c r="J290" s="143" t="s">
        <v>204</v>
      </c>
      <c r="K290" s="143" t="s">
        <v>204</v>
      </c>
      <c r="L290" s="143" t="s">
        <v>325</v>
      </c>
      <c r="M290" s="143" t="s">
        <v>340</v>
      </c>
      <c r="N290" s="143" t="s">
        <v>440</v>
      </c>
      <c r="O290" s="143" t="s">
        <v>339</v>
      </c>
      <c r="P290" s="143" t="s">
        <v>1530</v>
      </c>
      <c r="Q290" s="143" t="s">
        <v>415</v>
      </c>
      <c r="R290" s="143" t="s">
        <v>407</v>
      </c>
      <c r="S290" s="143" t="s">
        <v>1210</v>
      </c>
      <c r="T290" s="144">
        <v>1.1299999999999999</v>
      </c>
      <c r="U290" s="143" t="s">
        <v>1548</v>
      </c>
      <c r="V290" s="146">
        <v>4.4999999999999998E-2</v>
      </c>
      <c r="W290" s="146">
        <v>2.6681E-2</v>
      </c>
      <c r="X290" s="143" t="s">
        <v>412</v>
      </c>
      <c r="Y290" s="145" t="s">
        <v>3853</v>
      </c>
      <c r="Z290" s="144">
        <v>290907</v>
      </c>
      <c r="AA290" s="145" t="s">
        <v>3853</v>
      </c>
      <c r="AB290" s="143" t="s">
        <v>1549</v>
      </c>
      <c r="AC290" s="145" t="s">
        <v>3853</v>
      </c>
      <c r="AD290" s="144">
        <v>347.02300000000002</v>
      </c>
      <c r="AE290" s="145" t="s">
        <v>3853</v>
      </c>
      <c r="AF290" s="145" t="s">
        <v>3853</v>
      </c>
      <c r="AG290" s="145" t="s">
        <v>3853</v>
      </c>
      <c r="AH290" s="146">
        <v>9.8425559334062865E-5</v>
      </c>
      <c r="AI290" s="146">
        <v>2.0415508463469588E-2</v>
      </c>
      <c r="AJ290" s="147">
        <v>1.2231700146790425E-3</v>
      </c>
      <c r="AK290" s="181"/>
    </row>
    <row r="291" spans="1:37" ht="15" x14ac:dyDescent="0.2">
      <c r="A291" s="142" t="s">
        <v>1218</v>
      </c>
      <c r="B291" s="143" t="s">
        <v>1219</v>
      </c>
      <c r="C291" s="143" t="s">
        <v>1568</v>
      </c>
      <c r="D291" s="143" t="s">
        <v>1569</v>
      </c>
      <c r="E291" s="143" t="s">
        <v>309</v>
      </c>
      <c r="F291" s="143" t="s">
        <v>1580</v>
      </c>
      <c r="G291" s="143" t="s">
        <v>1581</v>
      </c>
      <c r="H291" s="143" t="s">
        <v>321</v>
      </c>
      <c r="I291" s="143" t="s">
        <v>754</v>
      </c>
      <c r="J291" s="143" t="s">
        <v>204</v>
      </c>
      <c r="K291" s="143" t="s">
        <v>204</v>
      </c>
      <c r="L291" s="143" t="s">
        <v>325</v>
      </c>
      <c r="M291" s="143" t="s">
        <v>340</v>
      </c>
      <c r="N291" s="143" t="s">
        <v>448</v>
      </c>
      <c r="O291" s="143" t="s">
        <v>339</v>
      </c>
      <c r="P291" s="143" t="s">
        <v>1222</v>
      </c>
      <c r="Q291" s="143" t="s">
        <v>413</v>
      </c>
      <c r="R291" s="143" t="s">
        <v>407</v>
      </c>
      <c r="S291" s="143" t="s">
        <v>1210</v>
      </c>
      <c r="T291" s="144">
        <v>3.8</v>
      </c>
      <c r="U291" s="143" t="s">
        <v>1582</v>
      </c>
      <c r="V291" s="146">
        <v>1E-3</v>
      </c>
      <c r="W291" s="146">
        <v>2.5401E-2</v>
      </c>
      <c r="X291" s="143" t="s">
        <v>412</v>
      </c>
      <c r="Y291" s="145" t="s">
        <v>3853</v>
      </c>
      <c r="Z291" s="144">
        <v>320000</v>
      </c>
      <c r="AA291" s="145" t="s">
        <v>3853</v>
      </c>
      <c r="AB291" s="143" t="s">
        <v>1583</v>
      </c>
      <c r="AC291" s="145" t="s">
        <v>3853</v>
      </c>
      <c r="AD291" s="144">
        <v>323.10399999999998</v>
      </c>
      <c r="AE291" s="145" t="s">
        <v>3853</v>
      </c>
      <c r="AF291" s="145" t="s">
        <v>3853</v>
      </c>
      <c r="AG291" s="145" t="s">
        <v>3853</v>
      </c>
      <c r="AH291" s="146">
        <v>2.8450518415166609E-4</v>
      </c>
      <c r="AI291" s="146">
        <v>1.9008345848004909E-2</v>
      </c>
      <c r="AJ291" s="147">
        <v>1.1388616017833485E-3</v>
      </c>
      <c r="AK291" s="181"/>
    </row>
    <row r="292" spans="1:37" ht="15" x14ac:dyDescent="0.2">
      <c r="A292" s="142" t="s">
        <v>1218</v>
      </c>
      <c r="B292" s="143" t="s">
        <v>1219</v>
      </c>
      <c r="C292" s="143" t="s">
        <v>1349</v>
      </c>
      <c r="D292" s="143" t="s">
        <v>1350</v>
      </c>
      <c r="E292" s="143" t="s">
        <v>309</v>
      </c>
      <c r="F292" s="143" t="s">
        <v>1593</v>
      </c>
      <c r="G292" s="143" t="s">
        <v>1594</v>
      </c>
      <c r="H292" s="143" t="s">
        <v>321</v>
      </c>
      <c r="I292" s="143" t="s">
        <v>754</v>
      </c>
      <c r="J292" s="143" t="s">
        <v>204</v>
      </c>
      <c r="K292" s="143" t="s">
        <v>204</v>
      </c>
      <c r="L292" s="143" t="s">
        <v>325</v>
      </c>
      <c r="M292" s="143" t="s">
        <v>340</v>
      </c>
      <c r="N292" s="143" t="s">
        <v>448</v>
      </c>
      <c r="O292" s="143" t="s">
        <v>339</v>
      </c>
      <c r="P292" s="143" t="s">
        <v>1222</v>
      </c>
      <c r="Q292" s="143" t="s">
        <v>413</v>
      </c>
      <c r="R292" s="143" t="s">
        <v>407</v>
      </c>
      <c r="S292" s="143" t="s">
        <v>1210</v>
      </c>
      <c r="T292" s="144">
        <v>4.63</v>
      </c>
      <c r="U292" s="143" t="s">
        <v>1595</v>
      </c>
      <c r="V292" s="146">
        <v>1.9900000000000001E-2</v>
      </c>
      <c r="W292" s="146">
        <v>2.5776E-2</v>
      </c>
      <c r="X292" s="143" t="s">
        <v>412</v>
      </c>
      <c r="Y292" s="145" t="s">
        <v>3853</v>
      </c>
      <c r="Z292" s="144">
        <v>250000</v>
      </c>
      <c r="AA292" s="145" t="s">
        <v>3853</v>
      </c>
      <c r="AB292" s="143" t="s">
        <v>1596</v>
      </c>
      <c r="AC292" s="145" t="s">
        <v>3853</v>
      </c>
      <c r="AD292" s="144">
        <v>250.57499999999999</v>
      </c>
      <c r="AE292" s="145" t="s">
        <v>3853</v>
      </c>
      <c r="AF292" s="145" t="s">
        <v>3853</v>
      </c>
      <c r="AG292" s="145" t="s">
        <v>3853</v>
      </c>
      <c r="AH292" s="146">
        <v>9.2592592592592588E-5</v>
      </c>
      <c r="AI292" s="146">
        <v>1.4741433906308278E-2</v>
      </c>
      <c r="AJ292" s="147">
        <v>8.8321483443987864E-4</v>
      </c>
      <c r="AK292" s="181"/>
    </row>
    <row r="293" spans="1:37" ht="15" x14ac:dyDescent="0.2">
      <c r="A293" s="142" t="s">
        <v>1218</v>
      </c>
      <c r="B293" s="143" t="s">
        <v>1219</v>
      </c>
      <c r="C293" s="143" t="s">
        <v>1355</v>
      </c>
      <c r="D293" s="143" t="s">
        <v>1356</v>
      </c>
      <c r="E293" s="143" t="s">
        <v>309</v>
      </c>
      <c r="F293" s="143" t="s">
        <v>1597</v>
      </c>
      <c r="G293" s="143" t="s">
        <v>1598</v>
      </c>
      <c r="H293" s="143" t="s">
        <v>321</v>
      </c>
      <c r="I293" s="143" t="s">
        <v>754</v>
      </c>
      <c r="J293" s="143" t="s">
        <v>204</v>
      </c>
      <c r="K293" s="143" t="s">
        <v>204</v>
      </c>
      <c r="L293" s="143" t="s">
        <v>325</v>
      </c>
      <c r="M293" s="143" t="s">
        <v>340</v>
      </c>
      <c r="N293" s="143" t="s">
        <v>445</v>
      </c>
      <c r="O293" s="143" t="s">
        <v>339</v>
      </c>
      <c r="P293" s="143" t="s">
        <v>1359</v>
      </c>
      <c r="Q293" s="143" t="s">
        <v>415</v>
      </c>
      <c r="R293" s="143" t="s">
        <v>407</v>
      </c>
      <c r="S293" s="143" t="s">
        <v>1210</v>
      </c>
      <c r="T293" s="144">
        <v>5.24</v>
      </c>
      <c r="U293" s="143" t="s">
        <v>1599</v>
      </c>
      <c r="V293" s="146">
        <v>4.6899999999999997E-2</v>
      </c>
      <c r="W293" s="146">
        <v>5.7537999999999999E-2</v>
      </c>
      <c r="X293" s="143" t="s">
        <v>412</v>
      </c>
      <c r="Y293" s="145" t="s">
        <v>3853</v>
      </c>
      <c r="Z293" s="144">
        <v>250000</v>
      </c>
      <c r="AA293" s="145" t="s">
        <v>3853</v>
      </c>
      <c r="AB293" s="143" t="s">
        <v>1600</v>
      </c>
      <c r="AC293" s="145" t="s">
        <v>3853</v>
      </c>
      <c r="AD293" s="144">
        <v>238.1</v>
      </c>
      <c r="AE293" s="145" t="s">
        <v>3853</v>
      </c>
      <c r="AF293" s="145" t="s">
        <v>3853</v>
      </c>
      <c r="AG293" s="145" t="s">
        <v>3853</v>
      </c>
      <c r="AH293" s="146">
        <v>5.0000000000000001E-4</v>
      </c>
      <c r="AI293" s="146">
        <v>1.400752434637135E-2</v>
      </c>
      <c r="AJ293" s="147">
        <v>8.3924354815977293E-4</v>
      </c>
      <c r="AK293" s="181"/>
    </row>
    <row r="294" spans="1:37" ht="15" x14ac:dyDescent="0.2">
      <c r="A294" s="142" t="s">
        <v>1218</v>
      </c>
      <c r="B294" s="143" t="s">
        <v>1219</v>
      </c>
      <c r="C294" s="143" t="s">
        <v>1481</v>
      </c>
      <c r="D294" s="143" t="s">
        <v>1482</v>
      </c>
      <c r="E294" s="143" t="s">
        <v>309</v>
      </c>
      <c r="F294" s="143" t="s">
        <v>1590</v>
      </c>
      <c r="G294" s="143" t="s">
        <v>1591</v>
      </c>
      <c r="H294" s="143" t="s">
        <v>321</v>
      </c>
      <c r="I294" s="143" t="s">
        <v>754</v>
      </c>
      <c r="J294" s="143" t="s">
        <v>204</v>
      </c>
      <c r="K294" s="143" t="s">
        <v>204</v>
      </c>
      <c r="L294" s="143" t="s">
        <v>325</v>
      </c>
      <c r="M294" s="143" t="s">
        <v>340</v>
      </c>
      <c r="N294" s="143" t="s">
        <v>448</v>
      </c>
      <c r="O294" s="143" t="s">
        <v>339</v>
      </c>
      <c r="P294" s="143" t="s">
        <v>1222</v>
      </c>
      <c r="Q294" s="143" t="s">
        <v>413</v>
      </c>
      <c r="R294" s="143" t="s">
        <v>407</v>
      </c>
      <c r="S294" s="143" t="s">
        <v>1210</v>
      </c>
      <c r="T294" s="144">
        <v>1.99</v>
      </c>
      <c r="U294" s="143" t="s">
        <v>1416</v>
      </c>
      <c r="V294" s="146">
        <v>8.3000000000000001E-3</v>
      </c>
      <c r="W294" s="146">
        <v>2.1007000000000001E-2</v>
      </c>
      <c r="X294" s="143" t="s">
        <v>412</v>
      </c>
      <c r="Y294" s="145" t="s">
        <v>3853</v>
      </c>
      <c r="Z294" s="144">
        <v>196507.5</v>
      </c>
      <c r="AA294" s="145" t="s">
        <v>3853</v>
      </c>
      <c r="AB294" s="143" t="s">
        <v>1592</v>
      </c>
      <c r="AC294" s="145" t="s">
        <v>3853</v>
      </c>
      <c r="AD294" s="144">
        <v>217.63210000000001</v>
      </c>
      <c r="AE294" s="145" t="s">
        <v>3853</v>
      </c>
      <c r="AF294" s="145" t="s">
        <v>3853</v>
      </c>
      <c r="AG294" s="145" t="s">
        <v>3853</v>
      </c>
      <c r="AH294" s="146">
        <v>1.2920066958239202E-4</v>
      </c>
      <c r="AI294" s="146">
        <v>1.2803386503455414E-2</v>
      </c>
      <c r="AJ294" s="147">
        <v>7.6709911415605747E-4</v>
      </c>
      <c r="AK294" s="181"/>
    </row>
    <row r="295" spans="1:37" ht="15" x14ac:dyDescent="0.2">
      <c r="A295" s="142" t="s">
        <v>1218</v>
      </c>
      <c r="B295" s="143" t="s">
        <v>1219</v>
      </c>
      <c r="C295" s="143" t="s">
        <v>1516</v>
      </c>
      <c r="D295" s="143" t="s">
        <v>1517</v>
      </c>
      <c r="E295" s="143" t="s">
        <v>309</v>
      </c>
      <c r="F295" s="143" t="s">
        <v>1613</v>
      </c>
      <c r="G295" s="143" t="s">
        <v>1614</v>
      </c>
      <c r="H295" s="143" t="s">
        <v>321</v>
      </c>
      <c r="I295" s="143" t="s">
        <v>754</v>
      </c>
      <c r="J295" s="143" t="s">
        <v>204</v>
      </c>
      <c r="K295" s="143" t="s">
        <v>204</v>
      </c>
      <c r="L295" s="143" t="s">
        <v>325</v>
      </c>
      <c r="M295" s="143" t="s">
        <v>340</v>
      </c>
      <c r="N295" s="143" t="s">
        <v>465</v>
      </c>
      <c r="O295" s="143" t="s">
        <v>339</v>
      </c>
      <c r="P295" s="143" t="s">
        <v>1402</v>
      </c>
      <c r="Q295" s="143" t="s">
        <v>415</v>
      </c>
      <c r="R295" s="143" t="s">
        <v>407</v>
      </c>
      <c r="S295" s="143" t="s">
        <v>1210</v>
      </c>
      <c r="T295" s="144">
        <v>4.3099999999999996</v>
      </c>
      <c r="U295" s="143" t="s">
        <v>1615</v>
      </c>
      <c r="V295" s="146">
        <v>1.7899999999999999E-2</v>
      </c>
      <c r="W295" s="146">
        <v>6.0524000000000001E-2</v>
      </c>
      <c r="X295" s="143" t="s">
        <v>412</v>
      </c>
      <c r="Y295" s="145" t="s">
        <v>3853</v>
      </c>
      <c r="Z295" s="144">
        <v>229680.89</v>
      </c>
      <c r="AA295" s="145" t="s">
        <v>3853</v>
      </c>
      <c r="AB295" s="143" t="s">
        <v>1616</v>
      </c>
      <c r="AC295" s="145" t="s">
        <v>3853</v>
      </c>
      <c r="AD295" s="144">
        <v>216.8647</v>
      </c>
      <c r="AE295" s="145" t="s">
        <v>3853</v>
      </c>
      <c r="AF295" s="145" t="s">
        <v>3853</v>
      </c>
      <c r="AG295" s="145" t="s">
        <v>3853</v>
      </c>
      <c r="AH295" s="146">
        <v>3.2690598119499987E-4</v>
      </c>
      <c r="AI295" s="146">
        <v>1.2758242393208588E-2</v>
      </c>
      <c r="AJ295" s="147">
        <v>7.6439436045902911E-4</v>
      </c>
      <c r="AK295" s="181"/>
    </row>
    <row r="296" spans="1:37" ht="15" x14ac:dyDescent="0.2">
      <c r="A296" s="142" t="s">
        <v>1218</v>
      </c>
      <c r="B296" s="143" t="s">
        <v>1219</v>
      </c>
      <c r="C296" s="143" t="s">
        <v>1584</v>
      </c>
      <c r="D296" s="143" t="s">
        <v>1585</v>
      </c>
      <c r="E296" s="143" t="s">
        <v>309</v>
      </c>
      <c r="F296" s="143" t="s">
        <v>1586</v>
      </c>
      <c r="G296" s="143" t="s">
        <v>1587</v>
      </c>
      <c r="H296" s="143" t="s">
        <v>321</v>
      </c>
      <c r="I296" s="143" t="s">
        <v>754</v>
      </c>
      <c r="J296" s="143" t="s">
        <v>204</v>
      </c>
      <c r="K296" s="143" t="s">
        <v>204</v>
      </c>
      <c r="L296" s="143" t="s">
        <v>325</v>
      </c>
      <c r="M296" s="143" t="s">
        <v>340</v>
      </c>
      <c r="N296" s="143" t="s">
        <v>448</v>
      </c>
      <c r="O296" s="143" t="s">
        <v>339</v>
      </c>
      <c r="P296" s="143" t="s">
        <v>1222</v>
      </c>
      <c r="Q296" s="143" t="s">
        <v>413</v>
      </c>
      <c r="R296" s="143" t="s">
        <v>407</v>
      </c>
      <c r="S296" s="143" t="s">
        <v>1210</v>
      </c>
      <c r="T296" s="144">
        <v>2.98</v>
      </c>
      <c r="U296" s="143" t="s">
        <v>1588</v>
      </c>
      <c r="V296" s="146">
        <v>1.4999999999999999E-2</v>
      </c>
      <c r="W296" s="146">
        <v>2.4263E-2</v>
      </c>
      <c r="X296" s="143" t="s">
        <v>412</v>
      </c>
      <c r="Y296" s="145" t="s">
        <v>3853</v>
      </c>
      <c r="Z296" s="144">
        <v>187211.45</v>
      </c>
      <c r="AA296" s="145" t="s">
        <v>3853</v>
      </c>
      <c r="AB296" s="143" t="s">
        <v>1589</v>
      </c>
      <c r="AC296" s="145" t="s">
        <v>3853</v>
      </c>
      <c r="AD296" s="144">
        <v>208.12299999999999</v>
      </c>
      <c r="AE296" s="145" t="s">
        <v>3853</v>
      </c>
      <c r="AF296" s="145" t="s">
        <v>3853</v>
      </c>
      <c r="AG296" s="145" t="s">
        <v>3853</v>
      </c>
      <c r="AH296" s="146">
        <v>6.706720438999081E-4</v>
      </c>
      <c r="AI296" s="146">
        <v>1.2243962850971553E-2</v>
      </c>
      <c r="AJ296" s="147">
        <v>7.3358193585776105E-4</v>
      </c>
      <c r="AK296" s="181"/>
    </row>
    <row r="297" spans="1:37" ht="15" x14ac:dyDescent="0.2">
      <c r="A297" s="142" t="s">
        <v>1218</v>
      </c>
      <c r="B297" s="143" t="s">
        <v>1219</v>
      </c>
      <c r="C297" s="143" t="s">
        <v>1491</v>
      </c>
      <c r="D297" s="143" t="s">
        <v>1492</v>
      </c>
      <c r="E297" s="143" t="s">
        <v>309</v>
      </c>
      <c r="F297" s="143" t="s">
        <v>1493</v>
      </c>
      <c r="G297" s="143" t="s">
        <v>1494</v>
      </c>
      <c r="H297" s="143" t="s">
        <v>321</v>
      </c>
      <c r="I297" s="143" t="s">
        <v>754</v>
      </c>
      <c r="J297" s="143" t="s">
        <v>204</v>
      </c>
      <c r="K297" s="143" t="s">
        <v>204</v>
      </c>
      <c r="L297" s="143" t="s">
        <v>325</v>
      </c>
      <c r="M297" s="143" t="s">
        <v>340</v>
      </c>
      <c r="N297" s="143" t="s">
        <v>464</v>
      </c>
      <c r="O297" s="143" t="s">
        <v>339</v>
      </c>
      <c r="P297" s="143" t="s">
        <v>1409</v>
      </c>
      <c r="Q297" s="143" t="s">
        <v>413</v>
      </c>
      <c r="R297" s="143" t="s">
        <v>407</v>
      </c>
      <c r="S297" s="143" t="s">
        <v>1210</v>
      </c>
      <c r="T297" s="144">
        <v>1.01</v>
      </c>
      <c r="U297" s="143" t="s">
        <v>1495</v>
      </c>
      <c r="V297" s="146">
        <v>2.1100000000000001E-2</v>
      </c>
      <c r="W297" s="146">
        <v>2.5402999999999998E-2</v>
      </c>
      <c r="X297" s="143" t="s">
        <v>412</v>
      </c>
      <c r="Y297" s="145" t="s">
        <v>3853</v>
      </c>
      <c r="Z297" s="144">
        <v>176051.78</v>
      </c>
      <c r="AA297" s="145" t="s">
        <v>3853</v>
      </c>
      <c r="AB297" s="143" t="s">
        <v>1496</v>
      </c>
      <c r="AC297" s="144">
        <v>4.2858999999999998</v>
      </c>
      <c r="AD297" s="144">
        <v>205.7595</v>
      </c>
      <c r="AE297" s="145" t="s">
        <v>3853</v>
      </c>
      <c r="AF297" s="145" t="s">
        <v>3853</v>
      </c>
      <c r="AG297" s="145" t="s">
        <v>3853</v>
      </c>
      <c r="AH297" s="146">
        <v>2.2894493377325948E-4</v>
      </c>
      <c r="AI297" s="146">
        <v>1.235706246564448E-2</v>
      </c>
      <c r="AJ297" s="147">
        <v>7.4035815980472847E-4</v>
      </c>
      <c r="AK297" s="181"/>
    </row>
    <row r="298" spans="1:37" ht="15" x14ac:dyDescent="0.2">
      <c r="A298" s="142" t="s">
        <v>1218</v>
      </c>
      <c r="B298" s="143" t="s">
        <v>1219</v>
      </c>
      <c r="C298" s="143" t="s">
        <v>1424</v>
      </c>
      <c r="D298" s="143" t="s">
        <v>1425</v>
      </c>
      <c r="E298" s="143" t="s">
        <v>309</v>
      </c>
      <c r="F298" s="143" t="s">
        <v>1741</v>
      </c>
      <c r="G298" s="143" t="s">
        <v>1742</v>
      </c>
      <c r="H298" s="143" t="s">
        <v>321</v>
      </c>
      <c r="I298" s="143" t="s">
        <v>754</v>
      </c>
      <c r="J298" s="143" t="s">
        <v>204</v>
      </c>
      <c r="K298" s="143" t="s">
        <v>204</v>
      </c>
      <c r="L298" s="143" t="s">
        <v>325</v>
      </c>
      <c r="M298" s="143" t="s">
        <v>340</v>
      </c>
      <c r="N298" s="143" t="s">
        <v>445</v>
      </c>
      <c r="O298" s="143" t="s">
        <v>339</v>
      </c>
      <c r="P298" s="143" t="s">
        <v>1359</v>
      </c>
      <c r="Q298" s="143" t="s">
        <v>415</v>
      </c>
      <c r="R298" s="143" t="s">
        <v>407</v>
      </c>
      <c r="S298" s="143" t="s">
        <v>1210</v>
      </c>
      <c r="T298" s="144">
        <v>2.44</v>
      </c>
      <c r="U298" s="143" t="s">
        <v>1514</v>
      </c>
      <c r="V298" s="146">
        <v>2.4E-2</v>
      </c>
      <c r="W298" s="146">
        <v>2.2946000000000001E-2</v>
      </c>
      <c r="X298" s="143" t="s">
        <v>412</v>
      </c>
      <c r="Y298" s="145" t="s">
        <v>3853</v>
      </c>
      <c r="Z298" s="144">
        <v>139202.07999999999</v>
      </c>
      <c r="AA298" s="145" t="s">
        <v>3853</v>
      </c>
      <c r="AB298" s="143" t="s">
        <v>1743</v>
      </c>
      <c r="AC298" s="145" t="s">
        <v>3853</v>
      </c>
      <c r="AD298" s="144">
        <v>158.48160000000001</v>
      </c>
      <c r="AE298" s="145" t="s">
        <v>3853</v>
      </c>
      <c r="AF298" s="145" t="s">
        <v>3853</v>
      </c>
      <c r="AG298" s="145" t="s">
        <v>3853</v>
      </c>
      <c r="AH298" s="146">
        <v>4.7156509537212422E-4</v>
      </c>
      <c r="AI298" s="146">
        <v>9.3235381072310324E-3</v>
      </c>
      <c r="AJ298" s="147">
        <v>5.5860828859044022E-4</v>
      </c>
      <c r="AK298" s="181"/>
    </row>
    <row r="299" spans="1:37" ht="15" x14ac:dyDescent="0.2">
      <c r="A299" s="142" t="s">
        <v>1218</v>
      </c>
      <c r="B299" s="143" t="s">
        <v>1219</v>
      </c>
      <c r="C299" s="143" t="s">
        <v>1516</v>
      </c>
      <c r="D299" s="143" t="s">
        <v>1517</v>
      </c>
      <c r="E299" s="143" t="s">
        <v>309</v>
      </c>
      <c r="F299" s="143" t="s">
        <v>1605</v>
      </c>
      <c r="G299" s="143" t="s">
        <v>1606</v>
      </c>
      <c r="H299" s="143" t="s">
        <v>321</v>
      </c>
      <c r="I299" s="143" t="s">
        <v>754</v>
      </c>
      <c r="J299" s="143" t="s">
        <v>204</v>
      </c>
      <c r="K299" s="143" t="s">
        <v>204</v>
      </c>
      <c r="L299" s="143" t="s">
        <v>325</v>
      </c>
      <c r="M299" s="143" t="s">
        <v>340</v>
      </c>
      <c r="N299" s="143" t="s">
        <v>465</v>
      </c>
      <c r="O299" s="143" t="s">
        <v>339</v>
      </c>
      <c r="P299" s="143" t="s">
        <v>1402</v>
      </c>
      <c r="Q299" s="143" t="s">
        <v>415</v>
      </c>
      <c r="R299" s="143" t="s">
        <v>407</v>
      </c>
      <c r="S299" s="143" t="s">
        <v>1210</v>
      </c>
      <c r="T299" s="144">
        <v>0.25</v>
      </c>
      <c r="U299" s="143" t="s">
        <v>1607</v>
      </c>
      <c r="V299" s="146">
        <v>5.3499999999999999E-2</v>
      </c>
      <c r="W299" s="146">
        <v>3.9487000000000001E-2</v>
      </c>
      <c r="X299" s="143" t="s">
        <v>412</v>
      </c>
      <c r="Y299" s="145" t="s">
        <v>3853</v>
      </c>
      <c r="Z299" s="144">
        <v>123855.85</v>
      </c>
      <c r="AA299" s="145" t="s">
        <v>3853</v>
      </c>
      <c r="AB299" s="143" t="s">
        <v>1608</v>
      </c>
      <c r="AC299" s="145" t="s">
        <v>3853</v>
      </c>
      <c r="AD299" s="144">
        <v>148.10679999999999</v>
      </c>
      <c r="AE299" s="145" t="s">
        <v>3853</v>
      </c>
      <c r="AF299" s="145" t="s">
        <v>3853</v>
      </c>
      <c r="AG299" s="145" t="s">
        <v>3853</v>
      </c>
      <c r="AH299" s="146">
        <v>3.7466235887115138E-4</v>
      </c>
      <c r="AI299" s="146">
        <v>8.7131875811612622E-3</v>
      </c>
      <c r="AJ299" s="147">
        <v>5.220398894605346E-4</v>
      </c>
      <c r="AK299" s="181"/>
    </row>
    <row r="300" spans="1:37" ht="15" x14ac:dyDescent="0.2">
      <c r="A300" s="142" t="s">
        <v>1218</v>
      </c>
      <c r="B300" s="143" t="s">
        <v>1219</v>
      </c>
      <c r="C300" s="143" t="s">
        <v>1349</v>
      </c>
      <c r="D300" s="143" t="s">
        <v>1350</v>
      </c>
      <c r="E300" s="143" t="s">
        <v>309</v>
      </c>
      <c r="F300" s="143" t="s">
        <v>1609</v>
      </c>
      <c r="G300" s="143" t="s">
        <v>1610</v>
      </c>
      <c r="H300" s="143" t="s">
        <v>321</v>
      </c>
      <c r="I300" s="143" t="s">
        <v>754</v>
      </c>
      <c r="J300" s="143" t="s">
        <v>204</v>
      </c>
      <c r="K300" s="143" t="s">
        <v>204</v>
      </c>
      <c r="L300" s="143" t="s">
        <v>325</v>
      </c>
      <c r="M300" s="143" t="s">
        <v>340</v>
      </c>
      <c r="N300" s="143" t="s">
        <v>448</v>
      </c>
      <c r="O300" s="143" t="s">
        <v>339</v>
      </c>
      <c r="P300" s="143" t="s">
        <v>1209</v>
      </c>
      <c r="Q300" s="143" t="s">
        <v>415</v>
      </c>
      <c r="R300" s="143" t="s">
        <v>407</v>
      </c>
      <c r="S300" s="143" t="s">
        <v>1210</v>
      </c>
      <c r="T300" s="144">
        <v>0.67</v>
      </c>
      <c r="U300" s="143" t="s">
        <v>1611</v>
      </c>
      <c r="V300" s="146">
        <v>9.4999999999999998E-3</v>
      </c>
      <c r="W300" s="146">
        <v>2.8906999999999999E-2</v>
      </c>
      <c r="X300" s="143" t="s">
        <v>412</v>
      </c>
      <c r="Y300" s="145" t="s">
        <v>3853</v>
      </c>
      <c r="Z300" s="144">
        <v>100005.55</v>
      </c>
      <c r="AA300" s="145" t="s">
        <v>3853</v>
      </c>
      <c r="AB300" s="143" t="s">
        <v>1612</v>
      </c>
      <c r="AC300" s="145" t="s">
        <v>3853</v>
      </c>
      <c r="AD300" s="144">
        <v>113.3563</v>
      </c>
      <c r="AE300" s="145" t="s">
        <v>3853</v>
      </c>
      <c r="AF300" s="145" t="s">
        <v>3853</v>
      </c>
      <c r="AG300" s="145" t="s">
        <v>3853</v>
      </c>
      <c r="AH300" s="146">
        <v>6.2224092298095971E-4</v>
      </c>
      <c r="AI300" s="146">
        <v>6.668798844797528E-3</v>
      </c>
      <c r="AJ300" s="147">
        <v>3.9955285931175333E-4</v>
      </c>
      <c r="AK300" s="181"/>
    </row>
    <row r="301" spans="1:37" ht="15" x14ac:dyDescent="0.2">
      <c r="A301" s="142" t="s">
        <v>1218</v>
      </c>
      <c r="B301" s="143" t="s">
        <v>1219</v>
      </c>
      <c r="C301" s="143" t="s">
        <v>1623</v>
      </c>
      <c r="D301" s="143" t="s">
        <v>1624</v>
      </c>
      <c r="E301" s="143" t="s">
        <v>309</v>
      </c>
      <c r="F301" s="143" t="s">
        <v>1625</v>
      </c>
      <c r="G301" s="143" t="s">
        <v>1626</v>
      </c>
      <c r="H301" s="143" t="s">
        <v>321</v>
      </c>
      <c r="I301" s="143" t="s">
        <v>754</v>
      </c>
      <c r="J301" s="143" t="s">
        <v>204</v>
      </c>
      <c r="K301" s="143" t="s">
        <v>204</v>
      </c>
      <c r="L301" s="143" t="s">
        <v>325</v>
      </c>
      <c r="M301" s="143" t="s">
        <v>340</v>
      </c>
      <c r="N301" s="143" t="s">
        <v>445</v>
      </c>
      <c r="O301" s="143" t="s">
        <v>339</v>
      </c>
      <c r="P301" s="143" t="s">
        <v>1627</v>
      </c>
      <c r="Q301" s="143" t="s">
        <v>415</v>
      </c>
      <c r="R301" s="143" t="s">
        <v>407</v>
      </c>
      <c r="S301" s="143" t="s">
        <v>1210</v>
      </c>
      <c r="T301" s="144">
        <v>4.76</v>
      </c>
      <c r="U301" s="143" t="s">
        <v>1628</v>
      </c>
      <c r="V301" s="146">
        <v>5.1700000000000003E-2</v>
      </c>
      <c r="W301" s="146">
        <v>5.8743999999999998E-2</v>
      </c>
      <c r="X301" s="143" t="s">
        <v>412</v>
      </c>
      <c r="Y301" s="145" t="s">
        <v>3853</v>
      </c>
      <c r="Z301" s="144">
        <v>97816</v>
      </c>
      <c r="AA301" s="145" t="s">
        <v>3853</v>
      </c>
      <c r="AB301" s="143" t="s">
        <v>1629</v>
      </c>
      <c r="AC301" s="145" t="s">
        <v>3853</v>
      </c>
      <c r="AD301" s="144">
        <v>95.448899999999995</v>
      </c>
      <c r="AE301" s="145" t="s">
        <v>3853</v>
      </c>
      <c r="AF301" s="145" t="s">
        <v>3853</v>
      </c>
      <c r="AG301" s="145" t="s">
        <v>3853</v>
      </c>
      <c r="AH301" s="146">
        <v>1.6029786271701404E-4</v>
      </c>
      <c r="AI301" s="146">
        <v>5.6152966376699512E-3</v>
      </c>
      <c r="AJ301" s="147">
        <v>3.3643357367346439E-4</v>
      </c>
      <c r="AK301" s="181"/>
    </row>
    <row r="302" spans="1:37" ht="15" x14ac:dyDescent="0.2">
      <c r="A302" s="142" t="s">
        <v>1218</v>
      </c>
      <c r="B302" s="143" t="s">
        <v>1219</v>
      </c>
      <c r="C302" s="143" t="s">
        <v>1617</v>
      </c>
      <c r="D302" s="143" t="s">
        <v>1618</v>
      </c>
      <c r="E302" s="143" t="s">
        <v>309</v>
      </c>
      <c r="F302" s="143" t="s">
        <v>1619</v>
      </c>
      <c r="G302" s="143" t="s">
        <v>1620</v>
      </c>
      <c r="H302" s="143" t="s">
        <v>321</v>
      </c>
      <c r="I302" s="143" t="s">
        <v>754</v>
      </c>
      <c r="J302" s="143" t="s">
        <v>204</v>
      </c>
      <c r="K302" s="143" t="s">
        <v>204</v>
      </c>
      <c r="L302" s="143" t="s">
        <v>325</v>
      </c>
      <c r="M302" s="143" t="s">
        <v>340</v>
      </c>
      <c r="N302" s="143" t="s">
        <v>440</v>
      </c>
      <c r="O302" s="143" t="s">
        <v>339</v>
      </c>
      <c r="P302" s="143" t="s">
        <v>1347</v>
      </c>
      <c r="Q302" s="143" t="s">
        <v>413</v>
      </c>
      <c r="R302" s="143" t="s">
        <v>407</v>
      </c>
      <c r="S302" s="143" t="s">
        <v>1210</v>
      </c>
      <c r="T302" s="144">
        <v>3.31</v>
      </c>
      <c r="U302" s="143" t="s">
        <v>1621</v>
      </c>
      <c r="V302" s="146">
        <v>1.23E-2</v>
      </c>
      <c r="W302" s="146">
        <v>2.8667000000000002E-2</v>
      </c>
      <c r="X302" s="143" t="s">
        <v>412</v>
      </c>
      <c r="Y302" s="145" t="s">
        <v>3853</v>
      </c>
      <c r="Z302" s="144">
        <v>87096.97</v>
      </c>
      <c r="AA302" s="145" t="s">
        <v>3853</v>
      </c>
      <c r="AB302" s="143" t="s">
        <v>1622</v>
      </c>
      <c r="AC302" s="145" t="s">
        <v>3853</v>
      </c>
      <c r="AD302" s="144">
        <v>94.395699999999991</v>
      </c>
      <c r="AE302" s="145" t="s">
        <v>3853</v>
      </c>
      <c r="AF302" s="145" t="s">
        <v>3853</v>
      </c>
      <c r="AG302" s="145" t="s">
        <v>3853</v>
      </c>
      <c r="AH302" s="146">
        <v>7.8121519698642579E-5</v>
      </c>
      <c r="AI302" s="146">
        <v>5.5533389799131286E-3</v>
      </c>
      <c r="AJ302" s="147">
        <v>3.3272145701060993E-4</v>
      </c>
      <c r="AK302" s="181"/>
    </row>
    <row r="303" spans="1:37" ht="15" x14ac:dyDescent="0.2">
      <c r="A303" s="142" t="s">
        <v>1218</v>
      </c>
      <c r="B303" s="143" t="s">
        <v>1219</v>
      </c>
      <c r="C303" s="143" t="s">
        <v>1617</v>
      </c>
      <c r="D303" s="143" t="s">
        <v>1618</v>
      </c>
      <c r="E303" s="143" t="s">
        <v>309</v>
      </c>
      <c r="F303" s="143" t="s">
        <v>1630</v>
      </c>
      <c r="G303" s="143" t="s">
        <v>1631</v>
      </c>
      <c r="H303" s="143" t="s">
        <v>321</v>
      </c>
      <c r="I303" s="143" t="s">
        <v>754</v>
      </c>
      <c r="J303" s="143" t="s">
        <v>204</v>
      </c>
      <c r="K303" s="143" t="s">
        <v>204</v>
      </c>
      <c r="L303" s="143" t="s">
        <v>325</v>
      </c>
      <c r="M303" s="143" t="s">
        <v>340</v>
      </c>
      <c r="N303" s="143" t="s">
        <v>440</v>
      </c>
      <c r="O303" s="143" t="s">
        <v>339</v>
      </c>
      <c r="P303" s="143" t="s">
        <v>1347</v>
      </c>
      <c r="Q303" s="143" t="s">
        <v>413</v>
      </c>
      <c r="R303" s="143" t="s">
        <v>407</v>
      </c>
      <c r="S303" s="143" t="s">
        <v>1210</v>
      </c>
      <c r="T303" s="144">
        <v>2.34</v>
      </c>
      <c r="U303" s="143" t="s">
        <v>1632</v>
      </c>
      <c r="V303" s="146">
        <v>1.9400000000000001E-2</v>
      </c>
      <c r="W303" s="146">
        <v>2.5323999999999999E-2</v>
      </c>
      <c r="X303" s="143" t="s">
        <v>412</v>
      </c>
      <c r="Y303" s="145" t="s">
        <v>3853</v>
      </c>
      <c r="Z303" s="144">
        <v>68641.460000000006</v>
      </c>
      <c r="AA303" s="145" t="s">
        <v>3853</v>
      </c>
      <c r="AB303" s="143" t="s">
        <v>1633</v>
      </c>
      <c r="AC303" s="145" t="s">
        <v>3853</v>
      </c>
      <c r="AD303" s="144">
        <v>77.633499999999998</v>
      </c>
      <c r="AE303" s="145" t="s">
        <v>3853</v>
      </c>
      <c r="AF303" s="145" t="s">
        <v>3853</v>
      </c>
      <c r="AG303" s="145" t="s">
        <v>3853</v>
      </c>
      <c r="AH303" s="146">
        <v>2.2785273918494368E-4</v>
      </c>
      <c r="AI303" s="146">
        <v>4.5672113352299764E-3</v>
      </c>
      <c r="AJ303" s="147">
        <v>2.7363883519980313E-4</v>
      </c>
      <c r="AK303" s="181"/>
    </row>
    <row r="304" spans="1:37" ht="15" x14ac:dyDescent="0.2">
      <c r="A304" s="142" t="s">
        <v>1218</v>
      </c>
      <c r="B304" s="143" t="s">
        <v>1219</v>
      </c>
      <c r="C304" s="143" t="s">
        <v>1430</v>
      </c>
      <c r="D304" s="143" t="s">
        <v>1431</v>
      </c>
      <c r="E304" s="143" t="s">
        <v>309</v>
      </c>
      <c r="F304" s="143" t="s">
        <v>1660</v>
      </c>
      <c r="G304" s="143" t="s">
        <v>1661</v>
      </c>
      <c r="H304" s="143" t="s">
        <v>321</v>
      </c>
      <c r="I304" s="143" t="s">
        <v>754</v>
      </c>
      <c r="J304" s="143" t="s">
        <v>204</v>
      </c>
      <c r="K304" s="143" t="s">
        <v>204</v>
      </c>
      <c r="L304" s="143" t="s">
        <v>325</v>
      </c>
      <c r="M304" s="143" t="s">
        <v>340</v>
      </c>
      <c r="N304" s="143" t="s">
        <v>484</v>
      </c>
      <c r="O304" s="143" t="s">
        <v>339</v>
      </c>
      <c r="P304" s="143" t="s">
        <v>1396</v>
      </c>
      <c r="Q304" s="143" t="s">
        <v>413</v>
      </c>
      <c r="R304" s="143" t="s">
        <v>407</v>
      </c>
      <c r="S304" s="143" t="s">
        <v>1210</v>
      </c>
      <c r="T304" s="144">
        <v>0.01</v>
      </c>
      <c r="U304" s="143" t="s">
        <v>1662</v>
      </c>
      <c r="V304" s="146">
        <v>1.9800000000000002E-2</v>
      </c>
      <c r="W304" s="146">
        <v>7.3847999999999997E-2</v>
      </c>
      <c r="X304" s="143" t="s">
        <v>412</v>
      </c>
      <c r="Y304" s="145" t="s">
        <v>3853</v>
      </c>
      <c r="Z304" s="144">
        <v>61836.41</v>
      </c>
      <c r="AA304" s="145" t="s">
        <v>3853</v>
      </c>
      <c r="AB304" s="143" t="s">
        <v>1663</v>
      </c>
      <c r="AC304" s="145" t="s">
        <v>3853</v>
      </c>
      <c r="AD304" s="144">
        <v>70.920199999999994</v>
      </c>
      <c r="AE304" s="145" t="s">
        <v>3853</v>
      </c>
      <c r="AF304" s="145" t="s">
        <v>3853</v>
      </c>
      <c r="AG304" s="145" t="s">
        <v>3853</v>
      </c>
      <c r="AH304" s="146">
        <v>4.0697969899787279E-4</v>
      </c>
      <c r="AI304" s="146">
        <v>4.1722642956519224E-3</v>
      </c>
      <c r="AJ304" s="147">
        <v>2.4997607034324594E-4</v>
      </c>
      <c r="AK304" s="181"/>
    </row>
    <row r="305" spans="1:37" ht="15" x14ac:dyDescent="0.2">
      <c r="A305" s="142" t="s">
        <v>1218</v>
      </c>
      <c r="B305" s="143" t="s">
        <v>1219</v>
      </c>
      <c r="C305" s="143" t="s">
        <v>1634</v>
      </c>
      <c r="D305" s="143" t="s">
        <v>1635</v>
      </c>
      <c r="E305" s="143" t="s">
        <v>309</v>
      </c>
      <c r="F305" s="143" t="s">
        <v>1636</v>
      </c>
      <c r="G305" s="143" t="s">
        <v>1637</v>
      </c>
      <c r="H305" s="143" t="s">
        <v>321</v>
      </c>
      <c r="I305" s="143" t="s">
        <v>754</v>
      </c>
      <c r="J305" s="143" t="s">
        <v>204</v>
      </c>
      <c r="K305" s="143" t="s">
        <v>204</v>
      </c>
      <c r="L305" s="143" t="s">
        <v>325</v>
      </c>
      <c r="M305" s="143" t="s">
        <v>340</v>
      </c>
      <c r="N305" s="143" t="s">
        <v>464</v>
      </c>
      <c r="O305" s="143" t="s">
        <v>339</v>
      </c>
      <c r="P305" s="143" t="s">
        <v>1409</v>
      </c>
      <c r="Q305" s="143" t="s">
        <v>413</v>
      </c>
      <c r="R305" s="143" t="s">
        <v>407</v>
      </c>
      <c r="S305" s="143" t="s">
        <v>1210</v>
      </c>
      <c r="T305" s="144">
        <v>0.22</v>
      </c>
      <c r="U305" s="143" t="s">
        <v>1638</v>
      </c>
      <c r="V305" s="146">
        <v>0.04</v>
      </c>
      <c r="W305" s="146">
        <v>2.2232999999999999E-2</v>
      </c>
      <c r="X305" s="143" t="s">
        <v>412</v>
      </c>
      <c r="Y305" s="145" t="s">
        <v>3853</v>
      </c>
      <c r="Z305" s="144">
        <v>54478.11</v>
      </c>
      <c r="AA305" s="145" t="s">
        <v>3853</v>
      </c>
      <c r="AB305" s="143" t="s">
        <v>1639</v>
      </c>
      <c r="AC305" s="145" t="s">
        <v>3853</v>
      </c>
      <c r="AD305" s="144">
        <v>62.655300000000004</v>
      </c>
      <c r="AE305" s="145" t="s">
        <v>3853</v>
      </c>
      <c r="AF305" s="145" t="s">
        <v>3853</v>
      </c>
      <c r="AG305" s="145" t="s">
        <v>3853</v>
      </c>
      <c r="AH305" s="146">
        <v>6.6917452861418555E-4</v>
      </c>
      <c r="AI305" s="146">
        <v>3.6860364566984796E-3</v>
      </c>
      <c r="AJ305" s="147">
        <v>2.2084432895290849E-4</v>
      </c>
      <c r="AK305" s="181"/>
    </row>
    <row r="306" spans="1:37" ht="15" x14ac:dyDescent="0.2">
      <c r="A306" s="142" t="s">
        <v>1218</v>
      </c>
      <c r="B306" s="143" t="s">
        <v>1219</v>
      </c>
      <c r="C306" s="143" t="s">
        <v>1623</v>
      </c>
      <c r="D306" s="143" t="s">
        <v>1624</v>
      </c>
      <c r="E306" s="143" t="s">
        <v>309</v>
      </c>
      <c r="F306" s="143" t="s">
        <v>1646</v>
      </c>
      <c r="G306" s="143" t="s">
        <v>1647</v>
      </c>
      <c r="H306" s="143" t="s">
        <v>321</v>
      </c>
      <c r="I306" s="143" t="s">
        <v>754</v>
      </c>
      <c r="J306" s="143" t="s">
        <v>204</v>
      </c>
      <c r="K306" s="143" t="s">
        <v>204</v>
      </c>
      <c r="L306" s="143" t="s">
        <v>325</v>
      </c>
      <c r="M306" s="143" t="s">
        <v>340</v>
      </c>
      <c r="N306" s="143" t="s">
        <v>445</v>
      </c>
      <c r="O306" s="143" t="s">
        <v>339</v>
      </c>
      <c r="P306" s="143" t="s">
        <v>1627</v>
      </c>
      <c r="Q306" s="143" t="s">
        <v>415</v>
      </c>
      <c r="R306" s="143" t="s">
        <v>407</v>
      </c>
      <c r="S306" s="143" t="s">
        <v>1210</v>
      </c>
      <c r="T306" s="144">
        <v>5.55</v>
      </c>
      <c r="U306" s="143" t="s">
        <v>1648</v>
      </c>
      <c r="V306" s="146">
        <v>5.3999999999999999E-2</v>
      </c>
      <c r="W306" s="146">
        <v>6.1131999999999999E-2</v>
      </c>
      <c r="X306" s="143" t="s">
        <v>412</v>
      </c>
      <c r="Y306" s="145" t="s">
        <v>3853</v>
      </c>
      <c r="Z306" s="144">
        <v>53017</v>
      </c>
      <c r="AA306" s="145" t="s">
        <v>3853</v>
      </c>
      <c r="AB306" s="143" t="s">
        <v>1649</v>
      </c>
      <c r="AC306" s="145" t="s">
        <v>3853</v>
      </c>
      <c r="AD306" s="144">
        <v>51.262099999999997</v>
      </c>
      <c r="AE306" s="145" t="s">
        <v>3853</v>
      </c>
      <c r="AF306" s="145" t="s">
        <v>3853</v>
      </c>
      <c r="AG306" s="145" t="s">
        <v>3853</v>
      </c>
      <c r="AH306" s="146">
        <v>9.2767081680942109E-5</v>
      </c>
      <c r="AI306" s="146">
        <v>3.0157733568953421E-3</v>
      </c>
      <c r="AJ306" s="147">
        <v>1.806863418475659E-4</v>
      </c>
      <c r="AK306" s="181"/>
    </row>
    <row r="307" spans="1:37" ht="15" x14ac:dyDescent="0.2">
      <c r="A307" s="142" t="s">
        <v>1218</v>
      </c>
      <c r="B307" s="143" t="s">
        <v>1219</v>
      </c>
      <c r="C307" s="143" t="s">
        <v>1516</v>
      </c>
      <c r="D307" s="143" t="s">
        <v>1517</v>
      </c>
      <c r="E307" s="143" t="s">
        <v>309</v>
      </c>
      <c r="F307" s="143" t="s">
        <v>1518</v>
      </c>
      <c r="G307" s="143" t="s">
        <v>1519</v>
      </c>
      <c r="H307" s="143" t="s">
        <v>321</v>
      </c>
      <c r="I307" s="143" t="s">
        <v>754</v>
      </c>
      <c r="J307" s="143" t="s">
        <v>204</v>
      </c>
      <c r="K307" s="143" t="s">
        <v>204</v>
      </c>
      <c r="L307" s="143" t="s">
        <v>325</v>
      </c>
      <c r="M307" s="143" t="s">
        <v>340</v>
      </c>
      <c r="N307" s="143" t="s">
        <v>465</v>
      </c>
      <c r="O307" s="143" t="s">
        <v>339</v>
      </c>
      <c r="P307" s="143" t="s">
        <v>1402</v>
      </c>
      <c r="Q307" s="143" t="s">
        <v>415</v>
      </c>
      <c r="R307" s="143" t="s">
        <v>407</v>
      </c>
      <c r="S307" s="143" t="s">
        <v>1210</v>
      </c>
      <c r="T307" s="144">
        <v>2.1</v>
      </c>
      <c r="U307" s="143" t="s">
        <v>1520</v>
      </c>
      <c r="V307" s="146">
        <v>0.04</v>
      </c>
      <c r="W307" s="146">
        <v>5.3921999999999998E-2</v>
      </c>
      <c r="X307" s="143" t="s">
        <v>412</v>
      </c>
      <c r="Y307" s="145" t="s">
        <v>3853</v>
      </c>
      <c r="Z307" s="144">
        <v>40824.75</v>
      </c>
      <c r="AA307" s="145" t="s">
        <v>3853</v>
      </c>
      <c r="AB307" s="143" t="s">
        <v>1521</v>
      </c>
      <c r="AC307" s="145" t="s">
        <v>3853</v>
      </c>
      <c r="AD307" s="144">
        <v>45.021500000000003</v>
      </c>
      <c r="AE307" s="145" t="s">
        <v>3853</v>
      </c>
      <c r="AF307" s="145" t="s">
        <v>3853</v>
      </c>
      <c r="AG307" s="145" t="s">
        <v>3853</v>
      </c>
      <c r="AH307" s="146">
        <v>1.8882233006559654E-5</v>
      </c>
      <c r="AI307" s="146">
        <v>2.6486360261160978E-3</v>
      </c>
      <c r="AJ307" s="147">
        <v>1.5868976140079343E-4</v>
      </c>
      <c r="AK307" s="181"/>
    </row>
    <row r="308" spans="1:37" ht="15" x14ac:dyDescent="0.2">
      <c r="A308" s="142" t="s">
        <v>1218</v>
      </c>
      <c r="B308" s="143" t="s">
        <v>1219</v>
      </c>
      <c r="C308" s="143" t="s">
        <v>1640</v>
      </c>
      <c r="D308" s="143" t="s">
        <v>1641</v>
      </c>
      <c r="E308" s="143" t="s">
        <v>309</v>
      </c>
      <c r="F308" s="143" t="s">
        <v>1642</v>
      </c>
      <c r="G308" s="143" t="s">
        <v>1643</v>
      </c>
      <c r="H308" s="143" t="s">
        <v>321</v>
      </c>
      <c r="I308" s="143" t="s">
        <v>754</v>
      </c>
      <c r="J308" s="143" t="s">
        <v>204</v>
      </c>
      <c r="K308" s="143" t="s">
        <v>204</v>
      </c>
      <c r="L308" s="143" t="s">
        <v>325</v>
      </c>
      <c r="M308" s="143" t="s">
        <v>340</v>
      </c>
      <c r="N308" s="143" t="s">
        <v>445</v>
      </c>
      <c r="O308" s="143" t="s">
        <v>339</v>
      </c>
      <c r="P308" s="143" t="s">
        <v>1409</v>
      </c>
      <c r="Q308" s="143" t="s">
        <v>413</v>
      </c>
      <c r="R308" s="143" t="s">
        <v>407</v>
      </c>
      <c r="S308" s="143" t="s">
        <v>1210</v>
      </c>
      <c r="T308" s="144">
        <v>4.79</v>
      </c>
      <c r="U308" s="143" t="s">
        <v>1644</v>
      </c>
      <c r="V308" s="146">
        <v>4.4000000000000003E-3</v>
      </c>
      <c r="W308" s="146">
        <v>2.8766E-2</v>
      </c>
      <c r="X308" s="143" t="s">
        <v>412</v>
      </c>
      <c r="Y308" s="145" t="s">
        <v>3853</v>
      </c>
      <c r="Z308" s="144">
        <v>41453.279999999999</v>
      </c>
      <c r="AA308" s="145" t="s">
        <v>3853</v>
      </c>
      <c r="AB308" s="143" t="s">
        <v>1645</v>
      </c>
      <c r="AC308" s="145" t="s">
        <v>3853</v>
      </c>
      <c r="AD308" s="144">
        <v>41.901000000000003</v>
      </c>
      <c r="AE308" s="145" t="s">
        <v>3853</v>
      </c>
      <c r="AF308" s="145" t="s">
        <v>3853</v>
      </c>
      <c r="AG308" s="145" t="s">
        <v>3853</v>
      </c>
      <c r="AH308" s="146">
        <v>4.8597264095326231E-5</v>
      </c>
      <c r="AI308" s="146">
        <v>2.4650522191868442E-3</v>
      </c>
      <c r="AJ308" s="147">
        <v>1.4769056399073166E-4</v>
      </c>
      <c r="AK308" s="181"/>
    </row>
    <row r="309" spans="1:37" ht="15" x14ac:dyDescent="0.2">
      <c r="A309" s="142" t="s">
        <v>1218</v>
      </c>
      <c r="B309" s="143" t="s">
        <v>1219</v>
      </c>
      <c r="C309" s="143" t="s">
        <v>1343</v>
      </c>
      <c r="D309" s="143" t="s">
        <v>1344</v>
      </c>
      <c r="E309" s="143" t="s">
        <v>309</v>
      </c>
      <c r="F309" s="143" t="s">
        <v>1507</v>
      </c>
      <c r="G309" s="143" t="s">
        <v>1508</v>
      </c>
      <c r="H309" s="143" t="s">
        <v>321</v>
      </c>
      <c r="I309" s="143" t="s">
        <v>754</v>
      </c>
      <c r="J309" s="143" t="s">
        <v>204</v>
      </c>
      <c r="K309" s="143" t="s">
        <v>204</v>
      </c>
      <c r="L309" s="143" t="s">
        <v>325</v>
      </c>
      <c r="M309" s="143" t="s">
        <v>340</v>
      </c>
      <c r="N309" s="143" t="s">
        <v>445</v>
      </c>
      <c r="O309" s="143" t="s">
        <v>339</v>
      </c>
      <c r="P309" s="143" t="s">
        <v>1347</v>
      </c>
      <c r="Q309" s="143" t="s">
        <v>413</v>
      </c>
      <c r="R309" s="143" t="s">
        <v>407</v>
      </c>
      <c r="S309" s="143" t="s">
        <v>1210</v>
      </c>
      <c r="T309" s="144">
        <v>1.06</v>
      </c>
      <c r="U309" s="143" t="s">
        <v>1360</v>
      </c>
      <c r="V309" s="146">
        <v>2.4799999999999999E-2</v>
      </c>
      <c r="W309" s="146">
        <v>2.7913E-2</v>
      </c>
      <c r="X309" s="143" t="s">
        <v>412</v>
      </c>
      <c r="Y309" s="145" t="s">
        <v>3853</v>
      </c>
      <c r="Z309" s="144">
        <v>28239.59</v>
      </c>
      <c r="AA309" s="145" t="s">
        <v>3853</v>
      </c>
      <c r="AB309" s="143" t="s">
        <v>1509</v>
      </c>
      <c r="AC309" s="145" t="s">
        <v>3853</v>
      </c>
      <c r="AD309" s="144">
        <v>32.356900000000003</v>
      </c>
      <c r="AE309" s="145" t="s">
        <v>3853</v>
      </c>
      <c r="AF309" s="145" t="s">
        <v>3853</v>
      </c>
      <c r="AG309" s="145" t="s">
        <v>3853</v>
      </c>
      <c r="AH309" s="146">
        <v>6.6683611571003432E-5</v>
      </c>
      <c r="AI309" s="146">
        <v>1.9035715069227602E-3</v>
      </c>
      <c r="AJ309" s="147">
        <v>1.140501394923187E-4</v>
      </c>
      <c r="AK309" s="181"/>
    </row>
    <row r="310" spans="1:37" ht="15" x14ac:dyDescent="0.2">
      <c r="A310" s="142" t="s">
        <v>1218</v>
      </c>
      <c r="B310" s="143" t="s">
        <v>1219</v>
      </c>
      <c r="C310" s="143" t="s">
        <v>1654</v>
      </c>
      <c r="D310" s="143" t="s">
        <v>1655</v>
      </c>
      <c r="E310" s="143" t="s">
        <v>309</v>
      </c>
      <c r="F310" s="143" t="s">
        <v>1656</v>
      </c>
      <c r="G310" s="143" t="s">
        <v>1657</v>
      </c>
      <c r="H310" s="143" t="s">
        <v>321</v>
      </c>
      <c r="I310" s="143" t="s">
        <v>754</v>
      </c>
      <c r="J310" s="143" t="s">
        <v>204</v>
      </c>
      <c r="K310" s="143" t="s">
        <v>204</v>
      </c>
      <c r="L310" s="143" t="s">
        <v>325</v>
      </c>
      <c r="M310" s="143" t="s">
        <v>340</v>
      </c>
      <c r="N310" s="143" t="s">
        <v>464</v>
      </c>
      <c r="O310" s="143" t="s">
        <v>339</v>
      </c>
      <c r="P310" s="143" t="s">
        <v>1359</v>
      </c>
      <c r="Q310" s="143" t="s">
        <v>415</v>
      </c>
      <c r="R310" s="143" t="s">
        <v>407</v>
      </c>
      <c r="S310" s="143" t="s">
        <v>1210</v>
      </c>
      <c r="T310" s="144">
        <v>3.16</v>
      </c>
      <c r="U310" s="143" t="s">
        <v>1658</v>
      </c>
      <c r="V310" s="146">
        <v>1.9599999999999999E-2</v>
      </c>
      <c r="W310" s="146">
        <v>2.9968999999999999E-2</v>
      </c>
      <c r="X310" s="143" t="s">
        <v>412</v>
      </c>
      <c r="Y310" s="145" t="s">
        <v>3853</v>
      </c>
      <c r="Z310" s="144">
        <v>16300</v>
      </c>
      <c r="AA310" s="145" t="s">
        <v>3853</v>
      </c>
      <c r="AB310" s="143" t="s">
        <v>1659</v>
      </c>
      <c r="AC310" s="145" t="s">
        <v>3853</v>
      </c>
      <c r="AD310" s="144">
        <v>18.110900000000001</v>
      </c>
      <c r="AE310" s="145" t="s">
        <v>3853</v>
      </c>
      <c r="AF310" s="145" t="s">
        <v>3853</v>
      </c>
      <c r="AG310" s="145" t="s">
        <v>3853</v>
      </c>
      <c r="AH310" s="146">
        <v>1.4234657239972462E-5</v>
      </c>
      <c r="AI310" s="146">
        <v>1.0654737207493796E-3</v>
      </c>
      <c r="AJ310" s="147">
        <v>6.383654411454547E-5</v>
      </c>
      <c r="AK310" s="181"/>
    </row>
    <row r="311" spans="1:37" ht="15" x14ac:dyDescent="0.2">
      <c r="A311" s="142" t="s">
        <v>1218</v>
      </c>
      <c r="B311" s="143" t="s">
        <v>1219</v>
      </c>
      <c r="C311" s="143" t="s">
        <v>1654</v>
      </c>
      <c r="D311" s="143" t="s">
        <v>1655</v>
      </c>
      <c r="E311" s="143" t="s">
        <v>309</v>
      </c>
      <c r="F311" s="143" t="s">
        <v>1664</v>
      </c>
      <c r="G311" s="143" t="s">
        <v>1665</v>
      </c>
      <c r="H311" s="143" t="s">
        <v>321</v>
      </c>
      <c r="I311" s="143" t="s">
        <v>754</v>
      </c>
      <c r="J311" s="143" t="s">
        <v>204</v>
      </c>
      <c r="K311" s="143" t="s">
        <v>204</v>
      </c>
      <c r="L311" s="143" t="s">
        <v>325</v>
      </c>
      <c r="M311" s="143" t="s">
        <v>340</v>
      </c>
      <c r="N311" s="143" t="s">
        <v>464</v>
      </c>
      <c r="O311" s="143" t="s">
        <v>339</v>
      </c>
      <c r="P311" s="143" t="s">
        <v>1359</v>
      </c>
      <c r="Q311" s="143" t="s">
        <v>415</v>
      </c>
      <c r="R311" s="143" t="s">
        <v>407</v>
      </c>
      <c r="S311" s="143" t="s">
        <v>1210</v>
      </c>
      <c r="T311" s="144">
        <v>0.53</v>
      </c>
      <c r="U311" s="143" t="s">
        <v>1666</v>
      </c>
      <c r="V311" s="146">
        <v>2.75E-2</v>
      </c>
      <c r="W311" s="146">
        <v>3.1185999999999998E-2</v>
      </c>
      <c r="X311" s="143" t="s">
        <v>412</v>
      </c>
      <c r="Y311" s="145" t="s">
        <v>3853</v>
      </c>
      <c r="Z311" s="144">
        <v>2944.26</v>
      </c>
      <c r="AA311" s="145" t="s">
        <v>3853</v>
      </c>
      <c r="AB311" s="143" t="s">
        <v>1667</v>
      </c>
      <c r="AC311" s="145" t="s">
        <v>3853</v>
      </c>
      <c r="AD311" s="144">
        <v>3.3718000000000004</v>
      </c>
      <c r="AE311" s="145" t="s">
        <v>3853</v>
      </c>
      <c r="AF311" s="145" t="s">
        <v>3853</v>
      </c>
      <c r="AG311" s="145" t="s">
        <v>3853</v>
      </c>
      <c r="AH311" s="146">
        <v>2.1297986350498395E-5</v>
      </c>
      <c r="AI311" s="146">
        <v>1.9836246143393777E-4</v>
      </c>
      <c r="AJ311" s="147">
        <v>1.1884642270755663E-5</v>
      </c>
      <c r="AK311" s="181"/>
    </row>
    <row r="312" spans="1:37" ht="15" x14ac:dyDescent="0.2">
      <c r="A312" s="142" t="s">
        <v>1218</v>
      </c>
      <c r="B312" s="143" t="s">
        <v>1220</v>
      </c>
      <c r="C312" s="143" t="s">
        <v>1355</v>
      </c>
      <c r="D312" s="143" t="s">
        <v>1356</v>
      </c>
      <c r="E312" s="143" t="s">
        <v>309</v>
      </c>
      <c r="F312" s="143" t="s">
        <v>1357</v>
      </c>
      <c r="G312" s="143" t="s">
        <v>1358</v>
      </c>
      <c r="H312" s="143" t="s">
        <v>321</v>
      </c>
      <c r="I312" s="143" t="s">
        <v>951</v>
      </c>
      <c r="J312" s="143" t="s">
        <v>204</v>
      </c>
      <c r="K312" s="143" t="s">
        <v>204</v>
      </c>
      <c r="L312" s="143" t="s">
        <v>325</v>
      </c>
      <c r="M312" s="143" t="s">
        <v>340</v>
      </c>
      <c r="N312" s="143" t="s">
        <v>445</v>
      </c>
      <c r="O312" s="143" t="s">
        <v>339</v>
      </c>
      <c r="P312" s="143" t="s">
        <v>1359</v>
      </c>
      <c r="Q312" s="143" t="s">
        <v>415</v>
      </c>
      <c r="R312" s="143" t="s">
        <v>407</v>
      </c>
      <c r="S312" s="143" t="s">
        <v>1210</v>
      </c>
      <c r="T312" s="144">
        <v>1.05</v>
      </c>
      <c r="U312" s="143" t="s">
        <v>1360</v>
      </c>
      <c r="V312" s="146">
        <v>3.61E-2</v>
      </c>
      <c r="W312" s="146">
        <v>5.1234000000000002E-2</v>
      </c>
      <c r="X312" s="143" t="s">
        <v>412</v>
      </c>
      <c r="Y312" s="145" t="s">
        <v>3853</v>
      </c>
      <c r="Z312" s="144">
        <v>32237</v>
      </c>
      <c r="AA312" s="145" t="s">
        <v>3853</v>
      </c>
      <c r="AB312" s="143" t="s">
        <v>1361</v>
      </c>
      <c r="AC312" s="145" t="s">
        <v>3853</v>
      </c>
      <c r="AD312" s="144">
        <v>32.240200000000002</v>
      </c>
      <c r="AE312" s="145" t="s">
        <v>3853</v>
      </c>
      <c r="AF312" s="145" t="s">
        <v>3853</v>
      </c>
      <c r="AG312" s="145" t="s">
        <v>3853</v>
      </c>
      <c r="AH312" s="146">
        <v>4.2002605863192185E-5</v>
      </c>
      <c r="AI312" s="146">
        <v>3.9478772145865544E-2</v>
      </c>
      <c r="AJ312" s="147">
        <v>4.1493249206069286E-3</v>
      </c>
      <c r="AK312" s="181"/>
    </row>
    <row r="313" spans="1:37" ht="15" x14ac:dyDescent="0.2">
      <c r="A313" s="142" t="s">
        <v>1218</v>
      </c>
      <c r="B313" s="143" t="s">
        <v>1220</v>
      </c>
      <c r="C313" s="143" t="s">
        <v>1362</v>
      </c>
      <c r="D313" s="143" t="s">
        <v>1363</v>
      </c>
      <c r="E313" s="143" t="s">
        <v>309</v>
      </c>
      <c r="F313" s="143" t="s">
        <v>1364</v>
      </c>
      <c r="G313" s="143" t="s">
        <v>1365</v>
      </c>
      <c r="H313" s="143" t="s">
        <v>321</v>
      </c>
      <c r="I313" s="143" t="s">
        <v>951</v>
      </c>
      <c r="J313" s="143" t="s">
        <v>204</v>
      </c>
      <c r="K313" s="143" t="s">
        <v>204</v>
      </c>
      <c r="L313" s="143" t="s">
        <v>325</v>
      </c>
      <c r="M313" s="143" t="s">
        <v>340</v>
      </c>
      <c r="N313" s="143" t="s">
        <v>440</v>
      </c>
      <c r="O313" s="143" t="s">
        <v>339</v>
      </c>
      <c r="P313" s="143" t="s">
        <v>1366</v>
      </c>
      <c r="Q313" s="143" t="s">
        <v>413</v>
      </c>
      <c r="R313" s="143" t="s">
        <v>407</v>
      </c>
      <c r="S313" s="143" t="s">
        <v>1210</v>
      </c>
      <c r="T313" s="144">
        <v>3.26</v>
      </c>
      <c r="U313" s="143" t="s">
        <v>1367</v>
      </c>
      <c r="V313" s="146">
        <v>2.5000000000000001E-2</v>
      </c>
      <c r="W313" s="146">
        <v>5.9434000000000001E-2</v>
      </c>
      <c r="X313" s="143" t="s">
        <v>412</v>
      </c>
      <c r="Y313" s="145" t="s">
        <v>3853</v>
      </c>
      <c r="Z313" s="144">
        <v>28500</v>
      </c>
      <c r="AA313" s="145" t="s">
        <v>3853</v>
      </c>
      <c r="AB313" s="143" t="s">
        <v>1368</v>
      </c>
      <c r="AC313" s="145" t="s">
        <v>3853</v>
      </c>
      <c r="AD313" s="144">
        <v>25.758299999999998</v>
      </c>
      <c r="AE313" s="145" t="s">
        <v>3853</v>
      </c>
      <c r="AF313" s="145" t="s">
        <v>3853</v>
      </c>
      <c r="AG313" s="145" t="s">
        <v>3853</v>
      </c>
      <c r="AH313" s="146">
        <v>3.5262298608197077E-5</v>
      </c>
      <c r="AI313" s="146">
        <v>3.1541532280523484E-2</v>
      </c>
      <c r="AJ313" s="147">
        <v>3.3150997057898651E-3</v>
      </c>
      <c r="AK313" s="181"/>
    </row>
    <row r="314" spans="1:37" ht="15" x14ac:dyDescent="0.2">
      <c r="A314" s="142" t="s">
        <v>1218</v>
      </c>
      <c r="B314" s="143" t="s">
        <v>1220</v>
      </c>
      <c r="C314" s="143" t="s">
        <v>1380</v>
      </c>
      <c r="D314" s="143" t="s">
        <v>1381</v>
      </c>
      <c r="E314" s="143" t="s">
        <v>309</v>
      </c>
      <c r="F314" s="143" t="s">
        <v>1382</v>
      </c>
      <c r="G314" s="143" t="s">
        <v>1383</v>
      </c>
      <c r="H314" s="143" t="s">
        <v>321</v>
      </c>
      <c r="I314" s="143" t="s">
        <v>951</v>
      </c>
      <c r="J314" s="143" t="s">
        <v>204</v>
      </c>
      <c r="K314" s="143" t="s">
        <v>204</v>
      </c>
      <c r="L314" s="143" t="s">
        <v>325</v>
      </c>
      <c r="M314" s="143" t="s">
        <v>340</v>
      </c>
      <c r="N314" s="143" t="s">
        <v>445</v>
      </c>
      <c r="O314" s="143" t="s">
        <v>339</v>
      </c>
      <c r="P314" s="143" t="s">
        <v>1347</v>
      </c>
      <c r="Q314" s="143" t="s">
        <v>413</v>
      </c>
      <c r="R314" s="143" t="s">
        <v>407</v>
      </c>
      <c r="S314" s="143" t="s">
        <v>1210</v>
      </c>
      <c r="T314" s="144">
        <v>5.4</v>
      </c>
      <c r="U314" s="143" t="s">
        <v>1384</v>
      </c>
      <c r="V314" s="146">
        <v>5.2499999999999998E-2</v>
      </c>
      <c r="W314" s="146">
        <v>5.9947E-2</v>
      </c>
      <c r="X314" s="143" t="s">
        <v>412</v>
      </c>
      <c r="Y314" s="145" t="s">
        <v>3853</v>
      </c>
      <c r="Z314" s="144">
        <v>26000</v>
      </c>
      <c r="AA314" s="145" t="s">
        <v>3853</v>
      </c>
      <c r="AB314" s="143" t="s">
        <v>1385</v>
      </c>
      <c r="AC314" s="145" t="s">
        <v>3853</v>
      </c>
      <c r="AD314" s="144">
        <v>25.3292</v>
      </c>
      <c r="AE314" s="145" t="s">
        <v>3853</v>
      </c>
      <c r="AF314" s="145" t="s">
        <v>3853</v>
      </c>
      <c r="AG314" s="145" t="s">
        <v>3853</v>
      </c>
      <c r="AH314" s="146">
        <v>5.1999999999999997E-5</v>
      </c>
      <c r="AI314" s="146">
        <v>3.1016091102279091E-2</v>
      </c>
      <c r="AJ314" s="147">
        <v>3.2598744275783983E-3</v>
      </c>
      <c r="AK314" s="181"/>
    </row>
    <row r="315" spans="1:37" ht="15" x14ac:dyDescent="0.2">
      <c r="A315" s="142" t="s">
        <v>1218</v>
      </c>
      <c r="B315" s="143" t="s">
        <v>1220</v>
      </c>
      <c r="C315" s="143" t="s">
        <v>1398</v>
      </c>
      <c r="D315" s="143" t="s">
        <v>1399</v>
      </c>
      <c r="E315" s="143" t="s">
        <v>309</v>
      </c>
      <c r="F315" s="143" t="s">
        <v>1400</v>
      </c>
      <c r="G315" s="143" t="s">
        <v>1401</v>
      </c>
      <c r="H315" s="143" t="s">
        <v>321</v>
      </c>
      <c r="I315" s="143" t="s">
        <v>951</v>
      </c>
      <c r="J315" s="143" t="s">
        <v>204</v>
      </c>
      <c r="K315" s="143" t="s">
        <v>204</v>
      </c>
      <c r="L315" s="143" t="s">
        <v>325</v>
      </c>
      <c r="M315" s="143" t="s">
        <v>340</v>
      </c>
      <c r="N315" s="143" t="s">
        <v>484</v>
      </c>
      <c r="O315" s="143" t="s">
        <v>339</v>
      </c>
      <c r="P315" s="143" t="s">
        <v>1402</v>
      </c>
      <c r="Q315" s="143" t="s">
        <v>415</v>
      </c>
      <c r="R315" s="143" t="s">
        <v>407</v>
      </c>
      <c r="S315" s="143" t="s">
        <v>1210</v>
      </c>
      <c r="T315" s="144">
        <v>2.3199999999999998</v>
      </c>
      <c r="U315" s="143" t="s">
        <v>1403</v>
      </c>
      <c r="V315" s="146">
        <v>3.6499999999999998E-2</v>
      </c>
      <c r="W315" s="146">
        <v>5.8046E-2</v>
      </c>
      <c r="X315" s="143" t="s">
        <v>412</v>
      </c>
      <c r="Y315" s="145" t="s">
        <v>3853</v>
      </c>
      <c r="Z315" s="144">
        <v>21295.63</v>
      </c>
      <c r="AA315" s="145" t="s">
        <v>3853</v>
      </c>
      <c r="AB315" s="143" t="s">
        <v>1404</v>
      </c>
      <c r="AC315" s="145" t="s">
        <v>3853</v>
      </c>
      <c r="AD315" s="144">
        <v>20.379900000000003</v>
      </c>
      <c r="AE315" s="145" t="s">
        <v>3853</v>
      </c>
      <c r="AF315" s="145" t="s">
        <v>3853</v>
      </c>
      <c r="AG315" s="145" t="s">
        <v>3853</v>
      </c>
      <c r="AH315" s="146">
        <v>1.0596070984046117E-5</v>
      </c>
      <c r="AI315" s="146">
        <v>2.495560027768462E-2</v>
      </c>
      <c r="AJ315" s="147">
        <v>2.6229005744735716E-3</v>
      </c>
      <c r="AK315" s="181"/>
    </row>
    <row r="316" spans="1:37" ht="15" x14ac:dyDescent="0.2">
      <c r="A316" s="142" t="s">
        <v>1218</v>
      </c>
      <c r="B316" s="143" t="s">
        <v>1220</v>
      </c>
      <c r="C316" s="143" t="s">
        <v>1895</v>
      </c>
      <c r="D316" s="143" t="s">
        <v>1896</v>
      </c>
      <c r="E316" s="143" t="s">
        <v>309</v>
      </c>
      <c r="F316" s="143" t="s">
        <v>2040</v>
      </c>
      <c r="G316" s="143" t="s">
        <v>2041</v>
      </c>
      <c r="H316" s="143" t="s">
        <v>321</v>
      </c>
      <c r="I316" s="143" t="s">
        <v>951</v>
      </c>
      <c r="J316" s="143" t="s">
        <v>204</v>
      </c>
      <c r="K316" s="143" t="s">
        <v>204</v>
      </c>
      <c r="L316" s="143" t="s">
        <v>325</v>
      </c>
      <c r="M316" s="143" t="s">
        <v>340</v>
      </c>
      <c r="N316" s="143" t="s">
        <v>448</v>
      </c>
      <c r="O316" s="143" t="s">
        <v>339</v>
      </c>
      <c r="P316" s="143" t="s">
        <v>1222</v>
      </c>
      <c r="Q316" s="143" t="s">
        <v>413</v>
      </c>
      <c r="R316" s="143" t="s">
        <v>407</v>
      </c>
      <c r="S316" s="143" t="s">
        <v>1210</v>
      </c>
      <c r="T316" s="144">
        <v>3.14</v>
      </c>
      <c r="U316" s="143" t="s">
        <v>2042</v>
      </c>
      <c r="V316" s="146">
        <v>2.6800000000000001E-2</v>
      </c>
      <c r="W316" s="146">
        <v>5.1000999999999998E-2</v>
      </c>
      <c r="X316" s="143" t="s">
        <v>412</v>
      </c>
      <c r="Y316" s="145" t="s">
        <v>3853</v>
      </c>
      <c r="Z316" s="144">
        <v>15721.28</v>
      </c>
      <c r="AA316" s="145" t="s">
        <v>3853</v>
      </c>
      <c r="AB316" s="143" t="s">
        <v>2043</v>
      </c>
      <c r="AC316" s="145" t="s">
        <v>3853</v>
      </c>
      <c r="AD316" s="144">
        <v>14.820499999999999</v>
      </c>
      <c r="AE316" s="145" t="s">
        <v>3853</v>
      </c>
      <c r="AF316" s="145" t="s">
        <v>3853</v>
      </c>
      <c r="AG316" s="145" t="s">
        <v>3853</v>
      </c>
      <c r="AH316" s="146">
        <v>6.8845683077171375E-6</v>
      </c>
      <c r="AI316" s="146">
        <v>1.8147926019113431E-2</v>
      </c>
      <c r="AJ316" s="147">
        <v>1.9073957368839875E-3</v>
      </c>
      <c r="AK316" s="181"/>
    </row>
    <row r="317" spans="1:37" ht="15" x14ac:dyDescent="0.2">
      <c r="A317" s="142" t="s">
        <v>1218</v>
      </c>
      <c r="B317" s="143" t="s">
        <v>1220</v>
      </c>
      <c r="C317" s="143" t="s">
        <v>1343</v>
      </c>
      <c r="D317" s="143" t="s">
        <v>1344</v>
      </c>
      <c r="E317" s="143" t="s">
        <v>309</v>
      </c>
      <c r="F317" s="143" t="s">
        <v>1369</v>
      </c>
      <c r="G317" s="143" t="s">
        <v>1370</v>
      </c>
      <c r="H317" s="143" t="s">
        <v>321</v>
      </c>
      <c r="I317" s="143" t="s">
        <v>951</v>
      </c>
      <c r="J317" s="143" t="s">
        <v>204</v>
      </c>
      <c r="K317" s="143" t="s">
        <v>204</v>
      </c>
      <c r="L317" s="143" t="s">
        <v>325</v>
      </c>
      <c r="M317" s="143" t="s">
        <v>340</v>
      </c>
      <c r="N317" s="143" t="s">
        <v>445</v>
      </c>
      <c r="O317" s="143" t="s">
        <v>339</v>
      </c>
      <c r="P317" s="143" t="s">
        <v>1347</v>
      </c>
      <c r="Q317" s="143" t="s">
        <v>413</v>
      </c>
      <c r="R317" s="143" t="s">
        <v>407</v>
      </c>
      <c r="S317" s="143" t="s">
        <v>1210</v>
      </c>
      <c r="T317" s="144">
        <v>7.66</v>
      </c>
      <c r="U317" s="143" t="s">
        <v>1371</v>
      </c>
      <c r="V317" s="146">
        <v>5.3100000000000001E-2</v>
      </c>
      <c r="W317" s="146">
        <v>6.3355999999999996E-2</v>
      </c>
      <c r="X317" s="143" t="s">
        <v>412</v>
      </c>
      <c r="Y317" s="145" t="s">
        <v>3853</v>
      </c>
      <c r="Z317" s="144">
        <v>13894.31</v>
      </c>
      <c r="AA317" s="145" t="s">
        <v>3853</v>
      </c>
      <c r="AB317" s="143" t="s">
        <v>1372</v>
      </c>
      <c r="AC317" s="145" t="s">
        <v>3853</v>
      </c>
      <c r="AD317" s="144">
        <v>13.2454</v>
      </c>
      <c r="AE317" s="145" t="s">
        <v>3853</v>
      </c>
      <c r="AF317" s="145" t="s">
        <v>3853</v>
      </c>
      <c r="AG317" s="145" t="s">
        <v>3853</v>
      </c>
      <c r="AH317" s="146">
        <v>1.0911355246430511E-5</v>
      </c>
      <c r="AI317" s="146">
        <v>1.6219302277010759E-2</v>
      </c>
      <c r="AJ317" s="147">
        <v>1.7046922048183665E-3</v>
      </c>
      <c r="AK317" s="181"/>
    </row>
    <row r="318" spans="1:37" ht="15" x14ac:dyDescent="0.2">
      <c r="A318" s="142" t="s">
        <v>1218</v>
      </c>
      <c r="B318" s="143" t="s">
        <v>1220</v>
      </c>
      <c r="C318" s="143" t="s">
        <v>1373</v>
      </c>
      <c r="D318" s="143" t="s">
        <v>1374</v>
      </c>
      <c r="E318" s="143" t="s">
        <v>309</v>
      </c>
      <c r="F318" s="143" t="s">
        <v>1375</v>
      </c>
      <c r="G318" s="143" t="s">
        <v>1376</v>
      </c>
      <c r="H318" s="143" t="s">
        <v>321</v>
      </c>
      <c r="I318" s="143" t="s">
        <v>951</v>
      </c>
      <c r="J318" s="143" t="s">
        <v>204</v>
      </c>
      <c r="K318" s="143" t="s">
        <v>204</v>
      </c>
      <c r="L318" s="143" t="s">
        <v>325</v>
      </c>
      <c r="M318" s="143" t="s">
        <v>340</v>
      </c>
      <c r="N318" s="143" t="s">
        <v>484</v>
      </c>
      <c r="O318" s="143" t="s">
        <v>339</v>
      </c>
      <c r="P318" s="143" t="s">
        <v>1377</v>
      </c>
      <c r="Q318" s="143" t="s">
        <v>415</v>
      </c>
      <c r="R318" s="143" t="s">
        <v>407</v>
      </c>
      <c r="S318" s="143" t="s">
        <v>1210</v>
      </c>
      <c r="T318" s="144">
        <v>0.9</v>
      </c>
      <c r="U318" s="143" t="s">
        <v>1378</v>
      </c>
      <c r="V318" s="146">
        <v>3.6499999999999998E-2</v>
      </c>
      <c r="W318" s="146">
        <v>4.8802999999999999E-2</v>
      </c>
      <c r="X318" s="143" t="s">
        <v>412</v>
      </c>
      <c r="Y318" s="145" t="s">
        <v>3853</v>
      </c>
      <c r="Z318" s="144">
        <v>13262.57</v>
      </c>
      <c r="AA318" s="145" t="s">
        <v>3853</v>
      </c>
      <c r="AB318" s="143" t="s">
        <v>1379</v>
      </c>
      <c r="AC318" s="145" t="s">
        <v>3853</v>
      </c>
      <c r="AD318" s="144">
        <v>13.165799999999999</v>
      </c>
      <c r="AE318" s="145" t="s">
        <v>3853</v>
      </c>
      <c r="AF318" s="145" t="s">
        <v>3853</v>
      </c>
      <c r="AG318" s="145" t="s">
        <v>3853</v>
      </c>
      <c r="AH318" s="146">
        <v>1.2453340689108432E-5</v>
      </c>
      <c r="AI318" s="146">
        <v>1.6121717302202597E-2</v>
      </c>
      <c r="AJ318" s="147">
        <v>1.6944357620305246E-3</v>
      </c>
      <c r="AK318" s="181"/>
    </row>
    <row r="319" spans="1:37" ht="15" x14ac:dyDescent="0.2">
      <c r="A319" s="142" t="s">
        <v>1218</v>
      </c>
      <c r="B319" s="143" t="s">
        <v>1220</v>
      </c>
      <c r="C319" s="143" t="s">
        <v>1680</v>
      </c>
      <c r="D319" s="143" t="s">
        <v>1681</v>
      </c>
      <c r="E319" s="143" t="s">
        <v>309</v>
      </c>
      <c r="F319" s="143" t="s">
        <v>1682</v>
      </c>
      <c r="G319" s="143" t="s">
        <v>1683</v>
      </c>
      <c r="H319" s="143" t="s">
        <v>321</v>
      </c>
      <c r="I319" s="143" t="s">
        <v>951</v>
      </c>
      <c r="J319" s="143" t="s">
        <v>204</v>
      </c>
      <c r="K319" s="143" t="s">
        <v>204</v>
      </c>
      <c r="L319" s="143" t="s">
        <v>325</v>
      </c>
      <c r="M319" s="143" t="s">
        <v>340</v>
      </c>
      <c r="N319" s="143" t="s">
        <v>451</v>
      </c>
      <c r="O319" s="143" t="s">
        <v>339</v>
      </c>
      <c r="P319" s="143" t="s">
        <v>1396</v>
      </c>
      <c r="Q319" s="143" t="s">
        <v>413</v>
      </c>
      <c r="R319" s="143" t="s">
        <v>407</v>
      </c>
      <c r="S319" s="143" t="s">
        <v>1210</v>
      </c>
      <c r="T319" s="144">
        <v>2.58</v>
      </c>
      <c r="U319" s="143" t="s">
        <v>1544</v>
      </c>
      <c r="V319" s="146">
        <v>2.1999999999999999E-2</v>
      </c>
      <c r="W319" s="146">
        <v>5.3846999999999999E-2</v>
      </c>
      <c r="X319" s="143" t="s">
        <v>412</v>
      </c>
      <c r="Y319" s="145" t="s">
        <v>3853</v>
      </c>
      <c r="Z319" s="144">
        <v>10279.5</v>
      </c>
      <c r="AA319" s="145" t="s">
        <v>3853</v>
      </c>
      <c r="AB319" s="143" t="s">
        <v>1684</v>
      </c>
      <c r="AC319" s="145" t="s">
        <v>3853</v>
      </c>
      <c r="AD319" s="144">
        <v>9.4952000000000005</v>
      </c>
      <c r="AE319" s="145" t="s">
        <v>3853</v>
      </c>
      <c r="AF319" s="145" t="s">
        <v>3853</v>
      </c>
      <c r="AG319" s="145" t="s">
        <v>3853</v>
      </c>
      <c r="AH319" s="146">
        <v>9.4851211072664355E-6</v>
      </c>
      <c r="AI319" s="146">
        <v>1.1627022822213312E-2</v>
      </c>
      <c r="AJ319" s="147">
        <v>1.2220313076207875E-3</v>
      </c>
      <c r="AK319" s="181"/>
    </row>
    <row r="320" spans="1:37" ht="15" x14ac:dyDescent="0.2">
      <c r="A320" s="142" t="s">
        <v>1218</v>
      </c>
      <c r="B320" s="143" t="s">
        <v>1220</v>
      </c>
      <c r="C320" s="143" t="s">
        <v>1386</v>
      </c>
      <c r="D320" s="143" t="s">
        <v>1387</v>
      </c>
      <c r="E320" s="143" t="s">
        <v>309</v>
      </c>
      <c r="F320" s="143" t="s">
        <v>1677</v>
      </c>
      <c r="G320" s="143" t="s">
        <v>1678</v>
      </c>
      <c r="H320" s="143" t="s">
        <v>321</v>
      </c>
      <c r="I320" s="143" t="s">
        <v>951</v>
      </c>
      <c r="J320" s="143" t="s">
        <v>204</v>
      </c>
      <c r="K320" s="143" t="s">
        <v>204</v>
      </c>
      <c r="L320" s="143" t="s">
        <v>325</v>
      </c>
      <c r="M320" s="143" t="s">
        <v>340</v>
      </c>
      <c r="N320" s="143" t="s">
        <v>464</v>
      </c>
      <c r="O320" s="143" t="s">
        <v>339</v>
      </c>
      <c r="P320" s="143" t="s">
        <v>1359</v>
      </c>
      <c r="Q320" s="143" t="s">
        <v>415</v>
      </c>
      <c r="R320" s="143" t="s">
        <v>407</v>
      </c>
      <c r="S320" s="143" t="s">
        <v>1210</v>
      </c>
      <c r="T320" s="144">
        <v>1.56</v>
      </c>
      <c r="U320" s="143" t="s">
        <v>1390</v>
      </c>
      <c r="V320" s="146">
        <v>6.7400000000000002E-2</v>
      </c>
      <c r="W320" s="146">
        <v>6.4237000000000002E-2</v>
      </c>
      <c r="X320" s="143" t="s">
        <v>412</v>
      </c>
      <c r="Y320" s="145" t="s">
        <v>3853</v>
      </c>
      <c r="Z320" s="144">
        <v>9241.5</v>
      </c>
      <c r="AA320" s="145" t="s">
        <v>3853</v>
      </c>
      <c r="AB320" s="143" t="s">
        <v>1679</v>
      </c>
      <c r="AC320" s="145" t="s">
        <v>3853</v>
      </c>
      <c r="AD320" s="144">
        <v>9.3635000000000002</v>
      </c>
      <c r="AE320" s="145" t="s">
        <v>3853</v>
      </c>
      <c r="AF320" s="145" t="s">
        <v>3853</v>
      </c>
      <c r="AG320" s="145" t="s">
        <v>3853</v>
      </c>
      <c r="AH320" s="146">
        <v>8.8053098262098245E-6</v>
      </c>
      <c r="AI320" s="146">
        <v>1.1465770361475247E-2</v>
      </c>
      <c r="AJ320" s="147">
        <v>1.2050832411668081E-3</v>
      </c>
      <c r="AK320" s="181"/>
    </row>
    <row r="321" spans="1:37" ht="15" x14ac:dyDescent="0.2">
      <c r="A321" s="142" t="s">
        <v>1218</v>
      </c>
      <c r="B321" s="143" t="s">
        <v>1220</v>
      </c>
      <c r="C321" s="143" t="s">
        <v>1424</v>
      </c>
      <c r="D321" s="143" t="s">
        <v>1425</v>
      </c>
      <c r="E321" s="143" t="s">
        <v>309</v>
      </c>
      <c r="F321" s="143" t="s">
        <v>1426</v>
      </c>
      <c r="G321" s="143" t="s">
        <v>1427</v>
      </c>
      <c r="H321" s="143" t="s">
        <v>321</v>
      </c>
      <c r="I321" s="143" t="s">
        <v>951</v>
      </c>
      <c r="J321" s="143" t="s">
        <v>204</v>
      </c>
      <c r="K321" s="143" t="s">
        <v>204</v>
      </c>
      <c r="L321" s="143" t="s">
        <v>325</v>
      </c>
      <c r="M321" s="143" t="s">
        <v>340</v>
      </c>
      <c r="N321" s="143" t="s">
        <v>445</v>
      </c>
      <c r="O321" s="143" t="s">
        <v>339</v>
      </c>
      <c r="P321" s="143" t="s">
        <v>1359</v>
      </c>
      <c r="Q321" s="143" t="s">
        <v>415</v>
      </c>
      <c r="R321" s="143" t="s">
        <v>407</v>
      </c>
      <c r="S321" s="143" t="s">
        <v>1210</v>
      </c>
      <c r="T321" s="144">
        <v>3.28</v>
      </c>
      <c r="U321" s="143" t="s">
        <v>1428</v>
      </c>
      <c r="V321" s="146">
        <v>4.36E-2</v>
      </c>
      <c r="W321" s="146">
        <v>5.1854999999999998E-2</v>
      </c>
      <c r="X321" s="143" t="s">
        <v>412</v>
      </c>
      <c r="Y321" s="145" t="s">
        <v>3853</v>
      </c>
      <c r="Z321" s="144">
        <v>9465</v>
      </c>
      <c r="AA321" s="145" t="s">
        <v>3853</v>
      </c>
      <c r="AB321" s="143" t="s">
        <v>1429</v>
      </c>
      <c r="AC321" s="145" t="s">
        <v>3853</v>
      </c>
      <c r="AD321" s="144">
        <v>9.2378</v>
      </c>
      <c r="AE321" s="145" t="s">
        <v>3853</v>
      </c>
      <c r="AF321" s="145" t="s">
        <v>3853</v>
      </c>
      <c r="AG321" s="145" t="s">
        <v>3853</v>
      </c>
      <c r="AH321" s="146">
        <v>3.1550000000000001E-5</v>
      </c>
      <c r="AI321" s="146">
        <v>1.1311912221004921E-2</v>
      </c>
      <c r="AJ321" s="147">
        <v>1.1889123376206446E-3</v>
      </c>
      <c r="AK321" s="181"/>
    </row>
    <row r="322" spans="1:37" ht="15" x14ac:dyDescent="0.2">
      <c r="A322" s="142" t="s">
        <v>1218</v>
      </c>
      <c r="B322" s="143" t="s">
        <v>1220</v>
      </c>
      <c r="C322" s="143" t="s">
        <v>1418</v>
      </c>
      <c r="D322" s="143" t="s">
        <v>1419</v>
      </c>
      <c r="E322" s="143" t="s">
        <v>309</v>
      </c>
      <c r="F322" s="143" t="s">
        <v>1420</v>
      </c>
      <c r="G322" s="143" t="s">
        <v>1421</v>
      </c>
      <c r="H322" s="143" t="s">
        <v>321</v>
      </c>
      <c r="I322" s="143" t="s">
        <v>951</v>
      </c>
      <c r="J322" s="143" t="s">
        <v>204</v>
      </c>
      <c r="K322" s="143" t="s">
        <v>204</v>
      </c>
      <c r="L322" s="143" t="s">
        <v>325</v>
      </c>
      <c r="M322" s="143" t="s">
        <v>340</v>
      </c>
      <c r="N322" s="143" t="s">
        <v>445</v>
      </c>
      <c r="O322" s="143" t="s">
        <v>339</v>
      </c>
      <c r="P322" s="143" t="s">
        <v>1377</v>
      </c>
      <c r="Q322" s="143" t="s">
        <v>415</v>
      </c>
      <c r="R322" s="143" t="s">
        <v>407</v>
      </c>
      <c r="S322" s="143" t="s">
        <v>1210</v>
      </c>
      <c r="T322" s="144">
        <v>1.2</v>
      </c>
      <c r="U322" s="143" t="s">
        <v>1422</v>
      </c>
      <c r="V322" s="146">
        <v>2.9399999999999999E-2</v>
      </c>
      <c r="W322" s="146">
        <v>4.9301999999999999E-2</v>
      </c>
      <c r="X322" s="143" t="s">
        <v>412</v>
      </c>
      <c r="Y322" s="145" t="s">
        <v>3853</v>
      </c>
      <c r="Z322" s="144">
        <v>8013.48</v>
      </c>
      <c r="AA322" s="145" t="s">
        <v>3853</v>
      </c>
      <c r="AB322" s="143" t="s">
        <v>1423</v>
      </c>
      <c r="AC322" s="145" t="s">
        <v>3853</v>
      </c>
      <c r="AD322" s="144">
        <v>8.0030999999999999</v>
      </c>
      <c r="AE322" s="145" t="s">
        <v>3853</v>
      </c>
      <c r="AF322" s="145" t="s">
        <v>3853</v>
      </c>
      <c r="AG322" s="145" t="s">
        <v>3853</v>
      </c>
      <c r="AH322" s="146">
        <v>4.995242274654808E-5</v>
      </c>
      <c r="AI322" s="146">
        <v>9.7999034652830434E-3</v>
      </c>
      <c r="AJ322" s="147">
        <v>1.0299961588926875E-3</v>
      </c>
      <c r="AK322" s="181"/>
    </row>
    <row r="323" spans="1:37" ht="15" x14ac:dyDescent="0.2">
      <c r="A323" s="142" t="s">
        <v>1218</v>
      </c>
      <c r="B323" s="143" t="s">
        <v>1220</v>
      </c>
      <c r="C323" s="143" t="s">
        <v>1343</v>
      </c>
      <c r="D323" s="143" t="s">
        <v>1344</v>
      </c>
      <c r="E323" s="143" t="s">
        <v>309</v>
      </c>
      <c r="F323" s="143" t="s">
        <v>1345</v>
      </c>
      <c r="G323" s="143" t="s">
        <v>1346</v>
      </c>
      <c r="H323" s="143" t="s">
        <v>321</v>
      </c>
      <c r="I323" s="143" t="s">
        <v>951</v>
      </c>
      <c r="J323" s="143" t="s">
        <v>204</v>
      </c>
      <c r="K323" s="143" t="s">
        <v>204</v>
      </c>
      <c r="L323" s="143" t="s">
        <v>325</v>
      </c>
      <c r="M323" s="143" t="s">
        <v>340</v>
      </c>
      <c r="N323" s="143" t="s">
        <v>445</v>
      </c>
      <c r="O323" s="143" t="s">
        <v>339</v>
      </c>
      <c r="P323" s="143" t="s">
        <v>1347</v>
      </c>
      <c r="Q323" s="143" t="s">
        <v>413</v>
      </c>
      <c r="R323" s="143" t="s">
        <v>407</v>
      </c>
      <c r="S323" s="143" t="s">
        <v>1210</v>
      </c>
      <c r="T323" s="144">
        <v>5.29</v>
      </c>
      <c r="U323" s="143" t="s">
        <v>1295</v>
      </c>
      <c r="V323" s="146">
        <v>2.64E-2</v>
      </c>
      <c r="W323" s="146">
        <v>5.8282E-2</v>
      </c>
      <c r="X323" s="143" t="s">
        <v>412</v>
      </c>
      <c r="Y323" s="145" t="s">
        <v>3853</v>
      </c>
      <c r="Z323" s="144">
        <v>8965</v>
      </c>
      <c r="AA323" s="145" t="s">
        <v>3853</v>
      </c>
      <c r="AB323" s="143" t="s">
        <v>1348</v>
      </c>
      <c r="AC323" s="145" t="s">
        <v>3853</v>
      </c>
      <c r="AD323" s="144">
        <v>7.6776</v>
      </c>
      <c r="AE323" s="145" t="s">
        <v>3853</v>
      </c>
      <c r="AF323" s="145" t="s">
        <v>3853</v>
      </c>
      <c r="AG323" s="145" t="s">
        <v>3853</v>
      </c>
      <c r="AH323" s="146">
        <v>5.4792519351947744E-6</v>
      </c>
      <c r="AI323" s="146">
        <v>9.4014002599855737E-3</v>
      </c>
      <c r="AJ323" s="147">
        <v>9.8811240236213642E-4</v>
      </c>
      <c r="AK323" s="181"/>
    </row>
    <row r="324" spans="1:37" ht="15" x14ac:dyDescent="0.2">
      <c r="A324" s="142" t="s">
        <v>1218</v>
      </c>
      <c r="B324" s="143" t="s">
        <v>1220</v>
      </c>
      <c r="C324" s="143" t="s">
        <v>1685</v>
      </c>
      <c r="D324" s="143" t="s">
        <v>1686</v>
      </c>
      <c r="E324" s="143" t="s">
        <v>309</v>
      </c>
      <c r="F324" s="143" t="s">
        <v>1687</v>
      </c>
      <c r="G324" s="143" t="s">
        <v>1688</v>
      </c>
      <c r="H324" s="143" t="s">
        <v>321</v>
      </c>
      <c r="I324" s="143" t="s">
        <v>951</v>
      </c>
      <c r="J324" s="143" t="s">
        <v>204</v>
      </c>
      <c r="K324" s="143" t="s">
        <v>204</v>
      </c>
      <c r="L324" s="143" t="s">
        <v>325</v>
      </c>
      <c r="M324" s="143" t="s">
        <v>340</v>
      </c>
      <c r="N324" s="143" t="s">
        <v>445</v>
      </c>
      <c r="O324" s="143" t="s">
        <v>339</v>
      </c>
      <c r="P324" s="143" t="s">
        <v>1359</v>
      </c>
      <c r="Q324" s="143" t="s">
        <v>415</v>
      </c>
      <c r="R324" s="143" t="s">
        <v>407</v>
      </c>
      <c r="S324" s="143" t="s">
        <v>1210</v>
      </c>
      <c r="T324" s="144">
        <v>2.2000000000000002</v>
      </c>
      <c r="U324" s="143" t="s">
        <v>1422</v>
      </c>
      <c r="V324" s="146">
        <v>1.84E-2</v>
      </c>
      <c r="W324" s="146">
        <v>4.8425999999999997E-2</v>
      </c>
      <c r="X324" s="143" t="s">
        <v>412</v>
      </c>
      <c r="Y324" s="145" t="s">
        <v>3853</v>
      </c>
      <c r="Z324" s="144">
        <v>8000</v>
      </c>
      <c r="AA324" s="145" t="s">
        <v>3853</v>
      </c>
      <c r="AB324" s="143" t="s">
        <v>1689</v>
      </c>
      <c r="AC324" s="145" t="s">
        <v>3853</v>
      </c>
      <c r="AD324" s="144">
        <v>7.5407999999999999</v>
      </c>
      <c r="AE324" s="145" t="s">
        <v>3853</v>
      </c>
      <c r="AF324" s="145" t="s">
        <v>3853</v>
      </c>
      <c r="AG324" s="145" t="s">
        <v>3853</v>
      </c>
      <c r="AH324" s="146">
        <v>2.6666666666666667E-5</v>
      </c>
      <c r="AI324" s="146">
        <v>9.2338541992667035E-3</v>
      </c>
      <c r="AJ324" s="147">
        <v>9.7050286165702767E-4</v>
      </c>
      <c r="AK324" s="181"/>
    </row>
    <row r="325" spans="1:37" ht="15" x14ac:dyDescent="0.2">
      <c r="A325" s="142" t="s">
        <v>1218</v>
      </c>
      <c r="B325" s="143" t="s">
        <v>1220</v>
      </c>
      <c r="C325" s="143" t="s">
        <v>1696</v>
      </c>
      <c r="D325" s="143" t="s">
        <v>1697</v>
      </c>
      <c r="E325" s="143" t="s">
        <v>309</v>
      </c>
      <c r="F325" s="143" t="s">
        <v>1698</v>
      </c>
      <c r="G325" s="143" t="s">
        <v>1699</v>
      </c>
      <c r="H325" s="143" t="s">
        <v>321</v>
      </c>
      <c r="I325" s="143" t="s">
        <v>951</v>
      </c>
      <c r="J325" s="143" t="s">
        <v>204</v>
      </c>
      <c r="K325" s="143" t="s">
        <v>204</v>
      </c>
      <c r="L325" s="143" t="s">
        <v>325</v>
      </c>
      <c r="M325" s="143" t="s">
        <v>340</v>
      </c>
      <c r="N325" s="143" t="s">
        <v>443</v>
      </c>
      <c r="O325" s="143" t="s">
        <v>339</v>
      </c>
      <c r="P325" s="143" t="s">
        <v>1396</v>
      </c>
      <c r="Q325" s="143" t="s">
        <v>413</v>
      </c>
      <c r="R325" s="143" t="s">
        <v>407</v>
      </c>
      <c r="S325" s="143" t="s">
        <v>1210</v>
      </c>
      <c r="T325" s="144">
        <v>0.95</v>
      </c>
      <c r="U325" s="143" t="s">
        <v>1700</v>
      </c>
      <c r="V325" s="146">
        <v>4.7500000000000001E-2</v>
      </c>
      <c r="W325" s="146">
        <v>6.4534999999999995E-2</v>
      </c>
      <c r="X325" s="143" t="s">
        <v>412</v>
      </c>
      <c r="Y325" s="145" t="s">
        <v>3853</v>
      </c>
      <c r="Z325" s="144">
        <v>6724.2</v>
      </c>
      <c r="AA325" s="145" t="s">
        <v>3853</v>
      </c>
      <c r="AB325" s="143" t="s">
        <v>1701</v>
      </c>
      <c r="AC325" s="145" t="s">
        <v>3853</v>
      </c>
      <c r="AD325" s="144">
        <v>6.7121000000000004</v>
      </c>
      <c r="AE325" s="145" t="s">
        <v>3853</v>
      </c>
      <c r="AF325" s="145" t="s">
        <v>3853</v>
      </c>
      <c r="AG325" s="145" t="s">
        <v>3853</v>
      </c>
      <c r="AH325" s="146">
        <v>8.117963716889018E-6</v>
      </c>
      <c r="AI325" s="146">
        <v>8.2190907991694633E-3</v>
      </c>
      <c r="AJ325" s="147">
        <v>8.6384850450057658E-4</v>
      </c>
      <c r="AK325" s="181"/>
    </row>
    <row r="326" spans="1:37" ht="15" x14ac:dyDescent="0.2">
      <c r="A326" s="142" t="s">
        <v>1218</v>
      </c>
      <c r="B326" s="143" t="s">
        <v>1220</v>
      </c>
      <c r="C326" s="143" t="s">
        <v>1412</v>
      </c>
      <c r="D326" s="143" t="s">
        <v>1413</v>
      </c>
      <c r="E326" s="143" t="s">
        <v>309</v>
      </c>
      <c r="F326" s="143" t="s">
        <v>1414</v>
      </c>
      <c r="G326" s="143" t="s">
        <v>1415</v>
      </c>
      <c r="H326" s="143" t="s">
        <v>321</v>
      </c>
      <c r="I326" s="143" t="s">
        <v>951</v>
      </c>
      <c r="J326" s="143" t="s">
        <v>204</v>
      </c>
      <c r="K326" s="143" t="s">
        <v>204</v>
      </c>
      <c r="L326" s="143" t="s">
        <v>325</v>
      </c>
      <c r="M326" s="143" t="s">
        <v>340</v>
      </c>
      <c r="N326" s="143" t="s">
        <v>451</v>
      </c>
      <c r="O326" s="143" t="s">
        <v>339</v>
      </c>
      <c r="P326" s="143" t="s">
        <v>1396</v>
      </c>
      <c r="Q326" s="143" t="s">
        <v>413</v>
      </c>
      <c r="R326" s="143" t="s">
        <v>407</v>
      </c>
      <c r="S326" s="143" t="s">
        <v>1210</v>
      </c>
      <c r="T326" s="144">
        <v>1.46</v>
      </c>
      <c r="U326" s="143" t="s">
        <v>1416</v>
      </c>
      <c r="V326" s="146">
        <v>0.04</v>
      </c>
      <c r="W326" s="146">
        <v>4.9484E-2</v>
      </c>
      <c r="X326" s="143" t="s">
        <v>412</v>
      </c>
      <c r="Y326" s="145" t="s">
        <v>3853</v>
      </c>
      <c r="Z326" s="144">
        <v>6348.47</v>
      </c>
      <c r="AA326" s="145" t="s">
        <v>3853</v>
      </c>
      <c r="AB326" s="143" t="s">
        <v>1417</v>
      </c>
      <c r="AC326" s="145" t="s">
        <v>3853</v>
      </c>
      <c r="AD326" s="144">
        <v>6.2696999999999994</v>
      </c>
      <c r="AE326" s="145" t="s">
        <v>3853</v>
      </c>
      <c r="AF326" s="145" t="s">
        <v>3853</v>
      </c>
      <c r="AG326" s="145" t="s">
        <v>3853</v>
      </c>
      <c r="AH326" s="146">
        <v>4.8182894068110874E-5</v>
      </c>
      <c r="AI326" s="146">
        <v>7.6774278423310909E-3</v>
      </c>
      <c r="AJ326" s="147">
        <v>8.0691827381673133E-4</v>
      </c>
      <c r="AK326" s="181"/>
    </row>
    <row r="327" spans="1:37" ht="15" x14ac:dyDescent="0.2">
      <c r="A327" s="142" t="s">
        <v>1218</v>
      </c>
      <c r="B327" s="143" t="s">
        <v>1220</v>
      </c>
      <c r="C327" s="143" t="s">
        <v>1392</v>
      </c>
      <c r="D327" s="143" t="s">
        <v>1393</v>
      </c>
      <c r="E327" s="143" t="s">
        <v>309</v>
      </c>
      <c r="F327" s="143" t="s">
        <v>1702</v>
      </c>
      <c r="G327" s="143" t="s">
        <v>1703</v>
      </c>
      <c r="H327" s="143" t="s">
        <v>321</v>
      </c>
      <c r="I327" s="143" t="s">
        <v>951</v>
      </c>
      <c r="J327" s="143" t="s">
        <v>204</v>
      </c>
      <c r="K327" s="143" t="s">
        <v>204</v>
      </c>
      <c r="L327" s="143" t="s">
        <v>325</v>
      </c>
      <c r="M327" s="143" t="s">
        <v>340</v>
      </c>
      <c r="N327" s="143" t="s">
        <v>463</v>
      </c>
      <c r="O327" s="143" t="s">
        <v>339</v>
      </c>
      <c r="P327" s="143" t="s">
        <v>1396</v>
      </c>
      <c r="Q327" s="143" t="s">
        <v>413</v>
      </c>
      <c r="R327" s="143" t="s">
        <v>407</v>
      </c>
      <c r="S327" s="143" t="s">
        <v>1210</v>
      </c>
      <c r="T327" s="144">
        <v>3.27</v>
      </c>
      <c r="U327" s="143" t="s">
        <v>1704</v>
      </c>
      <c r="V327" s="146">
        <v>2.6200000000000001E-2</v>
      </c>
      <c r="W327" s="146">
        <v>5.6523999999999998E-2</v>
      </c>
      <c r="X327" s="143" t="s">
        <v>412</v>
      </c>
      <c r="Y327" s="145" t="s">
        <v>3853</v>
      </c>
      <c r="Z327" s="144">
        <v>4878.2</v>
      </c>
      <c r="AA327" s="145" t="s">
        <v>3853</v>
      </c>
      <c r="AB327" s="143" t="s">
        <v>1705</v>
      </c>
      <c r="AC327" s="144">
        <v>0.88100000000000001</v>
      </c>
      <c r="AD327" s="144">
        <v>5.3113999999999999</v>
      </c>
      <c r="AE327" s="145" t="s">
        <v>3853</v>
      </c>
      <c r="AF327" s="145" t="s">
        <v>3853</v>
      </c>
      <c r="AG327" s="145" t="s">
        <v>3853</v>
      </c>
      <c r="AH327" s="146">
        <v>1.1354219944851803E-5</v>
      </c>
      <c r="AI327" s="146">
        <v>7.5827630420759479E-3</v>
      </c>
      <c r="AJ327" s="147">
        <v>7.9696874921268202E-4</v>
      </c>
      <c r="AK327" s="181"/>
    </row>
    <row r="328" spans="1:37" ht="15" x14ac:dyDescent="0.2">
      <c r="A328" s="142" t="s">
        <v>1218</v>
      </c>
      <c r="B328" s="143" t="s">
        <v>1220</v>
      </c>
      <c r="C328" s="143" t="s">
        <v>1706</v>
      </c>
      <c r="D328" s="143" t="s">
        <v>1707</v>
      </c>
      <c r="E328" s="143" t="s">
        <v>309</v>
      </c>
      <c r="F328" s="143" t="s">
        <v>1708</v>
      </c>
      <c r="G328" s="143" t="s">
        <v>1709</v>
      </c>
      <c r="H328" s="143" t="s">
        <v>321</v>
      </c>
      <c r="I328" s="143" t="s">
        <v>951</v>
      </c>
      <c r="J328" s="143" t="s">
        <v>204</v>
      </c>
      <c r="K328" s="143" t="s">
        <v>224</v>
      </c>
      <c r="L328" s="143" t="s">
        <v>325</v>
      </c>
      <c r="M328" s="143" t="s">
        <v>340</v>
      </c>
      <c r="N328" s="143" t="s">
        <v>465</v>
      </c>
      <c r="O328" s="143" t="s">
        <v>339</v>
      </c>
      <c r="P328" s="143" t="s">
        <v>1409</v>
      </c>
      <c r="Q328" s="143" t="s">
        <v>413</v>
      </c>
      <c r="R328" s="143" t="s">
        <v>407</v>
      </c>
      <c r="S328" s="143" t="s">
        <v>1210</v>
      </c>
      <c r="T328" s="144">
        <v>0.5</v>
      </c>
      <c r="U328" s="143" t="s">
        <v>1710</v>
      </c>
      <c r="V328" s="146">
        <v>3.3799999999999997E-2</v>
      </c>
      <c r="W328" s="146">
        <v>5.8233E-2</v>
      </c>
      <c r="X328" s="143" t="s">
        <v>412</v>
      </c>
      <c r="Y328" s="145" t="s">
        <v>3853</v>
      </c>
      <c r="Z328" s="144">
        <v>2000</v>
      </c>
      <c r="AA328" s="145" t="s">
        <v>3853</v>
      </c>
      <c r="AB328" s="143" t="s">
        <v>1711</v>
      </c>
      <c r="AC328" s="145" t="s">
        <v>3853</v>
      </c>
      <c r="AD328" s="144">
        <v>1.9772000000000001</v>
      </c>
      <c r="AE328" s="145" t="s">
        <v>3853</v>
      </c>
      <c r="AF328" s="145" t="s">
        <v>3853</v>
      </c>
      <c r="AG328" s="145" t="s">
        <v>3853</v>
      </c>
      <c r="AH328" s="146">
        <v>9.7736305005687039E-6</v>
      </c>
      <c r="AI328" s="146">
        <v>2.4211193139706826E-3</v>
      </c>
      <c r="AJ328" s="147">
        <v>2.5446613861503754E-4</v>
      </c>
      <c r="AK328" s="181"/>
    </row>
    <row r="329" spans="1:37" ht="15" x14ac:dyDescent="0.2">
      <c r="A329" s="142" t="s">
        <v>1218</v>
      </c>
      <c r="B329" s="143" t="s">
        <v>1220</v>
      </c>
      <c r="C329" s="143" t="s">
        <v>1457</v>
      </c>
      <c r="D329" s="143" t="s">
        <v>1458</v>
      </c>
      <c r="E329" s="143" t="s">
        <v>309</v>
      </c>
      <c r="F329" s="143" t="s">
        <v>1459</v>
      </c>
      <c r="G329" s="143" t="s">
        <v>1460</v>
      </c>
      <c r="H329" s="143" t="s">
        <v>321</v>
      </c>
      <c r="I329" s="143" t="s">
        <v>951</v>
      </c>
      <c r="J329" s="143" t="s">
        <v>204</v>
      </c>
      <c r="K329" s="143" t="s">
        <v>204</v>
      </c>
      <c r="L329" s="143" t="s">
        <v>325</v>
      </c>
      <c r="M329" s="143" t="s">
        <v>340</v>
      </c>
      <c r="N329" s="143" t="s">
        <v>465</v>
      </c>
      <c r="O329" s="143" t="s">
        <v>339</v>
      </c>
      <c r="P329" s="143" t="s">
        <v>1461</v>
      </c>
      <c r="Q329" s="143" t="s">
        <v>415</v>
      </c>
      <c r="R329" s="143" t="s">
        <v>407</v>
      </c>
      <c r="S329" s="143" t="s">
        <v>1210</v>
      </c>
      <c r="T329" s="144">
        <v>0.5</v>
      </c>
      <c r="U329" s="143" t="s">
        <v>1462</v>
      </c>
      <c r="V329" s="146">
        <v>3.7999999999999999E-2</v>
      </c>
      <c r="W329" s="146">
        <v>7.2817000000000007E-2</v>
      </c>
      <c r="X329" s="143" t="s">
        <v>412</v>
      </c>
      <c r="Y329" s="145" t="s">
        <v>3853</v>
      </c>
      <c r="Z329" s="144">
        <v>0.44</v>
      </c>
      <c r="AA329" s="145" t="s">
        <v>3853</v>
      </c>
      <c r="AB329" s="143" t="s">
        <v>1326</v>
      </c>
      <c r="AC329" s="145" t="s">
        <v>3853</v>
      </c>
      <c r="AD329" s="144">
        <v>4.0000000000000002E-4</v>
      </c>
      <c r="AE329" s="145" t="s">
        <v>3853</v>
      </c>
      <c r="AF329" s="145" t="s">
        <v>3853</v>
      </c>
      <c r="AG329" s="145" t="s">
        <v>3853</v>
      </c>
      <c r="AH329" s="146">
        <v>1.3167678510985508E-9</v>
      </c>
      <c r="AI329" s="146">
        <v>5.3086824723059782E-7</v>
      </c>
      <c r="AJ329" s="147">
        <v>5.5795677729139419E-8</v>
      </c>
      <c r="AK329" s="181"/>
    </row>
    <row r="330" spans="1:37" ht="15" x14ac:dyDescent="0.2">
      <c r="A330" s="142" t="s">
        <v>1218</v>
      </c>
      <c r="B330" s="143" t="s">
        <v>1220</v>
      </c>
      <c r="C330" s="143" t="s">
        <v>1349</v>
      </c>
      <c r="D330" s="143" t="s">
        <v>1350</v>
      </c>
      <c r="E330" s="143" t="s">
        <v>309</v>
      </c>
      <c r="F330" s="143" t="s">
        <v>1463</v>
      </c>
      <c r="G330" s="143" t="s">
        <v>1464</v>
      </c>
      <c r="H330" s="143" t="s">
        <v>321</v>
      </c>
      <c r="I330" s="143" t="s">
        <v>754</v>
      </c>
      <c r="J330" s="143" t="s">
        <v>204</v>
      </c>
      <c r="K330" s="143" t="s">
        <v>204</v>
      </c>
      <c r="L330" s="143" t="s">
        <v>325</v>
      </c>
      <c r="M330" s="143" t="s">
        <v>340</v>
      </c>
      <c r="N330" s="143" t="s">
        <v>448</v>
      </c>
      <c r="O330" s="143" t="s">
        <v>339</v>
      </c>
      <c r="P330" s="143" t="s">
        <v>1222</v>
      </c>
      <c r="Q330" s="143" t="s">
        <v>413</v>
      </c>
      <c r="R330" s="143" t="s">
        <v>407</v>
      </c>
      <c r="S330" s="143" t="s">
        <v>1210</v>
      </c>
      <c r="T330" s="144">
        <v>0.24</v>
      </c>
      <c r="U330" s="143" t="s">
        <v>1465</v>
      </c>
      <c r="V330" s="146">
        <v>8.6E-3</v>
      </c>
      <c r="W330" s="146">
        <v>2.5704999999999999E-2</v>
      </c>
      <c r="X330" s="143" t="s">
        <v>412</v>
      </c>
      <c r="Y330" s="145" t="s">
        <v>3853</v>
      </c>
      <c r="Z330" s="144">
        <v>40400</v>
      </c>
      <c r="AA330" s="145" t="s">
        <v>3853</v>
      </c>
      <c r="AB330" s="143" t="s">
        <v>1466</v>
      </c>
      <c r="AC330" s="145" t="s">
        <v>3853</v>
      </c>
      <c r="AD330" s="144">
        <v>46.4358</v>
      </c>
      <c r="AE330" s="145" t="s">
        <v>3853</v>
      </c>
      <c r="AF330" s="145" t="s">
        <v>3853</v>
      </c>
      <c r="AG330" s="145" t="s">
        <v>3853</v>
      </c>
      <c r="AH330" s="146">
        <v>1.6151271852690805E-5</v>
      </c>
      <c r="AI330" s="146">
        <v>5.6861478552957347E-2</v>
      </c>
      <c r="AJ330" s="147">
        <v>5.9762940222813149E-3</v>
      </c>
      <c r="AK330" s="181"/>
    </row>
    <row r="331" spans="1:37" ht="15" x14ac:dyDescent="0.2">
      <c r="A331" s="142" t="s">
        <v>1218</v>
      </c>
      <c r="B331" s="143" t="s">
        <v>1220</v>
      </c>
      <c r="C331" s="143" t="s">
        <v>1574</v>
      </c>
      <c r="D331" s="143" t="s">
        <v>1575</v>
      </c>
      <c r="E331" s="143" t="s">
        <v>309</v>
      </c>
      <c r="F331" s="143" t="s">
        <v>1712</v>
      </c>
      <c r="G331" s="143" t="s">
        <v>1713</v>
      </c>
      <c r="H331" s="143" t="s">
        <v>321</v>
      </c>
      <c r="I331" s="143" t="s">
        <v>754</v>
      </c>
      <c r="J331" s="143" t="s">
        <v>204</v>
      </c>
      <c r="K331" s="143" t="s">
        <v>204</v>
      </c>
      <c r="L331" s="143" t="s">
        <v>325</v>
      </c>
      <c r="M331" s="143" t="s">
        <v>340</v>
      </c>
      <c r="N331" s="143" t="s">
        <v>464</v>
      </c>
      <c r="O331" s="143" t="s">
        <v>339</v>
      </c>
      <c r="P331" s="143" t="s">
        <v>1359</v>
      </c>
      <c r="Q331" s="143" t="s">
        <v>415</v>
      </c>
      <c r="R331" s="143" t="s">
        <v>407</v>
      </c>
      <c r="S331" s="143" t="s">
        <v>1210</v>
      </c>
      <c r="T331" s="144">
        <v>4.45</v>
      </c>
      <c r="U331" s="143" t="s">
        <v>1714</v>
      </c>
      <c r="V331" s="146">
        <v>1.3299999999999999E-2</v>
      </c>
      <c r="W331" s="146">
        <v>3.5557999999999999E-2</v>
      </c>
      <c r="X331" s="143" t="s">
        <v>412</v>
      </c>
      <c r="Y331" s="145" t="s">
        <v>3853</v>
      </c>
      <c r="Z331" s="144">
        <v>40185</v>
      </c>
      <c r="AA331" s="145" t="s">
        <v>3853</v>
      </c>
      <c r="AB331" s="143" t="s">
        <v>1715</v>
      </c>
      <c r="AC331" s="145" t="s">
        <v>3853</v>
      </c>
      <c r="AD331" s="144">
        <v>41.478999999999999</v>
      </c>
      <c r="AE331" s="145" t="s">
        <v>3853</v>
      </c>
      <c r="AF331" s="145" t="s">
        <v>3853</v>
      </c>
      <c r="AG331" s="145" t="s">
        <v>3853</v>
      </c>
      <c r="AH331" s="146">
        <v>3.3840000000000001E-5</v>
      </c>
      <c r="AI331" s="146">
        <v>5.0791778229850017E-2</v>
      </c>
      <c r="AJ331" s="147">
        <v>5.3383522261628473E-3</v>
      </c>
      <c r="AK331" s="181"/>
    </row>
    <row r="332" spans="1:37" ht="15" x14ac:dyDescent="0.2">
      <c r="A332" s="142" t="s">
        <v>1218</v>
      </c>
      <c r="B332" s="143" t="s">
        <v>1220</v>
      </c>
      <c r="C332" s="143" t="s">
        <v>1349</v>
      </c>
      <c r="D332" s="143" t="s">
        <v>1350</v>
      </c>
      <c r="E332" s="143" t="s">
        <v>309</v>
      </c>
      <c r="F332" s="143" t="s">
        <v>1477</v>
      </c>
      <c r="G332" s="143" t="s">
        <v>1478</v>
      </c>
      <c r="H332" s="143" t="s">
        <v>321</v>
      </c>
      <c r="I332" s="143" t="s">
        <v>754</v>
      </c>
      <c r="J332" s="143" t="s">
        <v>204</v>
      </c>
      <c r="K332" s="143" t="s">
        <v>204</v>
      </c>
      <c r="L332" s="143" t="s">
        <v>325</v>
      </c>
      <c r="M332" s="143" t="s">
        <v>340</v>
      </c>
      <c r="N332" s="143" t="s">
        <v>448</v>
      </c>
      <c r="O332" s="143" t="s">
        <v>339</v>
      </c>
      <c r="P332" s="143" t="s">
        <v>1222</v>
      </c>
      <c r="Q332" s="143" t="s">
        <v>413</v>
      </c>
      <c r="R332" s="143" t="s">
        <v>407</v>
      </c>
      <c r="S332" s="143" t="s">
        <v>1210</v>
      </c>
      <c r="T332" s="144">
        <v>3.17</v>
      </c>
      <c r="U332" s="143" t="s">
        <v>1479</v>
      </c>
      <c r="V332" s="146">
        <v>1.2200000000000001E-2</v>
      </c>
      <c r="W332" s="146">
        <v>2.41E-2</v>
      </c>
      <c r="X332" s="143" t="s">
        <v>412</v>
      </c>
      <c r="Y332" s="145" t="s">
        <v>3853</v>
      </c>
      <c r="Z332" s="144">
        <v>34908</v>
      </c>
      <c r="AA332" s="145" t="s">
        <v>3853</v>
      </c>
      <c r="AB332" s="143" t="s">
        <v>1480</v>
      </c>
      <c r="AC332" s="145" t="s">
        <v>3853</v>
      </c>
      <c r="AD332" s="144">
        <v>38.929400000000001</v>
      </c>
      <c r="AE332" s="145" t="s">
        <v>3853</v>
      </c>
      <c r="AF332" s="145" t="s">
        <v>3853</v>
      </c>
      <c r="AG332" s="145" t="s">
        <v>3853</v>
      </c>
      <c r="AH332" s="146">
        <v>1.1575759746280357E-5</v>
      </c>
      <c r="AI332" s="146">
        <v>4.7669798753328545E-2</v>
      </c>
      <c r="AJ332" s="147">
        <v>5.0102238032298527E-3</v>
      </c>
      <c r="AK332" s="181"/>
    </row>
    <row r="333" spans="1:37" ht="15" x14ac:dyDescent="0.2">
      <c r="A333" s="142" t="s">
        <v>1218</v>
      </c>
      <c r="B333" s="143" t="s">
        <v>1220</v>
      </c>
      <c r="C333" s="143" t="s">
        <v>1467</v>
      </c>
      <c r="D333" s="143" t="s">
        <v>1468</v>
      </c>
      <c r="E333" s="143" t="s">
        <v>309</v>
      </c>
      <c r="F333" s="143" t="s">
        <v>1469</v>
      </c>
      <c r="G333" s="143" t="s">
        <v>1470</v>
      </c>
      <c r="H333" s="143" t="s">
        <v>321</v>
      </c>
      <c r="I333" s="143" t="s">
        <v>754</v>
      </c>
      <c r="J333" s="143" t="s">
        <v>204</v>
      </c>
      <c r="K333" s="143" t="s">
        <v>204</v>
      </c>
      <c r="L333" s="143" t="s">
        <v>325</v>
      </c>
      <c r="M333" s="143" t="s">
        <v>340</v>
      </c>
      <c r="N333" s="143" t="s">
        <v>456</v>
      </c>
      <c r="O333" s="143" t="s">
        <v>339</v>
      </c>
      <c r="P333" s="143" t="s">
        <v>1347</v>
      </c>
      <c r="Q333" s="143" t="s">
        <v>413</v>
      </c>
      <c r="R333" s="143" t="s">
        <v>407</v>
      </c>
      <c r="S333" s="143" t="s">
        <v>1210</v>
      </c>
      <c r="T333" s="144">
        <v>5.43</v>
      </c>
      <c r="U333" s="143" t="s">
        <v>1471</v>
      </c>
      <c r="V333" s="146">
        <v>5.1499999999999997E-2</v>
      </c>
      <c r="W333" s="146">
        <v>3.8883000000000001E-2</v>
      </c>
      <c r="X333" s="143" t="s">
        <v>412</v>
      </c>
      <c r="Y333" s="145" t="s">
        <v>3853</v>
      </c>
      <c r="Z333" s="144">
        <v>24791</v>
      </c>
      <c r="AA333" s="145" t="s">
        <v>3853</v>
      </c>
      <c r="AB333" s="143" t="s">
        <v>1472</v>
      </c>
      <c r="AC333" s="145" t="s">
        <v>3853</v>
      </c>
      <c r="AD333" s="144">
        <v>36.475000000000001</v>
      </c>
      <c r="AE333" s="145" t="s">
        <v>3853</v>
      </c>
      <c r="AF333" s="145" t="s">
        <v>3853</v>
      </c>
      <c r="AG333" s="145" t="s">
        <v>3853</v>
      </c>
      <c r="AH333" s="146">
        <v>8.5368845634452771E-6</v>
      </c>
      <c r="AI333" s="146">
        <v>4.4664334847854453E-2</v>
      </c>
      <c r="AJ333" s="147">
        <v>4.6943414795625419E-3</v>
      </c>
      <c r="AK333" s="181"/>
    </row>
    <row r="334" spans="1:37" ht="15" x14ac:dyDescent="0.2">
      <c r="A334" s="142" t="s">
        <v>1218</v>
      </c>
      <c r="B334" s="143" t="s">
        <v>1220</v>
      </c>
      <c r="C334" s="143" t="s">
        <v>1550</v>
      </c>
      <c r="D334" s="143" t="s">
        <v>1551</v>
      </c>
      <c r="E334" s="143" t="s">
        <v>309</v>
      </c>
      <c r="F334" s="143" t="s">
        <v>1726</v>
      </c>
      <c r="G334" s="143" t="s">
        <v>1727</v>
      </c>
      <c r="H334" s="143" t="s">
        <v>321</v>
      </c>
      <c r="I334" s="143" t="s">
        <v>754</v>
      </c>
      <c r="J334" s="143" t="s">
        <v>204</v>
      </c>
      <c r="K334" s="143" t="s">
        <v>293</v>
      </c>
      <c r="L334" s="143" t="s">
        <v>325</v>
      </c>
      <c r="M334" s="143" t="s">
        <v>340</v>
      </c>
      <c r="N334" s="143" t="s">
        <v>465</v>
      </c>
      <c r="O334" s="143" t="s">
        <v>339</v>
      </c>
      <c r="P334" s="143" t="s">
        <v>1440</v>
      </c>
      <c r="Q334" s="143" t="s">
        <v>415</v>
      </c>
      <c r="R334" s="143" t="s">
        <v>407</v>
      </c>
      <c r="S334" s="143" t="s">
        <v>1210</v>
      </c>
      <c r="T334" s="144">
        <v>5.35</v>
      </c>
      <c r="U334" s="143" t="s">
        <v>1714</v>
      </c>
      <c r="V334" s="146">
        <v>1.54E-2</v>
      </c>
      <c r="W334" s="146">
        <v>4.0224999999999997E-2</v>
      </c>
      <c r="X334" s="143" t="s">
        <v>412</v>
      </c>
      <c r="Y334" s="145" t="s">
        <v>3853</v>
      </c>
      <c r="Z334" s="144">
        <v>35000</v>
      </c>
      <c r="AA334" s="145" t="s">
        <v>3853</v>
      </c>
      <c r="AB334" s="143" t="s">
        <v>1728</v>
      </c>
      <c r="AC334" s="145" t="s">
        <v>3853</v>
      </c>
      <c r="AD334" s="144">
        <v>34.055</v>
      </c>
      <c r="AE334" s="145" t="s">
        <v>3853</v>
      </c>
      <c r="AF334" s="145" t="s">
        <v>3853</v>
      </c>
      <c r="AG334" s="145" t="s">
        <v>3853</v>
      </c>
      <c r="AH334" s="146">
        <v>5.8681411908302751E-5</v>
      </c>
      <c r="AI334" s="146">
        <v>4.1701000524616429E-2</v>
      </c>
      <c r="AJ334" s="147">
        <v>4.3828870880715676E-3</v>
      </c>
      <c r="AK334" s="181"/>
    </row>
    <row r="335" spans="1:37" ht="15" x14ac:dyDescent="0.2">
      <c r="A335" s="142" t="s">
        <v>1218</v>
      </c>
      <c r="B335" s="143" t="s">
        <v>1220</v>
      </c>
      <c r="C335" s="143" t="s">
        <v>1510</v>
      </c>
      <c r="D335" s="143" t="s">
        <v>1511</v>
      </c>
      <c r="E335" s="143" t="s">
        <v>309</v>
      </c>
      <c r="F335" s="143" t="s">
        <v>1560</v>
      </c>
      <c r="G335" s="143" t="s">
        <v>1561</v>
      </c>
      <c r="H335" s="143" t="s">
        <v>321</v>
      </c>
      <c r="I335" s="143" t="s">
        <v>754</v>
      </c>
      <c r="J335" s="143" t="s">
        <v>204</v>
      </c>
      <c r="K335" s="143" t="s">
        <v>204</v>
      </c>
      <c r="L335" s="143" t="s">
        <v>325</v>
      </c>
      <c r="M335" s="143" t="s">
        <v>340</v>
      </c>
      <c r="N335" s="143" t="s">
        <v>448</v>
      </c>
      <c r="O335" s="143" t="s">
        <v>339</v>
      </c>
      <c r="P335" s="143" t="s">
        <v>1347</v>
      </c>
      <c r="Q335" s="143" t="s">
        <v>413</v>
      </c>
      <c r="R335" s="143" t="s">
        <v>407</v>
      </c>
      <c r="S335" s="143" t="s">
        <v>1210</v>
      </c>
      <c r="T335" s="144">
        <v>4.75</v>
      </c>
      <c r="U335" s="143" t="s">
        <v>1562</v>
      </c>
      <c r="V335" s="146">
        <v>2.5899999999999999E-2</v>
      </c>
      <c r="W335" s="146">
        <v>2.7512000000000002E-2</v>
      </c>
      <c r="X335" s="143" t="s">
        <v>412</v>
      </c>
      <c r="Y335" s="145" t="s">
        <v>3853</v>
      </c>
      <c r="Z335" s="144">
        <v>26000</v>
      </c>
      <c r="AA335" s="145" t="s">
        <v>3853</v>
      </c>
      <c r="AB335" s="143" t="s">
        <v>1563</v>
      </c>
      <c r="AC335" s="145" t="s">
        <v>3853</v>
      </c>
      <c r="AD335" s="144">
        <v>26.603200000000001</v>
      </c>
      <c r="AE335" s="145" t="s">
        <v>3853</v>
      </c>
      <c r="AF335" s="145" t="s">
        <v>3853</v>
      </c>
      <c r="AG335" s="145" t="s">
        <v>3853</v>
      </c>
      <c r="AH335" s="146">
        <v>5.7777777777777776E-5</v>
      </c>
      <c r="AI335" s="146">
        <v>3.2576128531976972E-2</v>
      </c>
      <c r="AJ335" s="147">
        <v>3.4238385488587733E-3</v>
      </c>
      <c r="AK335" s="181"/>
    </row>
    <row r="336" spans="1:37" ht="15" x14ac:dyDescent="0.2">
      <c r="A336" s="142" t="s">
        <v>1218</v>
      </c>
      <c r="B336" s="143" t="s">
        <v>1220</v>
      </c>
      <c r="C336" s="143" t="s">
        <v>1526</v>
      </c>
      <c r="D336" s="143" t="s">
        <v>1527</v>
      </c>
      <c r="E336" s="143" t="s">
        <v>313</v>
      </c>
      <c r="F336" s="143" t="s">
        <v>1546</v>
      </c>
      <c r="G336" s="143" t="s">
        <v>1547</v>
      </c>
      <c r="H336" s="143" t="s">
        <v>321</v>
      </c>
      <c r="I336" s="143" t="s">
        <v>754</v>
      </c>
      <c r="J336" s="143" t="s">
        <v>204</v>
      </c>
      <c r="K336" s="143" t="s">
        <v>204</v>
      </c>
      <c r="L336" s="143" t="s">
        <v>325</v>
      </c>
      <c r="M336" s="143" t="s">
        <v>340</v>
      </c>
      <c r="N336" s="143" t="s">
        <v>440</v>
      </c>
      <c r="O336" s="143" t="s">
        <v>339</v>
      </c>
      <c r="P336" s="143" t="s">
        <v>1530</v>
      </c>
      <c r="Q336" s="143" t="s">
        <v>415</v>
      </c>
      <c r="R336" s="143" t="s">
        <v>407</v>
      </c>
      <c r="S336" s="143" t="s">
        <v>1210</v>
      </c>
      <c r="T336" s="144">
        <v>1.1299999999999999</v>
      </c>
      <c r="U336" s="143" t="s">
        <v>1548</v>
      </c>
      <c r="V336" s="146">
        <v>4.4999999999999998E-2</v>
      </c>
      <c r="W336" s="146">
        <v>2.6681E-2</v>
      </c>
      <c r="X336" s="143" t="s">
        <v>412</v>
      </c>
      <c r="Y336" s="145" t="s">
        <v>3853</v>
      </c>
      <c r="Z336" s="144">
        <v>20367</v>
      </c>
      <c r="AA336" s="145" t="s">
        <v>3853</v>
      </c>
      <c r="AB336" s="143" t="s">
        <v>1549</v>
      </c>
      <c r="AC336" s="145" t="s">
        <v>3853</v>
      </c>
      <c r="AD336" s="144">
        <v>24.2958</v>
      </c>
      <c r="AE336" s="145" t="s">
        <v>3853</v>
      </c>
      <c r="AF336" s="145" t="s">
        <v>3853</v>
      </c>
      <c r="AG336" s="145" t="s">
        <v>3853</v>
      </c>
      <c r="AH336" s="146">
        <v>6.890976727809432E-6</v>
      </c>
      <c r="AI336" s="146">
        <v>2.9750666006468147E-2</v>
      </c>
      <c r="AJ336" s="147">
        <v>3.1268748533816704E-3</v>
      </c>
      <c r="AK336" s="181"/>
    </row>
    <row r="337" spans="1:37" ht="15" x14ac:dyDescent="0.2">
      <c r="A337" s="142" t="s">
        <v>1218</v>
      </c>
      <c r="B337" s="143" t="s">
        <v>1220</v>
      </c>
      <c r="C337" s="143" t="s">
        <v>1501</v>
      </c>
      <c r="D337" s="143" t="s">
        <v>1502</v>
      </c>
      <c r="E337" s="143" t="s">
        <v>309</v>
      </c>
      <c r="F337" s="143" t="s">
        <v>1904</v>
      </c>
      <c r="G337" s="143" t="s">
        <v>1905</v>
      </c>
      <c r="H337" s="143" t="s">
        <v>321</v>
      </c>
      <c r="I337" s="143" t="s">
        <v>754</v>
      </c>
      <c r="J337" s="143" t="s">
        <v>204</v>
      </c>
      <c r="K337" s="143" t="s">
        <v>204</v>
      </c>
      <c r="L337" s="143" t="s">
        <v>325</v>
      </c>
      <c r="M337" s="143" t="s">
        <v>340</v>
      </c>
      <c r="N337" s="143" t="s">
        <v>464</v>
      </c>
      <c r="O337" s="143" t="s">
        <v>339</v>
      </c>
      <c r="P337" s="143" t="s">
        <v>1409</v>
      </c>
      <c r="Q337" s="143" t="s">
        <v>413</v>
      </c>
      <c r="R337" s="143" t="s">
        <v>407</v>
      </c>
      <c r="S337" s="143" t="s">
        <v>1210</v>
      </c>
      <c r="T337" s="144">
        <v>5.8</v>
      </c>
      <c r="U337" s="143" t="s">
        <v>1781</v>
      </c>
      <c r="V337" s="146">
        <v>9.1999999999999998E-3</v>
      </c>
      <c r="W337" s="146">
        <v>3.5089000000000002E-2</v>
      </c>
      <c r="X337" s="143" t="s">
        <v>412</v>
      </c>
      <c r="Y337" s="145" t="s">
        <v>3853</v>
      </c>
      <c r="Z337" s="144">
        <v>24600</v>
      </c>
      <c r="AA337" s="145" t="s">
        <v>3853</v>
      </c>
      <c r="AB337" s="143" t="s">
        <v>1906</v>
      </c>
      <c r="AC337" s="145" t="s">
        <v>3853</v>
      </c>
      <c r="AD337" s="144">
        <v>24.2531</v>
      </c>
      <c r="AE337" s="145" t="s">
        <v>3853</v>
      </c>
      <c r="AF337" s="145" t="s">
        <v>3853</v>
      </c>
      <c r="AG337" s="145" t="s">
        <v>3853</v>
      </c>
      <c r="AH337" s="146">
        <v>9.5101389292124798E-6</v>
      </c>
      <c r="AI337" s="146">
        <v>2.9698434998196906E-2</v>
      </c>
      <c r="AJ337" s="147">
        <v>3.1213852342150067E-3</v>
      </c>
      <c r="AK337" s="181"/>
    </row>
    <row r="338" spans="1:37" ht="15" x14ac:dyDescent="0.2">
      <c r="A338" s="142" t="s">
        <v>1218</v>
      </c>
      <c r="B338" s="143" t="s">
        <v>1220</v>
      </c>
      <c r="C338" s="143" t="s">
        <v>1343</v>
      </c>
      <c r="D338" s="143" t="s">
        <v>1344</v>
      </c>
      <c r="E338" s="143" t="s">
        <v>309</v>
      </c>
      <c r="F338" s="143" t="s">
        <v>1507</v>
      </c>
      <c r="G338" s="143" t="s">
        <v>1508</v>
      </c>
      <c r="H338" s="143" t="s">
        <v>321</v>
      </c>
      <c r="I338" s="143" t="s">
        <v>754</v>
      </c>
      <c r="J338" s="143" t="s">
        <v>204</v>
      </c>
      <c r="K338" s="143" t="s">
        <v>204</v>
      </c>
      <c r="L338" s="143" t="s">
        <v>325</v>
      </c>
      <c r="M338" s="143" t="s">
        <v>340</v>
      </c>
      <c r="N338" s="143" t="s">
        <v>445</v>
      </c>
      <c r="O338" s="143" t="s">
        <v>339</v>
      </c>
      <c r="P338" s="143" t="s">
        <v>1347</v>
      </c>
      <c r="Q338" s="143" t="s">
        <v>413</v>
      </c>
      <c r="R338" s="143" t="s">
        <v>407</v>
      </c>
      <c r="S338" s="143" t="s">
        <v>1210</v>
      </c>
      <c r="T338" s="144">
        <v>1.06</v>
      </c>
      <c r="U338" s="143" t="s">
        <v>1360</v>
      </c>
      <c r="V338" s="146">
        <v>2.4799999999999999E-2</v>
      </c>
      <c r="W338" s="146">
        <v>2.7913E-2</v>
      </c>
      <c r="X338" s="143" t="s">
        <v>412</v>
      </c>
      <c r="Y338" s="145" t="s">
        <v>3853</v>
      </c>
      <c r="Z338" s="144">
        <v>20553.169999999998</v>
      </c>
      <c r="AA338" s="145" t="s">
        <v>3853</v>
      </c>
      <c r="AB338" s="143" t="s">
        <v>1509</v>
      </c>
      <c r="AC338" s="145" t="s">
        <v>3853</v>
      </c>
      <c r="AD338" s="144">
        <v>23.549799999999998</v>
      </c>
      <c r="AE338" s="145" t="s">
        <v>3853</v>
      </c>
      <c r="AF338" s="145" t="s">
        <v>3853</v>
      </c>
      <c r="AG338" s="145" t="s">
        <v>3853</v>
      </c>
      <c r="AH338" s="146">
        <v>4.85332685365758E-5</v>
      </c>
      <c r="AI338" s="146">
        <v>2.8837208848421954E-2</v>
      </c>
      <c r="AJ338" s="147">
        <v>3.0308680541888339E-3</v>
      </c>
      <c r="AK338" s="181"/>
    </row>
    <row r="339" spans="1:37" ht="15" x14ac:dyDescent="0.2">
      <c r="A339" s="142" t="s">
        <v>1218</v>
      </c>
      <c r="B339" s="143" t="s">
        <v>1220</v>
      </c>
      <c r="C339" s="143" t="s">
        <v>1568</v>
      </c>
      <c r="D339" s="143" t="s">
        <v>1569</v>
      </c>
      <c r="E339" s="143" t="s">
        <v>309</v>
      </c>
      <c r="F339" s="143" t="s">
        <v>1601</v>
      </c>
      <c r="G339" s="143" t="s">
        <v>1602</v>
      </c>
      <c r="H339" s="143" t="s">
        <v>321</v>
      </c>
      <c r="I339" s="143" t="s">
        <v>754</v>
      </c>
      <c r="J339" s="143" t="s">
        <v>204</v>
      </c>
      <c r="K339" s="143" t="s">
        <v>204</v>
      </c>
      <c r="L339" s="143" t="s">
        <v>325</v>
      </c>
      <c r="M339" s="143" t="s">
        <v>340</v>
      </c>
      <c r="N339" s="143" t="s">
        <v>448</v>
      </c>
      <c r="O339" s="143" t="s">
        <v>339</v>
      </c>
      <c r="P339" s="143" t="s">
        <v>1222</v>
      </c>
      <c r="Q339" s="143" t="s">
        <v>413</v>
      </c>
      <c r="R339" s="143" t="s">
        <v>407</v>
      </c>
      <c r="S339" s="143" t="s">
        <v>1210</v>
      </c>
      <c r="T339" s="144">
        <v>3.26</v>
      </c>
      <c r="U339" s="143" t="s">
        <v>1603</v>
      </c>
      <c r="V339" s="146">
        <v>1.7500000000000002E-2</v>
      </c>
      <c r="W339" s="146">
        <v>2.4340000000000001E-2</v>
      </c>
      <c r="X339" s="143" t="s">
        <v>412</v>
      </c>
      <c r="Y339" s="145" t="s">
        <v>3853</v>
      </c>
      <c r="Z339" s="144">
        <v>19432.349999999999</v>
      </c>
      <c r="AA339" s="145" t="s">
        <v>3853</v>
      </c>
      <c r="AB339" s="143" t="s">
        <v>1604</v>
      </c>
      <c r="AC339" s="145" t="s">
        <v>3853</v>
      </c>
      <c r="AD339" s="144">
        <v>21.669</v>
      </c>
      <c r="AE339" s="145" t="s">
        <v>3853</v>
      </c>
      <c r="AF339" s="145" t="s">
        <v>3853</v>
      </c>
      <c r="AG339" s="145" t="s">
        <v>3853</v>
      </c>
      <c r="AH339" s="146">
        <v>7.4728602425791643E-6</v>
      </c>
      <c r="AI339" s="146">
        <v>2.6534122528436514E-2</v>
      </c>
      <c r="AJ339" s="147">
        <v>2.7888075000632854E-3</v>
      </c>
      <c r="AK339" s="181"/>
    </row>
    <row r="340" spans="1:37" ht="15" x14ac:dyDescent="0.2">
      <c r="A340" s="142" t="s">
        <v>1218</v>
      </c>
      <c r="B340" s="143" t="s">
        <v>1220</v>
      </c>
      <c r="C340" s="143" t="s">
        <v>1349</v>
      </c>
      <c r="D340" s="143" t="s">
        <v>1350</v>
      </c>
      <c r="E340" s="143" t="s">
        <v>309</v>
      </c>
      <c r="F340" s="143" t="s">
        <v>1593</v>
      </c>
      <c r="G340" s="143" t="s">
        <v>1594</v>
      </c>
      <c r="H340" s="143" t="s">
        <v>321</v>
      </c>
      <c r="I340" s="143" t="s">
        <v>754</v>
      </c>
      <c r="J340" s="143" t="s">
        <v>204</v>
      </c>
      <c r="K340" s="143" t="s">
        <v>204</v>
      </c>
      <c r="L340" s="143" t="s">
        <v>325</v>
      </c>
      <c r="M340" s="143" t="s">
        <v>340</v>
      </c>
      <c r="N340" s="143" t="s">
        <v>448</v>
      </c>
      <c r="O340" s="143" t="s">
        <v>339</v>
      </c>
      <c r="P340" s="143" t="s">
        <v>1222</v>
      </c>
      <c r="Q340" s="143" t="s">
        <v>413</v>
      </c>
      <c r="R340" s="143" t="s">
        <v>407</v>
      </c>
      <c r="S340" s="143" t="s">
        <v>1210</v>
      </c>
      <c r="T340" s="144">
        <v>4.63</v>
      </c>
      <c r="U340" s="143" t="s">
        <v>1595</v>
      </c>
      <c r="V340" s="146">
        <v>1.9900000000000001E-2</v>
      </c>
      <c r="W340" s="146">
        <v>2.5776E-2</v>
      </c>
      <c r="X340" s="143" t="s">
        <v>412</v>
      </c>
      <c r="Y340" s="145" t="s">
        <v>3853</v>
      </c>
      <c r="Z340" s="144">
        <v>19000</v>
      </c>
      <c r="AA340" s="145" t="s">
        <v>3853</v>
      </c>
      <c r="AB340" s="143" t="s">
        <v>1596</v>
      </c>
      <c r="AC340" s="145" t="s">
        <v>3853</v>
      </c>
      <c r="AD340" s="144">
        <v>19.043700000000001</v>
      </c>
      <c r="AE340" s="145" t="s">
        <v>3853</v>
      </c>
      <c r="AF340" s="145" t="s">
        <v>3853</v>
      </c>
      <c r="AG340" s="145" t="s">
        <v>3853</v>
      </c>
      <c r="AH340" s="146">
        <v>7.0370370370370366E-6</v>
      </c>
      <c r="AI340" s="146">
        <v>2.3319375824126791E-2</v>
      </c>
      <c r="AJ340" s="147">
        <v>2.4509289924859348E-3</v>
      </c>
      <c r="AK340" s="181"/>
    </row>
    <row r="341" spans="1:37" ht="15" x14ac:dyDescent="0.2">
      <c r="A341" s="142" t="s">
        <v>1218</v>
      </c>
      <c r="B341" s="143" t="s">
        <v>1220</v>
      </c>
      <c r="C341" s="143" t="s">
        <v>1481</v>
      </c>
      <c r="D341" s="143" t="s">
        <v>1482</v>
      </c>
      <c r="E341" s="143" t="s">
        <v>309</v>
      </c>
      <c r="F341" s="143" t="s">
        <v>1522</v>
      </c>
      <c r="G341" s="143" t="s">
        <v>1523</v>
      </c>
      <c r="H341" s="143" t="s">
        <v>321</v>
      </c>
      <c r="I341" s="143" t="s">
        <v>754</v>
      </c>
      <c r="J341" s="143" t="s">
        <v>204</v>
      </c>
      <c r="K341" s="143" t="s">
        <v>204</v>
      </c>
      <c r="L341" s="143" t="s">
        <v>325</v>
      </c>
      <c r="M341" s="143" t="s">
        <v>340</v>
      </c>
      <c r="N341" s="143" t="s">
        <v>448</v>
      </c>
      <c r="O341" s="143" t="s">
        <v>339</v>
      </c>
      <c r="P341" s="143" t="s">
        <v>1222</v>
      </c>
      <c r="Q341" s="143" t="s">
        <v>413</v>
      </c>
      <c r="R341" s="143" t="s">
        <v>407</v>
      </c>
      <c r="S341" s="143" t="s">
        <v>1210</v>
      </c>
      <c r="T341" s="144">
        <v>5.29</v>
      </c>
      <c r="U341" s="143" t="s">
        <v>1524</v>
      </c>
      <c r="V341" s="146">
        <v>2.0251999999999999E-2</v>
      </c>
      <c r="W341" s="146">
        <v>2.5944999999999999E-2</v>
      </c>
      <c r="X341" s="143" t="s">
        <v>412</v>
      </c>
      <c r="Y341" s="145" t="s">
        <v>3853</v>
      </c>
      <c r="Z341" s="144">
        <v>19000</v>
      </c>
      <c r="AA341" s="145" t="s">
        <v>3853</v>
      </c>
      <c r="AB341" s="143" t="s">
        <v>1525</v>
      </c>
      <c r="AC341" s="145" t="s">
        <v>3853</v>
      </c>
      <c r="AD341" s="144">
        <v>18.834700000000002</v>
      </c>
      <c r="AE341" s="145" t="s">
        <v>3853</v>
      </c>
      <c r="AF341" s="145" t="s">
        <v>3853</v>
      </c>
      <c r="AG341" s="145" t="s">
        <v>3853</v>
      </c>
      <c r="AH341" s="146">
        <v>8.950771697848329E-6</v>
      </c>
      <c r="AI341" s="146">
        <v>2.30634513164291E-2</v>
      </c>
      <c r="AJ341" s="147">
        <v>2.4240306397798135E-3</v>
      </c>
      <c r="AK341" s="181"/>
    </row>
    <row r="342" spans="1:37" ht="15" x14ac:dyDescent="0.2">
      <c r="A342" s="142" t="s">
        <v>1218</v>
      </c>
      <c r="B342" s="143" t="s">
        <v>1220</v>
      </c>
      <c r="C342" s="143" t="s">
        <v>1720</v>
      </c>
      <c r="D342" s="143" t="s">
        <v>1721</v>
      </c>
      <c r="E342" s="143" t="s">
        <v>309</v>
      </c>
      <c r="F342" s="143" t="s">
        <v>1733</v>
      </c>
      <c r="G342" s="143" t="s">
        <v>1734</v>
      </c>
      <c r="H342" s="143" t="s">
        <v>321</v>
      </c>
      <c r="I342" s="143" t="s">
        <v>754</v>
      </c>
      <c r="J342" s="143" t="s">
        <v>204</v>
      </c>
      <c r="K342" s="143" t="s">
        <v>204</v>
      </c>
      <c r="L342" s="143" t="s">
        <v>325</v>
      </c>
      <c r="M342" s="143" t="s">
        <v>340</v>
      </c>
      <c r="N342" s="143" t="s">
        <v>464</v>
      </c>
      <c r="O342" s="143" t="s">
        <v>339</v>
      </c>
      <c r="P342" s="143" t="s">
        <v>1735</v>
      </c>
      <c r="Q342" s="143" t="s">
        <v>413</v>
      </c>
      <c r="R342" s="143" t="s">
        <v>407</v>
      </c>
      <c r="S342" s="143" t="s">
        <v>1210</v>
      </c>
      <c r="T342" s="144">
        <v>10.57</v>
      </c>
      <c r="U342" s="143" t="s">
        <v>1736</v>
      </c>
      <c r="V342" s="146">
        <v>1.6899999999999998E-2</v>
      </c>
      <c r="W342" s="146">
        <v>3.8008E-2</v>
      </c>
      <c r="X342" s="143" t="s">
        <v>412</v>
      </c>
      <c r="Y342" s="145" t="s">
        <v>3853</v>
      </c>
      <c r="Z342" s="144">
        <v>20397</v>
      </c>
      <c r="AA342" s="145" t="s">
        <v>3853</v>
      </c>
      <c r="AB342" s="143" t="s">
        <v>1737</v>
      </c>
      <c r="AC342" s="144">
        <v>0.1928</v>
      </c>
      <c r="AD342" s="144">
        <v>18.5093</v>
      </c>
      <c r="AE342" s="145" t="s">
        <v>3853</v>
      </c>
      <c r="AF342" s="145" t="s">
        <v>3853</v>
      </c>
      <c r="AG342" s="145" t="s">
        <v>3853</v>
      </c>
      <c r="AH342" s="146">
        <v>4.675037130755267E-6</v>
      </c>
      <c r="AI342" s="146">
        <v>2.2901038440094289E-2</v>
      </c>
      <c r="AJ342" s="147">
        <v>2.4069606105318535E-3</v>
      </c>
      <c r="AK342" s="181"/>
    </row>
    <row r="343" spans="1:37" ht="15" x14ac:dyDescent="0.2">
      <c r="A343" s="142" t="s">
        <v>1218</v>
      </c>
      <c r="B343" s="143" t="s">
        <v>1220</v>
      </c>
      <c r="C343" s="143" t="s">
        <v>1355</v>
      </c>
      <c r="D343" s="143" t="s">
        <v>1356</v>
      </c>
      <c r="E343" s="143" t="s">
        <v>309</v>
      </c>
      <c r="F343" s="143" t="s">
        <v>1597</v>
      </c>
      <c r="G343" s="143" t="s">
        <v>1598</v>
      </c>
      <c r="H343" s="143" t="s">
        <v>321</v>
      </c>
      <c r="I343" s="143" t="s">
        <v>754</v>
      </c>
      <c r="J343" s="143" t="s">
        <v>204</v>
      </c>
      <c r="K343" s="143" t="s">
        <v>204</v>
      </c>
      <c r="L343" s="143" t="s">
        <v>325</v>
      </c>
      <c r="M343" s="143" t="s">
        <v>340</v>
      </c>
      <c r="N343" s="143" t="s">
        <v>445</v>
      </c>
      <c r="O343" s="143" t="s">
        <v>339</v>
      </c>
      <c r="P343" s="143" t="s">
        <v>1359</v>
      </c>
      <c r="Q343" s="143" t="s">
        <v>415</v>
      </c>
      <c r="R343" s="143" t="s">
        <v>407</v>
      </c>
      <c r="S343" s="143" t="s">
        <v>1210</v>
      </c>
      <c r="T343" s="144">
        <v>5.24</v>
      </c>
      <c r="U343" s="143" t="s">
        <v>1599</v>
      </c>
      <c r="V343" s="146">
        <v>4.6899999999999997E-2</v>
      </c>
      <c r="W343" s="146">
        <v>5.7537999999999999E-2</v>
      </c>
      <c r="X343" s="143" t="s">
        <v>412</v>
      </c>
      <c r="Y343" s="145" t="s">
        <v>3853</v>
      </c>
      <c r="Z343" s="144">
        <v>19000</v>
      </c>
      <c r="AA343" s="145" t="s">
        <v>3853</v>
      </c>
      <c r="AB343" s="143" t="s">
        <v>1600</v>
      </c>
      <c r="AC343" s="145" t="s">
        <v>3853</v>
      </c>
      <c r="AD343" s="144">
        <v>18.095599999999997</v>
      </c>
      <c r="AE343" s="145" t="s">
        <v>3853</v>
      </c>
      <c r="AF343" s="145" t="s">
        <v>3853</v>
      </c>
      <c r="AG343" s="145" t="s">
        <v>3853</v>
      </c>
      <c r="AH343" s="146">
        <v>3.8000000000000002E-5</v>
      </c>
      <c r="AI343" s="146">
        <v>2.2158409193752726E-2</v>
      </c>
      <c r="AJ343" s="147">
        <v>2.3289082833918033E-3</v>
      </c>
      <c r="AK343" s="181"/>
    </row>
    <row r="344" spans="1:37" ht="15" x14ac:dyDescent="0.2">
      <c r="A344" s="142" t="s">
        <v>1218</v>
      </c>
      <c r="B344" s="143" t="s">
        <v>1220</v>
      </c>
      <c r="C344" s="143" t="s">
        <v>1550</v>
      </c>
      <c r="D344" s="143" t="s">
        <v>1551</v>
      </c>
      <c r="E344" s="143" t="s">
        <v>309</v>
      </c>
      <c r="F344" s="143" t="s">
        <v>1552</v>
      </c>
      <c r="G344" s="143" t="s">
        <v>1553</v>
      </c>
      <c r="H344" s="143" t="s">
        <v>321</v>
      </c>
      <c r="I344" s="143" t="s">
        <v>754</v>
      </c>
      <c r="J344" s="143" t="s">
        <v>204</v>
      </c>
      <c r="K344" s="143" t="s">
        <v>204</v>
      </c>
      <c r="L344" s="143" t="s">
        <v>325</v>
      </c>
      <c r="M344" s="143" t="s">
        <v>340</v>
      </c>
      <c r="N344" s="143" t="s">
        <v>465</v>
      </c>
      <c r="O344" s="143" t="s">
        <v>339</v>
      </c>
      <c r="P344" s="143" t="s">
        <v>1440</v>
      </c>
      <c r="Q344" s="143" t="s">
        <v>415</v>
      </c>
      <c r="R344" s="143" t="s">
        <v>407</v>
      </c>
      <c r="S344" s="143" t="s">
        <v>1210</v>
      </c>
      <c r="T344" s="144">
        <v>1.71</v>
      </c>
      <c r="U344" s="143" t="s">
        <v>1554</v>
      </c>
      <c r="V344" s="146">
        <v>2.5700000000000001E-2</v>
      </c>
      <c r="W344" s="146">
        <v>3.3569000000000002E-2</v>
      </c>
      <c r="X344" s="143" t="s">
        <v>412</v>
      </c>
      <c r="Y344" s="145" t="s">
        <v>3853</v>
      </c>
      <c r="Z344" s="144">
        <v>15300</v>
      </c>
      <c r="AA344" s="145" t="s">
        <v>3853</v>
      </c>
      <c r="AB344" s="143" t="s">
        <v>1555</v>
      </c>
      <c r="AC344" s="145" t="s">
        <v>3853</v>
      </c>
      <c r="AD344" s="144">
        <v>17.397599999999997</v>
      </c>
      <c r="AE344" s="145" t="s">
        <v>3853</v>
      </c>
      <c r="AF344" s="145" t="s">
        <v>3853</v>
      </c>
      <c r="AG344" s="145" t="s">
        <v>3853</v>
      </c>
      <c r="AH344" s="146">
        <v>1.1930625518017233E-5</v>
      </c>
      <c r="AI344" s="146">
        <v>2.1303731544768244E-2</v>
      </c>
      <c r="AJ344" s="147">
        <v>2.2390793683760546E-3</v>
      </c>
      <c r="AK344" s="181"/>
    </row>
    <row r="345" spans="1:37" ht="15" x14ac:dyDescent="0.2">
      <c r="A345" s="142" t="s">
        <v>1218</v>
      </c>
      <c r="B345" s="143" t="s">
        <v>1220</v>
      </c>
      <c r="C345" s="143" t="s">
        <v>1526</v>
      </c>
      <c r="D345" s="143" t="s">
        <v>1527</v>
      </c>
      <c r="E345" s="143" t="s">
        <v>313</v>
      </c>
      <c r="F345" s="143" t="s">
        <v>1528</v>
      </c>
      <c r="G345" s="143" t="s">
        <v>1529</v>
      </c>
      <c r="H345" s="143" t="s">
        <v>321</v>
      </c>
      <c r="I345" s="143" t="s">
        <v>754</v>
      </c>
      <c r="J345" s="143" t="s">
        <v>204</v>
      </c>
      <c r="K345" s="143" t="s">
        <v>204</v>
      </c>
      <c r="L345" s="143" t="s">
        <v>325</v>
      </c>
      <c r="M345" s="143" t="s">
        <v>340</v>
      </c>
      <c r="N345" s="143" t="s">
        <v>440</v>
      </c>
      <c r="O345" s="143" t="s">
        <v>339</v>
      </c>
      <c r="P345" s="143" t="s">
        <v>1530</v>
      </c>
      <c r="Q345" s="143" t="s">
        <v>415</v>
      </c>
      <c r="R345" s="143" t="s">
        <v>407</v>
      </c>
      <c r="S345" s="143" t="s">
        <v>1210</v>
      </c>
      <c r="T345" s="144">
        <v>10.64</v>
      </c>
      <c r="U345" s="143" t="s">
        <v>1531</v>
      </c>
      <c r="V345" s="146">
        <v>3.2000000000000001E-2</v>
      </c>
      <c r="W345" s="146">
        <v>3.5250999999999998E-2</v>
      </c>
      <c r="X345" s="143" t="s">
        <v>412</v>
      </c>
      <c r="Y345" s="145" t="s">
        <v>3853</v>
      </c>
      <c r="Z345" s="144">
        <v>17340</v>
      </c>
      <c r="AA345" s="145" t="s">
        <v>3853</v>
      </c>
      <c r="AB345" s="143" t="s">
        <v>1532</v>
      </c>
      <c r="AC345" s="145" t="s">
        <v>3853</v>
      </c>
      <c r="AD345" s="144">
        <v>17.34</v>
      </c>
      <c r="AE345" s="145" t="s">
        <v>3853</v>
      </c>
      <c r="AF345" s="145" t="s">
        <v>3853</v>
      </c>
      <c r="AG345" s="145" t="s">
        <v>3853</v>
      </c>
      <c r="AH345" s="146">
        <v>5.5556018344379392E-6</v>
      </c>
      <c r="AI345" s="146">
        <v>2.1233162504679163E-2</v>
      </c>
      <c r="AJ345" s="147">
        <v>2.2316623728427833E-3</v>
      </c>
      <c r="AK345" s="181"/>
    </row>
    <row r="346" spans="1:37" ht="15" x14ac:dyDescent="0.2">
      <c r="A346" s="142" t="s">
        <v>1218</v>
      </c>
      <c r="B346" s="143" t="s">
        <v>1220</v>
      </c>
      <c r="C346" s="143" t="s">
        <v>1405</v>
      </c>
      <c r="D346" s="143" t="s">
        <v>1406</v>
      </c>
      <c r="E346" s="143" t="s">
        <v>309</v>
      </c>
      <c r="F346" s="143" t="s">
        <v>2044</v>
      </c>
      <c r="G346" s="143" t="s">
        <v>2045</v>
      </c>
      <c r="H346" s="143" t="s">
        <v>321</v>
      </c>
      <c r="I346" s="143" t="s">
        <v>754</v>
      </c>
      <c r="J346" s="143" t="s">
        <v>204</v>
      </c>
      <c r="K346" s="143" t="s">
        <v>204</v>
      </c>
      <c r="L346" s="143" t="s">
        <v>325</v>
      </c>
      <c r="M346" s="143" t="s">
        <v>340</v>
      </c>
      <c r="N346" s="143" t="s">
        <v>475</v>
      </c>
      <c r="O346" s="143" t="s">
        <v>339</v>
      </c>
      <c r="P346" s="143" t="s">
        <v>1409</v>
      </c>
      <c r="Q346" s="143" t="s">
        <v>413</v>
      </c>
      <c r="R346" s="143" t="s">
        <v>407</v>
      </c>
      <c r="S346" s="143" t="s">
        <v>1210</v>
      </c>
      <c r="T346" s="144">
        <v>2.15</v>
      </c>
      <c r="U346" s="143" t="s">
        <v>2046</v>
      </c>
      <c r="V346" s="146">
        <v>4.2999999999999997E-2</v>
      </c>
      <c r="W346" s="146">
        <v>2.3713000000000001E-2</v>
      </c>
      <c r="X346" s="143" t="s">
        <v>412</v>
      </c>
      <c r="Y346" s="145" t="s">
        <v>3853</v>
      </c>
      <c r="Z346" s="144">
        <v>14078.58</v>
      </c>
      <c r="AA346" s="145" t="s">
        <v>3853</v>
      </c>
      <c r="AB346" s="143" t="s">
        <v>2047</v>
      </c>
      <c r="AC346" s="145" t="s">
        <v>3853</v>
      </c>
      <c r="AD346" s="144">
        <v>17.149099999999997</v>
      </c>
      <c r="AE346" s="145" t="s">
        <v>3853</v>
      </c>
      <c r="AF346" s="145" t="s">
        <v>3853</v>
      </c>
      <c r="AG346" s="145" t="s">
        <v>3853</v>
      </c>
      <c r="AH346" s="146">
        <v>2.761003680489068E-5</v>
      </c>
      <c r="AI346" s="146">
        <v>2.0999424200311471E-2</v>
      </c>
      <c r="AJ346" s="147">
        <v>2.207095849658378E-3</v>
      </c>
      <c r="AK346" s="181"/>
    </row>
    <row r="347" spans="1:37" ht="15" x14ac:dyDescent="0.2">
      <c r="A347" s="142" t="s">
        <v>1218</v>
      </c>
      <c r="B347" s="143" t="s">
        <v>1220</v>
      </c>
      <c r="C347" s="143" t="s">
        <v>1424</v>
      </c>
      <c r="D347" s="143" t="s">
        <v>1425</v>
      </c>
      <c r="E347" s="143" t="s">
        <v>309</v>
      </c>
      <c r="F347" s="143" t="s">
        <v>1741</v>
      </c>
      <c r="G347" s="143" t="s">
        <v>1742</v>
      </c>
      <c r="H347" s="143" t="s">
        <v>321</v>
      </c>
      <c r="I347" s="143" t="s">
        <v>754</v>
      </c>
      <c r="J347" s="143" t="s">
        <v>204</v>
      </c>
      <c r="K347" s="143" t="s">
        <v>204</v>
      </c>
      <c r="L347" s="143" t="s">
        <v>325</v>
      </c>
      <c r="M347" s="143" t="s">
        <v>340</v>
      </c>
      <c r="N347" s="143" t="s">
        <v>445</v>
      </c>
      <c r="O347" s="143" t="s">
        <v>339</v>
      </c>
      <c r="P347" s="143" t="s">
        <v>1359</v>
      </c>
      <c r="Q347" s="143" t="s">
        <v>415</v>
      </c>
      <c r="R347" s="143" t="s">
        <v>407</v>
      </c>
      <c r="S347" s="143" t="s">
        <v>1210</v>
      </c>
      <c r="T347" s="144">
        <v>2.44</v>
      </c>
      <c r="U347" s="143" t="s">
        <v>1514</v>
      </c>
      <c r="V347" s="146">
        <v>2.4E-2</v>
      </c>
      <c r="W347" s="146">
        <v>2.2946000000000001E-2</v>
      </c>
      <c r="X347" s="143" t="s">
        <v>412</v>
      </c>
      <c r="Y347" s="145" t="s">
        <v>3853</v>
      </c>
      <c r="Z347" s="144">
        <v>13704.55</v>
      </c>
      <c r="AA347" s="145" t="s">
        <v>3853</v>
      </c>
      <c r="AB347" s="143" t="s">
        <v>1743</v>
      </c>
      <c r="AC347" s="145" t="s">
        <v>3853</v>
      </c>
      <c r="AD347" s="144">
        <v>15.602600000000001</v>
      </c>
      <c r="AE347" s="145" t="s">
        <v>3853</v>
      </c>
      <c r="AF347" s="145" t="s">
        <v>3853</v>
      </c>
      <c r="AG347" s="145" t="s">
        <v>3853</v>
      </c>
      <c r="AH347" s="146">
        <v>4.6425940099329299E-5</v>
      </c>
      <c r="AI347" s="146">
        <v>1.9105719838880372E-2</v>
      </c>
      <c r="AJ347" s="147">
        <v>2.0080624382311945E-3</v>
      </c>
      <c r="AK347" s="181"/>
    </row>
    <row r="348" spans="1:37" ht="15" x14ac:dyDescent="0.2">
      <c r="A348" s="142" t="s">
        <v>1218</v>
      </c>
      <c r="B348" s="143" t="s">
        <v>1220</v>
      </c>
      <c r="C348" s="143" t="s">
        <v>1349</v>
      </c>
      <c r="D348" s="143" t="s">
        <v>1350</v>
      </c>
      <c r="E348" s="143" t="s">
        <v>309</v>
      </c>
      <c r="F348" s="143" t="s">
        <v>1650</v>
      </c>
      <c r="G348" s="143" t="s">
        <v>1651</v>
      </c>
      <c r="H348" s="143" t="s">
        <v>321</v>
      </c>
      <c r="I348" s="143" t="s">
        <v>754</v>
      </c>
      <c r="J348" s="143" t="s">
        <v>204</v>
      </c>
      <c r="K348" s="143" t="s">
        <v>204</v>
      </c>
      <c r="L348" s="143" t="s">
        <v>325</v>
      </c>
      <c r="M348" s="143" t="s">
        <v>340</v>
      </c>
      <c r="N348" s="143" t="s">
        <v>448</v>
      </c>
      <c r="O348" s="143" t="s">
        <v>339</v>
      </c>
      <c r="P348" s="143" t="s">
        <v>1209</v>
      </c>
      <c r="Q348" s="143" t="s">
        <v>415</v>
      </c>
      <c r="R348" s="143" t="s">
        <v>407</v>
      </c>
      <c r="S348" s="143" t="s">
        <v>1210</v>
      </c>
      <c r="T348" s="144">
        <v>2.41</v>
      </c>
      <c r="U348" s="143" t="s">
        <v>1652</v>
      </c>
      <c r="V348" s="146">
        <v>5.0000000000000001E-3</v>
      </c>
      <c r="W348" s="146">
        <v>2.1951999999999999E-2</v>
      </c>
      <c r="X348" s="143" t="s">
        <v>412</v>
      </c>
      <c r="Y348" s="145" t="s">
        <v>3853</v>
      </c>
      <c r="Z348" s="144">
        <v>13800</v>
      </c>
      <c r="AA348" s="145" t="s">
        <v>3853</v>
      </c>
      <c r="AB348" s="143" t="s">
        <v>1653</v>
      </c>
      <c r="AC348" s="145" t="s">
        <v>3853</v>
      </c>
      <c r="AD348" s="144">
        <v>14.942600000000001</v>
      </c>
      <c r="AE348" s="145" t="s">
        <v>3853</v>
      </c>
      <c r="AF348" s="145" t="s">
        <v>3853</v>
      </c>
      <c r="AG348" s="145" t="s">
        <v>3853</v>
      </c>
      <c r="AH348" s="146">
        <v>1.8080809323648663E-5</v>
      </c>
      <c r="AI348" s="146">
        <v>1.8297549213893829E-2</v>
      </c>
      <c r="AJ348" s="147">
        <v>1.9231215362707894E-3</v>
      </c>
      <c r="AK348" s="181"/>
    </row>
    <row r="349" spans="1:37" ht="15" x14ac:dyDescent="0.2">
      <c r="A349" s="142" t="s">
        <v>1218</v>
      </c>
      <c r="B349" s="143" t="s">
        <v>1220</v>
      </c>
      <c r="C349" s="143" t="s">
        <v>1748</v>
      </c>
      <c r="D349" s="143" t="s">
        <v>1749</v>
      </c>
      <c r="E349" s="143" t="s">
        <v>309</v>
      </c>
      <c r="F349" s="143" t="s">
        <v>1750</v>
      </c>
      <c r="G349" s="143" t="s">
        <v>1751</v>
      </c>
      <c r="H349" s="143" t="s">
        <v>321</v>
      </c>
      <c r="I349" s="143" t="s">
        <v>754</v>
      </c>
      <c r="J349" s="143" t="s">
        <v>204</v>
      </c>
      <c r="K349" s="143" t="s">
        <v>204</v>
      </c>
      <c r="L349" s="143" t="s">
        <v>325</v>
      </c>
      <c r="M349" s="143" t="s">
        <v>340</v>
      </c>
      <c r="N349" s="143" t="s">
        <v>440</v>
      </c>
      <c r="O349" s="143" t="s">
        <v>339</v>
      </c>
      <c r="P349" s="143" t="s">
        <v>1402</v>
      </c>
      <c r="Q349" s="143" t="s">
        <v>415</v>
      </c>
      <c r="R349" s="143" t="s">
        <v>407</v>
      </c>
      <c r="S349" s="143" t="s">
        <v>1210</v>
      </c>
      <c r="T349" s="144">
        <v>3.69</v>
      </c>
      <c r="U349" s="143" t="s">
        <v>1615</v>
      </c>
      <c r="V349" s="146">
        <v>1.7999999999999999E-2</v>
      </c>
      <c r="W349" s="146">
        <v>3.5799999999999998E-2</v>
      </c>
      <c r="X349" s="143" t="s">
        <v>412</v>
      </c>
      <c r="Y349" s="145" t="s">
        <v>3853</v>
      </c>
      <c r="Z349" s="144">
        <v>13430</v>
      </c>
      <c r="AA349" s="145" t="s">
        <v>3853</v>
      </c>
      <c r="AB349" s="143" t="s">
        <v>1752</v>
      </c>
      <c r="AC349" s="145" t="s">
        <v>3853</v>
      </c>
      <c r="AD349" s="144">
        <v>14.362</v>
      </c>
      <c r="AE349" s="145" t="s">
        <v>3853</v>
      </c>
      <c r="AF349" s="145" t="s">
        <v>3853</v>
      </c>
      <c r="AG349" s="145" t="s">
        <v>3853</v>
      </c>
      <c r="AH349" s="146">
        <v>1.3498094173127531E-5</v>
      </c>
      <c r="AI349" s="146">
        <v>1.7586595829586351E-2</v>
      </c>
      <c r="AJ349" s="147">
        <v>1.8483984272541932E-3</v>
      </c>
      <c r="AK349" s="181"/>
    </row>
    <row r="350" spans="1:37" ht="15" x14ac:dyDescent="0.2">
      <c r="A350" s="142" t="s">
        <v>1218</v>
      </c>
      <c r="B350" s="143" t="s">
        <v>1220</v>
      </c>
      <c r="C350" s="143" t="s">
        <v>1516</v>
      </c>
      <c r="D350" s="143" t="s">
        <v>1517</v>
      </c>
      <c r="E350" s="143" t="s">
        <v>309</v>
      </c>
      <c r="F350" s="143" t="s">
        <v>1613</v>
      </c>
      <c r="G350" s="143" t="s">
        <v>1614</v>
      </c>
      <c r="H350" s="143" t="s">
        <v>321</v>
      </c>
      <c r="I350" s="143" t="s">
        <v>754</v>
      </c>
      <c r="J350" s="143" t="s">
        <v>204</v>
      </c>
      <c r="K350" s="143" t="s">
        <v>204</v>
      </c>
      <c r="L350" s="143" t="s">
        <v>325</v>
      </c>
      <c r="M350" s="143" t="s">
        <v>340</v>
      </c>
      <c r="N350" s="143" t="s">
        <v>465</v>
      </c>
      <c r="O350" s="143" t="s">
        <v>339</v>
      </c>
      <c r="P350" s="143" t="s">
        <v>1402</v>
      </c>
      <c r="Q350" s="143" t="s">
        <v>415</v>
      </c>
      <c r="R350" s="143" t="s">
        <v>407</v>
      </c>
      <c r="S350" s="143" t="s">
        <v>1210</v>
      </c>
      <c r="T350" s="144">
        <v>4.3099999999999996</v>
      </c>
      <c r="U350" s="143" t="s">
        <v>1615</v>
      </c>
      <c r="V350" s="146">
        <v>1.7899999999999999E-2</v>
      </c>
      <c r="W350" s="146">
        <v>6.0524000000000001E-2</v>
      </c>
      <c r="X350" s="143" t="s">
        <v>412</v>
      </c>
      <c r="Y350" s="145" t="s">
        <v>3853</v>
      </c>
      <c r="Z350" s="144">
        <v>11941.42</v>
      </c>
      <c r="AA350" s="145" t="s">
        <v>3853</v>
      </c>
      <c r="AB350" s="143" t="s">
        <v>1616</v>
      </c>
      <c r="AC350" s="145" t="s">
        <v>3853</v>
      </c>
      <c r="AD350" s="144">
        <v>11.2751</v>
      </c>
      <c r="AE350" s="145" t="s">
        <v>3853</v>
      </c>
      <c r="AF350" s="145" t="s">
        <v>3853</v>
      </c>
      <c r="AG350" s="145" t="s">
        <v>3853</v>
      </c>
      <c r="AH350" s="146">
        <v>1.6996283939693875E-5</v>
      </c>
      <c r="AI350" s="146">
        <v>1.3806562397963905E-2</v>
      </c>
      <c r="AJ350" s="147">
        <v>1.4511067673057235E-3</v>
      </c>
      <c r="AK350" s="181"/>
    </row>
    <row r="351" spans="1:37" ht="15" x14ac:dyDescent="0.2">
      <c r="A351" s="142" t="s">
        <v>1218</v>
      </c>
      <c r="B351" s="143" t="s">
        <v>1220</v>
      </c>
      <c r="C351" s="143" t="s">
        <v>1753</v>
      </c>
      <c r="D351" s="143" t="s">
        <v>1754</v>
      </c>
      <c r="E351" s="143" t="s">
        <v>309</v>
      </c>
      <c r="F351" s="143" t="s">
        <v>1755</v>
      </c>
      <c r="G351" s="143" t="s">
        <v>1756</v>
      </c>
      <c r="H351" s="143" t="s">
        <v>321</v>
      </c>
      <c r="I351" s="143" t="s">
        <v>754</v>
      </c>
      <c r="J351" s="143" t="s">
        <v>204</v>
      </c>
      <c r="K351" s="143" t="s">
        <v>204</v>
      </c>
      <c r="L351" s="143" t="s">
        <v>325</v>
      </c>
      <c r="M351" s="143" t="s">
        <v>340</v>
      </c>
      <c r="N351" s="143" t="s">
        <v>464</v>
      </c>
      <c r="O351" s="143" t="s">
        <v>339</v>
      </c>
      <c r="P351" s="143" t="s">
        <v>1757</v>
      </c>
      <c r="Q351" s="143" t="s">
        <v>413</v>
      </c>
      <c r="R351" s="143" t="s">
        <v>407</v>
      </c>
      <c r="S351" s="143" t="s">
        <v>1210</v>
      </c>
      <c r="T351" s="144">
        <v>3.03</v>
      </c>
      <c r="U351" s="143" t="s">
        <v>1428</v>
      </c>
      <c r="V351" s="146">
        <v>1.7999999999999999E-2</v>
      </c>
      <c r="W351" s="146">
        <v>3.0234E-2</v>
      </c>
      <c r="X351" s="143" t="s">
        <v>412</v>
      </c>
      <c r="Y351" s="145" t="s">
        <v>3853</v>
      </c>
      <c r="Z351" s="144">
        <v>9344.7999999999993</v>
      </c>
      <c r="AA351" s="145" t="s">
        <v>3853</v>
      </c>
      <c r="AB351" s="143" t="s">
        <v>1758</v>
      </c>
      <c r="AC351" s="145" t="s">
        <v>3853</v>
      </c>
      <c r="AD351" s="144">
        <v>10.3279</v>
      </c>
      <c r="AE351" s="145" t="s">
        <v>3853</v>
      </c>
      <c r="AF351" s="145" t="s">
        <v>3853</v>
      </c>
      <c r="AG351" s="145" t="s">
        <v>3853</v>
      </c>
      <c r="AH351" s="146">
        <v>1.1848014740042007E-5</v>
      </c>
      <c r="AI351" s="146">
        <v>1.2646678482546816E-2</v>
      </c>
      <c r="AJ351" s="147">
        <v>1.3291998544597704E-3</v>
      </c>
      <c r="AK351" s="181"/>
    </row>
    <row r="352" spans="1:37" ht="15" x14ac:dyDescent="0.2">
      <c r="A352" s="142" t="s">
        <v>1218</v>
      </c>
      <c r="B352" s="143" t="s">
        <v>1220</v>
      </c>
      <c r="C352" s="143" t="s">
        <v>1533</v>
      </c>
      <c r="D352" s="143" t="s">
        <v>1534</v>
      </c>
      <c r="E352" s="143" t="s">
        <v>309</v>
      </c>
      <c r="F352" s="143" t="s">
        <v>1535</v>
      </c>
      <c r="G352" s="143" t="s">
        <v>1536</v>
      </c>
      <c r="H352" s="143" t="s">
        <v>321</v>
      </c>
      <c r="I352" s="143" t="s">
        <v>754</v>
      </c>
      <c r="J352" s="143" t="s">
        <v>204</v>
      </c>
      <c r="K352" s="143" t="s">
        <v>204</v>
      </c>
      <c r="L352" s="143" t="s">
        <v>325</v>
      </c>
      <c r="M352" s="143" t="s">
        <v>340</v>
      </c>
      <c r="N352" s="143" t="s">
        <v>464</v>
      </c>
      <c r="O352" s="143" t="s">
        <v>339</v>
      </c>
      <c r="P352" s="143" t="s">
        <v>1409</v>
      </c>
      <c r="Q352" s="143" t="s">
        <v>413</v>
      </c>
      <c r="R352" s="143" t="s">
        <v>407</v>
      </c>
      <c r="S352" s="143" t="s">
        <v>1210</v>
      </c>
      <c r="T352" s="144">
        <v>2.4300000000000002</v>
      </c>
      <c r="U352" s="143" t="s">
        <v>1299</v>
      </c>
      <c r="V352" s="146">
        <v>2.3400000000000001E-2</v>
      </c>
      <c r="W352" s="146">
        <v>2.7517E-2</v>
      </c>
      <c r="X352" s="143" t="s">
        <v>412</v>
      </c>
      <c r="Y352" s="145" t="s">
        <v>3853</v>
      </c>
      <c r="Z352" s="144">
        <v>8134.21</v>
      </c>
      <c r="AA352" s="145" t="s">
        <v>3853</v>
      </c>
      <c r="AB352" s="143" t="s">
        <v>1537</v>
      </c>
      <c r="AC352" s="145" t="s">
        <v>3853</v>
      </c>
      <c r="AD352" s="144">
        <v>9.1981999999999999</v>
      </c>
      <c r="AE352" s="145" t="s">
        <v>3853</v>
      </c>
      <c r="AF352" s="145" t="s">
        <v>3853</v>
      </c>
      <c r="AG352" s="145" t="s">
        <v>3853</v>
      </c>
      <c r="AH352" s="146">
        <v>3.8558851449545715E-6</v>
      </c>
      <c r="AI352" s="146">
        <v>1.126332901617314E-2</v>
      </c>
      <c r="AJ352" s="147">
        <v>1.1838061123868242E-3</v>
      </c>
      <c r="AK352" s="181"/>
    </row>
    <row r="353" spans="1:37" ht="15" x14ac:dyDescent="0.2">
      <c r="A353" s="142" t="s">
        <v>1218</v>
      </c>
      <c r="B353" s="143" t="s">
        <v>1220</v>
      </c>
      <c r="C353" s="143" t="s">
        <v>1349</v>
      </c>
      <c r="D353" s="143" t="s">
        <v>1350</v>
      </c>
      <c r="E353" s="143" t="s">
        <v>309</v>
      </c>
      <c r="F353" s="143" t="s">
        <v>1473</v>
      </c>
      <c r="G353" s="143" t="s">
        <v>1474</v>
      </c>
      <c r="H353" s="143" t="s">
        <v>321</v>
      </c>
      <c r="I353" s="143" t="s">
        <v>754</v>
      </c>
      <c r="J353" s="143" t="s">
        <v>204</v>
      </c>
      <c r="K353" s="143" t="s">
        <v>204</v>
      </c>
      <c r="L353" s="143" t="s">
        <v>325</v>
      </c>
      <c r="M353" s="143" t="s">
        <v>340</v>
      </c>
      <c r="N353" s="143" t="s">
        <v>448</v>
      </c>
      <c r="O353" s="143" t="s">
        <v>339</v>
      </c>
      <c r="P353" s="143" t="s">
        <v>1222</v>
      </c>
      <c r="Q353" s="143" t="s">
        <v>413</v>
      </c>
      <c r="R353" s="143" t="s">
        <v>407</v>
      </c>
      <c r="S353" s="143" t="s">
        <v>1210</v>
      </c>
      <c r="T353" s="144">
        <v>1.97</v>
      </c>
      <c r="U353" s="143" t="s">
        <v>1475</v>
      </c>
      <c r="V353" s="146">
        <v>3.8E-3</v>
      </c>
      <c r="W353" s="146">
        <v>2.2020999999999999E-2</v>
      </c>
      <c r="X353" s="143" t="s">
        <v>412</v>
      </c>
      <c r="Y353" s="145" t="s">
        <v>3853</v>
      </c>
      <c r="Z353" s="144">
        <v>7678</v>
      </c>
      <c r="AA353" s="145" t="s">
        <v>3853</v>
      </c>
      <c r="AB353" s="143" t="s">
        <v>1476</v>
      </c>
      <c r="AC353" s="145" t="s">
        <v>3853</v>
      </c>
      <c r="AD353" s="144">
        <v>8.2898999999999994</v>
      </c>
      <c r="AE353" s="145" t="s">
        <v>3853</v>
      </c>
      <c r="AF353" s="145" t="s">
        <v>3853</v>
      </c>
      <c r="AG353" s="145" t="s">
        <v>3853</v>
      </c>
      <c r="AH353" s="146">
        <v>2.5593333333333332E-6</v>
      </c>
      <c r="AI353" s="146">
        <v>1.0151186331100777E-2</v>
      </c>
      <c r="AJ353" s="147">
        <v>1.0669169309960919E-3</v>
      </c>
      <c r="AK353" s="181"/>
    </row>
    <row r="354" spans="1:37" ht="15" x14ac:dyDescent="0.2">
      <c r="A354" s="142" t="s">
        <v>1218</v>
      </c>
      <c r="B354" s="143" t="s">
        <v>1220</v>
      </c>
      <c r="C354" s="143" t="s">
        <v>1584</v>
      </c>
      <c r="D354" s="143" t="s">
        <v>1585</v>
      </c>
      <c r="E354" s="143" t="s">
        <v>309</v>
      </c>
      <c r="F354" s="143" t="s">
        <v>1586</v>
      </c>
      <c r="G354" s="143" t="s">
        <v>1587</v>
      </c>
      <c r="H354" s="143" t="s">
        <v>321</v>
      </c>
      <c r="I354" s="143" t="s">
        <v>754</v>
      </c>
      <c r="J354" s="143" t="s">
        <v>204</v>
      </c>
      <c r="K354" s="143" t="s">
        <v>204</v>
      </c>
      <c r="L354" s="143" t="s">
        <v>325</v>
      </c>
      <c r="M354" s="143" t="s">
        <v>340</v>
      </c>
      <c r="N354" s="143" t="s">
        <v>448</v>
      </c>
      <c r="O354" s="143" t="s">
        <v>339</v>
      </c>
      <c r="P354" s="143" t="s">
        <v>1222</v>
      </c>
      <c r="Q354" s="143" t="s">
        <v>413</v>
      </c>
      <c r="R354" s="143" t="s">
        <v>407</v>
      </c>
      <c r="S354" s="143" t="s">
        <v>1210</v>
      </c>
      <c r="T354" s="144">
        <v>2.98</v>
      </c>
      <c r="U354" s="143" t="s">
        <v>1588</v>
      </c>
      <c r="V354" s="146">
        <v>1.4999999999999999E-2</v>
      </c>
      <c r="W354" s="146">
        <v>2.4263E-2</v>
      </c>
      <c r="X354" s="143" t="s">
        <v>412</v>
      </c>
      <c r="Y354" s="145" t="s">
        <v>3853</v>
      </c>
      <c r="Z354" s="144">
        <v>7307.86</v>
      </c>
      <c r="AA354" s="145" t="s">
        <v>3853</v>
      </c>
      <c r="AB354" s="143" t="s">
        <v>1589</v>
      </c>
      <c r="AC354" s="145" t="s">
        <v>3853</v>
      </c>
      <c r="AD354" s="144">
        <v>8.1241000000000003</v>
      </c>
      <c r="AE354" s="145" t="s">
        <v>3853</v>
      </c>
      <c r="AF354" s="145" t="s">
        <v>3853</v>
      </c>
      <c r="AG354" s="145" t="s">
        <v>3853</v>
      </c>
      <c r="AH354" s="146">
        <v>2.6179901938339683E-5</v>
      </c>
      <c r="AI354" s="146">
        <v>9.9481749647753193E-3</v>
      </c>
      <c r="AJ354" s="147">
        <v>1.0455798914765157E-3</v>
      </c>
      <c r="AK354" s="181"/>
    </row>
    <row r="355" spans="1:37" ht="15" x14ac:dyDescent="0.2">
      <c r="A355" s="142" t="s">
        <v>1218</v>
      </c>
      <c r="B355" s="143" t="s">
        <v>1220</v>
      </c>
      <c r="C355" s="143" t="s">
        <v>1617</v>
      </c>
      <c r="D355" s="143" t="s">
        <v>1618</v>
      </c>
      <c r="E355" s="143" t="s">
        <v>309</v>
      </c>
      <c r="F355" s="143" t="s">
        <v>1630</v>
      </c>
      <c r="G355" s="143" t="s">
        <v>1631</v>
      </c>
      <c r="H355" s="143" t="s">
        <v>321</v>
      </c>
      <c r="I355" s="143" t="s">
        <v>754</v>
      </c>
      <c r="J355" s="143" t="s">
        <v>204</v>
      </c>
      <c r="K355" s="143" t="s">
        <v>204</v>
      </c>
      <c r="L355" s="143" t="s">
        <v>325</v>
      </c>
      <c r="M355" s="143" t="s">
        <v>340</v>
      </c>
      <c r="N355" s="143" t="s">
        <v>440</v>
      </c>
      <c r="O355" s="143" t="s">
        <v>339</v>
      </c>
      <c r="P355" s="143" t="s">
        <v>1347</v>
      </c>
      <c r="Q355" s="143" t="s">
        <v>413</v>
      </c>
      <c r="R355" s="143" t="s">
        <v>407</v>
      </c>
      <c r="S355" s="143" t="s">
        <v>1210</v>
      </c>
      <c r="T355" s="144">
        <v>2.34</v>
      </c>
      <c r="U355" s="143" t="s">
        <v>1632</v>
      </c>
      <c r="V355" s="146">
        <v>1.9400000000000001E-2</v>
      </c>
      <c r="W355" s="146">
        <v>2.5323999999999999E-2</v>
      </c>
      <c r="X355" s="143" t="s">
        <v>412</v>
      </c>
      <c r="Y355" s="145" t="s">
        <v>3853</v>
      </c>
      <c r="Z355" s="144">
        <v>6709.66</v>
      </c>
      <c r="AA355" s="145" t="s">
        <v>3853</v>
      </c>
      <c r="AB355" s="143" t="s">
        <v>1633</v>
      </c>
      <c r="AC355" s="145" t="s">
        <v>3853</v>
      </c>
      <c r="AD355" s="144">
        <v>7.5886000000000005</v>
      </c>
      <c r="AE355" s="145" t="s">
        <v>3853</v>
      </c>
      <c r="AF355" s="145" t="s">
        <v>3853</v>
      </c>
      <c r="AG355" s="145" t="s">
        <v>3853</v>
      </c>
      <c r="AH355" s="146">
        <v>2.2272463464495788E-5</v>
      </c>
      <c r="AI355" s="146">
        <v>9.2924173921179725E-3</v>
      </c>
      <c r="AJ355" s="147">
        <v>9.7665801041976687E-4</v>
      </c>
      <c r="AK355" s="181"/>
    </row>
    <row r="356" spans="1:37" ht="15" x14ac:dyDescent="0.2">
      <c r="A356" s="142" t="s">
        <v>1218</v>
      </c>
      <c r="B356" s="143" t="s">
        <v>1220</v>
      </c>
      <c r="C356" s="143" t="s">
        <v>1617</v>
      </c>
      <c r="D356" s="143" t="s">
        <v>1618</v>
      </c>
      <c r="E356" s="143" t="s">
        <v>309</v>
      </c>
      <c r="F356" s="143" t="s">
        <v>1619</v>
      </c>
      <c r="G356" s="143" t="s">
        <v>1620</v>
      </c>
      <c r="H356" s="143" t="s">
        <v>321</v>
      </c>
      <c r="I356" s="143" t="s">
        <v>754</v>
      </c>
      <c r="J356" s="143" t="s">
        <v>204</v>
      </c>
      <c r="K356" s="143" t="s">
        <v>204</v>
      </c>
      <c r="L356" s="143" t="s">
        <v>325</v>
      </c>
      <c r="M356" s="143" t="s">
        <v>340</v>
      </c>
      <c r="N356" s="143" t="s">
        <v>440</v>
      </c>
      <c r="O356" s="143" t="s">
        <v>339</v>
      </c>
      <c r="P356" s="143" t="s">
        <v>1347</v>
      </c>
      <c r="Q356" s="143" t="s">
        <v>413</v>
      </c>
      <c r="R356" s="143" t="s">
        <v>407</v>
      </c>
      <c r="S356" s="143" t="s">
        <v>1210</v>
      </c>
      <c r="T356" s="144">
        <v>3.31</v>
      </c>
      <c r="U356" s="143" t="s">
        <v>1621</v>
      </c>
      <c r="V356" s="146">
        <v>1.23E-2</v>
      </c>
      <c r="W356" s="146">
        <v>2.8667000000000002E-2</v>
      </c>
      <c r="X356" s="143" t="s">
        <v>412</v>
      </c>
      <c r="Y356" s="145" t="s">
        <v>3853</v>
      </c>
      <c r="Z356" s="144">
        <v>6616.32</v>
      </c>
      <c r="AA356" s="145" t="s">
        <v>3853</v>
      </c>
      <c r="AB356" s="143" t="s">
        <v>1622</v>
      </c>
      <c r="AC356" s="145" t="s">
        <v>3853</v>
      </c>
      <c r="AD356" s="144">
        <v>7.1707999999999998</v>
      </c>
      <c r="AE356" s="145" t="s">
        <v>3853</v>
      </c>
      <c r="AF356" s="145" t="s">
        <v>3853</v>
      </c>
      <c r="AG356" s="145" t="s">
        <v>3853</v>
      </c>
      <c r="AH356" s="146">
        <v>5.9345000545084731E-6</v>
      </c>
      <c r="AI356" s="146">
        <v>8.7807424494705175E-3</v>
      </c>
      <c r="AJ356" s="147">
        <v>9.2287960052057363E-4</v>
      </c>
      <c r="AK356" s="181"/>
    </row>
    <row r="357" spans="1:37" ht="15" x14ac:dyDescent="0.2">
      <c r="A357" s="142" t="s">
        <v>1218</v>
      </c>
      <c r="B357" s="143" t="s">
        <v>1220</v>
      </c>
      <c r="C357" s="143" t="s">
        <v>1720</v>
      </c>
      <c r="D357" s="143" t="s">
        <v>1721</v>
      </c>
      <c r="E357" s="143" t="s">
        <v>309</v>
      </c>
      <c r="F357" s="143" t="s">
        <v>1759</v>
      </c>
      <c r="G357" s="143" t="s">
        <v>1760</v>
      </c>
      <c r="H357" s="143" t="s">
        <v>321</v>
      </c>
      <c r="I357" s="143" t="s">
        <v>754</v>
      </c>
      <c r="J357" s="143" t="s">
        <v>204</v>
      </c>
      <c r="K357" s="143" t="s">
        <v>204</v>
      </c>
      <c r="L357" s="143" t="s">
        <v>325</v>
      </c>
      <c r="M357" s="143" t="s">
        <v>340</v>
      </c>
      <c r="N357" s="143" t="s">
        <v>464</v>
      </c>
      <c r="O357" s="143" t="s">
        <v>339</v>
      </c>
      <c r="P357" s="143" t="s">
        <v>1530</v>
      </c>
      <c r="Q357" s="143" t="s">
        <v>415</v>
      </c>
      <c r="R357" s="143" t="s">
        <v>407</v>
      </c>
      <c r="S357" s="143" t="s">
        <v>1210</v>
      </c>
      <c r="T357" s="144">
        <v>2.8</v>
      </c>
      <c r="U357" s="143" t="s">
        <v>1544</v>
      </c>
      <c r="V357" s="146">
        <v>1.77E-2</v>
      </c>
      <c r="W357" s="146">
        <v>2.6707999999999999E-2</v>
      </c>
      <c r="X357" s="143" t="s">
        <v>412</v>
      </c>
      <c r="Y357" s="145" t="s">
        <v>3853</v>
      </c>
      <c r="Z357" s="144">
        <v>6400</v>
      </c>
      <c r="AA357" s="145" t="s">
        <v>3853</v>
      </c>
      <c r="AB357" s="143" t="s">
        <v>1761</v>
      </c>
      <c r="AC357" s="145" t="s">
        <v>3853</v>
      </c>
      <c r="AD357" s="144">
        <v>7.0911999999999997</v>
      </c>
      <c r="AE357" s="145" t="s">
        <v>3853</v>
      </c>
      <c r="AF357" s="145" t="s">
        <v>3853</v>
      </c>
      <c r="AG357" s="145" t="s">
        <v>3853</v>
      </c>
      <c r="AH357" s="146">
        <v>2.4665542936133225E-6</v>
      </c>
      <c r="AI357" s="146">
        <v>8.6833103779227726E-3</v>
      </c>
      <c r="AJ357" s="147">
        <v>9.1263922827582145E-4</v>
      </c>
      <c r="AK357" s="181"/>
    </row>
    <row r="358" spans="1:37" ht="15" x14ac:dyDescent="0.2">
      <c r="A358" s="142" t="s">
        <v>1218</v>
      </c>
      <c r="B358" s="143" t="s">
        <v>1220</v>
      </c>
      <c r="C358" s="143" t="s">
        <v>1964</v>
      </c>
      <c r="D358" s="143" t="s">
        <v>1965</v>
      </c>
      <c r="E358" s="143" t="s">
        <v>309</v>
      </c>
      <c r="F358" s="143" t="s">
        <v>1966</v>
      </c>
      <c r="G358" s="143" t="s">
        <v>1967</v>
      </c>
      <c r="H358" s="143" t="s">
        <v>321</v>
      </c>
      <c r="I358" s="143" t="s">
        <v>754</v>
      </c>
      <c r="J358" s="143" t="s">
        <v>204</v>
      </c>
      <c r="K358" s="143" t="s">
        <v>204</v>
      </c>
      <c r="L358" s="143" t="s">
        <v>325</v>
      </c>
      <c r="M358" s="143" t="s">
        <v>340</v>
      </c>
      <c r="N358" s="143" t="s">
        <v>464</v>
      </c>
      <c r="O358" s="143" t="s">
        <v>339</v>
      </c>
      <c r="P358" s="143" t="s">
        <v>1209</v>
      </c>
      <c r="Q358" s="143" t="s">
        <v>415</v>
      </c>
      <c r="R358" s="143" t="s">
        <v>407</v>
      </c>
      <c r="S358" s="143" t="s">
        <v>1210</v>
      </c>
      <c r="T358" s="144">
        <v>1.71</v>
      </c>
      <c r="U358" s="143" t="s">
        <v>1514</v>
      </c>
      <c r="V358" s="146">
        <v>8.3000000000000001E-3</v>
      </c>
      <c r="W358" s="146">
        <v>2.2022E-2</v>
      </c>
      <c r="X358" s="143" t="s">
        <v>412</v>
      </c>
      <c r="Y358" s="145" t="s">
        <v>3853</v>
      </c>
      <c r="Z358" s="144">
        <v>6016.33</v>
      </c>
      <c r="AA358" s="145" t="s">
        <v>3853</v>
      </c>
      <c r="AB358" s="143" t="s">
        <v>1968</v>
      </c>
      <c r="AC358" s="145" t="s">
        <v>3853</v>
      </c>
      <c r="AD358" s="144">
        <v>6.7347000000000001</v>
      </c>
      <c r="AE358" s="145" t="s">
        <v>3853</v>
      </c>
      <c r="AF358" s="145" t="s">
        <v>3853</v>
      </c>
      <c r="AG358" s="145" t="s">
        <v>3853</v>
      </c>
      <c r="AH358" s="146">
        <v>5.069149094809965E-6</v>
      </c>
      <c r="AI358" s="146">
        <v>8.2467445589876863E-3</v>
      </c>
      <c r="AJ358" s="147">
        <v>8.66754988885103E-4</v>
      </c>
      <c r="AK358" s="181"/>
    </row>
    <row r="359" spans="1:37" ht="15" x14ac:dyDescent="0.2">
      <c r="A359" s="142" t="s">
        <v>1218</v>
      </c>
      <c r="B359" s="143" t="s">
        <v>1220</v>
      </c>
      <c r="C359" s="143" t="s">
        <v>1510</v>
      </c>
      <c r="D359" s="143" t="s">
        <v>1511</v>
      </c>
      <c r="E359" s="143" t="s">
        <v>309</v>
      </c>
      <c r="F359" s="143" t="s">
        <v>1512</v>
      </c>
      <c r="G359" s="143" t="s">
        <v>1513</v>
      </c>
      <c r="H359" s="143" t="s">
        <v>321</v>
      </c>
      <c r="I359" s="143" t="s">
        <v>754</v>
      </c>
      <c r="J359" s="143" t="s">
        <v>204</v>
      </c>
      <c r="K359" s="143" t="s">
        <v>204</v>
      </c>
      <c r="L359" s="143" t="s">
        <v>325</v>
      </c>
      <c r="M359" s="143" t="s">
        <v>340</v>
      </c>
      <c r="N359" s="143" t="s">
        <v>448</v>
      </c>
      <c r="O359" s="143" t="s">
        <v>339</v>
      </c>
      <c r="P359" s="143" t="s">
        <v>1347</v>
      </c>
      <c r="Q359" s="143" t="s">
        <v>413</v>
      </c>
      <c r="R359" s="143" t="s">
        <v>407</v>
      </c>
      <c r="S359" s="143" t="s">
        <v>1210</v>
      </c>
      <c r="T359" s="144">
        <v>1.48</v>
      </c>
      <c r="U359" s="143" t="s">
        <v>1514</v>
      </c>
      <c r="V359" s="146">
        <v>2E-3</v>
      </c>
      <c r="W359" s="146">
        <v>2.0419E-2</v>
      </c>
      <c r="X359" s="143" t="s">
        <v>412</v>
      </c>
      <c r="Y359" s="145" t="s">
        <v>3853</v>
      </c>
      <c r="Z359" s="144">
        <v>6000</v>
      </c>
      <c r="AA359" s="145" t="s">
        <v>3853</v>
      </c>
      <c r="AB359" s="143" t="s">
        <v>1515</v>
      </c>
      <c r="AC359" s="145" t="s">
        <v>3853</v>
      </c>
      <c r="AD359" s="144">
        <v>6.5706000000000007</v>
      </c>
      <c r="AE359" s="145" t="s">
        <v>3853</v>
      </c>
      <c r="AF359" s="145" t="s">
        <v>3853</v>
      </c>
      <c r="AG359" s="145" t="s">
        <v>3853</v>
      </c>
      <c r="AH359" s="146">
        <v>1.434649951604714E-5</v>
      </c>
      <c r="AI359" s="146">
        <v>8.0458256951121635E-3</v>
      </c>
      <c r="AJ359" s="147">
        <v>8.4563787698966502E-4</v>
      </c>
      <c r="AK359" s="181"/>
    </row>
    <row r="360" spans="1:37" ht="15" x14ac:dyDescent="0.2">
      <c r="A360" s="142" t="s">
        <v>1218</v>
      </c>
      <c r="B360" s="143" t="s">
        <v>1220</v>
      </c>
      <c r="C360" s="143" t="s">
        <v>1430</v>
      </c>
      <c r="D360" s="143" t="s">
        <v>1431</v>
      </c>
      <c r="E360" s="143" t="s">
        <v>309</v>
      </c>
      <c r="F360" s="143" t="s">
        <v>1660</v>
      </c>
      <c r="G360" s="143" t="s">
        <v>1661</v>
      </c>
      <c r="H360" s="143" t="s">
        <v>321</v>
      </c>
      <c r="I360" s="143" t="s">
        <v>754</v>
      </c>
      <c r="J360" s="143" t="s">
        <v>204</v>
      </c>
      <c r="K360" s="143" t="s">
        <v>204</v>
      </c>
      <c r="L360" s="143" t="s">
        <v>325</v>
      </c>
      <c r="M360" s="143" t="s">
        <v>340</v>
      </c>
      <c r="N360" s="143" t="s">
        <v>484</v>
      </c>
      <c r="O360" s="143" t="s">
        <v>339</v>
      </c>
      <c r="P360" s="143" t="s">
        <v>1396</v>
      </c>
      <c r="Q360" s="143" t="s">
        <v>413</v>
      </c>
      <c r="R360" s="143" t="s">
        <v>407</v>
      </c>
      <c r="S360" s="143" t="s">
        <v>1210</v>
      </c>
      <c r="T360" s="144">
        <v>0.01</v>
      </c>
      <c r="U360" s="143" t="s">
        <v>1662</v>
      </c>
      <c r="V360" s="146">
        <v>1.9800000000000002E-2</v>
      </c>
      <c r="W360" s="146">
        <v>7.3847999999999997E-2</v>
      </c>
      <c r="X360" s="143" t="s">
        <v>412</v>
      </c>
      <c r="Y360" s="145" t="s">
        <v>3853</v>
      </c>
      <c r="Z360" s="144">
        <v>5288.65</v>
      </c>
      <c r="AA360" s="145" t="s">
        <v>3853</v>
      </c>
      <c r="AB360" s="143" t="s">
        <v>1663</v>
      </c>
      <c r="AC360" s="145" t="s">
        <v>3853</v>
      </c>
      <c r="AD360" s="144">
        <v>6.0656000000000008</v>
      </c>
      <c r="AE360" s="145" t="s">
        <v>3853</v>
      </c>
      <c r="AF360" s="145" t="s">
        <v>3853</v>
      </c>
      <c r="AG360" s="145" t="s">
        <v>3853</v>
      </c>
      <c r="AH360" s="146">
        <v>3.4807537906956432E-5</v>
      </c>
      <c r="AI360" s="146">
        <v>7.4273855733159181E-3</v>
      </c>
      <c r="AJ360" s="147">
        <v>7.8063816018512195E-4</v>
      </c>
      <c r="AK360" s="181"/>
    </row>
    <row r="361" spans="1:37" ht="15" x14ac:dyDescent="0.2">
      <c r="A361" s="142" t="s">
        <v>1218</v>
      </c>
      <c r="B361" s="143" t="s">
        <v>1220</v>
      </c>
      <c r="C361" s="143" t="s">
        <v>1762</v>
      </c>
      <c r="D361" s="143" t="s">
        <v>1763</v>
      </c>
      <c r="E361" s="143" t="s">
        <v>309</v>
      </c>
      <c r="F361" s="143" t="s">
        <v>1764</v>
      </c>
      <c r="G361" s="143" t="s">
        <v>1765</v>
      </c>
      <c r="H361" s="143" t="s">
        <v>321</v>
      </c>
      <c r="I361" s="143" t="s">
        <v>754</v>
      </c>
      <c r="J361" s="143" t="s">
        <v>204</v>
      </c>
      <c r="K361" s="143" t="s">
        <v>204</v>
      </c>
      <c r="L361" s="143" t="s">
        <v>325</v>
      </c>
      <c r="M361" s="143" t="s">
        <v>340</v>
      </c>
      <c r="N361" s="143" t="s">
        <v>451</v>
      </c>
      <c r="O361" s="143" t="s">
        <v>339</v>
      </c>
      <c r="P361" s="145" t="s">
        <v>3853</v>
      </c>
      <c r="Q361" s="143" t="s">
        <v>410</v>
      </c>
      <c r="R361" s="143" t="s">
        <v>410</v>
      </c>
      <c r="S361" s="143" t="s">
        <v>1210</v>
      </c>
      <c r="T361" s="144">
        <v>3.02</v>
      </c>
      <c r="U361" s="143" t="s">
        <v>1544</v>
      </c>
      <c r="V361" s="146">
        <v>3.6999999999999998E-2</v>
      </c>
      <c r="W361" s="146">
        <v>4.7534E-2</v>
      </c>
      <c r="X361" s="143" t="s">
        <v>412</v>
      </c>
      <c r="Y361" s="145" t="s">
        <v>3853</v>
      </c>
      <c r="Z361" s="144">
        <v>5276.6</v>
      </c>
      <c r="AA361" s="145" t="s">
        <v>3853</v>
      </c>
      <c r="AB361" s="143" t="s">
        <v>1766</v>
      </c>
      <c r="AC361" s="145" t="s">
        <v>3853</v>
      </c>
      <c r="AD361" s="144">
        <v>5.8168999999999995</v>
      </c>
      <c r="AE361" s="145" t="s">
        <v>3853</v>
      </c>
      <c r="AF361" s="145" t="s">
        <v>3853</v>
      </c>
      <c r="AG361" s="145" t="s">
        <v>3853</v>
      </c>
      <c r="AH361" s="146">
        <v>6.6818057699759558E-6</v>
      </c>
      <c r="AI361" s="146">
        <v>7.1229347850093614E-3</v>
      </c>
      <c r="AJ361" s="147">
        <v>7.4863956513380363E-4</v>
      </c>
      <c r="AK361" s="181"/>
    </row>
    <row r="362" spans="1:37" ht="15" x14ac:dyDescent="0.2">
      <c r="A362" s="142" t="s">
        <v>1218</v>
      </c>
      <c r="B362" s="143" t="s">
        <v>1220</v>
      </c>
      <c r="C362" s="143" t="s">
        <v>1623</v>
      </c>
      <c r="D362" s="143" t="s">
        <v>1624</v>
      </c>
      <c r="E362" s="143" t="s">
        <v>309</v>
      </c>
      <c r="F362" s="143" t="s">
        <v>1625</v>
      </c>
      <c r="G362" s="143" t="s">
        <v>1626</v>
      </c>
      <c r="H362" s="143" t="s">
        <v>321</v>
      </c>
      <c r="I362" s="143" t="s">
        <v>754</v>
      </c>
      <c r="J362" s="143" t="s">
        <v>204</v>
      </c>
      <c r="K362" s="143" t="s">
        <v>204</v>
      </c>
      <c r="L362" s="143" t="s">
        <v>325</v>
      </c>
      <c r="M362" s="143" t="s">
        <v>340</v>
      </c>
      <c r="N362" s="143" t="s">
        <v>445</v>
      </c>
      <c r="O362" s="143" t="s">
        <v>339</v>
      </c>
      <c r="P362" s="143" t="s">
        <v>1627</v>
      </c>
      <c r="Q362" s="143" t="s">
        <v>415</v>
      </c>
      <c r="R362" s="143" t="s">
        <v>407</v>
      </c>
      <c r="S362" s="143" t="s">
        <v>1210</v>
      </c>
      <c r="T362" s="144">
        <v>4.76</v>
      </c>
      <c r="U362" s="143" t="s">
        <v>1628</v>
      </c>
      <c r="V362" s="146">
        <v>5.1700000000000003E-2</v>
      </c>
      <c r="W362" s="146">
        <v>5.8743999999999998E-2</v>
      </c>
      <c r="X362" s="143" t="s">
        <v>412</v>
      </c>
      <c r="Y362" s="145" t="s">
        <v>3853</v>
      </c>
      <c r="Z362" s="144">
        <v>5381</v>
      </c>
      <c r="AA362" s="145" t="s">
        <v>3853</v>
      </c>
      <c r="AB362" s="143" t="s">
        <v>1629</v>
      </c>
      <c r="AC362" s="145" t="s">
        <v>3853</v>
      </c>
      <c r="AD362" s="144">
        <v>5.2507999999999999</v>
      </c>
      <c r="AE362" s="145" t="s">
        <v>3853</v>
      </c>
      <c r="AF362" s="145" t="s">
        <v>3853</v>
      </c>
      <c r="AG362" s="145" t="s">
        <v>3853</v>
      </c>
      <c r="AH362" s="146">
        <v>8.8182178711075137E-6</v>
      </c>
      <c r="AI362" s="146">
        <v>6.4296805518850491E-3</v>
      </c>
      <c r="AJ362" s="147">
        <v>6.7577668441424186E-4</v>
      </c>
      <c r="AK362" s="181"/>
    </row>
    <row r="363" spans="1:37" ht="15" x14ac:dyDescent="0.2">
      <c r="A363" s="142" t="s">
        <v>1218</v>
      </c>
      <c r="B363" s="143" t="s">
        <v>1220</v>
      </c>
      <c r="C363" s="143" t="s">
        <v>1349</v>
      </c>
      <c r="D363" s="143" t="s">
        <v>1350</v>
      </c>
      <c r="E363" s="143" t="s">
        <v>309</v>
      </c>
      <c r="F363" s="143" t="s">
        <v>1609</v>
      </c>
      <c r="G363" s="143" t="s">
        <v>1610</v>
      </c>
      <c r="H363" s="143" t="s">
        <v>321</v>
      </c>
      <c r="I363" s="143" t="s">
        <v>754</v>
      </c>
      <c r="J363" s="143" t="s">
        <v>204</v>
      </c>
      <c r="K363" s="143" t="s">
        <v>204</v>
      </c>
      <c r="L363" s="143" t="s">
        <v>325</v>
      </c>
      <c r="M363" s="143" t="s">
        <v>340</v>
      </c>
      <c r="N363" s="143" t="s">
        <v>448</v>
      </c>
      <c r="O363" s="143" t="s">
        <v>339</v>
      </c>
      <c r="P363" s="143" t="s">
        <v>1209</v>
      </c>
      <c r="Q363" s="143" t="s">
        <v>415</v>
      </c>
      <c r="R363" s="143" t="s">
        <v>407</v>
      </c>
      <c r="S363" s="143" t="s">
        <v>1210</v>
      </c>
      <c r="T363" s="144">
        <v>0.67</v>
      </c>
      <c r="U363" s="143" t="s">
        <v>1611</v>
      </c>
      <c r="V363" s="146">
        <v>9.4999999999999998E-3</v>
      </c>
      <c r="W363" s="146">
        <v>2.8906999999999999E-2</v>
      </c>
      <c r="X363" s="143" t="s">
        <v>412</v>
      </c>
      <c r="Y363" s="145" t="s">
        <v>3853</v>
      </c>
      <c r="Z363" s="144">
        <v>3941.75</v>
      </c>
      <c r="AA363" s="145" t="s">
        <v>3853</v>
      </c>
      <c r="AB363" s="143" t="s">
        <v>1612</v>
      </c>
      <c r="AC363" s="145" t="s">
        <v>3853</v>
      </c>
      <c r="AD363" s="144">
        <v>4.468</v>
      </c>
      <c r="AE363" s="145" t="s">
        <v>3853</v>
      </c>
      <c r="AF363" s="145" t="s">
        <v>3853</v>
      </c>
      <c r="AG363" s="145" t="s">
        <v>3853</v>
      </c>
      <c r="AH363" s="146">
        <v>2.4525820398569859E-5</v>
      </c>
      <c r="AI363" s="146">
        <v>5.4711193798296096E-3</v>
      </c>
      <c r="AJ363" s="147">
        <v>5.7502933228180343E-4</v>
      </c>
      <c r="AK363" s="181"/>
    </row>
    <row r="364" spans="1:37" ht="15" x14ac:dyDescent="0.2">
      <c r="A364" s="142" t="s">
        <v>1218</v>
      </c>
      <c r="B364" s="143" t="s">
        <v>1220</v>
      </c>
      <c r="C364" s="143" t="s">
        <v>1516</v>
      </c>
      <c r="D364" s="143" t="s">
        <v>1517</v>
      </c>
      <c r="E364" s="143" t="s">
        <v>309</v>
      </c>
      <c r="F364" s="143" t="s">
        <v>1605</v>
      </c>
      <c r="G364" s="143" t="s">
        <v>1606</v>
      </c>
      <c r="H364" s="143" t="s">
        <v>321</v>
      </c>
      <c r="I364" s="143" t="s">
        <v>754</v>
      </c>
      <c r="J364" s="143" t="s">
        <v>204</v>
      </c>
      <c r="K364" s="143" t="s">
        <v>204</v>
      </c>
      <c r="L364" s="143" t="s">
        <v>325</v>
      </c>
      <c r="M364" s="143" t="s">
        <v>340</v>
      </c>
      <c r="N364" s="143" t="s">
        <v>465</v>
      </c>
      <c r="O364" s="143" t="s">
        <v>339</v>
      </c>
      <c r="P364" s="143" t="s">
        <v>1402</v>
      </c>
      <c r="Q364" s="143" t="s">
        <v>415</v>
      </c>
      <c r="R364" s="143" t="s">
        <v>407</v>
      </c>
      <c r="S364" s="143" t="s">
        <v>1210</v>
      </c>
      <c r="T364" s="144">
        <v>0.25</v>
      </c>
      <c r="U364" s="143" t="s">
        <v>1607</v>
      </c>
      <c r="V364" s="146">
        <v>5.3499999999999999E-2</v>
      </c>
      <c r="W364" s="146">
        <v>3.9487000000000001E-2</v>
      </c>
      <c r="X364" s="143" t="s">
        <v>412</v>
      </c>
      <c r="Y364" s="145" t="s">
        <v>3853</v>
      </c>
      <c r="Z364" s="144">
        <v>3598.44</v>
      </c>
      <c r="AA364" s="145" t="s">
        <v>3853</v>
      </c>
      <c r="AB364" s="143" t="s">
        <v>1608</v>
      </c>
      <c r="AC364" s="145" t="s">
        <v>3853</v>
      </c>
      <c r="AD364" s="144">
        <v>4.3029999999999999</v>
      </c>
      <c r="AE364" s="145" t="s">
        <v>3853</v>
      </c>
      <c r="AF364" s="145" t="s">
        <v>3853</v>
      </c>
      <c r="AG364" s="145" t="s">
        <v>3853</v>
      </c>
      <c r="AH364" s="146">
        <v>1.0885234881164724E-5</v>
      </c>
      <c r="AI364" s="146">
        <v>5.2691238317540481E-3</v>
      </c>
      <c r="AJ364" s="147">
        <v>5.5379905798692885E-4</v>
      </c>
      <c r="AK364" s="181"/>
    </row>
    <row r="365" spans="1:37" ht="15" x14ac:dyDescent="0.2">
      <c r="A365" s="142" t="s">
        <v>1218</v>
      </c>
      <c r="B365" s="143" t="s">
        <v>1220</v>
      </c>
      <c r="C365" s="143" t="s">
        <v>1623</v>
      </c>
      <c r="D365" s="143" t="s">
        <v>1624</v>
      </c>
      <c r="E365" s="143" t="s">
        <v>309</v>
      </c>
      <c r="F365" s="143" t="s">
        <v>1646</v>
      </c>
      <c r="G365" s="143" t="s">
        <v>1647</v>
      </c>
      <c r="H365" s="143" t="s">
        <v>321</v>
      </c>
      <c r="I365" s="143" t="s">
        <v>754</v>
      </c>
      <c r="J365" s="143" t="s">
        <v>204</v>
      </c>
      <c r="K365" s="143" t="s">
        <v>204</v>
      </c>
      <c r="L365" s="143" t="s">
        <v>325</v>
      </c>
      <c r="M365" s="143" t="s">
        <v>340</v>
      </c>
      <c r="N365" s="143" t="s">
        <v>445</v>
      </c>
      <c r="O365" s="143" t="s">
        <v>339</v>
      </c>
      <c r="P365" s="143" t="s">
        <v>1627</v>
      </c>
      <c r="Q365" s="143" t="s">
        <v>415</v>
      </c>
      <c r="R365" s="143" t="s">
        <v>407</v>
      </c>
      <c r="S365" s="143" t="s">
        <v>1210</v>
      </c>
      <c r="T365" s="144">
        <v>5.55</v>
      </c>
      <c r="U365" s="143" t="s">
        <v>1648</v>
      </c>
      <c r="V365" s="146">
        <v>5.3999999999999999E-2</v>
      </c>
      <c r="W365" s="146">
        <v>6.1131999999999999E-2</v>
      </c>
      <c r="X365" s="143" t="s">
        <v>412</v>
      </c>
      <c r="Y365" s="145" t="s">
        <v>3853</v>
      </c>
      <c r="Z365" s="144">
        <v>2917</v>
      </c>
      <c r="AA365" s="145" t="s">
        <v>3853</v>
      </c>
      <c r="AB365" s="143" t="s">
        <v>1649</v>
      </c>
      <c r="AC365" s="145" t="s">
        <v>3853</v>
      </c>
      <c r="AD365" s="144">
        <v>2.8204000000000002</v>
      </c>
      <c r="AE365" s="145" t="s">
        <v>3853</v>
      </c>
      <c r="AF365" s="145" t="s">
        <v>3853</v>
      </c>
      <c r="AG365" s="145" t="s">
        <v>3853</v>
      </c>
      <c r="AH365" s="146">
        <v>5.1040529879719362E-6</v>
      </c>
      <c r="AI365" s="146">
        <v>3.4536918025826749E-3</v>
      </c>
      <c r="AJ365" s="147">
        <v>3.6299227877716387E-4</v>
      </c>
      <c r="AK365" s="181"/>
    </row>
    <row r="366" spans="1:37" ht="15" x14ac:dyDescent="0.2">
      <c r="A366" s="142" t="s">
        <v>1218</v>
      </c>
      <c r="B366" s="143" t="s">
        <v>1220</v>
      </c>
      <c r="C366" s="143" t="s">
        <v>2011</v>
      </c>
      <c r="D366" s="143" t="s">
        <v>2012</v>
      </c>
      <c r="E366" s="143" t="s">
        <v>309</v>
      </c>
      <c r="F366" s="143" t="s">
        <v>2013</v>
      </c>
      <c r="G366" s="143" t="s">
        <v>2014</v>
      </c>
      <c r="H366" s="143" t="s">
        <v>321</v>
      </c>
      <c r="I366" s="143" t="s">
        <v>755</v>
      </c>
      <c r="J366" s="143" t="s">
        <v>204</v>
      </c>
      <c r="K366" s="143" t="s">
        <v>204</v>
      </c>
      <c r="L366" s="143" t="s">
        <v>325</v>
      </c>
      <c r="M366" s="143" t="s">
        <v>340</v>
      </c>
      <c r="N366" s="143" t="s">
        <v>480</v>
      </c>
      <c r="O366" s="143" t="s">
        <v>339</v>
      </c>
      <c r="P366" s="143" t="s">
        <v>1347</v>
      </c>
      <c r="Q366" s="143" t="s">
        <v>413</v>
      </c>
      <c r="R366" s="143" t="s">
        <v>407</v>
      </c>
      <c r="S366" s="143" t="s">
        <v>1210</v>
      </c>
      <c r="T366" s="144">
        <v>0.98</v>
      </c>
      <c r="U366" s="143" t="s">
        <v>2015</v>
      </c>
      <c r="V366" s="146">
        <v>3.3700000000000001E-2</v>
      </c>
      <c r="W366" s="146">
        <v>6.4588000000000007E-2</v>
      </c>
      <c r="X366" s="143" t="s">
        <v>412</v>
      </c>
      <c r="Y366" s="145" t="s">
        <v>3853</v>
      </c>
      <c r="Z366" s="144">
        <v>0.66</v>
      </c>
      <c r="AA366" s="145" t="s">
        <v>3853</v>
      </c>
      <c r="AB366" s="143" t="s">
        <v>2016</v>
      </c>
      <c r="AC366" s="145" t="s">
        <v>3853</v>
      </c>
      <c r="AD366" s="144">
        <v>6.9999999999999999E-4</v>
      </c>
      <c r="AE366" s="145" t="s">
        <v>3853</v>
      </c>
      <c r="AF366" s="145" t="s">
        <v>3853</v>
      </c>
      <c r="AG366" s="145" t="s">
        <v>3853</v>
      </c>
      <c r="AH366" s="146">
        <v>4.7142857142857145E-9</v>
      </c>
      <c r="AI366" s="146">
        <v>8.5926224877787962E-7</v>
      </c>
      <c r="AJ366" s="147">
        <v>9.03107687599193E-8</v>
      </c>
      <c r="AK366" s="181"/>
    </row>
    <row r="367" spans="1:37" ht="15" x14ac:dyDescent="0.2">
      <c r="A367" s="142" t="s">
        <v>1218</v>
      </c>
      <c r="B367" s="143" t="s">
        <v>1218</v>
      </c>
      <c r="C367" s="143" t="s">
        <v>1343</v>
      </c>
      <c r="D367" s="143" t="s">
        <v>1344</v>
      </c>
      <c r="E367" s="143" t="s">
        <v>309</v>
      </c>
      <c r="F367" s="143" t="s">
        <v>1345</v>
      </c>
      <c r="G367" s="143" t="s">
        <v>1346</v>
      </c>
      <c r="H367" s="143" t="s">
        <v>321</v>
      </c>
      <c r="I367" s="143" t="s">
        <v>951</v>
      </c>
      <c r="J367" s="143" t="s">
        <v>204</v>
      </c>
      <c r="K367" s="143" t="s">
        <v>204</v>
      </c>
      <c r="L367" s="143" t="s">
        <v>325</v>
      </c>
      <c r="M367" s="143" t="s">
        <v>340</v>
      </c>
      <c r="N367" s="143" t="s">
        <v>445</v>
      </c>
      <c r="O367" s="143" t="s">
        <v>339</v>
      </c>
      <c r="P367" s="143" t="s">
        <v>1347</v>
      </c>
      <c r="Q367" s="143" t="s">
        <v>413</v>
      </c>
      <c r="R367" s="143" t="s">
        <v>407</v>
      </c>
      <c r="S367" s="143" t="s">
        <v>1210</v>
      </c>
      <c r="T367" s="144">
        <v>5.29</v>
      </c>
      <c r="U367" s="143" t="s">
        <v>1295</v>
      </c>
      <c r="V367" s="146">
        <v>2.64E-2</v>
      </c>
      <c r="W367" s="146">
        <v>5.8282E-2</v>
      </c>
      <c r="X367" s="143" t="s">
        <v>412</v>
      </c>
      <c r="Y367" s="145" t="s">
        <v>3853</v>
      </c>
      <c r="Z367" s="144">
        <v>19499366.699999999</v>
      </c>
      <c r="AA367" s="145" t="s">
        <v>3853</v>
      </c>
      <c r="AB367" s="143" t="s">
        <v>1348</v>
      </c>
      <c r="AC367" s="145" t="s">
        <v>3853</v>
      </c>
      <c r="AD367" s="144">
        <v>16699.257600000001</v>
      </c>
      <c r="AE367" s="145" t="s">
        <v>3853</v>
      </c>
      <c r="AF367" s="145" t="s">
        <v>3853</v>
      </c>
      <c r="AG367" s="145" t="s">
        <v>3853</v>
      </c>
      <c r="AH367" s="146">
        <v>1.1917673477529006E-2</v>
      </c>
      <c r="AI367" s="146">
        <v>1.9262891676343565E-2</v>
      </c>
      <c r="AJ367" s="147">
        <v>2.2247769916399042E-3</v>
      </c>
      <c r="AK367" s="181"/>
    </row>
    <row r="368" spans="1:37" ht="15" x14ac:dyDescent="0.2">
      <c r="A368" s="142" t="s">
        <v>1218</v>
      </c>
      <c r="B368" s="143" t="s">
        <v>1218</v>
      </c>
      <c r="C368" s="143" t="s">
        <v>1398</v>
      </c>
      <c r="D368" s="143" t="s">
        <v>1399</v>
      </c>
      <c r="E368" s="143" t="s">
        <v>309</v>
      </c>
      <c r="F368" s="143" t="s">
        <v>1400</v>
      </c>
      <c r="G368" s="143" t="s">
        <v>1401</v>
      </c>
      <c r="H368" s="143" t="s">
        <v>321</v>
      </c>
      <c r="I368" s="143" t="s">
        <v>951</v>
      </c>
      <c r="J368" s="143" t="s">
        <v>204</v>
      </c>
      <c r="K368" s="143" t="s">
        <v>204</v>
      </c>
      <c r="L368" s="143" t="s">
        <v>325</v>
      </c>
      <c r="M368" s="143" t="s">
        <v>340</v>
      </c>
      <c r="N368" s="143" t="s">
        <v>484</v>
      </c>
      <c r="O368" s="143" t="s">
        <v>339</v>
      </c>
      <c r="P368" s="143" t="s">
        <v>1402</v>
      </c>
      <c r="Q368" s="143" t="s">
        <v>415</v>
      </c>
      <c r="R368" s="143" t="s">
        <v>407</v>
      </c>
      <c r="S368" s="143" t="s">
        <v>1210</v>
      </c>
      <c r="T368" s="144">
        <v>2.3199999999999998</v>
      </c>
      <c r="U368" s="143" t="s">
        <v>1403</v>
      </c>
      <c r="V368" s="146">
        <v>3.6499999999999998E-2</v>
      </c>
      <c r="W368" s="146">
        <v>5.8046E-2</v>
      </c>
      <c r="X368" s="143" t="s">
        <v>412</v>
      </c>
      <c r="Y368" s="145" t="s">
        <v>3853</v>
      </c>
      <c r="Z368" s="144">
        <v>16987773.379999999</v>
      </c>
      <c r="AA368" s="145" t="s">
        <v>3853</v>
      </c>
      <c r="AB368" s="143" t="s">
        <v>1404</v>
      </c>
      <c r="AC368" s="145" t="s">
        <v>3853</v>
      </c>
      <c r="AD368" s="144">
        <v>16257.2991</v>
      </c>
      <c r="AE368" s="145" t="s">
        <v>3853</v>
      </c>
      <c r="AF368" s="145" t="s">
        <v>3853</v>
      </c>
      <c r="AG368" s="145" t="s">
        <v>3853</v>
      </c>
      <c r="AH368" s="146">
        <v>8.452609882655223E-3</v>
      </c>
      <c r="AI368" s="146">
        <v>1.8753084640293318E-2</v>
      </c>
      <c r="AJ368" s="147">
        <v>2.1658965814170907E-3</v>
      </c>
      <c r="AK368" s="181"/>
    </row>
    <row r="369" spans="1:37" ht="15" x14ac:dyDescent="0.2">
      <c r="A369" s="142" t="s">
        <v>1218</v>
      </c>
      <c r="B369" s="143" t="s">
        <v>1218</v>
      </c>
      <c r="C369" s="143" t="s">
        <v>1767</v>
      </c>
      <c r="D369" s="143" t="s">
        <v>1768</v>
      </c>
      <c r="E369" s="143" t="s">
        <v>309</v>
      </c>
      <c r="F369" s="143" t="s">
        <v>1769</v>
      </c>
      <c r="G369" s="143" t="s">
        <v>1770</v>
      </c>
      <c r="H369" s="143" t="s">
        <v>321</v>
      </c>
      <c r="I369" s="143" t="s">
        <v>951</v>
      </c>
      <c r="J369" s="143" t="s">
        <v>204</v>
      </c>
      <c r="K369" s="143" t="s">
        <v>204</v>
      </c>
      <c r="L369" s="143" t="s">
        <v>325</v>
      </c>
      <c r="M369" s="143" t="s">
        <v>340</v>
      </c>
      <c r="N369" s="143" t="s">
        <v>440</v>
      </c>
      <c r="O369" s="143" t="s">
        <v>339</v>
      </c>
      <c r="P369" s="143" t="s">
        <v>1396</v>
      </c>
      <c r="Q369" s="143" t="s">
        <v>413</v>
      </c>
      <c r="R369" s="143" t="s">
        <v>407</v>
      </c>
      <c r="S369" s="143" t="s">
        <v>1210</v>
      </c>
      <c r="T369" s="144">
        <v>4.71</v>
      </c>
      <c r="U369" s="143" t="s">
        <v>1771</v>
      </c>
      <c r="V369" s="146">
        <v>5.7500000000000002E-2</v>
      </c>
      <c r="W369" s="146">
        <v>6.7768999999999996E-2</v>
      </c>
      <c r="X369" s="143" t="s">
        <v>412</v>
      </c>
      <c r="Y369" s="145" t="s">
        <v>3853</v>
      </c>
      <c r="Z369" s="144">
        <v>13464000</v>
      </c>
      <c r="AA369" s="145" t="s">
        <v>3853</v>
      </c>
      <c r="AB369" s="143" t="s">
        <v>1772</v>
      </c>
      <c r="AC369" s="145" t="s">
        <v>3853</v>
      </c>
      <c r="AD369" s="144">
        <v>13107.204</v>
      </c>
      <c r="AE369" s="145" t="s">
        <v>3853</v>
      </c>
      <c r="AF369" s="145" t="s">
        <v>3853</v>
      </c>
      <c r="AG369" s="145" t="s">
        <v>3853</v>
      </c>
      <c r="AH369" s="146">
        <v>2.5645714285714286E-2</v>
      </c>
      <c r="AI369" s="146">
        <v>1.5119393702779749E-2</v>
      </c>
      <c r="AJ369" s="147">
        <v>1.7462216889689009E-3</v>
      </c>
      <c r="AK369" s="181"/>
    </row>
    <row r="370" spans="1:37" ht="15" x14ac:dyDescent="0.2">
      <c r="A370" s="142" t="s">
        <v>1218</v>
      </c>
      <c r="B370" s="143" t="s">
        <v>1218</v>
      </c>
      <c r="C370" s="143" t="s">
        <v>1355</v>
      </c>
      <c r="D370" s="143" t="s">
        <v>1356</v>
      </c>
      <c r="E370" s="143" t="s">
        <v>309</v>
      </c>
      <c r="F370" s="143" t="s">
        <v>1357</v>
      </c>
      <c r="G370" s="143" t="s">
        <v>1358</v>
      </c>
      <c r="H370" s="143" t="s">
        <v>321</v>
      </c>
      <c r="I370" s="143" t="s">
        <v>951</v>
      </c>
      <c r="J370" s="143" t="s">
        <v>204</v>
      </c>
      <c r="K370" s="143" t="s">
        <v>204</v>
      </c>
      <c r="L370" s="143" t="s">
        <v>325</v>
      </c>
      <c r="M370" s="143" t="s">
        <v>340</v>
      </c>
      <c r="N370" s="143" t="s">
        <v>445</v>
      </c>
      <c r="O370" s="143" t="s">
        <v>339</v>
      </c>
      <c r="P370" s="143" t="s">
        <v>1359</v>
      </c>
      <c r="Q370" s="143" t="s">
        <v>415</v>
      </c>
      <c r="R370" s="143" t="s">
        <v>407</v>
      </c>
      <c r="S370" s="143" t="s">
        <v>1210</v>
      </c>
      <c r="T370" s="144">
        <v>1.05</v>
      </c>
      <c r="U370" s="143" t="s">
        <v>1360</v>
      </c>
      <c r="V370" s="146">
        <v>3.61E-2</v>
      </c>
      <c r="W370" s="146">
        <v>5.1234000000000002E-2</v>
      </c>
      <c r="X370" s="143" t="s">
        <v>412</v>
      </c>
      <c r="Y370" s="145" t="s">
        <v>3853</v>
      </c>
      <c r="Z370" s="144">
        <v>13023728</v>
      </c>
      <c r="AA370" s="145" t="s">
        <v>3853</v>
      </c>
      <c r="AB370" s="143" t="s">
        <v>1361</v>
      </c>
      <c r="AC370" s="145" t="s">
        <v>3853</v>
      </c>
      <c r="AD370" s="144">
        <v>13025.0304</v>
      </c>
      <c r="AE370" s="145" t="s">
        <v>3853</v>
      </c>
      <c r="AF370" s="145" t="s">
        <v>3853</v>
      </c>
      <c r="AG370" s="145" t="s">
        <v>3853</v>
      </c>
      <c r="AH370" s="146">
        <v>1.6969026710097718E-2</v>
      </c>
      <c r="AI370" s="146">
        <v>1.5024604957474324E-2</v>
      </c>
      <c r="AJ370" s="147">
        <v>1.7352740169804368E-3</v>
      </c>
      <c r="AK370" s="181"/>
    </row>
    <row r="371" spans="1:37" ht="15" x14ac:dyDescent="0.2">
      <c r="A371" s="142" t="s">
        <v>1218</v>
      </c>
      <c r="B371" s="143" t="s">
        <v>1218</v>
      </c>
      <c r="C371" s="143" t="s">
        <v>1349</v>
      </c>
      <c r="D371" s="143" t="s">
        <v>1350</v>
      </c>
      <c r="E371" s="143" t="s">
        <v>309</v>
      </c>
      <c r="F371" s="143" t="s">
        <v>1351</v>
      </c>
      <c r="G371" s="143" t="s">
        <v>1352</v>
      </c>
      <c r="H371" s="143" t="s">
        <v>321</v>
      </c>
      <c r="I371" s="143" t="s">
        <v>951</v>
      </c>
      <c r="J371" s="143" t="s">
        <v>204</v>
      </c>
      <c r="K371" s="143" t="s">
        <v>204</v>
      </c>
      <c r="L371" s="143" t="s">
        <v>325</v>
      </c>
      <c r="M371" s="143" t="s">
        <v>340</v>
      </c>
      <c r="N371" s="143" t="s">
        <v>448</v>
      </c>
      <c r="O371" s="143" t="s">
        <v>339</v>
      </c>
      <c r="P371" s="143" t="s">
        <v>1222</v>
      </c>
      <c r="Q371" s="143" t="s">
        <v>413</v>
      </c>
      <c r="R371" s="143" t="s">
        <v>407</v>
      </c>
      <c r="S371" s="143" t="s">
        <v>1210</v>
      </c>
      <c r="T371" s="144">
        <v>0.93</v>
      </c>
      <c r="U371" s="143" t="s">
        <v>1353</v>
      </c>
      <c r="V371" s="146">
        <v>2.98E-2</v>
      </c>
      <c r="W371" s="146">
        <v>4.5124999999999998E-2</v>
      </c>
      <c r="X371" s="143" t="s">
        <v>412</v>
      </c>
      <c r="Y371" s="145" t="s">
        <v>3853</v>
      </c>
      <c r="Z371" s="144">
        <v>10686835</v>
      </c>
      <c r="AA371" s="145" t="s">
        <v>3853</v>
      </c>
      <c r="AB371" s="143" t="s">
        <v>1354</v>
      </c>
      <c r="AC371" s="145" t="s">
        <v>3853</v>
      </c>
      <c r="AD371" s="144">
        <v>10560.730300000001</v>
      </c>
      <c r="AE371" s="145" t="s">
        <v>3853</v>
      </c>
      <c r="AF371" s="145" t="s">
        <v>3853</v>
      </c>
      <c r="AG371" s="145" t="s">
        <v>3853</v>
      </c>
      <c r="AH371" s="146">
        <v>4.2039214652703997E-3</v>
      </c>
      <c r="AI371" s="146">
        <v>1.2181990904023984E-2</v>
      </c>
      <c r="AJ371" s="147">
        <v>1.4069649319018356E-3</v>
      </c>
      <c r="AK371" s="181"/>
    </row>
    <row r="372" spans="1:37" ht="15" x14ac:dyDescent="0.2">
      <c r="A372" s="142" t="s">
        <v>1218</v>
      </c>
      <c r="B372" s="143" t="s">
        <v>1218</v>
      </c>
      <c r="C372" s="143" t="s">
        <v>1380</v>
      </c>
      <c r="D372" s="143" t="s">
        <v>1381</v>
      </c>
      <c r="E372" s="143" t="s">
        <v>309</v>
      </c>
      <c r="F372" s="143" t="s">
        <v>1382</v>
      </c>
      <c r="G372" s="143" t="s">
        <v>1383</v>
      </c>
      <c r="H372" s="143" t="s">
        <v>321</v>
      </c>
      <c r="I372" s="143" t="s">
        <v>951</v>
      </c>
      <c r="J372" s="143" t="s">
        <v>204</v>
      </c>
      <c r="K372" s="143" t="s">
        <v>204</v>
      </c>
      <c r="L372" s="143" t="s">
        <v>325</v>
      </c>
      <c r="M372" s="143" t="s">
        <v>340</v>
      </c>
      <c r="N372" s="143" t="s">
        <v>445</v>
      </c>
      <c r="O372" s="143" t="s">
        <v>339</v>
      </c>
      <c r="P372" s="143" t="s">
        <v>1347</v>
      </c>
      <c r="Q372" s="143" t="s">
        <v>413</v>
      </c>
      <c r="R372" s="143" t="s">
        <v>407</v>
      </c>
      <c r="S372" s="143" t="s">
        <v>1210</v>
      </c>
      <c r="T372" s="144">
        <v>5.4</v>
      </c>
      <c r="U372" s="143" t="s">
        <v>1384</v>
      </c>
      <c r="V372" s="146">
        <v>5.2499999999999998E-2</v>
      </c>
      <c r="W372" s="146">
        <v>5.9947E-2</v>
      </c>
      <c r="X372" s="143" t="s">
        <v>412</v>
      </c>
      <c r="Y372" s="145" t="s">
        <v>3853</v>
      </c>
      <c r="Z372" s="144">
        <v>9668000</v>
      </c>
      <c r="AA372" s="145" t="s">
        <v>3853</v>
      </c>
      <c r="AB372" s="143" t="s">
        <v>1385</v>
      </c>
      <c r="AC372" s="145" t="s">
        <v>3853</v>
      </c>
      <c r="AD372" s="144">
        <v>9418.5655999999999</v>
      </c>
      <c r="AE372" s="145" t="s">
        <v>3853</v>
      </c>
      <c r="AF372" s="145" t="s">
        <v>3853</v>
      </c>
      <c r="AG372" s="145" t="s">
        <v>3853</v>
      </c>
      <c r="AH372" s="146">
        <v>1.9335999999999999E-2</v>
      </c>
      <c r="AI372" s="146">
        <v>1.0864483487237855E-2</v>
      </c>
      <c r="AJ372" s="147">
        <v>1.2547987755204229E-3</v>
      </c>
      <c r="AK372" s="181"/>
    </row>
    <row r="373" spans="1:37" ht="15" x14ac:dyDescent="0.2">
      <c r="A373" s="142" t="s">
        <v>1218</v>
      </c>
      <c r="B373" s="143" t="s">
        <v>1218</v>
      </c>
      <c r="C373" s="143" t="s">
        <v>1386</v>
      </c>
      <c r="D373" s="143" t="s">
        <v>1387</v>
      </c>
      <c r="E373" s="143" t="s">
        <v>309</v>
      </c>
      <c r="F373" s="143" t="s">
        <v>1803</v>
      </c>
      <c r="G373" s="143" t="s">
        <v>1804</v>
      </c>
      <c r="H373" s="143" t="s">
        <v>321</v>
      </c>
      <c r="I373" s="143" t="s">
        <v>951</v>
      </c>
      <c r="J373" s="143" t="s">
        <v>204</v>
      </c>
      <c r="K373" s="143" t="s">
        <v>204</v>
      </c>
      <c r="L373" s="143" t="s">
        <v>325</v>
      </c>
      <c r="M373" s="143" t="s">
        <v>340</v>
      </c>
      <c r="N373" s="143" t="s">
        <v>464</v>
      </c>
      <c r="O373" s="143" t="s">
        <v>339</v>
      </c>
      <c r="P373" s="143" t="s">
        <v>1347</v>
      </c>
      <c r="Q373" s="143" t="s">
        <v>413</v>
      </c>
      <c r="R373" s="143" t="s">
        <v>407</v>
      </c>
      <c r="S373" s="143" t="s">
        <v>1210</v>
      </c>
      <c r="T373" s="144">
        <v>6.47</v>
      </c>
      <c r="U373" s="143" t="s">
        <v>1805</v>
      </c>
      <c r="V373" s="146">
        <v>4.9399999999999999E-2</v>
      </c>
      <c r="W373" s="146">
        <v>6.9442000000000004E-2</v>
      </c>
      <c r="X373" s="143" t="s">
        <v>412</v>
      </c>
      <c r="Y373" s="145" t="s">
        <v>3853</v>
      </c>
      <c r="Z373" s="144">
        <v>9700000</v>
      </c>
      <c r="AA373" s="145" t="s">
        <v>3853</v>
      </c>
      <c r="AB373" s="143" t="s">
        <v>1806</v>
      </c>
      <c r="AC373" s="145" t="s">
        <v>3853</v>
      </c>
      <c r="AD373" s="144">
        <v>8706.7199999999993</v>
      </c>
      <c r="AE373" s="145" t="s">
        <v>3853</v>
      </c>
      <c r="AF373" s="145" t="s">
        <v>3853</v>
      </c>
      <c r="AG373" s="145" t="s">
        <v>3853</v>
      </c>
      <c r="AH373" s="146">
        <v>1.0806583325998969E-2</v>
      </c>
      <c r="AI373" s="146">
        <v>1.0043356885256878E-2</v>
      </c>
      <c r="AJ373" s="147">
        <v>1.1599623614448444E-3</v>
      </c>
      <c r="AK373" s="181"/>
    </row>
    <row r="374" spans="1:37" ht="15" x14ac:dyDescent="0.2">
      <c r="A374" s="142" t="s">
        <v>1218</v>
      </c>
      <c r="B374" s="143" t="s">
        <v>1218</v>
      </c>
      <c r="C374" s="143" t="s">
        <v>1773</v>
      </c>
      <c r="D374" s="143" t="s">
        <v>1774</v>
      </c>
      <c r="E374" s="143" t="s">
        <v>309</v>
      </c>
      <c r="F374" s="143" t="s">
        <v>1775</v>
      </c>
      <c r="G374" s="143" t="s">
        <v>1776</v>
      </c>
      <c r="H374" s="143" t="s">
        <v>321</v>
      </c>
      <c r="I374" s="143" t="s">
        <v>951</v>
      </c>
      <c r="J374" s="143" t="s">
        <v>204</v>
      </c>
      <c r="K374" s="143" t="s">
        <v>204</v>
      </c>
      <c r="L374" s="143" t="s">
        <v>325</v>
      </c>
      <c r="M374" s="143" t="s">
        <v>340</v>
      </c>
      <c r="N374" s="143" t="s">
        <v>445</v>
      </c>
      <c r="O374" s="143" t="s">
        <v>339</v>
      </c>
      <c r="P374" s="143" t="s">
        <v>1377</v>
      </c>
      <c r="Q374" s="143" t="s">
        <v>415</v>
      </c>
      <c r="R374" s="143" t="s">
        <v>407</v>
      </c>
      <c r="S374" s="143" t="s">
        <v>1210</v>
      </c>
      <c r="T374" s="144">
        <v>5.2</v>
      </c>
      <c r="U374" s="143" t="s">
        <v>1777</v>
      </c>
      <c r="V374" s="146">
        <v>1.95E-2</v>
      </c>
      <c r="W374" s="146">
        <v>5.7405999999999999E-2</v>
      </c>
      <c r="X374" s="143" t="s">
        <v>412</v>
      </c>
      <c r="Y374" s="145" t="s">
        <v>3853</v>
      </c>
      <c r="Z374" s="144">
        <v>10276270.460000001</v>
      </c>
      <c r="AA374" s="145" t="s">
        <v>3853</v>
      </c>
      <c r="AB374" s="143" t="s">
        <v>1778</v>
      </c>
      <c r="AC374" s="145" t="s">
        <v>3853</v>
      </c>
      <c r="AD374" s="144">
        <v>8441.9561999999987</v>
      </c>
      <c r="AE374" s="145" t="s">
        <v>3853</v>
      </c>
      <c r="AF374" s="145" t="s">
        <v>3853</v>
      </c>
      <c r="AG374" s="145" t="s">
        <v>3853</v>
      </c>
      <c r="AH374" s="146">
        <v>9.7970262226112145E-3</v>
      </c>
      <c r="AI374" s="146">
        <v>9.737947097697543E-3</v>
      </c>
      <c r="AJ374" s="147">
        <v>1.1246889103036491E-3</v>
      </c>
      <c r="AK374" s="181"/>
    </row>
    <row r="375" spans="1:37" ht="15" x14ac:dyDescent="0.2">
      <c r="A375" s="142" t="s">
        <v>1218</v>
      </c>
      <c r="B375" s="143" t="s">
        <v>1218</v>
      </c>
      <c r="C375" s="143" t="s">
        <v>1380</v>
      </c>
      <c r="D375" s="143" t="s">
        <v>1381</v>
      </c>
      <c r="E375" s="143" t="s">
        <v>309</v>
      </c>
      <c r="F375" s="143" t="s">
        <v>1783</v>
      </c>
      <c r="G375" s="143" t="s">
        <v>1784</v>
      </c>
      <c r="H375" s="143" t="s">
        <v>321</v>
      </c>
      <c r="I375" s="143" t="s">
        <v>951</v>
      </c>
      <c r="J375" s="143" t="s">
        <v>204</v>
      </c>
      <c r="K375" s="143" t="s">
        <v>204</v>
      </c>
      <c r="L375" s="143" t="s">
        <v>325</v>
      </c>
      <c r="M375" s="143" t="s">
        <v>340</v>
      </c>
      <c r="N375" s="143" t="s">
        <v>445</v>
      </c>
      <c r="O375" s="143" t="s">
        <v>339</v>
      </c>
      <c r="P375" s="143" t="s">
        <v>1347</v>
      </c>
      <c r="Q375" s="143" t="s">
        <v>413</v>
      </c>
      <c r="R375" s="143" t="s">
        <v>407</v>
      </c>
      <c r="S375" s="143" t="s">
        <v>1210</v>
      </c>
      <c r="T375" s="144">
        <v>3.39</v>
      </c>
      <c r="U375" s="143" t="s">
        <v>1785</v>
      </c>
      <c r="V375" s="146">
        <v>4.7E-2</v>
      </c>
      <c r="W375" s="146">
        <v>5.5723000000000002E-2</v>
      </c>
      <c r="X375" s="143" t="s">
        <v>412</v>
      </c>
      <c r="Y375" s="145" t="s">
        <v>3853</v>
      </c>
      <c r="Z375" s="144">
        <v>8181000</v>
      </c>
      <c r="AA375" s="145" t="s">
        <v>3853</v>
      </c>
      <c r="AB375" s="143" t="s">
        <v>1786</v>
      </c>
      <c r="AC375" s="145" t="s">
        <v>3853</v>
      </c>
      <c r="AD375" s="144">
        <v>8078.7375000000002</v>
      </c>
      <c r="AE375" s="145" t="s">
        <v>3853</v>
      </c>
      <c r="AF375" s="145" t="s">
        <v>3853</v>
      </c>
      <c r="AG375" s="145" t="s">
        <v>3853</v>
      </c>
      <c r="AH375" s="146">
        <v>9.0990990990990998E-3</v>
      </c>
      <c r="AI375" s="146">
        <v>9.3189678656035724E-3</v>
      </c>
      <c r="AJ375" s="147">
        <v>1.0762987012322687E-3</v>
      </c>
      <c r="AK375" s="181"/>
    </row>
    <row r="376" spans="1:37" ht="15" x14ac:dyDescent="0.2">
      <c r="A376" s="142" t="s">
        <v>1218</v>
      </c>
      <c r="B376" s="143" t="s">
        <v>1218</v>
      </c>
      <c r="C376" s="143" t="s">
        <v>1424</v>
      </c>
      <c r="D376" s="143" t="s">
        <v>1425</v>
      </c>
      <c r="E376" s="143" t="s">
        <v>309</v>
      </c>
      <c r="F376" s="143" t="s">
        <v>1787</v>
      </c>
      <c r="G376" s="143" t="s">
        <v>1788</v>
      </c>
      <c r="H376" s="143" t="s">
        <v>321</v>
      </c>
      <c r="I376" s="143" t="s">
        <v>951</v>
      </c>
      <c r="J376" s="143" t="s">
        <v>204</v>
      </c>
      <c r="K376" s="143" t="s">
        <v>204</v>
      </c>
      <c r="L376" s="143" t="s">
        <v>325</v>
      </c>
      <c r="M376" s="143" t="s">
        <v>340</v>
      </c>
      <c r="N376" s="143" t="s">
        <v>445</v>
      </c>
      <c r="O376" s="143" t="s">
        <v>339</v>
      </c>
      <c r="P376" s="143" t="s">
        <v>1347</v>
      </c>
      <c r="Q376" s="143" t="s">
        <v>413</v>
      </c>
      <c r="R376" s="143" t="s">
        <v>407</v>
      </c>
      <c r="S376" s="143" t="s">
        <v>1210</v>
      </c>
      <c r="T376" s="144">
        <v>7.65</v>
      </c>
      <c r="U376" s="143" t="s">
        <v>1789</v>
      </c>
      <c r="V376" s="146">
        <v>6.0199999999999997E-2</v>
      </c>
      <c r="W376" s="146">
        <v>6.1143999999999997E-2</v>
      </c>
      <c r="X376" s="143" t="s">
        <v>412</v>
      </c>
      <c r="Y376" s="145" t="s">
        <v>3853</v>
      </c>
      <c r="Z376" s="144">
        <v>7497000</v>
      </c>
      <c r="AA376" s="145" t="s">
        <v>3853</v>
      </c>
      <c r="AB376" s="143" t="s">
        <v>1532</v>
      </c>
      <c r="AC376" s="145" t="s">
        <v>3853</v>
      </c>
      <c r="AD376" s="144">
        <v>7497</v>
      </c>
      <c r="AE376" s="145" t="s">
        <v>3853</v>
      </c>
      <c r="AF376" s="145" t="s">
        <v>3853</v>
      </c>
      <c r="AG376" s="145" t="s">
        <v>3853</v>
      </c>
      <c r="AH376" s="146">
        <v>1.4994E-2</v>
      </c>
      <c r="AI376" s="146">
        <v>8.647923278659566E-3</v>
      </c>
      <c r="AJ376" s="147">
        <v>9.9879608207821048E-4</v>
      </c>
      <c r="AK376" s="181"/>
    </row>
    <row r="377" spans="1:37" ht="15" x14ac:dyDescent="0.2">
      <c r="A377" s="142" t="s">
        <v>1218</v>
      </c>
      <c r="B377" s="143" t="s">
        <v>1218</v>
      </c>
      <c r="C377" s="143" t="s">
        <v>1501</v>
      </c>
      <c r="D377" s="143" t="s">
        <v>1502</v>
      </c>
      <c r="E377" s="143" t="s">
        <v>309</v>
      </c>
      <c r="F377" s="143" t="s">
        <v>1779</v>
      </c>
      <c r="G377" s="143" t="s">
        <v>1780</v>
      </c>
      <c r="H377" s="143" t="s">
        <v>321</v>
      </c>
      <c r="I377" s="143" t="s">
        <v>951</v>
      </c>
      <c r="J377" s="143" t="s">
        <v>204</v>
      </c>
      <c r="K377" s="143" t="s">
        <v>204</v>
      </c>
      <c r="L377" s="143" t="s">
        <v>325</v>
      </c>
      <c r="M377" s="143" t="s">
        <v>340</v>
      </c>
      <c r="N377" s="143" t="s">
        <v>464</v>
      </c>
      <c r="O377" s="143" t="s">
        <v>339</v>
      </c>
      <c r="P377" s="143" t="s">
        <v>1409</v>
      </c>
      <c r="Q377" s="143" t="s">
        <v>413</v>
      </c>
      <c r="R377" s="143" t="s">
        <v>407</v>
      </c>
      <c r="S377" s="143" t="s">
        <v>1210</v>
      </c>
      <c r="T377" s="144">
        <v>5.5</v>
      </c>
      <c r="U377" s="143" t="s">
        <v>1781</v>
      </c>
      <c r="V377" s="146">
        <v>2.4400000000000002E-2</v>
      </c>
      <c r="W377" s="146">
        <v>6.1372000000000003E-2</v>
      </c>
      <c r="X377" s="143" t="s">
        <v>412</v>
      </c>
      <c r="Y377" s="145" t="s">
        <v>3853</v>
      </c>
      <c r="Z377" s="144">
        <v>9000000</v>
      </c>
      <c r="AA377" s="145" t="s">
        <v>3853</v>
      </c>
      <c r="AB377" s="143" t="s">
        <v>1782</v>
      </c>
      <c r="AC377" s="145" t="s">
        <v>3853</v>
      </c>
      <c r="AD377" s="144">
        <v>7480.8</v>
      </c>
      <c r="AE377" s="145" t="s">
        <v>3853</v>
      </c>
      <c r="AF377" s="145" t="s">
        <v>3853</v>
      </c>
      <c r="AG377" s="145" t="s">
        <v>3853</v>
      </c>
      <c r="AH377" s="146">
        <v>7.4053473190174258E-3</v>
      </c>
      <c r="AI377" s="146">
        <v>8.6292362895820304E-3</v>
      </c>
      <c r="AJ377" s="147">
        <v>9.9663781923578477E-4</v>
      </c>
      <c r="AK377" s="181"/>
    </row>
    <row r="378" spans="1:37" ht="15" x14ac:dyDescent="0.2">
      <c r="A378" s="142" t="s">
        <v>1218</v>
      </c>
      <c r="B378" s="143" t="s">
        <v>1218</v>
      </c>
      <c r="C378" s="143" t="s">
        <v>1386</v>
      </c>
      <c r="D378" s="143" t="s">
        <v>1387</v>
      </c>
      <c r="E378" s="143" t="s">
        <v>309</v>
      </c>
      <c r="F378" s="143" t="s">
        <v>1677</v>
      </c>
      <c r="G378" s="143" t="s">
        <v>1678</v>
      </c>
      <c r="H378" s="143" t="s">
        <v>321</v>
      </c>
      <c r="I378" s="143" t="s">
        <v>951</v>
      </c>
      <c r="J378" s="143" t="s">
        <v>204</v>
      </c>
      <c r="K378" s="143" t="s">
        <v>204</v>
      </c>
      <c r="L378" s="143" t="s">
        <v>325</v>
      </c>
      <c r="M378" s="143" t="s">
        <v>340</v>
      </c>
      <c r="N378" s="143" t="s">
        <v>464</v>
      </c>
      <c r="O378" s="143" t="s">
        <v>339</v>
      </c>
      <c r="P378" s="143" t="s">
        <v>1359</v>
      </c>
      <c r="Q378" s="143" t="s">
        <v>415</v>
      </c>
      <c r="R378" s="143" t="s">
        <v>407</v>
      </c>
      <c r="S378" s="143" t="s">
        <v>1210</v>
      </c>
      <c r="T378" s="144">
        <v>1.56</v>
      </c>
      <c r="U378" s="143" t="s">
        <v>1390</v>
      </c>
      <c r="V378" s="146">
        <v>6.7400000000000002E-2</v>
      </c>
      <c r="W378" s="146">
        <v>6.4237000000000002E-2</v>
      </c>
      <c r="X378" s="143" t="s">
        <v>412</v>
      </c>
      <c r="Y378" s="145" t="s">
        <v>3853</v>
      </c>
      <c r="Z378" s="144">
        <v>6741989.25</v>
      </c>
      <c r="AA378" s="145" t="s">
        <v>3853</v>
      </c>
      <c r="AB378" s="143" t="s">
        <v>1679</v>
      </c>
      <c r="AC378" s="145" t="s">
        <v>3853</v>
      </c>
      <c r="AD378" s="144">
        <v>6830.9835000000003</v>
      </c>
      <c r="AE378" s="145" t="s">
        <v>3853</v>
      </c>
      <c r="AF378" s="145" t="s">
        <v>3853</v>
      </c>
      <c r="AG378" s="145" t="s">
        <v>3853</v>
      </c>
      <c r="AH378" s="146">
        <v>6.4237736505140947E-3</v>
      </c>
      <c r="AI378" s="146">
        <v>7.8796613706599399E-3</v>
      </c>
      <c r="AJ378" s="147">
        <v>9.1006530140471525E-4</v>
      </c>
      <c r="AK378" s="181"/>
    </row>
    <row r="379" spans="1:37" ht="15" x14ac:dyDescent="0.2">
      <c r="A379" s="142" t="s">
        <v>1218</v>
      </c>
      <c r="B379" s="143" t="s">
        <v>1218</v>
      </c>
      <c r="C379" s="143" t="s">
        <v>1672</v>
      </c>
      <c r="D379" s="143" t="s">
        <v>1673</v>
      </c>
      <c r="E379" s="143" t="s">
        <v>309</v>
      </c>
      <c r="F379" s="143" t="s">
        <v>1674</v>
      </c>
      <c r="G379" s="143" t="s">
        <v>1675</v>
      </c>
      <c r="H379" s="143" t="s">
        <v>321</v>
      </c>
      <c r="I379" s="143" t="s">
        <v>951</v>
      </c>
      <c r="J379" s="143" t="s">
        <v>204</v>
      </c>
      <c r="K379" s="143" t="s">
        <v>204</v>
      </c>
      <c r="L379" s="143" t="s">
        <v>325</v>
      </c>
      <c r="M379" s="143" t="s">
        <v>340</v>
      </c>
      <c r="N379" s="143" t="s">
        <v>447</v>
      </c>
      <c r="O379" s="143" t="s">
        <v>339</v>
      </c>
      <c r="P379" s="143" t="s">
        <v>1402</v>
      </c>
      <c r="Q379" s="143" t="s">
        <v>415</v>
      </c>
      <c r="R379" s="143" t="s">
        <v>407</v>
      </c>
      <c r="S379" s="143" t="s">
        <v>1210</v>
      </c>
      <c r="T379" s="144">
        <v>2.4900000000000002</v>
      </c>
      <c r="U379" s="143" t="s">
        <v>1428</v>
      </c>
      <c r="V379" s="146">
        <v>4.53E-2</v>
      </c>
      <c r="W379" s="146">
        <v>6.2630000000000005E-2</v>
      </c>
      <c r="X379" s="143" t="s">
        <v>412</v>
      </c>
      <c r="Y379" s="145" t="s">
        <v>3853</v>
      </c>
      <c r="Z379" s="144">
        <v>6987413</v>
      </c>
      <c r="AA379" s="145" t="s">
        <v>3853</v>
      </c>
      <c r="AB379" s="143" t="s">
        <v>1676</v>
      </c>
      <c r="AC379" s="145" t="s">
        <v>3853</v>
      </c>
      <c r="AD379" s="144">
        <v>6714.9039000000002</v>
      </c>
      <c r="AE379" s="145" t="s">
        <v>3853</v>
      </c>
      <c r="AF379" s="145" t="s">
        <v>3853</v>
      </c>
      <c r="AG379" s="145" t="s">
        <v>3853</v>
      </c>
      <c r="AH379" s="146">
        <v>9.9820185714285716E-3</v>
      </c>
      <c r="AI379" s="146">
        <v>7.7457614632835056E-3</v>
      </c>
      <c r="AJ379" s="147">
        <v>8.9460046683475039E-4</v>
      </c>
      <c r="AK379" s="181"/>
    </row>
    <row r="380" spans="1:37" ht="15" x14ac:dyDescent="0.2">
      <c r="A380" s="142" t="s">
        <v>1218</v>
      </c>
      <c r="B380" s="143" t="s">
        <v>1218</v>
      </c>
      <c r="C380" s="143" t="s">
        <v>1690</v>
      </c>
      <c r="D380" s="143" t="s">
        <v>1691</v>
      </c>
      <c r="E380" s="143" t="s">
        <v>309</v>
      </c>
      <c r="F380" s="143" t="s">
        <v>1799</v>
      </c>
      <c r="G380" s="143" t="s">
        <v>1800</v>
      </c>
      <c r="H380" s="143" t="s">
        <v>321</v>
      </c>
      <c r="I380" s="143" t="s">
        <v>951</v>
      </c>
      <c r="J380" s="143" t="s">
        <v>204</v>
      </c>
      <c r="K380" s="143" t="s">
        <v>204</v>
      </c>
      <c r="L380" s="143" t="s">
        <v>325</v>
      </c>
      <c r="M380" s="143" t="s">
        <v>340</v>
      </c>
      <c r="N380" s="143" t="s">
        <v>464</v>
      </c>
      <c r="O380" s="143" t="s">
        <v>339</v>
      </c>
      <c r="P380" s="143" t="s">
        <v>1440</v>
      </c>
      <c r="Q380" s="143" t="s">
        <v>415</v>
      </c>
      <c r="R380" s="143" t="s">
        <v>407</v>
      </c>
      <c r="S380" s="143" t="s">
        <v>1210</v>
      </c>
      <c r="T380" s="144">
        <v>5.55</v>
      </c>
      <c r="U380" s="143" t="s">
        <v>1801</v>
      </c>
      <c r="V380" s="146">
        <v>5.4800000000000001E-2</v>
      </c>
      <c r="W380" s="146">
        <v>6.3372999999999999E-2</v>
      </c>
      <c r="X380" s="143" t="s">
        <v>412</v>
      </c>
      <c r="Y380" s="145" t="s">
        <v>3853</v>
      </c>
      <c r="Z380" s="144">
        <v>6899000</v>
      </c>
      <c r="AA380" s="145" t="s">
        <v>3853</v>
      </c>
      <c r="AB380" s="143" t="s">
        <v>1802</v>
      </c>
      <c r="AC380" s="145" t="s">
        <v>3853</v>
      </c>
      <c r="AD380" s="144">
        <v>6621.6602000000003</v>
      </c>
      <c r="AE380" s="145" t="s">
        <v>3853</v>
      </c>
      <c r="AF380" s="145" t="s">
        <v>3853</v>
      </c>
      <c r="AG380" s="145" t="s">
        <v>3853</v>
      </c>
      <c r="AH380" s="146">
        <v>2.2996666666666665E-2</v>
      </c>
      <c r="AI380" s="146">
        <v>7.6382031995402902E-3</v>
      </c>
      <c r="AJ380" s="147">
        <v>8.8217797313768441E-4</v>
      </c>
      <c r="AK380" s="181"/>
    </row>
    <row r="381" spans="1:37" ht="15" x14ac:dyDescent="0.2">
      <c r="A381" s="142" t="s">
        <v>1218</v>
      </c>
      <c r="B381" s="143" t="s">
        <v>1218</v>
      </c>
      <c r="C381" s="143" t="s">
        <v>1430</v>
      </c>
      <c r="D381" s="143" t="s">
        <v>1431</v>
      </c>
      <c r="E381" s="143" t="s">
        <v>309</v>
      </c>
      <c r="F381" s="143" t="s">
        <v>1668</v>
      </c>
      <c r="G381" s="143" t="s">
        <v>1669</v>
      </c>
      <c r="H381" s="143" t="s">
        <v>321</v>
      </c>
      <c r="I381" s="143" t="s">
        <v>951</v>
      </c>
      <c r="J381" s="143" t="s">
        <v>204</v>
      </c>
      <c r="K381" s="143" t="s">
        <v>204</v>
      </c>
      <c r="L381" s="143" t="s">
        <v>325</v>
      </c>
      <c r="M381" s="143" t="s">
        <v>340</v>
      </c>
      <c r="N381" s="143" t="s">
        <v>484</v>
      </c>
      <c r="O381" s="143" t="s">
        <v>339</v>
      </c>
      <c r="P381" s="143" t="s">
        <v>1396</v>
      </c>
      <c r="Q381" s="143" t="s">
        <v>413</v>
      </c>
      <c r="R381" s="143" t="s">
        <v>407</v>
      </c>
      <c r="S381" s="143" t="s">
        <v>1210</v>
      </c>
      <c r="T381" s="144">
        <v>3.49</v>
      </c>
      <c r="U381" s="143" t="s">
        <v>1670</v>
      </c>
      <c r="V381" s="146">
        <v>4.7300000000000002E-2</v>
      </c>
      <c r="W381" s="146">
        <v>5.6944000000000002E-2</v>
      </c>
      <c r="X381" s="143" t="s">
        <v>412</v>
      </c>
      <c r="Y381" s="145" t="s">
        <v>3853</v>
      </c>
      <c r="Z381" s="144">
        <v>6600000</v>
      </c>
      <c r="AA381" s="145" t="s">
        <v>3853</v>
      </c>
      <c r="AB381" s="143" t="s">
        <v>1671</v>
      </c>
      <c r="AC381" s="144">
        <v>156.09</v>
      </c>
      <c r="AD381" s="144">
        <v>6555.45</v>
      </c>
      <c r="AE381" s="145" t="s">
        <v>3853</v>
      </c>
      <c r="AF381" s="145" t="s">
        <v>3853</v>
      </c>
      <c r="AG381" s="145" t="s">
        <v>3853</v>
      </c>
      <c r="AH381" s="146">
        <v>1.6712457111023891E-2</v>
      </c>
      <c r="AI381" s="146">
        <v>7.7418811526817153E-3</v>
      </c>
      <c r="AJ381" s="147">
        <v>8.9415230848488645E-4</v>
      </c>
      <c r="AK381" s="181"/>
    </row>
    <row r="382" spans="1:37" ht="15" x14ac:dyDescent="0.2">
      <c r="A382" s="142" t="s">
        <v>1218</v>
      </c>
      <c r="B382" s="143" t="s">
        <v>1218</v>
      </c>
      <c r="C382" s="143" t="s">
        <v>1349</v>
      </c>
      <c r="D382" s="143" t="s">
        <v>1350</v>
      </c>
      <c r="E382" s="143" t="s">
        <v>309</v>
      </c>
      <c r="F382" s="143" t="s">
        <v>1790</v>
      </c>
      <c r="G382" s="143" t="s">
        <v>1791</v>
      </c>
      <c r="H382" s="143" t="s">
        <v>321</v>
      </c>
      <c r="I382" s="143" t="s">
        <v>951</v>
      </c>
      <c r="J382" s="143" t="s">
        <v>204</v>
      </c>
      <c r="K382" s="143" t="s">
        <v>204</v>
      </c>
      <c r="L382" s="143" t="s">
        <v>325</v>
      </c>
      <c r="M382" s="143" t="s">
        <v>340</v>
      </c>
      <c r="N382" s="143" t="s">
        <v>448</v>
      </c>
      <c r="O382" s="143" t="s">
        <v>339</v>
      </c>
      <c r="P382" s="143" t="s">
        <v>1222</v>
      </c>
      <c r="Q382" s="143" t="s">
        <v>413</v>
      </c>
      <c r="R382" s="143" t="s">
        <v>407</v>
      </c>
      <c r="S382" s="143" t="s">
        <v>1210</v>
      </c>
      <c r="T382" s="144">
        <v>3.49</v>
      </c>
      <c r="U382" s="143" t="s">
        <v>1792</v>
      </c>
      <c r="V382" s="146">
        <v>2.7400000000000001E-2</v>
      </c>
      <c r="W382" s="146">
        <v>5.0221000000000002E-2</v>
      </c>
      <c r="X382" s="143" t="s">
        <v>412</v>
      </c>
      <c r="Y382" s="145" t="s">
        <v>3853</v>
      </c>
      <c r="Z382" s="144">
        <v>7000200.2999999998</v>
      </c>
      <c r="AA382" s="145" t="s">
        <v>3853</v>
      </c>
      <c r="AB382" s="143" t="s">
        <v>1793</v>
      </c>
      <c r="AC382" s="145" t="s">
        <v>3853</v>
      </c>
      <c r="AD382" s="144">
        <v>6516.4865</v>
      </c>
      <c r="AE382" s="145" t="s">
        <v>3853</v>
      </c>
      <c r="AF382" s="145" t="s">
        <v>3853</v>
      </c>
      <c r="AG382" s="145" t="s">
        <v>3853</v>
      </c>
      <c r="AH382" s="146">
        <v>4.6728610035245135E-3</v>
      </c>
      <c r="AI382" s="146">
        <v>7.5168834128572608E-3</v>
      </c>
      <c r="AJ382" s="147">
        <v>8.6816608569222184E-4</v>
      </c>
      <c r="AK382" s="181"/>
    </row>
    <row r="383" spans="1:37" ht="15" x14ac:dyDescent="0.2">
      <c r="A383" s="142" t="s">
        <v>1218</v>
      </c>
      <c r="B383" s="143" t="s">
        <v>1218</v>
      </c>
      <c r="C383" s="143" t="s">
        <v>1362</v>
      </c>
      <c r="D383" s="143" t="s">
        <v>1363</v>
      </c>
      <c r="E383" s="143" t="s">
        <v>309</v>
      </c>
      <c r="F383" s="143" t="s">
        <v>1364</v>
      </c>
      <c r="G383" s="143" t="s">
        <v>1365</v>
      </c>
      <c r="H383" s="143" t="s">
        <v>321</v>
      </c>
      <c r="I383" s="143" t="s">
        <v>951</v>
      </c>
      <c r="J383" s="143" t="s">
        <v>204</v>
      </c>
      <c r="K383" s="143" t="s">
        <v>204</v>
      </c>
      <c r="L383" s="143" t="s">
        <v>325</v>
      </c>
      <c r="M383" s="143" t="s">
        <v>340</v>
      </c>
      <c r="N383" s="143" t="s">
        <v>440</v>
      </c>
      <c r="O383" s="143" t="s">
        <v>339</v>
      </c>
      <c r="P383" s="143" t="s">
        <v>1366</v>
      </c>
      <c r="Q383" s="143" t="s">
        <v>413</v>
      </c>
      <c r="R383" s="143" t="s">
        <v>407</v>
      </c>
      <c r="S383" s="143" t="s">
        <v>1210</v>
      </c>
      <c r="T383" s="144">
        <v>3.26</v>
      </c>
      <c r="U383" s="143" t="s">
        <v>1367</v>
      </c>
      <c r="V383" s="146">
        <v>2.5000000000000001E-2</v>
      </c>
      <c r="W383" s="146">
        <v>5.9434000000000001E-2</v>
      </c>
      <c r="X383" s="143" t="s">
        <v>412</v>
      </c>
      <c r="Y383" s="145" t="s">
        <v>3853</v>
      </c>
      <c r="Z383" s="144">
        <v>6644300</v>
      </c>
      <c r="AA383" s="145" t="s">
        <v>3853</v>
      </c>
      <c r="AB383" s="143" t="s">
        <v>1368</v>
      </c>
      <c r="AC383" s="145" t="s">
        <v>3853</v>
      </c>
      <c r="AD383" s="144">
        <v>6005.1183000000001</v>
      </c>
      <c r="AE383" s="145" t="s">
        <v>3853</v>
      </c>
      <c r="AF383" s="145" t="s">
        <v>3853</v>
      </c>
      <c r="AG383" s="145" t="s">
        <v>3853</v>
      </c>
      <c r="AH383" s="146">
        <v>8.220817215524345E-3</v>
      </c>
      <c r="AI383" s="146">
        <v>6.9270111622771096E-3</v>
      </c>
      <c r="AJ383" s="147">
        <v>8.0003850478965017E-4</v>
      </c>
      <c r="AK383" s="181"/>
    </row>
    <row r="384" spans="1:37" ht="15" x14ac:dyDescent="0.2">
      <c r="A384" s="142" t="s">
        <v>1218</v>
      </c>
      <c r="B384" s="143" t="s">
        <v>1218</v>
      </c>
      <c r="C384" s="143" t="s">
        <v>1451</v>
      </c>
      <c r="D384" s="143" t="s">
        <v>1452</v>
      </c>
      <c r="E384" s="143" t="s">
        <v>309</v>
      </c>
      <c r="F384" s="143" t="s">
        <v>1453</v>
      </c>
      <c r="G384" s="143" t="s">
        <v>1454</v>
      </c>
      <c r="H384" s="143" t="s">
        <v>321</v>
      </c>
      <c r="I384" s="143" t="s">
        <v>951</v>
      </c>
      <c r="J384" s="143" t="s">
        <v>204</v>
      </c>
      <c r="K384" s="143" t="s">
        <v>204</v>
      </c>
      <c r="L384" s="143" t="s">
        <v>325</v>
      </c>
      <c r="M384" s="143" t="s">
        <v>340</v>
      </c>
      <c r="N384" s="143" t="s">
        <v>464</v>
      </c>
      <c r="O384" s="143" t="s">
        <v>339</v>
      </c>
      <c r="P384" s="143" t="s">
        <v>1409</v>
      </c>
      <c r="Q384" s="143" t="s">
        <v>413</v>
      </c>
      <c r="R384" s="143" t="s">
        <v>407</v>
      </c>
      <c r="S384" s="143" t="s">
        <v>1210</v>
      </c>
      <c r="T384" s="144">
        <v>5.38</v>
      </c>
      <c r="U384" s="143" t="s">
        <v>1455</v>
      </c>
      <c r="V384" s="146">
        <v>2.5499999999999998E-2</v>
      </c>
      <c r="W384" s="146">
        <v>6.1415999999999998E-2</v>
      </c>
      <c r="X384" s="143" t="s">
        <v>412</v>
      </c>
      <c r="Y384" s="145" t="s">
        <v>3853</v>
      </c>
      <c r="Z384" s="144">
        <v>7103593.9100000001</v>
      </c>
      <c r="AA384" s="145" t="s">
        <v>3853</v>
      </c>
      <c r="AB384" s="143" t="s">
        <v>1456</v>
      </c>
      <c r="AC384" s="145" t="s">
        <v>3853</v>
      </c>
      <c r="AD384" s="144">
        <v>5883.1965</v>
      </c>
      <c r="AE384" s="145" t="s">
        <v>3853</v>
      </c>
      <c r="AF384" s="145" t="s">
        <v>3853</v>
      </c>
      <c r="AG384" s="145" t="s">
        <v>3853</v>
      </c>
      <c r="AH384" s="146">
        <v>4.0968520095174092E-3</v>
      </c>
      <c r="AI384" s="146">
        <v>6.7863721168459493E-3</v>
      </c>
      <c r="AJ384" s="147">
        <v>7.8379533021032675E-4</v>
      </c>
      <c r="AK384" s="181"/>
    </row>
    <row r="385" spans="1:37" ht="15" x14ac:dyDescent="0.2">
      <c r="A385" s="142" t="s">
        <v>1218</v>
      </c>
      <c r="B385" s="143" t="s">
        <v>1218</v>
      </c>
      <c r="C385" s="143" t="s">
        <v>1807</v>
      </c>
      <c r="D385" s="143" t="s">
        <v>1808</v>
      </c>
      <c r="E385" s="143" t="s">
        <v>309</v>
      </c>
      <c r="F385" s="143" t="s">
        <v>1809</v>
      </c>
      <c r="G385" s="143" t="s">
        <v>1810</v>
      </c>
      <c r="H385" s="143" t="s">
        <v>321</v>
      </c>
      <c r="I385" s="143" t="s">
        <v>951</v>
      </c>
      <c r="J385" s="143" t="s">
        <v>204</v>
      </c>
      <c r="K385" s="143" t="s">
        <v>204</v>
      </c>
      <c r="L385" s="143" t="s">
        <v>325</v>
      </c>
      <c r="M385" s="143" t="s">
        <v>340</v>
      </c>
      <c r="N385" s="143" t="s">
        <v>464</v>
      </c>
      <c r="O385" s="143" t="s">
        <v>339</v>
      </c>
      <c r="P385" s="143" t="s">
        <v>1757</v>
      </c>
      <c r="Q385" s="143" t="s">
        <v>413</v>
      </c>
      <c r="R385" s="143" t="s">
        <v>407</v>
      </c>
      <c r="S385" s="143" t="s">
        <v>1210</v>
      </c>
      <c r="T385" s="144">
        <v>2.4900000000000002</v>
      </c>
      <c r="U385" s="143" t="s">
        <v>1811</v>
      </c>
      <c r="V385" s="146">
        <v>5.0125999999999997E-2</v>
      </c>
      <c r="W385" s="146">
        <v>5.7846000000000002E-2</v>
      </c>
      <c r="X385" s="143" t="s">
        <v>412</v>
      </c>
      <c r="Y385" s="145" t="s">
        <v>3853</v>
      </c>
      <c r="Z385" s="144">
        <v>5826857.4299999997</v>
      </c>
      <c r="AA385" s="145" t="s">
        <v>3853</v>
      </c>
      <c r="AB385" s="143" t="s">
        <v>1812</v>
      </c>
      <c r="AC385" s="145" t="s">
        <v>3853</v>
      </c>
      <c r="AD385" s="144">
        <v>5846.0860999999995</v>
      </c>
      <c r="AE385" s="145" t="s">
        <v>3853</v>
      </c>
      <c r="AF385" s="145" t="s">
        <v>3853</v>
      </c>
      <c r="AG385" s="145" t="s">
        <v>3853</v>
      </c>
      <c r="AH385" s="146">
        <v>1.2838574639832815E-2</v>
      </c>
      <c r="AI385" s="146">
        <v>6.743564588923774E-3</v>
      </c>
      <c r="AJ385" s="147">
        <v>7.7885125406690966E-4</v>
      </c>
      <c r="AK385" s="181"/>
    </row>
    <row r="386" spans="1:37" ht="15" x14ac:dyDescent="0.2">
      <c r="A386" s="142" t="s">
        <v>1218</v>
      </c>
      <c r="B386" s="143" t="s">
        <v>1218</v>
      </c>
      <c r="C386" s="143" t="s">
        <v>1412</v>
      </c>
      <c r="D386" s="143" t="s">
        <v>1413</v>
      </c>
      <c r="E386" s="143" t="s">
        <v>309</v>
      </c>
      <c r="F386" s="143" t="s">
        <v>1813</v>
      </c>
      <c r="G386" s="143" t="s">
        <v>1814</v>
      </c>
      <c r="H386" s="143" t="s">
        <v>321</v>
      </c>
      <c r="I386" s="143" t="s">
        <v>951</v>
      </c>
      <c r="J386" s="143" t="s">
        <v>204</v>
      </c>
      <c r="K386" s="143" t="s">
        <v>204</v>
      </c>
      <c r="L386" s="143" t="s">
        <v>325</v>
      </c>
      <c r="M386" s="143" t="s">
        <v>340</v>
      </c>
      <c r="N386" s="143" t="s">
        <v>451</v>
      </c>
      <c r="O386" s="143" t="s">
        <v>339</v>
      </c>
      <c r="P386" s="143" t="s">
        <v>1396</v>
      </c>
      <c r="Q386" s="143" t="s">
        <v>413</v>
      </c>
      <c r="R386" s="143" t="s">
        <v>407</v>
      </c>
      <c r="S386" s="143" t="s">
        <v>1210</v>
      </c>
      <c r="T386" s="144">
        <v>5.05</v>
      </c>
      <c r="U386" s="143" t="s">
        <v>1815</v>
      </c>
      <c r="V386" s="146">
        <v>2.07E-2</v>
      </c>
      <c r="W386" s="146">
        <v>5.9485999999999997E-2</v>
      </c>
      <c r="X386" s="143" t="s">
        <v>412</v>
      </c>
      <c r="Y386" s="145" t="s">
        <v>3853</v>
      </c>
      <c r="Z386" s="144">
        <v>7098000</v>
      </c>
      <c r="AA386" s="145" t="s">
        <v>3853</v>
      </c>
      <c r="AB386" s="143" t="s">
        <v>1816</v>
      </c>
      <c r="AC386" s="145" t="s">
        <v>3853</v>
      </c>
      <c r="AD386" s="144">
        <v>5844.4931999999999</v>
      </c>
      <c r="AE386" s="145" t="s">
        <v>3853</v>
      </c>
      <c r="AF386" s="145" t="s">
        <v>3853</v>
      </c>
      <c r="AG386" s="145" t="s">
        <v>3853</v>
      </c>
      <c r="AH386" s="146">
        <v>1.7282688093498904E-2</v>
      </c>
      <c r="AI386" s="146">
        <v>6.7417271970451565E-3</v>
      </c>
      <c r="AJ386" s="147">
        <v>7.7863904360314044E-4</v>
      </c>
      <c r="AK386" s="181"/>
    </row>
    <row r="387" spans="1:37" ht="15" x14ac:dyDescent="0.2">
      <c r="A387" s="142" t="s">
        <v>1218</v>
      </c>
      <c r="B387" s="143" t="s">
        <v>1218</v>
      </c>
      <c r="C387" s="143" t="s">
        <v>1343</v>
      </c>
      <c r="D387" s="143" t="s">
        <v>1344</v>
      </c>
      <c r="E387" s="143" t="s">
        <v>309</v>
      </c>
      <c r="F387" s="143" t="s">
        <v>1369</v>
      </c>
      <c r="G387" s="143" t="s">
        <v>1370</v>
      </c>
      <c r="H387" s="143" t="s">
        <v>321</v>
      </c>
      <c r="I387" s="143" t="s">
        <v>951</v>
      </c>
      <c r="J387" s="143" t="s">
        <v>204</v>
      </c>
      <c r="K387" s="143" t="s">
        <v>204</v>
      </c>
      <c r="L387" s="143" t="s">
        <v>325</v>
      </c>
      <c r="M387" s="143" t="s">
        <v>340</v>
      </c>
      <c r="N387" s="143" t="s">
        <v>445</v>
      </c>
      <c r="O387" s="143" t="s">
        <v>339</v>
      </c>
      <c r="P387" s="143" t="s">
        <v>1347</v>
      </c>
      <c r="Q387" s="143" t="s">
        <v>413</v>
      </c>
      <c r="R387" s="143" t="s">
        <v>407</v>
      </c>
      <c r="S387" s="143" t="s">
        <v>1210</v>
      </c>
      <c r="T387" s="144">
        <v>7.66</v>
      </c>
      <c r="U387" s="143" t="s">
        <v>1371</v>
      </c>
      <c r="V387" s="146">
        <v>5.3100000000000001E-2</v>
      </c>
      <c r="W387" s="146">
        <v>6.3355999999999996E-2</v>
      </c>
      <c r="X387" s="143" t="s">
        <v>412</v>
      </c>
      <c r="Y387" s="145" t="s">
        <v>3853</v>
      </c>
      <c r="Z387" s="144">
        <v>6012771.21</v>
      </c>
      <c r="AA387" s="145" t="s">
        <v>3853</v>
      </c>
      <c r="AB387" s="143" t="s">
        <v>1372</v>
      </c>
      <c r="AC387" s="145" t="s">
        <v>3853</v>
      </c>
      <c r="AD387" s="144">
        <v>5731.9748</v>
      </c>
      <c r="AE387" s="145" t="s">
        <v>3853</v>
      </c>
      <c r="AF387" s="145" t="s">
        <v>3853</v>
      </c>
      <c r="AG387" s="145" t="s">
        <v>3853</v>
      </c>
      <c r="AH387" s="146">
        <v>4.7218957031921575E-3</v>
      </c>
      <c r="AI387" s="146">
        <v>6.6119352084815118E-3</v>
      </c>
      <c r="AJ387" s="147">
        <v>7.6364865510346336E-4</v>
      </c>
      <c r="AK387" s="181"/>
    </row>
    <row r="388" spans="1:37" ht="15" x14ac:dyDescent="0.2">
      <c r="A388" s="142" t="s">
        <v>1218</v>
      </c>
      <c r="B388" s="143" t="s">
        <v>1218</v>
      </c>
      <c r="C388" s="143" t="s">
        <v>1373</v>
      </c>
      <c r="D388" s="143" t="s">
        <v>1374</v>
      </c>
      <c r="E388" s="143" t="s">
        <v>309</v>
      </c>
      <c r="F388" s="143" t="s">
        <v>1821</v>
      </c>
      <c r="G388" s="143" t="s">
        <v>1822</v>
      </c>
      <c r="H388" s="143" t="s">
        <v>321</v>
      </c>
      <c r="I388" s="143" t="s">
        <v>951</v>
      </c>
      <c r="J388" s="143" t="s">
        <v>204</v>
      </c>
      <c r="K388" s="143" t="s">
        <v>204</v>
      </c>
      <c r="L388" s="143" t="s">
        <v>325</v>
      </c>
      <c r="M388" s="143" t="s">
        <v>340</v>
      </c>
      <c r="N388" s="143" t="s">
        <v>484</v>
      </c>
      <c r="O388" s="143" t="s">
        <v>339</v>
      </c>
      <c r="P388" s="143" t="s">
        <v>1377</v>
      </c>
      <c r="Q388" s="143" t="s">
        <v>415</v>
      </c>
      <c r="R388" s="143" t="s">
        <v>407</v>
      </c>
      <c r="S388" s="143" t="s">
        <v>1210</v>
      </c>
      <c r="T388" s="144">
        <v>8.09</v>
      </c>
      <c r="U388" s="143" t="s">
        <v>1823</v>
      </c>
      <c r="V388" s="146">
        <v>2.7900000000000001E-2</v>
      </c>
      <c r="W388" s="146">
        <v>5.8882999999999998E-2</v>
      </c>
      <c r="X388" s="143" t="s">
        <v>412</v>
      </c>
      <c r="Y388" s="145" t="s">
        <v>3853</v>
      </c>
      <c r="Z388" s="144">
        <v>7100000</v>
      </c>
      <c r="AA388" s="145" t="s">
        <v>3853</v>
      </c>
      <c r="AB388" s="143" t="s">
        <v>1824</v>
      </c>
      <c r="AC388" s="145" t="s">
        <v>3853</v>
      </c>
      <c r="AD388" s="144">
        <v>5586.28</v>
      </c>
      <c r="AE388" s="145" t="s">
        <v>3853</v>
      </c>
      <c r="AF388" s="145" t="s">
        <v>3853</v>
      </c>
      <c r="AG388" s="145" t="s">
        <v>3853</v>
      </c>
      <c r="AH388" s="146">
        <v>8.2351017151049161E-3</v>
      </c>
      <c r="AI388" s="146">
        <v>6.4438736632133333E-3</v>
      </c>
      <c r="AJ388" s="147">
        <v>7.4423830564117192E-4</v>
      </c>
      <c r="AK388" s="181"/>
    </row>
    <row r="389" spans="1:37" ht="15" x14ac:dyDescent="0.2">
      <c r="A389" s="142" t="s">
        <v>1218</v>
      </c>
      <c r="B389" s="143" t="s">
        <v>1218</v>
      </c>
      <c r="C389" s="143" t="s">
        <v>1412</v>
      </c>
      <c r="D389" s="143" t="s">
        <v>1413</v>
      </c>
      <c r="E389" s="143" t="s">
        <v>309</v>
      </c>
      <c r="F389" s="143" t="s">
        <v>1817</v>
      </c>
      <c r="G389" s="143" t="s">
        <v>1818</v>
      </c>
      <c r="H389" s="143" t="s">
        <v>321</v>
      </c>
      <c r="I389" s="143" t="s">
        <v>951</v>
      </c>
      <c r="J389" s="143" t="s">
        <v>204</v>
      </c>
      <c r="K389" s="143" t="s">
        <v>204</v>
      </c>
      <c r="L389" s="143" t="s">
        <v>325</v>
      </c>
      <c r="M389" s="143" t="s">
        <v>340</v>
      </c>
      <c r="N389" s="143" t="s">
        <v>451</v>
      </c>
      <c r="O389" s="143" t="s">
        <v>339</v>
      </c>
      <c r="P389" s="143" t="s">
        <v>1396</v>
      </c>
      <c r="Q389" s="143" t="s">
        <v>413</v>
      </c>
      <c r="R389" s="143" t="s">
        <v>407</v>
      </c>
      <c r="S389" s="143" t="s">
        <v>1210</v>
      </c>
      <c r="T389" s="144">
        <v>3.13</v>
      </c>
      <c r="U389" s="143" t="s">
        <v>1819</v>
      </c>
      <c r="V389" s="146">
        <v>0.04</v>
      </c>
      <c r="W389" s="146">
        <v>5.6988999999999998E-2</v>
      </c>
      <c r="X389" s="143" t="s">
        <v>412</v>
      </c>
      <c r="Y389" s="145" t="s">
        <v>3853</v>
      </c>
      <c r="Z389" s="144">
        <v>5687500.6500000004</v>
      </c>
      <c r="AA389" s="145" t="s">
        <v>3853</v>
      </c>
      <c r="AB389" s="143" t="s">
        <v>1820</v>
      </c>
      <c r="AC389" s="145" t="s">
        <v>3853</v>
      </c>
      <c r="AD389" s="144">
        <v>5512.3255999999992</v>
      </c>
      <c r="AE389" s="145" t="s">
        <v>3853</v>
      </c>
      <c r="AF389" s="145" t="s">
        <v>3853</v>
      </c>
      <c r="AG389" s="145" t="s">
        <v>3853</v>
      </c>
      <c r="AH389" s="146">
        <v>8.3950803910518481E-3</v>
      </c>
      <c r="AI389" s="146">
        <v>6.358565977731866E-3</v>
      </c>
      <c r="AJ389" s="147">
        <v>7.3438565324307427E-4</v>
      </c>
      <c r="AK389" s="181"/>
    </row>
    <row r="390" spans="1:37" ht="15" x14ac:dyDescent="0.2">
      <c r="A390" s="142" t="s">
        <v>1218</v>
      </c>
      <c r="B390" s="143" t="s">
        <v>1218</v>
      </c>
      <c r="C390" s="143" t="s">
        <v>1424</v>
      </c>
      <c r="D390" s="143" t="s">
        <v>1425</v>
      </c>
      <c r="E390" s="143" t="s">
        <v>309</v>
      </c>
      <c r="F390" s="143" t="s">
        <v>1426</v>
      </c>
      <c r="G390" s="143" t="s">
        <v>1427</v>
      </c>
      <c r="H390" s="143" t="s">
        <v>321</v>
      </c>
      <c r="I390" s="143" t="s">
        <v>951</v>
      </c>
      <c r="J390" s="143" t="s">
        <v>204</v>
      </c>
      <c r="K390" s="143" t="s">
        <v>204</v>
      </c>
      <c r="L390" s="143" t="s">
        <v>325</v>
      </c>
      <c r="M390" s="143" t="s">
        <v>340</v>
      </c>
      <c r="N390" s="143" t="s">
        <v>445</v>
      </c>
      <c r="O390" s="143" t="s">
        <v>339</v>
      </c>
      <c r="P390" s="143" t="s">
        <v>1359</v>
      </c>
      <c r="Q390" s="143" t="s">
        <v>415</v>
      </c>
      <c r="R390" s="143" t="s">
        <v>407</v>
      </c>
      <c r="S390" s="143" t="s">
        <v>1210</v>
      </c>
      <c r="T390" s="144">
        <v>3.28</v>
      </c>
      <c r="U390" s="143" t="s">
        <v>1428</v>
      </c>
      <c r="V390" s="146">
        <v>4.36E-2</v>
      </c>
      <c r="W390" s="146">
        <v>5.1854999999999998E-2</v>
      </c>
      <c r="X390" s="143" t="s">
        <v>412</v>
      </c>
      <c r="Y390" s="145" t="s">
        <v>3853</v>
      </c>
      <c r="Z390" s="144">
        <v>5583000</v>
      </c>
      <c r="AA390" s="145" t="s">
        <v>3853</v>
      </c>
      <c r="AB390" s="143" t="s">
        <v>1429</v>
      </c>
      <c r="AC390" s="145" t="s">
        <v>3853</v>
      </c>
      <c r="AD390" s="144">
        <v>5449.0079999999998</v>
      </c>
      <c r="AE390" s="145" t="s">
        <v>3853</v>
      </c>
      <c r="AF390" s="145" t="s">
        <v>3853</v>
      </c>
      <c r="AG390" s="145" t="s">
        <v>3853</v>
      </c>
      <c r="AH390" s="146">
        <v>1.8610000000000002E-2</v>
      </c>
      <c r="AI390" s="146">
        <v>6.2855279616916369E-3</v>
      </c>
      <c r="AJ390" s="147">
        <v>7.259500922519442E-4</v>
      </c>
      <c r="AK390" s="181"/>
    </row>
    <row r="391" spans="1:37" ht="15" x14ac:dyDescent="0.2">
      <c r="A391" s="142" t="s">
        <v>1218</v>
      </c>
      <c r="B391" s="143" t="s">
        <v>1218</v>
      </c>
      <c r="C391" s="143" t="s">
        <v>1831</v>
      </c>
      <c r="D391" s="143" t="s">
        <v>1832</v>
      </c>
      <c r="E391" s="143" t="s">
        <v>309</v>
      </c>
      <c r="F391" s="143" t="s">
        <v>1833</v>
      </c>
      <c r="G391" s="143" t="s">
        <v>1834</v>
      </c>
      <c r="H391" s="143" t="s">
        <v>321</v>
      </c>
      <c r="I391" s="143" t="s">
        <v>951</v>
      </c>
      <c r="J391" s="143" t="s">
        <v>204</v>
      </c>
      <c r="K391" s="143" t="s">
        <v>204</v>
      </c>
      <c r="L391" s="143" t="s">
        <v>325</v>
      </c>
      <c r="M391" s="143" t="s">
        <v>340</v>
      </c>
      <c r="N391" s="143" t="s">
        <v>454</v>
      </c>
      <c r="O391" s="143" t="s">
        <v>339</v>
      </c>
      <c r="P391" s="143" t="s">
        <v>1366</v>
      </c>
      <c r="Q391" s="143" t="s">
        <v>413</v>
      </c>
      <c r="R391" s="143" t="s">
        <v>407</v>
      </c>
      <c r="S391" s="143" t="s">
        <v>1210</v>
      </c>
      <c r="T391" s="144">
        <v>3.87</v>
      </c>
      <c r="U391" s="143" t="s">
        <v>1835</v>
      </c>
      <c r="V391" s="146">
        <v>6.7000000000000004E-2</v>
      </c>
      <c r="W391" s="146">
        <v>6.6008999999999998E-2</v>
      </c>
      <c r="X391" s="143" t="s">
        <v>412</v>
      </c>
      <c r="Y391" s="145" t="s">
        <v>3853</v>
      </c>
      <c r="Z391" s="144">
        <v>5204000</v>
      </c>
      <c r="AA391" s="145" t="s">
        <v>3853</v>
      </c>
      <c r="AB391" s="143" t="s">
        <v>1836</v>
      </c>
      <c r="AC391" s="145" t="s">
        <v>3853</v>
      </c>
      <c r="AD391" s="144">
        <v>5350.2324000000008</v>
      </c>
      <c r="AE391" s="145" t="s">
        <v>3853</v>
      </c>
      <c r="AF391" s="145" t="s">
        <v>3853</v>
      </c>
      <c r="AG391" s="145" t="s">
        <v>3853</v>
      </c>
      <c r="AH391" s="146">
        <v>5.7186813186813189E-3</v>
      </c>
      <c r="AI391" s="146">
        <v>6.1715885445109558E-3</v>
      </c>
      <c r="AJ391" s="147">
        <v>7.1279060415204766E-4</v>
      </c>
      <c r="AK391" s="181"/>
    </row>
    <row r="392" spans="1:37" ht="15" x14ac:dyDescent="0.2">
      <c r="A392" s="142" t="s">
        <v>1218</v>
      </c>
      <c r="B392" s="143" t="s">
        <v>1218</v>
      </c>
      <c r="C392" s="143" t="s">
        <v>1685</v>
      </c>
      <c r="D392" s="143" t="s">
        <v>1686</v>
      </c>
      <c r="E392" s="143" t="s">
        <v>309</v>
      </c>
      <c r="F392" s="143" t="s">
        <v>1687</v>
      </c>
      <c r="G392" s="143" t="s">
        <v>1688</v>
      </c>
      <c r="H392" s="143" t="s">
        <v>321</v>
      </c>
      <c r="I392" s="143" t="s">
        <v>951</v>
      </c>
      <c r="J392" s="143" t="s">
        <v>204</v>
      </c>
      <c r="K392" s="143" t="s">
        <v>204</v>
      </c>
      <c r="L392" s="143" t="s">
        <v>325</v>
      </c>
      <c r="M392" s="143" t="s">
        <v>340</v>
      </c>
      <c r="N392" s="143" t="s">
        <v>445</v>
      </c>
      <c r="O392" s="143" t="s">
        <v>339</v>
      </c>
      <c r="P392" s="143" t="s">
        <v>1359</v>
      </c>
      <c r="Q392" s="143" t="s">
        <v>415</v>
      </c>
      <c r="R392" s="143" t="s">
        <v>407</v>
      </c>
      <c r="S392" s="143" t="s">
        <v>1210</v>
      </c>
      <c r="T392" s="144">
        <v>2.2000000000000002</v>
      </c>
      <c r="U392" s="143" t="s">
        <v>1422</v>
      </c>
      <c r="V392" s="146">
        <v>1.84E-2</v>
      </c>
      <c r="W392" s="146">
        <v>4.8425999999999997E-2</v>
      </c>
      <c r="X392" s="143" t="s">
        <v>412</v>
      </c>
      <c r="Y392" s="145" t="s">
        <v>3853</v>
      </c>
      <c r="Z392" s="144">
        <v>5529000</v>
      </c>
      <c r="AA392" s="145" t="s">
        <v>3853</v>
      </c>
      <c r="AB392" s="143" t="s">
        <v>1689</v>
      </c>
      <c r="AC392" s="145" t="s">
        <v>3853</v>
      </c>
      <c r="AD392" s="144">
        <v>5211.6354000000001</v>
      </c>
      <c r="AE392" s="145" t="s">
        <v>3853</v>
      </c>
      <c r="AF392" s="145" t="s">
        <v>3853</v>
      </c>
      <c r="AG392" s="145" t="s">
        <v>3853</v>
      </c>
      <c r="AH392" s="146">
        <v>1.8429999999999998E-2</v>
      </c>
      <c r="AI392" s="146">
        <v>6.0117144318455728E-3</v>
      </c>
      <c r="AJ392" s="147">
        <v>6.9432586617848579E-4</v>
      </c>
      <c r="AK392" s="181"/>
    </row>
    <row r="393" spans="1:37" ht="15" x14ac:dyDescent="0.2">
      <c r="A393" s="142" t="s">
        <v>1218</v>
      </c>
      <c r="B393" s="143" t="s">
        <v>1218</v>
      </c>
      <c r="C393" s="143" t="s">
        <v>1386</v>
      </c>
      <c r="D393" s="143" t="s">
        <v>1387</v>
      </c>
      <c r="E393" s="143" t="s">
        <v>309</v>
      </c>
      <c r="F393" s="143" t="s">
        <v>1837</v>
      </c>
      <c r="G393" s="143" t="s">
        <v>1838</v>
      </c>
      <c r="H393" s="143" t="s">
        <v>321</v>
      </c>
      <c r="I393" s="143" t="s">
        <v>951</v>
      </c>
      <c r="J393" s="143" t="s">
        <v>204</v>
      </c>
      <c r="K393" s="143" t="s">
        <v>204</v>
      </c>
      <c r="L393" s="143" t="s">
        <v>325</v>
      </c>
      <c r="M393" s="143" t="s">
        <v>340</v>
      </c>
      <c r="N393" s="143" t="s">
        <v>464</v>
      </c>
      <c r="O393" s="143" t="s">
        <v>339</v>
      </c>
      <c r="P393" s="143" t="s">
        <v>1359</v>
      </c>
      <c r="Q393" s="143" t="s">
        <v>415</v>
      </c>
      <c r="R393" s="143" t="s">
        <v>407</v>
      </c>
      <c r="S393" s="143" t="s">
        <v>1210</v>
      </c>
      <c r="T393" s="144">
        <v>4.57</v>
      </c>
      <c r="U393" s="143" t="s">
        <v>1839</v>
      </c>
      <c r="V393" s="146">
        <v>2.41E-2</v>
      </c>
      <c r="W393" s="146">
        <v>6.4957000000000001E-2</v>
      </c>
      <c r="X393" s="143" t="s">
        <v>412</v>
      </c>
      <c r="Y393" s="145" t="s">
        <v>3853</v>
      </c>
      <c r="Z393" s="144">
        <v>5777777.8499999996</v>
      </c>
      <c r="AA393" s="145" t="s">
        <v>3853</v>
      </c>
      <c r="AB393" s="143" t="s">
        <v>1840</v>
      </c>
      <c r="AC393" s="145" t="s">
        <v>3853</v>
      </c>
      <c r="AD393" s="144">
        <v>4863.7334000000001</v>
      </c>
      <c r="AE393" s="145" t="s">
        <v>3853</v>
      </c>
      <c r="AF393" s="145" t="s">
        <v>3853</v>
      </c>
      <c r="AG393" s="145" t="s">
        <v>3853</v>
      </c>
      <c r="AH393" s="146">
        <v>3.2807702202774227E-3</v>
      </c>
      <c r="AI393" s="146">
        <v>5.610403260009434E-3</v>
      </c>
      <c r="AJ393" s="147">
        <v>6.4797623827264259E-4</v>
      </c>
      <c r="AK393" s="181"/>
    </row>
    <row r="394" spans="1:37" ht="15" x14ac:dyDescent="0.2">
      <c r="A394" s="142" t="s">
        <v>1218</v>
      </c>
      <c r="B394" s="143" t="s">
        <v>1218</v>
      </c>
      <c r="C394" s="143" t="s">
        <v>1373</v>
      </c>
      <c r="D394" s="143" t="s">
        <v>1374</v>
      </c>
      <c r="E394" s="143" t="s">
        <v>309</v>
      </c>
      <c r="F394" s="143" t="s">
        <v>1375</v>
      </c>
      <c r="G394" s="143" t="s">
        <v>1376</v>
      </c>
      <c r="H394" s="143" t="s">
        <v>321</v>
      </c>
      <c r="I394" s="143" t="s">
        <v>951</v>
      </c>
      <c r="J394" s="143" t="s">
        <v>204</v>
      </c>
      <c r="K394" s="143" t="s">
        <v>204</v>
      </c>
      <c r="L394" s="143" t="s">
        <v>325</v>
      </c>
      <c r="M394" s="143" t="s">
        <v>340</v>
      </c>
      <c r="N394" s="143" t="s">
        <v>484</v>
      </c>
      <c r="O394" s="143" t="s">
        <v>339</v>
      </c>
      <c r="P394" s="143" t="s">
        <v>1377</v>
      </c>
      <c r="Q394" s="143" t="s">
        <v>415</v>
      </c>
      <c r="R394" s="143" t="s">
        <v>407</v>
      </c>
      <c r="S394" s="143" t="s">
        <v>1210</v>
      </c>
      <c r="T394" s="144">
        <v>0.9</v>
      </c>
      <c r="U394" s="143" t="s">
        <v>1378</v>
      </c>
      <c r="V394" s="146">
        <v>3.6499999999999998E-2</v>
      </c>
      <c r="W394" s="146">
        <v>4.8802999999999999E-2</v>
      </c>
      <c r="X394" s="143" t="s">
        <v>412</v>
      </c>
      <c r="Y394" s="145" t="s">
        <v>3853</v>
      </c>
      <c r="Z394" s="144">
        <v>4710125.38</v>
      </c>
      <c r="AA394" s="145" t="s">
        <v>3853</v>
      </c>
      <c r="AB394" s="143" t="s">
        <v>1379</v>
      </c>
      <c r="AC394" s="145" t="s">
        <v>3853</v>
      </c>
      <c r="AD394" s="144">
        <v>4675.7415000000001</v>
      </c>
      <c r="AE394" s="145" t="s">
        <v>3853</v>
      </c>
      <c r="AF394" s="145" t="s">
        <v>3853</v>
      </c>
      <c r="AG394" s="145" t="s">
        <v>3853</v>
      </c>
      <c r="AH394" s="146">
        <v>4.4227322491460037E-3</v>
      </c>
      <c r="AI394" s="146">
        <v>5.3935512148589769E-3</v>
      </c>
      <c r="AJ394" s="147">
        <v>6.229308064264322E-4</v>
      </c>
      <c r="AK394" s="181"/>
    </row>
    <row r="395" spans="1:37" ht="15" x14ac:dyDescent="0.2">
      <c r="A395" s="142" t="s">
        <v>1218</v>
      </c>
      <c r="B395" s="143" t="s">
        <v>1218</v>
      </c>
      <c r="C395" s="143" t="s">
        <v>1841</v>
      </c>
      <c r="D395" s="143" t="s">
        <v>1842</v>
      </c>
      <c r="E395" s="143" t="s">
        <v>309</v>
      </c>
      <c r="F395" s="143" t="s">
        <v>1843</v>
      </c>
      <c r="G395" s="143" t="s">
        <v>1844</v>
      </c>
      <c r="H395" s="143" t="s">
        <v>321</v>
      </c>
      <c r="I395" s="143" t="s">
        <v>951</v>
      </c>
      <c r="J395" s="143" t="s">
        <v>204</v>
      </c>
      <c r="K395" s="143" t="s">
        <v>204</v>
      </c>
      <c r="L395" s="143" t="s">
        <v>325</v>
      </c>
      <c r="M395" s="143" t="s">
        <v>340</v>
      </c>
      <c r="N395" s="143" t="s">
        <v>454</v>
      </c>
      <c r="O395" s="143" t="s">
        <v>339</v>
      </c>
      <c r="P395" s="143" t="s">
        <v>1409</v>
      </c>
      <c r="Q395" s="143" t="s">
        <v>413</v>
      </c>
      <c r="R395" s="143" t="s">
        <v>407</v>
      </c>
      <c r="S395" s="143" t="s">
        <v>1210</v>
      </c>
      <c r="T395" s="144">
        <v>3.49</v>
      </c>
      <c r="U395" s="143" t="s">
        <v>1845</v>
      </c>
      <c r="V395" s="146">
        <v>2.24E-2</v>
      </c>
      <c r="W395" s="146">
        <v>5.5280999999999997E-2</v>
      </c>
      <c r="X395" s="143" t="s">
        <v>412</v>
      </c>
      <c r="Y395" s="145" t="s">
        <v>3853</v>
      </c>
      <c r="Z395" s="144">
        <v>5085497.18</v>
      </c>
      <c r="AA395" s="145" t="s">
        <v>3853</v>
      </c>
      <c r="AB395" s="143" t="s">
        <v>1846</v>
      </c>
      <c r="AC395" s="145" t="s">
        <v>3853</v>
      </c>
      <c r="AD395" s="144">
        <v>4571.3534</v>
      </c>
      <c r="AE395" s="145" t="s">
        <v>3853</v>
      </c>
      <c r="AF395" s="145" t="s">
        <v>3853</v>
      </c>
      <c r="AG395" s="145" t="s">
        <v>3853</v>
      </c>
      <c r="AH395" s="146">
        <v>8.6553335284033795E-3</v>
      </c>
      <c r="AI395" s="146">
        <v>5.2731377368868204E-3</v>
      </c>
      <c r="AJ395" s="147">
        <v>6.0902359354391431E-4</v>
      </c>
      <c r="AK395" s="181"/>
    </row>
    <row r="396" spans="1:37" ht="15" x14ac:dyDescent="0.2">
      <c r="A396" s="142" t="s">
        <v>1218</v>
      </c>
      <c r="B396" s="143" t="s">
        <v>1218</v>
      </c>
      <c r="C396" s="143" t="s">
        <v>1794</v>
      </c>
      <c r="D396" s="143" t="s">
        <v>1795</v>
      </c>
      <c r="E396" s="143" t="s">
        <v>309</v>
      </c>
      <c r="F396" s="143" t="s">
        <v>1796</v>
      </c>
      <c r="G396" s="143" t="s">
        <v>1797</v>
      </c>
      <c r="H396" s="143" t="s">
        <v>321</v>
      </c>
      <c r="I396" s="143" t="s">
        <v>951</v>
      </c>
      <c r="J396" s="143" t="s">
        <v>204</v>
      </c>
      <c r="K396" s="143" t="s">
        <v>204</v>
      </c>
      <c r="L396" s="143" t="s">
        <v>325</v>
      </c>
      <c r="M396" s="143" t="s">
        <v>340</v>
      </c>
      <c r="N396" s="143" t="s">
        <v>443</v>
      </c>
      <c r="O396" s="143" t="s">
        <v>339</v>
      </c>
      <c r="P396" s="143" t="s">
        <v>1402</v>
      </c>
      <c r="Q396" s="143" t="s">
        <v>415</v>
      </c>
      <c r="R396" s="143" t="s">
        <v>407</v>
      </c>
      <c r="S396" s="143" t="s">
        <v>1210</v>
      </c>
      <c r="T396" s="144">
        <v>1.19</v>
      </c>
      <c r="U396" s="143" t="s">
        <v>1422</v>
      </c>
      <c r="V396" s="146">
        <v>6.9000000000000006E-2</v>
      </c>
      <c r="W396" s="146">
        <v>6.8987000000000007E-2</v>
      </c>
      <c r="X396" s="143" t="s">
        <v>412</v>
      </c>
      <c r="Y396" s="145" t="s">
        <v>3853</v>
      </c>
      <c r="Z396" s="144">
        <v>4400000</v>
      </c>
      <c r="AA396" s="145" t="s">
        <v>3853</v>
      </c>
      <c r="AB396" s="143" t="s">
        <v>1798</v>
      </c>
      <c r="AC396" s="145" t="s">
        <v>3853</v>
      </c>
      <c r="AD396" s="144">
        <v>4482.28</v>
      </c>
      <c r="AE396" s="145" t="s">
        <v>3853</v>
      </c>
      <c r="AF396" s="145" t="s">
        <v>3853</v>
      </c>
      <c r="AG396" s="145" t="s">
        <v>3853</v>
      </c>
      <c r="AH396" s="146">
        <v>1.2195121951219513E-2</v>
      </c>
      <c r="AI396" s="146">
        <v>5.1703899631146055E-3</v>
      </c>
      <c r="AJ396" s="147">
        <v>5.9715668971288809E-4</v>
      </c>
      <c r="AK396" s="181"/>
    </row>
    <row r="397" spans="1:37" ht="15" x14ac:dyDescent="0.2">
      <c r="A397" s="142" t="s">
        <v>1218</v>
      </c>
      <c r="B397" s="143" t="s">
        <v>1218</v>
      </c>
      <c r="C397" s="143" t="s">
        <v>1418</v>
      </c>
      <c r="D397" s="143" t="s">
        <v>1419</v>
      </c>
      <c r="E397" s="143" t="s">
        <v>309</v>
      </c>
      <c r="F397" s="143" t="s">
        <v>1420</v>
      </c>
      <c r="G397" s="143" t="s">
        <v>1421</v>
      </c>
      <c r="H397" s="143" t="s">
        <v>321</v>
      </c>
      <c r="I397" s="143" t="s">
        <v>951</v>
      </c>
      <c r="J397" s="143" t="s">
        <v>204</v>
      </c>
      <c r="K397" s="143" t="s">
        <v>204</v>
      </c>
      <c r="L397" s="143" t="s">
        <v>325</v>
      </c>
      <c r="M397" s="143" t="s">
        <v>340</v>
      </c>
      <c r="N397" s="143" t="s">
        <v>445</v>
      </c>
      <c r="O397" s="143" t="s">
        <v>339</v>
      </c>
      <c r="P397" s="143" t="s">
        <v>1377</v>
      </c>
      <c r="Q397" s="143" t="s">
        <v>415</v>
      </c>
      <c r="R397" s="143" t="s">
        <v>407</v>
      </c>
      <c r="S397" s="143" t="s">
        <v>1210</v>
      </c>
      <c r="T397" s="144">
        <v>1.2</v>
      </c>
      <c r="U397" s="143" t="s">
        <v>1422</v>
      </c>
      <c r="V397" s="146">
        <v>2.9399999999999999E-2</v>
      </c>
      <c r="W397" s="146">
        <v>4.9301999999999999E-2</v>
      </c>
      <c r="X397" s="143" t="s">
        <v>412</v>
      </c>
      <c r="Y397" s="145" t="s">
        <v>3853</v>
      </c>
      <c r="Z397" s="144">
        <v>4488097.47</v>
      </c>
      <c r="AA397" s="145" t="s">
        <v>3853</v>
      </c>
      <c r="AB397" s="143" t="s">
        <v>1423</v>
      </c>
      <c r="AC397" s="145" t="s">
        <v>3853</v>
      </c>
      <c r="AD397" s="144">
        <v>4482.2629000000006</v>
      </c>
      <c r="AE397" s="145" t="s">
        <v>3853</v>
      </c>
      <c r="AF397" s="145" t="s">
        <v>3853</v>
      </c>
      <c r="AG397" s="145" t="s">
        <v>3853</v>
      </c>
      <c r="AH397" s="146">
        <v>2.7976776899568338E-2</v>
      </c>
      <c r="AI397" s="146">
        <v>5.1703702878941023E-3</v>
      </c>
      <c r="AJ397" s="147">
        <v>5.9715441731377904E-4</v>
      </c>
      <c r="AK397" s="181"/>
    </row>
    <row r="398" spans="1:37" ht="15" x14ac:dyDescent="0.2">
      <c r="A398" s="142" t="s">
        <v>1218</v>
      </c>
      <c r="B398" s="143" t="s">
        <v>1218</v>
      </c>
      <c r="C398" s="143" t="s">
        <v>1825</v>
      </c>
      <c r="D398" s="143" t="s">
        <v>1826</v>
      </c>
      <c r="E398" s="143" t="s">
        <v>309</v>
      </c>
      <c r="F398" s="143" t="s">
        <v>1827</v>
      </c>
      <c r="G398" s="143" t="s">
        <v>1828</v>
      </c>
      <c r="H398" s="143" t="s">
        <v>321</v>
      </c>
      <c r="I398" s="143" t="s">
        <v>951</v>
      </c>
      <c r="J398" s="143" t="s">
        <v>204</v>
      </c>
      <c r="K398" s="143" t="s">
        <v>224</v>
      </c>
      <c r="L398" s="143" t="s">
        <v>325</v>
      </c>
      <c r="M398" s="143" t="s">
        <v>340</v>
      </c>
      <c r="N398" s="143" t="s">
        <v>465</v>
      </c>
      <c r="O398" s="143" t="s">
        <v>339</v>
      </c>
      <c r="P398" s="143" t="s">
        <v>1347</v>
      </c>
      <c r="Q398" s="143" t="s">
        <v>413</v>
      </c>
      <c r="R398" s="143" t="s">
        <v>407</v>
      </c>
      <c r="S398" s="143" t="s">
        <v>1210</v>
      </c>
      <c r="T398" s="144">
        <v>1.1599999999999999</v>
      </c>
      <c r="U398" s="143" t="s">
        <v>1829</v>
      </c>
      <c r="V398" s="146">
        <v>4.8000000000000001E-2</v>
      </c>
      <c r="W398" s="146">
        <v>5.4014E-2</v>
      </c>
      <c r="X398" s="143" t="s">
        <v>412</v>
      </c>
      <c r="Y398" s="145" t="s">
        <v>3853</v>
      </c>
      <c r="Z398" s="144">
        <v>4440261.83</v>
      </c>
      <c r="AA398" s="145" t="s">
        <v>3853</v>
      </c>
      <c r="AB398" s="143" t="s">
        <v>1830</v>
      </c>
      <c r="AC398" s="145" t="s">
        <v>3853</v>
      </c>
      <c r="AD398" s="144">
        <v>4449.5864000000001</v>
      </c>
      <c r="AE398" s="145" t="s">
        <v>3853</v>
      </c>
      <c r="AF398" s="145" t="s">
        <v>3853</v>
      </c>
      <c r="AG398" s="145" t="s">
        <v>3853</v>
      </c>
      <c r="AH398" s="146">
        <v>1.1840698213333334E-2</v>
      </c>
      <c r="AI398" s="146">
        <v>5.1326772888689908E-3</v>
      </c>
      <c r="AJ398" s="147">
        <v>5.9280104615923128E-4</v>
      </c>
      <c r="AK398" s="181"/>
    </row>
    <row r="399" spans="1:37" ht="15" x14ac:dyDescent="0.2">
      <c r="A399" s="142" t="s">
        <v>1218</v>
      </c>
      <c r="B399" s="143" t="s">
        <v>1218</v>
      </c>
      <c r="C399" s="143" t="s">
        <v>1690</v>
      </c>
      <c r="D399" s="143" t="s">
        <v>1691</v>
      </c>
      <c r="E399" s="143" t="s">
        <v>309</v>
      </c>
      <c r="F399" s="143" t="s">
        <v>1692</v>
      </c>
      <c r="G399" s="143" t="s">
        <v>1693</v>
      </c>
      <c r="H399" s="143" t="s">
        <v>321</v>
      </c>
      <c r="I399" s="143" t="s">
        <v>951</v>
      </c>
      <c r="J399" s="143" t="s">
        <v>204</v>
      </c>
      <c r="K399" s="143" t="s">
        <v>204</v>
      </c>
      <c r="L399" s="143" t="s">
        <v>325</v>
      </c>
      <c r="M399" s="143" t="s">
        <v>340</v>
      </c>
      <c r="N399" s="143" t="s">
        <v>464</v>
      </c>
      <c r="O399" s="143" t="s">
        <v>339</v>
      </c>
      <c r="P399" s="143" t="s">
        <v>1440</v>
      </c>
      <c r="Q399" s="143" t="s">
        <v>415</v>
      </c>
      <c r="R399" s="143" t="s">
        <v>407</v>
      </c>
      <c r="S399" s="143" t="s">
        <v>1210</v>
      </c>
      <c r="T399" s="144">
        <v>3.35</v>
      </c>
      <c r="U399" s="143" t="s">
        <v>1694</v>
      </c>
      <c r="V399" s="146">
        <v>3.04E-2</v>
      </c>
      <c r="W399" s="146">
        <v>6.1107000000000002E-2</v>
      </c>
      <c r="X399" s="143" t="s">
        <v>412</v>
      </c>
      <c r="Y399" s="145" t="s">
        <v>3853</v>
      </c>
      <c r="Z399" s="144">
        <v>4505940</v>
      </c>
      <c r="AA399" s="145" t="s">
        <v>3853</v>
      </c>
      <c r="AB399" s="143" t="s">
        <v>1695</v>
      </c>
      <c r="AC399" s="145" t="s">
        <v>3853</v>
      </c>
      <c r="AD399" s="144">
        <v>4083.7334000000001</v>
      </c>
      <c r="AE399" s="145" t="s">
        <v>3853</v>
      </c>
      <c r="AF399" s="145" t="s">
        <v>3853</v>
      </c>
      <c r="AG399" s="145" t="s">
        <v>3853</v>
      </c>
      <c r="AH399" s="146">
        <v>8.3134940729763622E-3</v>
      </c>
      <c r="AI399" s="146">
        <v>4.7106593736099623E-3</v>
      </c>
      <c r="AJ399" s="147">
        <v>5.4405988290588821E-4</v>
      </c>
      <c r="AK399" s="181"/>
    </row>
    <row r="400" spans="1:37" ht="15" x14ac:dyDescent="0.2">
      <c r="A400" s="142" t="s">
        <v>1218</v>
      </c>
      <c r="B400" s="143" t="s">
        <v>1218</v>
      </c>
      <c r="C400" s="143" t="s">
        <v>1696</v>
      </c>
      <c r="D400" s="143" t="s">
        <v>1697</v>
      </c>
      <c r="E400" s="143" t="s">
        <v>309</v>
      </c>
      <c r="F400" s="143" t="s">
        <v>1698</v>
      </c>
      <c r="G400" s="143" t="s">
        <v>1699</v>
      </c>
      <c r="H400" s="143" t="s">
        <v>321</v>
      </c>
      <c r="I400" s="143" t="s">
        <v>951</v>
      </c>
      <c r="J400" s="143" t="s">
        <v>204</v>
      </c>
      <c r="K400" s="143" t="s">
        <v>204</v>
      </c>
      <c r="L400" s="143" t="s">
        <v>325</v>
      </c>
      <c r="M400" s="143" t="s">
        <v>340</v>
      </c>
      <c r="N400" s="143" t="s">
        <v>443</v>
      </c>
      <c r="O400" s="143" t="s">
        <v>339</v>
      </c>
      <c r="P400" s="143" t="s">
        <v>1396</v>
      </c>
      <c r="Q400" s="143" t="s">
        <v>413</v>
      </c>
      <c r="R400" s="143" t="s">
        <v>407</v>
      </c>
      <c r="S400" s="143" t="s">
        <v>1210</v>
      </c>
      <c r="T400" s="144">
        <v>0.95</v>
      </c>
      <c r="U400" s="143" t="s">
        <v>1700</v>
      </c>
      <c r="V400" s="146">
        <v>4.7500000000000001E-2</v>
      </c>
      <c r="W400" s="146">
        <v>6.4534999999999995E-2</v>
      </c>
      <c r="X400" s="143" t="s">
        <v>412</v>
      </c>
      <c r="Y400" s="145" t="s">
        <v>3853</v>
      </c>
      <c r="Z400" s="144">
        <v>3924908.81</v>
      </c>
      <c r="AA400" s="145" t="s">
        <v>3853</v>
      </c>
      <c r="AB400" s="143" t="s">
        <v>1701</v>
      </c>
      <c r="AC400" s="145" t="s">
        <v>3853</v>
      </c>
      <c r="AD400" s="144">
        <v>3917.8440000000001</v>
      </c>
      <c r="AE400" s="145" t="s">
        <v>3853</v>
      </c>
      <c r="AF400" s="145" t="s">
        <v>3853</v>
      </c>
      <c r="AG400" s="145" t="s">
        <v>3853</v>
      </c>
      <c r="AH400" s="146">
        <v>4.738447296582203E-3</v>
      </c>
      <c r="AI400" s="146">
        <v>4.5193029353259584E-3</v>
      </c>
      <c r="AJ400" s="147">
        <v>5.2195907850697025E-4</v>
      </c>
      <c r="AK400" s="181"/>
    </row>
    <row r="401" spans="1:37" ht="15" x14ac:dyDescent="0.2">
      <c r="A401" s="142" t="s">
        <v>1218</v>
      </c>
      <c r="B401" s="143" t="s">
        <v>1218</v>
      </c>
      <c r="C401" s="143" t="s">
        <v>1825</v>
      </c>
      <c r="D401" s="143" t="s">
        <v>1826</v>
      </c>
      <c r="E401" s="143" t="s">
        <v>309</v>
      </c>
      <c r="F401" s="143" t="s">
        <v>1847</v>
      </c>
      <c r="G401" s="143" t="s">
        <v>1848</v>
      </c>
      <c r="H401" s="143" t="s">
        <v>321</v>
      </c>
      <c r="I401" s="143" t="s">
        <v>951</v>
      </c>
      <c r="J401" s="143" t="s">
        <v>204</v>
      </c>
      <c r="K401" s="143" t="s">
        <v>224</v>
      </c>
      <c r="L401" s="143" t="s">
        <v>325</v>
      </c>
      <c r="M401" s="143" t="s">
        <v>340</v>
      </c>
      <c r="N401" s="143" t="s">
        <v>465</v>
      </c>
      <c r="O401" s="143" t="s">
        <v>339</v>
      </c>
      <c r="P401" s="143" t="s">
        <v>1396</v>
      </c>
      <c r="Q401" s="143" t="s">
        <v>413</v>
      </c>
      <c r="R401" s="143" t="s">
        <v>407</v>
      </c>
      <c r="S401" s="143" t="s">
        <v>1210</v>
      </c>
      <c r="T401" s="144">
        <v>1.89</v>
      </c>
      <c r="U401" s="143" t="s">
        <v>1849</v>
      </c>
      <c r="V401" s="146">
        <v>4.3499999999999997E-2</v>
      </c>
      <c r="W401" s="146">
        <v>6.9700999999999999E-2</v>
      </c>
      <c r="X401" s="143" t="s">
        <v>412</v>
      </c>
      <c r="Y401" s="145" t="s">
        <v>3853</v>
      </c>
      <c r="Z401" s="144">
        <v>4000000</v>
      </c>
      <c r="AA401" s="145" t="s">
        <v>3853</v>
      </c>
      <c r="AB401" s="143" t="s">
        <v>1850</v>
      </c>
      <c r="AC401" s="145" t="s">
        <v>3853</v>
      </c>
      <c r="AD401" s="144">
        <v>3887.6</v>
      </c>
      <c r="AE401" s="145" t="s">
        <v>3853</v>
      </c>
      <c r="AF401" s="145" t="s">
        <v>3853</v>
      </c>
      <c r="AG401" s="145" t="s">
        <v>3853</v>
      </c>
      <c r="AH401" s="146">
        <v>8.2474226804123713E-3</v>
      </c>
      <c r="AI401" s="146">
        <v>4.484415971470845E-3</v>
      </c>
      <c r="AJ401" s="147">
        <v>5.1792979174166353E-4</v>
      </c>
      <c r="AK401" s="181"/>
    </row>
    <row r="402" spans="1:37" ht="15" x14ac:dyDescent="0.2">
      <c r="A402" s="142" t="s">
        <v>1218</v>
      </c>
      <c r="B402" s="143" t="s">
        <v>1218</v>
      </c>
      <c r="C402" s="143" t="s">
        <v>1851</v>
      </c>
      <c r="D402" s="143" t="s">
        <v>1852</v>
      </c>
      <c r="E402" s="143" t="s">
        <v>309</v>
      </c>
      <c r="F402" s="143" t="s">
        <v>1853</v>
      </c>
      <c r="G402" s="143" t="s">
        <v>1854</v>
      </c>
      <c r="H402" s="143" t="s">
        <v>321</v>
      </c>
      <c r="I402" s="143" t="s">
        <v>951</v>
      </c>
      <c r="J402" s="143" t="s">
        <v>204</v>
      </c>
      <c r="K402" s="143" t="s">
        <v>204</v>
      </c>
      <c r="L402" s="143" t="s">
        <v>325</v>
      </c>
      <c r="M402" s="143" t="s">
        <v>340</v>
      </c>
      <c r="N402" s="143" t="s">
        <v>441</v>
      </c>
      <c r="O402" s="143" t="s">
        <v>339</v>
      </c>
      <c r="P402" s="145" t="s">
        <v>3853</v>
      </c>
      <c r="Q402" s="143" t="s">
        <v>410</v>
      </c>
      <c r="R402" s="143" t="s">
        <v>410</v>
      </c>
      <c r="S402" s="143" t="s">
        <v>1210</v>
      </c>
      <c r="T402" s="144">
        <v>3.85</v>
      </c>
      <c r="U402" s="143" t="s">
        <v>1599</v>
      </c>
      <c r="V402" s="146">
        <v>6.9500000000000006E-2</v>
      </c>
      <c r="W402" s="146">
        <v>6.7645999999999998E-2</v>
      </c>
      <c r="X402" s="143" t="s">
        <v>412</v>
      </c>
      <c r="Y402" s="145" t="s">
        <v>3853</v>
      </c>
      <c r="Z402" s="144">
        <v>3700000</v>
      </c>
      <c r="AA402" s="145" t="s">
        <v>3853</v>
      </c>
      <c r="AB402" s="143" t="s">
        <v>1855</v>
      </c>
      <c r="AC402" s="145" t="s">
        <v>3853</v>
      </c>
      <c r="AD402" s="144">
        <v>3741.81</v>
      </c>
      <c r="AE402" s="145" t="s">
        <v>3853</v>
      </c>
      <c r="AF402" s="145" t="s">
        <v>3853</v>
      </c>
      <c r="AG402" s="145" t="s">
        <v>3853</v>
      </c>
      <c r="AH402" s="146">
        <v>6.6195426790541566E-3</v>
      </c>
      <c r="AI402" s="146">
        <v>4.3162446049514669E-3</v>
      </c>
      <c r="AJ402" s="147">
        <v>4.9850675842084426E-4</v>
      </c>
      <c r="AK402" s="181"/>
    </row>
    <row r="403" spans="1:37" ht="15" x14ac:dyDescent="0.2">
      <c r="A403" s="142" t="s">
        <v>1218</v>
      </c>
      <c r="B403" s="143" t="s">
        <v>1218</v>
      </c>
      <c r="C403" s="143" t="s">
        <v>1680</v>
      </c>
      <c r="D403" s="143" t="s">
        <v>1681</v>
      </c>
      <c r="E403" s="143" t="s">
        <v>309</v>
      </c>
      <c r="F403" s="143" t="s">
        <v>1682</v>
      </c>
      <c r="G403" s="143" t="s">
        <v>1683</v>
      </c>
      <c r="H403" s="143" t="s">
        <v>321</v>
      </c>
      <c r="I403" s="143" t="s">
        <v>951</v>
      </c>
      <c r="J403" s="143" t="s">
        <v>204</v>
      </c>
      <c r="K403" s="143" t="s">
        <v>204</v>
      </c>
      <c r="L403" s="143" t="s">
        <v>325</v>
      </c>
      <c r="M403" s="143" t="s">
        <v>340</v>
      </c>
      <c r="N403" s="143" t="s">
        <v>451</v>
      </c>
      <c r="O403" s="143" t="s">
        <v>339</v>
      </c>
      <c r="P403" s="143" t="s">
        <v>1396</v>
      </c>
      <c r="Q403" s="143" t="s">
        <v>413</v>
      </c>
      <c r="R403" s="143" t="s">
        <v>407</v>
      </c>
      <c r="S403" s="143" t="s">
        <v>1210</v>
      </c>
      <c r="T403" s="144">
        <v>2.58</v>
      </c>
      <c r="U403" s="143" t="s">
        <v>1544</v>
      </c>
      <c r="V403" s="146">
        <v>2.1999999999999999E-2</v>
      </c>
      <c r="W403" s="146">
        <v>5.3846999999999999E-2</v>
      </c>
      <c r="X403" s="143" t="s">
        <v>412</v>
      </c>
      <c r="Y403" s="145" t="s">
        <v>3853</v>
      </c>
      <c r="Z403" s="144">
        <v>3450834.8</v>
      </c>
      <c r="AA403" s="145" t="s">
        <v>3853</v>
      </c>
      <c r="AB403" s="143" t="s">
        <v>1684</v>
      </c>
      <c r="AC403" s="145" t="s">
        <v>3853</v>
      </c>
      <c r="AD403" s="144">
        <v>3187.5361000000003</v>
      </c>
      <c r="AE403" s="145" t="s">
        <v>3853</v>
      </c>
      <c r="AF403" s="145" t="s">
        <v>3853</v>
      </c>
      <c r="AG403" s="145" t="s">
        <v>3853</v>
      </c>
      <c r="AH403" s="146">
        <v>3.184161291810842E-3</v>
      </c>
      <c r="AI403" s="146">
        <v>3.6768797761667122E-3</v>
      </c>
      <c r="AJ403" s="147">
        <v>4.2466300825892071E-4</v>
      </c>
      <c r="AK403" s="181"/>
    </row>
    <row r="404" spans="1:37" ht="15" x14ac:dyDescent="0.2">
      <c r="A404" s="142" t="s">
        <v>1218</v>
      </c>
      <c r="B404" s="143" t="s">
        <v>1218</v>
      </c>
      <c r="C404" s="143" t="s">
        <v>1856</v>
      </c>
      <c r="D404" s="143" t="s">
        <v>1857</v>
      </c>
      <c r="E404" s="143" t="s">
        <v>309</v>
      </c>
      <c r="F404" s="143" t="s">
        <v>1858</v>
      </c>
      <c r="G404" s="143" t="s">
        <v>1859</v>
      </c>
      <c r="H404" s="143" t="s">
        <v>321</v>
      </c>
      <c r="I404" s="143" t="s">
        <v>951</v>
      </c>
      <c r="J404" s="143" t="s">
        <v>204</v>
      </c>
      <c r="K404" s="143" t="s">
        <v>204</v>
      </c>
      <c r="L404" s="143" t="s">
        <v>325</v>
      </c>
      <c r="M404" s="143" t="s">
        <v>340</v>
      </c>
      <c r="N404" s="143" t="s">
        <v>464</v>
      </c>
      <c r="O404" s="143" t="s">
        <v>339</v>
      </c>
      <c r="P404" s="143" t="s">
        <v>1377</v>
      </c>
      <c r="Q404" s="143" t="s">
        <v>415</v>
      </c>
      <c r="R404" s="143" t="s">
        <v>407</v>
      </c>
      <c r="S404" s="143" t="s">
        <v>1210</v>
      </c>
      <c r="T404" s="144">
        <v>2.34</v>
      </c>
      <c r="U404" s="143" t="s">
        <v>1544</v>
      </c>
      <c r="V404" s="146">
        <v>5.6500000000000002E-2</v>
      </c>
      <c r="W404" s="146">
        <v>5.2422999999999997E-2</v>
      </c>
      <c r="X404" s="143" t="s">
        <v>412</v>
      </c>
      <c r="Y404" s="145" t="s">
        <v>3853</v>
      </c>
      <c r="Z404" s="144">
        <v>2218353.2999999998</v>
      </c>
      <c r="AA404" s="145" t="s">
        <v>3853</v>
      </c>
      <c r="AB404" s="143" t="s">
        <v>1860</v>
      </c>
      <c r="AC404" s="145" t="s">
        <v>3853</v>
      </c>
      <c r="AD404" s="144">
        <v>2242.9769999999999</v>
      </c>
      <c r="AE404" s="145" t="s">
        <v>3853</v>
      </c>
      <c r="AF404" s="145" t="s">
        <v>3853</v>
      </c>
      <c r="AG404" s="145" t="s">
        <v>3853</v>
      </c>
      <c r="AH404" s="146">
        <v>1.4213891195626396E-2</v>
      </c>
      <c r="AI404" s="146">
        <v>2.5873140187878587E-3</v>
      </c>
      <c r="AJ404" s="147">
        <v>2.9882308408636757E-4</v>
      </c>
      <c r="AK404" s="181"/>
    </row>
    <row r="405" spans="1:37" ht="15" x14ac:dyDescent="0.2">
      <c r="A405" s="142" t="s">
        <v>1218</v>
      </c>
      <c r="B405" s="143" t="s">
        <v>1218</v>
      </c>
      <c r="C405" s="143" t="s">
        <v>1861</v>
      </c>
      <c r="D405" s="143" t="s">
        <v>1862</v>
      </c>
      <c r="E405" s="143" t="s">
        <v>309</v>
      </c>
      <c r="F405" s="143" t="s">
        <v>1863</v>
      </c>
      <c r="G405" s="143" t="s">
        <v>1864</v>
      </c>
      <c r="H405" s="143" t="s">
        <v>321</v>
      </c>
      <c r="I405" s="143" t="s">
        <v>951</v>
      </c>
      <c r="J405" s="143" t="s">
        <v>204</v>
      </c>
      <c r="K405" s="143" t="s">
        <v>204</v>
      </c>
      <c r="L405" s="143" t="s">
        <v>325</v>
      </c>
      <c r="M405" s="143" t="s">
        <v>340</v>
      </c>
      <c r="N405" s="143" t="s">
        <v>454</v>
      </c>
      <c r="O405" s="143" t="s">
        <v>339</v>
      </c>
      <c r="P405" s="143" t="s">
        <v>1402</v>
      </c>
      <c r="Q405" s="143" t="s">
        <v>415</v>
      </c>
      <c r="R405" s="143" t="s">
        <v>407</v>
      </c>
      <c r="S405" s="143" t="s">
        <v>1210</v>
      </c>
      <c r="T405" s="144">
        <v>2.88</v>
      </c>
      <c r="U405" s="143" t="s">
        <v>1865</v>
      </c>
      <c r="V405" s="146">
        <v>6.7500000000000004E-2</v>
      </c>
      <c r="W405" s="146">
        <v>6.2689999999999996E-2</v>
      </c>
      <c r="X405" s="143" t="s">
        <v>412</v>
      </c>
      <c r="Y405" s="145" t="s">
        <v>3853</v>
      </c>
      <c r="Z405" s="144">
        <v>2052710.43</v>
      </c>
      <c r="AA405" s="145" t="s">
        <v>3853</v>
      </c>
      <c r="AB405" s="143" t="s">
        <v>1866</v>
      </c>
      <c r="AC405" s="145" t="s">
        <v>3853</v>
      </c>
      <c r="AD405" s="144">
        <v>2144.2612999999997</v>
      </c>
      <c r="AE405" s="145" t="s">
        <v>3853</v>
      </c>
      <c r="AF405" s="145" t="s">
        <v>3853</v>
      </c>
      <c r="AG405" s="145" t="s">
        <v>3853</v>
      </c>
      <c r="AH405" s="146">
        <v>1.1729773885714285E-3</v>
      </c>
      <c r="AI405" s="146">
        <v>2.4734436898835536E-3</v>
      </c>
      <c r="AJ405" s="147">
        <v>2.8567157537036912E-4</v>
      </c>
      <c r="AK405" s="181"/>
    </row>
    <row r="406" spans="1:37" ht="15" x14ac:dyDescent="0.2">
      <c r="A406" s="142" t="s">
        <v>1218</v>
      </c>
      <c r="B406" s="143" t="s">
        <v>1218</v>
      </c>
      <c r="C406" s="143" t="s">
        <v>1405</v>
      </c>
      <c r="D406" s="143" t="s">
        <v>1406</v>
      </c>
      <c r="E406" s="143" t="s">
        <v>309</v>
      </c>
      <c r="F406" s="143" t="s">
        <v>1407</v>
      </c>
      <c r="G406" s="143" t="s">
        <v>1408</v>
      </c>
      <c r="H406" s="143" t="s">
        <v>321</v>
      </c>
      <c r="I406" s="143" t="s">
        <v>951</v>
      </c>
      <c r="J406" s="143" t="s">
        <v>204</v>
      </c>
      <c r="K406" s="143" t="s">
        <v>204</v>
      </c>
      <c r="L406" s="143" t="s">
        <v>325</v>
      </c>
      <c r="M406" s="143" t="s">
        <v>340</v>
      </c>
      <c r="N406" s="143" t="s">
        <v>475</v>
      </c>
      <c r="O406" s="143" t="s">
        <v>339</v>
      </c>
      <c r="P406" s="143" t="s">
        <v>1409</v>
      </c>
      <c r="Q406" s="143" t="s">
        <v>413</v>
      </c>
      <c r="R406" s="143" t="s">
        <v>407</v>
      </c>
      <c r="S406" s="143" t="s">
        <v>1210</v>
      </c>
      <c r="T406" s="144">
        <v>2.5</v>
      </c>
      <c r="U406" s="143" t="s">
        <v>1410</v>
      </c>
      <c r="V406" s="146">
        <v>5.0900000000000001E-2</v>
      </c>
      <c r="W406" s="146">
        <v>5.1853000000000003E-2</v>
      </c>
      <c r="X406" s="143" t="s">
        <v>412</v>
      </c>
      <c r="Y406" s="145" t="s">
        <v>3853</v>
      </c>
      <c r="Z406" s="144">
        <v>1900296.69</v>
      </c>
      <c r="AA406" s="145" t="s">
        <v>3853</v>
      </c>
      <c r="AB406" s="143" t="s">
        <v>1411</v>
      </c>
      <c r="AC406" s="145" t="s">
        <v>3853</v>
      </c>
      <c r="AD406" s="144">
        <v>1966.047</v>
      </c>
      <c r="AE406" s="145" t="s">
        <v>3853</v>
      </c>
      <c r="AF406" s="145" t="s">
        <v>3853</v>
      </c>
      <c r="AG406" s="145" t="s">
        <v>3853</v>
      </c>
      <c r="AH406" s="146">
        <v>3.0676728485400056E-3</v>
      </c>
      <c r="AI406" s="146">
        <v>2.2678702458558586E-3</v>
      </c>
      <c r="AJ406" s="147">
        <v>2.6192877101630324E-4</v>
      </c>
      <c r="AK406" s="181"/>
    </row>
    <row r="407" spans="1:37" ht="15" x14ac:dyDescent="0.2">
      <c r="A407" s="142" t="s">
        <v>1218</v>
      </c>
      <c r="B407" s="143" t="s">
        <v>1218</v>
      </c>
      <c r="C407" s="143" t="s">
        <v>1867</v>
      </c>
      <c r="D407" s="143" t="s">
        <v>1868</v>
      </c>
      <c r="E407" s="143" t="s">
        <v>309</v>
      </c>
      <c r="F407" s="143" t="s">
        <v>1869</v>
      </c>
      <c r="G407" s="143" t="s">
        <v>1870</v>
      </c>
      <c r="H407" s="143" t="s">
        <v>321</v>
      </c>
      <c r="I407" s="143" t="s">
        <v>951</v>
      </c>
      <c r="J407" s="143" t="s">
        <v>204</v>
      </c>
      <c r="K407" s="143" t="s">
        <v>204</v>
      </c>
      <c r="L407" s="143" t="s">
        <v>325</v>
      </c>
      <c r="M407" s="143" t="s">
        <v>340</v>
      </c>
      <c r="N407" s="143" t="s">
        <v>484</v>
      </c>
      <c r="O407" s="143" t="s">
        <v>339</v>
      </c>
      <c r="P407" s="143" t="s">
        <v>1347</v>
      </c>
      <c r="Q407" s="143" t="s">
        <v>413</v>
      </c>
      <c r="R407" s="143" t="s">
        <v>407</v>
      </c>
      <c r="S407" s="143" t="s">
        <v>1210</v>
      </c>
      <c r="T407" s="144">
        <v>2.33</v>
      </c>
      <c r="U407" s="143" t="s">
        <v>1871</v>
      </c>
      <c r="V407" s="146">
        <v>0.04</v>
      </c>
      <c r="W407" s="146">
        <v>5.2908999999999998E-2</v>
      </c>
      <c r="X407" s="143" t="s">
        <v>412</v>
      </c>
      <c r="Y407" s="145" t="s">
        <v>3853</v>
      </c>
      <c r="Z407" s="144">
        <v>1727409.62</v>
      </c>
      <c r="AA407" s="145" t="s">
        <v>3853</v>
      </c>
      <c r="AB407" s="143" t="s">
        <v>1872</v>
      </c>
      <c r="AC407" s="145" t="s">
        <v>3853</v>
      </c>
      <c r="AD407" s="144">
        <v>1679.7331000000001</v>
      </c>
      <c r="AE407" s="145" t="s">
        <v>3853</v>
      </c>
      <c r="AF407" s="145" t="s">
        <v>3853</v>
      </c>
      <c r="AG407" s="145" t="s">
        <v>3853</v>
      </c>
      <c r="AH407" s="146">
        <v>2.9003616314750582E-3</v>
      </c>
      <c r="AI407" s="146">
        <v>1.9376021212106321E-3</v>
      </c>
      <c r="AJ407" s="147">
        <v>2.2378429420936971E-4</v>
      </c>
      <c r="AK407" s="181"/>
    </row>
    <row r="408" spans="1:37" ht="15" x14ac:dyDescent="0.2">
      <c r="A408" s="142" t="s">
        <v>1218</v>
      </c>
      <c r="B408" s="143" t="s">
        <v>1218</v>
      </c>
      <c r="C408" s="143" t="s">
        <v>1706</v>
      </c>
      <c r="D408" s="143" t="s">
        <v>1707</v>
      </c>
      <c r="E408" s="143" t="s">
        <v>309</v>
      </c>
      <c r="F408" s="143" t="s">
        <v>1708</v>
      </c>
      <c r="G408" s="143" t="s">
        <v>1709</v>
      </c>
      <c r="H408" s="143" t="s">
        <v>321</v>
      </c>
      <c r="I408" s="143" t="s">
        <v>951</v>
      </c>
      <c r="J408" s="143" t="s">
        <v>204</v>
      </c>
      <c r="K408" s="143" t="s">
        <v>224</v>
      </c>
      <c r="L408" s="143" t="s">
        <v>325</v>
      </c>
      <c r="M408" s="143" t="s">
        <v>340</v>
      </c>
      <c r="N408" s="143" t="s">
        <v>465</v>
      </c>
      <c r="O408" s="143" t="s">
        <v>339</v>
      </c>
      <c r="P408" s="143" t="s">
        <v>1409</v>
      </c>
      <c r="Q408" s="143" t="s">
        <v>413</v>
      </c>
      <c r="R408" s="143" t="s">
        <v>407</v>
      </c>
      <c r="S408" s="143" t="s">
        <v>1210</v>
      </c>
      <c r="T408" s="144">
        <v>0.5</v>
      </c>
      <c r="U408" s="143" t="s">
        <v>1710</v>
      </c>
      <c r="V408" s="146">
        <v>3.3799999999999997E-2</v>
      </c>
      <c r="W408" s="146">
        <v>5.8233E-2</v>
      </c>
      <c r="X408" s="143" t="s">
        <v>412</v>
      </c>
      <c r="Y408" s="145" t="s">
        <v>3853</v>
      </c>
      <c r="Z408" s="144">
        <v>1296750.06</v>
      </c>
      <c r="AA408" s="145" t="s">
        <v>3853</v>
      </c>
      <c r="AB408" s="143" t="s">
        <v>1711</v>
      </c>
      <c r="AC408" s="145" t="s">
        <v>3853</v>
      </c>
      <c r="AD408" s="144">
        <v>1281.9671000000001</v>
      </c>
      <c r="AE408" s="145" t="s">
        <v>3853</v>
      </c>
      <c r="AF408" s="145" t="s">
        <v>3853</v>
      </c>
      <c r="AG408" s="145" t="s">
        <v>3853</v>
      </c>
      <c r="AH408" s="146">
        <v>6.3369779690151482E-3</v>
      </c>
      <c r="AI408" s="146">
        <v>1.4787719363918567E-3</v>
      </c>
      <c r="AJ408" s="147">
        <v>1.7079148007709082E-4</v>
      </c>
      <c r="AK408" s="181"/>
    </row>
    <row r="409" spans="1:37" ht="15" x14ac:dyDescent="0.2">
      <c r="A409" s="142" t="s">
        <v>1218</v>
      </c>
      <c r="B409" s="143" t="s">
        <v>1218</v>
      </c>
      <c r="C409" s="143" t="s">
        <v>1412</v>
      </c>
      <c r="D409" s="143" t="s">
        <v>1413</v>
      </c>
      <c r="E409" s="143" t="s">
        <v>309</v>
      </c>
      <c r="F409" s="143" t="s">
        <v>1414</v>
      </c>
      <c r="G409" s="143" t="s">
        <v>1415</v>
      </c>
      <c r="H409" s="143" t="s">
        <v>321</v>
      </c>
      <c r="I409" s="143" t="s">
        <v>951</v>
      </c>
      <c r="J409" s="143" t="s">
        <v>204</v>
      </c>
      <c r="K409" s="143" t="s">
        <v>204</v>
      </c>
      <c r="L409" s="143" t="s">
        <v>325</v>
      </c>
      <c r="M409" s="143" t="s">
        <v>340</v>
      </c>
      <c r="N409" s="143" t="s">
        <v>451</v>
      </c>
      <c r="O409" s="143" t="s">
        <v>339</v>
      </c>
      <c r="P409" s="143" t="s">
        <v>1396</v>
      </c>
      <c r="Q409" s="143" t="s">
        <v>413</v>
      </c>
      <c r="R409" s="143" t="s">
        <v>407</v>
      </c>
      <c r="S409" s="143" t="s">
        <v>1210</v>
      </c>
      <c r="T409" s="144">
        <v>1.46</v>
      </c>
      <c r="U409" s="143" t="s">
        <v>1416</v>
      </c>
      <c r="V409" s="146">
        <v>0.04</v>
      </c>
      <c r="W409" s="146">
        <v>4.9484E-2</v>
      </c>
      <c r="X409" s="143" t="s">
        <v>412</v>
      </c>
      <c r="Y409" s="145" t="s">
        <v>3853</v>
      </c>
      <c r="Z409" s="144">
        <v>884033.82</v>
      </c>
      <c r="AA409" s="145" t="s">
        <v>3853</v>
      </c>
      <c r="AB409" s="143" t="s">
        <v>1417</v>
      </c>
      <c r="AC409" s="145" t="s">
        <v>3853</v>
      </c>
      <c r="AD409" s="144">
        <v>873.07180000000005</v>
      </c>
      <c r="AE409" s="145" t="s">
        <v>3853</v>
      </c>
      <c r="AF409" s="145" t="s">
        <v>3853</v>
      </c>
      <c r="AG409" s="145" t="s">
        <v>3853</v>
      </c>
      <c r="AH409" s="146">
        <v>6.7095391333167513E-3</v>
      </c>
      <c r="AI409" s="146">
        <v>1.0071039013774439E-3</v>
      </c>
      <c r="AJ409" s="147">
        <v>1.1631595222678541E-4</v>
      </c>
      <c r="AK409" s="181"/>
    </row>
    <row r="410" spans="1:37" ht="15" x14ac:dyDescent="0.2">
      <c r="A410" s="142" t="s">
        <v>1218</v>
      </c>
      <c r="B410" s="143" t="s">
        <v>1218</v>
      </c>
      <c r="C410" s="143" t="s">
        <v>1424</v>
      </c>
      <c r="D410" s="143" t="s">
        <v>1425</v>
      </c>
      <c r="E410" s="143" t="s">
        <v>309</v>
      </c>
      <c r="F410" s="143" t="s">
        <v>1443</v>
      </c>
      <c r="G410" s="143" t="s">
        <v>1444</v>
      </c>
      <c r="H410" s="143" t="s">
        <v>321</v>
      </c>
      <c r="I410" s="143" t="s">
        <v>951</v>
      </c>
      <c r="J410" s="143" t="s">
        <v>204</v>
      </c>
      <c r="K410" s="143" t="s">
        <v>204</v>
      </c>
      <c r="L410" s="143" t="s">
        <v>325</v>
      </c>
      <c r="M410" s="143" t="s">
        <v>340</v>
      </c>
      <c r="N410" s="143" t="s">
        <v>445</v>
      </c>
      <c r="O410" s="143" t="s">
        <v>339</v>
      </c>
      <c r="P410" s="143" t="s">
        <v>1359</v>
      </c>
      <c r="Q410" s="143" t="s">
        <v>415</v>
      </c>
      <c r="R410" s="143" t="s">
        <v>407</v>
      </c>
      <c r="S410" s="143" t="s">
        <v>1210</v>
      </c>
      <c r="T410" s="144">
        <v>4.97</v>
      </c>
      <c r="U410" s="143" t="s">
        <v>1445</v>
      </c>
      <c r="V410" s="146">
        <v>3.95E-2</v>
      </c>
      <c r="W410" s="146">
        <v>5.5541E-2</v>
      </c>
      <c r="X410" s="143" t="s">
        <v>412</v>
      </c>
      <c r="Y410" s="145" t="s">
        <v>3853</v>
      </c>
      <c r="Z410" s="144">
        <v>884566</v>
      </c>
      <c r="AA410" s="145" t="s">
        <v>3853</v>
      </c>
      <c r="AB410" s="143" t="s">
        <v>1446</v>
      </c>
      <c r="AC410" s="145" t="s">
        <v>3853</v>
      </c>
      <c r="AD410" s="144">
        <v>821.05419999999992</v>
      </c>
      <c r="AE410" s="145" t="s">
        <v>3853</v>
      </c>
      <c r="AF410" s="145" t="s">
        <v>3853</v>
      </c>
      <c r="AG410" s="145" t="s">
        <v>3853</v>
      </c>
      <c r="AH410" s="146">
        <v>3.6855385171848673E-3</v>
      </c>
      <c r="AI410" s="146">
        <v>9.4710062607466768E-4</v>
      </c>
      <c r="AJ410" s="147">
        <v>1.0938584492204502E-4</v>
      </c>
      <c r="AK410" s="181"/>
    </row>
    <row r="411" spans="1:37" ht="15" x14ac:dyDescent="0.2">
      <c r="A411" s="142" t="s">
        <v>1218</v>
      </c>
      <c r="B411" s="143" t="s">
        <v>1218</v>
      </c>
      <c r="C411" s="143" t="s">
        <v>1424</v>
      </c>
      <c r="D411" s="143" t="s">
        <v>1425</v>
      </c>
      <c r="E411" s="143" t="s">
        <v>309</v>
      </c>
      <c r="F411" s="143" t="s">
        <v>1447</v>
      </c>
      <c r="G411" s="143" t="s">
        <v>1448</v>
      </c>
      <c r="H411" s="143" t="s">
        <v>321</v>
      </c>
      <c r="I411" s="143" t="s">
        <v>951</v>
      </c>
      <c r="J411" s="143" t="s">
        <v>204</v>
      </c>
      <c r="K411" s="143" t="s">
        <v>204</v>
      </c>
      <c r="L411" s="143" t="s">
        <v>325</v>
      </c>
      <c r="M411" s="143" t="s">
        <v>340</v>
      </c>
      <c r="N411" s="143" t="s">
        <v>445</v>
      </c>
      <c r="O411" s="143" t="s">
        <v>339</v>
      </c>
      <c r="P411" s="143" t="s">
        <v>1359</v>
      </c>
      <c r="Q411" s="143" t="s">
        <v>415</v>
      </c>
      <c r="R411" s="143" t="s">
        <v>407</v>
      </c>
      <c r="S411" s="143" t="s">
        <v>1210</v>
      </c>
      <c r="T411" s="144">
        <v>4.16</v>
      </c>
      <c r="U411" s="143" t="s">
        <v>1449</v>
      </c>
      <c r="V411" s="146">
        <v>3.95E-2</v>
      </c>
      <c r="W411" s="146">
        <v>5.3097999999999999E-2</v>
      </c>
      <c r="X411" s="143" t="s">
        <v>412</v>
      </c>
      <c r="Y411" s="145" t="s">
        <v>3853</v>
      </c>
      <c r="Z411" s="144">
        <v>784329</v>
      </c>
      <c r="AA411" s="145" t="s">
        <v>3853</v>
      </c>
      <c r="AB411" s="143" t="s">
        <v>1450</v>
      </c>
      <c r="AC411" s="145" t="s">
        <v>3853</v>
      </c>
      <c r="AD411" s="144">
        <v>744.17140000000006</v>
      </c>
      <c r="AE411" s="145" t="s">
        <v>3853</v>
      </c>
      <c r="AF411" s="145" t="s">
        <v>3853</v>
      </c>
      <c r="AG411" s="145" t="s">
        <v>3853</v>
      </c>
      <c r="AH411" s="146">
        <v>3.2679017050678974E-3</v>
      </c>
      <c r="AI411" s="146">
        <v>8.5841493743440262E-4</v>
      </c>
      <c r="AJ411" s="147">
        <v>9.9143048415178397E-5</v>
      </c>
      <c r="AK411" s="181"/>
    </row>
    <row r="412" spans="1:37" ht="15" x14ac:dyDescent="0.2">
      <c r="A412" s="142" t="s">
        <v>1218</v>
      </c>
      <c r="B412" s="143" t="s">
        <v>1218</v>
      </c>
      <c r="C412" s="143" t="s">
        <v>1873</v>
      </c>
      <c r="D412" s="143" t="s">
        <v>1874</v>
      </c>
      <c r="E412" s="143" t="s">
        <v>309</v>
      </c>
      <c r="F412" s="143" t="s">
        <v>1875</v>
      </c>
      <c r="G412" s="143" t="s">
        <v>1876</v>
      </c>
      <c r="H412" s="143" t="s">
        <v>321</v>
      </c>
      <c r="I412" s="143" t="s">
        <v>951</v>
      </c>
      <c r="J412" s="143" t="s">
        <v>204</v>
      </c>
      <c r="K412" s="143" t="s">
        <v>204</v>
      </c>
      <c r="L412" s="143" t="s">
        <v>325</v>
      </c>
      <c r="M412" s="143" t="s">
        <v>340</v>
      </c>
      <c r="N412" s="143" t="s">
        <v>445</v>
      </c>
      <c r="O412" s="143" t="s">
        <v>339</v>
      </c>
      <c r="P412" s="143" t="s">
        <v>1440</v>
      </c>
      <c r="Q412" s="143" t="s">
        <v>415</v>
      </c>
      <c r="R412" s="143" t="s">
        <v>407</v>
      </c>
      <c r="S412" s="143" t="s">
        <v>1210</v>
      </c>
      <c r="T412" s="144">
        <v>1.35</v>
      </c>
      <c r="U412" s="143" t="s">
        <v>1877</v>
      </c>
      <c r="V412" s="146">
        <v>3.27E-2</v>
      </c>
      <c r="W412" s="146">
        <v>5.0407E-2</v>
      </c>
      <c r="X412" s="143" t="s">
        <v>412</v>
      </c>
      <c r="Y412" s="145" t="s">
        <v>3853</v>
      </c>
      <c r="Z412" s="144">
        <v>628000</v>
      </c>
      <c r="AA412" s="145" t="s">
        <v>3853</v>
      </c>
      <c r="AB412" s="143" t="s">
        <v>1878</v>
      </c>
      <c r="AC412" s="145" t="s">
        <v>3853</v>
      </c>
      <c r="AD412" s="144">
        <v>616.4448000000001</v>
      </c>
      <c r="AE412" s="145" t="s">
        <v>3853</v>
      </c>
      <c r="AF412" s="145" t="s">
        <v>3853</v>
      </c>
      <c r="AG412" s="145" t="s">
        <v>3853</v>
      </c>
      <c r="AH412" s="146">
        <v>1.9899047190527039E-3</v>
      </c>
      <c r="AI412" s="146">
        <v>7.1108007682121389E-4</v>
      </c>
      <c r="AJ412" s="147">
        <v>8.2126537422633867E-5</v>
      </c>
      <c r="AK412" s="181"/>
    </row>
    <row r="413" spans="1:37" ht="15" x14ac:dyDescent="0.2">
      <c r="A413" s="142" t="s">
        <v>1218</v>
      </c>
      <c r="B413" s="143" t="s">
        <v>1218</v>
      </c>
      <c r="C413" s="143" t="s">
        <v>1889</v>
      </c>
      <c r="D413" s="143" t="s">
        <v>1890</v>
      </c>
      <c r="E413" s="143" t="s">
        <v>309</v>
      </c>
      <c r="F413" s="143" t="s">
        <v>1891</v>
      </c>
      <c r="G413" s="143" t="s">
        <v>1892</v>
      </c>
      <c r="H413" s="143" t="s">
        <v>321</v>
      </c>
      <c r="I413" s="143" t="s">
        <v>951</v>
      </c>
      <c r="J413" s="143" t="s">
        <v>204</v>
      </c>
      <c r="K413" s="143" t="s">
        <v>204</v>
      </c>
      <c r="L413" s="143" t="s">
        <v>325</v>
      </c>
      <c r="M413" s="143" t="s">
        <v>340</v>
      </c>
      <c r="N413" s="143" t="s">
        <v>437</v>
      </c>
      <c r="O413" s="143" t="s">
        <v>339</v>
      </c>
      <c r="P413" s="143" t="s">
        <v>1359</v>
      </c>
      <c r="Q413" s="143" t="s">
        <v>415</v>
      </c>
      <c r="R413" s="143" t="s">
        <v>407</v>
      </c>
      <c r="S413" s="143" t="s">
        <v>1210</v>
      </c>
      <c r="T413" s="144">
        <v>2</v>
      </c>
      <c r="U413" s="143" t="s">
        <v>1893</v>
      </c>
      <c r="V413" s="146">
        <v>0.05</v>
      </c>
      <c r="W413" s="146">
        <v>5.2474E-2</v>
      </c>
      <c r="X413" s="143" t="s">
        <v>412</v>
      </c>
      <c r="Y413" s="145" t="s">
        <v>3853</v>
      </c>
      <c r="Z413" s="144">
        <v>607693.64</v>
      </c>
      <c r="AA413" s="145" t="s">
        <v>3853</v>
      </c>
      <c r="AB413" s="143" t="s">
        <v>1894</v>
      </c>
      <c r="AC413" s="145" t="s">
        <v>3853</v>
      </c>
      <c r="AD413" s="144">
        <v>615.65440000000001</v>
      </c>
      <c r="AE413" s="145" t="s">
        <v>3853</v>
      </c>
      <c r="AF413" s="145" t="s">
        <v>3853</v>
      </c>
      <c r="AG413" s="145" t="s">
        <v>3853</v>
      </c>
      <c r="AH413" s="146">
        <v>2.1783579354558444E-3</v>
      </c>
      <c r="AI413" s="146">
        <v>7.1016836709755532E-4</v>
      </c>
      <c r="AJ413" s="147">
        <v>8.2021239067104999E-5</v>
      </c>
      <c r="AK413" s="181"/>
    </row>
    <row r="414" spans="1:37" ht="15" x14ac:dyDescent="0.2">
      <c r="A414" s="142" t="s">
        <v>1218</v>
      </c>
      <c r="B414" s="143" t="s">
        <v>1218</v>
      </c>
      <c r="C414" s="143" t="s">
        <v>1355</v>
      </c>
      <c r="D414" s="143" t="s">
        <v>1356</v>
      </c>
      <c r="E414" s="143" t="s">
        <v>309</v>
      </c>
      <c r="F414" s="143" t="s">
        <v>1879</v>
      </c>
      <c r="G414" s="143" t="s">
        <v>1880</v>
      </c>
      <c r="H414" s="143" t="s">
        <v>321</v>
      </c>
      <c r="I414" s="143" t="s">
        <v>951</v>
      </c>
      <c r="J414" s="143" t="s">
        <v>204</v>
      </c>
      <c r="K414" s="143" t="s">
        <v>204</v>
      </c>
      <c r="L414" s="143" t="s">
        <v>325</v>
      </c>
      <c r="M414" s="143" t="s">
        <v>340</v>
      </c>
      <c r="N414" s="143" t="s">
        <v>445</v>
      </c>
      <c r="O414" s="143" t="s">
        <v>339</v>
      </c>
      <c r="P414" s="143" t="s">
        <v>1359</v>
      </c>
      <c r="Q414" s="143" t="s">
        <v>415</v>
      </c>
      <c r="R414" s="143" t="s">
        <v>407</v>
      </c>
      <c r="S414" s="143" t="s">
        <v>1210</v>
      </c>
      <c r="T414" s="144">
        <v>4.53</v>
      </c>
      <c r="U414" s="143" t="s">
        <v>1881</v>
      </c>
      <c r="V414" s="146">
        <v>2.6200000000000001E-2</v>
      </c>
      <c r="W414" s="146">
        <v>5.5462999999999998E-2</v>
      </c>
      <c r="X414" s="143" t="s">
        <v>412</v>
      </c>
      <c r="Y414" s="145" t="s">
        <v>3853</v>
      </c>
      <c r="Z414" s="144">
        <v>630000</v>
      </c>
      <c r="AA414" s="145" t="s">
        <v>3853</v>
      </c>
      <c r="AB414" s="143" t="s">
        <v>1882</v>
      </c>
      <c r="AC414" s="145" t="s">
        <v>3853</v>
      </c>
      <c r="AD414" s="144">
        <v>557.42399999999998</v>
      </c>
      <c r="AE414" s="145" t="s">
        <v>3853</v>
      </c>
      <c r="AF414" s="145" t="s">
        <v>3853</v>
      </c>
      <c r="AG414" s="145" t="s">
        <v>3853</v>
      </c>
      <c r="AH414" s="146">
        <v>4.8710298207538342E-4</v>
      </c>
      <c r="AI414" s="146">
        <v>6.4299853083680538E-4</v>
      </c>
      <c r="AJ414" s="147">
        <v>7.4263426338050479E-5</v>
      </c>
      <c r="AK414" s="181"/>
    </row>
    <row r="415" spans="1:37" ht="15" x14ac:dyDescent="0.2">
      <c r="A415" s="142" t="s">
        <v>1218</v>
      </c>
      <c r="B415" s="143" t="s">
        <v>1218</v>
      </c>
      <c r="C415" s="143" t="s">
        <v>1386</v>
      </c>
      <c r="D415" s="143" t="s">
        <v>1387</v>
      </c>
      <c r="E415" s="143" t="s">
        <v>309</v>
      </c>
      <c r="F415" s="143" t="s">
        <v>1388</v>
      </c>
      <c r="G415" s="143" t="s">
        <v>1389</v>
      </c>
      <c r="H415" s="143" t="s">
        <v>321</v>
      </c>
      <c r="I415" s="143" t="s">
        <v>951</v>
      </c>
      <c r="J415" s="143" t="s">
        <v>204</v>
      </c>
      <c r="K415" s="143" t="s">
        <v>204</v>
      </c>
      <c r="L415" s="143" t="s">
        <v>325</v>
      </c>
      <c r="M415" s="143" t="s">
        <v>340</v>
      </c>
      <c r="N415" s="143" t="s">
        <v>464</v>
      </c>
      <c r="O415" s="143" t="s">
        <v>339</v>
      </c>
      <c r="P415" s="143" t="s">
        <v>1359</v>
      </c>
      <c r="Q415" s="143" t="s">
        <v>415</v>
      </c>
      <c r="R415" s="143" t="s">
        <v>407</v>
      </c>
      <c r="S415" s="143" t="s">
        <v>1210</v>
      </c>
      <c r="T415" s="144">
        <v>1.6</v>
      </c>
      <c r="U415" s="143" t="s">
        <v>1390</v>
      </c>
      <c r="V415" s="146">
        <v>3.85E-2</v>
      </c>
      <c r="W415" s="146">
        <v>5.5798E-2</v>
      </c>
      <c r="X415" s="143" t="s">
        <v>412</v>
      </c>
      <c r="Y415" s="145" t="s">
        <v>3853</v>
      </c>
      <c r="Z415" s="144">
        <v>533119.98</v>
      </c>
      <c r="AA415" s="145" t="s">
        <v>3853</v>
      </c>
      <c r="AB415" s="143" t="s">
        <v>1391</v>
      </c>
      <c r="AC415" s="145" t="s">
        <v>3853</v>
      </c>
      <c r="AD415" s="144">
        <v>525.86950000000002</v>
      </c>
      <c r="AE415" s="145" t="s">
        <v>3853</v>
      </c>
      <c r="AF415" s="145" t="s">
        <v>3853</v>
      </c>
      <c r="AG415" s="145" t="s">
        <v>3853</v>
      </c>
      <c r="AH415" s="146">
        <v>7.4174557748687444E-4</v>
      </c>
      <c r="AI415" s="146">
        <v>6.0659990770169656E-4</v>
      </c>
      <c r="AJ415" s="147">
        <v>7.0059549753009474E-5</v>
      </c>
      <c r="AK415" s="181"/>
    </row>
    <row r="416" spans="1:37" ht="15" x14ac:dyDescent="0.2">
      <c r="A416" s="142" t="s">
        <v>1218</v>
      </c>
      <c r="B416" s="143" t="s">
        <v>1218</v>
      </c>
      <c r="C416" s="143" t="s">
        <v>1883</v>
      </c>
      <c r="D416" s="143" t="s">
        <v>1884</v>
      </c>
      <c r="E416" s="143" t="s">
        <v>309</v>
      </c>
      <c r="F416" s="143" t="s">
        <v>1885</v>
      </c>
      <c r="G416" s="143" t="s">
        <v>1886</v>
      </c>
      <c r="H416" s="143" t="s">
        <v>321</v>
      </c>
      <c r="I416" s="143" t="s">
        <v>951</v>
      </c>
      <c r="J416" s="143" t="s">
        <v>204</v>
      </c>
      <c r="K416" s="143" t="s">
        <v>204</v>
      </c>
      <c r="L416" s="143" t="s">
        <v>325</v>
      </c>
      <c r="M416" s="143" t="s">
        <v>340</v>
      </c>
      <c r="N416" s="143" t="s">
        <v>464</v>
      </c>
      <c r="O416" s="143" t="s">
        <v>339</v>
      </c>
      <c r="P416" s="143" t="s">
        <v>1409</v>
      </c>
      <c r="Q416" s="143" t="s">
        <v>413</v>
      </c>
      <c r="R416" s="143" t="s">
        <v>407</v>
      </c>
      <c r="S416" s="143" t="s">
        <v>1210</v>
      </c>
      <c r="T416" s="144">
        <v>0.98</v>
      </c>
      <c r="U416" s="143" t="s">
        <v>1887</v>
      </c>
      <c r="V416" s="146">
        <v>2.5499999999999998E-2</v>
      </c>
      <c r="W416" s="146">
        <v>4.9253999999999999E-2</v>
      </c>
      <c r="X416" s="143" t="s">
        <v>412</v>
      </c>
      <c r="Y416" s="145" t="s">
        <v>3853</v>
      </c>
      <c r="Z416" s="144">
        <v>496400.12</v>
      </c>
      <c r="AA416" s="145" t="s">
        <v>3853</v>
      </c>
      <c r="AB416" s="143" t="s">
        <v>1888</v>
      </c>
      <c r="AC416" s="145" t="s">
        <v>3853</v>
      </c>
      <c r="AD416" s="144">
        <v>485.62819999999999</v>
      </c>
      <c r="AE416" s="145" t="s">
        <v>3853</v>
      </c>
      <c r="AF416" s="145" t="s">
        <v>3853</v>
      </c>
      <c r="AG416" s="145" t="s">
        <v>3853</v>
      </c>
      <c r="AH416" s="146">
        <v>7.3970334386362279E-3</v>
      </c>
      <c r="AI416" s="146">
        <v>5.6018083752851569E-4</v>
      </c>
      <c r="AJ416" s="147">
        <v>6.4698356790405756E-5</v>
      </c>
      <c r="AK416" s="181"/>
    </row>
    <row r="417" spans="1:37" ht="15" x14ac:dyDescent="0.2">
      <c r="A417" s="142" t="s">
        <v>1218</v>
      </c>
      <c r="B417" s="143" t="s">
        <v>1218</v>
      </c>
      <c r="C417" s="143" t="s">
        <v>1349</v>
      </c>
      <c r="D417" s="143" t="s">
        <v>1350</v>
      </c>
      <c r="E417" s="143" t="s">
        <v>309</v>
      </c>
      <c r="F417" s="143" t="s">
        <v>1463</v>
      </c>
      <c r="G417" s="143" t="s">
        <v>1464</v>
      </c>
      <c r="H417" s="143" t="s">
        <v>321</v>
      </c>
      <c r="I417" s="143" t="s">
        <v>754</v>
      </c>
      <c r="J417" s="143" t="s">
        <v>204</v>
      </c>
      <c r="K417" s="143" t="s">
        <v>204</v>
      </c>
      <c r="L417" s="143" t="s">
        <v>325</v>
      </c>
      <c r="M417" s="143" t="s">
        <v>340</v>
      </c>
      <c r="N417" s="143" t="s">
        <v>448</v>
      </c>
      <c r="O417" s="143" t="s">
        <v>339</v>
      </c>
      <c r="P417" s="143" t="s">
        <v>1222</v>
      </c>
      <c r="Q417" s="143" t="s">
        <v>413</v>
      </c>
      <c r="R417" s="143" t="s">
        <v>407</v>
      </c>
      <c r="S417" s="143" t="s">
        <v>1210</v>
      </c>
      <c r="T417" s="144">
        <v>0.24</v>
      </c>
      <c r="U417" s="143" t="s">
        <v>1465</v>
      </c>
      <c r="V417" s="146">
        <v>8.6E-3</v>
      </c>
      <c r="W417" s="146">
        <v>2.5704999999999999E-2</v>
      </c>
      <c r="X417" s="143" t="s">
        <v>412</v>
      </c>
      <c r="Y417" s="145" t="s">
        <v>3853</v>
      </c>
      <c r="Z417" s="144">
        <v>25614152</v>
      </c>
      <c r="AA417" s="145" t="s">
        <v>3853</v>
      </c>
      <c r="AB417" s="143" t="s">
        <v>1466</v>
      </c>
      <c r="AC417" s="145" t="s">
        <v>3853</v>
      </c>
      <c r="AD417" s="144">
        <v>29440.906300000002</v>
      </c>
      <c r="AE417" s="145" t="s">
        <v>3853</v>
      </c>
      <c r="AF417" s="145" t="s">
        <v>3853</v>
      </c>
      <c r="AG417" s="145" t="s">
        <v>3853</v>
      </c>
      <c r="AH417" s="146">
        <v>1.0240127035350096E-2</v>
      </c>
      <c r="AI417" s="146">
        <v>3.3960610779339311E-2</v>
      </c>
      <c r="AJ417" s="147">
        <v>3.9222971687423117E-3</v>
      </c>
      <c r="AK417" s="181"/>
    </row>
    <row r="418" spans="1:37" ht="15" x14ac:dyDescent="0.2">
      <c r="A418" s="142" t="s">
        <v>1218</v>
      </c>
      <c r="B418" s="143" t="s">
        <v>1218</v>
      </c>
      <c r="C418" s="143" t="s">
        <v>1481</v>
      </c>
      <c r="D418" s="143" t="s">
        <v>1482</v>
      </c>
      <c r="E418" s="143" t="s">
        <v>309</v>
      </c>
      <c r="F418" s="143" t="s">
        <v>1483</v>
      </c>
      <c r="G418" s="143" t="s">
        <v>1484</v>
      </c>
      <c r="H418" s="143" t="s">
        <v>321</v>
      </c>
      <c r="I418" s="143" t="s">
        <v>754</v>
      </c>
      <c r="J418" s="143" t="s">
        <v>204</v>
      </c>
      <c r="K418" s="143" t="s">
        <v>204</v>
      </c>
      <c r="L418" s="143" t="s">
        <v>325</v>
      </c>
      <c r="M418" s="143" t="s">
        <v>340</v>
      </c>
      <c r="N418" s="143" t="s">
        <v>448</v>
      </c>
      <c r="O418" s="143" t="s">
        <v>339</v>
      </c>
      <c r="P418" s="143" t="s">
        <v>1222</v>
      </c>
      <c r="Q418" s="143" t="s">
        <v>413</v>
      </c>
      <c r="R418" s="143" t="s">
        <v>407</v>
      </c>
      <c r="S418" s="143" t="s">
        <v>1210</v>
      </c>
      <c r="T418" s="144">
        <v>5.39</v>
      </c>
      <c r="U418" s="143" t="s">
        <v>1485</v>
      </c>
      <c r="V418" s="146">
        <v>1E-3</v>
      </c>
      <c r="W418" s="146">
        <v>2.5815000000000001E-2</v>
      </c>
      <c r="X418" s="143" t="s">
        <v>412</v>
      </c>
      <c r="Y418" s="145" t="s">
        <v>3853</v>
      </c>
      <c r="Z418" s="144">
        <v>20000000</v>
      </c>
      <c r="AA418" s="145" t="s">
        <v>3853</v>
      </c>
      <c r="AB418" s="143" t="s">
        <v>1486</v>
      </c>
      <c r="AC418" s="145" t="s">
        <v>3853</v>
      </c>
      <c r="AD418" s="144">
        <v>19426</v>
      </c>
      <c r="AE418" s="145" t="s">
        <v>3853</v>
      </c>
      <c r="AF418" s="145" t="s">
        <v>3853</v>
      </c>
      <c r="AG418" s="145" t="s">
        <v>3853</v>
      </c>
      <c r="AH418" s="146">
        <v>8.0423639563766101E-3</v>
      </c>
      <c r="AI418" s="146">
        <v>2.2408237643222719E-2</v>
      </c>
      <c r="AJ418" s="147">
        <v>2.5880502454917057E-3</v>
      </c>
      <c r="AK418" s="181"/>
    </row>
    <row r="419" spans="1:37" ht="15" x14ac:dyDescent="0.2">
      <c r="A419" s="142" t="s">
        <v>1218</v>
      </c>
      <c r="B419" s="143" t="s">
        <v>1218</v>
      </c>
      <c r="C419" s="143" t="s">
        <v>1349</v>
      </c>
      <c r="D419" s="143" t="s">
        <v>1350</v>
      </c>
      <c r="E419" s="143" t="s">
        <v>309</v>
      </c>
      <c r="F419" s="143" t="s">
        <v>1477</v>
      </c>
      <c r="G419" s="143" t="s">
        <v>1478</v>
      </c>
      <c r="H419" s="143" t="s">
        <v>321</v>
      </c>
      <c r="I419" s="143" t="s">
        <v>754</v>
      </c>
      <c r="J419" s="143" t="s">
        <v>204</v>
      </c>
      <c r="K419" s="143" t="s">
        <v>204</v>
      </c>
      <c r="L419" s="143" t="s">
        <v>325</v>
      </c>
      <c r="M419" s="143" t="s">
        <v>340</v>
      </c>
      <c r="N419" s="143" t="s">
        <v>448</v>
      </c>
      <c r="O419" s="143" t="s">
        <v>339</v>
      </c>
      <c r="P419" s="143" t="s">
        <v>1222</v>
      </c>
      <c r="Q419" s="143" t="s">
        <v>413</v>
      </c>
      <c r="R419" s="143" t="s">
        <v>407</v>
      </c>
      <c r="S419" s="143" t="s">
        <v>1210</v>
      </c>
      <c r="T419" s="144">
        <v>3.17</v>
      </c>
      <c r="U419" s="143" t="s">
        <v>1479</v>
      </c>
      <c r="V419" s="146">
        <v>1.2200000000000001E-2</v>
      </c>
      <c r="W419" s="146">
        <v>2.41E-2</v>
      </c>
      <c r="X419" s="143" t="s">
        <v>412</v>
      </c>
      <c r="Y419" s="145" t="s">
        <v>3853</v>
      </c>
      <c r="Z419" s="144">
        <v>17379335</v>
      </c>
      <c r="AA419" s="145" t="s">
        <v>3853</v>
      </c>
      <c r="AB419" s="143" t="s">
        <v>1480</v>
      </c>
      <c r="AC419" s="145" t="s">
        <v>3853</v>
      </c>
      <c r="AD419" s="144">
        <v>19381.434399999998</v>
      </c>
      <c r="AE419" s="145" t="s">
        <v>3853</v>
      </c>
      <c r="AF419" s="145" t="s">
        <v>3853</v>
      </c>
      <c r="AG419" s="145" t="s">
        <v>3853</v>
      </c>
      <c r="AH419" s="146">
        <v>5.7631203881666473E-3</v>
      </c>
      <c r="AI419" s="146">
        <v>2.2356830419152981E-2</v>
      </c>
      <c r="AJ419" s="147">
        <v>2.5821129432820442E-3</v>
      </c>
      <c r="AK419" s="181"/>
    </row>
    <row r="420" spans="1:37" ht="15" x14ac:dyDescent="0.2">
      <c r="A420" s="142" t="s">
        <v>1218</v>
      </c>
      <c r="B420" s="143" t="s">
        <v>1218</v>
      </c>
      <c r="C420" s="143" t="s">
        <v>1343</v>
      </c>
      <c r="D420" s="143" t="s">
        <v>1344</v>
      </c>
      <c r="E420" s="143" t="s">
        <v>309</v>
      </c>
      <c r="F420" s="143" t="s">
        <v>1487</v>
      </c>
      <c r="G420" s="143" t="s">
        <v>1488</v>
      </c>
      <c r="H420" s="143" t="s">
        <v>321</v>
      </c>
      <c r="I420" s="143" t="s">
        <v>754</v>
      </c>
      <c r="J420" s="143" t="s">
        <v>204</v>
      </c>
      <c r="K420" s="143" t="s">
        <v>204</v>
      </c>
      <c r="L420" s="143" t="s">
        <v>325</v>
      </c>
      <c r="M420" s="143" t="s">
        <v>340</v>
      </c>
      <c r="N420" s="143" t="s">
        <v>445</v>
      </c>
      <c r="O420" s="143" t="s">
        <v>339</v>
      </c>
      <c r="P420" s="143" t="s">
        <v>1347</v>
      </c>
      <c r="Q420" s="143" t="s">
        <v>413</v>
      </c>
      <c r="R420" s="143" t="s">
        <v>407</v>
      </c>
      <c r="S420" s="143" t="s">
        <v>1210</v>
      </c>
      <c r="T420" s="144">
        <v>6.93</v>
      </c>
      <c r="U420" s="143" t="s">
        <v>1489</v>
      </c>
      <c r="V420" s="146">
        <v>2.5000000000000001E-2</v>
      </c>
      <c r="W420" s="146">
        <v>6.1810999999999998E-2</v>
      </c>
      <c r="X420" s="143" t="s">
        <v>412</v>
      </c>
      <c r="Y420" s="145" t="s">
        <v>3853</v>
      </c>
      <c r="Z420" s="144">
        <v>23841790</v>
      </c>
      <c r="AA420" s="145" t="s">
        <v>3853</v>
      </c>
      <c r="AB420" s="143" t="s">
        <v>1490</v>
      </c>
      <c r="AC420" s="145" t="s">
        <v>3853</v>
      </c>
      <c r="AD420" s="144">
        <v>18765.872899999998</v>
      </c>
      <c r="AE420" s="145" t="s">
        <v>3853</v>
      </c>
      <c r="AF420" s="145" t="s">
        <v>3853</v>
      </c>
      <c r="AG420" s="145" t="s">
        <v>3853</v>
      </c>
      <c r="AH420" s="146">
        <v>1.7877133042990899E-2</v>
      </c>
      <c r="AI420" s="146">
        <v>2.1646769264253435E-2</v>
      </c>
      <c r="AJ420" s="147">
        <v>2.5001040867396068E-3</v>
      </c>
      <c r="AK420" s="181"/>
    </row>
    <row r="421" spans="1:37" ht="15" x14ac:dyDescent="0.2">
      <c r="A421" s="142" t="s">
        <v>1218</v>
      </c>
      <c r="B421" s="143" t="s">
        <v>1218</v>
      </c>
      <c r="C421" s="143" t="s">
        <v>1526</v>
      </c>
      <c r="D421" s="143" t="s">
        <v>1527</v>
      </c>
      <c r="E421" s="143" t="s">
        <v>313</v>
      </c>
      <c r="F421" s="143" t="s">
        <v>1546</v>
      </c>
      <c r="G421" s="143" t="s">
        <v>1547</v>
      </c>
      <c r="H421" s="143" t="s">
        <v>321</v>
      </c>
      <c r="I421" s="143" t="s">
        <v>754</v>
      </c>
      <c r="J421" s="143" t="s">
        <v>204</v>
      </c>
      <c r="K421" s="143" t="s">
        <v>204</v>
      </c>
      <c r="L421" s="143" t="s">
        <v>325</v>
      </c>
      <c r="M421" s="143" t="s">
        <v>340</v>
      </c>
      <c r="N421" s="143" t="s">
        <v>440</v>
      </c>
      <c r="O421" s="143" t="s">
        <v>339</v>
      </c>
      <c r="P421" s="143" t="s">
        <v>1530</v>
      </c>
      <c r="Q421" s="143" t="s">
        <v>415</v>
      </c>
      <c r="R421" s="143" t="s">
        <v>407</v>
      </c>
      <c r="S421" s="143" t="s">
        <v>1210</v>
      </c>
      <c r="T421" s="144">
        <v>1.1299999999999999</v>
      </c>
      <c r="U421" s="143" t="s">
        <v>1548</v>
      </c>
      <c r="V421" s="146">
        <v>4.4999999999999998E-2</v>
      </c>
      <c r="W421" s="146">
        <v>2.6681E-2</v>
      </c>
      <c r="X421" s="143" t="s">
        <v>412</v>
      </c>
      <c r="Y421" s="145" t="s">
        <v>3853</v>
      </c>
      <c r="Z421" s="144">
        <v>13445749</v>
      </c>
      <c r="AA421" s="145" t="s">
        <v>3853</v>
      </c>
      <c r="AB421" s="143" t="s">
        <v>1549</v>
      </c>
      <c r="AC421" s="145" t="s">
        <v>3853</v>
      </c>
      <c r="AD421" s="144">
        <v>16039.433999999999</v>
      </c>
      <c r="AE421" s="145" t="s">
        <v>3853</v>
      </c>
      <c r="AF421" s="145" t="s">
        <v>3853</v>
      </c>
      <c r="AG421" s="145" t="s">
        <v>3853</v>
      </c>
      <c r="AH421" s="146">
        <v>4.5492386432448052E-3</v>
      </c>
      <c r="AI421" s="146">
        <v>1.8501773310701065E-2</v>
      </c>
      <c r="AJ421" s="147">
        <v>2.1368712578462841E-3</v>
      </c>
      <c r="AK421" s="181"/>
    </row>
    <row r="422" spans="1:37" ht="15" x14ac:dyDescent="0.2">
      <c r="A422" s="142" t="s">
        <v>1218</v>
      </c>
      <c r="B422" s="143" t="s">
        <v>1218</v>
      </c>
      <c r="C422" s="143" t="s">
        <v>1568</v>
      </c>
      <c r="D422" s="143" t="s">
        <v>1569</v>
      </c>
      <c r="E422" s="143" t="s">
        <v>309</v>
      </c>
      <c r="F422" s="143" t="s">
        <v>1601</v>
      </c>
      <c r="G422" s="143" t="s">
        <v>1602</v>
      </c>
      <c r="H422" s="143" t="s">
        <v>321</v>
      </c>
      <c r="I422" s="143" t="s">
        <v>754</v>
      </c>
      <c r="J422" s="143" t="s">
        <v>204</v>
      </c>
      <c r="K422" s="143" t="s">
        <v>204</v>
      </c>
      <c r="L422" s="143" t="s">
        <v>325</v>
      </c>
      <c r="M422" s="143" t="s">
        <v>340</v>
      </c>
      <c r="N422" s="143" t="s">
        <v>448</v>
      </c>
      <c r="O422" s="143" t="s">
        <v>339</v>
      </c>
      <c r="P422" s="143" t="s">
        <v>1222</v>
      </c>
      <c r="Q422" s="143" t="s">
        <v>413</v>
      </c>
      <c r="R422" s="143" t="s">
        <v>407</v>
      </c>
      <c r="S422" s="143" t="s">
        <v>1210</v>
      </c>
      <c r="T422" s="144">
        <v>3.26</v>
      </c>
      <c r="U422" s="143" t="s">
        <v>1603</v>
      </c>
      <c r="V422" s="146">
        <v>1.7500000000000002E-2</v>
      </c>
      <c r="W422" s="146">
        <v>2.4340000000000001E-2</v>
      </c>
      <c r="X422" s="143" t="s">
        <v>412</v>
      </c>
      <c r="Y422" s="145" t="s">
        <v>3853</v>
      </c>
      <c r="Z422" s="144">
        <v>13505707.869999999</v>
      </c>
      <c r="AA422" s="145" t="s">
        <v>3853</v>
      </c>
      <c r="AB422" s="143" t="s">
        <v>1604</v>
      </c>
      <c r="AC422" s="145" t="s">
        <v>3853</v>
      </c>
      <c r="AD422" s="144">
        <v>15060.214800000002</v>
      </c>
      <c r="AE422" s="145" t="s">
        <v>3853</v>
      </c>
      <c r="AF422" s="145" t="s">
        <v>3853</v>
      </c>
      <c r="AG422" s="145" t="s">
        <v>3853</v>
      </c>
      <c r="AH422" s="146">
        <v>5.1937242479479593E-3</v>
      </c>
      <c r="AI422" s="146">
        <v>1.7372226563549177E-2</v>
      </c>
      <c r="AJ422" s="147">
        <v>2.006413709921048E-3</v>
      </c>
      <c r="AK422" s="181"/>
    </row>
    <row r="423" spans="1:37" ht="15" x14ac:dyDescent="0.2">
      <c r="A423" s="142" t="s">
        <v>1218</v>
      </c>
      <c r="B423" s="143" t="s">
        <v>1218</v>
      </c>
      <c r="C423" s="143" t="s">
        <v>1526</v>
      </c>
      <c r="D423" s="143" t="s">
        <v>1527</v>
      </c>
      <c r="E423" s="143" t="s">
        <v>313</v>
      </c>
      <c r="F423" s="143" t="s">
        <v>1556</v>
      </c>
      <c r="G423" s="143" t="s">
        <v>1557</v>
      </c>
      <c r="H423" s="143" t="s">
        <v>321</v>
      </c>
      <c r="I423" s="143" t="s">
        <v>754</v>
      </c>
      <c r="J423" s="143" t="s">
        <v>204</v>
      </c>
      <c r="K423" s="143" t="s">
        <v>204</v>
      </c>
      <c r="L423" s="143" t="s">
        <v>325</v>
      </c>
      <c r="M423" s="143" t="s">
        <v>340</v>
      </c>
      <c r="N423" s="143" t="s">
        <v>440</v>
      </c>
      <c r="O423" s="143" t="s">
        <v>339</v>
      </c>
      <c r="P423" s="143" t="s">
        <v>1530</v>
      </c>
      <c r="Q423" s="143" t="s">
        <v>415</v>
      </c>
      <c r="R423" s="143" t="s">
        <v>407</v>
      </c>
      <c r="S423" s="143" t="s">
        <v>1210</v>
      </c>
      <c r="T423" s="144">
        <v>5.97</v>
      </c>
      <c r="U423" s="143" t="s">
        <v>1558</v>
      </c>
      <c r="V423" s="146">
        <v>2.3900000000000001E-2</v>
      </c>
      <c r="W423" s="146">
        <v>3.0173999999999999E-2</v>
      </c>
      <c r="X423" s="143" t="s">
        <v>412</v>
      </c>
      <c r="Y423" s="145" t="s">
        <v>3853</v>
      </c>
      <c r="Z423" s="144">
        <v>13000000</v>
      </c>
      <c r="AA423" s="145" t="s">
        <v>3853</v>
      </c>
      <c r="AB423" s="143" t="s">
        <v>1559</v>
      </c>
      <c r="AC423" s="145" t="s">
        <v>3853</v>
      </c>
      <c r="AD423" s="144">
        <v>14293.5</v>
      </c>
      <c r="AE423" s="145" t="s">
        <v>3853</v>
      </c>
      <c r="AF423" s="145" t="s">
        <v>3853</v>
      </c>
      <c r="AG423" s="145" t="s">
        <v>3853</v>
      </c>
      <c r="AH423" s="146">
        <v>3.3426344279004041E-3</v>
      </c>
      <c r="AI423" s="146">
        <v>1.6487807307392358E-2</v>
      </c>
      <c r="AJ423" s="147">
        <v>1.9042672801367084E-3</v>
      </c>
      <c r="AK423" s="181"/>
    </row>
    <row r="424" spans="1:37" ht="15" x14ac:dyDescent="0.2">
      <c r="A424" s="142" t="s">
        <v>1218</v>
      </c>
      <c r="B424" s="143" t="s">
        <v>1218</v>
      </c>
      <c r="C424" s="143" t="s">
        <v>1895</v>
      </c>
      <c r="D424" s="143" t="s">
        <v>1896</v>
      </c>
      <c r="E424" s="143" t="s">
        <v>309</v>
      </c>
      <c r="F424" s="143" t="s">
        <v>1897</v>
      </c>
      <c r="G424" s="143" t="s">
        <v>1898</v>
      </c>
      <c r="H424" s="143" t="s">
        <v>321</v>
      </c>
      <c r="I424" s="143" t="s">
        <v>754</v>
      </c>
      <c r="J424" s="143" t="s">
        <v>204</v>
      </c>
      <c r="K424" s="143" t="s">
        <v>204</v>
      </c>
      <c r="L424" s="143" t="s">
        <v>325</v>
      </c>
      <c r="M424" s="143" t="s">
        <v>340</v>
      </c>
      <c r="N424" s="143" t="s">
        <v>448</v>
      </c>
      <c r="O424" s="143" t="s">
        <v>339</v>
      </c>
      <c r="P424" s="143" t="s">
        <v>1222</v>
      </c>
      <c r="Q424" s="143" t="s">
        <v>413</v>
      </c>
      <c r="R424" s="143" t="s">
        <v>407</v>
      </c>
      <c r="S424" s="143" t="s">
        <v>1210</v>
      </c>
      <c r="T424" s="144">
        <v>5.3</v>
      </c>
      <c r="U424" s="143" t="s">
        <v>1899</v>
      </c>
      <c r="V424" s="146">
        <v>2.1100000000000001E-2</v>
      </c>
      <c r="W424" s="146">
        <v>2.606E-2</v>
      </c>
      <c r="X424" s="143" t="s">
        <v>412</v>
      </c>
      <c r="Y424" s="145" t="s">
        <v>3853</v>
      </c>
      <c r="Z424" s="144">
        <v>14200000</v>
      </c>
      <c r="AA424" s="145" t="s">
        <v>3853</v>
      </c>
      <c r="AB424" s="143" t="s">
        <v>1900</v>
      </c>
      <c r="AC424" s="145" t="s">
        <v>3853</v>
      </c>
      <c r="AD424" s="144">
        <v>14248.28</v>
      </c>
      <c r="AE424" s="145" t="s">
        <v>3853</v>
      </c>
      <c r="AF424" s="145" t="s">
        <v>3853</v>
      </c>
      <c r="AG424" s="145" t="s">
        <v>3853</v>
      </c>
      <c r="AH424" s="146">
        <v>9.0872206799544868E-3</v>
      </c>
      <c r="AI424" s="146">
        <v>1.6435645230473458E-2</v>
      </c>
      <c r="AJ424" s="147">
        <v>1.8982427958321097E-3</v>
      </c>
      <c r="AK424" s="181"/>
    </row>
    <row r="425" spans="1:37" ht="15" x14ac:dyDescent="0.2">
      <c r="A425" s="142" t="s">
        <v>1218</v>
      </c>
      <c r="B425" s="143" t="s">
        <v>1218</v>
      </c>
      <c r="C425" s="143" t="s">
        <v>1481</v>
      </c>
      <c r="D425" s="143" t="s">
        <v>1482</v>
      </c>
      <c r="E425" s="143" t="s">
        <v>309</v>
      </c>
      <c r="F425" s="143" t="s">
        <v>1522</v>
      </c>
      <c r="G425" s="143" t="s">
        <v>1523</v>
      </c>
      <c r="H425" s="143" t="s">
        <v>321</v>
      </c>
      <c r="I425" s="143" t="s">
        <v>754</v>
      </c>
      <c r="J425" s="143" t="s">
        <v>204</v>
      </c>
      <c r="K425" s="143" t="s">
        <v>204</v>
      </c>
      <c r="L425" s="143" t="s">
        <v>325</v>
      </c>
      <c r="M425" s="143" t="s">
        <v>340</v>
      </c>
      <c r="N425" s="143" t="s">
        <v>448</v>
      </c>
      <c r="O425" s="143" t="s">
        <v>339</v>
      </c>
      <c r="P425" s="143" t="s">
        <v>1222</v>
      </c>
      <c r="Q425" s="143" t="s">
        <v>413</v>
      </c>
      <c r="R425" s="143" t="s">
        <v>407</v>
      </c>
      <c r="S425" s="143" t="s">
        <v>1210</v>
      </c>
      <c r="T425" s="144">
        <v>5.29</v>
      </c>
      <c r="U425" s="143" t="s">
        <v>1524</v>
      </c>
      <c r="V425" s="146">
        <v>2.0251999999999999E-2</v>
      </c>
      <c r="W425" s="146">
        <v>2.5944999999999999E-2</v>
      </c>
      <c r="X425" s="143" t="s">
        <v>412</v>
      </c>
      <c r="Y425" s="145" t="s">
        <v>3853</v>
      </c>
      <c r="Z425" s="144">
        <v>14000000</v>
      </c>
      <c r="AA425" s="145" t="s">
        <v>3853</v>
      </c>
      <c r="AB425" s="143" t="s">
        <v>1525</v>
      </c>
      <c r="AC425" s="145" t="s">
        <v>3853</v>
      </c>
      <c r="AD425" s="144">
        <v>13878.2</v>
      </c>
      <c r="AE425" s="145" t="s">
        <v>3853</v>
      </c>
      <c r="AF425" s="145" t="s">
        <v>3853</v>
      </c>
      <c r="AG425" s="145" t="s">
        <v>3853</v>
      </c>
      <c r="AH425" s="146">
        <v>6.5953054615724531E-3</v>
      </c>
      <c r="AI425" s="146">
        <v>1.6008751346657756E-2</v>
      </c>
      <c r="AJ425" s="147">
        <v>1.8489384802318023E-3</v>
      </c>
      <c r="AK425" s="181"/>
    </row>
    <row r="426" spans="1:37" ht="15" x14ac:dyDescent="0.2">
      <c r="A426" s="142" t="s">
        <v>1218</v>
      </c>
      <c r="B426" s="143" t="s">
        <v>1218</v>
      </c>
      <c r="C426" s="143" t="s">
        <v>1526</v>
      </c>
      <c r="D426" s="143" t="s">
        <v>1527</v>
      </c>
      <c r="E426" s="143" t="s">
        <v>313</v>
      </c>
      <c r="F426" s="143" t="s">
        <v>1528</v>
      </c>
      <c r="G426" s="143" t="s">
        <v>1529</v>
      </c>
      <c r="H426" s="143" t="s">
        <v>321</v>
      </c>
      <c r="I426" s="143" t="s">
        <v>754</v>
      </c>
      <c r="J426" s="143" t="s">
        <v>204</v>
      </c>
      <c r="K426" s="143" t="s">
        <v>204</v>
      </c>
      <c r="L426" s="143" t="s">
        <v>325</v>
      </c>
      <c r="M426" s="143" t="s">
        <v>340</v>
      </c>
      <c r="N426" s="143" t="s">
        <v>440</v>
      </c>
      <c r="O426" s="143" t="s">
        <v>339</v>
      </c>
      <c r="P426" s="143" t="s">
        <v>1530</v>
      </c>
      <c r="Q426" s="143" t="s">
        <v>415</v>
      </c>
      <c r="R426" s="143" t="s">
        <v>407</v>
      </c>
      <c r="S426" s="143" t="s">
        <v>1210</v>
      </c>
      <c r="T426" s="144">
        <v>10.64</v>
      </c>
      <c r="U426" s="143" t="s">
        <v>1531</v>
      </c>
      <c r="V426" s="146">
        <v>3.2000000000000001E-2</v>
      </c>
      <c r="W426" s="146">
        <v>3.5250999999999998E-2</v>
      </c>
      <c r="X426" s="143" t="s">
        <v>412</v>
      </c>
      <c r="Y426" s="145" t="s">
        <v>3853</v>
      </c>
      <c r="Z426" s="144">
        <v>13667920</v>
      </c>
      <c r="AA426" s="145" t="s">
        <v>3853</v>
      </c>
      <c r="AB426" s="143" t="s">
        <v>1532</v>
      </c>
      <c r="AC426" s="145" t="s">
        <v>3853</v>
      </c>
      <c r="AD426" s="144">
        <v>13667.92</v>
      </c>
      <c r="AE426" s="145" t="s">
        <v>3853</v>
      </c>
      <c r="AF426" s="145" t="s">
        <v>3853</v>
      </c>
      <c r="AG426" s="145" t="s">
        <v>3853</v>
      </c>
      <c r="AH426" s="146">
        <v>4.3790958145877162E-3</v>
      </c>
      <c r="AI426" s="146">
        <v>1.5766189614359966E-2</v>
      </c>
      <c r="AJ426" s="147">
        <v>1.8209236956327085E-3</v>
      </c>
      <c r="AK426" s="181"/>
    </row>
    <row r="427" spans="1:37" ht="15" x14ac:dyDescent="0.2">
      <c r="A427" s="142" t="s">
        <v>1218</v>
      </c>
      <c r="B427" s="143" t="s">
        <v>1218</v>
      </c>
      <c r="C427" s="143" t="s">
        <v>1526</v>
      </c>
      <c r="D427" s="143" t="s">
        <v>1527</v>
      </c>
      <c r="E427" s="143" t="s">
        <v>313</v>
      </c>
      <c r="F427" s="143" t="s">
        <v>1538</v>
      </c>
      <c r="G427" s="143" t="s">
        <v>1539</v>
      </c>
      <c r="H427" s="143" t="s">
        <v>321</v>
      </c>
      <c r="I427" s="143" t="s">
        <v>754</v>
      </c>
      <c r="J427" s="143" t="s">
        <v>204</v>
      </c>
      <c r="K427" s="143" t="s">
        <v>204</v>
      </c>
      <c r="L427" s="143" t="s">
        <v>325</v>
      </c>
      <c r="M427" s="143" t="s">
        <v>340</v>
      </c>
      <c r="N427" s="143" t="s">
        <v>440</v>
      </c>
      <c r="O427" s="143" t="s">
        <v>339</v>
      </c>
      <c r="P427" s="143" t="s">
        <v>1530</v>
      </c>
      <c r="Q427" s="143" t="s">
        <v>415</v>
      </c>
      <c r="R427" s="143" t="s">
        <v>407</v>
      </c>
      <c r="S427" s="143" t="s">
        <v>1210</v>
      </c>
      <c r="T427" s="144">
        <v>7.89</v>
      </c>
      <c r="U427" s="143" t="s">
        <v>1540</v>
      </c>
      <c r="V427" s="146">
        <v>0.03</v>
      </c>
      <c r="W427" s="146">
        <v>3.3659000000000001E-2</v>
      </c>
      <c r="X427" s="143" t="s">
        <v>412</v>
      </c>
      <c r="Y427" s="145" t="s">
        <v>3853</v>
      </c>
      <c r="Z427" s="144">
        <v>13437000</v>
      </c>
      <c r="AA427" s="145" t="s">
        <v>3853</v>
      </c>
      <c r="AB427" s="143" t="s">
        <v>1541</v>
      </c>
      <c r="AC427" s="145" t="s">
        <v>3853</v>
      </c>
      <c r="AD427" s="144">
        <v>13498.8102</v>
      </c>
      <c r="AE427" s="145" t="s">
        <v>3853</v>
      </c>
      <c r="AF427" s="145" t="s">
        <v>3853</v>
      </c>
      <c r="AG427" s="145" t="s">
        <v>3853</v>
      </c>
      <c r="AH427" s="146">
        <v>5.2568694925518881E-3</v>
      </c>
      <c r="AI427" s="146">
        <v>1.5571118442415257E-2</v>
      </c>
      <c r="AJ427" s="147">
        <v>1.7983938562728273E-3</v>
      </c>
      <c r="AK427" s="181"/>
    </row>
    <row r="428" spans="1:37" ht="15" x14ac:dyDescent="0.2">
      <c r="A428" s="142" t="s">
        <v>1218</v>
      </c>
      <c r="B428" s="143" t="s">
        <v>1218</v>
      </c>
      <c r="C428" s="143" t="s">
        <v>1720</v>
      </c>
      <c r="D428" s="143" t="s">
        <v>1721</v>
      </c>
      <c r="E428" s="143" t="s">
        <v>309</v>
      </c>
      <c r="F428" s="143" t="s">
        <v>1733</v>
      </c>
      <c r="G428" s="143" t="s">
        <v>1734</v>
      </c>
      <c r="H428" s="143" t="s">
        <v>321</v>
      </c>
      <c r="I428" s="143" t="s">
        <v>754</v>
      </c>
      <c r="J428" s="143" t="s">
        <v>204</v>
      </c>
      <c r="K428" s="143" t="s">
        <v>204</v>
      </c>
      <c r="L428" s="143" t="s">
        <v>325</v>
      </c>
      <c r="M428" s="143" t="s">
        <v>340</v>
      </c>
      <c r="N428" s="143" t="s">
        <v>464</v>
      </c>
      <c r="O428" s="143" t="s">
        <v>339</v>
      </c>
      <c r="P428" s="143" t="s">
        <v>1735</v>
      </c>
      <c r="Q428" s="143" t="s">
        <v>413</v>
      </c>
      <c r="R428" s="143" t="s">
        <v>407</v>
      </c>
      <c r="S428" s="143" t="s">
        <v>1210</v>
      </c>
      <c r="T428" s="144">
        <v>10.57</v>
      </c>
      <c r="U428" s="143" t="s">
        <v>1736</v>
      </c>
      <c r="V428" s="146">
        <v>1.6899999999999998E-2</v>
      </c>
      <c r="W428" s="146">
        <v>3.8008E-2</v>
      </c>
      <c r="X428" s="143" t="s">
        <v>412</v>
      </c>
      <c r="Y428" s="145" t="s">
        <v>3853</v>
      </c>
      <c r="Z428" s="144">
        <v>14626096</v>
      </c>
      <c r="AA428" s="145" t="s">
        <v>3853</v>
      </c>
      <c r="AB428" s="143" t="s">
        <v>1737</v>
      </c>
      <c r="AC428" s="144">
        <v>138.2397</v>
      </c>
      <c r="AD428" s="144">
        <v>13272.473900000001</v>
      </c>
      <c r="AE428" s="145" t="s">
        <v>3853</v>
      </c>
      <c r="AF428" s="145" t="s">
        <v>3853</v>
      </c>
      <c r="AG428" s="145" t="s">
        <v>3853</v>
      </c>
      <c r="AH428" s="146">
        <v>3.3523332783248071E-3</v>
      </c>
      <c r="AI428" s="146">
        <v>1.5469497336170134E-2</v>
      </c>
      <c r="AJ428" s="147">
        <v>1.7866570774528125E-3</v>
      </c>
      <c r="AK428" s="181"/>
    </row>
    <row r="429" spans="1:37" ht="15" x14ac:dyDescent="0.2">
      <c r="A429" s="142" t="s">
        <v>1218</v>
      </c>
      <c r="B429" s="143" t="s">
        <v>1218</v>
      </c>
      <c r="C429" s="143" t="s">
        <v>1451</v>
      </c>
      <c r="D429" s="143" t="s">
        <v>1452</v>
      </c>
      <c r="E429" s="143" t="s">
        <v>309</v>
      </c>
      <c r="F429" s="143" t="s">
        <v>1564</v>
      </c>
      <c r="G429" s="143" t="s">
        <v>1565</v>
      </c>
      <c r="H429" s="143" t="s">
        <v>321</v>
      </c>
      <c r="I429" s="143" t="s">
        <v>754</v>
      </c>
      <c r="J429" s="143" t="s">
        <v>204</v>
      </c>
      <c r="K429" s="143" t="s">
        <v>204</v>
      </c>
      <c r="L429" s="143" t="s">
        <v>325</v>
      </c>
      <c r="M429" s="143" t="s">
        <v>340</v>
      </c>
      <c r="N429" s="143" t="s">
        <v>464</v>
      </c>
      <c r="O429" s="143" t="s">
        <v>339</v>
      </c>
      <c r="P429" s="143" t="s">
        <v>1359</v>
      </c>
      <c r="Q429" s="143" t="s">
        <v>415</v>
      </c>
      <c r="R429" s="143" t="s">
        <v>407</v>
      </c>
      <c r="S429" s="143" t="s">
        <v>1210</v>
      </c>
      <c r="T429" s="144">
        <v>5.37</v>
      </c>
      <c r="U429" s="143" t="s">
        <v>1566</v>
      </c>
      <c r="V429" s="146">
        <v>5.8999999999999999E-3</v>
      </c>
      <c r="W429" s="146">
        <v>3.5757999999999998E-2</v>
      </c>
      <c r="X429" s="143" t="s">
        <v>412</v>
      </c>
      <c r="Y429" s="145" t="s">
        <v>3853</v>
      </c>
      <c r="Z429" s="144">
        <v>13000000</v>
      </c>
      <c r="AA429" s="145" t="s">
        <v>3853</v>
      </c>
      <c r="AB429" s="143" t="s">
        <v>1567</v>
      </c>
      <c r="AC429" s="145" t="s">
        <v>3853</v>
      </c>
      <c r="AD429" s="144">
        <v>12220</v>
      </c>
      <c r="AE429" s="145" t="s">
        <v>3853</v>
      </c>
      <c r="AF429" s="145" t="s">
        <v>3853</v>
      </c>
      <c r="AG429" s="145" t="s">
        <v>3853</v>
      </c>
      <c r="AH429" s="146">
        <v>9.2822599589724112E-3</v>
      </c>
      <c r="AI429" s="146">
        <v>1.4095988057252221E-2</v>
      </c>
      <c r="AJ429" s="147">
        <v>1.6280229589163309E-3</v>
      </c>
      <c r="AK429" s="181"/>
    </row>
    <row r="430" spans="1:37" ht="15" x14ac:dyDescent="0.2">
      <c r="A430" s="142" t="s">
        <v>1218</v>
      </c>
      <c r="B430" s="143" t="s">
        <v>1218</v>
      </c>
      <c r="C430" s="143" t="s">
        <v>1568</v>
      </c>
      <c r="D430" s="143" t="s">
        <v>1569</v>
      </c>
      <c r="E430" s="143" t="s">
        <v>309</v>
      </c>
      <c r="F430" s="143" t="s">
        <v>1570</v>
      </c>
      <c r="G430" s="143" t="s">
        <v>1571</v>
      </c>
      <c r="H430" s="143" t="s">
        <v>321</v>
      </c>
      <c r="I430" s="143" t="s">
        <v>754</v>
      </c>
      <c r="J430" s="143" t="s">
        <v>204</v>
      </c>
      <c r="K430" s="143" t="s">
        <v>204</v>
      </c>
      <c r="L430" s="143" t="s">
        <v>325</v>
      </c>
      <c r="M430" s="143" t="s">
        <v>340</v>
      </c>
      <c r="N430" s="143" t="s">
        <v>448</v>
      </c>
      <c r="O430" s="143" t="s">
        <v>339</v>
      </c>
      <c r="P430" s="143" t="s">
        <v>1222</v>
      </c>
      <c r="Q430" s="143" t="s">
        <v>413</v>
      </c>
      <c r="R430" s="143" t="s">
        <v>407</v>
      </c>
      <c r="S430" s="143" t="s">
        <v>1210</v>
      </c>
      <c r="T430" s="144">
        <v>4.16</v>
      </c>
      <c r="U430" s="143" t="s">
        <v>1572</v>
      </c>
      <c r="V430" s="146">
        <v>1.3899999999999999E-2</v>
      </c>
      <c r="W430" s="146">
        <v>2.5141E-2</v>
      </c>
      <c r="X430" s="143" t="s">
        <v>412</v>
      </c>
      <c r="Y430" s="145" t="s">
        <v>3853</v>
      </c>
      <c r="Z430" s="144">
        <v>11686500</v>
      </c>
      <c r="AA430" s="145" t="s">
        <v>3853</v>
      </c>
      <c r="AB430" s="143" t="s">
        <v>1573</v>
      </c>
      <c r="AC430" s="145" t="s">
        <v>3853</v>
      </c>
      <c r="AD430" s="144">
        <v>11857.1229</v>
      </c>
      <c r="AE430" s="145" t="s">
        <v>3853</v>
      </c>
      <c r="AF430" s="145" t="s">
        <v>3853</v>
      </c>
      <c r="AG430" s="145" t="s">
        <v>3853</v>
      </c>
      <c r="AH430" s="146">
        <v>6.4925E-3</v>
      </c>
      <c r="AI430" s="146">
        <v>1.367740284711717E-2</v>
      </c>
      <c r="AJ430" s="147">
        <v>1.5796782576016847E-3</v>
      </c>
      <c r="AK430" s="181"/>
    </row>
    <row r="431" spans="1:37" ht="15" x14ac:dyDescent="0.2">
      <c r="A431" s="142" t="s">
        <v>1218</v>
      </c>
      <c r="B431" s="143" t="s">
        <v>1218</v>
      </c>
      <c r="C431" s="143" t="s">
        <v>1568</v>
      </c>
      <c r="D431" s="143" t="s">
        <v>1569</v>
      </c>
      <c r="E431" s="143" t="s">
        <v>309</v>
      </c>
      <c r="F431" s="143" t="s">
        <v>1744</v>
      </c>
      <c r="G431" s="143" t="s">
        <v>1745</v>
      </c>
      <c r="H431" s="143" t="s">
        <v>321</v>
      </c>
      <c r="I431" s="143" t="s">
        <v>754</v>
      </c>
      <c r="J431" s="143" t="s">
        <v>204</v>
      </c>
      <c r="K431" s="143" t="s">
        <v>204</v>
      </c>
      <c r="L431" s="143" t="s">
        <v>325</v>
      </c>
      <c r="M431" s="143" t="s">
        <v>340</v>
      </c>
      <c r="N431" s="143" t="s">
        <v>448</v>
      </c>
      <c r="O431" s="143" t="s">
        <v>339</v>
      </c>
      <c r="P431" s="143" t="s">
        <v>1222</v>
      </c>
      <c r="Q431" s="143" t="s">
        <v>413</v>
      </c>
      <c r="R431" s="143" t="s">
        <v>407</v>
      </c>
      <c r="S431" s="143" t="s">
        <v>1210</v>
      </c>
      <c r="T431" s="144">
        <v>2.29</v>
      </c>
      <c r="U431" s="143" t="s">
        <v>1746</v>
      </c>
      <c r="V431" s="146">
        <v>6.0000000000000001E-3</v>
      </c>
      <c r="W431" s="146">
        <v>2.1609E-2</v>
      </c>
      <c r="X431" s="143" t="s">
        <v>412</v>
      </c>
      <c r="Y431" s="145" t="s">
        <v>3853</v>
      </c>
      <c r="Z431" s="144">
        <v>10335200.23</v>
      </c>
      <c r="AA431" s="145" t="s">
        <v>3853</v>
      </c>
      <c r="AB431" s="143" t="s">
        <v>1747</v>
      </c>
      <c r="AC431" s="145" t="s">
        <v>3853</v>
      </c>
      <c r="AD431" s="144">
        <v>11438.999599999999</v>
      </c>
      <c r="AE431" s="145" t="s">
        <v>3853</v>
      </c>
      <c r="AF431" s="145" t="s">
        <v>3853</v>
      </c>
      <c r="AG431" s="145" t="s">
        <v>3853</v>
      </c>
      <c r="AH431" s="146">
        <v>1.161704860744241E-2</v>
      </c>
      <c r="AI431" s="146">
        <v>1.3195090176252609E-2</v>
      </c>
      <c r="AJ431" s="147">
        <v>1.5239733223850452E-3</v>
      </c>
      <c r="AK431" s="181"/>
    </row>
    <row r="432" spans="1:37" ht="15" x14ac:dyDescent="0.2">
      <c r="A432" s="142" t="s">
        <v>1218</v>
      </c>
      <c r="B432" s="143" t="s">
        <v>1218</v>
      </c>
      <c r="C432" s="143" t="s">
        <v>1386</v>
      </c>
      <c r="D432" s="143" t="s">
        <v>1387</v>
      </c>
      <c r="E432" s="143" t="s">
        <v>309</v>
      </c>
      <c r="F432" s="143" t="s">
        <v>1901</v>
      </c>
      <c r="G432" s="143" t="s">
        <v>1902</v>
      </c>
      <c r="H432" s="143" t="s">
        <v>321</v>
      </c>
      <c r="I432" s="143" t="s">
        <v>754</v>
      </c>
      <c r="J432" s="143" t="s">
        <v>204</v>
      </c>
      <c r="K432" s="143" t="s">
        <v>204</v>
      </c>
      <c r="L432" s="143" t="s">
        <v>325</v>
      </c>
      <c r="M432" s="143" t="s">
        <v>340</v>
      </c>
      <c r="N432" s="143" t="s">
        <v>464</v>
      </c>
      <c r="O432" s="143" t="s">
        <v>339</v>
      </c>
      <c r="P432" s="143" t="s">
        <v>1347</v>
      </c>
      <c r="Q432" s="143" t="s">
        <v>413</v>
      </c>
      <c r="R432" s="143" t="s">
        <v>407</v>
      </c>
      <c r="S432" s="143" t="s">
        <v>1210</v>
      </c>
      <c r="T432" s="144">
        <v>7.13</v>
      </c>
      <c r="U432" s="143" t="s">
        <v>1805</v>
      </c>
      <c r="V432" s="146">
        <v>2.5600000000000001E-2</v>
      </c>
      <c r="W432" s="146">
        <v>4.5317999999999997E-2</v>
      </c>
      <c r="X432" s="143" t="s">
        <v>412</v>
      </c>
      <c r="Y432" s="145" t="s">
        <v>3853</v>
      </c>
      <c r="Z432" s="144">
        <v>12081123</v>
      </c>
      <c r="AA432" s="145" t="s">
        <v>3853</v>
      </c>
      <c r="AB432" s="143" t="s">
        <v>1903</v>
      </c>
      <c r="AC432" s="145" t="s">
        <v>3853</v>
      </c>
      <c r="AD432" s="144">
        <v>11243.901199999998</v>
      </c>
      <c r="AE432" s="145" t="s">
        <v>3853</v>
      </c>
      <c r="AF432" s="145" t="s">
        <v>3853</v>
      </c>
      <c r="AG432" s="145" t="s">
        <v>3853</v>
      </c>
      <c r="AH432" s="146">
        <v>1.1500574023303633E-2</v>
      </c>
      <c r="AI432" s="146">
        <v>1.2970040646090818E-2</v>
      </c>
      <c r="AJ432" s="147">
        <v>1.4979811180423188E-3</v>
      </c>
      <c r="AK432" s="181"/>
    </row>
    <row r="433" spans="1:37" ht="15" x14ac:dyDescent="0.2">
      <c r="A433" s="142" t="s">
        <v>1218</v>
      </c>
      <c r="B433" s="143" t="s">
        <v>1218</v>
      </c>
      <c r="C433" s="143" t="s">
        <v>1568</v>
      </c>
      <c r="D433" s="143" t="s">
        <v>1569</v>
      </c>
      <c r="E433" s="143" t="s">
        <v>309</v>
      </c>
      <c r="F433" s="143" t="s">
        <v>1580</v>
      </c>
      <c r="G433" s="143" t="s">
        <v>1581</v>
      </c>
      <c r="H433" s="143" t="s">
        <v>321</v>
      </c>
      <c r="I433" s="143" t="s">
        <v>754</v>
      </c>
      <c r="J433" s="143" t="s">
        <v>204</v>
      </c>
      <c r="K433" s="143" t="s">
        <v>204</v>
      </c>
      <c r="L433" s="143" t="s">
        <v>325</v>
      </c>
      <c r="M433" s="143" t="s">
        <v>340</v>
      </c>
      <c r="N433" s="143" t="s">
        <v>448</v>
      </c>
      <c r="O433" s="143" t="s">
        <v>339</v>
      </c>
      <c r="P433" s="143" t="s">
        <v>1222</v>
      </c>
      <c r="Q433" s="143" t="s">
        <v>413</v>
      </c>
      <c r="R433" s="143" t="s">
        <v>407</v>
      </c>
      <c r="S433" s="143" t="s">
        <v>1210</v>
      </c>
      <c r="T433" s="144">
        <v>3.8</v>
      </c>
      <c r="U433" s="143" t="s">
        <v>1582</v>
      </c>
      <c r="V433" s="146">
        <v>1E-3</v>
      </c>
      <c r="W433" s="146">
        <v>2.5401E-2</v>
      </c>
      <c r="X433" s="143" t="s">
        <v>412</v>
      </c>
      <c r="Y433" s="145" t="s">
        <v>3853</v>
      </c>
      <c r="Z433" s="144">
        <v>10720000.130000001</v>
      </c>
      <c r="AA433" s="145" t="s">
        <v>3853</v>
      </c>
      <c r="AB433" s="143" t="s">
        <v>1583</v>
      </c>
      <c r="AC433" s="145" t="s">
        <v>3853</v>
      </c>
      <c r="AD433" s="144">
        <v>10823.9841</v>
      </c>
      <c r="AE433" s="145" t="s">
        <v>3853</v>
      </c>
      <c r="AF433" s="145" t="s">
        <v>3853</v>
      </c>
      <c r="AG433" s="145" t="s">
        <v>3853</v>
      </c>
      <c r="AH433" s="146">
        <v>9.5309237846610446E-3</v>
      </c>
      <c r="AI433" s="146">
        <v>1.248565884174653E-2</v>
      </c>
      <c r="AJ433" s="147">
        <v>1.4420372072535962E-3</v>
      </c>
      <c r="AK433" s="181"/>
    </row>
    <row r="434" spans="1:37" ht="15" x14ac:dyDescent="0.2">
      <c r="A434" s="142" t="s">
        <v>1218</v>
      </c>
      <c r="B434" s="143" t="s">
        <v>1218</v>
      </c>
      <c r="C434" s="143" t="s">
        <v>1748</v>
      </c>
      <c r="D434" s="143" t="s">
        <v>1749</v>
      </c>
      <c r="E434" s="143" t="s">
        <v>309</v>
      </c>
      <c r="F434" s="143" t="s">
        <v>1750</v>
      </c>
      <c r="G434" s="143" t="s">
        <v>1751</v>
      </c>
      <c r="H434" s="143" t="s">
        <v>321</v>
      </c>
      <c r="I434" s="143" t="s">
        <v>754</v>
      </c>
      <c r="J434" s="143" t="s">
        <v>204</v>
      </c>
      <c r="K434" s="143" t="s">
        <v>204</v>
      </c>
      <c r="L434" s="143" t="s">
        <v>325</v>
      </c>
      <c r="M434" s="143" t="s">
        <v>340</v>
      </c>
      <c r="N434" s="143" t="s">
        <v>440</v>
      </c>
      <c r="O434" s="143" t="s">
        <v>339</v>
      </c>
      <c r="P434" s="143" t="s">
        <v>1402</v>
      </c>
      <c r="Q434" s="143" t="s">
        <v>415</v>
      </c>
      <c r="R434" s="143" t="s">
        <v>407</v>
      </c>
      <c r="S434" s="143" t="s">
        <v>1210</v>
      </c>
      <c r="T434" s="144">
        <v>3.69</v>
      </c>
      <c r="U434" s="143" t="s">
        <v>1615</v>
      </c>
      <c r="V434" s="146">
        <v>1.7999999999999999E-2</v>
      </c>
      <c r="W434" s="146">
        <v>3.5799999999999998E-2</v>
      </c>
      <c r="X434" s="143" t="s">
        <v>412</v>
      </c>
      <c r="Y434" s="145" t="s">
        <v>3853</v>
      </c>
      <c r="Z434" s="144">
        <v>9637999.8000000007</v>
      </c>
      <c r="AA434" s="145" t="s">
        <v>3853</v>
      </c>
      <c r="AB434" s="143" t="s">
        <v>1752</v>
      </c>
      <c r="AC434" s="145" t="s">
        <v>3853</v>
      </c>
      <c r="AD434" s="144">
        <v>10306.877</v>
      </c>
      <c r="AE434" s="145" t="s">
        <v>3853</v>
      </c>
      <c r="AF434" s="145" t="s">
        <v>3853</v>
      </c>
      <c r="AG434" s="145" t="s">
        <v>3853</v>
      </c>
      <c r="AH434" s="146">
        <v>9.6868673820539319E-3</v>
      </c>
      <c r="AI434" s="146">
        <v>1.1889166522415326E-2</v>
      </c>
      <c r="AJ434" s="147">
        <v>1.3731450383084876E-3</v>
      </c>
      <c r="AK434" s="181"/>
    </row>
    <row r="435" spans="1:37" ht="15" x14ac:dyDescent="0.2">
      <c r="A435" s="142" t="s">
        <v>1218</v>
      </c>
      <c r="B435" s="143" t="s">
        <v>1218</v>
      </c>
      <c r="C435" s="143" t="s">
        <v>1349</v>
      </c>
      <c r="D435" s="143" t="s">
        <v>1350</v>
      </c>
      <c r="E435" s="143" t="s">
        <v>309</v>
      </c>
      <c r="F435" s="143" t="s">
        <v>1650</v>
      </c>
      <c r="G435" s="143" t="s">
        <v>1651</v>
      </c>
      <c r="H435" s="143" t="s">
        <v>321</v>
      </c>
      <c r="I435" s="143" t="s">
        <v>754</v>
      </c>
      <c r="J435" s="143" t="s">
        <v>204</v>
      </c>
      <c r="K435" s="143" t="s">
        <v>204</v>
      </c>
      <c r="L435" s="143" t="s">
        <v>325</v>
      </c>
      <c r="M435" s="143" t="s">
        <v>340</v>
      </c>
      <c r="N435" s="143" t="s">
        <v>448</v>
      </c>
      <c r="O435" s="143" t="s">
        <v>339</v>
      </c>
      <c r="P435" s="143" t="s">
        <v>1209</v>
      </c>
      <c r="Q435" s="143" t="s">
        <v>415</v>
      </c>
      <c r="R435" s="143" t="s">
        <v>407</v>
      </c>
      <c r="S435" s="143" t="s">
        <v>1210</v>
      </c>
      <c r="T435" s="144">
        <v>2.41</v>
      </c>
      <c r="U435" s="143" t="s">
        <v>1652</v>
      </c>
      <c r="V435" s="146">
        <v>5.0000000000000001E-3</v>
      </c>
      <c r="W435" s="146">
        <v>2.1951999999999999E-2</v>
      </c>
      <c r="X435" s="143" t="s">
        <v>412</v>
      </c>
      <c r="Y435" s="145" t="s">
        <v>3853</v>
      </c>
      <c r="Z435" s="144">
        <v>9377775</v>
      </c>
      <c r="AA435" s="145" t="s">
        <v>3853</v>
      </c>
      <c r="AB435" s="143" t="s">
        <v>1653</v>
      </c>
      <c r="AC435" s="145" t="s">
        <v>3853</v>
      </c>
      <c r="AD435" s="144">
        <v>10154.254800000001</v>
      </c>
      <c r="AE435" s="145" t="s">
        <v>3853</v>
      </c>
      <c r="AF435" s="145" t="s">
        <v>3853</v>
      </c>
      <c r="AG435" s="145" t="s">
        <v>3853</v>
      </c>
      <c r="AH435" s="146">
        <v>1.2286794322831836E-2</v>
      </c>
      <c r="AI435" s="146">
        <v>1.1713114072685465E-2</v>
      </c>
      <c r="AJ435" s="147">
        <v>1.3528117754701857E-3</v>
      </c>
      <c r="AK435" s="181"/>
    </row>
    <row r="436" spans="1:37" ht="15" x14ac:dyDescent="0.2">
      <c r="A436" s="142" t="s">
        <v>1218</v>
      </c>
      <c r="B436" s="143" t="s">
        <v>1218</v>
      </c>
      <c r="C436" s="143" t="s">
        <v>1510</v>
      </c>
      <c r="D436" s="143" t="s">
        <v>1511</v>
      </c>
      <c r="E436" s="143" t="s">
        <v>309</v>
      </c>
      <c r="F436" s="143" t="s">
        <v>1560</v>
      </c>
      <c r="G436" s="143" t="s">
        <v>1561</v>
      </c>
      <c r="H436" s="143" t="s">
        <v>321</v>
      </c>
      <c r="I436" s="143" t="s">
        <v>754</v>
      </c>
      <c r="J436" s="143" t="s">
        <v>204</v>
      </c>
      <c r="K436" s="143" t="s">
        <v>204</v>
      </c>
      <c r="L436" s="143" t="s">
        <v>325</v>
      </c>
      <c r="M436" s="143" t="s">
        <v>340</v>
      </c>
      <c r="N436" s="143" t="s">
        <v>448</v>
      </c>
      <c r="O436" s="143" t="s">
        <v>339</v>
      </c>
      <c r="P436" s="143" t="s">
        <v>1347</v>
      </c>
      <c r="Q436" s="143" t="s">
        <v>413</v>
      </c>
      <c r="R436" s="143" t="s">
        <v>407</v>
      </c>
      <c r="S436" s="143" t="s">
        <v>1210</v>
      </c>
      <c r="T436" s="144">
        <v>4.75</v>
      </c>
      <c r="U436" s="143" t="s">
        <v>1562</v>
      </c>
      <c r="V436" s="146">
        <v>2.5899999999999999E-2</v>
      </c>
      <c r="W436" s="146">
        <v>2.7512000000000002E-2</v>
      </c>
      <c r="X436" s="143" t="s">
        <v>412</v>
      </c>
      <c r="Y436" s="145" t="s">
        <v>3853</v>
      </c>
      <c r="Z436" s="144">
        <v>9673000</v>
      </c>
      <c r="AA436" s="145" t="s">
        <v>3853</v>
      </c>
      <c r="AB436" s="143" t="s">
        <v>1563</v>
      </c>
      <c r="AC436" s="145" t="s">
        <v>3853</v>
      </c>
      <c r="AD436" s="144">
        <v>9897.4135999999999</v>
      </c>
      <c r="AE436" s="145" t="s">
        <v>3853</v>
      </c>
      <c r="AF436" s="145" t="s">
        <v>3853</v>
      </c>
      <c r="AG436" s="145" t="s">
        <v>3853</v>
      </c>
      <c r="AH436" s="146">
        <v>2.1495555555555556E-2</v>
      </c>
      <c r="AI436" s="146">
        <v>1.1416843199941547E-2</v>
      </c>
      <c r="AJ436" s="147">
        <v>1.3185938277160995E-3</v>
      </c>
      <c r="AK436" s="181"/>
    </row>
    <row r="437" spans="1:37" ht="15" x14ac:dyDescent="0.2">
      <c r="A437" s="142" t="s">
        <v>1218</v>
      </c>
      <c r="B437" s="143" t="s">
        <v>1218</v>
      </c>
      <c r="C437" s="143" t="s">
        <v>1748</v>
      </c>
      <c r="D437" s="143" t="s">
        <v>1749</v>
      </c>
      <c r="E437" s="143" t="s">
        <v>309</v>
      </c>
      <c r="F437" s="143" t="s">
        <v>1907</v>
      </c>
      <c r="G437" s="143" t="s">
        <v>1908</v>
      </c>
      <c r="H437" s="143" t="s">
        <v>321</v>
      </c>
      <c r="I437" s="143" t="s">
        <v>754</v>
      </c>
      <c r="J437" s="143" t="s">
        <v>204</v>
      </c>
      <c r="K437" s="143" t="s">
        <v>204</v>
      </c>
      <c r="L437" s="143" t="s">
        <v>325</v>
      </c>
      <c r="M437" s="143" t="s">
        <v>340</v>
      </c>
      <c r="N437" s="143" t="s">
        <v>440</v>
      </c>
      <c r="O437" s="143" t="s">
        <v>339</v>
      </c>
      <c r="P437" s="143" t="s">
        <v>1402</v>
      </c>
      <c r="Q437" s="143" t="s">
        <v>415</v>
      </c>
      <c r="R437" s="143" t="s">
        <v>407</v>
      </c>
      <c r="S437" s="143" t="s">
        <v>1210</v>
      </c>
      <c r="T437" s="144">
        <v>5.97</v>
      </c>
      <c r="U437" s="143" t="s">
        <v>1909</v>
      </c>
      <c r="V437" s="146">
        <v>3.3000000000000002E-2</v>
      </c>
      <c r="W437" s="146">
        <v>4.1916000000000002E-2</v>
      </c>
      <c r="X437" s="143" t="s">
        <v>412</v>
      </c>
      <c r="Y437" s="145" t="s">
        <v>3853</v>
      </c>
      <c r="Z437" s="144">
        <v>9569350.25</v>
      </c>
      <c r="AA437" s="145" t="s">
        <v>3853</v>
      </c>
      <c r="AB437" s="143" t="s">
        <v>1910</v>
      </c>
      <c r="AC437" s="145" t="s">
        <v>3853</v>
      </c>
      <c r="AD437" s="144">
        <v>9637.2925999999989</v>
      </c>
      <c r="AE437" s="145" t="s">
        <v>3853</v>
      </c>
      <c r="AF437" s="145" t="s">
        <v>3853</v>
      </c>
      <c r="AG437" s="145" t="s">
        <v>3853</v>
      </c>
      <c r="AH437" s="146">
        <v>7.6429379431760371E-3</v>
      </c>
      <c r="AI437" s="146">
        <v>1.1116789027187001E-2</v>
      </c>
      <c r="AJ437" s="147">
        <v>1.2839389258972999E-3</v>
      </c>
      <c r="AK437" s="181"/>
    </row>
    <row r="438" spans="1:37" ht="15" x14ac:dyDescent="0.2">
      <c r="A438" s="142" t="s">
        <v>1218</v>
      </c>
      <c r="B438" s="143" t="s">
        <v>1218</v>
      </c>
      <c r="C438" s="143" t="s">
        <v>1574</v>
      </c>
      <c r="D438" s="143" t="s">
        <v>1575</v>
      </c>
      <c r="E438" s="143" t="s">
        <v>309</v>
      </c>
      <c r="F438" s="143" t="s">
        <v>1712</v>
      </c>
      <c r="G438" s="143" t="s">
        <v>1713</v>
      </c>
      <c r="H438" s="143" t="s">
        <v>321</v>
      </c>
      <c r="I438" s="143" t="s">
        <v>754</v>
      </c>
      <c r="J438" s="143" t="s">
        <v>204</v>
      </c>
      <c r="K438" s="143" t="s">
        <v>204</v>
      </c>
      <c r="L438" s="143" t="s">
        <v>325</v>
      </c>
      <c r="M438" s="143" t="s">
        <v>340</v>
      </c>
      <c r="N438" s="143" t="s">
        <v>464</v>
      </c>
      <c r="O438" s="143" t="s">
        <v>339</v>
      </c>
      <c r="P438" s="143" t="s">
        <v>1359</v>
      </c>
      <c r="Q438" s="143" t="s">
        <v>415</v>
      </c>
      <c r="R438" s="143" t="s">
        <v>407</v>
      </c>
      <c r="S438" s="143" t="s">
        <v>1210</v>
      </c>
      <c r="T438" s="144">
        <v>4.45</v>
      </c>
      <c r="U438" s="143" t="s">
        <v>1714</v>
      </c>
      <c r="V438" s="146">
        <v>1.3299999999999999E-2</v>
      </c>
      <c r="W438" s="146">
        <v>3.5557999999999999E-2</v>
      </c>
      <c r="X438" s="143" t="s">
        <v>412</v>
      </c>
      <c r="Y438" s="145" t="s">
        <v>3853</v>
      </c>
      <c r="Z438" s="144">
        <v>8930000</v>
      </c>
      <c r="AA438" s="145" t="s">
        <v>3853</v>
      </c>
      <c r="AB438" s="143" t="s">
        <v>1715</v>
      </c>
      <c r="AC438" s="145" t="s">
        <v>3853</v>
      </c>
      <c r="AD438" s="144">
        <v>9217.5460000000003</v>
      </c>
      <c r="AE438" s="145" t="s">
        <v>3853</v>
      </c>
      <c r="AF438" s="145" t="s">
        <v>3853</v>
      </c>
      <c r="AG438" s="145" t="s">
        <v>3853</v>
      </c>
      <c r="AH438" s="146">
        <v>7.5199999999999998E-3</v>
      </c>
      <c r="AI438" s="146">
        <v>1.063260379158535E-2</v>
      </c>
      <c r="AJ438" s="147">
        <v>1.2280177179105885E-3</v>
      </c>
      <c r="AK438" s="181"/>
    </row>
    <row r="439" spans="1:37" ht="15" x14ac:dyDescent="0.2">
      <c r="A439" s="142" t="s">
        <v>1218</v>
      </c>
      <c r="B439" s="143" t="s">
        <v>1218</v>
      </c>
      <c r="C439" s="143" t="s">
        <v>1501</v>
      </c>
      <c r="D439" s="143" t="s">
        <v>1502</v>
      </c>
      <c r="E439" s="143" t="s">
        <v>309</v>
      </c>
      <c r="F439" s="143" t="s">
        <v>1904</v>
      </c>
      <c r="G439" s="143" t="s">
        <v>1905</v>
      </c>
      <c r="H439" s="143" t="s">
        <v>321</v>
      </c>
      <c r="I439" s="143" t="s">
        <v>754</v>
      </c>
      <c r="J439" s="143" t="s">
        <v>204</v>
      </c>
      <c r="K439" s="143" t="s">
        <v>204</v>
      </c>
      <c r="L439" s="143" t="s">
        <v>325</v>
      </c>
      <c r="M439" s="143" t="s">
        <v>340</v>
      </c>
      <c r="N439" s="143" t="s">
        <v>464</v>
      </c>
      <c r="O439" s="143" t="s">
        <v>339</v>
      </c>
      <c r="P439" s="143" t="s">
        <v>1409</v>
      </c>
      <c r="Q439" s="143" t="s">
        <v>413</v>
      </c>
      <c r="R439" s="143" t="s">
        <v>407</v>
      </c>
      <c r="S439" s="143" t="s">
        <v>1210</v>
      </c>
      <c r="T439" s="144">
        <v>5.8</v>
      </c>
      <c r="U439" s="143" t="s">
        <v>1781</v>
      </c>
      <c r="V439" s="146">
        <v>9.1999999999999998E-3</v>
      </c>
      <c r="W439" s="146">
        <v>3.5089000000000002E-2</v>
      </c>
      <c r="X439" s="143" t="s">
        <v>412</v>
      </c>
      <c r="Y439" s="145" t="s">
        <v>3853</v>
      </c>
      <c r="Z439" s="144">
        <v>9000000</v>
      </c>
      <c r="AA439" s="145" t="s">
        <v>3853</v>
      </c>
      <c r="AB439" s="143" t="s">
        <v>1906</v>
      </c>
      <c r="AC439" s="145" t="s">
        <v>3853</v>
      </c>
      <c r="AD439" s="144">
        <v>8873.1</v>
      </c>
      <c r="AE439" s="145" t="s">
        <v>3853</v>
      </c>
      <c r="AF439" s="145" t="s">
        <v>3853</v>
      </c>
      <c r="AG439" s="145" t="s">
        <v>3853</v>
      </c>
      <c r="AH439" s="146">
        <v>3.4793191204435898E-3</v>
      </c>
      <c r="AI439" s="146">
        <v>1.0235279184190236E-2</v>
      </c>
      <c r="AJ439" s="147">
        <v>1.1821285201931667E-3</v>
      </c>
      <c r="AK439" s="181"/>
    </row>
    <row r="440" spans="1:37" ht="15" x14ac:dyDescent="0.2">
      <c r="A440" s="142" t="s">
        <v>1218</v>
      </c>
      <c r="B440" s="143" t="s">
        <v>1218</v>
      </c>
      <c r="C440" s="143" t="s">
        <v>1481</v>
      </c>
      <c r="D440" s="143" t="s">
        <v>1482</v>
      </c>
      <c r="E440" s="143" t="s">
        <v>309</v>
      </c>
      <c r="F440" s="143" t="s">
        <v>1590</v>
      </c>
      <c r="G440" s="143" t="s">
        <v>1591</v>
      </c>
      <c r="H440" s="143" t="s">
        <v>321</v>
      </c>
      <c r="I440" s="143" t="s">
        <v>754</v>
      </c>
      <c r="J440" s="143" t="s">
        <v>204</v>
      </c>
      <c r="K440" s="143" t="s">
        <v>204</v>
      </c>
      <c r="L440" s="143" t="s">
        <v>325</v>
      </c>
      <c r="M440" s="143" t="s">
        <v>340</v>
      </c>
      <c r="N440" s="143" t="s">
        <v>448</v>
      </c>
      <c r="O440" s="143" t="s">
        <v>339</v>
      </c>
      <c r="P440" s="143" t="s">
        <v>1222</v>
      </c>
      <c r="Q440" s="143" t="s">
        <v>413</v>
      </c>
      <c r="R440" s="143" t="s">
        <v>407</v>
      </c>
      <c r="S440" s="143" t="s">
        <v>1210</v>
      </c>
      <c r="T440" s="144">
        <v>1.99</v>
      </c>
      <c r="U440" s="143" t="s">
        <v>1416</v>
      </c>
      <c r="V440" s="146">
        <v>8.3000000000000001E-3</v>
      </c>
      <c r="W440" s="146">
        <v>2.1007000000000001E-2</v>
      </c>
      <c r="X440" s="143" t="s">
        <v>412</v>
      </c>
      <c r="Y440" s="145" t="s">
        <v>3853</v>
      </c>
      <c r="Z440" s="144">
        <v>7544387.5</v>
      </c>
      <c r="AA440" s="145" t="s">
        <v>3853</v>
      </c>
      <c r="AB440" s="143" t="s">
        <v>1592</v>
      </c>
      <c r="AC440" s="145" t="s">
        <v>3853</v>
      </c>
      <c r="AD440" s="144">
        <v>8355.4092000000001</v>
      </c>
      <c r="AE440" s="145" t="s">
        <v>3853</v>
      </c>
      <c r="AF440" s="145" t="s">
        <v>3853</v>
      </c>
      <c r="AG440" s="145" t="s">
        <v>3853</v>
      </c>
      <c r="AH440" s="146">
        <v>4.9603191562104685E-3</v>
      </c>
      <c r="AI440" s="146">
        <v>9.6381135580978598E-3</v>
      </c>
      <c r="AJ440" s="147">
        <v>1.1131585873579975E-3</v>
      </c>
      <c r="AK440" s="181"/>
    </row>
    <row r="441" spans="1:37" ht="15" x14ac:dyDescent="0.2">
      <c r="A441" s="142" t="s">
        <v>1218</v>
      </c>
      <c r="B441" s="143" t="s">
        <v>1218</v>
      </c>
      <c r="C441" s="143" t="s">
        <v>1623</v>
      </c>
      <c r="D441" s="143" t="s">
        <v>1624</v>
      </c>
      <c r="E441" s="143" t="s">
        <v>309</v>
      </c>
      <c r="F441" s="143" t="s">
        <v>1625</v>
      </c>
      <c r="G441" s="143" t="s">
        <v>1626</v>
      </c>
      <c r="H441" s="143" t="s">
        <v>321</v>
      </c>
      <c r="I441" s="143" t="s">
        <v>754</v>
      </c>
      <c r="J441" s="143" t="s">
        <v>204</v>
      </c>
      <c r="K441" s="143" t="s">
        <v>204</v>
      </c>
      <c r="L441" s="143" t="s">
        <v>325</v>
      </c>
      <c r="M441" s="143" t="s">
        <v>340</v>
      </c>
      <c r="N441" s="143" t="s">
        <v>445</v>
      </c>
      <c r="O441" s="143" t="s">
        <v>339</v>
      </c>
      <c r="P441" s="143" t="s">
        <v>1627</v>
      </c>
      <c r="Q441" s="143" t="s">
        <v>415</v>
      </c>
      <c r="R441" s="143" t="s">
        <v>407</v>
      </c>
      <c r="S441" s="143" t="s">
        <v>1210</v>
      </c>
      <c r="T441" s="144">
        <v>4.76</v>
      </c>
      <c r="U441" s="143" t="s">
        <v>1628</v>
      </c>
      <c r="V441" s="146">
        <v>5.1700000000000003E-2</v>
      </c>
      <c r="W441" s="146">
        <v>5.8743999999999998E-2</v>
      </c>
      <c r="X441" s="143" t="s">
        <v>412</v>
      </c>
      <c r="Y441" s="145" t="s">
        <v>3853</v>
      </c>
      <c r="Z441" s="144">
        <v>8539772</v>
      </c>
      <c r="AA441" s="145" t="s">
        <v>3853</v>
      </c>
      <c r="AB441" s="143" t="s">
        <v>1629</v>
      </c>
      <c r="AC441" s="145" t="s">
        <v>3853</v>
      </c>
      <c r="AD441" s="144">
        <v>8333.1095000000005</v>
      </c>
      <c r="AE441" s="145" t="s">
        <v>3853</v>
      </c>
      <c r="AF441" s="145" t="s">
        <v>3853</v>
      </c>
      <c r="AG441" s="145" t="s">
        <v>3853</v>
      </c>
      <c r="AH441" s="146">
        <v>1.3994716607616345E-2</v>
      </c>
      <c r="AI441" s="146">
        <v>9.6123905269938151E-3</v>
      </c>
      <c r="AJ441" s="147">
        <v>1.1101876934383791E-3</v>
      </c>
      <c r="AK441" s="181"/>
    </row>
    <row r="442" spans="1:37" ht="15" x14ac:dyDescent="0.2">
      <c r="A442" s="142" t="s">
        <v>1218</v>
      </c>
      <c r="B442" s="143" t="s">
        <v>1218</v>
      </c>
      <c r="C442" s="143" t="s">
        <v>1753</v>
      </c>
      <c r="D442" s="143" t="s">
        <v>1754</v>
      </c>
      <c r="E442" s="143" t="s">
        <v>309</v>
      </c>
      <c r="F442" s="143" t="s">
        <v>1915</v>
      </c>
      <c r="G442" s="143" t="s">
        <v>1916</v>
      </c>
      <c r="H442" s="143" t="s">
        <v>321</v>
      </c>
      <c r="I442" s="143" t="s">
        <v>754</v>
      </c>
      <c r="J442" s="143" t="s">
        <v>204</v>
      </c>
      <c r="K442" s="143" t="s">
        <v>204</v>
      </c>
      <c r="L442" s="143" t="s">
        <v>325</v>
      </c>
      <c r="M442" s="143" t="s">
        <v>340</v>
      </c>
      <c r="N442" s="143" t="s">
        <v>464</v>
      </c>
      <c r="O442" s="143" t="s">
        <v>339</v>
      </c>
      <c r="P442" s="143" t="s">
        <v>1757</v>
      </c>
      <c r="Q442" s="143" t="s">
        <v>413</v>
      </c>
      <c r="R442" s="143" t="s">
        <v>407</v>
      </c>
      <c r="S442" s="143" t="s">
        <v>1210</v>
      </c>
      <c r="T442" s="144">
        <v>3.44</v>
      </c>
      <c r="U442" s="143" t="s">
        <v>1445</v>
      </c>
      <c r="V442" s="146">
        <v>2.7E-2</v>
      </c>
      <c r="W442" s="146">
        <v>3.4224999999999998E-2</v>
      </c>
      <c r="X442" s="143" t="s">
        <v>412</v>
      </c>
      <c r="Y442" s="145" t="s">
        <v>3853</v>
      </c>
      <c r="Z442" s="144">
        <v>8041000</v>
      </c>
      <c r="AA442" s="145" t="s">
        <v>3853</v>
      </c>
      <c r="AB442" s="143" t="s">
        <v>1917</v>
      </c>
      <c r="AC442" s="145" t="s">
        <v>3853</v>
      </c>
      <c r="AD442" s="144">
        <v>8278.2095000000008</v>
      </c>
      <c r="AE442" s="145" t="s">
        <v>3853</v>
      </c>
      <c r="AF442" s="145" t="s">
        <v>3853</v>
      </c>
      <c r="AG442" s="145" t="s">
        <v>3853</v>
      </c>
      <c r="AH442" s="146">
        <v>1.8374556688969326E-2</v>
      </c>
      <c r="AI442" s="146">
        <v>9.549062377040252E-3</v>
      </c>
      <c r="AJ442" s="147">
        <v>1.1028735781276008E-3</v>
      </c>
      <c r="AK442" s="181"/>
    </row>
    <row r="443" spans="1:37" ht="15" x14ac:dyDescent="0.2">
      <c r="A443" s="142" t="s">
        <v>1218</v>
      </c>
      <c r="B443" s="143" t="s">
        <v>1218</v>
      </c>
      <c r="C443" s="143" t="s">
        <v>1349</v>
      </c>
      <c r="D443" s="143" t="s">
        <v>1350</v>
      </c>
      <c r="E443" s="143" t="s">
        <v>309</v>
      </c>
      <c r="F443" s="143" t="s">
        <v>1911</v>
      </c>
      <c r="G443" s="143" t="s">
        <v>1912</v>
      </c>
      <c r="H443" s="143" t="s">
        <v>321</v>
      </c>
      <c r="I443" s="143" t="s">
        <v>754</v>
      </c>
      <c r="J443" s="143" t="s">
        <v>204</v>
      </c>
      <c r="K443" s="143" t="s">
        <v>204</v>
      </c>
      <c r="L443" s="143" t="s">
        <v>325</v>
      </c>
      <c r="M443" s="143" t="s">
        <v>340</v>
      </c>
      <c r="N443" s="143" t="s">
        <v>448</v>
      </c>
      <c r="O443" s="143" t="s">
        <v>339</v>
      </c>
      <c r="P443" s="143" t="s">
        <v>1222</v>
      </c>
      <c r="Q443" s="143" t="s">
        <v>413</v>
      </c>
      <c r="R443" s="143" t="s">
        <v>407</v>
      </c>
      <c r="S443" s="143" t="s">
        <v>1210</v>
      </c>
      <c r="T443" s="144">
        <v>3.73</v>
      </c>
      <c r="U443" s="143" t="s">
        <v>1913</v>
      </c>
      <c r="V443" s="146">
        <v>1.6400000000000001E-2</v>
      </c>
      <c r="W443" s="146">
        <v>2.5266E-2</v>
      </c>
      <c r="X443" s="143" t="s">
        <v>412</v>
      </c>
      <c r="Y443" s="145" t="s">
        <v>3853</v>
      </c>
      <c r="Z443" s="144">
        <v>8000100</v>
      </c>
      <c r="AA443" s="145" t="s">
        <v>3853</v>
      </c>
      <c r="AB443" s="143" t="s">
        <v>1914</v>
      </c>
      <c r="AC443" s="145" t="s">
        <v>3853</v>
      </c>
      <c r="AD443" s="144">
        <v>8237.7029999999995</v>
      </c>
      <c r="AE443" s="145" t="s">
        <v>3853</v>
      </c>
      <c r="AF443" s="145" t="s">
        <v>3853</v>
      </c>
      <c r="AG443" s="145" t="s">
        <v>3853</v>
      </c>
      <c r="AH443" s="146">
        <v>7.4380165289256199E-3</v>
      </c>
      <c r="AI443" s="146">
        <v>9.5023373718748898E-3</v>
      </c>
      <c r="AJ443" s="147">
        <v>1.0974770510550939E-3</v>
      </c>
      <c r="AK443" s="181"/>
    </row>
    <row r="444" spans="1:37" ht="15" x14ac:dyDescent="0.2">
      <c r="A444" s="142" t="s">
        <v>1218</v>
      </c>
      <c r="B444" s="143" t="s">
        <v>1218</v>
      </c>
      <c r="C444" s="143" t="s">
        <v>1467</v>
      </c>
      <c r="D444" s="143" t="s">
        <v>1468</v>
      </c>
      <c r="E444" s="143" t="s">
        <v>309</v>
      </c>
      <c r="F444" s="143" t="s">
        <v>1469</v>
      </c>
      <c r="G444" s="143" t="s">
        <v>1470</v>
      </c>
      <c r="H444" s="143" t="s">
        <v>321</v>
      </c>
      <c r="I444" s="143" t="s">
        <v>754</v>
      </c>
      <c r="J444" s="143" t="s">
        <v>204</v>
      </c>
      <c r="K444" s="143" t="s">
        <v>204</v>
      </c>
      <c r="L444" s="143" t="s">
        <v>325</v>
      </c>
      <c r="M444" s="143" t="s">
        <v>340</v>
      </c>
      <c r="N444" s="143" t="s">
        <v>456</v>
      </c>
      <c r="O444" s="143" t="s">
        <v>339</v>
      </c>
      <c r="P444" s="143" t="s">
        <v>1347</v>
      </c>
      <c r="Q444" s="143" t="s">
        <v>413</v>
      </c>
      <c r="R444" s="143" t="s">
        <v>407</v>
      </c>
      <c r="S444" s="143" t="s">
        <v>1210</v>
      </c>
      <c r="T444" s="144">
        <v>5.43</v>
      </c>
      <c r="U444" s="143" t="s">
        <v>1471</v>
      </c>
      <c r="V444" s="146">
        <v>5.1499999999999997E-2</v>
      </c>
      <c r="W444" s="146">
        <v>3.8883000000000001E-2</v>
      </c>
      <c r="X444" s="143" t="s">
        <v>412</v>
      </c>
      <c r="Y444" s="145" t="s">
        <v>3853</v>
      </c>
      <c r="Z444" s="144">
        <v>5492042.5</v>
      </c>
      <c r="AA444" s="145" t="s">
        <v>3853</v>
      </c>
      <c r="AB444" s="143" t="s">
        <v>1472</v>
      </c>
      <c r="AC444" s="145" t="s">
        <v>3853</v>
      </c>
      <c r="AD444" s="144">
        <v>8080.4420999999993</v>
      </c>
      <c r="AE444" s="145" t="s">
        <v>3853</v>
      </c>
      <c r="AF444" s="145" t="s">
        <v>3853</v>
      </c>
      <c r="AG444" s="145" t="s">
        <v>3853</v>
      </c>
      <c r="AH444" s="146">
        <v>1.8912078109005448E-3</v>
      </c>
      <c r="AI444" s="146">
        <v>9.3209341870148683E-3</v>
      </c>
      <c r="AJ444" s="147">
        <v>1.0765258024747779E-3</v>
      </c>
      <c r="AK444" s="181"/>
    </row>
    <row r="445" spans="1:37" ht="15" x14ac:dyDescent="0.2">
      <c r="A445" s="142" t="s">
        <v>1218</v>
      </c>
      <c r="B445" s="143" t="s">
        <v>1218</v>
      </c>
      <c r="C445" s="143" t="s">
        <v>1516</v>
      </c>
      <c r="D445" s="143" t="s">
        <v>1517</v>
      </c>
      <c r="E445" s="143" t="s">
        <v>309</v>
      </c>
      <c r="F445" s="143" t="s">
        <v>1613</v>
      </c>
      <c r="G445" s="143" t="s">
        <v>1614</v>
      </c>
      <c r="H445" s="143" t="s">
        <v>321</v>
      </c>
      <c r="I445" s="143" t="s">
        <v>754</v>
      </c>
      <c r="J445" s="143" t="s">
        <v>204</v>
      </c>
      <c r="K445" s="143" t="s">
        <v>204</v>
      </c>
      <c r="L445" s="143" t="s">
        <v>325</v>
      </c>
      <c r="M445" s="143" t="s">
        <v>340</v>
      </c>
      <c r="N445" s="143" t="s">
        <v>465</v>
      </c>
      <c r="O445" s="143" t="s">
        <v>339</v>
      </c>
      <c r="P445" s="143" t="s">
        <v>1402</v>
      </c>
      <c r="Q445" s="143" t="s">
        <v>415</v>
      </c>
      <c r="R445" s="143" t="s">
        <v>407</v>
      </c>
      <c r="S445" s="143" t="s">
        <v>1210</v>
      </c>
      <c r="T445" s="144">
        <v>4.3099999999999996</v>
      </c>
      <c r="U445" s="143" t="s">
        <v>1615</v>
      </c>
      <c r="V445" s="146">
        <v>1.7899999999999999E-2</v>
      </c>
      <c r="W445" s="146">
        <v>6.0524000000000001E-2</v>
      </c>
      <c r="X445" s="143" t="s">
        <v>412</v>
      </c>
      <c r="Y445" s="145" t="s">
        <v>3853</v>
      </c>
      <c r="Z445" s="144">
        <v>8347184.8099999996</v>
      </c>
      <c r="AA445" s="145" t="s">
        <v>3853</v>
      </c>
      <c r="AB445" s="143" t="s">
        <v>1616</v>
      </c>
      <c r="AC445" s="145" t="s">
        <v>3853</v>
      </c>
      <c r="AD445" s="144">
        <v>7881.4119000000001</v>
      </c>
      <c r="AE445" s="145" t="s">
        <v>3853</v>
      </c>
      <c r="AF445" s="145" t="s">
        <v>3853</v>
      </c>
      <c r="AG445" s="145" t="s">
        <v>3853</v>
      </c>
      <c r="AH445" s="146">
        <v>1.1880590677478865E-2</v>
      </c>
      <c r="AI445" s="146">
        <v>9.0913492621017469E-3</v>
      </c>
      <c r="AJ445" s="147">
        <v>1.0500097805214716E-3</v>
      </c>
      <c r="AK445" s="181"/>
    </row>
    <row r="446" spans="1:37" ht="15" x14ac:dyDescent="0.2">
      <c r="A446" s="142" t="s">
        <v>1218</v>
      </c>
      <c r="B446" s="143" t="s">
        <v>1218</v>
      </c>
      <c r="C446" s="143" t="s">
        <v>1720</v>
      </c>
      <c r="D446" s="143" t="s">
        <v>1721</v>
      </c>
      <c r="E446" s="143" t="s">
        <v>309</v>
      </c>
      <c r="F446" s="143" t="s">
        <v>1738</v>
      </c>
      <c r="G446" s="143" t="s">
        <v>1739</v>
      </c>
      <c r="H446" s="143" t="s">
        <v>321</v>
      </c>
      <c r="I446" s="143" t="s">
        <v>754</v>
      </c>
      <c r="J446" s="143" t="s">
        <v>204</v>
      </c>
      <c r="K446" s="143" t="s">
        <v>204</v>
      </c>
      <c r="L446" s="143" t="s">
        <v>325</v>
      </c>
      <c r="M446" s="143" t="s">
        <v>340</v>
      </c>
      <c r="N446" s="143" t="s">
        <v>464</v>
      </c>
      <c r="O446" s="143" t="s">
        <v>339</v>
      </c>
      <c r="P446" s="143" t="s">
        <v>1530</v>
      </c>
      <c r="Q446" s="143" t="s">
        <v>415</v>
      </c>
      <c r="R446" s="143" t="s">
        <v>407</v>
      </c>
      <c r="S446" s="143" t="s">
        <v>1210</v>
      </c>
      <c r="T446" s="144">
        <v>3.14</v>
      </c>
      <c r="U446" s="143" t="s">
        <v>1704</v>
      </c>
      <c r="V446" s="146">
        <v>1.34E-2</v>
      </c>
      <c r="W446" s="146">
        <v>2.7778000000000001E-2</v>
      </c>
      <c r="X446" s="143" t="s">
        <v>412</v>
      </c>
      <c r="Y446" s="145" t="s">
        <v>3853</v>
      </c>
      <c r="Z446" s="144">
        <v>6338049.7800000003</v>
      </c>
      <c r="AA446" s="145" t="s">
        <v>3853</v>
      </c>
      <c r="AB446" s="143" t="s">
        <v>1740</v>
      </c>
      <c r="AC446" s="144">
        <v>660.37490000000003</v>
      </c>
      <c r="AD446" s="144">
        <v>7632.2295999999997</v>
      </c>
      <c r="AE446" s="145" t="s">
        <v>3853</v>
      </c>
      <c r="AF446" s="145" t="s">
        <v>3853</v>
      </c>
      <c r="AG446" s="145" t="s">
        <v>3853</v>
      </c>
      <c r="AH446" s="146">
        <v>2.3911172041137991E-3</v>
      </c>
      <c r="AI446" s="146">
        <v>9.5656672641018046E-3</v>
      </c>
      <c r="AJ446" s="147">
        <v>1.1047913675905757E-3</v>
      </c>
      <c r="AK446" s="181"/>
    </row>
    <row r="447" spans="1:37" ht="15" x14ac:dyDescent="0.2">
      <c r="A447" s="142" t="s">
        <v>1218</v>
      </c>
      <c r="B447" s="143" t="s">
        <v>1218</v>
      </c>
      <c r="C447" s="143" t="s">
        <v>1491</v>
      </c>
      <c r="D447" s="143" t="s">
        <v>1492</v>
      </c>
      <c r="E447" s="143" t="s">
        <v>309</v>
      </c>
      <c r="F447" s="143" t="s">
        <v>1918</v>
      </c>
      <c r="G447" s="143" t="s">
        <v>1919</v>
      </c>
      <c r="H447" s="143" t="s">
        <v>321</v>
      </c>
      <c r="I447" s="143" t="s">
        <v>754</v>
      </c>
      <c r="J447" s="143" t="s">
        <v>204</v>
      </c>
      <c r="K447" s="143" t="s">
        <v>204</v>
      </c>
      <c r="L447" s="143" t="s">
        <v>325</v>
      </c>
      <c r="M447" s="143" t="s">
        <v>340</v>
      </c>
      <c r="N447" s="143" t="s">
        <v>464</v>
      </c>
      <c r="O447" s="143" t="s">
        <v>339</v>
      </c>
      <c r="P447" s="143" t="s">
        <v>1409</v>
      </c>
      <c r="Q447" s="143" t="s">
        <v>413</v>
      </c>
      <c r="R447" s="143" t="s">
        <v>407</v>
      </c>
      <c r="S447" s="143" t="s">
        <v>1210</v>
      </c>
      <c r="T447" s="144">
        <v>6.29</v>
      </c>
      <c r="U447" s="143" t="s">
        <v>1920</v>
      </c>
      <c r="V447" s="146">
        <v>3.61E-2</v>
      </c>
      <c r="W447" s="146">
        <v>3.6984999999999997E-2</v>
      </c>
      <c r="X447" s="143" t="s">
        <v>412</v>
      </c>
      <c r="Y447" s="145" t="s">
        <v>3853</v>
      </c>
      <c r="Z447" s="144">
        <v>7028282.9000000004</v>
      </c>
      <c r="AA447" s="145" t="s">
        <v>3853</v>
      </c>
      <c r="AB447" s="143" t="s">
        <v>1921</v>
      </c>
      <c r="AC447" s="144">
        <v>208.23249999999999</v>
      </c>
      <c r="AD447" s="144">
        <v>7504.9957999999997</v>
      </c>
      <c r="AE447" s="145" t="s">
        <v>3853</v>
      </c>
      <c r="AF447" s="145" t="s">
        <v>3853</v>
      </c>
      <c r="AG447" s="145" t="s">
        <v>3853</v>
      </c>
      <c r="AH447" s="146">
        <v>6.5780778199796292E-3</v>
      </c>
      <c r="AI447" s="146">
        <v>8.8973465120417688E-3</v>
      </c>
      <c r="AJ447" s="147">
        <v>1.0276033390639637E-3</v>
      </c>
      <c r="AK447" s="181"/>
    </row>
    <row r="448" spans="1:37" ht="15" x14ac:dyDescent="0.2">
      <c r="A448" s="142" t="s">
        <v>1218</v>
      </c>
      <c r="B448" s="143" t="s">
        <v>1218</v>
      </c>
      <c r="C448" s="143" t="s">
        <v>1936</v>
      </c>
      <c r="D448" s="143" t="s">
        <v>1937</v>
      </c>
      <c r="E448" s="143" t="s">
        <v>309</v>
      </c>
      <c r="F448" s="143" t="s">
        <v>1938</v>
      </c>
      <c r="G448" s="143" t="s">
        <v>1939</v>
      </c>
      <c r="H448" s="143" t="s">
        <v>321</v>
      </c>
      <c r="I448" s="143" t="s">
        <v>754</v>
      </c>
      <c r="J448" s="143" t="s">
        <v>204</v>
      </c>
      <c r="K448" s="143" t="s">
        <v>204</v>
      </c>
      <c r="L448" s="143" t="s">
        <v>325</v>
      </c>
      <c r="M448" s="143" t="s">
        <v>340</v>
      </c>
      <c r="N448" s="143" t="s">
        <v>448</v>
      </c>
      <c r="O448" s="143" t="s">
        <v>339</v>
      </c>
      <c r="P448" s="143" t="s">
        <v>1222</v>
      </c>
      <c r="Q448" s="143" t="s">
        <v>413</v>
      </c>
      <c r="R448" s="143" t="s">
        <v>407</v>
      </c>
      <c r="S448" s="143" t="s">
        <v>1210</v>
      </c>
      <c r="T448" s="144">
        <v>2.42</v>
      </c>
      <c r="U448" s="143" t="s">
        <v>1940</v>
      </c>
      <c r="V448" s="146">
        <v>1E-3</v>
      </c>
      <c r="W448" s="146">
        <v>2.1586999999999999E-2</v>
      </c>
      <c r="X448" s="143" t="s">
        <v>412</v>
      </c>
      <c r="Y448" s="145" t="s">
        <v>3853</v>
      </c>
      <c r="Z448" s="144">
        <v>6942000</v>
      </c>
      <c r="AA448" s="145" t="s">
        <v>3853</v>
      </c>
      <c r="AB448" s="143" t="s">
        <v>1941</v>
      </c>
      <c r="AC448" s="145" t="s">
        <v>3853</v>
      </c>
      <c r="AD448" s="144">
        <v>7323.1157999999996</v>
      </c>
      <c r="AE448" s="145" t="s">
        <v>3853</v>
      </c>
      <c r="AF448" s="145" t="s">
        <v>3853</v>
      </c>
      <c r="AG448" s="145" t="s">
        <v>3853</v>
      </c>
      <c r="AH448" s="146">
        <v>1.4869776996185094E-2</v>
      </c>
      <c r="AI448" s="146">
        <v>8.4473447511190704E-3</v>
      </c>
      <c r="AJ448" s="147">
        <v>9.7563016801988003E-4</v>
      </c>
      <c r="AK448" s="181"/>
    </row>
    <row r="449" spans="1:37" ht="15" x14ac:dyDescent="0.2">
      <c r="A449" s="142" t="s">
        <v>1218</v>
      </c>
      <c r="B449" s="143" t="s">
        <v>1218</v>
      </c>
      <c r="C449" s="143" t="s">
        <v>2048</v>
      </c>
      <c r="D449" s="143" t="s">
        <v>2049</v>
      </c>
      <c r="E449" s="143" t="s">
        <v>309</v>
      </c>
      <c r="F449" s="143" t="s">
        <v>2050</v>
      </c>
      <c r="G449" s="143" t="s">
        <v>2051</v>
      </c>
      <c r="H449" s="143" t="s">
        <v>321</v>
      </c>
      <c r="I449" s="143" t="s">
        <v>754</v>
      </c>
      <c r="J449" s="143" t="s">
        <v>204</v>
      </c>
      <c r="K449" s="143" t="s">
        <v>204</v>
      </c>
      <c r="L449" s="143" t="s">
        <v>325</v>
      </c>
      <c r="M449" s="143" t="s">
        <v>340</v>
      </c>
      <c r="N449" s="143" t="s">
        <v>464</v>
      </c>
      <c r="O449" s="143" t="s">
        <v>339</v>
      </c>
      <c r="P449" s="145" t="s">
        <v>3853</v>
      </c>
      <c r="Q449" s="143" t="s">
        <v>410</v>
      </c>
      <c r="R449" s="143" t="s">
        <v>410</v>
      </c>
      <c r="S449" s="143" t="s">
        <v>1210</v>
      </c>
      <c r="T449" s="144">
        <v>3.25</v>
      </c>
      <c r="U449" s="143" t="s">
        <v>1428</v>
      </c>
      <c r="V449" s="146">
        <v>4.4999999999999998E-2</v>
      </c>
      <c r="W449" s="146">
        <v>4.4255999999999997E-2</v>
      </c>
      <c r="X449" s="143" t="s">
        <v>412</v>
      </c>
      <c r="Y449" s="145" t="s">
        <v>3853</v>
      </c>
      <c r="Z449" s="144">
        <v>7000000</v>
      </c>
      <c r="AA449" s="145" t="s">
        <v>3853</v>
      </c>
      <c r="AB449" s="143" t="s">
        <v>1914</v>
      </c>
      <c r="AC449" s="145" t="s">
        <v>3853</v>
      </c>
      <c r="AD449" s="144">
        <v>7207.9</v>
      </c>
      <c r="AE449" s="145" t="s">
        <v>3853</v>
      </c>
      <c r="AF449" s="145" t="s">
        <v>3853</v>
      </c>
      <c r="AG449" s="145" t="s">
        <v>3853</v>
      </c>
      <c r="AH449" s="146">
        <v>7.1453434307243643E-3</v>
      </c>
      <c r="AI449" s="146">
        <v>8.3144412698746544E-3</v>
      </c>
      <c r="AJ449" s="147">
        <v>9.602804161680051E-4</v>
      </c>
      <c r="AK449" s="181"/>
    </row>
    <row r="450" spans="1:37" ht="15" x14ac:dyDescent="0.2">
      <c r="A450" s="142" t="s">
        <v>1218</v>
      </c>
      <c r="B450" s="143" t="s">
        <v>1218</v>
      </c>
      <c r="C450" s="143" t="s">
        <v>1349</v>
      </c>
      <c r="D450" s="143" t="s">
        <v>1350</v>
      </c>
      <c r="E450" s="143" t="s">
        <v>309</v>
      </c>
      <c r="F450" s="143" t="s">
        <v>1593</v>
      </c>
      <c r="G450" s="143" t="s">
        <v>1594</v>
      </c>
      <c r="H450" s="143" t="s">
        <v>321</v>
      </c>
      <c r="I450" s="143" t="s">
        <v>754</v>
      </c>
      <c r="J450" s="143" t="s">
        <v>204</v>
      </c>
      <c r="K450" s="143" t="s">
        <v>204</v>
      </c>
      <c r="L450" s="143" t="s">
        <v>325</v>
      </c>
      <c r="M450" s="143" t="s">
        <v>340</v>
      </c>
      <c r="N450" s="143" t="s">
        <v>448</v>
      </c>
      <c r="O450" s="143" t="s">
        <v>339</v>
      </c>
      <c r="P450" s="143" t="s">
        <v>1222</v>
      </c>
      <c r="Q450" s="143" t="s">
        <v>413</v>
      </c>
      <c r="R450" s="143" t="s">
        <v>407</v>
      </c>
      <c r="S450" s="143" t="s">
        <v>1210</v>
      </c>
      <c r="T450" s="144">
        <v>4.63</v>
      </c>
      <c r="U450" s="143" t="s">
        <v>1595</v>
      </c>
      <c r="V450" s="146">
        <v>1.9900000000000001E-2</v>
      </c>
      <c r="W450" s="146">
        <v>2.5776E-2</v>
      </c>
      <c r="X450" s="143" t="s">
        <v>412</v>
      </c>
      <c r="Y450" s="145" t="s">
        <v>3853</v>
      </c>
      <c r="Z450" s="144">
        <v>7000000</v>
      </c>
      <c r="AA450" s="145" t="s">
        <v>3853</v>
      </c>
      <c r="AB450" s="143" t="s">
        <v>1596</v>
      </c>
      <c r="AC450" s="145" t="s">
        <v>3853</v>
      </c>
      <c r="AD450" s="144">
        <v>7016.1</v>
      </c>
      <c r="AE450" s="145" t="s">
        <v>3853</v>
      </c>
      <c r="AF450" s="145" t="s">
        <v>3853</v>
      </c>
      <c r="AG450" s="145" t="s">
        <v>3853</v>
      </c>
      <c r="AH450" s="146">
        <v>2.5925925925925925E-3</v>
      </c>
      <c r="AI450" s="146">
        <v>8.093196547339386E-3</v>
      </c>
      <c r="AJ450" s="147">
        <v>9.3472764992249342E-4</v>
      </c>
      <c r="AK450" s="181"/>
    </row>
    <row r="451" spans="1:37" ht="15" x14ac:dyDescent="0.2">
      <c r="A451" s="142" t="s">
        <v>1218</v>
      </c>
      <c r="B451" s="143" t="s">
        <v>1218</v>
      </c>
      <c r="C451" s="143" t="s">
        <v>1753</v>
      </c>
      <c r="D451" s="143" t="s">
        <v>1754</v>
      </c>
      <c r="E451" s="143" t="s">
        <v>309</v>
      </c>
      <c r="F451" s="143" t="s">
        <v>1932</v>
      </c>
      <c r="G451" s="143" t="s">
        <v>1933</v>
      </c>
      <c r="H451" s="143" t="s">
        <v>321</v>
      </c>
      <c r="I451" s="143" t="s">
        <v>754</v>
      </c>
      <c r="J451" s="143" t="s">
        <v>204</v>
      </c>
      <c r="K451" s="143" t="s">
        <v>204</v>
      </c>
      <c r="L451" s="143" t="s">
        <v>325</v>
      </c>
      <c r="M451" s="143" t="s">
        <v>340</v>
      </c>
      <c r="N451" s="143" t="s">
        <v>464</v>
      </c>
      <c r="O451" s="143" t="s">
        <v>339</v>
      </c>
      <c r="P451" s="143" t="s">
        <v>1366</v>
      </c>
      <c r="Q451" s="143" t="s">
        <v>413</v>
      </c>
      <c r="R451" s="143" t="s">
        <v>407</v>
      </c>
      <c r="S451" s="143" t="s">
        <v>1210</v>
      </c>
      <c r="T451" s="144">
        <v>4.96</v>
      </c>
      <c r="U451" s="143" t="s">
        <v>1934</v>
      </c>
      <c r="V451" s="146">
        <v>4.4499999999999998E-2</v>
      </c>
      <c r="W451" s="146">
        <v>4.759E-2</v>
      </c>
      <c r="X451" s="143" t="s">
        <v>412</v>
      </c>
      <c r="Y451" s="145" t="s">
        <v>3853</v>
      </c>
      <c r="Z451" s="144">
        <v>6910000</v>
      </c>
      <c r="AA451" s="145" t="s">
        <v>3853</v>
      </c>
      <c r="AB451" s="143" t="s">
        <v>1935</v>
      </c>
      <c r="AC451" s="145" t="s">
        <v>3853</v>
      </c>
      <c r="AD451" s="144">
        <v>7005.3580000000002</v>
      </c>
      <c r="AE451" s="145" t="s">
        <v>3853</v>
      </c>
      <c r="AF451" s="145" t="s">
        <v>3853</v>
      </c>
      <c r="AG451" s="145" t="s">
        <v>3853</v>
      </c>
      <c r="AH451" s="146">
        <v>1.5355555555555556E-2</v>
      </c>
      <c r="AI451" s="146">
        <v>8.0808054586559985E-3</v>
      </c>
      <c r="AJ451" s="147">
        <v>9.3329653514142316E-4</v>
      </c>
      <c r="AK451" s="181"/>
    </row>
    <row r="452" spans="1:37" ht="15" x14ac:dyDescent="0.2">
      <c r="A452" s="142" t="s">
        <v>1218</v>
      </c>
      <c r="B452" s="143" t="s">
        <v>1218</v>
      </c>
      <c r="C452" s="143" t="s">
        <v>1574</v>
      </c>
      <c r="D452" s="143" t="s">
        <v>1575</v>
      </c>
      <c r="E452" s="143" t="s">
        <v>309</v>
      </c>
      <c r="F452" s="143" t="s">
        <v>1922</v>
      </c>
      <c r="G452" s="143" t="s">
        <v>1923</v>
      </c>
      <c r="H452" s="143" t="s">
        <v>321</v>
      </c>
      <c r="I452" s="143" t="s">
        <v>754</v>
      </c>
      <c r="J452" s="143" t="s">
        <v>204</v>
      </c>
      <c r="K452" s="143" t="s">
        <v>204</v>
      </c>
      <c r="L452" s="143" t="s">
        <v>325</v>
      </c>
      <c r="M452" s="143" t="s">
        <v>340</v>
      </c>
      <c r="N452" s="143" t="s">
        <v>464</v>
      </c>
      <c r="O452" s="143" t="s">
        <v>339</v>
      </c>
      <c r="P452" s="143" t="s">
        <v>1409</v>
      </c>
      <c r="Q452" s="143" t="s">
        <v>413</v>
      </c>
      <c r="R452" s="143" t="s">
        <v>407</v>
      </c>
      <c r="S452" s="143" t="s">
        <v>1210</v>
      </c>
      <c r="T452" s="144">
        <v>5.59</v>
      </c>
      <c r="U452" s="143" t="s">
        <v>1924</v>
      </c>
      <c r="V452" s="146">
        <v>2.5999999999999999E-2</v>
      </c>
      <c r="W452" s="146">
        <v>3.1829000000000003E-2</v>
      </c>
      <c r="X452" s="143" t="s">
        <v>412</v>
      </c>
      <c r="Y452" s="145" t="s">
        <v>3853</v>
      </c>
      <c r="Z452" s="144">
        <v>6992000</v>
      </c>
      <c r="AA452" s="145" t="s">
        <v>3853</v>
      </c>
      <c r="AB452" s="143" t="s">
        <v>1925</v>
      </c>
      <c r="AC452" s="144">
        <v>95.924600000000012</v>
      </c>
      <c r="AD452" s="144">
        <v>7004.0205999999998</v>
      </c>
      <c r="AE452" s="145" t="s">
        <v>3853</v>
      </c>
      <c r="AF452" s="145" t="s">
        <v>3853</v>
      </c>
      <c r="AG452" s="145" t="s">
        <v>3853</v>
      </c>
      <c r="AH452" s="146">
        <v>1.3044776119402985E-2</v>
      </c>
      <c r="AI452" s="146">
        <v>8.1899135047680018E-3</v>
      </c>
      <c r="AJ452" s="147">
        <v>9.4589802170280365E-4</v>
      </c>
      <c r="AK452" s="181"/>
    </row>
    <row r="453" spans="1:37" ht="15" x14ac:dyDescent="0.2">
      <c r="A453" s="142" t="s">
        <v>1218</v>
      </c>
      <c r="B453" s="143" t="s">
        <v>1218</v>
      </c>
      <c r="C453" s="143" t="s">
        <v>1926</v>
      </c>
      <c r="D453" s="143" t="s">
        <v>1927</v>
      </c>
      <c r="E453" s="143" t="s">
        <v>309</v>
      </c>
      <c r="F453" s="143" t="s">
        <v>1928</v>
      </c>
      <c r="G453" s="143" t="s">
        <v>1929</v>
      </c>
      <c r="H453" s="143" t="s">
        <v>321</v>
      </c>
      <c r="I453" s="143" t="s">
        <v>754</v>
      </c>
      <c r="J453" s="143" t="s">
        <v>204</v>
      </c>
      <c r="K453" s="143" t="s">
        <v>204</v>
      </c>
      <c r="L453" s="143" t="s">
        <v>325</v>
      </c>
      <c r="M453" s="143" t="s">
        <v>340</v>
      </c>
      <c r="N453" s="143" t="s">
        <v>477</v>
      </c>
      <c r="O453" s="143" t="s">
        <v>339</v>
      </c>
      <c r="P453" s="143" t="s">
        <v>1222</v>
      </c>
      <c r="Q453" s="143" t="s">
        <v>413</v>
      </c>
      <c r="R453" s="143" t="s">
        <v>407</v>
      </c>
      <c r="S453" s="143" t="s">
        <v>1210</v>
      </c>
      <c r="T453" s="144">
        <v>11.71</v>
      </c>
      <c r="U453" s="143" t="s">
        <v>1930</v>
      </c>
      <c r="V453" s="146">
        <v>2.07E-2</v>
      </c>
      <c r="W453" s="146">
        <v>3.2603E-2</v>
      </c>
      <c r="X453" s="143" t="s">
        <v>412</v>
      </c>
      <c r="Y453" s="145" t="s">
        <v>3853</v>
      </c>
      <c r="Z453" s="144">
        <v>7100000</v>
      </c>
      <c r="AA453" s="145" t="s">
        <v>3853</v>
      </c>
      <c r="AB453" s="143" t="s">
        <v>1931</v>
      </c>
      <c r="AC453" s="145" t="s">
        <v>3853</v>
      </c>
      <c r="AD453" s="144">
        <v>6909.72</v>
      </c>
      <c r="AE453" s="145" t="s">
        <v>3853</v>
      </c>
      <c r="AF453" s="145" t="s">
        <v>3853</v>
      </c>
      <c r="AG453" s="145" t="s">
        <v>3853</v>
      </c>
      <c r="AH453" s="146">
        <v>1.5592476009788653E-3</v>
      </c>
      <c r="AI453" s="146">
        <v>7.9704853190635683E-3</v>
      </c>
      <c r="AJ453" s="147">
        <v>9.2055505725722997E-4</v>
      </c>
      <c r="AK453" s="181"/>
    </row>
    <row r="454" spans="1:37" ht="15" x14ac:dyDescent="0.2">
      <c r="A454" s="142" t="s">
        <v>1218</v>
      </c>
      <c r="B454" s="143" t="s">
        <v>1218</v>
      </c>
      <c r="C454" s="143" t="s">
        <v>1550</v>
      </c>
      <c r="D454" s="143" t="s">
        <v>1551</v>
      </c>
      <c r="E454" s="143" t="s">
        <v>309</v>
      </c>
      <c r="F454" s="143" t="s">
        <v>1726</v>
      </c>
      <c r="G454" s="143" t="s">
        <v>1727</v>
      </c>
      <c r="H454" s="143" t="s">
        <v>321</v>
      </c>
      <c r="I454" s="143" t="s">
        <v>754</v>
      </c>
      <c r="J454" s="143" t="s">
        <v>204</v>
      </c>
      <c r="K454" s="143" t="s">
        <v>293</v>
      </c>
      <c r="L454" s="143" t="s">
        <v>325</v>
      </c>
      <c r="M454" s="143" t="s">
        <v>340</v>
      </c>
      <c r="N454" s="143" t="s">
        <v>465</v>
      </c>
      <c r="O454" s="143" t="s">
        <v>339</v>
      </c>
      <c r="P454" s="143" t="s">
        <v>1440</v>
      </c>
      <c r="Q454" s="143" t="s">
        <v>415</v>
      </c>
      <c r="R454" s="143" t="s">
        <v>407</v>
      </c>
      <c r="S454" s="143" t="s">
        <v>1210</v>
      </c>
      <c r="T454" s="144">
        <v>5.35</v>
      </c>
      <c r="U454" s="143" t="s">
        <v>1714</v>
      </c>
      <c r="V454" s="146">
        <v>1.54E-2</v>
      </c>
      <c r="W454" s="146">
        <v>4.0224999999999997E-2</v>
      </c>
      <c r="X454" s="143" t="s">
        <v>412</v>
      </c>
      <c r="Y454" s="145" t="s">
        <v>3853</v>
      </c>
      <c r="Z454" s="144">
        <v>6943000</v>
      </c>
      <c r="AA454" s="145" t="s">
        <v>3853</v>
      </c>
      <c r="AB454" s="143" t="s">
        <v>1728</v>
      </c>
      <c r="AC454" s="145" t="s">
        <v>3853</v>
      </c>
      <c r="AD454" s="144">
        <v>6755.5389999999998</v>
      </c>
      <c r="AE454" s="145" t="s">
        <v>3853</v>
      </c>
      <c r="AF454" s="145" t="s">
        <v>3853</v>
      </c>
      <c r="AG454" s="145" t="s">
        <v>3853</v>
      </c>
      <c r="AH454" s="146">
        <v>1.1640715510838456E-2</v>
      </c>
      <c r="AI454" s="146">
        <v>7.7926347843127334E-3</v>
      </c>
      <c r="AJ454" s="147">
        <v>9.0001412371969484E-4</v>
      </c>
      <c r="AK454" s="181"/>
    </row>
    <row r="455" spans="1:37" ht="15" x14ac:dyDescent="0.2">
      <c r="A455" s="142" t="s">
        <v>1218</v>
      </c>
      <c r="B455" s="143" t="s">
        <v>1218</v>
      </c>
      <c r="C455" s="143" t="s">
        <v>1355</v>
      </c>
      <c r="D455" s="143" t="s">
        <v>1356</v>
      </c>
      <c r="E455" s="143" t="s">
        <v>309</v>
      </c>
      <c r="F455" s="143" t="s">
        <v>1597</v>
      </c>
      <c r="G455" s="143" t="s">
        <v>1598</v>
      </c>
      <c r="H455" s="143" t="s">
        <v>321</v>
      </c>
      <c r="I455" s="143" t="s">
        <v>754</v>
      </c>
      <c r="J455" s="143" t="s">
        <v>204</v>
      </c>
      <c r="K455" s="143" t="s">
        <v>204</v>
      </c>
      <c r="L455" s="143" t="s">
        <v>325</v>
      </c>
      <c r="M455" s="143" t="s">
        <v>340</v>
      </c>
      <c r="N455" s="143" t="s">
        <v>445</v>
      </c>
      <c r="O455" s="143" t="s">
        <v>339</v>
      </c>
      <c r="P455" s="143" t="s">
        <v>1359</v>
      </c>
      <c r="Q455" s="143" t="s">
        <v>415</v>
      </c>
      <c r="R455" s="143" t="s">
        <v>407</v>
      </c>
      <c r="S455" s="143" t="s">
        <v>1210</v>
      </c>
      <c r="T455" s="144">
        <v>5.24</v>
      </c>
      <c r="U455" s="143" t="s">
        <v>1599</v>
      </c>
      <c r="V455" s="146">
        <v>4.6899999999999997E-2</v>
      </c>
      <c r="W455" s="146">
        <v>5.7537999999999999E-2</v>
      </c>
      <c r="X455" s="143" t="s">
        <v>412</v>
      </c>
      <c r="Y455" s="145" t="s">
        <v>3853</v>
      </c>
      <c r="Z455" s="144">
        <v>6998000</v>
      </c>
      <c r="AA455" s="145" t="s">
        <v>3853</v>
      </c>
      <c r="AB455" s="143" t="s">
        <v>1600</v>
      </c>
      <c r="AC455" s="145" t="s">
        <v>3853</v>
      </c>
      <c r="AD455" s="144">
        <v>6664.8951999999999</v>
      </c>
      <c r="AE455" s="145" t="s">
        <v>3853</v>
      </c>
      <c r="AF455" s="145" t="s">
        <v>3853</v>
      </c>
      <c r="AG455" s="145" t="s">
        <v>3853</v>
      </c>
      <c r="AH455" s="146">
        <v>1.3996E-2</v>
      </c>
      <c r="AI455" s="146">
        <v>7.688075543538269E-3</v>
      </c>
      <c r="AJ455" s="147">
        <v>8.8793800363103526E-4</v>
      </c>
      <c r="AK455" s="181"/>
    </row>
    <row r="456" spans="1:37" ht="15" x14ac:dyDescent="0.2">
      <c r="A456" s="142" t="s">
        <v>1218</v>
      </c>
      <c r="B456" s="143" t="s">
        <v>1218</v>
      </c>
      <c r="C456" s="143" t="s">
        <v>1856</v>
      </c>
      <c r="D456" s="143" t="s">
        <v>1857</v>
      </c>
      <c r="E456" s="143" t="s">
        <v>309</v>
      </c>
      <c r="F456" s="143" t="s">
        <v>1942</v>
      </c>
      <c r="G456" s="143" t="s">
        <v>1943</v>
      </c>
      <c r="H456" s="143" t="s">
        <v>321</v>
      </c>
      <c r="I456" s="143" t="s">
        <v>754</v>
      </c>
      <c r="J456" s="143" t="s">
        <v>204</v>
      </c>
      <c r="K456" s="143" t="s">
        <v>204</v>
      </c>
      <c r="L456" s="143" t="s">
        <v>325</v>
      </c>
      <c r="M456" s="143" t="s">
        <v>340</v>
      </c>
      <c r="N456" s="143" t="s">
        <v>464</v>
      </c>
      <c r="O456" s="143" t="s">
        <v>339</v>
      </c>
      <c r="P456" s="143" t="s">
        <v>1409</v>
      </c>
      <c r="Q456" s="143" t="s">
        <v>413</v>
      </c>
      <c r="R456" s="143" t="s">
        <v>407</v>
      </c>
      <c r="S456" s="143" t="s">
        <v>1210</v>
      </c>
      <c r="T456" s="144">
        <v>6.05</v>
      </c>
      <c r="U456" s="143" t="s">
        <v>1944</v>
      </c>
      <c r="V456" s="146">
        <v>3.5000000000000001E-3</v>
      </c>
      <c r="W456" s="146">
        <v>3.6639999999999999E-2</v>
      </c>
      <c r="X456" s="143" t="s">
        <v>412</v>
      </c>
      <c r="Y456" s="145" t="s">
        <v>3853</v>
      </c>
      <c r="Z456" s="144">
        <v>7100000</v>
      </c>
      <c r="AA456" s="145" t="s">
        <v>3853</v>
      </c>
      <c r="AB456" s="143" t="s">
        <v>1945</v>
      </c>
      <c r="AC456" s="145" t="s">
        <v>3853</v>
      </c>
      <c r="AD456" s="144">
        <v>6453.9</v>
      </c>
      <c r="AE456" s="145" t="s">
        <v>3853</v>
      </c>
      <c r="AF456" s="145" t="s">
        <v>3853</v>
      </c>
      <c r="AG456" s="145" t="s">
        <v>3853</v>
      </c>
      <c r="AH456" s="146">
        <v>2.0377472296826413E-3</v>
      </c>
      <c r="AI456" s="146">
        <v>7.4446888152782413E-3</v>
      </c>
      <c r="AJ456" s="147">
        <v>8.5982793572423146E-4</v>
      </c>
      <c r="AK456" s="181"/>
    </row>
    <row r="457" spans="1:37" ht="15" x14ac:dyDescent="0.2">
      <c r="A457" s="142" t="s">
        <v>1218</v>
      </c>
      <c r="B457" s="143" t="s">
        <v>1218</v>
      </c>
      <c r="C457" s="143" t="s">
        <v>1807</v>
      </c>
      <c r="D457" s="143" t="s">
        <v>1808</v>
      </c>
      <c r="E457" s="143" t="s">
        <v>309</v>
      </c>
      <c r="F457" s="143" t="s">
        <v>1946</v>
      </c>
      <c r="G457" s="143" t="s">
        <v>1947</v>
      </c>
      <c r="H457" s="143" t="s">
        <v>321</v>
      </c>
      <c r="I457" s="143" t="s">
        <v>754</v>
      </c>
      <c r="J457" s="143" t="s">
        <v>204</v>
      </c>
      <c r="K457" s="143" t="s">
        <v>204</v>
      </c>
      <c r="L457" s="143" t="s">
        <v>325</v>
      </c>
      <c r="M457" s="143" t="s">
        <v>340</v>
      </c>
      <c r="N457" s="143" t="s">
        <v>464</v>
      </c>
      <c r="O457" s="143" t="s">
        <v>339</v>
      </c>
      <c r="P457" s="143" t="s">
        <v>1757</v>
      </c>
      <c r="Q457" s="143" t="s">
        <v>413</v>
      </c>
      <c r="R457" s="143" t="s">
        <v>407</v>
      </c>
      <c r="S457" s="143" t="s">
        <v>1210</v>
      </c>
      <c r="T457" s="144">
        <v>1.69</v>
      </c>
      <c r="U457" s="143" t="s">
        <v>1948</v>
      </c>
      <c r="V457" s="146">
        <v>3.0599999999999999E-2</v>
      </c>
      <c r="W457" s="146">
        <v>2.9069000000000001E-2</v>
      </c>
      <c r="X457" s="143" t="s">
        <v>412</v>
      </c>
      <c r="Y457" s="145" t="s">
        <v>3853</v>
      </c>
      <c r="Z457" s="144">
        <v>5254545.6399999997</v>
      </c>
      <c r="AA457" s="145" t="s">
        <v>3853</v>
      </c>
      <c r="AB457" s="143" t="s">
        <v>1949</v>
      </c>
      <c r="AC457" s="144">
        <v>100.52289999999999</v>
      </c>
      <c r="AD457" s="144">
        <v>6176.8794000000007</v>
      </c>
      <c r="AE457" s="145" t="s">
        <v>3853</v>
      </c>
      <c r="AF457" s="145" t="s">
        <v>3853</v>
      </c>
      <c r="AG457" s="145" t="s">
        <v>3853</v>
      </c>
      <c r="AH457" s="146">
        <v>1.5048609838137475E-2</v>
      </c>
      <c r="AI457" s="146">
        <v>7.2410955435850324E-3</v>
      </c>
      <c r="AJ457" s="147">
        <v>8.3631383233174854E-4</v>
      </c>
      <c r="AK457" s="181"/>
    </row>
    <row r="458" spans="1:37" ht="15" x14ac:dyDescent="0.2">
      <c r="A458" s="142" t="s">
        <v>1218</v>
      </c>
      <c r="B458" s="143" t="s">
        <v>1218</v>
      </c>
      <c r="C458" s="143" t="s">
        <v>1807</v>
      </c>
      <c r="D458" s="143" t="s">
        <v>1808</v>
      </c>
      <c r="E458" s="143" t="s">
        <v>309</v>
      </c>
      <c r="F458" s="143" t="s">
        <v>1958</v>
      </c>
      <c r="G458" s="143" t="s">
        <v>1959</v>
      </c>
      <c r="H458" s="143" t="s">
        <v>321</v>
      </c>
      <c r="I458" s="143" t="s">
        <v>754</v>
      </c>
      <c r="J458" s="143" t="s">
        <v>204</v>
      </c>
      <c r="K458" s="143" t="s">
        <v>204</v>
      </c>
      <c r="L458" s="143" t="s">
        <v>325</v>
      </c>
      <c r="M458" s="143" t="s">
        <v>340</v>
      </c>
      <c r="N458" s="143" t="s">
        <v>464</v>
      </c>
      <c r="O458" s="143" t="s">
        <v>339</v>
      </c>
      <c r="P458" s="143" t="s">
        <v>1757</v>
      </c>
      <c r="Q458" s="143" t="s">
        <v>413</v>
      </c>
      <c r="R458" s="143" t="s">
        <v>407</v>
      </c>
      <c r="S458" s="143" t="s">
        <v>1210</v>
      </c>
      <c r="T458" s="144">
        <v>6.3</v>
      </c>
      <c r="U458" s="143" t="s">
        <v>1789</v>
      </c>
      <c r="V458" s="146">
        <v>3.6799999999999999E-2</v>
      </c>
      <c r="W458" s="146">
        <v>4.3203999999999999E-2</v>
      </c>
      <c r="X458" s="143" t="s">
        <v>412</v>
      </c>
      <c r="Y458" s="145" t="s">
        <v>3853</v>
      </c>
      <c r="Z458" s="144">
        <v>6211000</v>
      </c>
      <c r="AA458" s="145" t="s">
        <v>3853</v>
      </c>
      <c r="AB458" s="143" t="s">
        <v>1322</v>
      </c>
      <c r="AC458" s="145" t="s">
        <v>3853</v>
      </c>
      <c r="AD458" s="144">
        <v>6099.8230999999996</v>
      </c>
      <c r="AE458" s="145" t="s">
        <v>3853</v>
      </c>
      <c r="AF458" s="145" t="s">
        <v>3853</v>
      </c>
      <c r="AG458" s="145" t="s">
        <v>3853</v>
      </c>
      <c r="AH458" s="146">
        <v>2.5489705212441569E-2</v>
      </c>
      <c r="AI458" s="146">
        <v>7.0362547928765314E-3</v>
      </c>
      <c r="AJ458" s="147">
        <v>8.1265565074698746E-4</v>
      </c>
      <c r="AK458" s="181"/>
    </row>
    <row r="459" spans="1:37" ht="15" x14ac:dyDescent="0.2">
      <c r="A459" s="142" t="s">
        <v>1218</v>
      </c>
      <c r="B459" s="143" t="s">
        <v>1218</v>
      </c>
      <c r="C459" s="143" t="s">
        <v>1533</v>
      </c>
      <c r="D459" s="143" t="s">
        <v>1534</v>
      </c>
      <c r="E459" s="143" t="s">
        <v>309</v>
      </c>
      <c r="F459" s="143" t="s">
        <v>1535</v>
      </c>
      <c r="G459" s="143" t="s">
        <v>1536</v>
      </c>
      <c r="H459" s="143" t="s">
        <v>321</v>
      </c>
      <c r="I459" s="143" t="s">
        <v>754</v>
      </c>
      <c r="J459" s="143" t="s">
        <v>204</v>
      </c>
      <c r="K459" s="143" t="s">
        <v>204</v>
      </c>
      <c r="L459" s="143" t="s">
        <v>325</v>
      </c>
      <c r="M459" s="143" t="s">
        <v>340</v>
      </c>
      <c r="N459" s="143" t="s">
        <v>464</v>
      </c>
      <c r="O459" s="143" t="s">
        <v>339</v>
      </c>
      <c r="P459" s="143" t="s">
        <v>1409</v>
      </c>
      <c r="Q459" s="143" t="s">
        <v>413</v>
      </c>
      <c r="R459" s="143" t="s">
        <v>407</v>
      </c>
      <c r="S459" s="143" t="s">
        <v>1210</v>
      </c>
      <c r="T459" s="144">
        <v>2.4300000000000002</v>
      </c>
      <c r="U459" s="143" t="s">
        <v>1299</v>
      </c>
      <c r="V459" s="146">
        <v>2.3400000000000001E-2</v>
      </c>
      <c r="W459" s="146">
        <v>2.7517E-2</v>
      </c>
      <c r="X459" s="143" t="s">
        <v>412</v>
      </c>
      <c r="Y459" s="145" t="s">
        <v>3853</v>
      </c>
      <c r="Z459" s="144">
        <v>5244845.67</v>
      </c>
      <c r="AA459" s="145" t="s">
        <v>3853</v>
      </c>
      <c r="AB459" s="143" t="s">
        <v>1537</v>
      </c>
      <c r="AC459" s="145" t="s">
        <v>3853</v>
      </c>
      <c r="AD459" s="144">
        <v>5930.8715000000002</v>
      </c>
      <c r="AE459" s="145" t="s">
        <v>3853</v>
      </c>
      <c r="AF459" s="145" t="s">
        <v>3853</v>
      </c>
      <c r="AG459" s="145" t="s">
        <v>3853</v>
      </c>
      <c r="AH459" s="146">
        <v>2.486230685774317E-3</v>
      </c>
      <c r="AI459" s="146">
        <v>6.841366088578626E-3</v>
      </c>
      <c r="AJ459" s="147">
        <v>7.9014688557623326E-4</v>
      </c>
      <c r="AK459" s="181"/>
    </row>
    <row r="460" spans="1:37" ht="15" x14ac:dyDescent="0.2">
      <c r="A460" s="142" t="s">
        <v>1218</v>
      </c>
      <c r="B460" s="143" t="s">
        <v>1218</v>
      </c>
      <c r="C460" s="143" t="s">
        <v>1574</v>
      </c>
      <c r="D460" s="143" t="s">
        <v>1575</v>
      </c>
      <c r="E460" s="143" t="s">
        <v>309</v>
      </c>
      <c r="F460" s="143" t="s">
        <v>1950</v>
      </c>
      <c r="G460" s="143" t="s">
        <v>1951</v>
      </c>
      <c r="H460" s="143" t="s">
        <v>321</v>
      </c>
      <c r="I460" s="143" t="s">
        <v>754</v>
      </c>
      <c r="J460" s="143" t="s">
        <v>204</v>
      </c>
      <c r="K460" s="143" t="s">
        <v>204</v>
      </c>
      <c r="L460" s="143" t="s">
        <v>325</v>
      </c>
      <c r="M460" s="143" t="s">
        <v>340</v>
      </c>
      <c r="N460" s="143" t="s">
        <v>464</v>
      </c>
      <c r="O460" s="143" t="s">
        <v>339</v>
      </c>
      <c r="P460" s="143" t="s">
        <v>1347</v>
      </c>
      <c r="Q460" s="143" t="s">
        <v>413</v>
      </c>
      <c r="R460" s="143" t="s">
        <v>407</v>
      </c>
      <c r="S460" s="143" t="s">
        <v>1210</v>
      </c>
      <c r="T460" s="144">
        <v>5.53</v>
      </c>
      <c r="U460" s="143" t="s">
        <v>1952</v>
      </c>
      <c r="V460" s="146">
        <v>1.8700000000000001E-2</v>
      </c>
      <c r="W460" s="146">
        <v>3.7307E-2</v>
      </c>
      <c r="X460" s="143" t="s">
        <v>412</v>
      </c>
      <c r="Y460" s="145" t="s">
        <v>3853</v>
      </c>
      <c r="Z460" s="144">
        <v>5983999.9199999999</v>
      </c>
      <c r="AA460" s="145" t="s">
        <v>3853</v>
      </c>
      <c r="AB460" s="143" t="s">
        <v>1953</v>
      </c>
      <c r="AC460" s="145" t="s">
        <v>3853</v>
      </c>
      <c r="AD460" s="144">
        <v>5912.7902999999997</v>
      </c>
      <c r="AE460" s="145" t="s">
        <v>3853</v>
      </c>
      <c r="AF460" s="145" t="s">
        <v>3853</v>
      </c>
      <c r="AG460" s="145" t="s">
        <v>3853</v>
      </c>
      <c r="AH460" s="146">
        <v>1.1431741422564088E-2</v>
      </c>
      <c r="AI460" s="146">
        <v>6.8205091447770799E-3</v>
      </c>
      <c r="AJ460" s="147">
        <v>7.8773800276334843E-4</v>
      </c>
      <c r="AK460" s="181"/>
    </row>
    <row r="461" spans="1:37" ht="15" x14ac:dyDescent="0.2">
      <c r="A461" s="142" t="s">
        <v>1218</v>
      </c>
      <c r="B461" s="143" t="s">
        <v>1218</v>
      </c>
      <c r="C461" s="143" t="s">
        <v>1895</v>
      </c>
      <c r="D461" s="143" t="s">
        <v>1896</v>
      </c>
      <c r="E461" s="143" t="s">
        <v>309</v>
      </c>
      <c r="F461" s="143" t="s">
        <v>1954</v>
      </c>
      <c r="G461" s="143" t="s">
        <v>1955</v>
      </c>
      <c r="H461" s="143" t="s">
        <v>321</v>
      </c>
      <c r="I461" s="143" t="s">
        <v>754</v>
      </c>
      <c r="J461" s="143" t="s">
        <v>204</v>
      </c>
      <c r="K461" s="143" t="s">
        <v>204</v>
      </c>
      <c r="L461" s="143" t="s">
        <v>325</v>
      </c>
      <c r="M461" s="143" t="s">
        <v>340</v>
      </c>
      <c r="N461" s="143" t="s">
        <v>448</v>
      </c>
      <c r="O461" s="143" t="s">
        <v>339</v>
      </c>
      <c r="P461" s="143" t="s">
        <v>1222</v>
      </c>
      <c r="Q461" s="143" t="s">
        <v>413</v>
      </c>
      <c r="R461" s="143" t="s">
        <v>407</v>
      </c>
      <c r="S461" s="143" t="s">
        <v>1210</v>
      </c>
      <c r="T461" s="144">
        <v>3.96</v>
      </c>
      <c r="U461" s="143" t="s">
        <v>1956</v>
      </c>
      <c r="V461" s="146">
        <v>2E-3</v>
      </c>
      <c r="W461" s="146">
        <v>2.5773000000000001E-2</v>
      </c>
      <c r="X461" s="143" t="s">
        <v>412</v>
      </c>
      <c r="Y461" s="145" t="s">
        <v>3853</v>
      </c>
      <c r="Z461" s="144">
        <v>5815789.3799999999</v>
      </c>
      <c r="AA461" s="145" t="s">
        <v>3853</v>
      </c>
      <c r="AB461" s="143" t="s">
        <v>1957</v>
      </c>
      <c r="AC461" s="145" t="s">
        <v>3853</v>
      </c>
      <c r="AD461" s="144">
        <v>5865.2235999999994</v>
      </c>
      <c r="AE461" s="145" t="s">
        <v>3853</v>
      </c>
      <c r="AF461" s="145" t="s">
        <v>3853</v>
      </c>
      <c r="AG461" s="145" t="s">
        <v>3853</v>
      </c>
      <c r="AH461" s="146">
        <v>1.5054246031521571E-3</v>
      </c>
      <c r="AI461" s="146">
        <v>6.7656400715178462E-3</v>
      </c>
      <c r="AJ461" s="147">
        <v>7.8140087260704578E-4</v>
      </c>
      <c r="AK461" s="181"/>
    </row>
    <row r="462" spans="1:37" ht="15" x14ac:dyDescent="0.2">
      <c r="A462" s="142" t="s">
        <v>1218</v>
      </c>
      <c r="B462" s="143" t="s">
        <v>1218</v>
      </c>
      <c r="C462" s="143" t="s">
        <v>1574</v>
      </c>
      <c r="D462" s="143" t="s">
        <v>1575</v>
      </c>
      <c r="E462" s="143" t="s">
        <v>309</v>
      </c>
      <c r="F462" s="143" t="s">
        <v>1716</v>
      </c>
      <c r="G462" s="143" t="s">
        <v>1717</v>
      </c>
      <c r="H462" s="143" t="s">
        <v>321</v>
      </c>
      <c r="I462" s="143" t="s">
        <v>754</v>
      </c>
      <c r="J462" s="143" t="s">
        <v>204</v>
      </c>
      <c r="K462" s="143" t="s">
        <v>204</v>
      </c>
      <c r="L462" s="143" t="s">
        <v>325</v>
      </c>
      <c r="M462" s="143" t="s">
        <v>340</v>
      </c>
      <c r="N462" s="143" t="s">
        <v>464</v>
      </c>
      <c r="O462" s="143" t="s">
        <v>339</v>
      </c>
      <c r="P462" s="143" t="s">
        <v>1359</v>
      </c>
      <c r="Q462" s="143" t="s">
        <v>415</v>
      </c>
      <c r="R462" s="143" t="s">
        <v>407</v>
      </c>
      <c r="S462" s="143" t="s">
        <v>1210</v>
      </c>
      <c r="T462" s="144">
        <v>4.6900000000000004</v>
      </c>
      <c r="U462" s="143" t="s">
        <v>1718</v>
      </c>
      <c r="V462" s="146">
        <v>1.17E-2</v>
      </c>
      <c r="W462" s="146">
        <v>3.5473999999999999E-2</v>
      </c>
      <c r="X462" s="143" t="s">
        <v>412</v>
      </c>
      <c r="Y462" s="145" t="s">
        <v>3853</v>
      </c>
      <c r="Z462" s="144">
        <v>5535825.0199999996</v>
      </c>
      <c r="AA462" s="145" t="s">
        <v>3853</v>
      </c>
      <c r="AB462" s="143" t="s">
        <v>1719</v>
      </c>
      <c r="AC462" s="145" t="s">
        <v>3853</v>
      </c>
      <c r="AD462" s="144">
        <v>5629.3805000000002</v>
      </c>
      <c r="AE462" s="145" t="s">
        <v>3853</v>
      </c>
      <c r="AF462" s="145" t="s">
        <v>3853</v>
      </c>
      <c r="AG462" s="145" t="s">
        <v>3853</v>
      </c>
      <c r="AH462" s="146">
        <v>8.0395788370683698E-3</v>
      </c>
      <c r="AI462" s="146">
        <v>6.4935908161942247E-3</v>
      </c>
      <c r="AJ462" s="147">
        <v>7.4998041227293825E-4</v>
      </c>
      <c r="AK462" s="181"/>
    </row>
    <row r="463" spans="1:37" ht="15" x14ac:dyDescent="0.2">
      <c r="A463" s="142" t="s">
        <v>1218</v>
      </c>
      <c r="B463" s="143" t="s">
        <v>1218</v>
      </c>
      <c r="C463" s="143" t="s">
        <v>1516</v>
      </c>
      <c r="D463" s="143" t="s">
        <v>1517</v>
      </c>
      <c r="E463" s="143" t="s">
        <v>309</v>
      </c>
      <c r="F463" s="143" t="s">
        <v>1542</v>
      </c>
      <c r="G463" s="143" t="s">
        <v>1543</v>
      </c>
      <c r="H463" s="143" t="s">
        <v>321</v>
      </c>
      <c r="I463" s="143" t="s">
        <v>754</v>
      </c>
      <c r="J463" s="143" t="s">
        <v>204</v>
      </c>
      <c r="K463" s="143" t="s">
        <v>204</v>
      </c>
      <c r="L463" s="143" t="s">
        <v>325</v>
      </c>
      <c r="M463" s="143" t="s">
        <v>340</v>
      </c>
      <c r="N463" s="143" t="s">
        <v>465</v>
      </c>
      <c r="O463" s="143" t="s">
        <v>339</v>
      </c>
      <c r="P463" s="143" t="s">
        <v>1402</v>
      </c>
      <c r="Q463" s="143" t="s">
        <v>415</v>
      </c>
      <c r="R463" s="143" t="s">
        <v>407</v>
      </c>
      <c r="S463" s="143" t="s">
        <v>1210</v>
      </c>
      <c r="T463" s="144">
        <v>2.46</v>
      </c>
      <c r="U463" s="143" t="s">
        <v>1544</v>
      </c>
      <c r="V463" s="146">
        <v>3.2800000000000003E-2</v>
      </c>
      <c r="W463" s="146">
        <v>5.8094E-2</v>
      </c>
      <c r="X463" s="143" t="s">
        <v>412</v>
      </c>
      <c r="Y463" s="145" t="s">
        <v>3853</v>
      </c>
      <c r="Z463" s="144">
        <v>5119878.09</v>
      </c>
      <c r="AA463" s="145" t="s">
        <v>3853</v>
      </c>
      <c r="AB463" s="143" t="s">
        <v>1545</v>
      </c>
      <c r="AC463" s="145" t="s">
        <v>3853</v>
      </c>
      <c r="AD463" s="144">
        <v>5549.9477999999999</v>
      </c>
      <c r="AE463" s="145" t="s">
        <v>3853</v>
      </c>
      <c r="AF463" s="145" t="s">
        <v>3853</v>
      </c>
      <c r="AG463" s="145" t="s">
        <v>3853</v>
      </c>
      <c r="AH463" s="146">
        <v>3.703340493097727E-3</v>
      </c>
      <c r="AI463" s="146">
        <v>6.4019638793592799E-3</v>
      </c>
      <c r="AJ463" s="147">
        <v>7.3939791488314237E-4</v>
      </c>
      <c r="AK463" s="181"/>
    </row>
    <row r="464" spans="1:37" ht="15" x14ac:dyDescent="0.2">
      <c r="A464" s="142" t="s">
        <v>1218</v>
      </c>
      <c r="B464" s="143" t="s">
        <v>1218</v>
      </c>
      <c r="C464" s="143" t="s">
        <v>1349</v>
      </c>
      <c r="D464" s="143" t="s">
        <v>1350</v>
      </c>
      <c r="E464" s="143" t="s">
        <v>309</v>
      </c>
      <c r="F464" s="143" t="s">
        <v>1473</v>
      </c>
      <c r="G464" s="143" t="s">
        <v>1474</v>
      </c>
      <c r="H464" s="143" t="s">
        <v>321</v>
      </c>
      <c r="I464" s="143" t="s">
        <v>754</v>
      </c>
      <c r="J464" s="143" t="s">
        <v>204</v>
      </c>
      <c r="K464" s="143" t="s">
        <v>204</v>
      </c>
      <c r="L464" s="143" t="s">
        <v>325</v>
      </c>
      <c r="M464" s="143" t="s">
        <v>340</v>
      </c>
      <c r="N464" s="143" t="s">
        <v>448</v>
      </c>
      <c r="O464" s="143" t="s">
        <v>339</v>
      </c>
      <c r="P464" s="143" t="s">
        <v>1222</v>
      </c>
      <c r="Q464" s="143" t="s">
        <v>413</v>
      </c>
      <c r="R464" s="143" t="s">
        <v>407</v>
      </c>
      <c r="S464" s="143" t="s">
        <v>1210</v>
      </c>
      <c r="T464" s="144">
        <v>1.97</v>
      </c>
      <c r="U464" s="143" t="s">
        <v>1475</v>
      </c>
      <c r="V464" s="146">
        <v>3.8E-3</v>
      </c>
      <c r="W464" s="146">
        <v>2.2020999999999999E-2</v>
      </c>
      <c r="X464" s="143" t="s">
        <v>412</v>
      </c>
      <c r="Y464" s="145" t="s">
        <v>3853</v>
      </c>
      <c r="Z464" s="144">
        <v>5076626</v>
      </c>
      <c r="AA464" s="145" t="s">
        <v>3853</v>
      </c>
      <c r="AB464" s="143" t="s">
        <v>1476</v>
      </c>
      <c r="AC464" s="145" t="s">
        <v>3853</v>
      </c>
      <c r="AD464" s="144">
        <v>5481.2330999999995</v>
      </c>
      <c r="AE464" s="145" t="s">
        <v>3853</v>
      </c>
      <c r="AF464" s="145" t="s">
        <v>3853</v>
      </c>
      <c r="AG464" s="145" t="s">
        <v>3853</v>
      </c>
      <c r="AH464" s="146">
        <v>1.6922086666666667E-3</v>
      </c>
      <c r="AI464" s="146">
        <v>6.3227001805783029E-3</v>
      </c>
      <c r="AJ464" s="147">
        <v>7.3024331565250033E-4</v>
      </c>
      <c r="AK464" s="181"/>
    </row>
    <row r="465" spans="1:37" ht="15" x14ac:dyDescent="0.2">
      <c r="A465" s="142" t="s">
        <v>1218</v>
      </c>
      <c r="B465" s="143" t="s">
        <v>1218</v>
      </c>
      <c r="C465" s="143" t="s">
        <v>1526</v>
      </c>
      <c r="D465" s="143" t="s">
        <v>1527</v>
      </c>
      <c r="E465" s="143" t="s">
        <v>313</v>
      </c>
      <c r="F465" s="143" t="s">
        <v>1960</v>
      </c>
      <c r="G465" s="143" t="s">
        <v>1961</v>
      </c>
      <c r="H465" s="143" t="s">
        <v>321</v>
      </c>
      <c r="I465" s="143" t="s">
        <v>754</v>
      </c>
      <c r="J465" s="143" t="s">
        <v>204</v>
      </c>
      <c r="K465" s="143" t="s">
        <v>204</v>
      </c>
      <c r="L465" s="143" t="s">
        <v>325</v>
      </c>
      <c r="M465" s="143" t="s">
        <v>340</v>
      </c>
      <c r="N465" s="143" t="s">
        <v>440</v>
      </c>
      <c r="O465" s="143" t="s">
        <v>339</v>
      </c>
      <c r="P465" s="143" t="s">
        <v>1530</v>
      </c>
      <c r="Q465" s="143" t="s">
        <v>415</v>
      </c>
      <c r="R465" s="143" t="s">
        <v>407</v>
      </c>
      <c r="S465" s="143" t="s">
        <v>1210</v>
      </c>
      <c r="T465" s="144">
        <v>2.99</v>
      </c>
      <c r="U465" s="143" t="s">
        <v>1962</v>
      </c>
      <c r="V465" s="146">
        <v>0.01</v>
      </c>
      <c r="W465" s="146">
        <v>2.3366999999999999E-2</v>
      </c>
      <c r="X465" s="143" t="s">
        <v>412</v>
      </c>
      <c r="Y465" s="145" t="s">
        <v>3853</v>
      </c>
      <c r="Z465" s="144">
        <v>4851938</v>
      </c>
      <c r="AA465" s="145" t="s">
        <v>3853</v>
      </c>
      <c r="AB465" s="143" t="s">
        <v>1963</v>
      </c>
      <c r="AC465" s="145" t="s">
        <v>3853</v>
      </c>
      <c r="AD465" s="144">
        <v>5266.7786999999998</v>
      </c>
      <c r="AE465" s="145" t="s">
        <v>3853</v>
      </c>
      <c r="AF465" s="145" t="s">
        <v>3853</v>
      </c>
      <c r="AG465" s="145" t="s">
        <v>3853</v>
      </c>
      <c r="AH465" s="146">
        <v>4.0374240372925618E-3</v>
      </c>
      <c r="AI465" s="146">
        <v>6.0753232112352199E-3</v>
      </c>
      <c r="AJ465" s="147">
        <v>7.016723929217254E-4</v>
      </c>
      <c r="AK465" s="181"/>
    </row>
    <row r="466" spans="1:37" ht="15" x14ac:dyDescent="0.2">
      <c r="A466" s="142" t="s">
        <v>1218</v>
      </c>
      <c r="B466" s="143" t="s">
        <v>1218</v>
      </c>
      <c r="C466" s="143" t="s">
        <v>1584</v>
      </c>
      <c r="D466" s="143" t="s">
        <v>1585</v>
      </c>
      <c r="E466" s="143" t="s">
        <v>309</v>
      </c>
      <c r="F466" s="143" t="s">
        <v>1586</v>
      </c>
      <c r="G466" s="143" t="s">
        <v>1587</v>
      </c>
      <c r="H466" s="143" t="s">
        <v>321</v>
      </c>
      <c r="I466" s="143" t="s">
        <v>754</v>
      </c>
      <c r="J466" s="143" t="s">
        <v>204</v>
      </c>
      <c r="K466" s="143" t="s">
        <v>204</v>
      </c>
      <c r="L466" s="143" t="s">
        <v>325</v>
      </c>
      <c r="M466" s="143" t="s">
        <v>340</v>
      </c>
      <c r="N466" s="143" t="s">
        <v>448</v>
      </c>
      <c r="O466" s="143" t="s">
        <v>339</v>
      </c>
      <c r="P466" s="143" t="s">
        <v>1222</v>
      </c>
      <c r="Q466" s="143" t="s">
        <v>413</v>
      </c>
      <c r="R466" s="143" t="s">
        <v>407</v>
      </c>
      <c r="S466" s="143" t="s">
        <v>1210</v>
      </c>
      <c r="T466" s="144">
        <v>2.98</v>
      </c>
      <c r="U466" s="143" t="s">
        <v>1588</v>
      </c>
      <c r="V466" s="146">
        <v>1.4999999999999999E-2</v>
      </c>
      <c r="W466" s="146">
        <v>2.4263E-2</v>
      </c>
      <c r="X466" s="143" t="s">
        <v>412</v>
      </c>
      <c r="Y466" s="145" t="s">
        <v>3853</v>
      </c>
      <c r="Z466" s="144">
        <v>4282207.71</v>
      </c>
      <c r="AA466" s="145" t="s">
        <v>3853</v>
      </c>
      <c r="AB466" s="143" t="s">
        <v>1589</v>
      </c>
      <c r="AC466" s="145" t="s">
        <v>3853</v>
      </c>
      <c r="AD466" s="144">
        <v>4760.5302999999994</v>
      </c>
      <c r="AE466" s="145" t="s">
        <v>3853</v>
      </c>
      <c r="AF466" s="145" t="s">
        <v>3853</v>
      </c>
      <c r="AG466" s="145" t="s">
        <v>3853</v>
      </c>
      <c r="AH466" s="146">
        <v>1.5340712318982867E-2</v>
      </c>
      <c r="AI466" s="146">
        <v>5.4913566622717732E-3</v>
      </c>
      <c r="AJ466" s="147">
        <v>6.3422689388396912E-4</v>
      </c>
      <c r="AK466" s="181"/>
    </row>
    <row r="467" spans="1:37" ht="15" x14ac:dyDescent="0.2">
      <c r="A467" s="142" t="s">
        <v>1218</v>
      </c>
      <c r="B467" s="143" t="s">
        <v>1218</v>
      </c>
      <c r="C467" s="143" t="s">
        <v>1720</v>
      </c>
      <c r="D467" s="143" t="s">
        <v>1721</v>
      </c>
      <c r="E467" s="143" t="s">
        <v>309</v>
      </c>
      <c r="F467" s="143" t="s">
        <v>1759</v>
      </c>
      <c r="G467" s="143" t="s">
        <v>1760</v>
      </c>
      <c r="H467" s="143" t="s">
        <v>321</v>
      </c>
      <c r="I467" s="143" t="s">
        <v>754</v>
      </c>
      <c r="J467" s="143" t="s">
        <v>204</v>
      </c>
      <c r="K467" s="143" t="s">
        <v>204</v>
      </c>
      <c r="L467" s="143" t="s">
        <v>325</v>
      </c>
      <c r="M467" s="143" t="s">
        <v>340</v>
      </c>
      <c r="N467" s="143" t="s">
        <v>464</v>
      </c>
      <c r="O467" s="143" t="s">
        <v>339</v>
      </c>
      <c r="P467" s="143" t="s">
        <v>1530</v>
      </c>
      <c r="Q467" s="143" t="s">
        <v>415</v>
      </c>
      <c r="R467" s="143" t="s">
        <v>407</v>
      </c>
      <c r="S467" s="143" t="s">
        <v>1210</v>
      </c>
      <c r="T467" s="144">
        <v>2.8</v>
      </c>
      <c r="U467" s="143" t="s">
        <v>1544</v>
      </c>
      <c r="V467" s="146">
        <v>1.77E-2</v>
      </c>
      <c r="W467" s="146">
        <v>2.6707999999999999E-2</v>
      </c>
      <c r="X467" s="143" t="s">
        <v>412</v>
      </c>
      <c r="Y467" s="145" t="s">
        <v>3853</v>
      </c>
      <c r="Z467" s="144">
        <v>4115200.04</v>
      </c>
      <c r="AA467" s="145" t="s">
        <v>3853</v>
      </c>
      <c r="AB467" s="143" t="s">
        <v>1761</v>
      </c>
      <c r="AC467" s="145" t="s">
        <v>3853</v>
      </c>
      <c r="AD467" s="144">
        <v>4559.6415999999999</v>
      </c>
      <c r="AE467" s="145" t="s">
        <v>3853</v>
      </c>
      <c r="AF467" s="145" t="s">
        <v>3853</v>
      </c>
      <c r="AG467" s="145" t="s">
        <v>3853</v>
      </c>
      <c r="AH467" s="146">
        <v>1.5859944262093305E-3</v>
      </c>
      <c r="AI467" s="146">
        <v>5.2596280003015215E-3</v>
      </c>
      <c r="AJ467" s="147">
        <v>6.0746327998232165E-4</v>
      </c>
      <c r="AK467" s="181"/>
    </row>
    <row r="468" spans="1:37" ht="15" x14ac:dyDescent="0.2">
      <c r="A468" s="142" t="s">
        <v>1218</v>
      </c>
      <c r="B468" s="143" t="s">
        <v>1218</v>
      </c>
      <c r="C468" s="143" t="s">
        <v>1510</v>
      </c>
      <c r="D468" s="143" t="s">
        <v>1511</v>
      </c>
      <c r="E468" s="143" t="s">
        <v>309</v>
      </c>
      <c r="F468" s="143" t="s">
        <v>1512</v>
      </c>
      <c r="G468" s="143" t="s">
        <v>1513</v>
      </c>
      <c r="H468" s="143" t="s">
        <v>321</v>
      </c>
      <c r="I468" s="143" t="s">
        <v>754</v>
      </c>
      <c r="J468" s="143" t="s">
        <v>204</v>
      </c>
      <c r="K468" s="143" t="s">
        <v>204</v>
      </c>
      <c r="L468" s="143" t="s">
        <v>325</v>
      </c>
      <c r="M468" s="143" t="s">
        <v>340</v>
      </c>
      <c r="N468" s="143" t="s">
        <v>448</v>
      </c>
      <c r="O468" s="143" t="s">
        <v>339</v>
      </c>
      <c r="P468" s="143" t="s">
        <v>1347</v>
      </c>
      <c r="Q468" s="143" t="s">
        <v>413</v>
      </c>
      <c r="R468" s="143" t="s">
        <v>407</v>
      </c>
      <c r="S468" s="143" t="s">
        <v>1210</v>
      </c>
      <c r="T468" s="144">
        <v>1.48</v>
      </c>
      <c r="U468" s="143" t="s">
        <v>1514</v>
      </c>
      <c r="V468" s="146">
        <v>2E-3</v>
      </c>
      <c r="W468" s="146">
        <v>2.0419E-2</v>
      </c>
      <c r="X468" s="143" t="s">
        <v>412</v>
      </c>
      <c r="Y468" s="145" t="s">
        <v>3853</v>
      </c>
      <c r="Z468" s="144">
        <v>4127250</v>
      </c>
      <c r="AA468" s="145" t="s">
        <v>3853</v>
      </c>
      <c r="AB468" s="143" t="s">
        <v>1515</v>
      </c>
      <c r="AC468" s="145" t="s">
        <v>3853</v>
      </c>
      <c r="AD468" s="144">
        <v>4519.7515000000003</v>
      </c>
      <c r="AE468" s="145" t="s">
        <v>3853</v>
      </c>
      <c r="AF468" s="145" t="s">
        <v>3853</v>
      </c>
      <c r="AG468" s="145" t="s">
        <v>3853</v>
      </c>
      <c r="AH468" s="146">
        <v>9.8685983546009277E-3</v>
      </c>
      <c r="AI468" s="146">
        <v>5.2136139781790592E-3</v>
      </c>
      <c r="AJ468" s="147">
        <v>6.0214886824025784E-4</v>
      </c>
      <c r="AK468" s="181"/>
    </row>
    <row r="469" spans="1:37" ht="15" x14ac:dyDescent="0.2">
      <c r="A469" s="142" t="s">
        <v>1218</v>
      </c>
      <c r="B469" s="143" t="s">
        <v>1218</v>
      </c>
      <c r="C469" s="143" t="s">
        <v>1640</v>
      </c>
      <c r="D469" s="143" t="s">
        <v>1641</v>
      </c>
      <c r="E469" s="143" t="s">
        <v>309</v>
      </c>
      <c r="F469" s="143" t="s">
        <v>1642</v>
      </c>
      <c r="G469" s="143" t="s">
        <v>1643</v>
      </c>
      <c r="H469" s="143" t="s">
        <v>321</v>
      </c>
      <c r="I469" s="143" t="s">
        <v>754</v>
      </c>
      <c r="J469" s="143" t="s">
        <v>204</v>
      </c>
      <c r="K469" s="143" t="s">
        <v>204</v>
      </c>
      <c r="L469" s="143" t="s">
        <v>325</v>
      </c>
      <c r="M469" s="143" t="s">
        <v>340</v>
      </c>
      <c r="N469" s="143" t="s">
        <v>445</v>
      </c>
      <c r="O469" s="143" t="s">
        <v>339</v>
      </c>
      <c r="P469" s="143" t="s">
        <v>1409</v>
      </c>
      <c r="Q469" s="143" t="s">
        <v>413</v>
      </c>
      <c r="R469" s="143" t="s">
        <v>407</v>
      </c>
      <c r="S469" s="143" t="s">
        <v>1210</v>
      </c>
      <c r="T469" s="144">
        <v>4.79</v>
      </c>
      <c r="U469" s="143" t="s">
        <v>1644</v>
      </c>
      <c r="V469" s="146">
        <v>4.4000000000000003E-3</v>
      </c>
      <c r="W469" s="146">
        <v>2.8766E-2</v>
      </c>
      <c r="X469" s="143" t="s">
        <v>412</v>
      </c>
      <c r="Y469" s="145" t="s">
        <v>3853</v>
      </c>
      <c r="Z469" s="144">
        <v>4350185.82</v>
      </c>
      <c r="AA469" s="145" t="s">
        <v>3853</v>
      </c>
      <c r="AB469" s="143" t="s">
        <v>1645</v>
      </c>
      <c r="AC469" s="145" t="s">
        <v>3853</v>
      </c>
      <c r="AD469" s="144">
        <v>4397.1678000000002</v>
      </c>
      <c r="AE469" s="145" t="s">
        <v>3853</v>
      </c>
      <c r="AF469" s="145" t="s">
        <v>3853</v>
      </c>
      <c r="AG469" s="145" t="s">
        <v>3853</v>
      </c>
      <c r="AH469" s="146">
        <v>5.0998890596421634E-3</v>
      </c>
      <c r="AI469" s="146">
        <v>5.0722115526265037E-3</v>
      </c>
      <c r="AJ469" s="147">
        <v>5.8581752670456612E-4</v>
      </c>
      <c r="AK469" s="181"/>
    </row>
    <row r="470" spans="1:37" ht="15" x14ac:dyDescent="0.2">
      <c r="A470" s="142" t="s">
        <v>1218</v>
      </c>
      <c r="B470" s="143" t="s">
        <v>1218</v>
      </c>
      <c r="C470" s="143" t="s">
        <v>1964</v>
      </c>
      <c r="D470" s="143" t="s">
        <v>1965</v>
      </c>
      <c r="E470" s="143" t="s">
        <v>309</v>
      </c>
      <c r="F470" s="143" t="s">
        <v>1966</v>
      </c>
      <c r="G470" s="143" t="s">
        <v>1967</v>
      </c>
      <c r="H470" s="143" t="s">
        <v>321</v>
      </c>
      <c r="I470" s="143" t="s">
        <v>754</v>
      </c>
      <c r="J470" s="143" t="s">
        <v>204</v>
      </c>
      <c r="K470" s="143" t="s">
        <v>204</v>
      </c>
      <c r="L470" s="143" t="s">
        <v>325</v>
      </c>
      <c r="M470" s="143" t="s">
        <v>340</v>
      </c>
      <c r="N470" s="143" t="s">
        <v>464</v>
      </c>
      <c r="O470" s="143" t="s">
        <v>339</v>
      </c>
      <c r="P470" s="143" t="s">
        <v>1209</v>
      </c>
      <c r="Q470" s="143" t="s">
        <v>415</v>
      </c>
      <c r="R470" s="143" t="s">
        <v>407</v>
      </c>
      <c r="S470" s="143" t="s">
        <v>1210</v>
      </c>
      <c r="T470" s="144">
        <v>1.71</v>
      </c>
      <c r="U470" s="143" t="s">
        <v>1514</v>
      </c>
      <c r="V470" s="146">
        <v>8.3000000000000001E-3</v>
      </c>
      <c r="W470" s="146">
        <v>2.2022E-2</v>
      </c>
      <c r="X470" s="143" t="s">
        <v>412</v>
      </c>
      <c r="Y470" s="145" t="s">
        <v>3853</v>
      </c>
      <c r="Z470" s="144">
        <v>3776932.66</v>
      </c>
      <c r="AA470" s="145" t="s">
        <v>3853</v>
      </c>
      <c r="AB470" s="143" t="s">
        <v>1968</v>
      </c>
      <c r="AC470" s="145" t="s">
        <v>3853</v>
      </c>
      <c r="AD470" s="144">
        <v>4227.8984</v>
      </c>
      <c r="AE470" s="145" t="s">
        <v>3853</v>
      </c>
      <c r="AF470" s="145" t="s">
        <v>3853</v>
      </c>
      <c r="AG470" s="145" t="s">
        <v>3853</v>
      </c>
      <c r="AH470" s="146">
        <v>3.1823112719211199E-3</v>
      </c>
      <c r="AI470" s="146">
        <v>4.8769562708685368E-3</v>
      </c>
      <c r="AJ470" s="147">
        <v>5.6326642349274823E-4</v>
      </c>
      <c r="AK470" s="181"/>
    </row>
    <row r="471" spans="1:37" ht="15" x14ac:dyDescent="0.2">
      <c r="A471" s="142" t="s">
        <v>1218</v>
      </c>
      <c r="B471" s="143" t="s">
        <v>1218</v>
      </c>
      <c r="C471" s="143" t="s">
        <v>1617</v>
      </c>
      <c r="D471" s="143" t="s">
        <v>1618</v>
      </c>
      <c r="E471" s="143" t="s">
        <v>309</v>
      </c>
      <c r="F471" s="143" t="s">
        <v>1630</v>
      </c>
      <c r="G471" s="143" t="s">
        <v>1631</v>
      </c>
      <c r="H471" s="143" t="s">
        <v>321</v>
      </c>
      <c r="I471" s="143" t="s">
        <v>754</v>
      </c>
      <c r="J471" s="143" t="s">
        <v>204</v>
      </c>
      <c r="K471" s="143" t="s">
        <v>204</v>
      </c>
      <c r="L471" s="143" t="s">
        <v>325</v>
      </c>
      <c r="M471" s="143" t="s">
        <v>340</v>
      </c>
      <c r="N471" s="143" t="s">
        <v>440</v>
      </c>
      <c r="O471" s="143" t="s">
        <v>339</v>
      </c>
      <c r="P471" s="143" t="s">
        <v>1347</v>
      </c>
      <c r="Q471" s="143" t="s">
        <v>413</v>
      </c>
      <c r="R471" s="143" t="s">
        <v>407</v>
      </c>
      <c r="S471" s="143" t="s">
        <v>1210</v>
      </c>
      <c r="T471" s="144">
        <v>2.34</v>
      </c>
      <c r="U471" s="143" t="s">
        <v>1632</v>
      </c>
      <c r="V471" s="146">
        <v>1.9400000000000001E-2</v>
      </c>
      <c r="W471" s="146">
        <v>2.5323999999999999E-2</v>
      </c>
      <c r="X471" s="143" t="s">
        <v>412</v>
      </c>
      <c r="Y471" s="145" t="s">
        <v>3853</v>
      </c>
      <c r="Z471" s="144">
        <v>3645447.19</v>
      </c>
      <c r="AA471" s="145" t="s">
        <v>3853</v>
      </c>
      <c r="AB471" s="143" t="s">
        <v>1633</v>
      </c>
      <c r="AC471" s="145" t="s">
        <v>3853</v>
      </c>
      <c r="AD471" s="144">
        <v>4123.0007999999998</v>
      </c>
      <c r="AE471" s="145" t="s">
        <v>3853</v>
      </c>
      <c r="AF471" s="145" t="s">
        <v>3853</v>
      </c>
      <c r="AG471" s="145" t="s">
        <v>3853</v>
      </c>
      <c r="AH471" s="146">
        <v>1.2100924540293226E-2</v>
      </c>
      <c r="AI471" s="146">
        <v>4.7559549624061476E-3</v>
      </c>
      <c r="AJ471" s="147">
        <v>5.4929131884342674E-4</v>
      </c>
      <c r="AK471" s="181"/>
    </row>
    <row r="472" spans="1:37" ht="15" x14ac:dyDescent="0.2">
      <c r="A472" s="142" t="s">
        <v>1218</v>
      </c>
      <c r="B472" s="143" t="s">
        <v>1218</v>
      </c>
      <c r="C472" s="143" t="s">
        <v>1343</v>
      </c>
      <c r="D472" s="143" t="s">
        <v>1344</v>
      </c>
      <c r="E472" s="143" t="s">
        <v>309</v>
      </c>
      <c r="F472" s="143" t="s">
        <v>1507</v>
      </c>
      <c r="G472" s="143" t="s">
        <v>1508</v>
      </c>
      <c r="H472" s="143" t="s">
        <v>321</v>
      </c>
      <c r="I472" s="143" t="s">
        <v>754</v>
      </c>
      <c r="J472" s="143" t="s">
        <v>204</v>
      </c>
      <c r="K472" s="143" t="s">
        <v>204</v>
      </c>
      <c r="L472" s="143" t="s">
        <v>325</v>
      </c>
      <c r="M472" s="143" t="s">
        <v>340</v>
      </c>
      <c r="N472" s="143" t="s">
        <v>445</v>
      </c>
      <c r="O472" s="143" t="s">
        <v>339</v>
      </c>
      <c r="P472" s="143" t="s">
        <v>1347</v>
      </c>
      <c r="Q472" s="143" t="s">
        <v>413</v>
      </c>
      <c r="R472" s="143" t="s">
        <v>407</v>
      </c>
      <c r="S472" s="143" t="s">
        <v>1210</v>
      </c>
      <c r="T472" s="144">
        <v>1.06</v>
      </c>
      <c r="U472" s="143" t="s">
        <v>1360</v>
      </c>
      <c r="V472" s="146">
        <v>2.4799999999999999E-2</v>
      </c>
      <c r="W472" s="146">
        <v>2.7913E-2</v>
      </c>
      <c r="X472" s="143" t="s">
        <v>412</v>
      </c>
      <c r="Y472" s="145" t="s">
        <v>3853</v>
      </c>
      <c r="Z472" s="144">
        <v>3419995.13</v>
      </c>
      <c r="AA472" s="145" t="s">
        <v>3853</v>
      </c>
      <c r="AB472" s="143" t="s">
        <v>1509</v>
      </c>
      <c r="AC472" s="145" t="s">
        <v>3853</v>
      </c>
      <c r="AD472" s="144">
        <v>3918.6304</v>
      </c>
      <c r="AE472" s="145" t="s">
        <v>3853</v>
      </c>
      <c r="AF472" s="145" t="s">
        <v>3853</v>
      </c>
      <c r="AG472" s="145" t="s">
        <v>3853</v>
      </c>
      <c r="AH472" s="146">
        <v>8.0758122488195968E-3</v>
      </c>
      <c r="AI472" s="146">
        <v>4.5202101146036688E-3</v>
      </c>
      <c r="AJ472" s="147">
        <v>5.2206385361645304E-4</v>
      </c>
      <c r="AK472" s="181"/>
    </row>
    <row r="473" spans="1:37" ht="15" x14ac:dyDescent="0.2">
      <c r="A473" s="142" t="s">
        <v>1218</v>
      </c>
      <c r="B473" s="143" t="s">
        <v>1218</v>
      </c>
      <c r="C473" s="143" t="s">
        <v>1762</v>
      </c>
      <c r="D473" s="143" t="s">
        <v>1763</v>
      </c>
      <c r="E473" s="143" t="s">
        <v>309</v>
      </c>
      <c r="F473" s="143" t="s">
        <v>1764</v>
      </c>
      <c r="G473" s="143" t="s">
        <v>1765</v>
      </c>
      <c r="H473" s="143" t="s">
        <v>321</v>
      </c>
      <c r="I473" s="143" t="s">
        <v>754</v>
      </c>
      <c r="J473" s="143" t="s">
        <v>204</v>
      </c>
      <c r="K473" s="143" t="s">
        <v>204</v>
      </c>
      <c r="L473" s="143" t="s">
        <v>325</v>
      </c>
      <c r="M473" s="143" t="s">
        <v>340</v>
      </c>
      <c r="N473" s="143" t="s">
        <v>451</v>
      </c>
      <c r="O473" s="143" t="s">
        <v>339</v>
      </c>
      <c r="P473" s="145" t="s">
        <v>3853</v>
      </c>
      <c r="Q473" s="143" t="s">
        <v>410</v>
      </c>
      <c r="R473" s="143" t="s">
        <v>410</v>
      </c>
      <c r="S473" s="143" t="s">
        <v>1210</v>
      </c>
      <c r="T473" s="144">
        <v>3.02</v>
      </c>
      <c r="U473" s="143" t="s">
        <v>1544</v>
      </c>
      <c r="V473" s="146">
        <v>3.6999999999999998E-2</v>
      </c>
      <c r="W473" s="146">
        <v>4.7534E-2</v>
      </c>
      <c r="X473" s="143" t="s">
        <v>412</v>
      </c>
      <c r="Y473" s="145" t="s">
        <v>3853</v>
      </c>
      <c r="Z473" s="144">
        <v>3445617.68</v>
      </c>
      <c r="AA473" s="145" t="s">
        <v>3853</v>
      </c>
      <c r="AB473" s="143" t="s">
        <v>1766</v>
      </c>
      <c r="AC473" s="145" t="s">
        <v>3853</v>
      </c>
      <c r="AD473" s="144">
        <v>3798.4488999999999</v>
      </c>
      <c r="AE473" s="145" t="s">
        <v>3853</v>
      </c>
      <c r="AF473" s="145" t="s">
        <v>3853</v>
      </c>
      <c r="AG473" s="145" t="s">
        <v>3853</v>
      </c>
      <c r="AH473" s="146">
        <v>4.3632164832193392E-3</v>
      </c>
      <c r="AI473" s="146">
        <v>4.381578621886411E-3</v>
      </c>
      <c r="AJ473" s="147">
        <v>5.0605254230887706E-4</v>
      </c>
      <c r="AK473" s="181"/>
    </row>
    <row r="474" spans="1:37" ht="15" x14ac:dyDescent="0.2">
      <c r="A474" s="142" t="s">
        <v>1218</v>
      </c>
      <c r="B474" s="143" t="s">
        <v>1218</v>
      </c>
      <c r="C474" s="143" t="s">
        <v>1451</v>
      </c>
      <c r="D474" s="143" t="s">
        <v>1452</v>
      </c>
      <c r="E474" s="143" t="s">
        <v>309</v>
      </c>
      <c r="F474" s="143" t="s">
        <v>1969</v>
      </c>
      <c r="G474" s="143" t="s">
        <v>1970</v>
      </c>
      <c r="H474" s="143" t="s">
        <v>321</v>
      </c>
      <c r="I474" s="143" t="s">
        <v>754</v>
      </c>
      <c r="J474" s="143" t="s">
        <v>204</v>
      </c>
      <c r="K474" s="143" t="s">
        <v>204</v>
      </c>
      <c r="L474" s="143" t="s">
        <v>325</v>
      </c>
      <c r="M474" s="143" t="s">
        <v>340</v>
      </c>
      <c r="N474" s="143" t="s">
        <v>464</v>
      </c>
      <c r="O474" s="143" t="s">
        <v>339</v>
      </c>
      <c r="P474" s="143" t="s">
        <v>1359</v>
      </c>
      <c r="Q474" s="143" t="s">
        <v>415</v>
      </c>
      <c r="R474" s="143" t="s">
        <v>407</v>
      </c>
      <c r="S474" s="143" t="s">
        <v>1210</v>
      </c>
      <c r="T474" s="144">
        <v>4.21</v>
      </c>
      <c r="U474" s="143" t="s">
        <v>1971</v>
      </c>
      <c r="V474" s="146">
        <v>5.0000000000000001E-3</v>
      </c>
      <c r="W474" s="146">
        <v>3.3514000000000002E-2</v>
      </c>
      <c r="X474" s="143" t="s">
        <v>412</v>
      </c>
      <c r="Y474" s="145" t="s">
        <v>3853</v>
      </c>
      <c r="Z474" s="144">
        <v>3712650.24</v>
      </c>
      <c r="AA474" s="145" t="s">
        <v>3853</v>
      </c>
      <c r="AB474" s="143" t="s">
        <v>1972</v>
      </c>
      <c r="AC474" s="145" t="s">
        <v>3853</v>
      </c>
      <c r="AD474" s="144">
        <v>3729.3572000000004</v>
      </c>
      <c r="AE474" s="145" t="s">
        <v>3853</v>
      </c>
      <c r="AF474" s="145" t="s">
        <v>3853</v>
      </c>
      <c r="AG474" s="145" t="s">
        <v>3853</v>
      </c>
      <c r="AH474" s="146">
        <v>2.3068284925571096E-3</v>
      </c>
      <c r="AI474" s="146">
        <v>4.3018800388127387E-3</v>
      </c>
      <c r="AJ474" s="147">
        <v>4.9684771590649622E-4</v>
      </c>
      <c r="AK474" s="181"/>
    </row>
    <row r="475" spans="1:37" ht="15" x14ac:dyDescent="0.2">
      <c r="A475" s="142" t="s">
        <v>1218</v>
      </c>
      <c r="B475" s="143" t="s">
        <v>1218</v>
      </c>
      <c r="C475" s="143" t="s">
        <v>1753</v>
      </c>
      <c r="D475" s="143" t="s">
        <v>1754</v>
      </c>
      <c r="E475" s="143" t="s">
        <v>309</v>
      </c>
      <c r="F475" s="143" t="s">
        <v>1755</v>
      </c>
      <c r="G475" s="143" t="s">
        <v>1756</v>
      </c>
      <c r="H475" s="143" t="s">
        <v>321</v>
      </c>
      <c r="I475" s="143" t="s">
        <v>754</v>
      </c>
      <c r="J475" s="143" t="s">
        <v>204</v>
      </c>
      <c r="K475" s="143" t="s">
        <v>204</v>
      </c>
      <c r="L475" s="143" t="s">
        <v>325</v>
      </c>
      <c r="M475" s="143" t="s">
        <v>340</v>
      </c>
      <c r="N475" s="143" t="s">
        <v>464</v>
      </c>
      <c r="O475" s="143" t="s">
        <v>339</v>
      </c>
      <c r="P475" s="143" t="s">
        <v>1757</v>
      </c>
      <c r="Q475" s="143" t="s">
        <v>413</v>
      </c>
      <c r="R475" s="143" t="s">
        <v>407</v>
      </c>
      <c r="S475" s="143" t="s">
        <v>1210</v>
      </c>
      <c r="T475" s="144">
        <v>3.03</v>
      </c>
      <c r="U475" s="143" t="s">
        <v>1428</v>
      </c>
      <c r="V475" s="146">
        <v>1.7999999999999999E-2</v>
      </c>
      <c r="W475" s="146">
        <v>3.0234E-2</v>
      </c>
      <c r="X475" s="143" t="s">
        <v>412</v>
      </c>
      <c r="Y475" s="145" t="s">
        <v>3853</v>
      </c>
      <c r="Z475" s="144">
        <v>3251399.55</v>
      </c>
      <c r="AA475" s="145" t="s">
        <v>3853</v>
      </c>
      <c r="AB475" s="143" t="s">
        <v>1758</v>
      </c>
      <c r="AC475" s="145" t="s">
        <v>3853</v>
      </c>
      <c r="AD475" s="144">
        <v>3593.4467999999997</v>
      </c>
      <c r="AE475" s="145" t="s">
        <v>3853</v>
      </c>
      <c r="AF475" s="145" t="s">
        <v>3853</v>
      </c>
      <c r="AG475" s="145" t="s">
        <v>3853</v>
      </c>
      <c r="AH475" s="146">
        <v>4.12236000708051E-3</v>
      </c>
      <c r="AI475" s="146">
        <v>4.1451049863131563E-3</v>
      </c>
      <c r="AJ475" s="147">
        <v>4.7874090538580221E-4</v>
      </c>
      <c r="AK475" s="181"/>
    </row>
    <row r="476" spans="1:37" ht="15" x14ac:dyDescent="0.2">
      <c r="A476" s="142" t="s">
        <v>1218</v>
      </c>
      <c r="B476" s="143" t="s">
        <v>1218</v>
      </c>
      <c r="C476" s="143" t="s">
        <v>1516</v>
      </c>
      <c r="D476" s="143" t="s">
        <v>1517</v>
      </c>
      <c r="E476" s="143" t="s">
        <v>309</v>
      </c>
      <c r="F476" s="143" t="s">
        <v>1518</v>
      </c>
      <c r="G476" s="143" t="s">
        <v>1519</v>
      </c>
      <c r="H476" s="143" t="s">
        <v>321</v>
      </c>
      <c r="I476" s="143" t="s">
        <v>754</v>
      </c>
      <c r="J476" s="143" t="s">
        <v>204</v>
      </c>
      <c r="K476" s="143" t="s">
        <v>204</v>
      </c>
      <c r="L476" s="143" t="s">
        <v>325</v>
      </c>
      <c r="M476" s="143" t="s">
        <v>340</v>
      </c>
      <c r="N476" s="143" t="s">
        <v>465</v>
      </c>
      <c r="O476" s="143" t="s">
        <v>339</v>
      </c>
      <c r="P476" s="143" t="s">
        <v>1402</v>
      </c>
      <c r="Q476" s="143" t="s">
        <v>415</v>
      </c>
      <c r="R476" s="143" t="s">
        <v>407</v>
      </c>
      <c r="S476" s="143" t="s">
        <v>1210</v>
      </c>
      <c r="T476" s="144">
        <v>2.1</v>
      </c>
      <c r="U476" s="143" t="s">
        <v>1520</v>
      </c>
      <c r="V476" s="146">
        <v>0.04</v>
      </c>
      <c r="W476" s="146">
        <v>5.3921999999999998E-2</v>
      </c>
      <c r="X476" s="143" t="s">
        <v>412</v>
      </c>
      <c r="Y476" s="145" t="s">
        <v>3853</v>
      </c>
      <c r="Z476" s="144">
        <v>2694322.72</v>
      </c>
      <c r="AA476" s="145" t="s">
        <v>3853</v>
      </c>
      <c r="AB476" s="143" t="s">
        <v>1521</v>
      </c>
      <c r="AC476" s="145" t="s">
        <v>3853</v>
      </c>
      <c r="AD476" s="144">
        <v>2971.2991000000002</v>
      </c>
      <c r="AE476" s="145" t="s">
        <v>3853</v>
      </c>
      <c r="AF476" s="145" t="s">
        <v>3853</v>
      </c>
      <c r="AG476" s="145" t="s">
        <v>3853</v>
      </c>
      <c r="AH476" s="146">
        <v>1.2461761405497299E-3</v>
      </c>
      <c r="AI476" s="146">
        <v>3.4274465275227054E-3</v>
      </c>
      <c r="AJ476" s="147">
        <v>3.9585459455566111E-4</v>
      </c>
      <c r="AK476" s="181"/>
    </row>
    <row r="477" spans="1:37" ht="15" x14ac:dyDescent="0.2">
      <c r="A477" s="142" t="s">
        <v>1218</v>
      </c>
      <c r="B477" s="143" t="s">
        <v>1218</v>
      </c>
      <c r="C477" s="143" t="s">
        <v>1349</v>
      </c>
      <c r="D477" s="143" t="s">
        <v>1350</v>
      </c>
      <c r="E477" s="143" t="s">
        <v>309</v>
      </c>
      <c r="F477" s="143" t="s">
        <v>1609</v>
      </c>
      <c r="G477" s="143" t="s">
        <v>1610</v>
      </c>
      <c r="H477" s="143" t="s">
        <v>321</v>
      </c>
      <c r="I477" s="143" t="s">
        <v>754</v>
      </c>
      <c r="J477" s="143" t="s">
        <v>204</v>
      </c>
      <c r="K477" s="143" t="s">
        <v>204</v>
      </c>
      <c r="L477" s="143" t="s">
        <v>325</v>
      </c>
      <c r="M477" s="143" t="s">
        <v>340</v>
      </c>
      <c r="N477" s="143" t="s">
        <v>448</v>
      </c>
      <c r="O477" s="143" t="s">
        <v>339</v>
      </c>
      <c r="P477" s="143" t="s">
        <v>1209</v>
      </c>
      <c r="Q477" s="143" t="s">
        <v>415</v>
      </c>
      <c r="R477" s="143" t="s">
        <v>407</v>
      </c>
      <c r="S477" s="143" t="s">
        <v>1210</v>
      </c>
      <c r="T477" s="144">
        <v>0.67</v>
      </c>
      <c r="U477" s="143" t="s">
        <v>1611</v>
      </c>
      <c r="V477" s="146">
        <v>9.4999999999999998E-3</v>
      </c>
      <c r="W477" s="146">
        <v>2.8906999999999999E-2</v>
      </c>
      <c r="X477" s="143" t="s">
        <v>412</v>
      </c>
      <c r="Y477" s="145" t="s">
        <v>3853</v>
      </c>
      <c r="Z477" s="144">
        <v>2449445.0499999998</v>
      </c>
      <c r="AA477" s="145" t="s">
        <v>3853</v>
      </c>
      <c r="AB477" s="143" t="s">
        <v>1612</v>
      </c>
      <c r="AC477" s="145" t="s">
        <v>3853</v>
      </c>
      <c r="AD477" s="144">
        <v>2776.4459999999999</v>
      </c>
      <c r="AE477" s="145" t="s">
        <v>3853</v>
      </c>
      <c r="AF477" s="145" t="s">
        <v>3853</v>
      </c>
      <c r="AG477" s="145" t="s">
        <v>3853</v>
      </c>
      <c r="AH477" s="146">
        <v>1.5240603633529769E-2</v>
      </c>
      <c r="AI477" s="146">
        <v>3.2026799633892737E-3</v>
      </c>
      <c r="AJ477" s="147">
        <v>3.6989507151125115E-4</v>
      </c>
      <c r="AK477" s="181"/>
    </row>
    <row r="478" spans="1:37" ht="15" x14ac:dyDescent="0.2">
      <c r="A478" s="142" t="s">
        <v>1218</v>
      </c>
      <c r="B478" s="143" t="s">
        <v>1218</v>
      </c>
      <c r="C478" s="143" t="s">
        <v>1617</v>
      </c>
      <c r="D478" s="143" t="s">
        <v>1618</v>
      </c>
      <c r="E478" s="143" t="s">
        <v>309</v>
      </c>
      <c r="F478" s="143" t="s">
        <v>1619</v>
      </c>
      <c r="G478" s="143" t="s">
        <v>1620</v>
      </c>
      <c r="H478" s="143" t="s">
        <v>321</v>
      </c>
      <c r="I478" s="143" t="s">
        <v>754</v>
      </c>
      <c r="J478" s="143" t="s">
        <v>204</v>
      </c>
      <c r="K478" s="143" t="s">
        <v>204</v>
      </c>
      <c r="L478" s="143" t="s">
        <v>325</v>
      </c>
      <c r="M478" s="143" t="s">
        <v>340</v>
      </c>
      <c r="N478" s="143" t="s">
        <v>440</v>
      </c>
      <c r="O478" s="143" t="s">
        <v>339</v>
      </c>
      <c r="P478" s="143" t="s">
        <v>1347</v>
      </c>
      <c r="Q478" s="143" t="s">
        <v>413</v>
      </c>
      <c r="R478" s="143" t="s">
        <v>407</v>
      </c>
      <c r="S478" s="143" t="s">
        <v>1210</v>
      </c>
      <c r="T478" s="144">
        <v>3.31</v>
      </c>
      <c r="U478" s="143" t="s">
        <v>1621</v>
      </c>
      <c r="V478" s="146">
        <v>1.23E-2</v>
      </c>
      <c r="W478" s="146">
        <v>2.8667000000000002E-2</v>
      </c>
      <c r="X478" s="143" t="s">
        <v>412</v>
      </c>
      <c r="Y478" s="145" t="s">
        <v>3853</v>
      </c>
      <c r="Z478" s="144">
        <v>2434051.09</v>
      </c>
      <c r="AA478" s="145" t="s">
        <v>3853</v>
      </c>
      <c r="AB478" s="143" t="s">
        <v>1622</v>
      </c>
      <c r="AC478" s="145" t="s">
        <v>3853</v>
      </c>
      <c r="AD478" s="144">
        <v>2638.0246000000002</v>
      </c>
      <c r="AE478" s="145" t="s">
        <v>3853</v>
      </c>
      <c r="AF478" s="145" t="s">
        <v>3853</v>
      </c>
      <c r="AG478" s="145" t="s">
        <v>3853</v>
      </c>
      <c r="AH478" s="146">
        <v>2.183219119734446E-3</v>
      </c>
      <c r="AI478" s="146">
        <v>3.0430084167246104E-3</v>
      </c>
      <c r="AJ478" s="147">
        <v>3.5145372899592379E-4</v>
      </c>
      <c r="AK478" s="181"/>
    </row>
    <row r="479" spans="1:37" ht="15" x14ac:dyDescent="0.2">
      <c r="A479" s="142" t="s">
        <v>1218</v>
      </c>
      <c r="B479" s="143" t="s">
        <v>1218</v>
      </c>
      <c r="C479" s="143" t="s">
        <v>1973</v>
      </c>
      <c r="D479" s="143" t="s">
        <v>1974</v>
      </c>
      <c r="E479" s="143" t="s">
        <v>309</v>
      </c>
      <c r="F479" s="143" t="s">
        <v>1975</v>
      </c>
      <c r="G479" s="143" t="s">
        <v>1976</v>
      </c>
      <c r="H479" s="143" t="s">
        <v>321</v>
      </c>
      <c r="I479" s="143" t="s">
        <v>754</v>
      </c>
      <c r="J479" s="143" t="s">
        <v>204</v>
      </c>
      <c r="K479" s="143" t="s">
        <v>204</v>
      </c>
      <c r="L479" s="143" t="s">
        <v>325</v>
      </c>
      <c r="M479" s="143" t="s">
        <v>340</v>
      </c>
      <c r="N479" s="143" t="s">
        <v>464</v>
      </c>
      <c r="O479" s="143" t="s">
        <v>339</v>
      </c>
      <c r="P479" s="143" t="s">
        <v>1409</v>
      </c>
      <c r="Q479" s="143" t="s">
        <v>413</v>
      </c>
      <c r="R479" s="143" t="s">
        <v>407</v>
      </c>
      <c r="S479" s="143" t="s">
        <v>1210</v>
      </c>
      <c r="T479" s="144">
        <v>1.41</v>
      </c>
      <c r="U479" s="143" t="s">
        <v>1403</v>
      </c>
      <c r="V479" s="146">
        <v>1.6E-2</v>
      </c>
      <c r="W479" s="146">
        <v>2.6533999999999999E-2</v>
      </c>
      <c r="X479" s="143" t="s">
        <v>412</v>
      </c>
      <c r="Y479" s="145" t="s">
        <v>3853</v>
      </c>
      <c r="Z479" s="144">
        <v>1946305.18</v>
      </c>
      <c r="AA479" s="145" t="s">
        <v>3853</v>
      </c>
      <c r="AB479" s="143" t="s">
        <v>1977</v>
      </c>
      <c r="AC479" s="145" t="s">
        <v>3853</v>
      </c>
      <c r="AD479" s="144">
        <v>2211.5866000000001</v>
      </c>
      <c r="AE479" s="145" t="s">
        <v>3853</v>
      </c>
      <c r="AF479" s="145" t="s">
        <v>3853</v>
      </c>
      <c r="AG479" s="145" t="s">
        <v>3853</v>
      </c>
      <c r="AH479" s="146">
        <v>5.0201386518729128E-3</v>
      </c>
      <c r="AI479" s="146">
        <v>2.5511045796525853E-3</v>
      </c>
      <c r="AJ479" s="147">
        <v>2.9464105739889607E-4</v>
      </c>
      <c r="AK479" s="181"/>
    </row>
    <row r="480" spans="1:37" ht="15" x14ac:dyDescent="0.2">
      <c r="A480" s="142" t="s">
        <v>1218</v>
      </c>
      <c r="B480" s="143" t="s">
        <v>1218</v>
      </c>
      <c r="C480" s="143" t="s">
        <v>1491</v>
      </c>
      <c r="D480" s="143" t="s">
        <v>1492</v>
      </c>
      <c r="E480" s="143" t="s">
        <v>309</v>
      </c>
      <c r="F480" s="143" t="s">
        <v>1978</v>
      </c>
      <c r="G480" s="143" t="s">
        <v>1979</v>
      </c>
      <c r="H480" s="143" t="s">
        <v>321</v>
      </c>
      <c r="I480" s="143" t="s">
        <v>754</v>
      </c>
      <c r="J480" s="143" t="s">
        <v>204</v>
      </c>
      <c r="K480" s="143" t="s">
        <v>204</v>
      </c>
      <c r="L480" s="143" t="s">
        <v>325</v>
      </c>
      <c r="M480" s="143" t="s">
        <v>340</v>
      </c>
      <c r="N480" s="143" t="s">
        <v>464</v>
      </c>
      <c r="O480" s="143" t="s">
        <v>339</v>
      </c>
      <c r="P480" s="143" t="s">
        <v>1409</v>
      </c>
      <c r="Q480" s="143" t="s">
        <v>413</v>
      </c>
      <c r="R480" s="143" t="s">
        <v>407</v>
      </c>
      <c r="S480" s="143" t="s">
        <v>1210</v>
      </c>
      <c r="T480" s="144">
        <v>1.01</v>
      </c>
      <c r="U480" s="143" t="s">
        <v>1495</v>
      </c>
      <c r="V480" s="146">
        <v>9.5983000000000006E-3</v>
      </c>
      <c r="W480" s="146">
        <v>2.7944E-2</v>
      </c>
      <c r="X480" s="143" t="s">
        <v>412</v>
      </c>
      <c r="Y480" s="145" t="s">
        <v>3853</v>
      </c>
      <c r="Z480" s="144">
        <v>1618499.15</v>
      </c>
      <c r="AA480" s="145" t="s">
        <v>3853</v>
      </c>
      <c r="AB480" s="143" t="s">
        <v>1980</v>
      </c>
      <c r="AC480" s="144">
        <v>44.504300000000001</v>
      </c>
      <c r="AD480" s="144">
        <v>1901.894</v>
      </c>
      <c r="AE480" s="145" t="s">
        <v>3853</v>
      </c>
      <c r="AF480" s="145" t="s">
        <v>3853</v>
      </c>
      <c r="AG480" s="145" t="s">
        <v>3853</v>
      </c>
      <c r="AH480" s="146">
        <v>2.0092986641811719E-3</v>
      </c>
      <c r="AI480" s="146">
        <v>2.2452051533168615E-3</v>
      </c>
      <c r="AJ480" s="147">
        <v>2.593110551903831E-4</v>
      </c>
      <c r="AK480" s="181"/>
    </row>
    <row r="481" spans="1:37" ht="15" x14ac:dyDescent="0.2">
      <c r="A481" s="142" t="s">
        <v>1218</v>
      </c>
      <c r="B481" s="143" t="s">
        <v>1218</v>
      </c>
      <c r="C481" s="143" t="s">
        <v>1491</v>
      </c>
      <c r="D481" s="143" t="s">
        <v>1492</v>
      </c>
      <c r="E481" s="143" t="s">
        <v>309</v>
      </c>
      <c r="F481" s="143" t="s">
        <v>1493</v>
      </c>
      <c r="G481" s="143" t="s">
        <v>1494</v>
      </c>
      <c r="H481" s="143" t="s">
        <v>321</v>
      </c>
      <c r="I481" s="143" t="s">
        <v>754</v>
      </c>
      <c r="J481" s="143" t="s">
        <v>204</v>
      </c>
      <c r="K481" s="143" t="s">
        <v>204</v>
      </c>
      <c r="L481" s="143" t="s">
        <v>325</v>
      </c>
      <c r="M481" s="143" t="s">
        <v>340</v>
      </c>
      <c r="N481" s="143" t="s">
        <v>464</v>
      </c>
      <c r="O481" s="143" t="s">
        <v>339</v>
      </c>
      <c r="P481" s="143" t="s">
        <v>1409</v>
      </c>
      <c r="Q481" s="143" t="s">
        <v>413</v>
      </c>
      <c r="R481" s="143" t="s">
        <v>407</v>
      </c>
      <c r="S481" s="143" t="s">
        <v>1210</v>
      </c>
      <c r="T481" s="144">
        <v>1.01</v>
      </c>
      <c r="U481" s="143" t="s">
        <v>1495</v>
      </c>
      <c r="V481" s="146">
        <v>2.1100000000000001E-2</v>
      </c>
      <c r="W481" s="146">
        <v>2.5402999999999998E-2</v>
      </c>
      <c r="X481" s="143" t="s">
        <v>412</v>
      </c>
      <c r="Y481" s="145" t="s">
        <v>3853</v>
      </c>
      <c r="Z481" s="144">
        <v>1601829.95</v>
      </c>
      <c r="AA481" s="145" t="s">
        <v>3853</v>
      </c>
      <c r="AB481" s="143" t="s">
        <v>1496</v>
      </c>
      <c r="AC481" s="144">
        <v>38.995699999999999</v>
      </c>
      <c r="AD481" s="144">
        <v>1872.1298999999999</v>
      </c>
      <c r="AE481" s="145" t="s">
        <v>3853</v>
      </c>
      <c r="AF481" s="145" t="s">
        <v>3853</v>
      </c>
      <c r="AG481" s="145" t="s">
        <v>3853</v>
      </c>
      <c r="AH481" s="146">
        <v>2.083085168572414E-3</v>
      </c>
      <c r="AI481" s="146">
        <v>2.2045175454735852E-3</v>
      </c>
      <c r="AJ481" s="147">
        <v>2.5461182024188593E-4</v>
      </c>
      <c r="AK481" s="181"/>
    </row>
    <row r="482" spans="1:37" ht="15" x14ac:dyDescent="0.2">
      <c r="A482" s="142" t="s">
        <v>1218</v>
      </c>
      <c r="B482" s="143" t="s">
        <v>1218</v>
      </c>
      <c r="C482" s="143" t="s">
        <v>1451</v>
      </c>
      <c r="D482" s="143" t="s">
        <v>1452</v>
      </c>
      <c r="E482" s="143" t="s">
        <v>309</v>
      </c>
      <c r="F482" s="143" t="s">
        <v>1981</v>
      </c>
      <c r="G482" s="143" t="s">
        <v>1982</v>
      </c>
      <c r="H482" s="143" t="s">
        <v>321</v>
      </c>
      <c r="I482" s="143" t="s">
        <v>754</v>
      </c>
      <c r="J482" s="143" t="s">
        <v>204</v>
      </c>
      <c r="K482" s="143" t="s">
        <v>204</v>
      </c>
      <c r="L482" s="143" t="s">
        <v>325</v>
      </c>
      <c r="M482" s="143" t="s">
        <v>340</v>
      </c>
      <c r="N482" s="143" t="s">
        <v>464</v>
      </c>
      <c r="O482" s="143" t="s">
        <v>339</v>
      </c>
      <c r="P482" s="143" t="s">
        <v>1359</v>
      </c>
      <c r="Q482" s="143" t="s">
        <v>415</v>
      </c>
      <c r="R482" s="143" t="s">
        <v>407</v>
      </c>
      <c r="S482" s="143" t="s">
        <v>1210</v>
      </c>
      <c r="T482" s="144">
        <v>1.21</v>
      </c>
      <c r="U482" s="143" t="s">
        <v>1983</v>
      </c>
      <c r="V482" s="146">
        <v>4.7500000000000001E-2</v>
      </c>
      <c r="W482" s="146">
        <v>2.8712000000000001E-2</v>
      </c>
      <c r="X482" s="143" t="s">
        <v>412</v>
      </c>
      <c r="Y482" s="145" t="s">
        <v>3853</v>
      </c>
      <c r="Z482" s="144">
        <v>1212985.08</v>
      </c>
      <c r="AA482" s="145" t="s">
        <v>3853</v>
      </c>
      <c r="AB482" s="143" t="s">
        <v>1984</v>
      </c>
      <c r="AC482" s="145" t="s">
        <v>3853</v>
      </c>
      <c r="AD482" s="144">
        <v>1729.5953999999999</v>
      </c>
      <c r="AE482" s="145" t="s">
        <v>3853</v>
      </c>
      <c r="AF482" s="145" t="s">
        <v>3853</v>
      </c>
      <c r="AG482" s="145" t="s">
        <v>3853</v>
      </c>
      <c r="AH482" s="146">
        <v>1.2693889286728086E-3</v>
      </c>
      <c r="AI482" s="146">
        <v>1.9951191868036811E-3</v>
      </c>
      <c r="AJ482" s="147">
        <v>2.3042725552110296E-4</v>
      </c>
      <c r="AK482" s="181"/>
    </row>
    <row r="483" spans="1:37" ht="15" x14ac:dyDescent="0.2">
      <c r="A483" s="142" t="s">
        <v>1218</v>
      </c>
      <c r="B483" s="143" t="s">
        <v>1218</v>
      </c>
      <c r="C483" s="143" t="s">
        <v>1985</v>
      </c>
      <c r="D483" s="143" t="s">
        <v>1986</v>
      </c>
      <c r="E483" s="143" t="s">
        <v>309</v>
      </c>
      <c r="F483" s="143" t="s">
        <v>1987</v>
      </c>
      <c r="G483" s="143" t="s">
        <v>1988</v>
      </c>
      <c r="H483" s="143" t="s">
        <v>321</v>
      </c>
      <c r="I483" s="143" t="s">
        <v>754</v>
      </c>
      <c r="J483" s="143" t="s">
        <v>204</v>
      </c>
      <c r="K483" s="143" t="s">
        <v>204</v>
      </c>
      <c r="L483" s="143" t="s">
        <v>325</v>
      </c>
      <c r="M483" s="143" t="s">
        <v>340</v>
      </c>
      <c r="N483" s="143" t="s">
        <v>464</v>
      </c>
      <c r="O483" s="143" t="s">
        <v>339</v>
      </c>
      <c r="P483" s="143" t="s">
        <v>1409</v>
      </c>
      <c r="Q483" s="143" t="s">
        <v>413</v>
      </c>
      <c r="R483" s="143" t="s">
        <v>407</v>
      </c>
      <c r="S483" s="143" t="s">
        <v>1210</v>
      </c>
      <c r="T483" s="144">
        <v>2.57</v>
      </c>
      <c r="U483" s="143" t="s">
        <v>1989</v>
      </c>
      <c r="V483" s="146">
        <v>1.5800000000000002E-2</v>
      </c>
      <c r="W483" s="146">
        <v>2.6127000000000001E-2</v>
      </c>
      <c r="X483" s="143" t="s">
        <v>412</v>
      </c>
      <c r="Y483" s="145" t="s">
        <v>3853</v>
      </c>
      <c r="Z483" s="144">
        <v>1295557.51</v>
      </c>
      <c r="AA483" s="145" t="s">
        <v>3853</v>
      </c>
      <c r="AB483" s="143" t="s">
        <v>1990</v>
      </c>
      <c r="AC483" s="145" t="s">
        <v>3853</v>
      </c>
      <c r="AD483" s="144">
        <v>1450.6357</v>
      </c>
      <c r="AE483" s="145" t="s">
        <v>3853</v>
      </c>
      <c r="AF483" s="145" t="s">
        <v>3853</v>
      </c>
      <c r="AG483" s="145" t="s">
        <v>3853</v>
      </c>
      <c r="AH483" s="146">
        <v>3.0173381901308573E-3</v>
      </c>
      <c r="AI483" s="146">
        <v>1.6733342162111376E-3</v>
      </c>
      <c r="AJ483" s="147">
        <v>1.9326254469479443E-4</v>
      </c>
      <c r="AK483" s="181"/>
    </row>
    <row r="484" spans="1:37" ht="15" x14ac:dyDescent="0.2">
      <c r="A484" s="142" t="s">
        <v>1218</v>
      </c>
      <c r="B484" s="143" t="s">
        <v>1218</v>
      </c>
      <c r="C484" s="143" t="s">
        <v>1856</v>
      </c>
      <c r="D484" s="143" t="s">
        <v>1857</v>
      </c>
      <c r="E484" s="143" t="s">
        <v>309</v>
      </c>
      <c r="F484" s="143" t="s">
        <v>1991</v>
      </c>
      <c r="G484" s="143" t="s">
        <v>1992</v>
      </c>
      <c r="H484" s="143" t="s">
        <v>321</v>
      </c>
      <c r="I484" s="143" t="s">
        <v>754</v>
      </c>
      <c r="J484" s="143" t="s">
        <v>204</v>
      </c>
      <c r="K484" s="143" t="s">
        <v>204</v>
      </c>
      <c r="L484" s="143" t="s">
        <v>325</v>
      </c>
      <c r="M484" s="143" t="s">
        <v>340</v>
      </c>
      <c r="N484" s="143" t="s">
        <v>464</v>
      </c>
      <c r="O484" s="143" t="s">
        <v>339</v>
      </c>
      <c r="P484" s="143" t="s">
        <v>1409</v>
      </c>
      <c r="Q484" s="143" t="s">
        <v>413</v>
      </c>
      <c r="R484" s="143" t="s">
        <v>407</v>
      </c>
      <c r="S484" s="143" t="s">
        <v>1210</v>
      </c>
      <c r="T484" s="144">
        <v>2.4700000000000002</v>
      </c>
      <c r="U484" s="143" t="s">
        <v>1333</v>
      </c>
      <c r="V484" s="146">
        <v>2.5999999999999999E-2</v>
      </c>
      <c r="W484" s="146">
        <v>2.6943999999999999E-2</v>
      </c>
      <c r="X484" s="143" t="s">
        <v>412</v>
      </c>
      <c r="Y484" s="145" t="s">
        <v>3853</v>
      </c>
      <c r="Z484" s="144">
        <v>1250301.29</v>
      </c>
      <c r="AA484" s="145" t="s">
        <v>3853</v>
      </c>
      <c r="AB484" s="143" t="s">
        <v>1993</v>
      </c>
      <c r="AC484" s="145" t="s">
        <v>3853</v>
      </c>
      <c r="AD484" s="144">
        <v>1438.9718</v>
      </c>
      <c r="AE484" s="145" t="s">
        <v>3853</v>
      </c>
      <c r="AF484" s="145" t="s">
        <v>3853</v>
      </c>
      <c r="AG484" s="145" t="s">
        <v>3853</v>
      </c>
      <c r="AH484" s="146">
        <v>3.4662086877205551E-3</v>
      </c>
      <c r="AI484" s="146">
        <v>1.6598795964341021E-3</v>
      </c>
      <c r="AJ484" s="147">
        <v>1.9170859687563224E-4</v>
      </c>
      <c r="AK484" s="181"/>
    </row>
    <row r="485" spans="1:37" ht="15" x14ac:dyDescent="0.2">
      <c r="A485" s="142" t="s">
        <v>1218</v>
      </c>
      <c r="B485" s="143" t="s">
        <v>1218</v>
      </c>
      <c r="C485" s="143" t="s">
        <v>1550</v>
      </c>
      <c r="D485" s="143" t="s">
        <v>1551</v>
      </c>
      <c r="E485" s="143" t="s">
        <v>309</v>
      </c>
      <c r="F485" s="143" t="s">
        <v>1552</v>
      </c>
      <c r="G485" s="143" t="s">
        <v>1553</v>
      </c>
      <c r="H485" s="143" t="s">
        <v>321</v>
      </c>
      <c r="I485" s="143" t="s">
        <v>754</v>
      </c>
      <c r="J485" s="143" t="s">
        <v>204</v>
      </c>
      <c r="K485" s="143" t="s">
        <v>204</v>
      </c>
      <c r="L485" s="143" t="s">
        <v>325</v>
      </c>
      <c r="M485" s="143" t="s">
        <v>340</v>
      </c>
      <c r="N485" s="143" t="s">
        <v>465</v>
      </c>
      <c r="O485" s="143" t="s">
        <v>339</v>
      </c>
      <c r="P485" s="143" t="s">
        <v>1440</v>
      </c>
      <c r="Q485" s="143" t="s">
        <v>415</v>
      </c>
      <c r="R485" s="143" t="s">
        <v>407</v>
      </c>
      <c r="S485" s="143" t="s">
        <v>1210</v>
      </c>
      <c r="T485" s="144">
        <v>1.71</v>
      </c>
      <c r="U485" s="143" t="s">
        <v>1554</v>
      </c>
      <c r="V485" s="146">
        <v>2.5700000000000001E-2</v>
      </c>
      <c r="W485" s="146">
        <v>3.3569000000000002E-2</v>
      </c>
      <c r="X485" s="143" t="s">
        <v>412</v>
      </c>
      <c r="Y485" s="145" t="s">
        <v>3853</v>
      </c>
      <c r="Z485" s="144">
        <v>1130237</v>
      </c>
      <c r="AA485" s="145" t="s">
        <v>3853</v>
      </c>
      <c r="AB485" s="143" t="s">
        <v>1555</v>
      </c>
      <c r="AC485" s="145" t="s">
        <v>3853</v>
      </c>
      <c r="AD485" s="144">
        <v>1285.1925000000001</v>
      </c>
      <c r="AE485" s="145" t="s">
        <v>3853</v>
      </c>
      <c r="AF485" s="145" t="s">
        <v>3853</v>
      </c>
      <c r="AG485" s="145" t="s">
        <v>3853</v>
      </c>
      <c r="AH485" s="146">
        <v>8.8133558128151914E-4</v>
      </c>
      <c r="AI485" s="146">
        <v>1.4824924736799845E-3</v>
      </c>
      <c r="AJ485" s="147">
        <v>1.7122118533081088E-4</v>
      </c>
      <c r="AK485" s="181"/>
    </row>
    <row r="486" spans="1:37" ht="15" x14ac:dyDescent="0.2">
      <c r="A486" s="142" t="s">
        <v>1218</v>
      </c>
      <c r="B486" s="143" t="s">
        <v>1218</v>
      </c>
      <c r="C486" s="143" t="s">
        <v>1516</v>
      </c>
      <c r="D486" s="143" t="s">
        <v>1517</v>
      </c>
      <c r="E486" s="143" t="s">
        <v>309</v>
      </c>
      <c r="F486" s="143" t="s">
        <v>1605</v>
      </c>
      <c r="G486" s="143" t="s">
        <v>1606</v>
      </c>
      <c r="H486" s="143" t="s">
        <v>321</v>
      </c>
      <c r="I486" s="143" t="s">
        <v>754</v>
      </c>
      <c r="J486" s="143" t="s">
        <v>204</v>
      </c>
      <c r="K486" s="143" t="s">
        <v>204</v>
      </c>
      <c r="L486" s="143" t="s">
        <v>325</v>
      </c>
      <c r="M486" s="143" t="s">
        <v>340</v>
      </c>
      <c r="N486" s="143" t="s">
        <v>465</v>
      </c>
      <c r="O486" s="143" t="s">
        <v>339</v>
      </c>
      <c r="P486" s="143" t="s">
        <v>1402</v>
      </c>
      <c r="Q486" s="143" t="s">
        <v>415</v>
      </c>
      <c r="R486" s="143" t="s">
        <v>407</v>
      </c>
      <c r="S486" s="143" t="s">
        <v>1210</v>
      </c>
      <c r="T486" s="144">
        <v>0.25</v>
      </c>
      <c r="U486" s="143" t="s">
        <v>1607</v>
      </c>
      <c r="V486" s="146">
        <v>5.3499999999999999E-2</v>
      </c>
      <c r="W486" s="146">
        <v>3.9487000000000001E-2</v>
      </c>
      <c r="X486" s="143" t="s">
        <v>412</v>
      </c>
      <c r="Y486" s="145" t="s">
        <v>3853</v>
      </c>
      <c r="Z486" s="144">
        <v>1015073.35</v>
      </c>
      <c r="AA486" s="145" t="s">
        <v>3853</v>
      </c>
      <c r="AB486" s="143" t="s">
        <v>1608</v>
      </c>
      <c r="AC486" s="145" t="s">
        <v>3853</v>
      </c>
      <c r="AD486" s="144">
        <v>1213.8246999999999</v>
      </c>
      <c r="AE486" s="145" t="s">
        <v>3853</v>
      </c>
      <c r="AF486" s="145" t="s">
        <v>3853</v>
      </c>
      <c r="AG486" s="145" t="s">
        <v>3853</v>
      </c>
      <c r="AH486" s="146">
        <v>3.070583874223477E-3</v>
      </c>
      <c r="AI486" s="146">
        <v>1.4001684650542469E-3</v>
      </c>
      <c r="AJ486" s="147">
        <v>1.617131341343733E-4</v>
      </c>
      <c r="AK486" s="181"/>
    </row>
    <row r="487" spans="1:37" ht="15" x14ac:dyDescent="0.2">
      <c r="A487" s="142" t="s">
        <v>1218</v>
      </c>
      <c r="B487" s="143" t="s">
        <v>1218</v>
      </c>
      <c r="C487" s="143" t="s">
        <v>1623</v>
      </c>
      <c r="D487" s="143" t="s">
        <v>1624</v>
      </c>
      <c r="E487" s="143" t="s">
        <v>309</v>
      </c>
      <c r="F487" s="143" t="s">
        <v>1646</v>
      </c>
      <c r="G487" s="143" t="s">
        <v>1647</v>
      </c>
      <c r="H487" s="143" t="s">
        <v>321</v>
      </c>
      <c r="I487" s="143" t="s">
        <v>754</v>
      </c>
      <c r="J487" s="143" t="s">
        <v>204</v>
      </c>
      <c r="K487" s="143" t="s">
        <v>204</v>
      </c>
      <c r="L487" s="143" t="s">
        <v>325</v>
      </c>
      <c r="M487" s="143" t="s">
        <v>340</v>
      </c>
      <c r="N487" s="143" t="s">
        <v>445</v>
      </c>
      <c r="O487" s="143" t="s">
        <v>339</v>
      </c>
      <c r="P487" s="143" t="s">
        <v>1627</v>
      </c>
      <c r="Q487" s="143" t="s">
        <v>415</v>
      </c>
      <c r="R487" s="143" t="s">
        <v>407</v>
      </c>
      <c r="S487" s="143" t="s">
        <v>1210</v>
      </c>
      <c r="T487" s="144">
        <v>5.55</v>
      </c>
      <c r="U487" s="143" t="s">
        <v>1648</v>
      </c>
      <c r="V487" s="146">
        <v>5.3999999999999999E-2</v>
      </c>
      <c r="W487" s="146">
        <v>6.1131999999999999E-2</v>
      </c>
      <c r="X487" s="143" t="s">
        <v>412</v>
      </c>
      <c r="Y487" s="145" t="s">
        <v>3853</v>
      </c>
      <c r="Z487" s="144">
        <v>1105566</v>
      </c>
      <c r="AA487" s="145" t="s">
        <v>3853</v>
      </c>
      <c r="AB487" s="143" t="s">
        <v>1649</v>
      </c>
      <c r="AC487" s="145" t="s">
        <v>3853</v>
      </c>
      <c r="AD487" s="144">
        <v>1068.9718</v>
      </c>
      <c r="AE487" s="145" t="s">
        <v>3853</v>
      </c>
      <c r="AF487" s="145" t="s">
        <v>3853</v>
      </c>
      <c r="AG487" s="145" t="s">
        <v>3853</v>
      </c>
      <c r="AH487" s="146">
        <v>1.9344763269455543E-3</v>
      </c>
      <c r="AI487" s="146">
        <v>1.2330780064335697E-3</v>
      </c>
      <c r="AJ487" s="147">
        <v>1.4241494079415072E-4</v>
      </c>
      <c r="AK487" s="181"/>
    </row>
    <row r="488" spans="1:37" ht="15" x14ac:dyDescent="0.2">
      <c r="A488" s="142" t="s">
        <v>1218</v>
      </c>
      <c r="B488" s="143" t="s">
        <v>1218</v>
      </c>
      <c r="C488" s="143" t="s">
        <v>1430</v>
      </c>
      <c r="D488" s="143" t="s">
        <v>1431</v>
      </c>
      <c r="E488" s="143" t="s">
        <v>309</v>
      </c>
      <c r="F488" s="143" t="s">
        <v>1660</v>
      </c>
      <c r="G488" s="143" t="s">
        <v>1661</v>
      </c>
      <c r="H488" s="143" t="s">
        <v>321</v>
      </c>
      <c r="I488" s="143" t="s">
        <v>754</v>
      </c>
      <c r="J488" s="143" t="s">
        <v>204</v>
      </c>
      <c r="K488" s="143" t="s">
        <v>204</v>
      </c>
      <c r="L488" s="143" t="s">
        <v>325</v>
      </c>
      <c r="M488" s="143" t="s">
        <v>340</v>
      </c>
      <c r="N488" s="143" t="s">
        <v>484</v>
      </c>
      <c r="O488" s="143" t="s">
        <v>339</v>
      </c>
      <c r="P488" s="143" t="s">
        <v>1396</v>
      </c>
      <c r="Q488" s="143" t="s">
        <v>413</v>
      </c>
      <c r="R488" s="143" t="s">
        <v>407</v>
      </c>
      <c r="S488" s="143" t="s">
        <v>1210</v>
      </c>
      <c r="T488" s="144">
        <v>0.01</v>
      </c>
      <c r="U488" s="143" t="s">
        <v>1662</v>
      </c>
      <c r="V488" s="146">
        <v>1.9800000000000002E-2</v>
      </c>
      <c r="W488" s="146">
        <v>7.3847999999999997E-2</v>
      </c>
      <c r="X488" s="143" t="s">
        <v>412</v>
      </c>
      <c r="Y488" s="145" t="s">
        <v>3853</v>
      </c>
      <c r="Z488" s="144">
        <v>818456.9</v>
      </c>
      <c r="AA488" s="145" t="s">
        <v>3853</v>
      </c>
      <c r="AB488" s="143" t="s">
        <v>1663</v>
      </c>
      <c r="AC488" s="145" t="s">
        <v>3853</v>
      </c>
      <c r="AD488" s="144">
        <v>938.68819999999994</v>
      </c>
      <c r="AE488" s="145" t="s">
        <v>3853</v>
      </c>
      <c r="AF488" s="145" t="s">
        <v>3853</v>
      </c>
      <c r="AG488" s="145" t="s">
        <v>3853</v>
      </c>
      <c r="AH488" s="146">
        <v>5.3867186469061202E-3</v>
      </c>
      <c r="AI488" s="146">
        <v>1.0827936103936105E-3</v>
      </c>
      <c r="AJ488" s="147">
        <v>1.2505777178079802E-4</v>
      </c>
      <c r="AK488" s="181"/>
    </row>
    <row r="489" spans="1:37" ht="15" x14ac:dyDescent="0.2">
      <c r="A489" s="142" t="s">
        <v>1218</v>
      </c>
      <c r="B489" s="143" t="s">
        <v>1218</v>
      </c>
      <c r="C489" s="143" t="s">
        <v>1654</v>
      </c>
      <c r="D489" s="143" t="s">
        <v>1655</v>
      </c>
      <c r="E489" s="143" t="s">
        <v>309</v>
      </c>
      <c r="F489" s="143" t="s">
        <v>1664</v>
      </c>
      <c r="G489" s="143" t="s">
        <v>1665</v>
      </c>
      <c r="H489" s="143" t="s">
        <v>321</v>
      </c>
      <c r="I489" s="143" t="s">
        <v>754</v>
      </c>
      <c r="J489" s="143" t="s">
        <v>204</v>
      </c>
      <c r="K489" s="143" t="s">
        <v>204</v>
      </c>
      <c r="L489" s="143" t="s">
        <v>325</v>
      </c>
      <c r="M489" s="143" t="s">
        <v>340</v>
      </c>
      <c r="N489" s="143" t="s">
        <v>464</v>
      </c>
      <c r="O489" s="143" t="s">
        <v>339</v>
      </c>
      <c r="P489" s="143" t="s">
        <v>1359</v>
      </c>
      <c r="Q489" s="143" t="s">
        <v>415</v>
      </c>
      <c r="R489" s="143" t="s">
        <v>407</v>
      </c>
      <c r="S489" s="143" t="s">
        <v>1210</v>
      </c>
      <c r="T489" s="144">
        <v>0.53</v>
      </c>
      <c r="U489" s="143" t="s">
        <v>1666</v>
      </c>
      <c r="V489" s="146">
        <v>2.75E-2</v>
      </c>
      <c r="W489" s="146">
        <v>3.1185999999999998E-2</v>
      </c>
      <c r="X489" s="143" t="s">
        <v>412</v>
      </c>
      <c r="Y489" s="145" t="s">
        <v>3853</v>
      </c>
      <c r="Z489" s="144">
        <v>652965.1</v>
      </c>
      <c r="AA489" s="145" t="s">
        <v>3853</v>
      </c>
      <c r="AB489" s="143" t="s">
        <v>1667</v>
      </c>
      <c r="AC489" s="145" t="s">
        <v>3853</v>
      </c>
      <c r="AD489" s="144">
        <v>747.77559999999994</v>
      </c>
      <c r="AE489" s="145" t="s">
        <v>3853</v>
      </c>
      <c r="AF489" s="145" t="s">
        <v>3853</v>
      </c>
      <c r="AG489" s="145" t="s">
        <v>3853</v>
      </c>
      <c r="AH489" s="146">
        <v>4.7233742220971721E-3</v>
      </c>
      <c r="AI489" s="146">
        <v>8.6257253563880071E-4</v>
      </c>
      <c r="AJ489" s="147">
        <v>9.9623232230829895E-5</v>
      </c>
      <c r="AK489" s="181"/>
    </row>
    <row r="490" spans="1:37" ht="15" x14ac:dyDescent="0.2">
      <c r="A490" s="142" t="s">
        <v>1218</v>
      </c>
      <c r="B490" s="143" t="s">
        <v>1218</v>
      </c>
      <c r="C490" s="143" t="s">
        <v>1654</v>
      </c>
      <c r="D490" s="143" t="s">
        <v>1655</v>
      </c>
      <c r="E490" s="143" t="s">
        <v>309</v>
      </c>
      <c r="F490" s="143" t="s">
        <v>1656</v>
      </c>
      <c r="G490" s="143" t="s">
        <v>1657</v>
      </c>
      <c r="H490" s="143" t="s">
        <v>321</v>
      </c>
      <c r="I490" s="143" t="s">
        <v>754</v>
      </c>
      <c r="J490" s="143" t="s">
        <v>204</v>
      </c>
      <c r="K490" s="143" t="s">
        <v>204</v>
      </c>
      <c r="L490" s="143" t="s">
        <v>325</v>
      </c>
      <c r="M490" s="143" t="s">
        <v>340</v>
      </c>
      <c r="N490" s="143" t="s">
        <v>464</v>
      </c>
      <c r="O490" s="143" t="s">
        <v>339</v>
      </c>
      <c r="P490" s="143" t="s">
        <v>1359</v>
      </c>
      <c r="Q490" s="143" t="s">
        <v>415</v>
      </c>
      <c r="R490" s="143" t="s">
        <v>407</v>
      </c>
      <c r="S490" s="143" t="s">
        <v>1210</v>
      </c>
      <c r="T490" s="144">
        <v>3.16</v>
      </c>
      <c r="U490" s="143" t="s">
        <v>1658</v>
      </c>
      <c r="V490" s="146">
        <v>1.9599999999999999E-2</v>
      </c>
      <c r="W490" s="146">
        <v>2.9968999999999999E-2</v>
      </c>
      <c r="X490" s="143" t="s">
        <v>412</v>
      </c>
      <c r="Y490" s="145" t="s">
        <v>3853</v>
      </c>
      <c r="Z490" s="144">
        <v>603070</v>
      </c>
      <c r="AA490" s="145" t="s">
        <v>3853</v>
      </c>
      <c r="AB490" s="143" t="s">
        <v>1659</v>
      </c>
      <c r="AC490" s="145" t="s">
        <v>3853</v>
      </c>
      <c r="AD490" s="144">
        <v>670.0711</v>
      </c>
      <c r="AE490" s="145" t="s">
        <v>3853</v>
      </c>
      <c r="AF490" s="145" t="s">
        <v>3853</v>
      </c>
      <c r="AG490" s="145" t="s">
        <v>3853</v>
      </c>
      <c r="AH490" s="146">
        <v>5.2665611912332472E-4</v>
      </c>
      <c r="AI490" s="146">
        <v>7.7293894426367694E-4</v>
      </c>
      <c r="AJ490" s="147">
        <v>8.9270957239099229E-5</v>
      </c>
      <c r="AK490" s="181"/>
    </row>
    <row r="491" spans="1:37" ht="15" x14ac:dyDescent="0.2">
      <c r="A491" s="142" t="s">
        <v>1218</v>
      </c>
      <c r="B491" s="143" t="s">
        <v>1218</v>
      </c>
      <c r="C491" s="143" t="s">
        <v>1856</v>
      </c>
      <c r="D491" s="143" t="s">
        <v>1857</v>
      </c>
      <c r="E491" s="143" t="s">
        <v>309</v>
      </c>
      <c r="F491" s="143" t="s">
        <v>1994</v>
      </c>
      <c r="G491" s="143" t="s">
        <v>1995</v>
      </c>
      <c r="H491" s="143" t="s">
        <v>321</v>
      </c>
      <c r="I491" s="143" t="s">
        <v>754</v>
      </c>
      <c r="J491" s="143" t="s">
        <v>204</v>
      </c>
      <c r="K491" s="143" t="s">
        <v>204</v>
      </c>
      <c r="L491" s="143" t="s">
        <v>325</v>
      </c>
      <c r="M491" s="143" t="s">
        <v>340</v>
      </c>
      <c r="N491" s="143" t="s">
        <v>464</v>
      </c>
      <c r="O491" s="143" t="s">
        <v>339</v>
      </c>
      <c r="P491" s="143" t="s">
        <v>1409</v>
      </c>
      <c r="Q491" s="143" t="s">
        <v>413</v>
      </c>
      <c r="R491" s="143" t="s">
        <v>407</v>
      </c>
      <c r="S491" s="143" t="s">
        <v>1210</v>
      </c>
      <c r="T491" s="144">
        <v>1.99</v>
      </c>
      <c r="U491" s="143" t="s">
        <v>1422</v>
      </c>
      <c r="V491" s="146">
        <v>2.4E-2</v>
      </c>
      <c r="W491" s="146">
        <v>2.7054000000000002E-2</v>
      </c>
      <c r="X491" s="143" t="s">
        <v>412</v>
      </c>
      <c r="Y491" s="145" t="s">
        <v>3853</v>
      </c>
      <c r="Z491" s="144">
        <v>483950</v>
      </c>
      <c r="AA491" s="145" t="s">
        <v>3853</v>
      </c>
      <c r="AB491" s="143" t="s">
        <v>1996</v>
      </c>
      <c r="AC491" s="145" t="s">
        <v>3853</v>
      </c>
      <c r="AD491" s="144">
        <v>552.91290000000004</v>
      </c>
      <c r="AE491" s="145" t="s">
        <v>3853</v>
      </c>
      <c r="AF491" s="145" t="s">
        <v>3853</v>
      </c>
      <c r="AG491" s="145" t="s">
        <v>3853</v>
      </c>
      <c r="AH491" s="146">
        <v>8.387290180354763E-4</v>
      </c>
      <c r="AI491" s="146">
        <v>6.3779486765147217E-4</v>
      </c>
      <c r="AJ491" s="147">
        <v>7.3662426741443168E-5</v>
      </c>
      <c r="AK491" s="181"/>
    </row>
    <row r="492" spans="1:37" ht="15" x14ac:dyDescent="0.2">
      <c r="A492" s="142" t="s">
        <v>1218</v>
      </c>
      <c r="B492" s="143" t="s">
        <v>1218</v>
      </c>
      <c r="C492" s="143" t="s">
        <v>1491</v>
      </c>
      <c r="D492" s="143" t="s">
        <v>1492</v>
      </c>
      <c r="E492" s="143" t="s">
        <v>309</v>
      </c>
      <c r="F492" s="143" t="s">
        <v>1997</v>
      </c>
      <c r="G492" s="143" t="s">
        <v>1998</v>
      </c>
      <c r="H492" s="143" t="s">
        <v>321</v>
      </c>
      <c r="I492" s="143" t="s">
        <v>754</v>
      </c>
      <c r="J492" s="143" t="s">
        <v>204</v>
      </c>
      <c r="K492" s="143" t="s">
        <v>204</v>
      </c>
      <c r="L492" s="143" t="s">
        <v>325</v>
      </c>
      <c r="M492" s="143" t="s">
        <v>340</v>
      </c>
      <c r="N492" s="143" t="s">
        <v>464</v>
      </c>
      <c r="O492" s="143" t="s">
        <v>339</v>
      </c>
      <c r="P492" s="143" t="s">
        <v>1409</v>
      </c>
      <c r="Q492" s="143" t="s">
        <v>413</v>
      </c>
      <c r="R492" s="143" t="s">
        <v>407</v>
      </c>
      <c r="S492" s="143" t="s">
        <v>1210</v>
      </c>
      <c r="T492" s="144">
        <v>4.13</v>
      </c>
      <c r="U492" s="143" t="s">
        <v>1999</v>
      </c>
      <c r="V492" s="146">
        <v>2.2499999999999999E-2</v>
      </c>
      <c r="W492" s="146">
        <v>3.0984000000000001E-2</v>
      </c>
      <c r="X492" s="143" t="s">
        <v>412</v>
      </c>
      <c r="Y492" s="145" t="s">
        <v>3853</v>
      </c>
      <c r="Z492" s="144">
        <v>295733.09999999998</v>
      </c>
      <c r="AA492" s="145" t="s">
        <v>3853</v>
      </c>
      <c r="AB492" s="143" t="s">
        <v>2000</v>
      </c>
      <c r="AC492" s="144">
        <v>29.494700000000002</v>
      </c>
      <c r="AD492" s="144">
        <v>358.32029999999997</v>
      </c>
      <c r="AE492" s="145" t="s">
        <v>3853</v>
      </c>
      <c r="AF492" s="145" t="s">
        <v>3853</v>
      </c>
      <c r="AG492" s="145" t="s">
        <v>3853</v>
      </c>
      <c r="AH492" s="146">
        <v>2.5138020635034268E-4</v>
      </c>
      <c r="AI492" s="146">
        <v>4.473514465251636E-4</v>
      </c>
      <c r="AJ492" s="147">
        <v>5.1667071700780613E-5</v>
      </c>
      <c r="AK492" s="181"/>
    </row>
    <row r="493" spans="1:37" ht="15" x14ac:dyDescent="0.2">
      <c r="A493" s="142" t="s">
        <v>1218</v>
      </c>
      <c r="B493" s="143" t="s">
        <v>1218</v>
      </c>
      <c r="C493" s="143" t="s">
        <v>1501</v>
      </c>
      <c r="D493" s="143" t="s">
        <v>1502</v>
      </c>
      <c r="E493" s="143" t="s">
        <v>309</v>
      </c>
      <c r="F493" s="143" t="s">
        <v>1503</v>
      </c>
      <c r="G493" s="143" t="s">
        <v>1504</v>
      </c>
      <c r="H493" s="143" t="s">
        <v>321</v>
      </c>
      <c r="I493" s="143" t="s">
        <v>754</v>
      </c>
      <c r="J493" s="143" t="s">
        <v>204</v>
      </c>
      <c r="K493" s="143" t="s">
        <v>204</v>
      </c>
      <c r="L493" s="143" t="s">
        <v>325</v>
      </c>
      <c r="M493" s="143" t="s">
        <v>340</v>
      </c>
      <c r="N493" s="143" t="s">
        <v>464</v>
      </c>
      <c r="O493" s="143" t="s">
        <v>339</v>
      </c>
      <c r="P493" s="143" t="s">
        <v>1409</v>
      </c>
      <c r="Q493" s="143" t="s">
        <v>413</v>
      </c>
      <c r="R493" s="143" t="s">
        <v>407</v>
      </c>
      <c r="S493" s="143" t="s">
        <v>1210</v>
      </c>
      <c r="T493" s="144">
        <v>2.4300000000000002</v>
      </c>
      <c r="U493" s="143" t="s">
        <v>1505</v>
      </c>
      <c r="V493" s="146">
        <v>3.2000000000000001E-2</v>
      </c>
      <c r="W493" s="146">
        <v>2.8108999999999999E-2</v>
      </c>
      <c r="X493" s="143" t="s">
        <v>412</v>
      </c>
      <c r="Y493" s="145" t="s">
        <v>3853</v>
      </c>
      <c r="Z493" s="144">
        <v>210899.4</v>
      </c>
      <c r="AA493" s="145" t="s">
        <v>3853</v>
      </c>
      <c r="AB493" s="143" t="s">
        <v>1506</v>
      </c>
      <c r="AC493" s="144">
        <v>89.8446</v>
      </c>
      <c r="AD493" s="144">
        <v>330.98690000000005</v>
      </c>
      <c r="AE493" s="145" t="s">
        <v>3853</v>
      </c>
      <c r="AF493" s="145" t="s">
        <v>3853</v>
      </c>
      <c r="AG493" s="145" t="s">
        <v>3853</v>
      </c>
      <c r="AH493" s="146">
        <v>2.0044914422513783E-4</v>
      </c>
      <c r="AI493" s="146">
        <v>4.8543663772305807E-4</v>
      </c>
      <c r="AJ493" s="147">
        <v>5.6065739280027765E-5</v>
      </c>
      <c r="AK493" s="181"/>
    </row>
    <row r="494" spans="1:37" ht="15" x14ac:dyDescent="0.2">
      <c r="A494" s="142" t="s">
        <v>1218</v>
      </c>
      <c r="B494" s="143" t="s">
        <v>1218</v>
      </c>
      <c r="C494" s="143" t="s">
        <v>1574</v>
      </c>
      <c r="D494" s="143" t="s">
        <v>1575</v>
      </c>
      <c r="E494" s="143" t="s">
        <v>309</v>
      </c>
      <c r="F494" s="143" t="s">
        <v>2001</v>
      </c>
      <c r="G494" s="143" t="s">
        <v>2002</v>
      </c>
      <c r="H494" s="143" t="s">
        <v>321</v>
      </c>
      <c r="I494" s="143" t="s">
        <v>754</v>
      </c>
      <c r="J494" s="143" t="s">
        <v>204</v>
      </c>
      <c r="K494" s="143" t="s">
        <v>204</v>
      </c>
      <c r="L494" s="143" t="s">
        <v>325</v>
      </c>
      <c r="M494" s="143" t="s">
        <v>340</v>
      </c>
      <c r="N494" s="143" t="s">
        <v>464</v>
      </c>
      <c r="O494" s="143" t="s">
        <v>339</v>
      </c>
      <c r="P494" s="143" t="s">
        <v>1347</v>
      </c>
      <c r="Q494" s="143" t="s">
        <v>413</v>
      </c>
      <c r="R494" s="143" t="s">
        <v>407</v>
      </c>
      <c r="S494" s="143" t="s">
        <v>1210</v>
      </c>
      <c r="T494" s="144">
        <v>0.85</v>
      </c>
      <c r="U494" s="143" t="s">
        <v>2003</v>
      </c>
      <c r="V494" s="146">
        <v>2.5000000000000001E-2</v>
      </c>
      <c r="W494" s="146">
        <v>2.9173000000000001E-2</v>
      </c>
      <c r="X494" s="143" t="s">
        <v>412</v>
      </c>
      <c r="Y494" s="145" t="s">
        <v>3853</v>
      </c>
      <c r="Z494" s="144">
        <v>148658.5</v>
      </c>
      <c r="AA494" s="145" t="s">
        <v>3853</v>
      </c>
      <c r="AB494" s="143" t="s">
        <v>2004</v>
      </c>
      <c r="AC494" s="145" t="s">
        <v>3853</v>
      </c>
      <c r="AD494" s="144">
        <v>169.12879999999998</v>
      </c>
      <c r="AE494" s="145" t="s">
        <v>3853</v>
      </c>
      <c r="AF494" s="145" t="s">
        <v>3853</v>
      </c>
      <c r="AG494" s="145" t="s">
        <v>3853</v>
      </c>
      <c r="AH494" s="146">
        <v>6.3124102013858367E-4</v>
      </c>
      <c r="AI494" s="146">
        <v>1.9509306046488483E-4</v>
      </c>
      <c r="AJ494" s="147">
        <v>2.253236738510677E-5</v>
      </c>
      <c r="AK494" s="181"/>
    </row>
    <row r="495" spans="1:37" ht="15" x14ac:dyDescent="0.2">
      <c r="A495" s="142" t="s">
        <v>1218</v>
      </c>
      <c r="B495" s="143" t="s">
        <v>1218</v>
      </c>
      <c r="C495" s="143" t="s">
        <v>1634</v>
      </c>
      <c r="D495" s="143" t="s">
        <v>1635</v>
      </c>
      <c r="E495" s="143" t="s">
        <v>309</v>
      </c>
      <c r="F495" s="143" t="s">
        <v>1636</v>
      </c>
      <c r="G495" s="143" t="s">
        <v>1637</v>
      </c>
      <c r="H495" s="143" t="s">
        <v>321</v>
      </c>
      <c r="I495" s="143" t="s">
        <v>754</v>
      </c>
      <c r="J495" s="143" t="s">
        <v>204</v>
      </c>
      <c r="K495" s="143" t="s">
        <v>204</v>
      </c>
      <c r="L495" s="143" t="s">
        <v>325</v>
      </c>
      <c r="M495" s="143" t="s">
        <v>340</v>
      </c>
      <c r="N495" s="143" t="s">
        <v>464</v>
      </c>
      <c r="O495" s="143" t="s">
        <v>339</v>
      </c>
      <c r="P495" s="143" t="s">
        <v>1409</v>
      </c>
      <c r="Q495" s="143" t="s">
        <v>413</v>
      </c>
      <c r="R495" s="143" t="s">
        <v>407</v>
      </c>
      <c r="S495" s="143" t="s">
        <v>1210</v>
      </c>
      <c r="T495" s="144">
        <v>0.22</v>
      </c>
      <c r="U495" s="143" t="s">
        <v>1638</v>
      </c>
      <c r="V495" s="146">
        <v>0.04</v>
      </c>
      <c r="W495" s="146">
        <v>2.2232999999999999E-2</v>
      </c>
      <c r="X495" s="143" t="s">
        <v>412</v>
      </c>
      <c r="Y495" s="145" t="s">
        <v>3853</v>
      </c>
      <c r="Z495" s="144">
        <v>71925.509999999995</v>
      </c>
      <c r="AA495" s="145" t="s">
        <v>3853</v>
      </c>
      <c r="AB495" s="143" t="s">
        <v>1639</v>
      </c>
      <c r="AC495" s="145" t="s">
        <v>3853</v>
      </c>
      <c r="AD495" s="144">
        <v>82.721500000000006</v>
      </c>
      <c r="AE495" s="145" t="s">
        <v>3853</v>
      </c>
      <c r="AF495" s="145" t="s">
        <v>3853</v>
      </c>
      <c r="AG495" s="145" t="s">
        <v>3853</v>
      </c>
      <c r="AH495" s="146">
        <v>8.8348731719189392E-4</v>
      </c>
      <c r="AI495" s="146">
        <v>9.5420759867474516E-5</v>
      </c>
      <c r="AJ495" s="147">
        <v>1.1020666816014096E-5</v>
      </c>
      <c r="AK495" s="181"/>
    </row>
    <row r="496" spans="1:37" ht="15" x14ac:dyDescent="0.2">
      <c r="A496" s="142" t="s">
        <v>1218</v>
      </c>
      <c r="B496" s="143" t="s">
        <v>1218</v>
      </c>
      <c r="C496" s="143" t="s">
        <v>2052</v>
      </c>
      <c r="D496" s="143" t="s">
        <v>2053</v>
      </c>
      <c r="E496" s="143" t="s">
        <v>309</v>
      </c>
      <c r="F496" s="143" t="s">
        <v>2054</v>
      </c>
      <c r="G496" s="143" t="s">
        <v>2055</v>
      </c>
      <c r="H496" s="143" t="s">
        <v>321</v>
      </c>
      <c r="I496" s="143" t="s">
        <v>754</v>
      </c>
      <c r="J496" s="143" t="s">
        <v>204</v>
      </c>
      <c r="K496" s="143" t="s">
        <v>204</v>
      </c>
      <c r="L496" s="143" t="s">
        <v>325</v>
      </c>
      <c r="M496" s="143" t="s">
        <v>340</v>
      </c>
      <c r="N496" s="143" t="s">
        <v>464</v>
      </c>
      <c r="O496" s="143" t="s">
        <v>339</v>
      </c>
      <c r="P496" s="143" t="s">
        <v>1396</v>
      </c>
      <c r="Q496" s="143" t="s">
        <v>413</v>
      </c>
      <c r="R496" s="143" t="s">
        <v>407</v>
      </c>
      <c r="S496" s="143" t="s">
        <v>1210</v>
      </c>
      <c r="T496" s="144">
        <v>1.94</v>
      </c>
      <c r="U496" s="143" t="s">
        <v>1428</v>
      </c>
      <c r="V496" s="146">
        <v>2.3E-2</v>
      </c>
      <c r="W496" s="146">
        <v>3.0907E-2</v>
      </c>
      <c r="X496" s="143" t="s">
        <v>412</v>
      </c>
      <c r="Y496" s="145" t="s">
        <v>3853</v>
      </c>
      <c r="Z496" s="144">
        <v>0.19</v>
      </c>
      <c r="AA496" s="145" t="s">
        <v>3853</v>
      </c>
      <c r="AB496" s="143" t="s">
        <v>2056</v>
      </c>
      <c r="AC496" s="145" t="s">
        <v>3853</v>
      </c>
      <c r="AD496" s="144">
        <v>2.0000000000000001E-4</v>
      </c>
      <c r="AE496" s="145" t="s">
        <v>3853</v>
      </c>
      <c r="AF496" s="145" t="s">
        <v>3853</v>
      </c>
      <c r="AG496" s="145" t="s">
        <v>3853</v>
      </c>
      <c r="AH496" s="146">
        <v>2.5248632587214091E-9</v>
      </c>
      <c r="AI496" s="146">
        <v>2.4814245162847651E-10</v>
      </c>
      <c r="AJ496" s="147">
        <v>2.8659332477591102E-11</v>
      </c>
      <c r="AK496" s="181"/>
    </row>
    <row r="497" spans="1:37" ht="15" x14ac:dyDescent="0.2">
      <c r="A497" s="142" t="s">
        <v>1218</v>
      </c>
      <c r="B497" s="143" t="s">
        <v>1218</v>
      </c>
      <c r="C497" s="143" t="s">
        <v>2005</v>
      </c>
      <c r="D497" s="143" t="s">
        <v>2006</v>
      </c>
      <c r="E497" s="143" t="s">
        <v>309</v>
      </c>
      <c r="F497" s="143" t="s">
        <v>2007</v>
      </c>
      <c r="G497" s="143" t="s">
        <v>2008</v>
      </c>
      <c r="H497" s="143" t="s">
        <v>321</v>
      </c>
      <c r="I497" s="143" t="s">
        <v>755</v>
      </c>
      <c r="J497" s="143" t="s">
        <v>204</v>
      </c>
      <c r="K497" s="143" t="s">
        <v>233</v>
      </c>
      <c r="L497" s="143" t="s">
        <v>325</v>
      </c>
      <c r="M497" s="143" t="s">
        <v>340</v>
      </c>
      <c r="N497" s="143" t="s">
        <v>465</v>
      </c>
      <c r="O497" s="143" t="s">
        <v>339</v>
      </c>
      <c r="P497" s="143" t="s">
        <v>1359</v>
      </c>
      <c r="Q497" s="143" t="s">
        <v>415</v>
      </c>
      <c r="R497" s="143" t="s">
        <v>407</v>
      </c>
      <c r="S497" s="143" t="s">
        <v>1210</v>
      </c>
      <c r="T497" s="144">
        <v>3.09</v>
      </c>
      <c r="U497" s="143" t="s">
        <v>2009</v>
      </c>
      <c r="V497" s="146">
        <v>4.2999999999999997E-2</v>
      </c>
      <c r="W497" s="146">
        <v>8.4699999999999998E-2</v>
      </c>
      <c r="X497" s="143" t="s">
        <v>412</v>
      </c>
      <c r="Y497" s="145" t="s">
        <v>3853</v>
      </c>
      <c r="Z497" s="144">
        <v>3462222.23</v>
      </c>
      <c r="AA497" s="145" t="s">
        <v>3853</v>
      </c>
      <c r="AB497" s="143" t="s">
        <v>2010</v>
      </c>
      <c r="AC497" s="145" t="s">
        <v>3853</v>
      </c>
      <c r="AD497" s="144">
        <v>3139.1968999999999</v>
      </c>
      <c r="AE497" s="145" t="s">
        <v>3853</v>
      </c>
      <c r="AF497" s="145" t="s">
        <v>3853</v>
      </c>
      <c r="AG497" s="145" t="s">
        <v>3853</v>
      </c>
      <c r="AH497" s="146">
        <v>3.0752415901991168E-3</v>
      </c>
      <c r="AI497" s="146">
        <v>3.6211196362150228E-3</v>
      </c>
      <c r="AJ497" s="147">
        <v>4.1822296392396305E-4</v>
      </c>
      <c r="AK497" s="181"/>
    </row>
    <row r="498" spans="1:37" ht="15" x14ac:dyDescent="0.2">
      <c r="A498" s="142" t="s">
        <v>1218</v>
      </c>
      <c r="B498" s="143" t="s">
        <v>1218</v>
      </c>
      <c r="C498" s="143" t="s">
        <v>2011</v>
      </c>
      <c r="D498" s="143" t="s">
        <v>2012</v>
      </c>
      <c r="E498" s="143" t="s">
        <v>309</v>
      </c>
      <c r="F498" s="143" t="s">
        <v>2013</v>
      </c>
      <c r="G498" s="143" t="s">
        <v>2014</v>
      </c>
      <c r="H498" s="143" t="s">
        <v>321</v>
      </c>
      <c r="I498" s="143" t="s">
        <v>755</v>
      </c>
      <c r="J498" s="143" t="s">
        <v>204</v>
      </c>
      <c r="K498" s="143" t="s">
        <v>204</v>
      </c>
      <c r="L498" s="143" t="s">
        <v>325</v>
      </c>
      <c r="M498" s="143" t="s">
        <v>340</v>
      </c>
      <c r="N498" s="143" t="s">
        <v>480</v>
      </c>
      <c r="O498" s="143" t="s">
        <v>339</v>
      </c>
      <c r="P498" s="143" t="s">
        <v>1347</v>
      </c>
      <c r="Q498" s="143" t="s">
        <v>413</v>
      </c>
      <c r="R498" s="143" t="s">
        <v>407</v>
      </c>
      <c r="S498" s="143" t="s">
        <v>1210</v>
      </c>
      <c r="T498" s="144">
        <v>0.98</v>
      </c>
      <c r="U498" s="143" t="s">
        <v>2015</v>
      </c>
      <c r="V498" s="146">
        <v>3.3700000000000001E-2</v>
      </c>
      <c r="W498" s="146">
        <v>6.4588000000000007E-2</v>
      </c>
      <c r="X498" s="143" t="s">
        <v>412</v>
      </c>
      <c r="Y498" s="145" t="s">
        <v>3853</v>
      </c>
      <c r="Z498" s="144">
        <v>0.12</v>
      </c>
      <c r="AA498" s="145" t="s">
        <v>3853</v>
      </c>
      <c r="AB498" s="143" t="s">
        <v>2016</v>
      </c>
      <c r="AC498" s="145" t="s">
        <v>3853</v>
      </c>
      <c r="AD498" s="144">
        <v>1E-4</v>
      </c>
      <c r="AE498" s="145" t="s">
        <v>3853</v>
      </c>
      <c r="AF498" s="145" t="s">
        <v>3853</v>
      </c>
      <c r="AG498" s="145" t="s">
        <v>3853</v>
      </c>
      <c r="AH498" s="146">
        <v>8.5714285714285718E-10</v>
      </c>
      <c r="AI498" s="146">
        <v>1.4297622976434518E-10</v>
      </c>
      <c r="AJ498" s="147">
        <v>1.6513108814383092E-11</v>
      </c>
      <c r="AK498" s="181"/>
    </row>
    <row r="499" spans="1:37" ht="15" x14ac:dyDescent="0.2">
      <c r="A499" s="142" t="s">
        <v>1218</v>
      </c>
      <c r="B499" s="143" t="s">
        <v>1218</v>
      </c>
      <c r="C499" s="143" t="s">
        <v>2017</v>
      </c>
      <c r="D499" s="143" t="s">
        <v>2018</v>
      </c>
      <c r="E499" s="143" t="s">
        <v>313</v>
      </c>
      <c r="F499" s="143" t="s">
        <v>2019</v>
      </c>
      <c r="G499" s="143" t="s">
        <v>2020</v>
      </c>
      <c r="H499" s="143" t="s">
        <v>321</v>
      </c>
      <c r="I499" s="143" t="s">
        <v>755</v>
      </c>
      <c r="J499" s="143" t="s">
        <v>205</v>
      </c>
      <c r="K499" s="143" t="s">
        <v>268</v>
      </c>
      <c r="L499" s="143" t="s">
        <v>325</v>
      </c>
      <c r="M499" s="143" t="s">
        <v>364</v>
      </c>
      <c r="N499" s="143" t="s">
        <v>539</v>
      </c>
      <c r="O499" s="143" t="s">
        <v>339</v>
      </c>
      <c r="P499" s="143" t="s">
        <v>2021</v>
      </c>
      <c r="Q499" s="143" t="s">
        <v>423</v>
      </c>
      <c r="R499" s="143" t="s">
        <v>407</v>
      </c>
      <c r="S499" s="143" t="s">
        <v>1211</v>
      </c>
      <c r="T499" s="144">
        <v>2.645</v>
      </c>
      <c r="U499" s="143" t="s">
        <v>2022</v>
      </c>
      <c r="V499" s="146">
        <v>5.6250000000000001E-2</v>
      </c>
      <c r="W499" s="146">
        <v>8.7309999999999999E-2</v>
      </c>
      <c r="X499" s="143" t="s">
        <v>412</v>
      </c>
      <c r="Y499" s="145" t="s">
        <v>3853</v>
      </c>
      <c r="Z499" s="144">
        <v>2500000</v>
      </c>
      <c r="AA499" s="143" t="s">
        <v>1212</v>
      </c>
      <c r="AB499" s="143" t="s">
        <v>2023</v>
      </c>
      <c r="AC499" s="145" t="s">
        <v>3853</v>
      </c>
      <c r="AD499" s="144">
        <v>9718.3684000000012</v>
      </c>
      <c r="AE499" s="145" t="s">
        <v>3853</v>
      </c>
      <c r="AF499" s="145" t="s">
        <v>3853</v>
      </c>
      <c r="AG499" s="145" t="s">
        <v>3853</v>
      </c>
      <c r="AH499" s="146">
        <v>3.1250000000000002E-3</v>
      </c>
      <c r="AI499" s="146">
        <v>1.1210311312759617E-2</v>
      </c>
      <c r="AJ499" s="147">
        <v>1.2947403275063354E-3</v>
      </c>
      <c r="AK499" s="181"/>
    </row>
    <row r="500" spans="1:37" ht="15" x14ac:dyDescent="0.2">
      <c r="A500" s="142" t="s">
        <v>1218</v>
      </c>
      <c r="B500" s="143" t="s">
        <v>1218</v>
      </c>
      <c r="C500" s="143" t="s">
        <v>2024</v>
      </c>
      <c r="D500" s="143" t="s">
        <v>2025</v>
      </c>
      <c r="E500" s="143" t="s">
        <v>313</v>
      </c>
      <c r="F500" s="143" t="s">
        <v>2026</v>
      </c>
      <c r="G500" s="143" t="s">
        <v>2027</v>
      </c>
      <c r="H500" s="143" t="s">
        <v>321</v>
      </c>
      <c r="I500" s="143" t="s">
        <v>755</v>
      </c>
      <c r="J500" s="143" t="s">
        <v>205</v>
      </c>
      <c r="K500" s="143" t="s">
        <v>224</v>
      </c>
      <c r="L500" s="143" t="s">
        <v>325</v>
      </c>
      <c r="M500" s="143" t="s">
        <v>344</v>
      </c>
      <c r="N500" s="143" t="s">
        <v>539</v>
      </c>
      <c r="O500" s="143" t="s">
        <v>339</v>
      </c>
      <c r="P500" s="143" t="s">
        <v>2028</v>
      </c>
      <c r="Q500" s="143" t="s">
        <v>421</v>
      </c>
      <c r="R500" s="143" t="s">
        <v>407</v>
      </c>
      <c r="S500" s="143" t="s">
        <v>1211</v>
      </c>
      <c r="T500" s="144">
        <v>1.93</v>
      </c>
      <c r="U500" s="143" t="s">
        <v>2029</v>
      </c>
      <c r="V500" s="146">
        <v>3.4500000000000003E-2</v>
      </c>
      <c r="W500" s="146">
        <v>5.7880000000000001E-2</v>
      </c>
      <c r="X500" s="143" t="s">
        <v>412</v>
      </c>
      <c r="Y500" s="145" t="s">
        <v>3853</v>
      </c>
      <c r="Z500" s="144">
        <v>2500000</v>
      </c>
      <c r="AA500" s="143" t="s">
        <v>1212</v>
      </c>
      <c r="AB500" s="143" t="s">
        <v>2030</v>
      </c>
      <c r="AC500" s="145" t="s">
        <v>3853</v>
      </c>
      <c r="AD500" s="144">
        <v>9107.1773000000012</v>
      </c>
      <c r="AE500" s="145" t="s">
        <v>3853</v>
      </c>
      <c r="AF500" s="145" t="s">
        <v>3853</v>
      </c>
      <c r="AG500" s="145" t="s">
        <v>3853</v>
      </c>
      <c r="AH500" s="146">
        <v>2.5000000000000001E-3</v>
      </c>
      <c r="AI500" s="146">
        <v>1.0505291564003073E-2</v>
      </c>
      <c r="AJ500" s="147">
        <v>1.2133137306049174E-3</v>
      </c>
      <c r="AK500" s="181"/>
    </row>
    <row r="501" spans="1:37" ht="15" x14ac:dyDescent="0.2">
      <c r="A501" s="142" t="s">
        <v>1218</v>
      </c>
      <c r="B501" s="143" t="s">
        <v>1218</v>
      </c>
      <c r="C501" s="143" t="s">
        <v>2031</v>
      </c>
      <c r="D501" s="143" t="s">
        <v>2032</v>
      </c>
      <c r="E501" s="143" t="s">
        <v>313</v>
      </c>
      <c r="F501" s="143" t="s">
        <v>2033</v>
      </c>
      <c r="G501" s="143" t="s">
        <v>2034</v>
      </c>
      <c r="H501" s="143" t="s">
        <v>321</v>
      </c>
      <c r="I501" s="143" t="s">
        <v>755</v>
      </c>
      <c r="J501" s="143" t="s">
        <v>205</v>
      </c>
      <c r="K501" s="143" t="s">
        <v>233</v>
      </c>
      <c r="L501" s="143" t="s">
        <v>325</v>
      </c>
      <c r="M501" s="143" t="s">
        <v>388</v>
      </c>
      <c r="N501" s="143" t="s">
        <v>549</v>
      </c>
      <c r="O501" s="143" t="s">
        <v>339</v>
      </c>
      <c r="P501" s="143" t="s">
        <v>2035</v>
      </c>
      <c r="Q501" s="143" t="s">
        <v>433</v>
      </c>
      <c r="R501" s="143" t="s">
        <v>407</v>
      </c>
      <c r="S501" s="143" t="s">
        <v>1211</v>
      </c>
      <c r="T501" s="144">
        <v>0.249</v>
      </c>
      <c r="U501" s="143" t="s">
        <v>1341</v>
      </c>
      <c r="V501" s="146">
        <v>6.25E-2</v>
      </c>
      <c r="W501" s="146">
        <v>7.2520000000000001E-2</v>
      </c>
      <c r="X501" s="143" t="s">
        <v>412</v>
      </c>
      <c r="Y501" s="145" t="s">
        <v>3853</v>
      </c>
      <c r="Z501" s="144">
        <v>1516000</v>
      </c>
      <c r="AA501" s="143" t="s">
        <v>1212</v>
      </c>
      <c r="AB501" s="143" t="s">
        <v>2036</v>
      </c>
      <c r="AC501" s="145" t="s">
        <v>3853</v>
      </c>
      <c r="AD501" s="144">
        <v>5961.1812</v>
      </c>
      <c r="AE501" s="145" t="s">
        <v>3853</v>
      </c>
      <c r="AF501" s="145" t="s">
        <v>3853</v>
      </c>
      <c r="AG501" s="145" t="s">
        <v>3853</v>
      </c>
      <c r="AH501" s="146">
        <v>1.1661538461538461E-3</v>
      </c>
      <c r="AI501" s="146">
        <v>6.8763288812603773E-3</v>
      </c>
      <c r="AJ501" s="147">
        <v>7.9418493022855106E-4</v>
      </c>
      <c r="AK501" s="181"/>
    </row>
    <row r="502" spans="1:37" ht="15" x14ac:dyDescent="0.2">
      <c r="A502" s="148" t="s">
        <v>1218</v>
      </c>
      <c r="B502" s="149" t="s">
        <v>1218</v>
      </c>
      <c r="C502" s="149" t="s">
        <v>1851</v>
      </c>
      <c r="D502" s="149" t="s">
        <v>1852</v>
      </c>
      <c r="E502" s="149" t="s">
        <v>309</v>
      </c>
      <c r="F502" s="149" t="s">
        <v>2037</v>
      </c>
      <c r="G502" s="149" t="s">
        <v>2038</v>
      </c>
      <c r="H502" s="149" t="s">
        <v>321</v>
      </c>
      <c r="I502" s="149" t="s">
        <v>952</v>
      </c>
      <c r="J502" s="149" t="s">
        <v>204</v>
      </c>
      <c r="K502" s="149" t="s">
        <v>204</v>
      </c>
      <c r="L502" s="149" t="s">
        <v>325</v>
      </c>
      <c r="M502" s="149" t="s">
        <v>340</v>
      </c>
      <c r="N502" s="149" t="s">
        <v>441</v>
      </c>
      <c r="O502" s="149" t="s">
        <v>339</v>
      </c>
      <c r="P502" s="151" t="s">
        <v>3853</v>
      </c>
      <c r="Q502" s="149" t="s">
        <v>410</v>
      </c>
      <c r="R502" s="149" t="s">
        <v>410</v>
      </c>
      <c r="S502" s="149" t="s">
        <v>1210</v>
      </c>
      <c r="T502" s="150">
        <v>4.08</v>
      </c>
      <c r="U502" s="149" t="s">
        <v>1694</v>
      </c>
      <c r="V502" s="152">
        <v>0.05</v>
      </c>
      <c r="W502" s="152">
        <v>5.0389000000000003E-2</v>
      </c>
      <c r="X502" s="149" t="s">
        <v>412</v>
      </c>
      <c r="Y502" s="151" t="s">
        <v>3853</v>
      </c>
      <c r="Z502" s="150">
        <v>5913000</v>
      </c>
      <c r="AA502" s="151" t="s">
        <v>3853</v>
      </c>
      <c r="AB502" s="149" t="s">
        <v>2039</v>
      </c>
      <c r="AC502" s="151" t="s">
        <v>3853</v>
      </c>
      <c r="AD502" s="150">
        <v>5918.9129999999996</v>
      </c>
      <c r="AE502" s="151" t="s">
        <v>3853</v>
      </c>
      <c r="AF502" s="151" t="s">
        <v>3853</v>
      </c>
      <c r="AG502" s="151" t="s">
        <v>3853</v>
      </c>
      <c r="AH502" s="152">
        <v>1.4508649245491351E-2</v>
      </c>
      <c r="AI502" s="152">
        <v>6.8275717643138225E-3</v>
      </c>
      <c r="AJ502" s="153">
        <v>7.8855370342294088E-4</v>
      </c>
      <c r="AK502" s="181"/>
    </row>
    <row r="503" spans="1:37" x14ac:dyDescent="0.2">
      <c r="A503" s="181" t="s">
        <v>3870</v>
      </c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  <c r="AD503" s="181"/>
      <c r="AE503" s="181"/>
      <c r="AF503" s="181"/>
      <c r="AG503" s="181"/>
      <c r="AH503" s="181"/>
      <c r="AI503" s="181"/>
      <c r="AJ503" s="181"/>
    </row>
    <row r="504" spans="1:37" x14ac:dyDescent="0.2">
      <c r="A504" s="2" t="s">
        <v>3869</v>
      </c>
    </row>
    <row r="505" spans="1:37" x14ac:dyDescent="0.2">
      <c r="A505" s="17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03:AJ503"/>
    <mergeCell ref="AK2:AK502"/>
  </mergeCells>
  <dataValidations count="12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73"/>
  <sheetViews>
    <sheetView rightToLeft="1" topLeftCell="R2" workbookViewId="0">
      <selection activeCell="U8" sqref="U8"/>
    </sheetView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3.875" style="4" bestFit="1" customWidth="1"/>
    <col min="4" max="4" width="25.5" style="4" bestFit="1" customWidth="1"/>
    <col min="5" max="5" width="18.125" style="4" customWidth="1"/>
    <col min="6" max="6" width="32.25" style="4" bestFit="1" customWidth="1"/>
    <col min="7" max="7" width="14.37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2" customWidth="1"/>
    <col min="13" max="13" width="11" style="2" bestFit="1" customWidth="1"/>
    <col min="14" max="14" width="39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3878</v>
      </c>
    </row>
    <row r="2" spans="1:25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83</v>
      </c>
      <c r="O2" s="140" t="s">
        <v>56</v>
      </c>
      <c r="P2" s="140" t="s">
        <v>59</v>
      </c>
      <c r="Q2" s="140" t="s">
        <v>76</v>
      </c>
      <c r="R2" s="140" t="s">
        <v>61</v>
      </c>
      <c r="S2" s="140" t="s">
        <v>77</v>
      </c>
      <c r="T2" s="140" t="s">
        <v>75</v>
      </c>
      <c r="U2" s="140" t="s">
        <v>63</v>
      </c>
      <c r="V2" s="140" t="s">
        <v>79</v>
      </c>
      <c r="W2" s="140" t="s">
        <v>64</v>
      </c>
      <c r="X2" s="141" t="s">
        <v>65</v>
      </c>
      <c r="Y2" s="183" t="s">
        <v>3871</v>
      </c>
    </row>
    <row r="3" spans="1:25" ht="15" x14ac:dyDescent="0.2">
      <c r="A3" s="142" t="s">
        <v>1205</v>
      </c>
      <c r="B3" s="143" t="s">
        <v>1205</v>
      </c>
      <c r="C3" s="143" t="s">
        <v>2057</v>
      </c>
      <c r="D3" s="143" t="s">
        <v>2058</v>
      </c>
      <c r="E3" s="143" t="s">
        <v>309</v>
      </c>
      <c r="F3" s="143" t="s">
        <v>2059</v>
      </c>
      <c r="G3" s="143" t="s">
        <v>2060</v>
      </c>
      <c r="H3" s="143" t="s">
        <v>321</v>
      </c>
      <c r="I3" s="143" t="s">
        <v>917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467</v>
      </c>
      <c r="O3" s="143" t="s">
        <v>339</v>
      </c>
      <c r="P3" s="143" t="s">
        <v>1210</v>
      </c>
      <c r="Q3" s="144">
        <v>103098</v>
      </c>
      <c r="R3" s="145" t="s">
        <v>3853</v>
      </c>
      <c r="S3" s="143" t="s">
        <v>2061</v>
      </c>
      <c r="T3" s="145" t="s">
        <v>3853</v>
      </c>
      <c r="U3" s="144">
        <v>6309.5976000000001</v>
      </c>
      <c r="V3" s="146">
        <v>8.325134034270353E-5</v>
      </c>
      <c r="W3" s="146">
        <v>4.4959598964985456E-2</v>
      </c>
      <c r="X3" s="147">
        <v>9.5268541619930175E-3</v>
      </c>
      <c r="Y3" s="183"/>
    </row>
    <row r="4" spans="1:25" ht="15" x14ac:dyDescent="0.2">
      <c r="A4" s="142" t="s">
        <v>1205</v>
      </c>
      <c r="B4" s="143" t="s">
        <v>1205</v>
      </c>
      <c r="C4" s="143" t="s">
        <v>1568</v>
      </c>
      <c r="D4" s="143" t="s">
        <v>1569</v>
      </c>
      <c r="E4" s="143" t="s">
        <v>309</v>
      </c>
      <c r="F4" s="143" t="s">
        <v>2062</v>
      </c>
      <c r="G4" s="143" t="s">
        <v>2063</v>
      </c>
      <c r="H4" s="143" t="s">
        <v>321</v>
      </c>
      <c r="I4" s="143" t="s">
        <v>917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448</v>
      </c>
      <c r="O4" s="143" t="s">
        <v>339</v>
      </c>
      <c r="P4" s="143" t="s">
        <v>1210</v>
      </c>
      <c r="Q4" s="144">
        <v>131690</v>
      </c>
      <c r="R4" s="145" t="s">
        <v>3853</v>
      </c>
      <c r="S4" s="143" t="s">
        <v>2064</v>
      </c>
      <c r="T4" s="145" t="s">
        <v>3853</v>
      </c>
      <c r="U4" s="144">
        <v>4431.3684999999996</v>
      </c>
      <c r="V4" s="146">
        <v>9.8446394196541334E-5</v>
      </c>
      <c r="W4" s="146">
        <v>3.1576110436277137E-2</v>
      </c>
      <c r="X4" s="147">
        <v>6.6909182033335624E-3</v>
      </c>
      <c r="Y4" s="183"/>
    </row>
    <row r="5" spans="1:25" ht="15" x14ac:dyDescent="0.2">
      <c r="A5" s="142" t="s">
        <v>1205</v>
      </c>
      <c r="B5" s="143" t="s">
        <v>1205</v>
      </c>
      <c r="C5" s="143" t="s">
        <v>2065</v>
      </c>
      <c r="D5" s="143" t="s">
        <v>2066</v>
      </c>
      <c r="E5" s="143" t="s">
        <v>309</v>
      </c>
      <c r="F5" s="143" t="s">
        <v>2067</v>
      </c>
      <c r="G5" s="143" t="s">
        <v>2068</v>
      </c>
      <c r="H5" s="143" t="s">
        <v>321</v>
      </c>
      <c r="I5" s="143" t="s">
        <v>917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480</v>
      </c>
      <c r="O5" s="143" t="s">
        <v>339</v>
      </c>
      <c r="P5" s="143" t="s">
        <v>1210</v>
      </c>
      <c r="Q5" s="144">
        <v>5624</v>
      </c>
      <c r="R5" s="145" t="s">
        <v>3853</v>
      </c>
      <c r="S5" s="143" t="s">
        <v>2069</v>
      </c>
      <c r="T5" s="145" t="s">
        <v>3853</v>
      </c>
      <c r="U5" s="144">
        <v>3621.8560000000002</v>
      </c>
      <c r="V5" s="146">
        <v>7.5212477589550289E-5</v>
      </c>
      <c r="W5" s="146">
        <v>2.5807857107864752E-2</v>
      </c>
      <c r="X5" s="147">
        <v>5.4686362102932496E-3</v>
      </c>
      <c r="Y5" s="183"/>
    </row>
    <row r="6" spans="1:25" ht="15" x14ac:dyDescent="0.2">
      <c r="A6" s="142" t="s">
        <v>1205</v>
      </c>
      <c r="B6" s="143" t="s">
        <v>1205</v>
      </c>
      <c r="C6" s="143" t="s">
        <v>1481</v>
      </c>
      <c r="D6" s="143" t="s">
        <v>1482</v>
      </c>
      <c r="E6" s="143" t="s">
        <v>309</v>
      </c>
      <c r="F6" s="143" t="s">
        <v>2070</v>
      </c>
      <c r="G6" s="143" t="s">
        <v>2071</v>
      </c>
      <c r="H6" s="143" t="s">
        <v>321</v>
      </c>
      <c r="I6" s="143" t="s">
        <v>917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448</v>
      </c>
      <c r="O6" s="143" t="s">
        <v>339</v>
      </c>
      <c r="P6" s="143" t="s">
        <v>1210</v>
      </c>
      <c r="Q6" s="144">
        <v>96618</v>
      </c>
      <c r="R6" s="145" t="s">
        <v>3853</v>
      </c>
      <c r="S6" s="143" t="s">
        <v>2072</v>
      </c>
      <c r="T6" s="145" t="s">
        <v>3853</v>
      </c>
      <c r="U6" s="144">
        <v>3004.8197999999998</v>
      </c>
      <c r="V6" s="146">
        <v>5.9802082514154371E-5</v>
      </c>
      <c r="W6" s="146">
        <v>2.1411110776707504E-2</v>
      </c>
      <c r="X6" s="147">
        <v>4.5369739613298045E-3</v>
      </c>
      <c r="Y6" s="183"/>
    </row>
    <row r="7" spans="1:25" ht="15" x14ac:dyDescent="0.2">
      <c r="A7" s="142" t="s">
        <v>1205</v>
      </c>
      <c r="B7" s="143" t="s">
        <v>1205</v>
      </c>
      <c r="C7" s="143" t="s">
        <v>2073</v>
      </c>
      <c r="D7" s="143" t="s">
        <v>2074</v>
      </c>
      <c r="E7" s="143" t="s">
        <v>309</v>
      </c>
      <c r="F7" s="143" t="s">
        <v>2075</v>
      </c>
      <c r="G7" s="143" t="s">
        <v>2076</v>
      </c>
      <c r="H7" s="143" t="s">
        <v>321</v>
      </c>
      <c r="I7" s="143" t="s">
        <v>917</v>
      </c>
      <c r="J7" s="143" t="s">
        <v>204</v>
      </c>
      <c r="K7" s="143" t="s">
        <v>204</v>
      </c>
      <c r="L7" s="143" t="s">
        <v>327</v>
      </c>
      <c r="M7" s="143" t="s">
        <v>340</v>
      </c>
      <c r="N7" s="143" t="s">
        <v>441</v>
      </c>
      <c r="O7" s="143" t="s">
        <v>339</v>
      </c>
      <c r="P7" s="143" t="s">
        <v>1210</v>
      </c>
      <c r="Q7" s="144">
        <v>212800</v>
      </c>
      <c r="R7" s="145" t="s">
        <v>3853</v>
      </c>
      <c r="S7" s="143" t="s">
        <v>2077</v>
      </c>
      <c r="T7" s="145" t="s">
        <v>3853</v>
      </c>
      <c r="U7" s="144">
        <v>2964.3040000000001</v>
      </c>
      <c r="V7" s="146">
        <v>3.2733022820823619E-3</v>
      </c>
      <c r="W7" s="146">
        <v>2.1122411839750645E-2</v>
      </c>
      <c r="X7" s="147">
        <v>4.4757992014914788E-3</v>
      </c>
      <c r="Y7" s="183"/>
    </row>
    <row r="8" spans="1:25" ht="15" x14ac:dyDescent="0.2">
      <c r="A8" s="142" t="s">
        <v>1205</v>
      </c>
      <c r="B8" s="143" t="s">
        <v>1205</v>
      </c>
      <c r="C8" s="143" t="s">
        <v>2078</v>
      </c>
      <c r="D8" s="143" t="s">
        <v>2079</v>
      </c>
      <c r="E8" s="143" t="s">
        <v>309</v>
      </c>
      <c r="F8" s="143" t="s">
        <v>2080</v>
      </c>
      <c r="G8" s="143" t="s">
        <v>2081</v>
      </c>
      <c r="H8" s="143" t="s">
        <v>321</v>
      </c>
      <c r="I8" s="143" t="s">
        <v>917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448</v>
      </c>
      <c r="O8" s="143" t="s">
        <v>339</v>
      </c>
      <c r="P8" s="143" t="s">
        <v>1210</v>
      </c>
      <c r="Q8" s="144">
        <v>17830</v>
      </c>
      <c r="R8" s="145" t="s">
        <v>3853</v>
      </c>
      <c r="S8" s="143" t="s">
        <v>2082</v>
      </c>
      <c r="T8" s="145" t="s">
        <v>3853</v>
      </c>
      <c r="U8" s="144">
        <v>2569.3029999999999</v>
      </c>
      <c r="V8" s="146">
        <v>1.7771347444892876E-4</v>
      </c>
      <c r="W8" s="146">
        <v>1.8307797077191424E-2</v>
      </c>
      <c r="X8" s="147">
        <v>3.879387645730553E-3</v>
      </c>
      <c r="Y8" s="183"/>
    </row>
    <row r="9" spans="1:25" ht="15" x14ac:dyDescent="0.2">
      <c r="A9" s="142" t="s">
        <v>1205</v>
      </c>
      <c r="B9" s="143" t="s">
        <v>1205</v>
      </c>
      <c r="C9" s="143" t="s">
        <v>2083</v>
      </c>
      <c r="D9" s="143" t="s">
        <v>2084</v>
      </c>
      <c r="E9" s="143" t="s">
        <v>309</v>
      </c>
      <c r="F9" s="143" t="s">
        <v>2085</v>
      </c>
      <c r="G9" s="143" t="s">
        <v>2086</v>
      </c>
      <c r="H9" s="143" t="s">
        <v>321</v>
      </c>
      <c r="I9" s="143" t="s">
        <v>917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448</v>
      </c>
      <c r="O9" s="143" t="s">
        <v>339</v>
      </c>
      <c r="P9" s="143" t="s">
        <v>1210</v>
      </c>
      <c r="Q9" s="144">
        <v>128349</v>
      </c>
      <c r="R9" s="145" t="s">
        <v>3853</v>
      </c>
      <c r="S9" s="143" t="s">
        <v>2087</v>
      </c>
      <c r="T9" s="145" t="s">
        <v>3853</v>
      </c>
      <c r="U9" s="144">
        <v>2450.1823999999997</v>
      </c>
      <c r="V9" s="146">
        <v>1.0375733893966964E-4</v>
      </c>
      <c r="W9" s="146">
        <v>1.7458992716851161E-2</v>
      </c>
      <c r="X9" s="147">
        <v>3.6995276038444326E-3</v>
      </c>
      <c r="Y9" s="183"/>
    </row>
    <row r="10" spans="1:25" ht="15" x14ac:dyDescent="0.2">
      <c r="A10" s="142" t="s">
        <v>1205</v>
      </c>
      <c r="B10" s="143" t="s">
        <v>1205</v>
      </c>
      <c r="C10" s="143" t="s">
        <v>2088</v>
      </c>
      <c r="D10" s="143" t="s">
        <v>2089</v>
      </c>
      <c r="E10" s="143" t="s">
        <v>309</v>
      </c>
      <c r="F10" s="143" t="s">
        <v>2090</v>
      </c>
      <c r="G10" s="143" t="s">
        <v>2091</v>
      </c>
      <c r="H10" s="143" t="s">
        <v>321</v>
      </c>
      <c r="I10" s="143" t="s">
        <v>917</v>
      </c>
      <c r="J10" s="143" t="s">
        <v>204</v>
      </c>
      <c r="K10" s="143" t="s">
        <v>204</v>
      </c>
      <c r="L10" s="143" t="s">
        <v>325</v>
      </c>
      <c r="M10" s="143" t="s">
        <v>340</v>
      </c>
      <c r="N10" s="143" t="s">
        <v>448</v>
      </c>
      <c r="O10" s="143" t="s">
        <v>339</v>
      </c>
      <c r="P10" s="143" t="s">
        <v>1210</v>
      </c>
      <c r="Q10" s="144">
        <v>17545</v>
      </c>
      <c r="R10" s="145" t="s">
        <v>3853</v>
      </c>
      <c r="S10" s="143" t="s">
        <v>2092</v>
      </c>
      <c r="T10" s="145" t="s">
        <v>3853</v>
      </c>
      <c r="U10" s="144">
        <v>2294.886</v>
      </c>
      <c r="V10" s="146">
        <v>6.7928616327885162E-5</v>
      </c>
      <c r="W10" s="146">
        <v>1.6352414333104161E-2</v>
      </c>
      <c r="X10" s="147">
        <v>3.4650457329322409E-3</v>
      </c>
      <c r="Y10" s="183"/>
    </row>
    <row r="11" spans="1:25" ht="15" x14ac:dyDescent="0.2">
      <c r="A11" s="142" t="s">
        <v>1205</v>
      </c>
      <c r="B11" s="143" t="s">
        <v>1205</v>
      </c>
      <c r="C11" s="143" t="s">
        <v>1831</v>
      </c>
      <c r="D11" s="143" t="s">
        <v>1832</v>
      </c>
      <c r="E11" s="143" t="s">
        <v>309</v>
      </c>
      <c r="F11" s="143" t="s">
        <v>2093</v>
      </c>
      <c r="G11" s="143" t="s">
        <v>2094</v>
      </c>
      <c r="H11" s="143" t="s">
        <v>321</v>
      </c>
      <c r="I11" s="143" t="s">
        <v>917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454</v>
      </c>
      <c r="O11" s="143" t="s">
        <v>339</v>
      </c>
      <c r="P11" s="143" t="s">
        <v>1210</v>
      </c>
      <c r="Q11" s="144">
        <v>48986</v>
      </c>
      <c r="R11" s="145" t="s">
        <v>3853</v>
      </c>
      <c r="S11" s="143" t="s">
        <v>2095</v>
      </c>
      <c r="T11" s="145" t="s">
        <v>3853</v>
      </c>
      <c r="U11" s="144">
        <v>2289.6055999999999</v>
      </c>
      <c r="V11" s="146">
        <v>4.9007747678109638E-4</v>
      </c>
      <c r="W11" s="146">
        <v>1.6314788658213144E-2</v>
      </c>
      <c r="X11" s="147">
        <v>3.4570729234391566E-3</v>
      </c>
      <c r="Y11" s="183"/>
    </row>
    <row r="12" spans="1:25" ht="15" x14ac:dyDescent="0.2">
      <c r="A12" s="142" t="s">
        <v>1205</v>
      </c>
      <c r="B12" s="143" t="s">
        <v>1205</v>
      </c>
      <c r="C12" s="143" t="s">
        <v>2096</v>
      </c>
      <c r="D12" s="143" t="s">
        <v>2097</v>
      </c>
      <c r="E12" s="143" t="s">
        <v>309</v>
      </c>
      <c r="F12" s="143" t="s">
        <v>2098</v>
      </c>
      <c r="G12" s="143" t="s">
        <v>2099</v>
      </c>
      <c r="H12" s="143" t="s">
        <v>321</v>
      </c>
      <c r="I12" s="143" t="s">
        <v>917</v>
      </c>
      <c r="J12" s="143" t="s">
        <v>204</v>
      </c>
      <c r="K12" s="143" t="s">
        <v>204</v>
      </c>
      <c r="L12" s="143" t="s">
        <v>325</v>
      </c>
      <c r="M12" s="143" t="s">
        <v>340</v>
      </c>
      <c r="N12" s="143" t="s">
        <v>441</v>
      </c>
      <c r="O12" s="143" t="s">
        <v>339</v>
      </c>
      <c r="P12" s="143" t="s">
        <v>1210</v>
      </c>
      <c r="Q12" s="144">
        <v>35836.699999999997</v>
      </c>
      <c r="R12" s="145" t="s">
        <v>3853</v>
      </c>
      <c r="S12" s="143" t="s">
        <v>2100</v>
      </c>
      <c r="T12" s="145" t="s">
        <v>3853</v>
      </c>
      <c r="U12" s="144">
        <v>2148.6590000000001</v>
      </c>
      <c r="V12" s="146">
        <v>3.1005165119437982E-4</v>
      </c>
      <c r="W12" s="146">
        <v>1.5310460681737839E-2</v>
      </c>
      <c r="X12" s="147">
        <v>3.2442577208360063E-3</v>
      </c>
      <c r="Y12" s="183"/>
    </row>
    <row r="13" spans="1:25" ht="15" x14ac:dyDescent="0.2">
      <c r="A13" s="142" t="s">
        <v>1205</v>
      </c>
      <c r="B13" s="143" t="s">
        <v>1205</v>
      </c>
      <c r="C13" s="143" t="s">
        <v>2101</v>
      </c>
      <c r="D13" s="143" t="s">
        <v>2102</v>
      </c>
      <c r="E13" s="143" t="s">
        <v>313</v>
      </c>
      <c r="F13" s="143" t="s">
        <v>2103</v>
      </c>
      <c r="G13" s="143" t="s">
        <v>2104</v>
      </c>
      <c r="H13" s="143" t="s">
        <v>321</v>
      </c>
      <c r="I13" s="143" t="s">
        <v>917</v>
      </c>
      <c r="J13" s="143" t="s">
        <v>204</v>
      </c>
      <c r="K13" s="143" t="s">
        <v>204</v>
      </c>
      <c r="L13" s="143" t="s">
        <v>325</v>
      </c>
      <c r="M13" s="143" t="s">
        <v>340</v>
      </c>
      <c r="N13" s="143" t="s">
        <v>454</v>
      </c>
      <c r="O13" s="143" t="s">
        <v>339</v>
      </c>
      <c r="P13" s="143" t="s">
        <v>1210</v>
      </c>
      <c r="Q13" s="144">
        <v>35360</v>
      </c>
      <c r="R13" s="145" t="s">
        <v>3853</v>
      </c>
      <c r="S13" s="143" t="s">
        <v>2105</v>
      </c>
      <c r="T13" s="144">
        <v>39.875500000000002</v>
      </c>
      <c r="U13" s="144">
        <v>1677.2441000000001</v>
      </c>
      <c r="V13" s="146">
        <v>1.9860593908144753E-4</v>
      </c>
      <c r="W13" s="146">
        <v>1.2235488102136229E-2</v>
      </c>
      <c r="X13" s="147">
        <v>2.592676835054378E-3</v>
      </c>
      <c r="Y13" s="183"/>
    </row>
    <row r="14" spans="1:25" ht="15" x14ac:dyDescent="0.2">
      <c r="A14" s="142" t="s">
        <v>1205</v>
      </c>
      <c r="B14" s="143" t="s">
        <v>1205</v>
      </c>
      <c r="C14" s="143" t="s">
        <v>2106</v>
      </c>
      <c r="D14" s="143" t="s">
        <v>2107</v>
      </c>
      <c r="E14" s="143" t="s">
        <v>309</v>
      </c>
      <c r="F14" s="143" t="s">
        <v>2108</v>
      </c>
      <c r="G14" s="143" t="s">
        <v>2109</v>
      </c>
      <c r="H14" s="143" t="s">
        <v>321</v>
      </c>
      <c r="I14" s="143" t="s">
        <v>917</v>
      </c>
      <c r="J14" s="143" t="s">
        <v>204</v>
      </c>
      <c r="K14" s="143" t="s">
        <v>204</v>
      </c>
      <c r="L14" s="143" t="s">
        <v>325</v>
      </c>
      <c r="M14" s="143" t="s">
        <v>340</v>
      </c>
      <c r="N14" s="143" t="s">
        <v>441</v>
      </c>
      <c r="O14" s="143" t="s">
        <v>339</v>
      </c>
      <c r="P14" s="143" t="s">
        <v>1210</v>
      </c>
      <c r="Q14" s="144">
        <v>5627</v>
      </c>
      <c r="R14" s="145" t="s">
        <v>3853</v>
      </c>
      <c r="S14" s="143" t="s">
        <v>2110</v>
      </c>
      <c r="T14" s="145" t="s">
        <v>3853</v>
      </c>
      <c r="U14" s="144">
        <v>1495.6566</v>
      </c>
      <c r="V14" s="146">
        <v>9.9849905735265379E-5</v>
      </c>
      <c r="W14" s="146">
        <v>1.0657434148468306E-2</v>
      </c>
      <c r="X14" s="147">
        <v>2.2582901807592813E-3</v>
      </c>
      <c r="Y14" s="183"/>
    </row>
    <row r="15" spans="1:25" ht="15" x14ac:dyDescent="0.2">
      <c r="A15" s="142" t="s">
        <v>1205</v>
      </c>
      <c r="B15" s="143" t="s">
        <v>1205</v>
      </c>
      <c r="C15" s="143" t="s">
        <v>1373</v>
      </c>
      <c r="D15" s="143" t="s">
        <v>1374</v>
      </c>
      <c r="E15" s="143" t="s">
        <v>309</v>
      </c>
      <c r="F15" s="143" t="s">
        <v>2111</v>
      </c>
      <c r="G15" s="143" t="s">
        <v>2112</v>
      </c>
      <c r="H15" s="143" t="s">
        <v>321</v>
      </c>
      <c r="I15" s="143" t="s">
        <v>917</v>
      </c>
      <c r="J15" s="143" t="s">
        <v>204</v>
      </c>
      <c r="K15" s="143" t="s">
        <v>204</v>
      </c>
      <c r="L15" s="143" t="s">
        <v>325</v>
      </c>
      <c r="M15" s="143" t="s">
        <v>340</v>
      </c>
      <c r="N15" s="143" t="s">
        <v>484</v>
      </c>
      <c r="O15" s="143" t="s">
        <v>339</v>
      </c>
      <c r="P15" s="143" t="s">
        <v>1210</v>
      </c>
      <c r="Q15" s="144">
        <v>349094</v>
      </c>
      <c r="R15" s="145" t="s">
        <v>3853</v>
      </c>
      <c r="S15" s="143" t="s">
        <v>2113</v>
      </c>
      <c r="T15" s="145" t="s">
        <v>3853</v>
      </c>
      <c r="U15" s="144">
        <v>1478.7621999999999</v>
      </c>
      <c r="V15" s="146">
        <v>1.2616772891931968E-4</v>
      </c>
      <c r="W15" s="146">
        <v>1.0537051484428427E-2</v>
      </c>
      <c r="X15" s="147">
        <v>2.2327813214646662E-3</v>
      </c>
      <c r="Y15" s="183"/>
    </row>
    <row r="16" spans="1:25" ht="15" x14ac:dyDescent="0.2">
      <c r="A16" s="142" t="s">
        <v>1205</v>
      </c>
      <c r="B16" s="143" t="s">
        <v>1205</v>
      </c>
      <c r="C16" s="143" t="s">
        <v>1491</v>
      </c>
      <c r="D16" s="143" t="s">
        <v>1492</v>
      </c>
      <c r="E16" s="143" t="s">
        <v>309</v>
      </c>
      <c r="F16" s="143" t="s">
        <v>2114</v>
      </c>
      <c r="G16" s="143" t="s">
        <v>2115</v>
      </c>
      <c r="H16" s="143" t="s">
        <v>321</v>
      </c>
      <c r="I16" s="143" t="s">
        <v>917</v>
      </c>
      <c r="J16" s="143" t="s">
        <v>204</v>
      </c>
      <c r="K16" s="143" t="s">
        <v>204</v>
      </c>
      <c r="L16" s="143" t="s">
        <v>325</v>
      </c>
      <c r="M16" s="143" t="s">
        <v>340</v>
      </c>
      <c r="N16" s="143" t="s">
        <v>464</v>
      </c>
      <c r="O16" s="143" t="s">
        <v>339</v>
      </c>
      <c r="P16" s="143" t="s">
        <v>1210</v>
      </c>
      <c r="Q16" s="144">
        <v>5727</v>
      </c>
      <c r="R16" s="145" t="s">
        <v>3853</v>
      </c>
      <c r="S16" s="143" t="s">
        <v>2116</v>
      </c>
      <c r="T16" s="145" t="s">
        <v>3853</v>
      </c>
      <c r="U16" s="144">
        <v>1415.1416999999999</v>
      </c>
      <c r="V16" s="146">
        <v>1.2051313216471297E-4</v>
      </c>
      <c r="W16" s="146">
        <v>1.0083718066367301E-2</v>
      </c>
      <c r="X16" s="147">
        <v>2.136720825818571E-3</v>
      </c>
      <c r="Y16" s="183"/>
    </row>
    <row r="17" spans="1:25" ht="15" x14ac:dyDescent="0.2">
      <c r="A17" s="142" t="s">
        <v>1205</v>
      </c>
      <c r="B17" s="143" t="s">
        <v>1205</v>
      </c>
      <c r="C17" s="143" t="s">
        <v>2117</v>
      </c>
      <c r="D17" s="143" t="s">
        <v>2118</v>
      </c>
      <c r="E17" s="143" t="s">
        <v>309</v>
      </c>
      <c r="F17" s="143" t="s">
        <v>2119</v>
      </c>
      <c r="G17" s="143" t="s">
        <v>2120</v>
      </c>
      <c r="H17" s="143" t="s">
        <v>321</v>
      </c>
      <c r="I17" s="143" t="s">
        <v>917</v>
      </c>
      <c r="J17" s="143" t="s">
        <v>204</v>
      </c>
      <c r="K17" s="143" t="s">
        <v>204</v>
      </c>
      <c r="L17" s="143" t="s">
        <v>325</v>
      </c>
      <c r="M17" s="143" t="s">
        <v>340</v>
      </c>
      <c r="N17" s="143" t="s">
        <v>451</v>
      </c>
      <c r="O17" s="143" t="s">
        <v>339</v>
      </c>
      <c r="P17" s="143" t="s">
        <v>1210</v>
      </c>
      <c r="Q17" s="144">
        <v>257629</v>
      </c>
      <c r="R17" s="145" t="s">
        <v>3853</v>
      </c>
      <c r="S17" s="143" t="s">
        <v>2121</v>
      </c>
      <c r="T17" s="145" t="s">
        <v>3853</v>
      </c>
      <c r="U17" s="144">
        <v>1384.4982</v>
      </c>
      <c r="V17" s="146">
        <v>1.3772983263865203E-3</v>
      </c>
      <c r="W17" s="146">
        <v>9.8653654090216127E-3</v>
      </c>
      <c r="X17" s="147">
        <v>2.0904523098552487E-3</v>
      </c>
      <c r="Y17" s="183"/>
    </row>
    <row r="18" spans="1:25" ht="15" x14ac:dyDescent="0.2">
      <c r="A18" s="142" t="s">
        <v>1205</v>
      </c>
      <c r="B18" s="143" t="s">
        <v>1205</v>
      </c>
      <c r="C18" s="143" t="s">
        <v>1574</v>
      </c>
      <c r="D18" s="143" t="s">
        <v>1575</v>
      </c>
      <c r="E18" s="143" t="s">
        <v>309</v>
      </c>
      <c r="F18" s="143" t="s">
        <v>2122</v>
      </c>
      <c r="G18" s="143" t="s">
        <v>2123</v>
      </c>
      <c r="H18" s="143" t="s">
        <v>321</v>
      </c>
      <c r="I18" s="143" t="s">
        <v>917</v>
      </c>
      <c r="J18" s="143" t="s">
        <v>204</v>
      </c>
      <c r="K18" s="143" t="s">
        <v>204</v>
      </c>
      <c r="L18" s="143" t="s">
        <v>325</v>
      </c>
      <c r="M18" s="143" t="s">
        <v>340</v>
      </c>
      <c r="N18" s="143" t="s">
        <v>464</v>
      </c>
      <c r="O18" s="143" t="s">
        <v>339</v>
      </c>
      <c r="P18" s="143" t="s">
        <v>1210</v>
      </c>
      <c r="Q18" s="144">
        <v>3784.92</v>
      </c>
      <c r="R18" s="145" t="s">
        <v>3853</v>
      </c>
      <c r="S18" s="143" t="s">
        <v>2124</v>
      </c>
      <c r="T18" s="145" t="s">
        <v>3853</v>
      </c>
      <c r="U18" s="144">
        <v>1352.7303999999999</v>
      </c>
      <c r="V18" s="146">
        <v>1.5384864274175538E-4</v>
      </c>
      <c r="W18" s="146">
        <v>9.6390008534650694E-3</v>
      </c>
      <c r="X18" s="147">
        <v>2.0424860877830487E-3</v>
      </c>
      <c r="Y18" s="183"/>
    </row>
    <row r="19" spans="1:25" ht="15" x14ac:dyDescent="0.2">
      <c r="A19" s="142" t="s">
        <v>1205</v>
      </c>
      <c r="B19" s="143" t="s">
        <v>1205</v>
      </c>
      <c r="C19" s="143" t="s">
        <v>1380</v>
      </c>
      <c r="D19" s="143" t="s">
        <v>1381</v>
      </c>
      <c r="E19" s="143" t="s">
        <v>309</v>
      </c>
      <c r="F19" s="143" t="s">
        <v>2125</v>
      </c>
      <c r="G19" s="143" t="s">
        <v>2126</v>
      </c>
      <c r="H19" s="143" t="s">
        <v>321</v>
      </c>
      <c r="I19" s="143" t="s">
        <v>917</v>
      </c>
      <c r="J19" s="143" t="s">
        <v>204</v>
      </c>
      <c r="K19" s="143" t="s">
        <v>204</v>
      </c>
      <c r="L19" s="143" t="s">
        <v>325</v>
      </c>
      <c r="M19" s="143" t="s">
        <v>340</v>
      </c>
      <c r="N19" s="143" t="s">
        <v>445</v>
      </c>
      <c r="O19" s="143" t="s">
        <v>339</v>
      </c>
      <c r="P19" s="143" t="s">
        <v>1210</v>
      </c>
      <c r="Q19" s="144">
        <v>24134</v>
      </c>
      <c r="R19" s="145" t="s">
        <v>3853</v>
      </c>
      <c r="S19" s="143" t="s">
        <v>2127</v>
      </c>
      <c r="T19" s="145" t="s">
        <v>3853</v>
      </c>
      <c r="U19" s="144">
        <v>1276.9298999999999</v>
      </c>
      <c r="V19" s="146">
        <v>3.0520212173014573E-4</v>
      </c>
      <c r="W19" s="146">
        <v>9.0988778759493235E-3</v>
      </c>
      <c r="X19" s="147">
        <v>1.9280350482988795E-3</v>
      </c>
      <c r="Y19" s="183"/>
    </row>
    <row r="20" spans="1:25" ht="15" x14ac:dyDescent="0.2">
      <c r="A20" s="142" t="s">
        <v>1205</v>
      </c>
      <c r="B20" s="143" t="s">
        <v>1205</v>
      </c>
      <c r="C20" s="143" t="s">
        <v>1720</v>
      </c>
      <c r="D20" s="143" t="s">
        <v>1721</v>
      </c>
      <c r="E20" s="143" t="s">
        <v>309</v>
      </c>
      <c r="F20" s="143" t="s">
        <v>2128</v>
      </c>
      <c r="G20" s="143" t="s">
        <v>2129</v>
      </c>
      <c r="H20" s="143" t="s">
        <v>321</v>
      </c>
      <c r="I20" s="143" t="s">
        <v>917</v>
      </c>
      <c r="J20" s="143" t="s">
        <v>204</v>
      </c>
      <c r="K20" s="143" t="s">
        <v>204</v>
      </c>
      <c r="L20" s="143" t="s">
        <v>325</v>
      </c>
      <c r="M20" s="143" t="s">
        <v>340</v>
      </c>
      <c r="N20" s="143" t="s">
        <v>464</v>
      </c>
      <c r="O20" s="143" t="s">
        <v>339</v>
      </c>
      <c r="P20" s="143" t="s">
        <v>1210</v>
      </c>
      <c r="Q20" s="144">
        <v>5665</v>
      </c>
      <c r="R20" s="145" t="s">
        <v>3853</v>
      </c>
      <c r="S20" s="143" t="s">
        <v>2130</v>
      </c>
      <c r="T20" s="145" t="s">
        <v>3853</v>
      </c>
      <c r="U20" s="144">
        <v>1246.3</v>
      </c>
      <c r="V20" s="146">
        <v>4.6712880947048622E-5</v>
      </c>
      <c r="W20" s="146">
        <v>8.8806215138127632E-3</v>
      </c>
      <c r="X20" s="147">
        <v>1.8817869371086197E-3</v>
      </c>
      <c r="Y20" s="183"/>
    </row>
    <row r="21" spans="1:25" ht="15" x14ac:dyDescent="0.2">
      <c r="A21" s="142" t="s">
        <v>1205</v>
      </c>
      <c r="B21" s="143" t="s">
        <v>1205</v>
      </c>
      <c r="C21" s="143" t="s">
        <v>2131</v>
      </c>
      <c r="D21" s="143" t="s">
        <v>2132</v>
      </c>
      <c r="E21" s="143" t="s">
        <v>309</v>
      </c>
      <c r="F21" s="143" t="s">
        <v>2133</v>
      </c>
      <c r="G21" s="143" t="s">
        <v>2134</v>
      </c>
      <c r="H21" s="143" t="s">
        <v>321</v>
      </c>
      <c r="I21" s="143" t="s">
        <v>917</v>
      </c>
      <c r="J21" s="143" t="s">
        <v>204</v>
      </c>
      <c r="K21" s="143" t="s">
        <v>204</v>
      </c>
      <c r="L21" s="143" t="s">
        <v>325</v>
      </c>
      <c r="M21" s="143" t="s">
        <v>340</v>
      </c>
      <c r="N21" s="143" t="s">
        <v>463</v>
      </c>
      <c r="O21" s="143" t="s">
        <v>339</v>
      </c>
      <c r="P21" s="143" t="s">
        <v>1210</v>
      </c>
      <c r="Q21" s="144">
        <v>251598</v>
      </c>
      <c r="R21" s="145" t="s">
        <v>3853</v>
      </c>
      <c r="S21" s="143" t="s">
        <v>2135</v>
      </c>
      <c r="T21" s="145" t="s">
        <v>3853</v>
      </c>
      <c r="U21" s="144">
        <v>1228.5530000000001</v>
      </c>
      <c r="V21" s="146">
        <v>8.7509304024207851E-4</v>
      </c>
      <c r="W21" s="146">
        <v>8.7541639289098472E-3</v>
      </c>
      <c r="X21" s="147">
        <v>1.8549908135491952E-3</v>
      </c>
      <c r="Y21" s="183"/>
    </row>
    <row r="22" spans="1:25" ht="15" x14ac:dyDescent="0.2">
      <c r="A22" s="142" t="s">
        <v>1205</v>
      </c>
      <c r="B22" s="143" t="s">
        <v>1205</v>
      </c>
      <c r="C22" s="143" t="s">
        <v>2136</v>
      </c>
      <c r="D22" s="143" t="s">
        <v>2137</v>
      </c>
      <c r="E22" s="143" t="s">
        <v>309</v>
      </c>
      <c r="F22" s="143" t="s">
        <v>2138</v>
      </c>
      <c r="G22" s="143" t="s">
        <v>2139</v>
      </c>
      <c r="H22" s="143" t="s">
        <v>321</v>
      </c>
      <c r="I22" s="143" t="s">
        <v>917</v>
      </c>
      <c r="J22" s="143" t="s">
        <v>204</v>
      </c>
      <c r="K22" s="143" t="s">
        <v>204</v>
      </c>
      <c r="L22" s="143" t="s">
        <v>325</v>
      </c>
      <c r="M22" s="143" t="s">
        <v>340</v>
      </c>
      <c r="N22" s="143" t="s">
        <v>456</v>
      </c>
      <c r="O22" s="143" t="s">
        <v>339</v>
      </c>
      <c r="P22" s="143" t="s">
        <v>1210</v>
      </c>
      <c r="Q22" s="144">
        <v>75893</v>
      </c>
      <c r="R22" s="145" t="s">
        <v>3853</v>
      </c>
      <c r="S22" s="143" t="s">
        <v>2140</v>
      </c>
      <c r="T22" s="145" t="s">
        <v>3853</v>
      </c>
      <c r="U22" s="144">
        <v>1223.3951999999999</v>
      </c>
      <c r="V22" s="146">
        <v>5.7734284101480304E-5</v>
      </c>
      <c r="W22" s="146">
        <v>8.7174110389074931E-3</v>
      </c>
      <c r="X22" s="147">
        <v>1.8472029455266869E-3</v>
      </c>
      <c r="Y22" s="183"/>
    </row>
    <row r="23" spans="1:25" ht="15" x14ac:dyDescent="0.2">
      <c r="A23" s="142" t="s">
        <v>1205</v>
      </c>
      <c r="B23" s="143" t="s">
        <v>1205</v>
      </c>
      <c r="C23" s="143" t="s">
        <v>1392</v>
      </c>
      <c r="D23" s="143" t="s">
        <v>1393</v>
      </c>
      <c r="E23" s="143" t="s">
        <v>309</v>
      </c>
      <c r="F23" s="143" t="s">
        <v>2141</v>
      </c>
      <c r="G23" s="143" t="s">
        <v>2142</v>
      </c>
      <c r="H23" s="143" t="s">
        <v>321</v>
      </c>
      <c r="I23" s="143" t="s">
        <v>917</v>
      </c>
      <c r="J23" s="143" t="s">
        <v>204</v>
      </c>
      <c r="K23" s="143" t="s">
        <v>204</v>
      </c>
      <c r="L23" s="143" t="s">
        <v>325</v>
      </c>
      <c r="M23" s="143" t="s">
        <v>340</v>
      </c>
      <c r="N23" s="143" t="s">
        <v>463</v>
      </c>
      <c r="O23" s="143" t="s">
        <v>339</v>
      </c>
      <c r="P23" s="143" t="s">
        <v>1210</v>
      </c>
      <c r="Q23" s="144">
        <v>61761</v>
      </c>
      <c r="R23" s="145" t="s">
        <v>3853</v>
      </c>
      <c r="S23" s="143" t="s">
        <v>2143</v>
      </c>
      <c r="T23" s="145" t="s">
        <v>3853</v>
      </c>
      <c r="U23" s="144">
        <v>1185.8111999999999</v>
      </c>
      <c r="V23" s="146">
        <v>1.7281538137648317E-4</v>
      </c>
      <c r="W23" s="146">
        <v>8.4496031886705687E-3</v>
      </c>
      <c r="X23" s="147">
        <v>1.7904549675335768E-3</v>
      </c>
      <c r="Y23" s="183"/>
    </row>
    <row r="24" spans="1:25" ht="15" x14ac:dyDescent="0.2">
      <c r="A24" s="142" t="s">
        <v>1205</v>
      </c>
      <c r="B24" s="143" t="s">
        <v>1205</v>
      </c>
      <c r="C24" s="143" t="s">
        <v>1412</v>
      </c>
      <c r="D24" s="143" t="s">
        <v>1413</v>
      </c>
      <c r="E24" s="143" t="s">
        <v>309</v>
      </c>
      <c r="F24" s="143" t="s">
        <v>2144</v>
      </c>
      <c r="G24" s="143" t="s">
        <v>2145</v>
      </c>
      <c r="H24" s="143" t="s">
        <v>321</v>
      </c>
      <c r="I24" s="143" t="s">
        <v>917</v>
      </c>
      <c r="J24" s="143" t="s">
        <v>204</v>
      </c>
      <c r="K24" s="143" t="s">
        <v>204</v>
      </c>
      <c r="L24" s="143" t="s">
        <v>325</v>
      </c>
      <c r="M24" s="143" t="s">
        <v>340</v>
      </c>
      <c r="N24" s="143" t="s">
        <v>451</v>
      </c>
      <c r="O24" s="143" t="s">
        <v>339</v>
      </c>
      <c r="P24" s="143" t="s">
        <v>1210</v>
      </c>
      <c r="Q24" s="144">
        <v>914</v>
      </c>
      <c r="R24" s="145" t="s">
        <v>3853</v>
      </c>
      <c r="S24" s="143" t="s">
        <v>2146</v>
      </c>
      <c r="T24" s="145" t="s">
        <v>3853</v>
      </c>
      <c r="U24" s="144">
        <v>1185.3666000000001</v>
      </c>
      <c r="V24" s="146">
        <v>2.2523987800574484E-4</v>
      </c>
      <c r="W24" s="146">
        <v>8.4464351518214621E-3</v>
      </c>
      <c r="X24" s="147">
        <v>1.7897836665047408E-3</v>
      </c>
      <c r="Y24" s="183"/>
    </row>
    <row r="25" spans="1:25" ht="15" x14ac:dyDescent="0.2">
      <c r="A25" s="142" t="s">
        <v>1205</v>
      </c>
      <c r="B25" s="143" t="s">
        <v>1205</v>
      </c>
      <c r="C25" s="143" t="s">
        <v>1640</v>
      </c>
      <c r="D25" s="143" t="s">
        <v>1641</v>
      </c>
      <c r="E25" s="143" t="s">
        <v>309</v>
      </c>
      <c r="F25" s="143" t="s">
        <v>2147</v>
      </c>
      <c r="G25" s="143" t="s">
        <v>2148</v>
      </c>
      <c r="H25" s="143" t="s">
        <v>321</v>
      </c>
      <c r="I25" s="143" t="s">
        <v>917</v>
      </c>
      <c r="J25" s="143" t="s">
        <v>204</v>
      </c>
      <c r="K25" s="143" t="s">
        <v>204</v>
      </c>
      <c r="L25" s="143" t="s">
        <v>325</v>
      </c>
      <c r="M25" s="143" t="s">
        <v>340</v>
      </c>
      <c r="N25" s="143" t="s">
        <v>445</v>
      </c>
      <c r="O25" s="143" t="s">
        <v>339</v>
      </c>
      <c r="P25" s="143" t="s">
        <v>1210</v>
      </c>
      <c r="Q25" s="144">
        <v>32521</v>
      </c>
      <c r="R25" s="145" t="s">
        <v>3853</v>
      </c>
      <c r="S25" s="143" t="s">
        <v>2149</v>
      </c>
      <c r="T25" s="145" t="s">
        <v>3853</v>
      </c>
      <c r="U25" s="144">
        <v>1111.893</v>
      </c>
      <c r="V25" s="146">
        <v>1.2463567510152647E-4</v>
      </c>
      <c r="W25" s="146">
        <v>7.9228924079688678E-3</v>
      </c>
      <c r="X25" s="147">
        <v>1.6788459472395453E-3</v>
      </c>
      <c r="Y25" s="183"/>
    </row>
    <row r="26" spans="1:25" ht="15" x14ac:dyDescent="0.2">
      <c r="A26" s="142" t="s">
        <v>1205</v>
      </c>
      <c r="B26" s="143" t="s">
        <v>1205</v>
      </c>
      <c r="C26" s="143" t="s">
        <v>1753</v>
      </c>
      <c r="D26" s="143" t="s">
        <v>1754</v>
      </c>
      <c r="E26" s="143" t="s">
        <v>309</v>
      </c>
      <c r="F26" s="143" t="s">
        <v>2150</v>
      </c>
      <c r="G26" s="143" t="s">
        <v>2151</v>
      </c>
      <c r="H26" s="143" t="s">
        <v>321</v>
      </c>
      <c r="I26" s="143" t="s">
        <v>917</v>
      </c>
      <c r="J26" s="143" t="s">
        <v>204</v>
      </c>
      <c r="K26" s="143" t="s">
        <v>204</v>
      </c>
      <c r="L26" s="143" t="s">
        <v>325</v>
      </c>
      <c r="M26" s="143" t="s">
        <v>340</v>
      </c>
      <c r="N26" s="143" t="s">
        <v>464</v>
      </c>
      <c r="O26" s="143" t="s">
        <v>339</v>
      </c>
      <c r="P26" s="143" t="s">
        <v>1210</v>
      </c>
      <c r="Q26" s="144">
        <v>35510</v>
      </c>
      <c r="R26" s="145" t="s">
        <v>3853</v>
      </c>
      <c r="S26" s="143" t="s">
        <v>2152</v>
      </c>
      <c r="T26" s="145" t="s">
        <v>3853</v>
      </c>
      <c r="U26" s="144">
        <v>1007.4186999999999</v>
      </c>
      <c r="V26" s="146">
        <v>8.7377585565134278E-4</v>
      </c>
      <c r="W26" s="146">
        <v>7.1784515611307761E-3</v>
      </c>
      <c r="X26" s="147">
        <v>1.5211003368843356E-3</v>
      </c>
      <c r="Y26" s="183"/>
    </row>
    <row r="27" spans="1:25" ht="15" x14ac:dyDescent="0.2">
      <c r="A27" s="142" t="s">
        <v>1205</v>
      </c>
      <c r="B27" s="143" t="s">
        <v>1205</v>
      </c>
      <c r="C27" s="143" t="s">
        <v>1773</v>
      </c>
      <c r="D27" s="143" t="s">
        <v>1774</v>
      </c>
      <c r="E27" s="143" t="s">
        <v>309</v>
      </c>
      <c r="F27" s="143" t="s">
        <v>2153</v>
      </c>
      <c r="G27" s="143" t="s">
        <v>2154</v>
      </c>
      <c r="H27" s="143" t="s">
        <v>321</v>
      </c>
      <c r="I27" s="143" t="s">
        <v>917</v>
      </c>
      <c r="J27" s="143" t="s">
        <v>204</v>
      </c>
      <c r="K27" s="143" t="s">
        <v>204</v>
      </c>
      <c r="L27" s="143" t="s">
        <v>325</v>
      </c>
      <c r="M27" s="143" t="s">
        <v>340</v>
      </c>
      <c r="N27" s="143" t="s">
        <v>445</v>
      </c>
      <c r="O27" s="143" t="s">
        <v>339</v>
      </c>
      <c r="P27" s="143" t="s">
        <v>1210</v>
      </c>
      <c r="Q27" s="144">
        <v>33221</v>
      </c>
      <c r="R27" s="145" t="s">
        <v>3853</v>
      </c>
      <c r="S27" s="143" t="s">
        <v>2155</v>
      </c>
      <c r="T27" s="145" t="s">
        <v>3853</v>
      </c>
      <c r="U27" s="144">
        <v>995.63340000000005</v>
      </c>
      <c r="V27" s="146">
        <v>1.4906325069927382E-4</v>
      </c>
      <c r="W27" s="146">
        <v>7.0944741438593462E-3</v>
      </c>
      <c r="X27" s="147">
        <v>1.5033056806671211E-3</v>
      </c>
      <c r="Y27" s="183"/>
    </row>
    <row r="28" spans="1:25" ht="15" x14ac:dyDescent="0.2">
      <c r="A28" s="142" t="s">
        <v>1205</v>
      </c>
      <c r="B28" s="143" t="s">
        <v>1205</v>
      </c>
      <c r="C28" s="143" t="s">
        <v>1533</v>
      </c>
      <c r="D28" s="143" t="s">
        <v>1534</v>
      </c>
      <c r="E28" s="143" t="s">
        <v>309</v>
      </c>
      <c r="F28" s="143" t="s">
        <v>2156</v>
      </c>
      <c r="G28" s="143" t="s">
        <v>2157</v>
      </c>
      <c r="H28" s="143" t="s">
        <v>321</v>
      </c>
      <c r="I28" s="143" t="s">
        <v>917</v>
      </c>
      <c r="J28" s="143" t="s">
        <v>204</v>
      </c>
      <c r="K28" s="143" t="s">
        <v>204</v>
      </c>
      <c r="L28" s="143" t="s">
        <v>325</v>
      </c>
      <c r="M28" s="143" t="s">
        <v>340</v>
      </c>
      <c r="N28" s="143" t="s">
        <v>464</v>
      </c>
      <c r="O28" s="143" t="s">
        <v>339</v>
      </c>
      <c r="P28" s="143" t="s">
        <v>1210</v>
      </c>
      <c r="Q28" s="144">
        <v>18546.07</v>
      </c>
      <c r="R28" s="145" t="s">
        <v>3853</v>
      </c>
      <c r="S28" s="143" t="s">
        <v>2158</v>
      </c>
      <c r="T28" s="145" t="s">
        <v>3853</v>
      </c>
      <c r="U28" s="144">
        <v>986.09450000000004</v>
      </c>
      <c r="V28" s="146">
        <v>1.4102429560527416E-4</v>
      </c>
      <c r="W28" s="146">
        <v>7.0265043757124944E-3</v>
      </c>
      <c r="X28" s="147">
        <v>1.488903015085877E-3</v>
      </c>
      <c r="Y28" s="183"/>
    </row>
    <row r="29" spans="1:25" ht="15" x14ac:dyDescent="0.2">
      <c r="A29" s="142" t="s">
        <v>1205</v>
      </c>
      <c r="B29" s="143" t="s">
        <v>1205</v>
      </c>
      <c r="C29" s="143" t="s">
        <v>2159</v>
      </c>
      <c r="D29" s="143" t="s">
        <v>2160</v>
      </c>
      <c r="E29" s="143" t="s">
        <v>309</v>
      </c>
      <c r="F29" s="143" t="s">
        <v>2161</v>
      </c>
      <c r="G29" s="143" t="s">
        <v>2162</v>
      </c>
      <c r="H29" s="143" t="s">
        <v>321</v>
      </c>
      <c r="I29" s="143" t="s">
        <v>917</v>
      </c>
      <c r="J29" s="143" t="s">
        <v>204</v>
      </c>
      <c r="K29" s="143" t="s">
        <v>204</v>
      </c>
      <c r="L29" s="143" t="s">
        <v>325</v>
      </c>
      <c r="M29" s="143" t="s">
        <v>340</v>
      </c>
      <c r="N29" s="143" t="s">
        <v>446</v>
      </c>
      <c r="O29" s="143" t="s">
        <v>339</v>
      </c>
      <c r="P29" s="143" t="s">
        <v>1210</v>
      </c>
      <c r="Q29" s="144">
        <v>1444</v>
      </c>
      <c r="R29" s="145" t="s">
        <v>3853</v>
      </c>
      <c r="S29" s="143" t="s">
        <v>2163</v>
      </c>
      <c r="T29" s="144">
        <v>2.714</v>
      </c>
      <c r="U29" s="144">
        <v>961.67439999999999</v>
      </c>
      <c r="V29" s="146">
        <v>3.2466373246197544E-5</v>
      </c>
      <c r="W29" s="146">
        <v>6.8718353307481899E-3</v>
      </c>
      <c r="X29" s="147">
        <v>1.4561289363869713E-3</v>
      </c>
      <c r="Y29" s="183"/>
    </row>
    <row r="30" spans="1:25" ht="15" x14ac:dyDescent="0.2">
      <c r="A30" s="142" t="s">
        <v>1205</v>
      </c>
      <c r="B30" s="143" t="s">
        <v>1205</v>
      </c>
      <c r="C30" s="143" t="s">
        <v>2164</v>
      </c>
      <c r="D30" s="143" t="s">
        <v>2165</v>
      </c>
      <c r="E30" s="143" t="s">
        <v>309</v>
      </c>
      <c r="F30" s="143" t="s">
        <v>2166</v>
      </c>
      <c r="G30" s="143" t="s">
        <v>2167</v>
      </c>
      <c r="H30" s="143" t="s">
        <v>321</v>
      </c>
      <c r="I30" s="143" t="s">
        <v>917</v>
      </c>
      <c r="J30" s="143" t="s">
        <v>204</v>
      </c>
      <c r="K30" s="143" t="s">
        <v>204</v>
      </c>
      <c r="L30" s="143" t="s">
        <v>325</v>
      </c>
      <c r="M30" s="143" t="s">
        <v>340</v>
      </c>
      <c r="N30" s="143" t="s">
        <v>458</v>
      </c>
      <c r="O30" s="143" t="s">
        <v>339</v>
      </c>
      <c r="P30" s="143" t="s">
        <v>1210</v>
      </c>
      <c r="Q30" s="144">
        <v>1095</v>
      </c>
      <c r="R30" s="145" t="s">
        <v>3853</v>
      </c>
      <c r="S30" s="143" t="s">
        <v>2168</v>
      </c>
      <c r="T30" s="145" t="s">
        <v>3853</v>
      </c>
      <c r="U30" s="144">
        <v>961.41</v>
      </c>
      <c r="V30" s="146">
        <v>3.7700613745333901E-5</v>
      </c>
      <c r="W30" s="146">
        <v>6.8506124766065379E-3</v>
      </c>
      <c r="X30" s="147">
        <v>1.4516318536512863E-3</v>
      </c>
      <c r="Y30" s="183"/>
    </row>
    <row r="31" spans="1:25" ht="15" x14ac:dyDescent="0.2">
      <c r="A31" s="142" t="s">
        <v>1205</v>
      </c>
      <c r="B31" s="143" t="s">
        <v>1205</v>
      </c>
      <c r="C31" s="143" t="s">
        <v>2169</v>
      </c>
      <c r="D31" s="143" t="s">
        <v>2170</v>
      </c>
      <c r="E31" s="143" t="s">
        <v>309</v>
      </c>
      <c r="F31" s="143" t="s">
        <v>2171</v>
      </c>
      <c r="G31" s="143" t="s">
        <v>2172</v>
      </c>
      <c r="H31" s="143" t="s">
        <v>321</v>
      </c>
      <c r="I31" s="143" t="s">
        <v>917</v>
      </c>
      <c r="J31" s="143" t="s">
        <v>204</v>
      </c>
      <c r="K31" s="143" t="s">
        <v>204</v>
      </c>
      <c r="L31" s="143" t="s">
        <v>325</v>
      </c>
      <c r="M31" s="143" t="s">
        <v>340</v>
      </c>
      <c r="N31" s="143" t="s">
        <v>454</v>
      </c>
      <c r="O31" s="143" t="s">
        <v>339</v>
      </c>
      <c r="P31" s="143" t="s">
        <v>1210</v>
      </c>
      <c r="Q31" s="144">
        <v>58443</v>
      </c>
      <c r="R31" s="145" t="s">
        <v>3853</v>
      </c>
      <c r="S31" s="143" t="s">
        <v>2173</v>
      </c>
      <c r="T31" s="145" t="s">
        <v>3853</v>
      </c>
      <c r="U31" s="144">
        <v>831.05949999999996</v>
      </c>
      <c r="V31" s="146">
        <v>2.9220038998050099E-3</v>
      </c>
      <c r="W31" s="146">
        <v>5.9217881085883153E-3</v>
      </c>
      <c r="X31" s="147">
        <v>1.2548157231714221E-3</v>
      </c>
      <c r="Y31" s="183"/>
    </row>
    <row r="32" spans="1:25" ht="15" x14ac:dyDescent="0.2">
      <c r="A32" s="142" t="s">
        <v>1205</v>
      </c>
      <c r="B32" s="143" t="s">
        <v>1205</v>
      </c>
      <c r="C32" s="143" t="s">
        <v>2174</v>
      </c>
      <c r="D32" s="143" t="s">
        <v>2175</v>
      </c>
      <c r="E32" s="143" t="s">
        <v>309</v>
      </c>
      <c r="F32" s="143" t="s">
        <v>2176</v>
      </c>
      <c r="G32" s="143" t="s">
        <v>2177</v>
      </c>
      <c r="H32" s="143" t="s">
        <v>321</v>
      </c>
      <c r="I32" s="143" t="s">
        <v>917</v>
      </c>
      <c r="J32" s="143" t="s">
        <v>204</v>
      </c>
      <c r="K32" s="143" t="s">
        <v>204</v>
      </c>
      <c r="L32" s="143" t="s">
        <v>325</v>
      </c>
      <c r="M32" s="143" t="s">
        <v>340</v>
      </c>
      <c r="N32" s="143" t="s">
        <v>439</v>
      </c>
      <c r="O32" s="143" t="s">
        <v>339</v>
      </c>
      <c r="P32" s="143" t="s">
        <v>1210</v>
      </c>
      <c r="Q32" s="144">
        <v>15290</v>
      </c>
      <c r="R32" s="145" t="s">
        <v>3853</v>
      </c>
      <c r="S32" s="143" t="s">
        <v>2178</v>
      </c>
      <c r="T32" s="145" t="s">
        <v>3853</v>
      </c>
      <c r="U32" s="144">
        <v>820.7672</v>
      </c>
      <c r="V32" s="146">
        <v>1.911451204132375E-4</v>
      </c>
      <c r="W32" s="146">
        <v>5.8484496944169644E-3</v>
      </c>
      <c r="X32" s="147">
        <v>1.2392754516306009E-3</v>
      </c>
      <c r="Y32" s="183"/>
    </row>
    <row r="33" spans="1:25" ht="15" x14ac:dyDescent="0.2">
      <c r="A33" s="142" t="s">
        <v>1205</v>
      </c>
      <c r="B33" s="143" t="s">
        <v>1205</v>
      </c>
      <c r="C33" s="143" t="s">
        <v>1680</v>
      </c>
      <c r="D33" s="143" t="s">
        <v>1681</v>
      </c>
      <c r="E33" s="143" t="s">
        <v>309</v>
      </c>
      <c r="F33" s="143" t="s">
        <v>2179</v>
      </c>
      <c r="G33" s="143" t="s">
        <v>2180</v>
      </c>
      <c r="H33" s="143" t="s">
        <v>321</v>
      </c>
      <c r="I33" s="143" t="s">
        <v>917</v>
      </c>
      <c r="J33" s="143" t="s">
        <v>204</v>
      </c>
      <c r="K33" s="143" t="s">
        <v>204</v>
      </c>
      <c r="L33" s="143" t="s">
        <v>325</v>
      </c>
      <c r="M33" s="143" t="s">
        <v>340</v>
      </c>
      <c r="N33" s="143" t="s">
        <v>451</v>
      </c>
      <c r="O33" s="143" t="s">
        <v>339</v>
      </c>
      <c r="P33" s="143" t="s">
        <v>1210</v>
      </c>
      <c r="Q33" s="144">
        <v>965</v>
      </c>
      <c r="R33" s="145" t="s">
        <v>3853</v>
      </c>
      <c r="S33" s="143" t="s">
        <v>2181</v>
      </c>
      <c r="T33" s="145" t="s">
        <v>3853</v>
      </c>
      <c r="U33" s="144">
        <v>808.09100000000001</v>
      </c>
      <c r="V33" s="146">
        <v>1.2528578791777618E-4</v>
      </c>
      <c r="W33" s="146">
        <v>5.7581243037137684E-3</v>
      </c>
      <c r="X33" s="147">
        <v>1.2201356718246341E-3</v>
      </c>
      <c r="Y33" s="183"/>
    </row>
    <row r="34" spans="1:25" ht="15" x14ac:dyDescent="0.2">
      <c r="A34" s="142" t="s">
        <v>1205</v>
      </c>
      <c r="B34" s="143" t="s">
        <v>1205</v>
      </c>
      <c r="C34" s="143" t="s">
        <v>1418</v>
      </c>
      <c r="D34" s="143" t="s">
        <v>1419</v>
      </c>
      <c r="E34" s="143" t="s">
        <v>309</v>
      </c>
      <c r="F34" s="143" t="s">
        <v>2182</v>
      </c>
      <c r="G34" s="143" t="s">
        <v>2183</v>
      </c>
      <c r="H34" s="143" t="s">
        <v>321</v>
      </c>
      <c r="I34" s="143" t="s">
        <v>917</v>
      </c>
      <c r="J34" s="143" t="s">
        <v>204</v>
      </c>
      <c r="K34" s="143" t="s">
        <v>204</v>
      </c>
      <c r="L34" s="143" t="s">
        <v>325</v>
      </c>
      <c r="M34" s="143" t="s">
        <v>340</v>
      </c>
      <c r="N34" s="143" t="s">
        <v>445</v>
      </c>
      <c r="O34" s="143" t="s">
        <v>339</v>
      </c>
      <c r="P34" s="143" t="s">
        <v>1210</v>
      </c>
      <c r="Q34" s="144">
        <v>8977</v>
      </c>
      <c r="R34" s="145" t="s">
        <v>3853</v>
      </c>
      <c r="S34" s="143" t="s">
        <v>2184</v>
      </c>
      <c r="T34" s="145" t="s">
        <v>3853</v>
      </c>
      <c r="U34" s="144">
        <v>804.33920000000001</v>
      </c>
      <c r="V34" s="146">
        <v>1.4187965908611197E-4</v>
      </c>
      <c r="W34" s="146">
        <v>5.731390519074819E-3</v>
      </c>
      <c r="X34" s="147">
        <v>1.2144708333181398E-3</v>
      </c>
      <c r="Y34" s="183"/>
    </row>
    <row r="35" spans="1:25" ht="15" x14ac:dyDescent="0.2">
      <c r="A35" s="142" t="s">
        <v>1205</v>
      </c>
      <c r="B35" s="143" t="s">
        <v>1205</v>
      </c>
      <c r="C35" s="143" t="s">
        <v>2185</v>
      </c>
      <c r="D35" s="143" t="s">
        <v>2186</v>
      </c>
      <c r="E35" s="143" t="s">
        <v>309</v>
      </c>
      <c r="F35" s="143" t="s">
        <v>2187</v>
      </c>
      <c r="G35" s="143" t="s">
        <v>2188</v>
      </c>
      <c r="H35" s="143" t="s">
        <v>321</v>
      </c>
      <c r="I35" s="143" t="s">
        <v>917</v>
      </c>
      <c r="J35" s="143" t="s">
        <v>204</v>
      </c>
      <c r="K35" s="143" t="s">
        <v>204</v>
      </c>
      <c r="L35" s="143" t="s">
        <v>325</v>
      </c>
      <c r="M35" s="143" t="s">
        <v>340</v>
      </c>
      <c r="N35" s="143" t="s">
        <v>475</v>
      </c>
      <c r="O35" s="143" t="s">
        <v>339</v>
      </c>
      <c r="P35" s="143" t="s">
        <v>1210</v>
      </c>
      <c r="Q35" s="144">
        <v>11300</v>
      </c>
      <c r="R35" s="145" t="s">
        <v>3853</v>
      </c>
      <c r="S35" s="143" t="s">
        <v>2189</v>
      </c>
      <c r="T35" s="145" t="s">
        <v>3853</v>
      </c>
      <c r="U35" s="144">
        <v>705.572</v>
      </c>
      <c r="V35" s="146">
        <v>4.5199999999999998E-4</v>
      </c>
      <c r="W35" s="146">
        <v>5.0276160497022375E-3</v>
      </c>
      <c r="X35" s="147">
        <v>1.065342351592396E-3</v>
      </c>
      <c r="Y35" s="183"/>
    </row>
    <row r="36" spans="1:25" ht="15" x14ac:dyDescent="0.2">
      <c r="A36" s="142" t="s">
        <v>1205</v>
      </c>
      <c r="B36" s="143" t="s">
        <v>1205</v>
      </c>
      <c r="C36" s="143" t="s">
        <v>1430</v>
      </c>
      <c r="D36" s="143" t="s">
        <v>1431</v>
      </c>
      <c r="E36" s="143" t="s">
        <v>309</v>
      </c>
      <c r="F36" s="143" t="s">
        <v>2190</v>
      </c>
      <c r="G36" s="143" t="s">
        <v>2191</v>
      </c>
      <c r="H36" s="143" t="s">
        <v>321</v>
      </c>
      <c r="I36" s="143" t="s">
        <v>917</v>
      </c>
      <c r="J36" s="143" t="s">
        <v>204</v>
      </c>
      <c r="K36" s="143" t="s">
        <v>204</v>
      </c>
      <c r="L36" s="143" t="s">
        <v>325</v>
      </c>
      <c r="M36" s="143" t="s">
        <v>340</v>
      </c>
      <c r="N36" s="143" t="s">
        <v>484</v>
      </c>
      <c r="O36" s="143" t="s">
        <v>339</v>
      </c>
      <c r="P36" s="143" t="s">
        <v>1210</v>
      </c>
      <c r="Q36" s="144">
        <v>53111</v>
      </c>
      <c r="R36" s="145" t="s">
        <v>3853</v>
      </c>
      <c r="S36" s="143" t="s">
        <v>2192</v>
      </c>
      <c r="T36" s="145" t="s">
        <v>3853</v>
      </c>
      <c r="U36" s="144">
        <v>701.0652</v>
      </c>
      <c r="V36" s="146">
        <v>3.2049302110470472E-4</v>
      </c>
      <c r="W36" s="146">
        <v>4.99550244540275E-3</v>
      </c>
      <c r="X36" s="147">
        <v>1.0585375394539373E-3</v>
      </c>
      <c r="Y36" s="183"/>
    </row>
    <row r="37" spans="1:25" ht="15" x14ac:dyDescent="0.2">
      <c r="A37" s="142" t="s">
        <v>1205</v>
      </c>
      <c r="B37" s="143" t="s">
        <v>1205</v>
      </c>
      <c r="C37" s="143" t="s">
        <v>1654</v>
      </c>
      <c r="D37" s="143" t="s">
        <v>1655</v>
      </c>
      <c r="E37" s="143" t="s">
        <v>309</v>
      </c>
      <c r="F37" s="143" t="s">
        <v>2193</v>
      </c>
      <c r="G37" s="143" t="s">
        <v>2194</v>
      </c>
      <c r="H37" s="143" t="s">
        <v>321</v>
      </c>
      <c r="I37" s="143" t="s">
        <v>917</v>
      </c>
      <c r="J37" s="143" t="s">
        <v>204</v>
      </c>
      <c r="K37" s="143" t="s">
        <v>204</v>
      </c>
      <c r="L37" s="143" t="s">
        <v>325</v>
      </c>
      <c r="M37" s="143" t="s">
        <v>340</v>
      </c>
      <c r="N37" s="143" t="s">
        <v>464</v>
      </c>
      <c r="O37" s="143" t="s">
        <v>339</v>
      </c>
      <c r="P37" s="143" t="s">
        <v>1210</v>
      </c>
      <c r="Q37" s="144">
        <v>105654</v>
      </c>
      <c r="R37" s="145" t="s">
        <v>3853</v>
      </c>
      <c r="S37" s="143" t="s">
        <v>2195</v>
      </c>
      <c r="T37" s="145" t="s">
        <v>3853</v>
      </c>
      <c r="U37" s="144">
        <v>699.32380000000001</v>
      </c>
      <c r="V37" s="146">
        <v>4.7519980461999058E-4</v>
      </c>
      <c r="W37" s="146">
        <v>4.9830941300629487E-3</v>
      </c>
      <c r="X37" s="147">
        <v>1.0559082408534233E-3</v>
      </c>
      <c r="Y37" s="183"/>
    </row>
    <row r="38" spans="1:25" ht="15" x14ac:dyDescent="0.2">
      <c r="A38" s="142" t="s">
        <v>1205</v>
      </c>
      <c r="B38" s="143" t="s">
        <v>1205</v>
      </c>
      <c r="C38" s="143" t="s">
        <v>2196</v>
      </c>
      <c r="D38" s="143" t="s">
        <v>2197</v>
      </c>
      <c r="E38" s="143" t="s">
        <v>309</v>
      </c>
      <c r="F38" s="143" t="s">
        <v>2198</v>
      </c>
      <c r="G38" s="143" t="s">
        <v>2199</v>
      </c>
      <c r="H38" s="143" t="s">
        <v>321</v>
      </c>
      <c r="I38" s="143" t="s">
        <v>917</v>
      </c>
      <c r="J38" s="143" t="s">
        <v>204</v>
      </c>
      <c r="K38" s="143" t="s">
        <v>204</v>
      </c>
      <c r="L38" s="143" t="s">
        <v>325</v>
      </c>
      <c r="M38" s="143" t="s">
        <v>340</v>
      </c>
      <c r="N38" s="143" t="s">
        <v>459</v>
      </c>
      <c r="O38" s="143" t="s">
        <v>339</v>
      </c>
      <c r="P38" s="143" t="s">
        <v>1210</v>
      </c>
      <c r="Q38" s="144">
        <v>11839</v>
      </c>
      <c r="R38" s="145" t="s">
        <v>3853</v>
      </c>
      <c r="S38" s="143" t="s">
        <v>2200</v>
      </c>
      <c r="T38" s="145" t="s">
        <v>3853</v>
      </c>
      <c r="U38" s="144">
        <v>662.86559999999997</v>
      </c>
      <c r="V38" s="146">
        <v>1.0081501518518182E-4</v>
      </c>
      <c r="W38" s="146">
        <v>4.7233078688378562E-3</v>
      </c>
      <c r="X38" s="147">
        <v>1.0008600224316272E-3</v>
      </c>
      <c r="Y38" s="183"/>
    </row>
    <row r="39" spans="1:25" ht="15" x14ac:dyDescent="0.2">
      <c r="A39" s="142" t="s">
        <v>1205</v>
      </c>
      <c r="B39" s="143" t="s">
        <v>1205</v>
      </c>
      <c r="C39" s="143" t="s">
        <v>2201</v>
      </c>
      <c r="D39" s="143" t="s">
        <v>2202</v>
      </c>
      <c r="E39" s="143" t="s">
        <v>309</v>
      </c>
      <c r="F39" s="143" t="s">
        <v>2203</v>
      </c>
      <c r="G39" s="143" t="s">
        <v>2204</v>
      </c>
      <c r="H39" s="143" t="s">
        <v>321</v>
      </c>
      <c r="I39" s="143" t="s">
        <v>917</v>
      </c>
      <c r="J39" s="143" t="s">
        <v>204</v>
      </c>
      <c r="K39" s="143" t="s">
        <v>204</v>
      </c>
      <c r="L39" s="143" t="s">
        <v>325</v>
      </c>
      <c r="M39" s="143" t="s">
        <v>340</v>
      </c>
      <c r="N39" s="143" t="s">
        <v>456</v>
      </c>
      <c r="O39" s="143" t="s">
        <v>339</v>
      </c>
      <c r="P39" s="143" t="s">
        <v>1210</v>
      </c>
      <c r="Q39" s="144">
        <v>58000</v>
      </c>
      <c r="R39" s="145" t="s">
        <v>3853</v>
      </c>
      <c r="S39" s="143" t="s">
        <v>2205</v>
      </c>
      <c r="T39" s="145" t="s">
        <v>3853</v>
      </c>
      <c r="U39" s="144">
        <v>628.72</v>
      </c>
      <c r="V39" s="146">
        <v>5.4274755036273835E-4</v>
      </c>
      <c r="W39" s="146">
        <v>4.4800002873821394E-3</v>
      </c>
      <c r="X39" s="147">
        <v>9.4930360515039028E-4</v>
      </c>
      <c r="Y39" s="183"/>
    </row>
    <row r="40" spans="1:25" ht="15" x14ac:dyDescent="0.2">
      <c r="A40" s="142" t="s">
        <v>1205</v>
      </c>
      <c r="B40" s="143" t="s">
        <v>1205</v>
      </c>
      <c r="C40" s="143" t="s">
        <v>2206</v>
      </c>
      <c r="D40" s="143" t="s">
        <v>2207</v>
      </c>
      <c r="E40" s="143" t="s">
        <v>309</v>
      </c>
      <c r="F40" s="143" t="s">
        <v>2208</v>
      </c>
      <c r="G40" s="143" t="s">
        <v>2209</v>
      </c>
      <c r="H40" s="143" t="s">
        <v>321</v>
      </c>
      <c r="I40" s="143" t="s">
        <v>917</v>
      </c>
      <c r="J40" s="143" t="s">
        <v>204</v>
      </c>
      <c r="K40" s="143" t="s">
        <v>204</v>
      </c>
      <c r="L40" s="143" t="s">
        <v>325</v>
      </c>
      <c r="M40" s="143" t="s">
        <v>340</v>
      </c>
      <c r="N40" s="143" t="s">
        <v>464</v>
      </c>
      <c r="O40" s="143" t="s">
        <v>339</v>
      </c>
      <c r="P40" s="143" t="s">
        <v>1210</v>
      </c>
      <c r="Q40" s="144">
        <v>6775</v>
      </c>
      <c r="R40" s="145" t="s">
        <v>3853</v>
      </c>
      <c r="S40" s="143" t="s">
        <v>2210</v>
      </c>
      <c r="T40" s="145" t="s">
        <v>3853</v>
      </c>
      <c r="U40" s="144">
        <v>619.98030000000006</v>
      </c>
      <c r="V40" s="146">
        <v>1.850950484246895E-4</v>
      </c>
      <c r="W40" s="146">
        <v>4.4177244213183149E-3</v>
      </c>
      <c r="X40" s="147">
        <v>9.3610746667362296E-4</v>
      </c>
      <c r="Y40" s="183"/>
    </row>
    <row r="41" spans="1:25" ht="15" x14ac:dyDescent="0.2">
      <c r="A41" s="142" t="s">
        <v>1205</v>
      </c>
      <c r="B41" s="143" t="s">
        <v>1205</v>
      </c>
      <c r="C41" s="143" t="s">
        <v>2211</v>
      </c>
      <c r="D41" s="143" t="s">
        <v>2212</v>
      </c>
      <c r="E41" s="143" t="s">
        <v>309</v>
      </c>
      <c r="F41" s="143" t="s">
        <v>2213</v>
      </c>
      <c r="G41" s="143" t="s">
        <v>2214</v>
      </c>
      <c r="H41" s="143" t="s">
        <v>321</v>
      </c>
      <c r="I41" s="143" t="s">
        <v>917</v>
      </c>
      <c r="J41" s="143" t="s">
        <v>204</v>
      </c>
      <c r="K41" s="143" t="s">
        <v>204</v>
      </c>
      <c r="L41" s="143" t="s">
        <v>325</v>
      </c>
      <c r="M41" s="143" t="s">
        <v>340</v>
      </c>
      <c r="N41" s="143" t="s">
        <v>475</v>
      </c>
      <c r="O41" s="143" t="s">
        <v>339</v>
      </c>
      <c r="P41" s="143" t="s">
        <v>1210</v>
      </c>
      <c r="Q41" s="144">
        <v>3395</v>
      </c>
      <c r="R41" s="145" t="s">
        <v>3853</v>
      </c>
      <c r="S41" s="143" t="s">
        <v>2215</v>
      </c>
      <c r="T41" s="145" t="s">
        <v>3853</v>
      </c>
      <c r="U41" s="144">
        <v>610.76049999999998</v>
      </c>
      <c r="V41" s="146">
        <v>2.3414179033709589E-4</v>
      </c>
      <c r="W41" s="146">
        <v>4.3520282725563993E-3</v>
      </c>
      <c r="X41" s="147">
        <v>9.221865767487195E-4</v>
      </c>
      <c r="Y41" s="183"/>
    </row>
    <row r="42" spans="1:25" ht="15" x14ac:dyDescent="0.2">
      <c r="A42" s="142" t="s">
        <v>1205</v>
      </c>
      <c r="B42" s="143" t="s">
        <v>1205</v>
      </c>
      <c r="C42" s="143" t="s">
        <v>1362</v>
      </c>
      <c r="D42" s="143" t="s">
        <v>1363</v>
      </c>
      <c r="E42" s="143" t="s">
        <v>309</v>
      </c>
      <c r="F42" s="143" t="s">
        <v>2216</v>
      </c>
      <c r="G42" s="143" t="s">
        <v>2217</v>
      </c>
      <c r="H42" s="143" t="s">
        <v>321</v>
      </c>
      <c r="I42" s="143" t="s">
        <v>917</v>
      </c>
      <c r="J42" s="143" t="s">
        <v>204</v>
      </c>
      <c r="K42" s="143" t="s">
        <v>204</v>
      </c>
      <c r="L42" s="143" t="s">
        <v>325</v>
      </c>
      <c r="M42" s="143" t="s">
        <v>340</v>
      </c>
      <c r="N42" s="143" t="s">
        <v>440</v>
      </c>
      <c r="O42" s="143" t="s">
        <v>339</v>
      </c>
      <c r="P42" s="143" t="s">
        <v>1210</v>
      </c>
      <c r="Q42" s="144">
        <v>22703</v>
      </c>
      <c r="R42" s="145" t="s">
        <v>3853</v>
      </c>
      <c r="S42" s="143" t="s">
        <v>2218</v>
      </c>
      <c r="T42" s="145" t="s">
        <v>3853</v>
      </c>
      <c r="U42" s="144">
        <v>597.77</v>
      </c>
      <c r="V42" s="146">
        <v>1.0115195606176098E-4</v>
      </c>
      <c r="W42" s="146">
        <v>4.2594632379889599E-3</v>
      </c>
      <c r="X42" s="147">
        <v>9.0257222063512012E-4</v>
      </c>
      <c r="Y42" s="183"/>
    </row>
    <row r="43" spans="1:25" ht="15" x14ac:dyDescent="0.2">
      <c r="A43" s="142" t="s">
        <v>1205</v>
      </c>
      <c r="B43" s="143" t="s">
        <v>1205</v>
      </c>
      <c r="C43" s="143" t="s">
        <v>1856</v>
      </c>
      <c r="D43" s="143" t="s">
        <v>1857</v>
      </c>
      <c r="E43" s="143" t="s">
        <v>309</v>
      </c>
      <c r="F43" s="143" t="s">
        <v>2219</v>
      </c>
      <c r="G43" s="143" t="s">
        <v>2220</v>
      </c>
      <c r="H43" s="143" t="s">
        <v>321</v>
      </c>
      <c r="I43" s="143" t="s">
        <v>917</v>
      </c>
      <c r="J43" s="143" t="s">
        <v>204</v>
      </c>
      <c r="K43" s="143" t="s">
        <v>204</v>
      </c>
      <c r="L43" s="143" t="s">
        <v>325</v>
      </c>
      <c r="M43" s="143" t="s">
        <v>340</v>
      </c>
      <c r="N43" s="143" t="s">
        <v>464</v>
      </c>
      <c r="O43" s="143" t="s">
        <v>339</v>
      </c>
      <c r="P43" s="143" t="s">
        <v>1210</v>
      </c>
      <c r="Q43" s="144">
        <v>66637.210000000006</v>
      </c>
      <c r="R43" s="145" t="s">
        <v>3853</v>
      </c>
      <c r="S43" s="143" t="s">
        <v>2221</v>
      </c>
      <c r="T43" s="145" t="s">
        <v>3853</v>
      </c>
      <c r="U43" s="144">
        <v>587.07380000000001</v>
      </c>
      <c r="V43" s="146">
        <v>8.8210263929011632E-5</v>
      </c>
      <c r="W43" s="146">
        <v>4.1832467278956143E-3</v>
      </c>
      <c r="X43" s="147">
        <v>8.8642208600067066E-4</v>
      </c>
      <c r="Y43" s="183"/>
    </row>
    <row r="44" spans="1:25" ht="15" x14ac:dyDescent="0.2">
      <c r="A44" s="142" t="s">
        <v>1205</v>
      </c>
      <c r="B44" s="143" t="s">
        <v>1205</v>
      </c>
      <c r="C44" s="143" t="s">
        <v>1867</v>
      </c>
      <c r="D44" s="143" t="s">
        <v>1868</v>
      </c>
      <c r="E44" s="143" t="s">
        <v>309</v>
      </c>
      <c r="F44" s="143" t="s">
        <v>2222</v>
      </c>
      <c r="G44" s="143" t="s">
        <v>2223</v>
      </c>
      <c r="H44" s="143" t="s">
        <v>321</v>
      </c>
      <c r="I44" s="143" t="s">
        <v>917</v>
      </c>
      <c r="J44" s="143" t="s">
        <v>204</v>
      </c>
      <c r="K44" s="143" t="s">
        <v>204</v>
      </c>
      <c r="L44" s="143" t="s">
        <v>325</v>
      </c>
      <c r="M44" s="143" t="s">
        <v>340</v>
      </c>
      <c r="N44" s="143" t="s">
        <v>484</v>
      </c>
      <c r="O44" s="143" t="s">
        <v>339</v>
      </c>
      <c r="P44" s="143" t="s">
        <v>1210</v>
      </c>
      <c r="Q44" s="144">
        <v>37498</v>
      </c>
      <c r="R44" s="145" t="s">
        <v>3853</v>
      </c>
      <c r="S44" s="143" t="s">
        <v>2224</v>
      </c>
      <c r="T44" s="145" t="s">
        <v>3853</v>
      </c>
      <c r="U44" s="144">
        <v>575.59430000000009</v>
      </c>
      <c r="V44" s="146">
        <v>1.9620113312877898E-4</v>
      </c>
      <c r="W44" s="146">
        <v>4.1014483862697564E-3</v>
      </c>
      <c r="X44" s="147">
        <v>8.6908917179987161E-4</v>
      </c>
      <c r="Y44" s="183"/>
    </row>
    <row r="45" spans="1:25" ht="15" x14ac:dyDescent="0.2">
      <c r="A45" s="142" t="s">
        <v>1205</v>
      </c>
      <c r="B45" s="143" t="s">
        <v>1205</v>
      </c>
      <c r="C45" s="143" t="s">
        <v>1690</v>
      </c>
      <c r="D45" s="143" t="s">
        <v>1691</v>
      </c>
      <c r="E45" s="143" t="s">
        <v>309</v>
      </c>
      <c r="F45" s="143" t="s">
        <v>2225</v>
      </c>
      <c r="G45" s="143" t="s">
        <v>2226</v>
      </c>
      <c r="H45" s="143" t="s">
        <v>321</v>
      </c>
      <c r="I45" s="143" t="s">
        <v>917</v>
      </c>
      <c r="J45" s="143" t="s">
        <v>204</v>
      </c>
      <c r="K45" s="143" t="s">
        <v>204</v>
      </c>
      <c r="L45" s="143" t="s">
        <v>325</v>
      </c>
      <c r="M45" s="143" t="s">
        <v>340</v>
      </c>
      <c r="N45" s="143" t="s">
        <v>464</v>
      </c>
      <c r="O45" s="143" t="s">
        <v>339</v>
      </c>
      <c r="P45" s="143" t="s">
        <v>1210</v>
      </c>
      <c r="Q45" s="144">
        <v>74730</v>
      </c>
      <c r="R45" s="145" t="s">
        <v>3853</v>
      </c>
      <c r="S45" s="143" t="s">
        <v>2227</v>
      </c>
      <c r="T45" s="145" t="s">
        <v>3853</v>
      </c>
      <c r="U45" s="144">
        <v>545.0059</v>
      </c>
      <c r="V45" s="146">
        <v>4.9657488255535557E-4</v>
      </c>
      <c r="W45" s="146">
        <v>3.8834879498424717E-3</v>
      </c>
      <c r="X45" s="147">
        <v>8.2290376670886409E-4</v>
      </c>
      <c r="Y45" s="183"/>
    </row>
    <row r="46" spans="1:25" ht="15" x14ac:dyDescent="0.2">
      <c r="A46" s="142" t="s">
        <v>1205</v>
      </c>
      <c r="B46" s="143" t="s">
        <v>1205</v>
      </c>
      <c r="C46" s="143" t="s">
        <v>1405</v>
      </c>
      <c r="D46" s="143" t="s">
        <v>1406</v>
      </c>
      <c r="E46" s="143" t="s">
        <v>309</v>
      </c>
      <c r="F46" s="143" t="s">
        <v>2228</v>
      </c>
      <c r="G46" s="143" t="s">
        <v>2229</v>
      </c>
      <c r="H46" s="143" t="s">
        <v>321</v>
      </c>
      <c r="I46" s="143" t="s">
        <v>917</v>
      </c>
      <c r="J46" s="143" t="s">
        <v>204</v>
      </c>
      <c r="K46" s="143" t="s">
        <v>204</v>
      </c>
      <c r="L46" s="143" t="s">
        <v>325</v>
      </c>
      <c r="M46" s="143" t="s">
        <v>340</v>
      </c>
      <c r="N46" s="143" t="s">
        <v>475</v>
      </c>
      <c r="O46" s="143" t="s">
        <v>339</v>
      </c>
      <c r="P46" s="143" t="s">
        <v>1210</v>
      </c>
      <c r="Q46" s="144">
        <v>21616</v>
      </c>
      <c r="R46" s="145" t="s">
        <v>3853</v>
      </c>
      <c r="S46" s="143" t="s">
        <v>2230</v>
      </c>
      <c r="T46" s="145" t="s">
        <v>3853</v>
      </c>
      <c r="U46" s="144">
        <v>534.34749999999997</v>
      </c>
      <c r="V46" s="146">
        <v>7.873134174920725E-5</v>
      </c>
      <c r="W46" s="146">
        <v>3.8075407862990418E-3</v>
      </c>
      <c r="X46" s="147">
        <v>8.0681070609996543E-4</v>
      </c>
      <c r="Y46" s="183"/>
    </row>
    <row r="47" spans="1:25" ht="15" x14ac:dyDescent="0.2">
      <c r="A47" s="142" t="s">
        <v>1205</v>
      </c>
      <c r="B47" s="143" t="s">
        <v>1205</v>
      </c>
      <c r="C47" s="143" t="s">
        <v>2231</v>
      </c>
      <c r="D47" s="143" t="s">
        <v>2232</v>
      </c>
      <c r="E47" s="143" t="s">
        <v>309</v>
      </c>
      <c r="F47" s="143" t="s">
        <v>2233</v>
      </c>
      <c r="G47" s="143" t="s">
        <v>2234</v>
      </c>
      <c r="H47" s="143" t="s">
        <v>321</v>
      </c>
      <c r="I47" s="143" t="s">
        <v>917</v>
      </c>
      <c r="J47" s="143" t="s">
        <v>204</v>
      </c>
      <c r="K47" s="143" t="s">
        <v>204</v>
      </c>
      <c r="L47" s="143" t="s">
        <v>325</v>
      </c>
      <c r="M47" s="143" t="s">
        <v>340</v>
      </c>
      <c r="N47" s="143" t="s">
        <v>476</v>
      </c>
      <c r="O47" s="143" t="s">
        <v>339</v>
      </c>
      <c r="P47" s="143" t="s">
        <v>1210</v>
      </c>
      <c r="Q47" s="144">
        <v>1972</v>
      </c>
      <c r="R47" s="145" t="s">
        <v>3853</v>
      </c>
      <c r="S47" s="143" t="s">
        <v>2235</v>
      </c>
      <c r="T47" s="145" t="s">
        <v>3853</v>
      </c>
      <c r="U47" s="144">
        <v>528.49599999999998</v>
      </c>
      <c r="V47" s="146">
        <v>1.2401511902778686E-4</v>
      </c>
      <c r="W47" s="146">
        <v>3.7658452600208537E-3</v>
      </c>
      <c r="X47" s="147">
        <v>7.9797550277955316E-4</v>
      </c>
      <c r="Y47" s="183"/>
    </row>
    <row r="48" spans="1:25" ht="15" x14ac:dyDescent="0.2">
      <c r="A48" s="142" t="s">
        <v>1205</v>
      </c>
      <c r="B48" s="143" t="s">
        <v>1205</v>
      </c>
      <c r="C48" s="143" t="s">
        <v>1851</v>
      </c>
      <c r="D48" s="143" t="s">
        <v>1852</v>
      </c>
      <c r="E48" s="143" t="s">
        <v>309</v>
      </c>
      <c r="F48" s="143" t="s">
        <v>1851</v>
      </c>
      <c r="G48" s="143" t="s">
        <v>2236</v>
      </c>
      <c r="H48" s="143" t="s">
        <v>321</v>
      </c>
      <c r="I48" s="143" t="s">
        <v>917</v>
      </c>
      <c r="J48" s="143" t="s">
        <v>204</v>
      </c>
      <c r="K48" s="143" t="s">
        <v>204</v>
      </c>
      <c r="L48" s="143" t="s">
        <v>325</v>
      </c>
      <c r="M48" s="143" t="s">
        <v>340</v>
      </c>
      <c r="N48" s="143" t="s">
        <v>441</v>
      </c>
      <c r="O48" s="143" t="s">
        <v>339</v>
      </c>
      <c r="P48" s="143" t="s">
        <v>1210</v>
      </c>
      <c r="Q48" s="144">
        <v>6279</v>
      </c>
      <c r="R48" s="145" t="s">
        <v>3853</v>
      </c>
      <c r="S48" s="143" t="s">
        <v>2237</v>
      </c>
      <c r="T48" s="145" t="s">
        <v>3853</v>
      </c>
      <c r="U48" s="144">
        <v>518.01750000000004</v>
      </c>
      <c r="V48" s="146">
        <v>1.7667162476443785E-4</v>
      </c>
      <c r="W48" s="146">
        <v>3.6911797761626439E-3</v>
      </c>
      <c r="X48" s="147">
        <v>7.8215402767685502E-4</v>
      </c>
      <c r="Y48" s="183"/>
    </row>
    <row r="49" spans="1:25" ht="15" x14ac:dyDescent="0.2">
      <c r="A49" s="142" t="s">
        <v>1205</v>
      </c>
      <c r="B49" s="143" t="s">
        <v>1205</v>
      </c>
      <c r="C49" s="143" t="s">
        <v>2238</v>
      </c>
      <c r="D49" s="143" t="s">
        <v>2239</v>
      </c>
      <c r="E49" s="143" t="s">
        <v>309</v>
      </c>
      <c r="F49" s="143" t="s">
        <v>2240</v>
      </c>
      <c r="G49" s="143" t="s">
        <v>2241</v>
      </c>
      <c r="H49" s="143" t="s">
        <v>321</v>
      </c>
      <c r="I49" s="143" t="s">
        <v>917</v>
      </c>
      <c r="J49" s="143" t="s">
        <v>204</v>
      </c>
      <c r="K49" s="143" t="s">
        <v>204</v>
      </c>
      <c r="L49" s="143" t="s">
        <v>325</v>
      </c>
      <c r="M49" s="143" t="s">
        <v>340</v>
      </c>
      <c r="N49" s="143" t="s">
        <v>455</v>
      </c>
      <c r="O49" s="143" t="s">
        <v>339</v>
      </c>
      <c r="P49" s="143" t="s">
        <v>1210</v>
      </c>
      <c r="Q49" s="144">
        <v>9000</v>
      </c>
      <c r="R49" s="145" t="s">
        <v>3853</v>
      </c>
      <c r="S49" s="143" t="s">
        <v>2242</v>
      </c>
      <c r="T49" s="145" t="s">
        <v>3853</v>
      </c>
      <c r="U49" s="144">
        <v>505.8</v>
      </c>
      <c r="V49" s="146">
        <v>8.6718761517335513E-4</v>
      </c>
      <c r="W49" s="146">
        <v>3.6041228931128102E-3</v>
      </c>
      <c r="X49" s="147">
        <v>7.6370683847351345E-4</v>
      </c>
      <c r="Y49" s="183"/>
    </row>
    <row r="50" spans="1:25" ht="15" x14ac:dyDescent="0.2">
      <c r="A50" s="142" t="s">
        <v>1205</v>
      </c>
      <c r="B50" s="143" t="s">
        <v>1205</v>
      </c>
      <c r="C50" s="143" t="s">
        <v>2243</v>
      </c>
      <c r="D50" s="143" t="s">
        <v>2244</v>
      </c>
      <c r="E50" s="143" t="s">
        <v>309</v>
      </c>
      <c r="F50" s="143" t="s">
        <v>2245</v>
      </c>
      <c r="G50" s="143" t="s">
        <v>2246</v>
      </c>
      <c r="H50" s="143" t="s">
        <v>321</v>
      </c>
      <c r="I50" s="143" t="s">
        <v>917</v>
      </c>
      <c r="J50" s="143" t="s">
        <v>204</v>
      </c>
      <c r="K50" s="143" t="s">
        <v>204</v>
      </c>
      <c r="L50" s="143" t="s">
        <v>325</v>
      </c>
      <c r="M50" s="143" t="s">
        <v>340</v>
      </c>
      <c r="N50" s="143" t="s">
        <v>476</v>
      </c>
      <c r="O50" s="143" t="s">
        <v>339</v>
      </c>
      <c r="P50" s="143" t="s">
        <v>1210</v>
      </c>
      <c r="Q50" s="144">
        <v>2359</v>
      </c>
      <c r="R50" s="145" t="s">
        <v>3853</v>
      </c>
      <c r="S50" s="143" t="s">
        <v>2247</v>
      </c>
      <c r="T50" s="145" t="s">
        <v>3853</v>
      </c>
      <c r="U50" s="144">
        <v>462.36399999999998</v>
      </c>
      <c r="V50" s="146">
        <v>1.0286631604326002E-4</v>
      </c>
      <c r="W50" s="146">
        <v>3.2946158112914423E-3</v>
      </c>
      <c r="X50" s="147">
        <v>6.9812287201258911E-4</v>
      </c>
      <c r="Y50" s="183"/>
    </row>
    <row r="51" spans="1:25" ht="15" x14ac:dyDescent="0.2">
      <c r="A51" s="142" t="s">
        <v>1205</v>
      </c>
      <c r="B51" s="143" t="s">
        <v>1205</v>
      </c>
      <c r="C51" s="143" t="s">
        <v>2248</v>
      </c>
      <c r="D51" s="143" t="s">
        <v>2249</v>
      </c>
      <c r="E51" s="143" t="s">
        <v>309</v>
      </c>
      <c r="F51" s="143" t="s">
        <v>2250</v>
      </c>
      <c r="G51" s="143" t="s">
        <v>2251</v>
      </c>
      <c r="H51" s="143" t="s">
        <v>321</v>
      </c>
      <c r="I51" s="143" t="s">
        <v>917</v>
      </c>
      <c r="J51" s="143" t="s">
        <v>204</v>
      </c>
      <c r="K51" s="143" t="s">
        <v>204</v>
      </c>
      <c r="L51" s="143" t="s">
        <v>325</v>
      </c>
      <c r="M51" s="143" t="s">
        <v>340</v>
      </c>
      <c r="N51" s="143" t="s">
        <v>451</v>
      </c>
      <c r="O51" s="143" t="s">
        <v>339</v>
      </c>
      <c r="P51" s="143" t="s">
        <v>1210</v>
      </c>
      <c r="Q51" s="144">
        <v>887168</v>
      </c>
      <c r="R51" s="145" t="s">
        <v>3853</v>
      </c>
      <c r="S51" s="143" t="s">
        <v>2252</v>
      </c>
      <c r="T51" s="145" t="s">
        <v>3853</v>
      </c>
      <c r="U51" s="144">
        <v>461.32740000000001</v>
      </c>
      <c r="V51" s="146">
        <v>7.0134318784514503E-4</v>
      </c>
      <c r="W51" s="146">
        <v>3.2872291407577995E-3</v>
      </c>
      <c r="X51" s="147">
        <v>6.9655765046843106E-4</v>
      </c>
      <c r="Y51" s="183"/>
    </row>
    <row r="52" spans="1:25" ht="15" x14ac:dyDescent="0.2">
      <c r="A52" s="142" t="s">
        <v>1205</v>
      </c>
      <c r="B52" s="143" t="s">
        <v>1205</v>
      </c>
      <c r="C52" s="143" t="s">
        <v>2253</v>
      </c>
      <c r="D52" s="143" t="s">
        <v>2254</v>
      </c>
      <c r="E52" s="143" t="s">
        <v>309</v>
      </c>
      <c r="F52" s="143" t="s">
        <v>2255</v>
      </c>
      <c r="G52" s="143" t="s">
        <v>2256</v>
      </c>
      <c r="H52" s="143" t="s">
        <v>321</v>
      </c>
      <c r="I52" s="143" t="s">
        <v>917</v>
      </c>
      <c r="J52" s="143" t="s">
        <v>204</v>
      </c>
      <c r="K52" s="143" t="s">
        <v>204</v>
      </c>
      <c r="L52" s="143" t="s">
        <v>325</v>
      </c>
      <c r="M52" s="143" t="s">
        <v>340</v>
      </c>
      <c r="N52" s="143" t="s">
        <v>476</v>
      </c>
      <c r="O52" s="143" t="s">
        <v>339</v>
      </c>
      <c r="P52" s="143" t="s">
        <v>1210</v>
      </c>
      <c r="Q52" s="144">
        <v>6390</v>
      </c>
      <c r="R52" s="145" t="s">
        <v>3853</v>
      </c>
      <c r="S52" s="143" t="s">
        <v>2257</v>
      </c>
      <c r="T52" s="144">
        <v>5.1758999999999995</v>
      </c>
      <c r="U52" s="144">
        <v>446.14979999999997</v>
      </c>
      <c r="V52" s="146">
        <v>9.957003198208126E-5</v>
      </c>
      <c r="W52" s="146">
        <v>3.2159614227365843E-3</v>
      </c>
      <c r="X52" s="147">
        <v>6.8145615553350219E-4</v>
      </c>
      <c r="Y52" s="183"/>
    </row>
    <row r="53" spans="1:25" ht="15" x14ac:dyDescent="0.2">
      <c r="A53" s="142" t="s">
        <v>1205</v>
      </c>
      <c r="B53" s="143" t="s">
        <v>1205</v>
      </c>
      <c r="C53" s="143" t="s">
        <v>1889</v>
      </c>
      <c r="D53" s="143" t="s">
        <v>1890</v>
      </c>
      <c r="E53" s="143" t="s">
        <v>309</v>
      </c>
      <c r="F53" s="143" t="s">
        <v>2258</v>
      </c>
      <c r="G53" s="143" t="s">
        <v>2259</v>
      </c>
      <c r="H53" s="143" t="s">
        <v>321</v>
      </c>
      <c r="I53" s="143" t="s">
        <v>917</v>
      </c>
      <c r="J53" s="143" t="s">
        <v>204</v>
      </c>
      <c r="K53" s="143" t="s">
        <v>204</v>
      </c>
      <c r="L53" s="143" t="s">
        <v>325</v>
      </c>
      <c r="M53" s="143" t="s">
        <v>340</v>
      </c>
      <c r="N53" s="143" t="s">
        <v>437</v>
      </c>
      <c r="O53" s="143" t="s">
        <v>339</v>
      </c>
      <c r="P53" s="143" t="s">
        <v>1210</v>
      </c>
      <c r="Q53" s="144">
        <v>2724</v>
      </c>
      <c r="R53" s="145" t="s">
        <v>3853</v>
      </c>
      <c r="S53" s="143" t="s">
        <v>2260</v>
      </c>
      <c r="T53" s="145" t="s">
        <v>3853</v>
      </c>
      <c r="U53" s="144">
        <v>427.66800000000001</v>
      </c>
      <c r="V53" s="146">
        <v>1.0117566945032232E-4</v>
      </c>
      <c r="W53" s="146">
        <v>3.0473863769311378E-3</v>
      </c>
      <c r="X53" s="147">
        <v>6.4573542150314471E-4</v>
      </c>
      <c r="Y53" s="183"/>
    </row>
    <row r="54" spans="1:25" ht="15" x14ac:dyDescent="0.2">
      <c r="A54" s="142" t="s">
        <v>1205</v>
      </c>
      <c r="B54" s="143" t="s">
        <v>1205</v>
      </c>
      <c r="C54" s="143" t="s">
        <v>2261</v>
      </c>
      <c r="D54" s="143" t="s">
        <v>2262</v>
      </c>
      <c r="E54" s="143" t="s">
        <v>309</v>
      </c>
      <c r="F54" s="143" t="s">
        <v>2263</v>
      </c>
      <c r="G54" s="143" t="s">
        <v>2264</v>
      </c>
      <c r="H54" s="143" t="s">
        <v>321</v>
      </c>
      <c r="I54" s="143" t="s">
        <v>917</v>
      </c>
      <c r="J54" s="143" t="s">
        <v>204</v>
      </c>
      <c r="K54" s="143" t="s">
        <v>204</v>
      </c>
      <c r="L54" s="143" t="s">
        <v>325</v>
      </c>
      <c r="M54" s="143" t="s">
        <v>340</v>
      </c>
      <c r="N54" s="143" t="s">
        <v>445</v>
      </c>
      <c r="O54" s="143" t="s">
        <v>339</v>
      </c>
      <c r="P54" s="143" t="s">
        <v>1210</v>
      </c>
      <c r="Q54" s="144">
        <v>4295</v>
      </c>
      <c r="R54" s="145" t="s">
        <v>3853</v>
      </c>
      <c r="S54" s="143" t="s">
        <v>2265</v>
      </c>
      <c r="T54" s="145" t="s">
        <v>3853</v>
      </c>
      <c r="U54" s="144">
        <v>423.61590000000001</v>
      </c>
      <c r="V54" s="146">
        <v>2.9247314405361243E-4</v>
      </c>
      <c r="W54" s="146">
        <v>3.0185124216497478E-3</v>
      </c>
      <c r="X54" s="147">
        <v>6.3961708487696742E-4</v>
      </c>
      <c r="Y54" s="183"/>
    </row>
    <row r="55" spans="1:25" ht="15" x14ac:dyDescent="0.2">
      <c r="A55" s="142" t="s">
        <v>1205</v>
      </c>
      <c r="B55" s="143" t="s">
        <v>1205</v>
      </c>
      <c r="C55" s="143" t="s">
        <v>2266</v>
      </c>
      <c r="D55" s="143" t="s">
        <v>2267</v>
      </c>
      <c r="E55" s="143" t="s">
        <v>309</v>
      </c>
      <c r="F55" s="143" t="s">
        <v>2268</v>
      </c>
      <c r="G55" s="143" t="s">
        <v>2269</v>
      </c>
      <c r="H55" s="143" t="s">
        <v>321</v>
      </c>
      <c r="I55" s="143" t="s">
        <v>917</v>
      </c>
      <c r="J55" s="143" t="s">
        <v>204</v>
      </c>
      <c r="K55" s="143" t="s">
        <v>204</v>
      </c>
      <c r="L55" s="143" t="s">
        <v>325</v>
      </c>
      <c r="M55" s="143" t="s">
        <v>340</v>
      </c>
      <c r="N55" s="143" t="s">
        <v>475</v>
      </c>
      <c r="O55" s="143" t="s">
        <v>339</v>
      </c>
      <c r="P55" s="143" t="s">
        <v>1210</v>
      </c>
      <c r="Q55" s="144">
        <v>86618</v>
      </c>
      <c r="R55" s="145" t="s">
        <v>3853</v>
      </c>
      <c r="S55" s="143" t="s">
        <v>2270</v>
      </c>
      <c r="T55" s="145" t="s">
        <v>3853</v>
      </c>
      <c r="U55" s="144">
        <v>423.12890000000004</v>
      </c>
      <c r="V55" s="146">
        <v>7.9635941157113585E-4</v>
      </c>
      <c r="W55" s="146">
        <v>3.0150428298760931E-3</v>
      </c>
      <c r="X55" s="147">
        <v>6.3888188492878726E-4</v>
      </c>
      <c r="Y55" s="183"/>
    </row>
    <row r="56" spans="1:25" ht="15" x14ac:dyDescent="0.2">
      <c r="A56" s="142" t="s">
        <v>1205</v>
      </c>
      <c r="B56" s="143" t="s">
        <v>1205</v>
      </c>
      <c r="C56" s="143" t="s">
        <v>2271</v>
      </c>
      <c r="D56" s="143" t="s">
        <v>2272</v>
      </c>
      <c r="E56" s="143" t="s">
        <v>309</v>
      </c>
      <c r="F56" s="143" t="s">
        <v>2273</v>
      </c>
      <c r="G56" s="143" t="s">
        <v>2274</v>
      </c>
      <c r="H56" s="143" t="s">
        <v>321</v>
      </c>
      <c r="I56" s="143" t="s">
        <v>917</v>
      </c>
      <c r="J56" s="143" t="s">
        <v>204</v>
      </c>
      <c r="K56" s="143" t="s">
        <v>204</v>
      </c>
      <c r="L56" s="143" t="s">
        <v>325</v>
      </c>
      <c r="M56" s="143" t="s">
        <v>340</v>
      </c>
      <c r="N56" s="143" t="s">
        <v>473</v>
      </c>
      <c r="O56" s="143" t="s">
        <v>339</v>
      </c>
      <c r="P56" s="143" t="s">
        <v>1210</v>
      </c>
      <c r="Q56" s="144">
        <v>29792.22</v>
      </c>
      <c r="R56" s="145" t="s">
        <v>3853</v>
      </c>
      <c r="S56" s="143" t="s">
        <v>2275</v>
      </c>
      <c r="T56" s="145" t="s">
        <v>3853</v>
      </c>
      <c r="U56" s="144">
        <v>419.47449999999998</v>
      </c>
      <c r="V56" s="146">
        <v>2.7127700869480464E-4</v>
      </c>
      <c r="W56" s="146">
        <v>2.9890025617086576E-3</v>
      </c>
      <c r="X56" s="147">
        <v>6.3336400125363367E-4</v>
      </c>
      <c r="Y56" s="183"/>
    </row>
    <row r="57" spans="1:25" ht="15" x14ac:dyDescent="0.2">
      <c r="A57" s="142" t="s">
        <v>1205</v>
      </c>
      <c r="B57" s="143" t="s">
        <v>1205</v>
      </c>
      <c r="C57" s="143" t="s">
        <v>1501</v>
      </c>
      <c r="D57" s="143" t="s">
        <v>1502</v>
      </c>
      <c r="E57" s="143" t="s">
        <v>309</v>
      </c>
      <c r="F57" s="143" t="s">
        <v>2276</v>
      </c>
      <c r="G57" s="143" t="s">
        <v>2277</v>
      </c>
      <c r="H57" s="143" t="s">
        <v>321</v>
      </c>
      <c r="I57" s="143" t="s">
        <v>917</v>
      </c>
      <c r="J57" s="143" t="s">
        <v>204</v>
      </c>
      <c r="K57" s="143" t="s">
        <v>204</v>
      </c>
      <c r="L57" s="143" t="s">
        <v>325</v>
      </c>
      <c r="M57" s="143" t="s">
        <v>340</v>
      </c>
      <c r="N57" s="143" t="s">
        <v>464</v>
      </c>
      <c r="O57" s="143" t="s">
        <v>339</v>
      </c>
      <c r="P57" s="143" t="s">
        <v>1210</v>
      </c>
      <c r="Q57" s="144">
        <v>27400</v>
      </c>
      <c r="R57" s="145" t="s">
        <v>3853</v>
      </c>
      <c r="S57" s="143" t="s">
        <v>2278</v>
      </c>
      <c r="T57" s="145" t="s">
        <v>3853</v>
      </c>
      <c r="U57" s="144">
        <v>413.74</v>
      </c>
      <c r="V57" s="146">
        <v>5.8112311076134384E-5</v>
      </c>
      <c r="W57" s="146">
        <v>2.9481411739748797E-3</v>
      </c>
      <c r="X57" s="147">
        <v>6.2470555031639275E-4</v>
      </c>
      <c r="Y57" s="183"/>
    </row>
    <row r="58" spans="1:25" ht="15" x14ac:dyDescent="0.2">
      <c r="A58" s="142" t="s">
        <v>1205</v>
      </c>
      <c r="B58" s="143" t="s">
        <v>1205</v>
      </c>
      <c r="C58" s="143" t="s">
        <v>2279</v>
      </c>
      <c r="D58" s="143" t="s">
        <v>2280</v>
      </c>
      <c r="E58" s="143" t="s">
        <v>309</v>
      </c>
      <c r="F58" s="143" t="s">
        <v>2281</v>
      </c>
      <c r="G58" s="143" t="s">
        <v>2282</v>
      </c>
      <c r="H58" s="143" t="s">
        <v>321</v>
      </c>
      <c r="I58" s="143" t="s">
        <v>917</v>
      </c>
      <c r="J58" s="143" t="s">
        <v>204</v>
      </c>
      <c r="K58" s="143" t="s">
        <v>204</v>
      </c>
      <c r="L58" s="143" t="s">
        <v>325</v>
      </c>
      <c r="M58" s="143" t="s">
        <v>340</v>
      </c>
      <c r="N58" s="143" t="s">
        <v>476</v>
      </c>
      <c r="O58" s="143" t="s">
        <v>339</v>
      </c>
      <c r="P58" s="143" t="s">
        <v>1210</v>
      </c>
      <c r="Q58" s="144">
        <v>8871</v>
      </c>
      <c r="R58" s="145" t="s">
        <v>3853</v>
      </c>
      <c r="S58" s="143" t="s">
        <v>2283</v>
      </c>
      <c r="T58" s="145" t="s">
        <v>3853</v>
      </c>
      <c r="U58" s="144">
        <v>403.18700000000001</v>
      </c>
      <c r="V58" s="146">
        <v>1.2351007015012775E-4</v>
      </c>
      <c r="W58" s="146">
        <v>2.8729444774601228E-3</v>
      </c>
      <c r="X58" s="147">
        <v>6.0877151225440602E-4</v>
      </c>
      <c r="Y58" s="183"/>
    </row>
    <row r="59" spans="1:25" ht="15" x14ac:dyDescent="0.2">
      <c r="A59" s="142" t="s">
        <v>1205</v>
      </c>
      <c r="B59" s="143" t="s">
        <v>1205</v>
      </c>
      <c r="C59" s="143" t="s">
        <v>2284</v>
      </c>
      <c r="D59" s="143" t="s">
        <v>2285</v>
      </c>
      <c r="E59" s="143" t="s">
        <v>309</v>
      </c>
      <c r="F59" s="143" t="s">
        <v>2286</v>
      </c>
      <c r="G59" s="143" t="s">
        <v>2287</v>
      </c>
      <c r="H59" s="143" t="s">
        <v>321</v>
      </c>
      <c r="I59" s="143" t="s">
        <v>917</v>
      </c>
      <c r="J59" s="143" t="s">
        <v>204</v>
      </c>
      <c r="K59" s="143" t="s">
        <v>204</v>
      </c>
      <c r="L59" s="143" t="s">
        <v>325</v>
      </c>
      <c r="M59" s="143" t="s">
        <v>340</v>
      </c>
      <c r="N59" s="143" t="s">
        <v>441</v>
      </c>
      <c r="O59" s="143" t="s">
        <v>339</v>
      </c>
      <c r="P59" s="143" t="s">
        <v>1210</v>
      </c>
      <c r="Q59" s="144">
        <v>28771</v>
      </c>
      <c r="R59" s="145" t="s">
        <v>3853</v>
      </c>
      <c r="S59" s="143" t="s">
        <v>2288</v>
      </c>
      <c r="T59" s="145" t="s">
        <v>3853</v>
      </c>
      <c r="U59" s="144">
        <v>401.35550000000001</v>
      </c>
      <c r="V59" s="146">
        <v>5.2363448289972777E-5</v>
      </c>
      <c r="W59" s="146">
        <v>2.8598939612902211E-3</v>
      </c>
      <c r="X59" s="147">
        <v>6.0600613251011136E-4</v>
      </c>
      <c r="Y59" s="183"/>
    </row>
    <row r="60" spans="1:25" ht="15" x14ac:dyDescent="0.2">
      <c r="A60" s="142" t="s">
        <v>1205</v>
      </c>
      <c r="B60" s="143" t="s">
        <v>1205</v>
      </c>
      <c r="C60" s="143" t="s">
        <v>2289</v>
      </c>
      <c r="D60" s="143" t="s">
        <v>2290</v>
      </c>
      <c r="E60" s="143" t="s">
        <v>309</v>
      </c>
      <c r="F60" s="143" t="s">
        <v>2291</v>
      </c>
      <c r="G60" s="143" t="s">
        <v>2292</v>
      </c>
      <c r="H60" s="143" t="s">
        <v>321</v>
      </c>
      <c r="I60" s="143" t="s">
        <v>917</v>
      </c>
      <c r="J60" s="143" t="s">
        <v>204</v>
      </c>
      <c r="K60" s="143" t="s">
        <v>204</v>
      </c>
      <c r="L60" s="143" t="s">
        <v>325</v>
      </c>
      <c r="M60" s="143" t="s">
        <v>340</v>
      </c>
      <c r="N60" s="143" t="s">
        <v>475</v>
      </c>
      <c r="O60" s="143" t="s">
        <v>339</v>
      </c>
      <c r="P60" s="143" t="s">
        <v>1210</v>
      </c>
      <c r="Q60" s="144">
        <v>46000</v>
      </c>
      <c r="R60" s="145" t="s">
        <v>3853</v>
      </c>
      <c r="S60" s="143" t="s">
        <v>2293</v>
      </c>
      <c r="T60" s="145" t="s">
        <v>3853</v>
      </c>
      <c r="U60" s="144">
        <v>400.89</v>
      </c>
      <c r="V60" s="146">
        <v>3.2148281965760096E-4</v>
      </c>
      <c r="W60" s="146">
        <v>2.8565773559114166E-3</v>
      </c>
      <c r="X60" s="147">
        <v>6.0530335009024679E-4</v>
      </c>
      <c r="Y60" s="183"/>
    </row>
    <row r="61" spans="1:25" ht="15" x14ac:dyDescent="0.2">
      <c r="A61" s="142" t="s">
        <v>1205</v>
      </c>
      <c r="B61" s="143" t="s">
        <v>1205</v>
      </c>
      <c r="C61" s="143" t="s">
        <v>1617</v>
      </c>
      <c r="D61" s="143" t="s">
        <v>1618</v>
      </c>
      <c r="E61" s="143" t="s">
        <v>309</v>
      </c>
      <c r="F61" s="143" t="s">
        <v>2294</v>
      </c>
      <c r="G61" s="143" t="s">
        <v>2295</v>
      </c>
      <c r="H61" s="143" t="s">
        <v>321</v>
      </c>
      <c r="I61" s="143" t="s">
        <v>917</v>
      </c>
      <c r="J61" s="143" t="s">
        <v>204</v>
      </c>
      <c r="K61" s="143" t="s">
        <v>204</v>
      </c>
      <c r="L61" s="143" t="s">
        <v>325</v>
      </c>
      <c r="M61" s="143" t="s">
        <v>340</v>
      </c>
      <c r="N61" s="143" t="s">
        <v>440</v>
      </c>
      <c r="O61" s="143" t="s">
        <v>339</v>
      </c>
      <c r="P61" s="143" t="s">
        <v>1210</v>
      </c>
      <c r="Q61" s="144">
        <v>1076</v>
      </c>
      <c r="R61" s="145" t="s">
        <v>3853</v>
      </c>
      <c r="S61" s="143" t="s">
        <v>2296</v>
      </c>
      <c r="T61" s="144">
        <v>17.646999999999998</v>
      </c>
      <c r="U61" s="144">
        <v>388.22140000000002</v>
      </c>
      <c r="V61" s="146">
        <v>7.813891123158253E-5</v>
      </c>
      <c r="W61" s="146">
        <v>2.8920506754028827E-3</v>
      </c>
      <c r="X61" s="147">
        <v>6.1282007953661431E-4</v>
      </c>
      <c r="Y61" s="183"/>
    </row>
    <row r="62" spans="1:25" ht="15" x14ac:dyDescent="0.2">
      <c r="A62" s="142" t="s">
        <v>1205</v>
      </c>
      <c r="B62" s="143" t="s">
        <v>1205</v>
      </c>
      <c r="C62" s="143" t="s">
        <v>2297</v>
      </c>
      <c r="D62" s="143" t="s">
        <v>2298</v>
      </c>
      <c r="E62" s="143" t="s">
        <v>309</v>
      </c>
      <c r="F62" s="143" t="s">
        <v>2297</v>
      </c>
      <c r="G62" s="143" t="s">
        <v>2299</v>
      </c>
      <c r="H62" s="143" t="s">
        <v>321</v>
      </c>
      <c r="I62" s="143" t="s">
        <v>917</v>
      </c>
      <c r="J62" s="143" t="s">
        <v>204</v>
      </c>
      <c r="K62" s="143" t="s">
        <v>204</v>
      </c>
      <c r="L62" s="143" t="s">
        <v>325</v>
      </c>
      <c r="M62" s="143" t="s">
        <v>340</v>
      </c>
      <c r="N62" s="143" t="s">
        <v>471</v>
      </c>
      <c r="O62" s="143" t="s">
        <v>339</v>
      </c>
      <c r="P62" s="143" t="s">
        <v>1210</v>
      </c>
      <c r="Q62" s="144">
        <v>21360</v>
      </c>
      <c r="R62" s="145" t="s">
        <v>3853</v>
      </c>
      <c r="S62" s="143" t="s">
        <v>2300</v>
      </c>
      <c r="T62" s="145" t="s">
        <v>3853</v>
      </c>
      <c r="U62" s="144">
        <v>378.072</v>
      </c>
      <c r="V62" s="146">
        <v>1.4714259212479896E-4</v>
      </c>
      <c r="W62" s="146">
        <v>2.693985667150942E-3</v>
      </c>
      <c r="X62" s="147">
        <v>5.7085047812447255E-4</v>
      </c>
      <c r="Y62" s="183"/>
    </row>
    <row r="63" spans="1:25" ht="15" x14ac:dyDescent="0.2">
      <c r="A63" s="142" t="s">
        <v>1205</v>
      </c>
      <c r="B63" s="143" t="s">
        <v>1205</v>
      </c>
      <c r="C63" s="143" t="s">
        <v>2301</v>
      </c>
      <c r="D63" s="143" t="s">
        <v>2302</v>
      </c>
      <c r="E63" s="143" t="s">
        <v>309</v>
      </c>
      <c r="F63" s="143" t="s">
        <v>2303</v>
      </c>
      <c r="G63" s="143" t="s">
        <v>2304</v>
      </c>
      <c r="H63" s="143" t="s">
        <v>321</v>
      </c>
      <c r="I63" s="143" t="s">
        <v>917</v>
      </c>
      <c r="J63" s="143" t="s">
        <v>204</v>
      </c>
      <c r="K63" s="143" t="s">
        <v>204</v>
      </c>
      <c r="L63" s="143" t="s">
        <v>325</v>
      </c>
      <c r="M63" s="143" t="s">
        <v>340</v>
      </c>
      <c r="N63" s="143" t="s">
        <v>465</v>
      </c>
      <c r="O63" s="143" t="s">
        <v>339</v>
      </c>
      <c r="P63" s="143" t="s">
        <v>1210</v>
      </c>
      <c r="Q63" s="144">
        <v>63085</v>
      </c>
      <c r="R63" s="145" t="s">
        <v>3853</v>
      </c>
      <c r="S63" s="143" t="s">
        <v>2305</v>
      </c>
      <c r="T63" s="145" t="s">
        <v>3853</v>
      </c>
      <c r="U63" s="144">
        <v>353.59140000000002</v>
      </c>
      <c r="V63" s="146">
        <v>9.2709001705325398E-4</v>
      </c>
      <c r="W63" s="146">
        <v>2.5195471523346805E-3</v>
      </c>
      <c r="X63" s="147">
        <v>5.3388728607768772E-4</v>
      </c>
      <c r="Y63" s="183"/>
    </row>
    <row r="64" spans="1:25" ht="15" x14ac:dyDescent="0.2">
      <c r="A64" s="142" t="s">
        <v>1205</v>
      </c>
      <c r="B64" s="143" t="s">
        <v>1205</v>
      </c>
      <c r="C64" s="143" t="s">
        <v>2306</v>
      </c>
      <c r="D64" s="143" t="s">
        <v>2307</v>
      </c>
      <c r="E64" s="143" t="s">
        <v>309</v>
      </c>
      <c r="F64" s="143" t="s">
        <v>2308</v>
      </c>
      <c r="G64" s="143" t="s">
        <v>2309</v>
      </c>
      <c r="H64" s="143" t="s">
        <v>321</v>
      </c>
      <c r="I64" s="143" t="s">
        <v>917</v>
      </c>
      <c r="J64" s="143" t="s">
        <v>204</v>
      </c>
      <c r="K64" s="143" t="s">
        <v>204</v>
      </c>
      <c r="L64" s="143" t="s">
        <v>325</v>
      </c>
      <c r="M64" s="143" t="s">
        <v>340</v>
      </c>
      <c r="N64" s="143" t="s">
        <v>447</v>
      </c>
      <c r="O64" s="143" t="s">
        <v>339</v>
      </c>
      <c r="P64" s="143" t="s">
        <v>1210</v>
      </c>
      <c r="Q64" s="144">
        <v>28861</v>
      </c>
      <c r="R64" s="145" t="s">
        <v>3853</v>
      </c>
      <c r="S64" s="143" t="s">
        <v>2310</v>
      </c>
      <c r="T64" s="145" t="s">
        <v>3853</v>
      </c>
      <c r="U64" s="144">
        <v>348.92950000000002</v>
      </c>
      <c r="V64" s="146">
        <v>1.0274187122448276E-4</v>
      </c>
      <c r="W64" s="146">
        <v>2.4863281197927589E-3</v>
      </c>
      <c r="X64" s="147">
        <v>5.2684823578109019E-4</v>
      </c>
      <c r="Y64" s="183"/>
    </row>
    <row r="65" spans="1:25" ht="15" x14ac:dyDescent="0.2">
      <c r="A65" s="142" t="s">
        <v>1205</v>
      </c>
      <c r="B65" s="143" t="s">
        <v>1205</v>
      </c>
      <c r="C65" s="143" t="s">
        <v>1841</v>
      </c>
      <c r="D65" s="143" t="s">
        <v>1842</v>
      </c>
      <c r="E65" s="143" t="s">
        <v>309</v>
      </c>
      <c r="F65" s="143" t="s">
        <v>2311</v>
      </c>
      <c r="G65" s="143" t="s">
        <v>2312</v>
      </c>
      <c r="H65" s="143" t="s">
        <v>321</v>
      </c>
      <c r="I65" s="143" t="s">
        <v>917</v>
      </c>
      <c r="J65" s="143" t="s">
        <v>204</v>
      </c>
      <c r="K65" s="143" t="s">
        <v>204</v>
      </c>
      <c r="L65" s="143" t="s">
        <v>325</v>
      </c>
      <c r="M65" s="143" t="s">
        <v>340</v>
      </c>
      <c r="N65" s="143" t="s">
        <v>454</v>
      </c>
      <c r="O65" s="143" t="s">
        <v>339</v>
      </c>
      <c r="P65" s="143" t="s">
        <v>1210</v>
      </c>
      <c r="Q65" s="144">
        <v>236093.9</v>
      </c>
      <c r="R65" s="145" t="s">
        <v>3853</v>
      </c>
      <c r="S65" s="143" t="s">
        <v>2313</v>
      </c>
      <c r="T65" s="145" t="s">
        <v>3853</v>
      </c>
      <c r="U65" s="144">
        <v>347.53020000000004</v>
      </c>
      <c r="V65" s="146">
        <v>9.0953777751661313E-5</v>
      </c>
      <c r="W65" s="146">
        <v>2.4763575026370698E-3</v>
      </c>
      <c r="X65" s="147">
        <v>5.2473548082477282E-4</v>
      </c>
      <c r="Y65" s="183"/>
    </row>
    <row r="66" spans="1:25" ht="15" x14ac:dyDescent="0.2">
      <c r="A66" s="142" t="s">
        <v>1205</v>
      </c>
      <c r="B66" s="143" t="s">
        <v>1205</v>
      </c>
      <c r="C66" s="143" t="s">
        <v>2314</v>
      </c>
      <c r="D66" s="143" t="s">
        <v>2315</v>
      </c>
      <c r="E66" s="143" t="s">
        <v>309</v>
      </c>
      <c r="F66" s="143" t="s">
        <v>2316</v>
      </c>
      <c r="G66" s="143" t="s">
        <v>2317</v>
      </c>
      <c r="H66" s="143" t="s">
        <v>321</v>
      </c>
      <c r="I66" s="143" t="s">
        <v>917</v>
      </c>
      <c r="J66" s="143" t="s">
        <v>204</v>
      </c>
      <c r="K66" s="143" t="s">
        <v>204</v>
      </c>
      <c r="L66" s="143" t="s">
        <v>325</v>
      </c>
      <c r="M66" s="143" t="s">
        <v>340</v>
      </c>
      <c r="N66" s="143" t="s">
        <v>447</v>
      </c>
      <c r="O66" s="143" t="s">
        <v>339</v>
      </c>
      <c r="P66" s="143" t="s">
        <v>1210</v>
      </c>
      <c r="Q66" s="144">
        <v>21799</v>
      </c>
      <c r="R66" s="145" t="s">
        <v>3853</v>
      </c>
      <c r="S66" s="143" t="s">
        <v>2318</v>
      </c>
      <c r="T66" s="145" t="s">
        <v>3853</v>
      </c>
      <c r="U66" s="144">
        <v>337.66649999999998</v>
      </c>
      <c r="V66" s="146">
        <v>1.0332166032556973E-4</v>
      </c>
      <c r="W66" s="146">
        <v>2.4060727539116367E-3</v>
      </c>
      <c r="X66" s="147">
        <v>5.0984227522832151E-4</v>
      </c>
      <c r="Y66" s="183"/>
    </row>
    <row r="67" spans="1:25" ht="15" x14ac:dyDescent="0.2">
      <c r="A67" s="142" t="s">
        <v>1205</v>
      </c>
      <c r="B67" s="143" t="s">
        <v>1205</v>
      </c>
      <c r="C67" s="143" t="s">
        <v>2319</v>
      </c>
      <c r="D67" s="143" t="s">
        <v>2320</v>
      </c>
      <c r="E67" s="143" t="s">
        <v>309</v>
      </c>
      <c r="F67" s="143" t="s">
        <v>2321</v>
      </c>
      <c r="G67" s="143" t="s">
        <v>2322</v>
      </c>
      <c r="H67" s="143" t="s">
        <v>321</v>
      </c>
      <c r="I67" s="143" t="s">
        <v>917</v>
      </c>
      <c r="J67" s="143" t="s">
        <v>204</v>
      </c>
      <c r="K67" s="143" t="s">
        <v>204</v>
      </c>
      <c r="L67" s="143" t="s">
        <v>325</v>
      </c>
      <c r="M67" s="143" t="s">
        <v>340</v>
      </c>
      <c r="N67" s="143" t="s">
        <v>465</v>
      </c>
      <c r="O67" s="143" t="s">
        <v>339</v>
      </c>
      <c r="P67" s="143" t="s">
        <v>1210</v>
      </c>
      <c r="Q67" s="144">
        <v>6775</v>
      </c>
      <c r="R67" s="145" t="s">
        <v>3853</v>
      </c>
      <c r="S67" s="143" t="s">
        <v>2323</v>
      </c>
      <c r="T67" s="145" t="s">
        <v>3853</v>
      </c>
      <c r="U67" s="144">
        <v>285.22750000000002</v>
      </c>
      <c r="V67" s="146">
        <v>9.1649638434397989E-5</v>
      </c>
      <c r="W67" s="146">
        <v>2.0324139234783197E-3</v>
      </c>
      <c r="X67" s="147">
        <v>4.3066467431930421E-4</v>
      </c>
      <c r="Y67" s="183"/>
    </row>
    <row r="68" spans="1:25" ht="15" x14ac:dyDescent="0.2">
      <c r="A68" s="142" t="s">
        <v>1205</v>
      </c>
      <c r="B68" s="143" t="s">
        <v>1205</v>
      </c>
      <c r="C68" s="143" t="s">
        <v>1767</v>
      </c>
      <c r="D68" s="143" t="s">
        <v>1768</v>
      </c>
      <c r="E68" s="143" t="s">
        <v>309</v>
      </c>
      <c r="F68" s="143" t="s">
        <v>2324</v>
      </c>
      <c r="G68" s="143" t="s">
        <v>2325</v>
      </c>
      <c r="H68" s="143" t="s">
        <v>321</v>
      </c>
      <c r="I68" s="143" t="s">
        <v>917</v>
      </c>
      <c r="J68" s="143" t="s">
        <v>204</v>
      </c>
      <c r="K68" s="143" t="s">
        <v>204</v>
      </c>
      <c r="L68" s="143" t="s">
        <v>325</v>
      </c>
      <c r="M68" s="143" t="s">
        <v>340</v>
      </c>
      <c r="N68" s="143" t="s">
        <v>440</v>
      </c>
      <c r="O68" s="143" t="s">
        <v>339</v>
      </c>
      <c r="P68" s="143" t="s">
        <v>1210</v>
      </c>
      <c r="Q68" s="144">
        <v>328196</v>
      </c>
      <c r="R68" s="145" t="s">
        <v>3853</v>
      </c>
      <c r="S68" s="143" t="s">
        <v>2326</v>
      </c>
      <c r="T68" s="145" t="s">
        <v>3853</v>
      </c>
      <c r="U68" s="144">
        <v>284.54590000000002</v>
      </c>
      <c r="V68" s="146">
        <v>1.0203463972241678E-4</v>
      </c>
      <c r="W68" s="146">
        <v>2.0275573500658779E-3</v>
      </c>
      <c r="X68" s="147">
        <v>4.2963557557971403E-4</v>
      </c>
      <c r="Y68" s="183"/>
    </row>
    <row r="69" spans="1:25" ht="15" x14ac:dyDescent="0.2">
      <c r="A69" s="142" t="s">
        <v>1205</v>
      </c>
      <c r="B69" s="143" t="s">
        <v>1205</v>
      </c>
      <c r="C69" s="143" t="s">
        <v>2327</v>
      </c>
      <c r="D69" s="143" t="s">
        <v>2328</v>
      </c>
      <c r="E69" s="143" t="s">
        <v>309</v>
      </c>
      <c r="F69" s="143" t="s">
        <v>2329</v>
      </c>
      <c r="G69" s="143" t="s">
        <v>2330</v>
      </c>
      <c r="H69" s="143" t="s">
        <v>321</v>
      </c>
      <c r="I69" s="143" t="s">
        <v>917</v>
      </c>
      <c r="J69" s="143" t="s">
        <v>204</v>
      </c>
      <c r="K69" s="143" t="s">
        <v>204</v>
      </c>
      <c r="L69" s="143" t="s">
        <v>325</v>
      </c>
      <c r="M69" s="143" t="s">
        <v>340</v>
      </c>
      <c r="N69" s="143" t="s">
        <v>462</v>
      </c>
      <c r="O69" s="143" t="s">
        <v>339</v>
      </c>
      <c r="P69" s="143" t="s">
        <v>1210</v>
      </c>
      <c r="Q69" s="144">
        <v>1324</v>
      </c>
      <c r="R69" s="145" t="s">
        <v>3853</v>
      </c>
      <c r="S69" s="143" t="s">
        <v>2331</v>
      </c>
      <c r="T69" s="145" t="s">
        <v>3853</v>
      </c>
      <c r="U69" s="144">
        <v>257.25319999999999</v>
      </c>
      <c r="V69" s="146">
        <v>1.5420450102440007E-4</v>
      </c>
      <c r="W69" s="146">
        <v>1.8330805603925038E-3</v>
      </c>
      <c r="X69" s="147">
        <v>3.884263109118119E-4</v>
      </c>
      <c r="Y69" s="183"/>
    </row>
    <row r="70" spans="1:25" ht="15" x14ac:dyDescent="0.2">
      <c r="A70" s="142" t="s">
        <v>1205</v>
      </c>
      <c r="B70" s="143" t="s">
        <v>1205</v>
      </c>
      <c r="C70" s="143" t="s">
        <v>2332</v>
      </c>
      <c r="D70" s="143" t="s">
        <v>2333</v>
      </c>
      <c r="E70" s="143" t="s">
        <v>309</v>
      </c>
      <c r="F70" s="143" t="s">
        <v>2334</v>
      </c>
      <c r="G70" s="143" t="s">
        <v>2335</v>
      </c>
      <c r="H70" s="143" t="s">
        <v>321</v>
      </c>
      <c r="I70" s="143" t="s">
        <v>917</v>
      </c>
      <c r="J70" s="143" t="s">
        <v>204</v>
      </c>
      <c r="K70" s="143" t="s">
        <v>204</v>
      </c>
      <c r="L70" s="143" t="s">
        <v>325</v>
      </c>
      <c r="M70" s="143" t="s">
        <v>340</v>
      </c>
      <c r="N70" s="143" t="s">
        <v>448</v>
      </c>
      <c r="O70" s="143" t="s">
        <v>339</v>
      </c>
      <c r="P70" s="143" t="s">
        <v>1210</v>
      </c>
      <c r="Q70" s="144">
        <v>1663</v>
      </c>
      <c r="R70" s="145" t="s">
        <v>3853</v>
      </c>
      <c r="S70" s="143" t="s">
        <v>2336</v>
      </c>
      <c r="T70" s="145" t="s">
        <v>3853</v>
      </c>
      <c r="U70" s="144">
        <v>252.77600000000001</v>
      </c>
      <c r="V70" s="146">
        <v>4.6907649190582141E-5</v>
      </c>
      <c r="W70" s="146">
        <v>1.8011778735260652E-3</v>
      </c>
      <c r="X70" s="147">
        <v>3.8166619177932155E-4</v>
      </c>
      <c r="Y70" s="183"/>
    </row>
    <row r="71" spans="1:25" ht="15" x14ac:dyDescent="0.2">
      <c r="A71" s="142" t="s">
        <v>1205</v>
      </c>
      <c r="B71" s="143" t="s">
        <v>1205</v>
      </c>
      <c r="C71" s="143" t="s">
        <v>1634</v>
      </c>
      <c r="D71" s="143" t="s">
        <v>1635</v>
      </c>
      <c r="E71" s="143" t="s">
        <v>309</v>
      </c>
      <c r="F71" s="143" t="s">
        <v>2337</v>
      </c>
      <c r="G71" s="143" t="s">
        <v>2338</v>
      </c>
      <c r="H71" s="143" t="s">
        <v>321</v>
      </c>
      <c r="I71" s="143" t="s">
        <v>917</v>
      </c>
      <c r="J71" s="143" t="s">
        <v>204</v>
      </c>
      <c r="K71" s="143" t="s">
        <v>204</v>
      </c>
      <c r="L71" s="143" t="s">
        <v>325</v>
      </c>
      <c r="M71" s="143" t="s">
        <v>340</v>
      </c>
      <c r="N71" s="143" t="s">
        <v>464</v>
      </c>
      <c r="O71" s="143" t="s">
        <v>339</v>
      </c>
      <c r="P71" s="143" t="s">
        <v>1210</v>
      </c>
      <c r="Q71" s="144">
        <v>18131</v>
      </c>
      <c r="R71" s="145" t="s">
        <v>3853</v>
      </c>
      <c r="S71" s="143" t="s">
        <v>2339</v>
      </c>
      <c r="T71" s="145" t="s">
        <v>3853</v>
      </c>
      <c r="U71" s="144">
        <v>252.2022</v>
      </c>
      <c r="V71" s="146">
        <v>9.320628435828288E-5</v>
      </c>
      <c r="W71" s="146">
        <v>1.7970892818399457E-3</v>
      </c>
      <c r="X71" s="147">
        <v>3.8079982691801727E-4</v>
      </c>
      <c r="Y71" s="183"/>
    </row>
    <row r="72" spans="1:25" ht="15" x14ac:dyDescent="0.2">
      <c r="A72" s="142" t="s">
        <v>1205</v>
      </c>
      <c r="B72" s="143" t="s">
        <v>1205</v>
      </c>
      <c r="C72" s="143" t="s">
        <v>2340</v>
      </c>
      <c r="D72" s="143" t="s">
        <v>2341</v>
      </c>
      <c r="E72" s="143" t="s">
        <v>309</v>
      </c>
      <c r="F72" s="143" t="s">
        <v>2342</v>
      </c>
      <c r="G72" s="143" t="s">
        <v>2343</v>
      </c>
      <c r="H72" s="143" t="s">
        <v>321</v>
      </c>
      <c r="I72" s="143" t="s">
        <v>917</v>
      </c>
      <c r="J72" s="143" t="s">
        <v>204</v>
      </c>
      <c r="K72" s="143" t="s">
        <v>204</v>
      </c>
      <c r="L72" s="143" t="s">
        <v>325</v>
      </c>
      <c r="M72" s="143" t="s">
        <v>340</v>
      </c>
      <c r="N72" s="143" t="s">
        <v>480</v>
      </c>
      <c r="O72" s="143" t="s">
        <v>339</v>
      </c>
      <c r="P72" s="143" t="s">
        <v>1210</v>
      </c>
      <c r="Q72" s="144">
        <v>8042</v>
      </c>
      <c r="R72" s="145" t="s">
        <v>3853</v>
      </c>
      <c r="S72" s="143" t="s">
        <v>2344</v>
      </c>
      <c r="T72" s="145" t="s">
        <v>3853</v>
      </c>
      <c r="U72" s="144">
        <v>251.80110000000002</v>
      </c>
      <c r="V72" s="146">
        <v>1.8005955712782393E-4</v>
      </c>
      <c r="W72" s="146">
        <v>1.7942312508638877E-3</v>
      </c>
      <c r="X72" s="147">
        <v>3.8019421554856157E-4</v>
      </c>
      <c r="Y72" s="183"/>
    </row>
    <row r="73" spans="1:25" ht="15" x14ac:dyDescent="0.2">
      <c r="A73" s="142" t="s">
        <v>1205</v>
      </c>
      <c r="B73" s="143" t="s">
        <v>1205</v>
      </c>
      <c r="C73" s="143" t="s">
        <v>1672</v>
      </c>
      <c r="D73" s="143" t="s">
        <v>1673</v>
      </c>
      <c r="E73" s="143" t="s">
        <v>309</v>
      </c>
      <c r="F73" s="143" t="s">
        <v>2345</v>
      </c>
      <c r="G73" s="143" t="s">
        <v>2346</v>
      </c>
      <c r="H73" s="143" t="s">
        <v>321</v>
      </c>
      <c r="I73" s="143" t="s">
        <v>917</v>
      </c>
      <c r="J73" s="143" t="s">
        <v>204</v>
      </c>
      <c r="K73" s="143" t="s">
        <v>204</v>
      </c>
      <c r="L73" s="143" t="s">
        <v>325</v>
      </c>
      <c r="M73" s="143" t="s">
        <v>340</v>
      </c>
      <c r="N73" s="143" t="s">
        <v>447</v>
      </c>
      <c r="O73" s="143" t="s">
        <v>339</v>
      </c>
      <c r="P73" s="143" t="s">
        <v>1210</v>
      </c>
      <c r="Q73" s="144">
        <v>7000</v>
      </c>
      <c r="R73" s="145" t="s">
        <v>3853</v>
      </c>
      <c r="S73" s="143" t="s">
        <v>2347</v>
      </c>
      <c r="T73" s="145" t="s">
        <v>3853</v>
      </c>
      <c r="U73" s="144">
        <v>242.97</v>
      </c>
      <c r="V73" s="146">
        <v>1.1445231761937348E-4</v>
      </c>
      <c r="W73" s="146">
        <v>1.731304348239659E-3</v>
      </c>
      <c r="X73" s="147">
        <v>3.6686012365343926E-4</v>
      </c>
      <c r="Y73" s="183"/>
    </row>
    <row r="74" spans="1:25" ht="15" x14ac:dyDescent="0.2">
      <c r="A74" s="142" t="s">
        <v>1205</v>
      </c>
      <c r="B74" s="143" t="s">
        <v>1205</v>
      </c>
      <c r="C74" s="143" t="s">
        <v>2348</v>
      </c>
      <c r="D74" s="143" t="s">
        <v>2349</v>
      </c>
      <c r="E74" s="143" t="s">
        <v>309</v>
      </c>
      <c r="F74" s="143" t="s">
        <v>2350</v>
      </c>
      <c r="G74" s="143" t="s">
        <v>2351</v>
      </c>
      <c r="H74" s="143" t="s">
        <v>321</v>
      </c>
      <c r="I74" s="143" t="s">
        <v>917</v>
      </c>
      <c r="J74" s="143" t="s">
        <v>204</v>
      </c>
      <c r="K74" s="143" t="s">
        <v>204</v>
      </c>
      <c r="L74" s="143" t="s">
        <v>325</v>
      </c>
      <c r="M74" s="143" t="s">
        <v>340</v>
      </c>
      <c r="N74" s="143" t="s">
        <v>455</v>
      </c>
      <c r="O74" s="143" t="s">
        <v>339</v>
      </c>
      <c r="P74" s="143" t="s">
        <v>1210</v>
      </c>
      <c r="Q74" s="144">
        <v>10868</v>
      </c>
      <c r="R74" s="145" t="s">
        <v>3853</v>
      </c>
      <c r="S74" s="143" t="s">
        <v>2352</v>
      </c>
      <c r="T74" s="145" t="s">
        <v>3853</v>
      </c>
      <c r="U74" s="144">
        <v>241.1609</v>
      </c>
      <c r="V74" s="146">
        <v>4.3501358196619734E-4</v>
      </c>
      <c r="W74" s="146">
        <v>1.7184135877741143E-3</v>
      </c>
      <c r="X74" s="147">
        <v>3.6412859584136797E-4</v>
      </c>
      <c r="Y74" s="183"/>
    </row>
    <row r="75" spans="1:25" ht="15" x14ac:dyDescent="0.2">
      <c r="A75" s="142" t="s">
        <v>1205</v>
      </c>
      <c r="B75" s="143" t="s">
        <v>1205</v>
      </c>
      <c r="C75" s="143" t="s">
        <v>2353</v>
      </c>
      <c r="D75" s="143" t="s">
        <v>2354</v>
      </c>
      <c r="E75" s="143" t="s">
        <v>309</v>
      </c>
      <c r="F75" s="143" t="s">
        <v>2355</v>
      </c>
      <c r="G75" s="143" t="s">
        <v>2356</v>
      </c>
      <c r="H75" s="143" t="s">
        <v>321</v>
      </c>
      <c r="I75" s="143" t="s">
        <v>917</v>
      </c>
      <c r="J75" s="143" t="s">
        <v>204</v>
      </c>
      <c r="K75" s="143" t="s">
        <v>204</v>
      </c>
      <c r="L75" s="143" t="s">
        <v>325</v>
      </c>
      <c r="M75" s="143" t="s">
        <v>340</v>
      </c>
      <c r="N75" s="143" t="s">
        <v>451</v>
      </c>
      <c r="O75" s="143" t="s">
        <v>339</v>
      </c>
      <c r="P75" s="143" t="s">
        <v>1210</v>
      </c>
      <c r="Q75" s="144">
        <v>714000</v>
      </c>
      <c r="R75" s="145" t="s">
        <v>3853</v>
      </c>
      <c r="S75" s="143" t="s">
        <v>2357</v>
      </c>
      <c r="T75" s="145" t="s">
        <v>3853</v>
      </c>
      <c r="U75" s="144">
        <v>209.202</v>
      </c>
      <c r="V75" s="146">
        <v>2.3227641491958911E-3</v>
      </c>
      <c r="W75" s="146">
        <v>1.490687460428996E-3</v>
      </c>
      <c r="X75" s="147">
        <v>3.1587385927705808E-4</v>
      </c>
      <c r="Y75" s="183"/>
    </row>
    <row r="76" spans="1:25" ht="15" x14ac:dyDescent="0.2">
      <c r="A76" s="142" t="s">
        <v>1205</v>
      </c>
      <c r="B76" s="143" t="s">
        <v>1205</v>
      </c>
      <c r="C76" s="143" t="s">
        <v>2358</v>
      </c>
      <c r="D76" s="143" t="s">
        <v>2359</v>
      </c>
      <c r="E76" s="143" t="s">
        <v>309</v>
      </c>
      <c r="F76" s="143" t="s">
        <v>2360</v>
      </c>
      <c r="G76" s="143" t="s">
        <v>2361</v>
      </c>
      <c r="H76" s="143" t="s">
        <v>321</v>
      </c>
      <c r="I76" s="143" t="s">
        <v>917</v>
      </c>
      <c r="J76" s="143" t="s">
        <v>204</v>
      </c>
      <c r="K76" s="143" t="s">
        <v>204</v>
      </c>
      <c r="L76" s="143" t="s">
        <v>325</v>
      </c>
      <c r="M76" s="143" t="s">
        <v>340</v>
      </c>
      <c r="N76" s="143" t="s">
        <v>477</v>
      </c>
      <c r="O76" s="143" t="s">
        <v>339</v>
      </c>
      <c r="P76" s="143" t="s">
        <v>1210</v>
      </c>
      <c r="Q76" s="144">
        <v>44564.98</v>
      </c>
      <c r="R76" s="145" t="s">
        <v>3853</v>
      </c>
      <c r="S76" s="143" t="s">
        <v>2362</v>
      </c>
      <c r="T76" s="145" t="s">
        <v>3853</v>
      </c>
      <c r="U76" s="144">
        <v>164.57849999999999</v>
      </c>
      <c r="V76" s="146">
        <v>8.0787322984998027E-4</v>
      </c>
      <c r="W76" s="146">
        <v>1.1727185360798338E-3</v>
      </c>
      <c r="X76" s="147">
        <v>2.4849684435574099E-4</v>
      </c>
      <c r="Y76" s="183"/>
    </row>
    <row r="77" spans="1:25" ht="15" x14ac:dyDescent="0.2">
      <c r="A77" s="142" t="s">
        <v>1205</v>
      </c>
      <c r="B77" s="143" t="s">
        <v>1205</v>
      </c>
      <c r="C77" s="143" t="s">
        <v>2363</v>
      </c>
      <c r="D77" s="143" t="s">
        <v>2364</v>
      </c>
      <c r="E77" s="143" t="s">
        <v>309</v>
      </c>
      <c r="F77" s="143" t="s">
        <v>2365</v>
      </c>
      <c r="G77" s="143" t="s">
        <v>2366</v>
      </c>
      <c r="H77" s="143" t="s">
        <v>321</v>
      </c>
      <c r="I77" s="143" t="s">
        <v>917</v>
      </c>
      <c r="J77" s="143" t="s">
        <v>204</v>
      </c>
      <c r="K77" s="143" t="s">
        <v>204</v>
      </c>
      <c r="L77" s="143" t="s">
        <v>325</v>
      </c>
      <c r="M77" s="143" t="s">
        <v>340</v>
      </c>
      <c r="N77" s="143" t="s">
        <v>464</v>
      </c>
      <c r="O77" s="143" t="s">
        <v>339</v>
      </c>
      <c r="P77" s="143" t="s">
        <v>1210</v>
      </c>
      <c r="Q77" s="144">
        <v>100961</v>
      </c>
      <c r="R77" s="145" t="s">
        <v>3853</v>
      </c>
      <c r="S77" s="143" t="s">
        <v>2367</v>
      </c>
      <c r="T77" s="145" t="s">
        <v>3853</v>
      </c>
      <c r="U77" s="144">
        <v>160.93179999999998</v>
      </c>
      <c r="V77" s="146">
        <v>1.3520506880389374E-4</v>
      </c>
      <c r="W77" s="146">
        <v>1.1467340987545089E-3</v>
      </c>
      <c r="X77" s="147">
        <v>2.4299079113065299E-4</v>
      </c>
      <c r="Y77" s="183"/>
    </row>
    <row r="78" spans="1:25" ht="15" x14ac:dyDescent="0.2">
      <c r="A78" s="142" t="s">
        <v>1205</v>
      </c>
      <c r="B78" s="143" t="s">
        <v>1205</v>
      </c>
      <c r="C78" s="143" t="s">
        <v>2368</v>
      </c>
      <c r="D78" s="143" t="s">
        <v>2369</v>
      </c>
      <c r="E78" s="143" t="s">
        <v>309</v>
      </c>
      <c r="F78" s="143" t="s">
        <v>2370</v>
      </c>
      <c r="G78" s="143" t="s">
        <v>2371</v>
      </c>
      <c r="H78" s="143" t="s">
        <v>321</v>
      </c>
      <c r="I78" s="143" t="s">
        <v>917</v>
      </c>
      <c r="J78" s="143" t="s">
        <v>204</v>
      </c>
      <c r="K78" s="143" t="s">
        <v>204</v>
      </c>
      <c r="L78" s="143" t="s">
        <v>325</v>
      </c>
      <c r="M78" s="143" t="s">
        <v>340</v>
      </c>
      <c r="N78" s="143" t="s">
        <v>445</v>
      </c>
      <c r="O78" s="143" t="s">
        <v>339</v>
      </c>
      <c r="P78" s="143" t="s">
        <v>1210</v>
      </c>
      <c r="Q78" s="144">
        <v>9175</v>
      </c>
      <c r="R78" s="145" t="s">
        <v>3853</v>
      </c>
      <c r="S78" s="143" t="s">
        <v>2372</v>
      </c>
      <c r="T78" s="145" t="s">
        <v>3853</v>
      </c>
      <c r="U78" s="144">
        <v>155.97499999999999</v>
      </c>
      <c r="V78" s="146">
        <v>5.0418182417654876E-4</v>
      </c>
      <c r="W78" s="146">
        <v>1.111413737155537E-3</v>
      </c>
      <c r="X78" s="147">
        <v>2.3550647317300568E-4</v>
      </c>
      <c r="Y78" s="183"/>
    </row>
    <row r="79" spans="1:25" ht="15" x14ac:dyDescent="0.2">
      <c r="A79" s="142" t="s">
        <v>1205</v>
      </c>
      <c r="B79" s="143" t="s">
        <v>1205</v>
      </c>
      <c r="C79" s="143" t="s">
        <v>2373</v>
      </c>
      <c r="D79" s="143" t="s">
        <v>2374</v>
      </c>
      <c r="E79" s="143" t="s">
        <v>309</v>
      </c>
      <c r="F79" s="143" t="s">
        <v>2375</v>
      </c>
      <c r="G79" s="143" t="s">
        <v>2376</v>
      </c>
      <c r="H79" s="143" t="s">
        <v>321</v>
      </c>
      <c r="I79" s="143" t="s">
        <v>917</v>
      </c>
      <c r="J79" s="143" t="s">
        <v>204</v>
      </c>
      <c r="K79" s="143" t="s">
        <v>204</v>
      </c>
      <c r="L79" s="143" t="s">
        <v>325</v>
      </c>
      <c r="M79" s="143" t="s">
        <v>340</v>
      </c>
      <c r="N79" s="143" t="s">
        <v>464</v>
      </c>
      <c r="O79" s="143" t="s">
        <v>339</v>
      </c>
      <c r="P79" s="143" t="s">
        <v>1210</v>
      </c>
      <c r="Q79" s="144">
        <v>41459.199999999997</v>
      </c>
      <c r="R79" s="145" t="s">
        <v>3853</v>
      </c>
      <c r="S79" s="143" t="s">
        <v>2377</v>
      </c>
      <c r="T79" s="145" t="s">
        <v>3853</v>
      </c>
      <c r="U79" s="144">
        <v>142.70260000000002</v>
      </c>
      <c r="V79" s="146">
        <v>4.3824312235709245E-4</v>
      </c>
      <c r="W79" s="146">
        <v>1.0168398308979655E-3</v>
      </c>
      <c r="X79" s="147">
        <v>2.1546644093989846E-4</v>
      </c>
      <c r="Y79" s="183"/>
    </row>
    <row r="80" spans="1:25" ht="15" x14ac:dyDescent="0.2">
      <c r="A80" s="142" t="s">
        <v>1205</v>
      </c>
      <c r="B80" s="143" t="s">
        <v>1205</v>
      </c>
      <c r="C80" s="143" t="s">
        <v>2378</v>
      </c>
      <c r="D80" s="143" t="s">
        <v>2379</v>
      </c>
      <c r="E80" s="143" t="s">
        <v>309</v>
      </c>
      <c r="F80" s="143" t="s">
        <v>2380</v>
      </c>
      <c r="G80" s="143" t="s">
        <v>2381</v>
      </c>
      <c r="H80" s="143" t="s">
        <v>321</v>
      </c>
      <c r="I80" s="143" t="s">
        <v>917</v>
      </c>
      <c r="J80" s="143" t="s">
        <v>204</v>
      </c>
      <c r="K80" s="143" t="s">
        <v>204</v>
      </c>
      <c r="L80" s="143" t="s">
        <v>325</v>
      </c>
      <c r="M80" s="143" t="s">
        <v>340</v>
      </c>
      <c r="N80" s="143" t="s">
        <v>440</v>
      </c>
      <c r="O80" s="143" t="s">
        <v>339</v>
      </c>
      <c r="P80" s="143" t="s">
        <v>1210</v>
      </c>
      <c r="Q80" s="144">
        <v>1076</v>
      </c>
      <c r="R80" s="145" t="s">
        <v>3853</v>
      </c>
      <c r="S80" s="143" t="s">
        <v>2382</v>
      </c>
      <c r="T80" s="145" t="s">
        <v>3853</v>
      </c>
      <c r="U80" s="144">
        <v>66.593600000000009</v>
      </c>
      <c r="V80" s="146">
        <v>8.612262725558642E-5</v>
      </c>
      <c r="W80" s="146">
        <v>4.7451890561430008E-4</v>
      </c>
      <c r="X80" s="147">
        <v>1.0054966047220899E-4</v>
      </c>
      <c r="Y80" s="183"/>
    </row>
    <row r="81" spans="1:25" ht="15" x14ac:dyDescent="0.2">
      <c r="A81" s="142" t="s">
        <v>1205</v>
      </c>
      <c r="B81" s="143" t="s">
        <v>1205</v>
      </c>
      <c r="C81" s="143" t="s">
        <v>2383</v>
      </c>
      <c r="D81" s="143" t="s">
        <v>2384</v>
      </c>
      <c r="E81" s="143" t="s">
        <v>309</v>
      </c>
      <c r="F81" s="143" t="s">
        <v>2385</v>
      </c>
      <c r="G81" s="143" t="s">
        <v>2386</v>
      </c>
      <c r="H81" s="143" t="s">
        <v>321</v>
      </c>
      <c r="I81" s="143" t="s">
        <v>917</v>
      </c>
      <c r="J81" s="143" t="s">
        <v>204</v>
      </c>
      <c r="K81" s="143" t="s">
        <v>204</v>
      </c>
      <c r="L81" s="143" t="s">
        <v>325</v>
      </c>
      <c r="M81" s="143" t="s">
        <v>340</v>
      </c>
      <c r="N81" s="143" t="s">
        <v>460</v>
      </c>
      <c r="O81" s="143" t="s">
        <v>339</v>
      </c>
      <c r="P81" s="143" t="s">
        <v>1210</v>
      </c>
      <c r="Q81" s="144">
        <v>18700</v>
      </c>
      <c r="R81" s="145" t="s">
        <v>3853</v>
      </c>
      <c r="S81" s="143" t="s">
        <v>2387</v>
      </c>
      <c r="T81" s="145" t="s">
        <v>3853</v>
      </c>
      <c r="U81" s="144">
        <v>62.102699999999999</v>
      </c>
      <c r="V81" s="146">
        <v>3.7330560677472621E-4</v>
      </c>
      <c r="W81" s="146">
        <v>4.4251831315562858E-4</v>
      </c>
      <c r="X81" s="147">
        <v>9.3768795329515748E-5</v>
      </c>
      <c r="Y81" s="183"/>
    </row>
    <row r="82" spans="1:25" ht="15" x14ac:dyDescent="0.2">
      <c r="A82" s="142" t="s">
        <v>1205</v>
      </c>
      <c r="B82" s="143" t="s">
        <v>1205</v>
      </c>
      <c r="C82" s="143" t="s">
        <v>2388</v>
      </c>
      <c r="D82" s="143" t="s">
        <v>2389</v>
      </c>
      <c r="E82" s="143" t="s">
        <v>309</v>
      </c>
      <c r="F82" s="143" t="s">
        <v>2390</v>
      </c>
      <c r="G82" s="143" t="s">
        <v>2391</v>
      </c>
      <c r="H82" s="143" t="s">
        <v>321</v>
      </c>
      <c r="I82" s="143" t="s">
        <v>917</v>
      </c>
      <c r="J82" s="143" t="s">
        <v>204</v>
      </c>
      <c r="K82" s="143" t="s">
        <v>204</v>
      </c>
      <c r="L82" s="143" t="s">
        <v>325</v>
      </c>
      <c r="M82" s="143" t="s">
        <v>340</v>
      </c>
      <c r="N82" s="143" t="s">
        <v>439</v>
      </c>
      <c r="O82" s="143" t="s">
        <v>339</v>
      </c>
      <c r="P82" s="143" t="s">
        <v>1210</v>
      </c>
      <c r="Q82" s="144">
        <v>23596</v>
      </c>
      <c r="R82" s="145" t="s">
        <v>3853</v>
      </c>
      <c r="S82" s="143" t="s">
        <v>2392</v>
      </c>
      <c r="T82" s="145" t="s">
        <v>3853</v>
      </c>
      <c r="U82" s="144">
        <v>44.714400000000005</v>
      </c>
      <c r="V82" s="146">
        <v>8.0212045893963187E-4</v>
      </c>
      <c r="W82" s="146">
        <v>3.1861657725239484E-4</v>
      </c>
      <c r="X82" s="147">
        <v>6.7514251349104078E-5</v>
      </c>
      <c r="Y82" s="183"/>
    </row>
    <row r="83" spans="1:25" ht="15" x14ac:dyDescent="0.2">
      <c r="A83" s="142" t="s">
        <v>1205</v>
      </c>
      <c r="B83" s="143" t="s">
        <v>1205</v>
      </c>
      <c r="C83" s="143" t="s">
        <v>2393</v>
      </c>
      <c r="D83" s="143" t="s">
        <v>2394</v>
      </c>
      <c r="E83" s="143" t="s">
        <v>309</v>
      </c>
      <c r="F83" s="143" t="s">
        <v>2395</v>
      </c>
      <c r="G83" s="143" t="s">
        <v>2396</v>
      </c>
      <c r="H83" s="143" t="s">
        <v>321</v>
      </c>
      <c r="I83" s="143" t="s">
        <v>917</v>
      </c>
      <c r="J83" s="143" t="s">
        <v>204</v>
      </c>
      <c r="K83" s="143" t="s">
        <v>204</v>
      </c>
      <c r="L83" s="143" t="s">
        <v>325</v>
      </c>
      <c r="M83" s="143" t="s">
        <v>340</v>
      </c>
      <c r="N83" s="143" t="s">
        <v>459</v>
      </c>
      <c r="O83" s="143" t="s">
        <v>339</v>
      </c>
      <c r="P83" s="143" t="s">
        <v>1210</v>
      </c>
      <c r="Q83" s="144">
        <v>236.01</v>
      </c>
      <c r="R83" s="145" t="s">
        <v>3853</v>
      </c>
      <c r="S83" s="143" t="s">
        <v>2397</v>
      </c>
      <c r="T83" s="145" t="s">
        <v>3853</v>
      </c>
      <c r="U83" s="144">
        <v>34.197800000000001</v>
      </c>
      <c r="V83" s="146">
        <v>7.0277193069175737E-5</v>
      </c>
      <c r="W83" s="146">
        <v>2.4367981509710367E-4</v>
      </c>
      <c r="X83" s="147">
        <v>5.1635292887276799E-5</v>
      </c>
      <c r="Y83" s="183"/>
    </row>
    <row r="84" spans="1:25" ht="15" x14ac:dyDescent="0.2">
      <c r="A84" s="142" t="s">
        <v>1205</v>
      </c>
      <c r="B84" s="143" t="s">
        <v>1205</v>
      </c>
      <c r="C84" s="143" t="s">
        <v>2398</v>
      </c>
      <c r="D84" s="143" t="s">
        <v>2399</v>
      </c>
      <c r="E84" s="143" t="s">
        <v>309</v>
      </c>
      <c r="F84" s="143" t="s">
        <v>2400</v>
      </c>
      <c r="G84" s="143" t="s">
        <v>2401</v>
      </c>
      <c r="H84" s="143" t="s">
        <v>321</v>
      </c>
      <c r="I84" s="143" t="s">
        <v>917</v>
      </c>
      <c r="J84" s="143" t="s">
        <v>204</v>
      </c>
      <c r="K84" s="143" t="s">
        <v>204</v>
      </c>
      <c r="L84" s="143" t="s">
        <v>325</v>
      </c>
      <c r="M84" s="143" t="s">
        <v>340</v>
      </c>
      <c r="N84" s="143" t="s">
        <v>480</v>
      </c>
      <c r="O84" s="143" t="s">
        <v>339</v>
      </c>
      <c r="P84" s="143" t="s">
        <v>1210</v>
      </c>
      <c r="Q84" s="144">
        <v>60000</v>
      </c>
      <c r="R84" s="145" t="s">
        <v>3853</v>
      </c>
      <c r="S84" s="143" t="s">
        <v>2402</v>
      </c>
      <c r="T84" s="145" t="s">
        <v>3853</v>
      </c>
      <c r="U84" s="144">
        <v>27.18</v>
      </c>
      <c r="V84" s="146">
        <v>4.0238275238909895E-4</v>
      </c>
      <c r="W84" s="146">
        <v>1.9367350777937166E-4</v>
      </c>
      <c r="X84" s="147">
        <v>4.1039050750711933E-5</v>
      </c>
      <c r="Y84" s="183"/>
    </row>
    <row r="85" spans="1:25" ht="15" x14ac:dyDescent="0.2">
      <c r="A85" s="142" t="s">
        <v>1205</v>
      </c>
      <c r="B85" s="143" t="s">
        <v>1205</v>
      </c>
      <c r="C85" s="143" t="s">
        <v>2403</v>
      </c>
      <c r="D85" s="143" t="s">
        <v>2404</v>
      </c>
      <c r="E85" s="143" t="s">
        <v>309</v>
      </c>
      <c r="F85" s="143" t="s">
        <v>2405</v>
      </c>
      <c r="G85" s="143" t="s">
        <v>2406</v>
      </c>
      <c r="H85" s="143" t="s">
        <v>321</v>
      </c>
      <c r="I85" s="143" t="s">
        <v>917</v>
      </c>
      <c r="J85" s="143" t="s">
        <v>204</v>
      </c>
      <c r="K85" s="143" t="s">
        <v>204</v>
      </c>
      <c r="L85" s="143" t="s">
        <v>325</v>
      </c>
      <c r="M85" s="143" t="s">
        <v>340</v>
      </c>
      <c r="N85" s="143" t="s">
        <v>460</v>
      </c>
      <c r="O85" s="143" t="s">
        <v>339</v>
      </c>
      <c r="P85" s="143" t="s">
        <v>1210</v>
      </c>
      <c r="Q85" s="144">
        <v>24046.25</v>
      </c>
      <c r="R85" s="145" t="s">
        <v>3853</v>
      </c>
      <c r="S85" s="143" t="s">
        <v>2407</v>
      </c>
      <c r="T85" s="145" t="s">
        <v>3853</v>
      </c>
      <c r="U85" s="144">
        <v>8.5364000000000004</v>
      </c>
      <c r="V85" s="146">
        <v>8.987220048819615E-4</v>
      </c>
      <c r="W85" s="146">
        <v>6.0827011154749784E-5</v>
      </c>
      <c r="X85" s="147">
        <v>1.2889128856165524E-5</v>
      </c>
      <c r="Y85" s="183"/>
    </row>
    <row r="86" spans="1:25" ht="15" x14ac:dyDescent="0.2">
      <c r="A86" s="142" t="s">
        <v>1205</v>
      </c>
      <c r="B86" s="143" t="s">
        <v>1205</v>
      </c>
      <c r="C86" s="143" t="s">
        <v>2408</v>
      </c>
      <c r="D86" s="143" t="s">
        <v>2409</v>
      </c>
      <c r="E86" s="143" t="s">
        <v>313</v>
      </c>
      <c r="F86" s="143" t="s">
        <v>2408</v>
      </c>
      <c r="G86" s="143" t="s">
        <v>2410</v>
      </c>
      <c r="H86" s="143" t="s">
        <v>321</v>
      </c>
      <c r="I86" s="143" t="s">
        <v>917</v>
      </c>
      <c r="J86" s="143" t="s">
        <v>205</v>
      </c>
      <c r="K86" s="143" t="s">
        <v>224</v>
      </c>
      <c r="L86" s="143" t="s">
        <v>325</v>
      </c>
      <c r="M86" s="143" t="s">
        <v>344</v>
      </c>
      <c r="N86" s="143" t="s">
        <v>544</v>
      </c>
      <c r="O86" s="143" t="s">
        <v>339</v>
      </c>
      <c r="P86" s="143" t="s">
        <v>1211</v>
      </c>
      <c r="Q86" s="144">
        <v>1666</v>
      </c>
      <c r="R86" s="143" t="s">
        <v>1212</v>
      </c>
      <c r="S86" s="143" t="s">
        <v>2411</v>
      </c>
      <c r="T86" s="145" t="s">
        <v>3853</v>
      </c>
      <c r="U86" s="144">
        <v>3157.6747</v>
      </c>
      <c r="V86" s="146">
        <v>7.3869750691808395E-7</v>
      </c>
      <c r="W86" s="146">
        <v>2.2500292139626094E-2</v>
      </c>
      <c r="X86" s="147">
        <v>4.7677694363643438E-3</v>
      </c>
      <c r="Y86" s="183"/>
    </row>
    <row r="87" spans="1:25" ht="15" x14ac:dyDescent="0.2">
      <c r="A87" s="142" t="s">
        <v>1205</v>
      </c>
      <c r="B87" s="143" t="s">
        <v>1205</v>
      </c>
      <c r="C87" s="143" t="s">
        <v>2412</v>
      </c>
      <c r="D87" s="143" t="s">
        <v>2413</v>
      </c>
      <c r="E87" s="143" t="s">
        <v>313</v>
      </c>
      <c r="F87" s="143" t="s">
        <v>2412</v>
      </c>
      <c r="G87" s="143" t="s">
        <v>2414</v>
      </c>
      <c r="H87" s="143" t="s">
        <v>321</v>
      </c>
      <c r="I87" s="143" t="s">
        <v>917</v>
      </c>
      <c r="J87" s="143" t="s">
        <v>205</v>
      </c>
      <c r="K87" s="143" t="s">
        <v>224</v>
      </c>
      <c r="L87" s="143" t="s">
        <v>325</v>
      </c>
      <c r="M87" s="143" t="s">
        <v>344</v>
      </c>
      <c r="N87" s="143" t="s">
        <v>521</v>
      </c>
      <c r="O87" s="143" t="s">
        <v>339</v>
      </c>
      <c r="P87" s="143" t="s">
        <v>1211</v>
      </c>
      <c r="Q87" s="144">
        <v>4216</v>
      </c>
      <c r="R87" s="143" t="s">
        <v>1212</v>
      </c>
      <c r="S87" s="143" t="s">
        <v>2415</v>
      </c>
      <c r="T87" s="145" t="s">
        <v>3853</v>
      </c>
      <c r="U87" s="144">
        <v>3062.6152000000002</v>
      </c>
      <c r="V87" s="146">
        <v>4.1326631936350714E-7</v>
      </c>
      <c r="W87" s="146">
        <v>2.1822936883797085E-2</v>
      </c>
      <c r="X87" s="147">
        <v>4.6242391361237187E-3</v>
      </c>
      <c r="Y87" s="183"/>
    </row>
    <row r="88" spans="1:25" ht="15" x14ac:dyDescent="0.2">
      <c r="A88" s="142" t="s">
        <v>1205</v>
      </c>
      <c r="B88" s="143" t="s">
        <v>1205</v>
      </c>
      <c r="C88" s="143" t="s">
        <v>2416</v>
      </c>
      <c r="D88" s="143" t="s">
        <v>2417</v>
      </c>
      <c r="E88" s="143" t="s">
        <v>313</v>
      </c>
      <c r="F88" s="143" t="s">
        <v>2416</v>
      </c>
      <c r="G88" s="143" t="s">
        <v>2418</v>
      </c>
      <c r="H88" s="143" t="s">
        <v>321</v>
      </c>
      <c r="I88" s="143" t="s">
        <v>917</v>
      </c>
      <c r="J88" s="143" t="s">
        <v>205</v>
      </c>
      <c r="K88" s="143" t="s">
        <v>224</v>
      </c>
      <c r="L88" s="143" t="s">
        <v>325</v>
      </c>
      <c r="M88" s="143" t="s">
        <v>344</v>
      </c>
      <c r="N88" s="143" t="s">
        <v>546</v>
      </c>
      <c r="O88" s="143" t="s">
        <v>339</v>
      </c>
      <c r="P88" s="143" t="s">
        <v>1211</v>
      </c>
      <c r="Q88" s="144">
        <v>1683</v>
      </c>
      <c r="R88" s="143" t="s">
        <v>1212</v>
      </c>
      <c r="S88" s="143" t="s">
        <v>2419</v>
      </c>
      <c r="T88" s="145" t="s">
        <v>3853</v>
      </c>
      <c r="U88" s="144">
        <v>2827.5831000000003</v>
      </c>
      <c r="V88" s="146">
        <v>2.2577048706192913E-7</v>
      </c>
      <c r="W88" s="146">
        <v>2.0148195183847965E-2</v>
      </c>
      <c r="X88" s="147">
        <v>4.2693645308842613E-3</v>
      </c>
      <c r="Y88" s="183"/>
    </row>
    <row r="89" spans="1:25" ht="15" x14ac:dyDescent="0.2">
      <c r="A89" s="142" t="s">
        <v>1205</v>
      </c>
      <c r="B89" s="143" t="s">
        <v>1205</v>
      </c>
      <c r="C89" s="143" t="s">
        <v>2420</v>
      </c>
      <c r="D89" s="143" t="s">
        <v>2421</v>
      </c>
      <c r="E89" s="143" t="s">
        <v>313</v>
      </c>
      <c r="F89" s="143" t="s">
        <v>2422</v>
      </c>
      <c r="G89" s="143" t="s">
        <v>2423</v>
      </c>
      <c r="H89" s="143" t="s">
        <v>321</v>
      </c>
      <c r="I89" s="143" t="s">
        <v>917</v>
      </c>
      <c r="J89" s="143" t="s">
        <v>205</v>
      </c>
      <c r="K89" s="143" t="s">
        <v>224</v>
      </c>
      <c r="L89" s="143" t="s">
        <v>325</v>
      </c>
      <c r="M89" s="143" t="s">
        <v>344</v>
      </c>
      <c r="N89" s="143" t="s">
        <v>539</v>
      </c>
      <c r="O89" s="143" t="s">
        <v>339</v>
      </c>
      <c r="P89" s="143" t="s">
        <v>1211</v>
      </c>
      <c r="Q89" s="144">
        <v>2858</v>
      </c>
      <c r="R89" s="143" t="s">
        <v>1212</v>
      </c>
      <c r="S89" s="143" t="s">
        <v>2424</v>
      </c>
      <c r="T89" s="145" t="s">
        <v>3853</v>
      </c>
      <c r="U89" s="144">
        <v>2819.7734999999998</v>
      </c>
      <c r="V89" s="146">
        <v>1.7556867849861135E-6</v>
      </c>
      <c r="W89" s="146">
        <v>2.009254675104297E-2</v>
      </c>
      <c r="X89" s="147">
        <v>4.2575727330061361E-3</v>
      </c>
      <c r="Y89" s="183"/>
    </row>
    <row r="90" spans="1:25" ht="15" x14ac:dyDescent="0.2">
      <c r="A90" s="142" t="s">
        <v>1205</v>
      </c>
      <c r="B90" s="143" t="s">
        <v>1205</v>
      </c>
      <c r="C90" s="143" t="s">
        <v>2425</v>
      </c>
      <c r="D90" s="143" t="s">
        <v>2426</v>
      </c>
      <c r="E90" s="143" t="s">
        <v>313</v>
      </c>
      <c r="F90" s="143" t="s">
        <v>2425</v>
      </c>
      <c r="G90" s="143" t="s">
        <v>2427</v>
      </c>
      <c r="H90" s="143" t="s">
        <v>321</v>
      </c>
      <c r="I90" s="143" t="s">
        <v>917</v>
      </c>
      <c r="J90" s="143" t="s">
        <v>205</v>
      </c>
      <c r="K90" s="143" t="s">
        <v>224</v>
      </c>
      <c r="L90" s="143" t="s">
        <v>325</v>
      </c>
      <c r="M90" s="143" t="s">
        <v>344</v>
      </c>
      <c r="N90" s="143" t="s">
        <v>546</v>
      </c>
      <c r="O90" s="143" t="s">
        <v>339</v>
      </c>
      <c r="P90" s="143" t="s">
        <v>1211</v>
      </c>
      <c r="Q90" s="144">
        <v>3283</v>
      </c>
      <c r="R90" s="143" t="s">
        <v>1212</v>
      </c>
      <c r="S90" s="143" t="s">
        <v>2428</v>
      </c>
      <c r="T90" s="145" t="s">
        <v>3853</v>
      </c>
      <c r="U90" s="144">
        <v>2599.2187000000004</v>
      </c>
      <c r="V90" s="146">
        <v>2.0637262057020195E-7</v>
      </c>
      <c r="W90" s="146">
        <v>1.8520963803149607E-2</v>
      </c>
      <c r="X90" s="147">
        <v>3.924557272621013E-3</v>
      </c>
      <c r="Y90" s="183"/>
    </row>
    <row r="91" spans="1:25" ht="15" x14ac:dyDescent="0.2">
      <c r="A91" s="142" t="s">
        <v>1205</v>
      </c>
      <c r="B91" s="143" t="s">
        <v>1205</v>
      </c>
      <c r="C91" s="143" t="s">
        <v>2429</v>
      </c>
      <c r="D91" s="143" t="s">
        <v>2430</v>
      </c>
      <c r="E91" s="143" t="s">
        <v>313</v>
      </c>
      <c r="F91" s="143" t="s">
        <v>2429</v>
      </c>
      <c r="G91" s="143" t="s">
        <v>2431</v>
      </c>
      <c r="H91" s="143" t="s">
        <v>321</v>
      </c>
      <c r="I91" s="143" t="s">
        <v>917</v>
      </c>
      <c r="J91" s="143" t="s">
        <v>205</v>
      </c>
      <c r="K91" s="143" t="s">
        <v>224</v>
      </c>
      <c r="L91" s="143" t="s">
        <v>325</v>
      </c>
      <c r="M91" s="143" t="s">
        <v>344</v>
      </c>
      <c r="N91" s="143" t="s">
        <v>544</v>
      </c>
      <c r="O91" s="143" t="s">
        <v>339</v>
      </c>
      <c r="P91" s="143" t="s">
        <v>1211</v>
      </c>
      <c r="Q91" s="144">
        <v>1243</v>
      </c>
      <c r="R91" s="143" t="s">
        <v>1212</v>
      </c>
      <c r="S91" s="143" t="s">
        <v>2432</v>
      </c>
      <c r="T91" s="145" t="s">
        <v>3853</v>
      </c>
      <c r="U91" s="144">
        <v>2595.7257</v>
      </c>
      <c r="V91" s="146">
        <v>2.6736932673693269E-6</v>
      </c>
      <c r="W91" s="146">
        <v>1.8496074027159293E-2</v>
      </c>
      <c r="X91" s="147">
        <v>3.9192831760667037E-3</v>
      </c>
      <c r="Y91" s="183"/>
    </row>
    <row r="92" spans="1:25" x14ac:dyDescent="0.2">
      <c r="A92" s="142" t="s">
        <v>1205</v>
      </c>
      <c r="B92" s="143" t="s">
        <v>1205</v>
      </c>
      <c r="C92" s="143" t="s">
        <v>2433</v>
      </c>
      <c r="D92" s="143" t="s">
        <v>2434</v>
      </c>
      <c r="E92" s="143" t="s">
        <v>313</v>
      </c>
      <c r="F92" s="143" t="s">
        <v>2435</v>
      </c>
      <c r="G92" s="143" t="s">
        <v>2436</v>
      </c>
      <c r="H92" s="143" t="s">
        <v>321</v>
      </c>
      <c r="I92" s="143" t="s">
        <v>917</v>
      </c>
      <c r="J92" s="143" t="s">
        <v>205</v>
      </c>
      <c r="K92" s="143" t="s">
        <v>224</v>
      </c>
      <c r="L92" s="143" t="s">
        <v>325</v>
      </c>
      <c r="M92" s="143" t="s">
        <v>344</v>
      </c>
      <c r="N92" s="143" t="s">
        <v>546</v>
      </c>
      <c r="O92" s="143" t="s">
        <v>339</v>
      </c>
      <c r="P92" s="143" t="s">
        <v>1211</v>
      </c>
      <c r="Q92" s="144">
        <v>3867</v>
      </c>
      <c r="R92" s="143" t="s">
        <v>1212</v>
      </c>
      <c r="S92" s="143" t="s">
        <v>2437</v>
      </c>
      <c r="T92" s="144">
        <v>2.1578000000000004</v>
      </c>
      <c r="U92" s="144">
        <v>2534.6224999999999</v>
      </c>
      <c r="V92" s="146">
        <v>7.4565046867805253E-7</v>
      </c>
      <c r="W92" s="146">
        <v>1.8076053646399904E-2</v>
      </c>
      <c r="X92" s="147">
        <v>3.8302816501483822E-3</v>
      </c>
      <c r="Y92" s="183"/>
    </row>
    <row r="93" spans="1:25" x14ac:dyDescent="0.2">
      <c r="A93" s="142" t="s">
        <v>1205</v>
      </c>
      <c r="B93" s="143" t="s">
        <v>1205</v>
      </c>
      <c r="C93" s="143" t="s">
        <v>2438</v>
      </c>
      <c r="D93" s="143" t="s">
        <v>2439</v>
      </c>
      <c r="E93" s="143" t="s">
        <v>313</v>
      </c>
      <c r="F93" s="143" t="s">
        <v>2438</v>
      </c>
      <c r="G93" s="143" t="s">
        <v>2440</v>
      </c>
      <c r="H93" s="143" t="s">
        <v>321</v>
      </c>
      <c r="I93" s="143" t="s">
        <v>917</v>
      </c>
      <c r="J93" s="143" t="s">
        <v>205</v>
      </c>
      <c r="K93" s="143" t="s">
        <v>224</v>
      </c>
      <c r="L93" s="143" t="s">
        <v>325</v>
      </c>
      <c r="M93" s="143" t="s">
        <v>344</v>
      </c>
      <c r="N93" s="143" t="s">
        <v>546</v>
      </c>
      <c r="O93" s="143" t="s">
        <v>339</v>
      </c>
      <c r="P93" s="143" t="s">
        <v>1211</v>
      </c>
      <c r="Q93" s="144">
        <v>4570</v>
      </c>
      <c r="R93" s="143" t="s">
        <v>1212</v>
      </c>
      <c r="S93" s="143" t="s">
        <v>2441</v>
      </c>
      <c r="T93" s="144">
        <v>4.5700000000000005E-2</v>
      </c>
      <c r="U93" s="144">
        <v>2122.4197000000004</v>
      </c>
      <c r="V93" s="146">
        <v>1.8577235772357724E-6</v>
      </c>
      <c r="W93" s="146">
        <v>1.5123816270324879E-2</v>
      </c>
      <c r="X93" s="147">
        <v>3.2047081223383171E-3</v>
      </c>
      <c r="Y93" s="183"/>
    </row>
    <row r="94" spans="1:25" ht="15" x14ac:dyDescent="0.2">
      <c r="A94" s="142" t="s">
        <v>1205</v>
      </c>
      <c r="B94" s="143" t="s">
        <v>1205</v>
      </c>
      <c r="C94" s="143" t="s">
        <v>2442</v>
      </c>
      <c r="D94" s="143" t="s">
        <v>2443</v>
      </c>
      <c r="E94" s="143" t="s">
        <v>313</v>
      </c>
      <c r="F94" s="143" t="s">
        <v>2442</v>
      </c>
      <c r="G94" s="143" t="s">
        <v>2444</v>
      </c>
      <c r="H94" s="143" t="s">
        <v>321</v>
      </c>
      <c r="I94" s="143" t="s">
        <v>917</v>
      </c>
      <c r="J94" s="143" t="s">
        <v>205</v>
      </c>
      <c r="K94" s="143" t="s">
        <v>224</v>
      </c>
      <c r="L94" s="143" t="s">
        <v>325</v>
      </c>
      <c r="M94" s="143" t="s">
        <v>344</v>
      </c>
      <c r="N94" s="143" t="s">
        <v>517</v>
      </c>
      <c r="O94" s="143" t="s">
        <v>339</v>
      </c>
      <c r="P94" s="143" t="s">
        <v>1211</v>
      </c>
      <c r="Q94" s="144">
        <v>2539</v>
      </c>
      <c r="R94" s="143" t="s">
        <v>1212</v>
      </c>
      <c r="S94" s="143" t="s">
        <v>2445</v>
      </c>
      <c r="T94" s="145" t="s">
        <v>3853</v>
      </c>
      <c r="U94" s="144">
        <v>1888.5867000000001</v>
      </c>
      <c r="V94" s="146">
        <v>8.0405300986271244E-7</v>
      </c>
      <c r="W94" s="146">
        <v>1.3457292570760416E-2</v>
      </c>
      <c r="X94" s="147">
        <v>2.8515748958693595E-3</v>
      </c>
      <c r="Y94" s="183"/>
    </row>
    <row r="95" spans="1:25" ht="15" x14ac:dyDescent="0.2">
      <c r="A95" s="142" t="s">
        <v>1205</v>
      </c>
      <c r="B95" s="143" t="s">
        <v>1205</v>
      </c>
      <c r="C95" s="143" t="s">
        <v>2446</v>
      </c>
      <c r="D95" s="143" t="s">
        <v>2447</v>
      </c>
      <c r="E95" s="143" t="s">
        <v>313</v>
      </c>
      <c r="F95" s="143" t="s">
        <v>2448</v>
      </c>
      <c r="G95" s="143" t="s">
        <v>2449</v>
      </c>
      <c r="H95" s="143" t="s">
        <v>321</v>
      </c>
      <c r="I95" s="143" t="s">
        <v>917</v>
      </c>
      <c r="J95" s="143" t="s">
        <v>205</v>
      </c>
      <c r="K95" s="143" t="s">
        <v>224</v>
      </c>
      <c r="L95" s="143" t="s">
        <v>325</v>
      </c>
      <c r="M95" s="143" t="s">
        <v>344</v>
      </c>
      <c r="N95" s="143" t="s">
        <v>546</v>
      </c>
      <c r="O95" s="143" t="s">
        <v>339</v>
      </c>
      <c r="P95" s="143" t="s">
        <v>1211</v>
      </c>
      <c r="Q95" s="144">
        <v>2714</v>
      </c>
      <c r="R95" s="143" t="s">
        <v>1212</v>
      </c>
      <c r="S95" s="143" t="s">
        <v>2450</v>
      </c>
      <c r="T95" s="145" t="s">
        <v>3853</v>
      </c>
      <c r="U95" s="144">
        <v>1871.2373</v>
      </c>
      <c r="V95" s="146">
        <v>4.4594150509365759E-7</v>
      </c>
      <c r="W95" s="146">
        <v>1.3333667600142781E-2</v>
      </c>
      <c r="X95" s="147">
        <v>2.8253789979305879E-3</v>
      </c>
      <c r="Y95" s="183"/>
    </row>
    <row r="96" spans="1:25" ht="15" x14ac:dyDescent="0.2">
      <c r="A96" s="142" t="s">
        <v>1205</v>
      </c>
      <c r="B96" s="143" t="s">
        <v>1205</v>
      </c>
      <c r="C96" s="143" t="s">
        <v>2451</v>
      </c>
      <c r="D96" s="143" t="s">
        <v>2452</v>
      </c>
      <c r="E96" s="143" t="s">
        <v>313</v>
      </c>
      <c r="F96" s="143" t="s">
        <v>2453</v>
      </c>
      <c r="G96" s="143" t="s">
        <v>2454</v>
      </c>
      <c r="H96" s="143" t="s">
        <v>321</v>
      </c>
      <c r="I96" s="143" t="s">
        <v>917</v>
      </c>
      <c r="J96" s="143" t="s">
        <v>205</v>
      </c>
      <c r="K96" s="143" t="s">
        <v>281</v>
      </c>
      <c r="L96" s="143" t="s">
        <v>325</v>
      </c>
      <c r="M96" s="143" t="s">
        <v>364</v>
      </c>
      <c r="N96" s="143" t="s">
        <v>517</v>
      </c>
      <c r="O96" s="143" t="s">
        <v>339</v>
      </c>
      <c r="P96" s="143" t="s">
        <v>1214</v>
      </c>
      <c r="Q96" s="144">
        <v>642</v>
      </c>
      <c r="R96" s="143" t="s">
        <v>1215</v>
      </c>
      <c r="S96" s="143" t="s">
        <v>2455</v>
      </c>
      <c r="T96" s="145" t="s">
        <v>3853</v>
      </c>
      <c r="U96" s="144">
        <v>1841.7791000000002</v>
      </c>
      <c r="V96" s="146">
        <v>1.2787621900694753E-6</v>
      </c>
      <c r="W96" s="146">
        <v>1.3123760456752774E-2</v>
      </c>
      <c r="X96" s="147">
        <v>2.7809000704340468E-3</v>
      </c>
      <c r="Y96" s="183"/>
    </row>
    <row r="97" spans="1:25" ht="15" x14ac:dyDescent="0.2">
      <c r="A97" s="142" t="s">
        <v>1205</v>
      </c>
      <c r="B97" s="143" t="s">
        <v>1205</v>
      </c>
      <c r="C97" s="143" t="s">
        <v>2456</v>
      </c>
      <c r="D97" s="143" t="s">
        <v>2457</v>
      </c>
      <c r="E97" s="143" t="s">
        <v>309</v>
      </c>
      <c r="F97" s="143" t="s">
        <v>2458</v>
      </c>
      <c r="G97" s="143" t="s">
        <v>2459</v>
      </c>
      <c r="H97" s="143" t="s">
        <v>321</v>
      </c>
      <c r="I97" s="143" t="s">
        <v>917</v>
      </c>
      <c r="J97" s="143" t="s">
        <v>205</v>
      </c>
      <c r="K97" s="143" t="s">
        <v>224</v>
      </c>
      <c r="L97" s="143" t="s">
        <v>325</v>
      </c>
      <c r="M97" s="143" t="s">
        <v>344</v>
      </c>
      <c r="N97" s="143" t="s">
        <v>458</v>
      </c>
      <c r="O97" s="143" t="s">
        <v>339</v>
      </c>
      <c r="P97" s="143" t="s">
        <v>1211</v>
      </c>
      <c r="Q97" s="144">
        <v>12230</v>
      </c>
      <c r="R97" s="143" t="s">
        <v>1212</v>
      </c>
      <c r="S97" s="143" t="s">
        <v>2460</v>
      </c>
      <c r="T97" s="145" t="s">
        <v>3853</v>
      </c>
      <c r="U97" s="144">
        <v>1811.2781</v>
      </c>
      <c r="V97" s="146">
        <v>1.1009049907110803E-4</v>
      </c>
      <c r="W97" s="146">
        <v>1.290642334839194E-2</v>
      </c>
      <c r="X97" s="147">
        <v>2.7348467473838241E-3</v>
      </c>
      <c r="Y97" s="183"/>
    </row>
    <row r="98" spans="1:25" ht="15" x14ac:dyDescent="0.2">
      <c r="A98" s="142" t="s">
        <v>1205</v>
      </c>
      <c r="B98" s="143" t="s">
        <v>1205</v>
      </c>
      <c r="C98" s="143" t="s">
        <v>2461</v>
      </c>
      <c r="D98" s="143" t="s">
        <v>2462</v>
      </c>
      <c r="E98" s="143" t="s">
        <v>313</v>
      </c>
      <c r="F98" s="143" t="s">
        <v>2463</v>
      </c>
      <c r="G98" s="143" t="s">
        <v>2464</v>
      </c>
      <c r="H98" s="143" t="s">
        <v>321</v>
      </c>
      <c r="I98" s="143" t="s">
        <v>917</v>
      </c>
      <c r="J98" s="143" t="s">
        <v>205</v>
      </c>
      <c r="K98" s="143" t="s">
        <v>224</v>
      </c>
      <c r="L98" s="143" t="s">
        <v>325</v>
      </c>
      <c r="M98" s="143" t="s">
        <v>344</v>
      </c>
      <c r="N98" s="143" t="s">
        <v>539</v>
      </c>
      <c r="O98" s="143" t="s">
        <v>339</v>
      </c>
      <c r="P98" s="143" t="s">
        <v>1211</v>
      </c>
      <c r="Q98" s="144">
        <v>972</v>
      </c>
      <c r="R98" s="143" t="s">
        <v>1212</v>
      </c>
      <c r="S98" s="143" t="s">
        <v>2465</v>
      </c>
      <c r="T98" s="145" t="s">
        <v>3853</v>
      </c>
      <c r="U98" s="144">
        <v>1652.6632999999999</v>
      </c>
      <c r="V98" s="146">
        <v>2.8703471289146132E-6</v>
      </c>
      <c r="W98" s="146">
        <v>1.1776199322685319E-2</v>
      </c>
      <c r="X98" s="147">
        <v>2.4953544095701937E-3</v>
      </c>
      <c r="Y98" s="183"/>
    </row>
    <row r="99" spans="1:25" ht="15" x14ac:dyDescent="0.2">
      <c r="A99" s="142" t="s">
        <v>1205</v>
      </c>
      <c r="B99" s="143" t="s">
        <v>1205</v>
      </c>
      <c r="C99" s="143" t="s">
        <v>2466</v>
      </c>
      <c r="D99" s="143" t="s">
        <v>2467</v>
      </c>
      <c r="E99" s="143" t="s">
        <v>313</v>
      </c>
      <c r="F99" s="143" t="s">
        <v>2468</v>
      </c>
      <c r="G99" s="143" t="s">
        <v>2469</v>
      </c>
      <c r="H99" s="143" t="s">
        <v>321</v>
      </c>
      <c r="I99" s="143" t="s">
        <v>917</v>
      </c>
      <c r="J99" s="143" t="s">
        <v>205</v>
      </c>
      <c r="K99" s="143" t="s">
        <v>224</v>
      </c>
      <c r="L99" s="143" t="s">
        <v>325</v>
      </c>
      <c r="M99" s="143" t="s">
        <v>344</v>
      </c>
      <c r="N99" s="143" t="s">
        <v>539</v>
      </c>
      <c r="O99" s="143" t="s">
        <v>339</v>
      </c>
      <c r="P99" s="143" t="s">
        <v>1211</v>
      </c>
      <c r="Q99" s="144">
        <v>982</v>
      </c>
      <c r="R99" s="143" t="s">
        <v>1212</v>
      </c>
      <c r="S99" s="143" t="s">
        <v>2470</v>
      </c>
      <c r="T99" s="145" t="s">
        <v>3853</v>
      </c>
      <c r="U99" s="144">
        <v>1628.4706999999999</v>
      </c>
      <c r="V99" s="146">
        <v>1.02956270844189E-6</v>
      </c>
      <c r="W99" s="146">
        <v>1.1603812633464477E-2</v>
      </c>
      <c r="X99" s="147">
        <v>2.4588259954943744E-3</v>
      </c>
      <c r="Y99" s="183"/>
    </row>
    <row r="100" spans="1:25" ht="15" x14ac:dyDescent="0.2">
      <c r="A100" s="142" t="s">
        <v>1205</v>
      </c>
      <c r="B100" s="143" t="s">
        <v>1205</v>
      </c>
      <c r="C100" s="143" t="s">
        <v>2471</v>
      </c>
      <c r="D100" s="143" t="s">
        <v>2472</v>
      </c>
      <c r="E100" s="143" t="s">
        <v>313</v>
      </c>
      <c r="F100" s="143" t="s">
        <v>2471</v>
      </c>
      <c r="G100" s="143" t="s">
        <v>2473</v>
      </c>
      <c r="H100" s="143" t="s">
        <v>321</v>
      </c>
      <c r="I100" s="143" t="s">
        <v>917</v>
      </c>
      <c r="J100" s="143" t="s">
        <v>205</v>
      </c>
      <c r="K100" s="143" t="s">
        <v>224</v>
      </c>
      <c r="L100" s="143" t="s">
        <v>325</v>
      </c>
      <c r="M100" s="143" t="s">
        <v>344</v>
      </c>
      <c r="N100" s="143" t="s">
        <v>486</v>
      </c>
      <c r="O100" s="143" t="s">
        <v>339</v>
      </c>
      <c r="P100" s="143" t="s">
        <v>1211</v>
      </c>
      <c r="Q100" s="144">
        <v>6045</v>
      </c>
      <c r="R100" s="143" t="s">
        <v>1212</v>
      </c>
      <c r="S100" s="143" t="s">
        <v>2474</v>
      </c>
      <c r="T100" s="145" t="s">
        <v>3853</v>
      </c>
      <c r="U100" s="144">
        <v>1609.0266000000001</v>
      </c>
      <c r="V100" s="146">
        <v>3.0420237081589642E-6</v>
      </c>
      <c r="W100" s="146">
        <v>1.1465262207770563E-2</v>
      </c>
      <c r="X100" s="147">
        <v>2.4294674217958867E-3</v>
      </c>
      <c r="Y100" s="183"/>
    </row>
    <row r="101" spans="1:25" ht="15" x14ac:dyDescent="0.2">
      <c r="A101" s="142" t="s">
        <v>1205</v>
      </c>
      <c r="B101" s="143" t="s">
        <v>1205</v>
      </c>
      <c r="C101" s="143" t="s">
        <v>2475</v>
      </c>
      <c r="D101" s="143" t="s">
        <v>2476</v>
      </c>
      <c r="E101" s="143" t="s">
        <v>313</v>
      </c>
      <c r="F101" s="143" t="s">
        <v>2475</v>
      </c>
      <c r="G101" s="143" t="s">
        <v>2477</v>
      </c>
      <c r="H101" s="143" t="s">
        <v>321</v>
      </c>
      <c r="I101" s="143" t="s">
        <v>917</v>
      </c>
      <c r="J101" s="143" t="s">
        <v>205</v>
      </c>
      <c r="K101" s="143" t="s">
        <v>224</v>
      </c>
      <c r="L101" s="143" t="s">
        <v>325</v>
      </c>
      <c r="M101" s="143" t="s">
        <v>344</v>
      </c>
      <c r="N101" s="143" t="s">
        <v>533</v>
      </c>
      <c r="O101" s="143" t="s">
        <v>339</v>
      </c>
      <c r="P101" s="143" t="s">
        <v>1211</v>
      </c>
      <c r="Q101" s="144">
        <v>472</v>
      </c>
      <c r="R101" s="143" t="s">
        <v>1212</v>
      </c>
      <c r="S101" s="143" t="s">
        <v>2478</v>
      </c>
      <c r="T101" s="145" t="s">
        <v>3853</v>
      </c>
      <c r="U101" s="144">
        <v>1606.3687</v>
      </c>
      <c r="V101" s="146">
        <v>4.9674903018171337E-7</v>
      </c>
      <c r="W101" s="146">
        <v>1.1446322739274813E-2</v>
      </c>
      <c r="X101" s="147">
        <v>2.4254541841688079E-3</v>
      </c>
      <c r="Y101" s="183"/>
    </row>
    <row r="102" spans="1:25" ht="15" x14ac:dyDescent="0.2">
      <c r="A102" s="142" t="s">
        <v>1205</v>
      </c>
      <c r="B102" s="143" t="s">
        <v>1205</v>
      </c>
      <c r="C102" s="143" t="s">
        <v>2479</v>
      </c>
      <c r="D102" s="143" t="s">
        <v>2480</v>
      </c>
      <c r="E102" s="143" t="s">
        <v>313</v>
      </c>
      <c r="F102" s="143" t="s">
        <v>2479</v>
      </c>
      <c r="G102" s="143" t="s">
        <v>2481</v>
      </c>
      <c r="H102" s="143" t="s">
        <v>321</v>
      </c>
      <c r="I102" s="143" t="s">
        <v>917</v>
      </c>
      <c r="J102" s="143" t="s">
        <v>205</v>
      </c>
      <c r="K102" s="143" t="s">
        <v>224</v>
      </c>
      <c r="L102" s="143" t="s">
        <v>325</v>
      </c>
      <c r="M102" s="143" t="s">
        <v>344</v>
      </c>
      <c r="N102" s="143" t="s">
        <v>544</v>
      </c>
      <c r="O102" s="143" t="s">
        <v>339</v>
      </c>
      <c r="P102" s="143" t="s">
        <v>1211</v>
      </c>
      <c r="Q102" s="144">
        <v>1226</v>
      </c>
      <c r="R102" s="143" t="s">
        <v>1212</v>
      </c>
      <c r="S102" s="143" t="s">
        <v>2482</v>
      </c>
      <c r="T102" s="145" t="s">
        <v>3853</v>
      </c>
      <c r="U102" s="144">
        <v>1562.3391000000001</v>
      </c>
      <c r="V102" s="146">
        <v>4.0548093809635629E-6</v>
      </c>
      <c r="W102" s="146">
        <v>1.113258631472127E-2</v>
      </c>
      <c r="X102" s="147">
        <v>2.3589740279655793E-3</v>
      </c>
      <c r="Y102" s="183"/>
    </row>
    <row r="103" spans="1:25" ht="15" x14ac:dyDescent="0.2">
      <c r="A103" s="142" t="s">
        <v>1205</v>
      </c>
      <c r="B103" s="143" t="s">
        <v>1205</v>
      </c>
      <c r="C103" s="143" t="s">
        <v>2483</v>
      </c>
      <c r="D103" s="143" t="s">
        <v>2484</v>
      </c>
      <c r="E103" s="143" t="s">
        <v>313</v>
      </c>
      <c r="F103" s="143" t="s">
        <v>2483</v>
      </c>
      <c r="G103" s="143" t="s">
        <v>2485</v>
      </c>
      <c r="H103" s="143" t="s">
        <v>321</v>
      </c>
      <c r="I103" s="143" t="s">
        <v>917</v>
      </c>
      <c r="J103" s="143" t="s">
        <v>205</v>
      </c>
      <c r="K103" s="143" t="s">
        <v>241</v>
      </c>
      <c r="L103" s="143" t="s">
        <v>325</v>
      </c>
      <c r="M103" s="143" t="s">
        <v>344</v>
      </c>
      <c r="N103" s="143" t="s">
        <v>533</v>
      </c>
      <c r="O103" s="143" t="s">
        <v>339</v>
      </c>
      <c r="P103" s="143" t="s">
        <v>1211</v>
      </c>
      <c r="Q103" s="144">
        <v>2888</v>
      </c>
      <c r="R103" s="143" t="s">
        <v>1212</v>
      </c>
      <c r="S103" s="143" t="s">
        <v>2486</v>
      </c>
      <c r="T103" s="145" t="s">
        <v>3853</v>
      </c>
      <c r="U103" s="144">
        <v>1549.5843</v>
      </c>
      <c r="V103" s="146">
        <v>1.6573279374530864E-6</v>
      </c>
      <c r="W103" s="146">
        <v>1.1041700758240951E-2</v>
      </c>
      <c r="X103" s="147">
        <v>2.3397155500887216E-3</v>
      </c>
      <c r="Y103" s="183"/>
    </row>
    <row r="104" spans="1:25" ht="15" x14ac:dyDescent="0.2">
      <c r="A104" s="142" t="s">
        <v>1205</v>
      </c>
      <c r="B104" s="143" t="s">
        <v>1205</v>
      </c>
      <c r="C104" s="143" t="s">
        <v>2487</v>
      </c>
      <c r="D104" s="143" t="s">
        <v>2488</v>
      </c>
      <c r="E104" s="143" t="s">
        <v>313</v>
      </c>
      <c r="F104" s="143" t="s">
        <v>2489</v>
      </c>
      <c r="G104" s="143" t="s">
        <v>2490</v>
      </c>
      <c r="H104" s="143" t="s">
        <v>321</v>
      </c>
      <c r="I104" s="143" t="s">
        <v>917</v>
      </c>
      <c r="J104" s="143" t="s">
        <v>205</v>
      </c>
      <c r="K104" s="143" t="s">
        <v>224</v>
      </c>
      <c r="L104" s="143" t="s">
        <v>325</v>
      </c>
      <c r="M104" s="143" t="s">
        <v>344</v>
      </c>
      <c r="N104" s="143" t="s">
        <v>475</v>
      </c>
      <c r="O104" s="143" t="s">
        <v>339</v>
      </c>
      <c r="P104" s="143" t="s">
        <v>1211</v>
      </c>
      <c r="Q104" s="144">
        <v>3999</v>
      </c>
      <c r="R104" s="143" t="s">
        <v>1212</v>
      </c>
      <c r="S104" s="143" t="s">
        <v>2491</v>
      </c>
      <c r="T104" s="145" t="s">
        <v>3853</v>
      </c>
      <c r="U104" s="144">
        <v>1492.5511999999999</v>
      </c>
      <c r="V104" s="146">
        <v>2.1929247331639971E-6</v>
      </c>
      <c r="W104" s="146">
        <v>1.0635306407875939E-2</v>
      </c>
      <c r="X104" s="147">
        <v>2.2536013542926109E-3</v>
      </c>
      <c r="Y104" s="183"/>
    </row>
    <row r="105" spans="1:25" ht="15" x14ac:dyDescent="0.2">
      <c r="A105" s="142" t="s">
        <v>1205</v>
      </c>
      <c r="B105" s="143" t="s">
        <v>1205</v>
      </c>
      <c r="C105" s="143" t="s">
        <v>2492</v>
      </c>
      <c r="D105" s="143" t="s">
        <v>2493</v>
      </c>
      <c r="E105" s="143" t="s">
        <v>309</v>
      </c>
      <c r="F105" s="143" t="s">
        <v>2494</v>
      </c>
      <c r="G105" s="143" t="s">
        <v>2495</v>
      </c>
      <c r="H105" s="143" t="s">
        <v>321</v>
      </c>
      <c r="I105" s="143" t="s">
        <v>917</v>
      </c>
      <c r="J105" s="143" t="s">
        <v>205</v>
      </c>
      <c r="K105" s="143" t="s">
        <v>224</v>
      </c>
      <c r="L105" s="143" t="s">
        <v>325</v>
      </c>
      <c r="M105" s="143" t="s">
        <v>344</v>
      </c>
      <c r="N105" s="143" t="s">
        <v>544</v>
      </c>
      <c r="O105" s="143" t="s">
        <v>339</v>
      </c>
      <c r="P105" s="143" t="s">
        <v>1211</v>
      </c>
      <c r="Q105" s="144">
        <v>32393</v>
      </c>
      <c r="R105" s="143" t="s">
        <v>1212</v>
      </c>
      <c r="S105" s="143" t="s">
        <v>2496</v>
      </c>
      <c r="T105" s="145" t="s">
        <v>3853</v>
      </c>
      <c r="U105" s="144">
        <v>1455.0952</v>
      </c>
      <c r="V105" s="146">
        <v>1.6412488346641805E-4</v>
      </c>
      <c r="W105" s="146">
        <v>1.0368410139649393E-2</v>
      </c>
      <c r="X105" s="147">
        <v>2.1970465388069407E-3</v>
      </c>
      <c r="Y105" s="183"/>
    </row>
    <row r="106" spans="1:25" x14ac:dyDescent="0.2">
      <c r="A106" s="142" t="s">
        <v>1205</v>
      </c>
      <c r="B106" s="143" t="s">
        <v>1205</v>
      </c>
      <c r="C106" s="143" t="s">
        <v>2497</v>
      </c>
      <c r="D106" s="143" t="s">
        <v>2498</v>
      </c>
      <c r="E106" s="143" t="s">
        <v>313</v>
      </c>
      <c r="F106" s="143" t="s">
        <v>2497</v>
      </c>
      <c r="G106" s="143" t="s">
        <v>2499</v>
      </c>
      <c r="H106" s="143" t="s">
        <v>321</v>
      </c>
      <c r="I106" s="143" t="s">
        <v>917</v>
      </c>
      <c r="J106" s="143" t="s">
        <v>205</v>
      </c>
      <c r="K106" s="143" t="s">
        <v>224</v>
      </c>
      <c r="L106" s="143" t="s">
        <v>325</v>
      </c>
      <c r="M106" s="143" t="s">
        <v>344</v>
      </c>
      <c r="N106" s="143" t="s">
        <v>568</v>
      </c>
      <c r="O106" s="143" t="s">
        <v>339</v>
      </c>
      <c r="P106" s="143" t="s">
        <v>1211</v>
      </c>
      <c r="Q106" s="144">
        <v>3395</v>
      </c>
      <c r="R106" s="143" t="s">
        <v>1212</v>
      </c>
      <c r="S106" s="143" t="s">
        <v>2500</v>
      </c>
      <c r="T106" s="144">
        <v>3.2591999999999999</v>
      </c>
      <c r="U106" s="144">
        <v>1445.5297</v>
      </c>
      <c r="V106" s="146">
        <v>3.677908391372786E-6</v>
      </c>
      <c r="W106" s="146">
        <v>1.0323473843497964E-2</v>
      </c>
      <c r="X106" s="147">
        <v>2.1875246224671578E-3</v>
      </c>
      <c r="Y106" s="183"/>
    </row>
    <row r="107" spans="1:25" x14ac:dyDescent="0.2">
      <c r="A107" s="142" t="s">
        <v>1205</v>
      </c>
      <c r="B107" s="143" t="s">
        <v>1205</v>
      </c>
      <c r="C107" s="143" t="s">
        <v>2501</v>
      </c>
      <c r="D107" s="143" t="s">
        <v>2502</v>
      </c>
      <c r="E107" s="143" t="s">
        <v>313</v>
      </c>
      <c r="F107" s="143" t="s">
        <v>2503</v>
      </c>
      <c r="G107" s="143" t="s">
        <v>2504</v>
      </c>
      <c r="H107" s="143" t="s">
        <v>321</v>
      </c>
      <c r="I107" s="143" t="s">
        <v>917</v>
      </c>
      <c r="J107" s="143" t="s">
        <v>205</v>
      </c>
      <c r="K107" s="143" t="s">
        <v>268</v>
      </c>
      <c r="L107" s="143" t="s">
        <v>325</v>
      </c>
      <c r="M107" s="143" t="s">
        <v>344</v>
      </c>
      <c r="N107" s="143" t="s">
        <v>521</v>
      </c>
      <c r="O107" s="143" t="s">
        <v>339</v>
      </c>
      <c r="P107" s="143" t="s">
        <v>1211</v>
      </c>
      <c r="Q107" s="144">
        <v>5032</v>
      </c>
      <c r="R107" s="143" t="s">
        <v>1212</v>
      </c>
      <c r="S107" s="143" t="s">
        <v>2505</v>
      </c>
      <c r="T107" s="144">
        <v>8.3530999999999995</v>
      </c>
      <c r="U107" s="144">
        <v>1393.3001000000002</v>
      </c>
      <c r="V107" s="146">
        <v>1.9006351566135457E-6</v>
      </c>
      <c r="W107" s="146">
        <v>9.9876048025965541E-3</v>
      </c>
      <c r="X107" s="147">
        <v>2.116354606633872E-3</v>
      </c>
      <c r="Y107" s="183"/>
    </row>
    <row r="108" spans="1:25" ht="15" x14ac:dyDescent="0.2">
      <c r="A108" s="142" t="s">
        <v>1205</v>
      </c>
      <c r="B108" s="143" t="s">
        <v>1205</v>
      </c>
      <c r="C108" s="143" t="s">
        <v>2506</v>
      </c>
      <c r="D108" s="143" t="s">
        <v>2507</v>
      </c>
      <c r="E108" s="143" t="s">
        <v>313</v>
      </c>
      <c r="F108" s="143" t="s">
        <v>2508</v>
      </c>
      <c r="G108" s="143" t="s">
        <v>2509</v>
      </c>
      <c r="H108" s="143" t="s">
        <v>321</v>
      </c>
      <c r="I108" s="143" t="s">
        <v>917</v>
      </c>
      <c r="J108" s="143" t="s">
        <v>205</v>
      </c>
      <c r="K108" s="143" t="s">
        <v>224</v>
      </c>
      <c r="L108" s="143" t="s">
        <v>325</v>
      </c>
      <c r="M108" s="143" t="s">
        <v>344</v>
      </c>
      <c r="N108" s="143" t="s">
        <v>539</v>
      </c>
      <c r="O108" s="143" t="s">
        <v>339</v>
      </c>
      <c r="P108" s="143" t="s">
        <v>1211</v>
      </c>
      <c r="Q108" s="144">
        <v>3495</v>
      </c>
      <c r="R108" s="143" t="s">
        <v>1212</v>
      </c>
      <c r="S108" s="143" t="s">
        <v>2510</v>
      </c>
      <c r="T108" s="145" t="s">
        <v>3853</v>
      </c>
      <c r="U108" s="144">
        <v>1382.6121000000001</v>
      </c>
      <c r="V108" s="146">
        <v>4.0587054877878837E-6</v>
      </c>
      <c r="W108" s="146">
        <v>9.8519253240775158E-3</v>
      </c>
      <c r="X108" s="147">
        <v>2.087604381222991E-3</v>
      </c>
      <c r="Y108" s="183"/>
    </row>
    <row r="109" spans="1:25" ht="15" x14ac:dyDescent="0.2">
      <c r="A109" s="142" t="s">
        <v>1205</v>
      </c>
      <c r="B109" s="143" t="s">
        <v>1205</v>
      </c>
      <c r="C109" s="143" t="s">
        <v>2511</v>
      </c>
      <c r="D109" s="143" t="s">
        <v>2512</v>
      </c>
      <c r="E109" s="143" t="s">
        <v>313</v>
      </c>
      <c r="F109" s="143" t="s">
        <v>2513</v>
      </c>
      <c r="G109" s="143" t="s">
        <v>2514</v>
      </c>
      <c r="H109" s="143" t="s">
        <v>321</v>
      </c>
      <c r="I109" s="143" t="s">
        <v>917</v>
      </c>
      <c r="J109" s="143" t="s">
        <v>205</v>
      </c>
      <c r="K109" s="143" t="s">
        <v>243</v>
      </c>
      <c r="L109" s="143" t="s">
        <v>325</v>
      </c>
      <c r="M109" s="143" t="s">
        <v>380</v>
      </c>
      <c r="N109" s="143" t="s">
        <v>546</v>
      </c>
      <c r="O109" s="143" t="s">
        <v>339</v>
      </c>
      <c r="P109" s="143" t="s">
        <v>1211</v>
      </c>
      <c r="Q109" s="144">
        <v>246</v>
      </c>
      <c r="R109" s="143" t="s">
        <v>1212</v>
      </c>
      <c r="S109" s="143" t="s">
        <v>2515</v>
      </c>
      <c r="T109" s="145" t="s">
        <v>3853</v>
      </c>
      <c r="U109" s="144">
        <v>1368.5766999999998</v>
      </c>
      <c r="V109" s="146">
        <v>1.0301895800092968E-6</v>
      </c>
      <c r="W109" s="146">
        <v>9.751915159219535E-3</v>
      </c>
      <c r="X109" s="147">
        <v>2.0664124160530862E-3</v>
      </c>
      <c r="Y109" s="183"/>
    </row>
    <row r="110" spans="1:25" ht="15" x14ac:dyDescent="0.2">
      <c r="A110" s="142" t="s">
        <v>1205</v>
      </c>
      <c r="B110" s="143" t="s">
        <v>1205</v>
      </c>
      <c r="C110" s="143" t="s">
        <v>2516</v>
      </c>
      <c r="D110" s="143" t="s">
        <v>2517</v>
      </c>
      <c r="E110" s="143" t="s">
        <v>313</v>
      </c>
      <c r="F110" s="143" t="s">
        <v>2516</v>
      </c>
      <c r="G110" s="143" t="s">
        <v>2518</v>
      </c>
      <c r="H110" s="143" t="s">
        <v>321</v>
      </c>
      <c r="I110" s="143" t="s">
        <v>917</v>
      </c>
      <c r="J110" s="143" t="s">
        <v>205</v>
      </c>
      <c r="K110" s="143" t="s">
        <v>224</v>
      </c>
      <c r="L110" s="143" t="s">
        <v>325</v>
      </c>
      <c r="M110" s="143" t="s">
        <v>344</v>
      </c>
      <c r="N110" s="143" t="s">
        <v>521</v>
      </c>
      <c r="O110" s="143" t="s">
        <v>339</v>
      </c>
      <c r="P110" s="143" t="s">
        <v>1211</v>
      </c>
      <c r="Q110" s="144">
        <v>402</v>
      </c>
      <c r="R110" s="143" t="s">
        <v>1212</v>
      </c>
      <c r="S110" s="143" t="s">
        <v>2519</v>
      </c>
      <c r="T110" s="145" t="s">
        <v>3853</v>
      </c>
      <c r="U110" s="144">
        <v>1284.4351999999999</v>
      </c>
      <c r="V110" s="146">
        <v>9.057297545742732E-7</v>
      </c>
      <c r="W110" s="146">
        <v>9.1523571940408006E-3</v>
      </c>
      <c r="X110" s="147">
        <v>1.939367214863291E-3</v>
      </c>
      <c r="Y110" s="183"/>
    </row>
    <row r="111" spans="1:25" ht="15" x14ac:dyDescent="0.2">
      <c r="A111" s="142" t="s">
        <v>1205</v>
      </c>
      <c r="B111" s="143" t="s">
        <v>1205</v>
      </c>
      <c r="C111" s="143" t="s">
        <v>2520</v>
      </c>
      <c r="D111" s="143" t="s">
        <v>2521</v>
      </c>
      <c r="E111" s="143" t="s">
        <v>313</v>
      </c>
      <c r="F111" s="143" t="s">
        <v>2522</v>
      </c>
      <c r="G111" s="143" t="s">
        <v>2523</v>
      </c>
      <c r="H111" s="143" t="s">
        <v>321</v>
      </c>
      <c r="I111" s="143" t="s">
        <v>917</v>
      </c>
      <c r="J111" s="143" t="s">
        <v>205</v>
      </c>
      <c r="K111" s="143" t="s">
        <v>224</v>
      </c>
      <c r="L111" s="143" t="s">
        <v>325</v>
      </c>
      <c r="M111" s="143" t="s">
        <v>344</v>
      </c>
      <c r="N111" s="143" t="s">
        <v>536</v>
      </c>
      <c r="O111" s="143" t="s">
        <v>339</v>
      </c>
      <c r="P111" s="143" t="s">
        <v>1211</v>
      </c>
      <c r="Q111" s="144">
        <v>1588</v>
      </c>
      <c r="R111" s="143" t="s">
        <v>1212</v>
      </c>
      <c r="S111" s="143" t="s">
        <v>2524</v>
      </c>
      <c r="T111" s="145" t="s">
        <v>3853</v>
      </c>
      <c r="U111" s="144">
        <v>1207.3489999999999</v>
      </c>
      <c r="V111" s="146">
        <v>5.4138732205897645E-7</v>
      </c>
      <c r="W111" s="146">
        <v>8.6030726978816308E-3</v>
      </c>
      <c r="X111" s="147">
        <v>1.8229748668704261E-3</v>
      </c>
      <c r="Y111" s="183"/>
    </row>
    <row r="112" spans="1:25" ht="15" x14ac:dyDescent="0.2">
      <c r="A112" s="142" t="s">
        <v>1205</v>
      </c>
      <c r="B112" s="143" t="s">
        <v>1205</v>
      </c>
      <c r="C112" s="143" t="s">
        <v>2525</v>
      </c>
      <c r="D112" s="143" t="s">
        <v>2526</v>
      </c>
      <c r="E112" s="143" t="s">
        <v>313</v>
      </c>
      <c r="F112" s="143" t="s">
        <v>2525</v>
      </c>
      <c r="G112" s="143" t="s">
        <v>2527</v>
      </c>
      <c r="H112" s="143" t="s">
        <v>321</v>
      </c>
      <c r="I112" s="143" t="s">
        <v>917</v>
      </c>
      <c r="J112" s="143" t="s">
        <v>205</v>
      </c>
      <c r="K112" s="143" t="s">
        <v>224</v>
      </c>
      <c r="L112" s="143" t="s">
        <v>325</v>
      </c>
      <c r="M112" s="143" t="s">
        <v>344</v>
      </c>
      <c r="N112" s="143" t="s">
        <v>544</v>
      </c>
      <c r="O112" s="143" t="s">
        <v>339</v>
      </c>
      <c r="P112" s="143" t="s">
        <v>1211</v>
      </c>
      <c r="Q112" s="144">
        <v>1140</v>
      </c>
      <c r="R112" s="143" t="s">
        <v>1212</v>
      </c>
      <c r="S112" s="143" t="s">
        <v>2528</v>
      </c>
      <c r="T112" s="145" t="s">
        <v>3853</v>
      </c>
      <c r="U112" s="144">
        <v>1101.7402999999999</v>
      </c>
      <c r="V112" s="146">
        <v>1.2377850162866449E-6</v>
      </c>
      <c r="W112" s="146">
        <v>7.8505488400249686E-3</v>
      </c>
      <c r="X112" s="147">
        <v>1.6635164817366051E-3</v>
      </c>
      <c r="Y112" s="183"/>
    </row>
    <row r="113" spans="1:25" ht="15" x14ac:dyDescent="0.2">
      <c r="A113" s="142" t="s">
        <v>1205</v>
      </c>
      <c r="B113" s="143" t="s">
        <v>1205</v>
      </c>
      <c r="C113" s="143" t="s">
        <v>2446</v>
      </c>
      <c r="D113" s="143" t="s">
        <v>2447</v>
      </c>
      <c r="E113" s="143" t="s">
        <v>313</v>
      </c>
      <c r="F113" s="143" t="s">
        <v>2529</v>
      </c>
      <c r="G113" s="143" t="s">
        <v>2530</v>
      </c>
      <c r="H113" s="143" t="s">
        <v>321</v>
      </c>
      <c r="I113" s="143" t="s">
        <v>917</v>
      </c>
      <c r="J113" s="143" t="s">
        <v>205</v>
      </c>
      <c r="K113" s="143" t="s">
        <v>224</v>
      </c>
      <c r="L113" s="143" t="s">
        <v>325</v>
      </c>
      <c r="M113" s="143" t="s">
        <v>344</v>
      </c>
      <c r="N113" s="143" t="s">
        <v>546</v>
      </c>
      <c r="O113" s="143" t="s">
        <v>339</v>
      </c>
      <c r="P113" s="143" t="s">
        <v>1211</v>
      </c>
      <c r="Q113" s="144">
        <v>1591</v>
      </c>
      <c r="R113" s="143" t="s">
        <v>1212</v>
      </c>
      <c r="S113" s="143" t="s">
        <v>2531</v>
      </c>
      <c r="T113" s="145" t="s">
        <v>3853</v>
      </c>
      <c r="U113" s="144">
        <v>1089.3606000000002</v>
      </c>
      <c r="V113" s="146">
        <v>2.6636531056420558E-7</v>
      </c>
      <c r="W113" s="146">
        <v>7.762336167563927E-3</v>
      </c>
      <c r="X113" s="147">
        <v>1.6448243829385156E-3</v>
      </c>
      <c r="Y113" s="183"/>
    </row>
    <row r="114" spans="1:25" ht="15" x14ac:dyDescent="0.2">
      <c r="A114" s="142" t="s">
        <v>1205</v>
      </c>
      <c r="B114" s="143" t="s">
        <v>1205</v>
      </c>
      <c r="C114" s="143" t="s">
        <v>2532</v>
      </c>
      <c r="D114" s="143" t="s">
        <v>2533</v>
      </c>
      <c r="E114" s="143" t="s">
        <v>313</v>
      </c>
      <c r="F114" s="143" t="s">
        <v>2534</v>
      </c>
      <c r="G114" s="143" t="s">
        <v>2535</v>
      </c>
      <c r="H114" s="143" t="s">
        <v>321</v>
      </c>
      <c r="I114" s="143" t="s">
        <v>917</v>
      </c>
      <c r="J114" s="143" t="s">
        <v>205</v>
      </c>
      <c r="K114" s="143" t="s">
        <v>224</v>
      </c>
      <c r="L114" s="143" t="s">
        <v>325</v>
      </c>
      <c r="M114" s="143" t="s">
        <v>344</v>
      </c>
      <c r="N114" s="143" t="s">
        <v>517</v>
      </c>
      <c r="O114" s="143" t="s">
        <v>339</v>
      </c>
      <c r="P114" s="143" t="s">
        <v>1211</v>
      </c>
      <c r="Q114" s="144">
        <v>3819</v>
      </c>
      <c r="R114" s="143" t="s">
        <v>1212</v>
      </c>
      <c r="S114" s="143" t="s">
        <v>2536</v>
      </c>
      <c r="T114" s="145" t="s">
        <v>3853</v>
      </c>
      <c r="U114" s="144">
        <v>972.01909999999998</v>
      </c>
      <c r="V114" s="146">
        <v>1.4161228122218926E-6</v>
      </c>
      <c r="W114" s="146">
        <v>6.926208547489706E-3</v>
      </c>
      <c r="X114" s="147">
        <v>1.467650518388143E-3</v>
      </c>
      <c r="Y114" s="183"/>
    </row>
    <row r="115" spans="1:25" x14ac:dyDescent="0.2">
      <c r="A115" s="142" t="s">
        <v>1205</v>
      </c>
      <c r="B115" s="143" t="s">
        <v>1205</v>
      </c>
      <c r="C115" s="143" t="s">
        <v>2537</v>
      </c>
      <c r="D115" s="143" t="s">
        <v>2538</v>
      </c>
      <c r="E115" s="143" t="s">
        <v>313</v>
      </c>
      <c r="F115" s="143" t="s">
        <v>2539</v>
      </c>
      <c r="G115" s="143" t="s">
        <v>2540</v>
      </c>
      <c r="H115" s="143" t="s">
        <v>321</v>
      </c>
      <c r="I115" s="143" t="s">
        <v>917</v>
      </c>
      <c r="J115" s="143" t="s">
        <v>205</v>
      </c>
      <c r="K115" s="143" t="s">
        <v>224</v>
      </c>
      <c r="L115" s="143" t="s">
        <v>325</v>
      </c>
      <c r="M115" s="143" t="s">
        <v>344</v>
      </c>
      <c r="N115" s="143" t="s">
        <v>497</v>
      </c>
      <c r="O115" s="143" t="s">
        <v>339</v>
      </c>
      <c r="P115" s="143" t="s">
        <v>1211</v>
      </c>
      <c r="Q115" s="144">
        <v>660</v>
      </c>
      <c r="R115" s="143" t="s">
        <v>1212</v>
      </c>
      <c r="S115" s="143" t="s">
        <v>2541</v>
      </c>
      <c r="T115" s="144">
        <v>0.97020000000000006</v>
      </c>
      <c r="U115" s="144">
        <v>930.60059999999999</v>
      </c>
      <c r="V115" s="146">
        <v>2.2130050932647524E-6</v>
      </c>
      <c r="W115" s="146">
        <v>6.637990559926212E-3</v>
      </c>
      <c r="X115" s="147">
        <v>1.4065776708185066E-3</v>
      </c>
      <c r="Y115" s="183"/>
    </row>
    <row r="116" spans="1:25" ht="15" x14ac:dyDescent="0.2">
      <c r="A116" s="142" t="s">
        <v>1205</v>
      </c>
      <c r="B116" s="143" t="s">
        <v>1205</v>
      </c>
      <c r="C116" s="143" t="s">
        <v>2542</v>
      </c>
      <c r="D116" s="143" t="s">
        <v>2543</v>
      </c>
      <c r="E116" s="143" t="s">
        <v>313</v>
      </c>
      <c r="F116" s="143" t="s">
        <v>2544</v>
      </c>
      <c r="G116" s="143" t="s">
        <v>2545</v>
      </c>
      <c r="H116" s="143" t="s">
        <v>321</v>
      </c>
      <c r="I116" s="143" t="s">
        <v>917</v>
      </c>
      <c r="J116" s="143" t="s">
        <v>205</v>
      </c>
      <c r="K116" s="143" t="s">
        <v>238</v>
      </c>
      <c r="L116" s="143" t="s">
        <v>325</v>
      </c>
      <c r="M116" s="143" t="s">
        <v>368</v>
      </c>
      <c r="N116" s="143" t="s">
        <v>544</v>
      </c>
      <c r="O116" s="143" t="s">
        <v>339</v>
      </c>
      <c r="P116" s="143" t="s">
        <v>1214</v>
      </c>
      <c r="Q116" s="144">
        <v>1148</v>
      </c>
      <c r="R116" s="143" t="s">
        <v>1215</v>
      </c>
      <c r="S116" s="143" t="s">
        <v>2546</v>
      </c>
      <c r="T116" s="145" t="s">
        <v>3853</v>
      </c>
      <c r="U116" s="144">
        <v>874.6706999999999</v>
      </c>
      <c r="V116" s="146">
        <v>9.3446989183592406E-7</v>
      </c>
      <c r="W116" s="146">
        <v>6.2325441137054752E-3</v>
      </c>
      <c r="X116" s="147">
        <v>1.3206643341214532E-3</v>
      </c>
      <c r="Y116" s="183"/>
    </row>
    <row r="117" spans="1:25" ht="15" x14ac:dyDescent="0.2">
      <c r="A117" s="142" t="s">
        <v>1205</v>
      </c>
      <c r="B117" s="143" t="s">
        <v>1205</v>
      </c>
      <c r="C117" s="143" t="s">
        <v>2547</v>
      </c>
      <c r="D117" s="143" t="s">
        <v>2548</v>
      </c>
      <c r="E117" s="143" t="s">
        <v>309</v>
      </c>
      <c r="F117" s="143" t="s">
        <v>2547</v>
      </c>
      <c r="G117" s="143" t="s">
        <v>2549</v>
      </c>
      <c r="H117" s="143" t="s">
        <v>321</v>
      </c>
      <c r="I117" s="143" t="s">
        <v>917</v>
      </c>
      <c r="J117" s="143" t="s">
        <v>205</v>
      </c>
      <c r="K117" s="143" t="s">
        <v>204</v>
      </c>
      <c r="L117" s="143" t="s">
        <v>325</v>
      </c>
      <c r="M117" s="143" t="s">
        <v>344</v>
      </c>
      <c r="N117" s="143" t="s">
        <v>476</v>
      </c>
      <c r="O117" s="143" t="s">
        <v>339</v>
      </c>
      <c r="P117" s="143" t="s">
        <v>1211</v>
      </c>
      <c r="Q117" s="144">
        <v>806</v>
      </c>
      <c r="R117" s="143" t="s">
        <v>1212</v>
      </c>
      <c r="S117" s="143" t="s">
        <v>2550</v>
      </c>
      <c r="T117" s="145" t="s">
        <v>3853</v>
      </c>
      <c r="U117" s="144">
        <v>828.39530000000002</v>
      </c>
      <c r="V117" s="146">
        <v>1.9795657726692208E-5</v>
      </c>
      <c r="W117" s="146">
        <v>5.9028046751374618E-3</v>
      </c>
      <c r="X117" s="147">
        <v>1.2507931694533379E-3</v>
      </c>
      <c r="Y117" s="183"/>
    </row>
    <row r="118" spans="1:25" x14ac:dyDescent="0.2">
      <c r="A118" s="142" t="s">
        <v>1205</v>
      </c>
      <c r="B118" s="143" t="s">
        <v>1205</v>
      </c>
      <c r="C118" s="143" t="s">
        <v>2551</v>
      </c>
      <c r="D118" s="143" t="s">
        <v>2552</v>
      </c>
      <c r="E118" s="143" t="s">
        <v>313</v>
      </c>
      <c r="F118" s="143" t="s">
        <v>2551</v>
      </c>
      <c r="G118" s="143" t="s">
        <v>2553</v>
      </c>
      <c r="H118" s="143" t="s">
        <v>321</v>
      </c>
      <c r="I118" s="143" t="s">
        <v>917</v>
      </c>
      <c r="J118" s="143" t="s">
        <v>205</v>
      </c>
      <c r="K118" s="143" t="s">
        <v>224</v>
      </c>
      <c r="L118" s="143" t="s">
        <v>325</v>
      </c>
      <c r="M118" s="143" t="s">
        <v>344</v>
      </c>
      <c r="N118" s="143" t="s">
        <v>546</v>
      </c>
      <c r="O118" s="143" t="s">
        <v>339</v>
      </c>
      <c r="P118" s="143" t="s">
        <v>1211</v>
      </c>
      <c r="Q118" s="144">
        <v>135</v>
      </c>
      <c r="R118" s="143" t="s">
        <v>1212</v>
      </c>
      <c r="S118" s="143" t="s">
        <v>2554</v>
      </c>
      <c r="T118" s="144">
        <v>0.70879999999999999</v>
      </c>
      <c r="U118" s="144">
        <v>817.41449999999998</v>
      </c>
      <c r="V118" s="146">
        <v>3.2305461298057365E-7</v>
      </c>
      <c r="W118" s="146">
        <v>5.8296097989725187E-3</v>
      </c>
      <c r="X118" s="147">
        <v>1.2352833133451547E-3</v>
      </c>
      <c r="Y118" s="183"/>
    </row>
    <row r="119" spans="1:25" x14ac:dyDescent="0.2">
      <c r="A119" s="142" t="s">
        <v>1205</v>
      </c>
      <c r="B119" s="143" t="s">
        <v>1205</v>
      </c>
      <c r="C119" s="143" t="s">
        <v>2555</v>
      </c>
      <c r="D119" s="143" t="s">
        <v>2556</v>
      </c>
      <c r="E119" s="143" t="s">
        <v>313</v>
      </c>
      <c r="F119" s="143" t="s">
        <v>2555</v>
      </c>
      <c r="G119" s="143" t="s">
        <v>2557</v>
      </c>
      <c r="H119" s="143" t="s">
        <v>321</v>
      </c>
      <c r="I119" s="143" t="s">
        <v>917</v>
      </c>
      <c r="J119" s="143" t="s">
        <v>205</v>
      </c>
      <c r="K119" s="143" t="s">
        <v>224</v>
      </c>
      <c r="L119" s="143" t="s">
        <v>325</v>
      </c>
      <c r="M119" s="143" t="s">
        <v>344</v>
      </c>
      <c r="N119" s="143" t="s">
        <v>515</v>
      </c>
      <c r="O119" s="143" t="s">
        <v>339</v>
      </c>
      <c r="P119" s="143" t="s">
        <v>1211</v>
      </c>
      <c r="Q119" s="144">
        <v>2845</v>
      </c>
      <c r="R119" s="143" t="s">
        <v>1212</v>
      </c>
      <c r="S119" s="143" t="s">
        <v>2558</v>
      </c>
      <c r="T119" s="144">
        <v>2.0886999999999998</v>
      </c>
      <c r="U119" s="144">
        <v>813.88480000000004</v>
      </c>
      <c r="V119" s="146">
        <v>2.2584957545042901E-6</v>
      </c>
      <c r="W119" s="146">
        <v>5.814291200712857E-3</v>
      </c>
      <c r="X119" s="147">
        <v>1.2320373312869157E-3</v>
      </c>
      <c r="Y119" s="183"/>
    </row>
    <row r="120" spans="1:25" ht="15" x14ac:dyDescent="0.2">
      <c r="A120" s="142" t="s">
        <v>1205</v>
      </c>
      <c r="B120" s="143" t="s">
        <v>1205</v>
      </c>
      <c r="C120" s="143" t="s">
        <v>2559</v>
      </c>
      <c r="D120" s="143" t="s">
        <v>2560</v>
      </c>
      <c r="E120" s="143" t="s">
        <v>313</v>
      </c>
      <c r="F120" s="143" t="s">
        <v>2561</v>
      </c>
      <c r="G120" s="143" t="s">
        <v>2562</v>
      </c>
      <c r="H120" s="143" t="s">
        <v>321</v>
      </c>
      <c r="I120" s="143" t="s">
        <v>917</v>
      </c>
      <c r="J120" s="143" t="s">
        <v>205</v>
      </c>
      <c r="K120" s="143" t="s">
        <v>281</v>
      </c>
      <c r="L120" s="143" t="s">
        <v>325</v>
      </c>
      <c r="M120" s="143" t="s">
        <v>364</v>
      </c>
      <c r="N120" s="143" t="s">
        <v>517</v>
      </c>
      <c r="O120" s="143" t="s">
        <v>339</v>
      </c>
      <c r="P120" s="143" t="s">
        <v>1214</v>
      </c>
      <c r="Q120" s="144">
        <v>488</v>
      </c>
      <c r="R120" s="143" t="s">
        <v>1215</v>
      </c>
      <c r="S120" s="143" t="s">
        <v>2563</v>
      </c>
      <c r="T120" s="145" t="s">
        <v>3853</v>
      </c>
      <c r="U120" s="144">
        <v>804.4597</v>
      </c>
      <c r="V120" s="146">
        <v>9.0921116615647745E-7</v>
      </c>
      <c r="W120" s="146">
        <v>5.7322492158190484E-3</v>
      </c>
      <c r="X120" s="147">
        <v>1.2146527895375008E-3</v>
      </c>
      <c r="Y120" s="183"/>
    </row>
    <row r="121" spans="1:25" ht="15" x14ac:dyDescent="0.2">
      <c r="A121" s="142" t="s">
        <v>1205</v>
      </c>
      <c r="B121" s="143" t="s">
        <v>1205</v>
      </c>
      <c r="C121" s="143" t="s">
        <v>2564</v>
      </c>
      <c r="D121" s="143" t="s">
        <v>2565</v>
      </c>
      <c r="E121" s="143" t="s">
        <v>313</v>
      </c>
      <c r="F121" s="143" t="s">
        <v>2564</v>
      </c>
      <c r="G121" s="143" t="s">
        <v>2566</v>
      </c>
      <c r="H121" s="143" t="s">
        <v>321</v>
      </c>
      <c r="I121" s="143" t="s">
        <v>917</v>
      </c>
      <c r="J121" s="143" t="s">
        <v>205</v>
      </c>
      <c r="K121" s="143" t="s">
        <v>224</v>
      </c>
      <c r="L121" s="143" t="s">
        <v>325</v>
      </c>
      <c r="M121" s="143" t="s">
        <v>344</v>
      </c>
      <c r="N121" s="143" t="s">
        <v>546</v>
      </c>
      <c r="O121" s="143" t="s">
        <v>339</v>
      </c>
      <c r="P121" s="143" t="s">
        <v>1211</v>
      </c>
      <c r="Q121" s="144">
        <v>3487</v>
      </c>
      <c r="R121" s="143" t="s">
        <v>1212</v>
      </c>
      <c r="S121" s="143" t="s">
        <v>2567</v>
      </c>
      <c r="T121" s="145" t="s">
        <v>3853</v>
      </c>
      <c r="U121" s="144">
        <v>789.99699999999996</v>
      </c>
      <c r="V121" s="146">
        <v>4.4634399848445288E-6</v>
      </c>
      <c r="W121" s="146">
        <v>5.6291941886815111E-3</v>
      </c>
      <c r="X121" s="147">
        <v>1.1928156237975623E-3</v>
      </c>
      <c r="Y121" s="183"/>
    </row>
    <row r="122" spans="1:25" x14ac:dyDescent="0.2">
      <c r="A122" s="142" t="s">
        <v>1205</v>
      </c>
      <c r="B122" s="143" t="s">
        <v>1205</v>
      </c>
      <c r="C122" s="143" t="s">
        <v>2568</v>
      </c>
      <c r="D122" s="143" t="s">
        <v>2569</v>
      </c>
      <c r="E122" s="143" t="s">
        <v>313</v>
      </c>
      <c r="F122" s="143" t="s">
        <v>2568</v>
      </c>
      <c r="G122" s="143" t="s">
        <v>2570</v>
      </c>
      <c r="H122" s="143" t="s">
        <v>321</v>
      </c>
      <c r="I122" s="143" t="s">
        <v>917</v>
      </c>
      <c r="J122" s="143" t="s">
        <v>205</v>
      </c>
      <c r="K122" s="143" t="s">
        <v>224</v>
      </c>
      <c r="L122" s="143" t="s">
        <v>325</v>
      </c>
      <c r="M122" s="143" t="s">
        <v>344</v>
      </c>
      <c r="N122" s="143" t="s">
        <v>497</v>
      </c>
      <c r="O122" s="143" t="s">
        <v>339</v>
      </c>
      <c r="P122" s="143" t="s">
        <v>1211</v>
      </c>
      <c r="Q122" s="144">
        <v>3166</v>
      </c>
      <c r="R122" s="143" t="s">
        <v>1212</v>
      </c>
      <c r="S122" s="143" t="s">
        <v>2571</v>
      </c>
      <c r="T122" s="144">
        <v>0.60150000000000003</v>
      </c>
      <c r="U122" s="144">
        <v>752.97590000000002</v>
      </c>
      <c r="V122" s="146">
        <v>3.7733285501288963E-6</v>
      </c>
      <c r="W122" s="146">
        <v>5.3696830141670288E-3</v>
      </c>
      <c r="X122" s="147">
        <v>1.1378256957305338E-3</v>
      </c>
      <c r="Y122" s="183"/>
    </row>
    <row r="123" spans="1:25" ht="15" x14ac:dyDescent="0.2">
      <c r="A123" s="142" t="s">
        <v>1205</v>
      </c>
      <c r="B123" s="143" t="s">
        <v>1205</v>
      </c>
      <c r="C123" s="143" t="s">
        <v>2572</v>
      </c>
      <c r="D123" s="143" t="s">
        <v>2573</v>
      </c>
      <c r="E123" s="143" t="s">
        <v>309</v>
      </c>
      <c r="F123" s="143" t="s">
        <v>2574</v>
      </c>
      <c r="G123" s="143" t="s">
        <v>2575</v>
      </c>
      <c r="H123" s="143" t="s">
        <v>321</v>
      </c>
      <c r="I123" s="143" t="s">
        <v>917</v>
      </c>
      <c r="J123" s="143" t="s">
        <v>205</v>
      </c>
      <c r="K123" s="143" t="s">
        <v>204</v>
      </c>
      <c r="L123" s="143" t="s">
        <v>325</v>
      </c>
      <c r="M123" s="143" t="s">
        <v>344</v>
      </c>
      <c r="N123" s="143" t="s">
        <v>544</v>
      </c>
      <c r="O123" s="143" t="s">
        <v>339</v>
      </c>
      <c r="P123" s="143" t="s">
        <v>1211</v>
      </c>
      <c r="Q123" s="144">
        <v>1207</v>
      </c>
      <c r="R123" s="143" t="s">
        <v>1212</v>
      </c>
      <c r="S123" s="143" t="s">
        <v>2576</v>
      </c>
      <c r="T123" s="145" t="s">
        <v>3853</v>
      </c>
      <c r="U123" s="144">
        <v>721.71859999999992</v>
      </c>
      <c r="V123" s="146">
        <v>2.0531750216884686E-5</v>
      </c>
      <c r="W123" s="146">
        <v>5.1426698342757118E-3</v>
      </c>
      <c r="X123" s="147">
        <v>1.0897220313860366E-3</v>
      </c>
      <c r="Y123" s="183"/>
    </row>
    <row r="124" spans="1:25" ht="15" x14ac:dyDescent="0.2">
      <c r="A124" s="142" t="s">
        <v>1205</v>
      </c>
      <c r="B124" s="143" t="s">
        <v>1205</v>
      </c>
      <c r="C124" s="143" t="s">
        <v>2577</v>
      </c>
      <c r="D124" s="143" t="s">
        <v>2578</v>
      </c>
      <c r="E124" s="143" t="s">
        <v>313</v>
      </c>
      <c r="F124" s="143" t="s">
        <v>2577</v>
      </c>
      <c r="G124" s="143" t="s">
        <v>2579</v>
      </c>
      <c r="H124" s="143" t="s">
        <v>321</v>
      </c>
      <c r="I124" s="143" t="s">
        <v>917</v>
      </c>
      <c r="J124" s="143" t="s">
        <v>205</v>
      </c>
      <c r="K124" s="143" t="s">
        <v>224</v>
      </c>
      <c r="L124" s="143" t="s">
        <v>325</v>
      </c>
      <c r="M124" s="143" t="s">
        <v>344</v>
      </c>
      <c r="N124" s="143" t="s">
        <v>533</v>
      </c>
      <c r="O124" s="143" t="s">
        <v>339</v>
      </c>
      <c r="P124" s="143" t="s">
        <v>1211</v>
      </c>
      <c r="Q124" s="144">
        <v>1565</v>
      </c>
      <c r="R124" s="143" t="s">
        <v>1212</v>
      </c>
      <c r="S124" s="143" t="s">
        <v>2580</v>
      </c>
      <c r="T124" s="145" t="s">
        <v>3853</v>
      </c>
      <c r="U124" s="144">
        <v>698.58669999999995</v>
      </c>
      <c r="V124" s="146">
        <v>4.0736113280233221E-6</v>
      </c>
      <c r="W124" s="146">
        <v>4.977841361434864E-3</v>
      </c>
      <c r="X124" s="147">
        <v>1.0547951890954343E-3</v>
      </c>
      <c r="Y124" s="183"/>
    </row>
    <row r="125" spans="1:25" ht="15" x14ac:dyDescent="0.2">
      <c r="A125" s="142" t="s">
        <v>1205</v>
      </c>
      <c r="B125" s="143" t="s">
        <v>1205</v>
      </c>
      <c r="C125" s="143" t="s">
        <v>2581</v>
      </c>
      <c r="D125" s="143" t="s">
        <v>2582</v>
      </c>
      <c r="E125" s="143" t="s">
        <v>309</v>
      </c>
      <c r="F125" s="143" t="s">
        <v>2581</v>
      </c>
      <c r="G125" s="143" t="s">
        <v>2583</v>
      </c>
      <c r="H125" s="143" t="s">
        <v>321</v>
      </c>
      <c r="I125" s="143" t="s">
        <v>917</v>
      </c>
      <c r="J125" s="143" t="s">
        <v>205</v>
      </c>
      <c r="K125" s="143" t="s">
        <v>224</v>
      </c>
      <c r="L125" s="143" t="s">
        <v>325</v>
      </c>
      <c r="M125" s="143" t="s">
        <v>344</v>
      </c>
      <c r="N125" s="143" t="s">
        <v>544</v>
      </c>
      <c r="O125" s="143" t="s">
        <v>339</v>
      </c>
      <c r="P125" s="143" t="s">
        <v>1211</v>
      </c>
      <c r="Q125" s="144">
        <v>4900</v>
      </c>
      <c r="R125" s="143" t="s">
        <v>1212</v>
      </c>
      <c r="S125" s="143" t="s">
        <v>2584</v>
      </c>
      <c r="T125" s="145" t="s">
        <v>3853</v>
      </c>
      <c r="U125" s="144">
        <v>691.63720000000001</v>
      </c>
      <c r="V125" s="146">
        <v>4.8858310898394654E-5</v>
      </c>
      <c r="W125" s="146">
        <v>4.9283224283690353E-3</v>
      </c>
      <c r="X125" s="147">
        <v>1.0443022206429564E-3</v>
      </c>
      <c r="Y125" s="183"/>
    </row>
    <row r="126" spans="1:25" ht="15" x14ac:dyDescent="0.2">
      <c r="A126" s="142" t="s">
        <v>1205</v>
      </c>
      <c r="B126" s="143" t="s">
        <v>1205</v>
      </c>
      <c r="C126" s="143" t="s">
        <v>2585</v>
      </c>
      <c r="D126" s="143" t="s">
        <v>2586</v>
      </c>
      <c r="E126" s="143" t="s">
        <v>313</v>
      </c>
      <c r="F126" s="143" t="s">
        <v>2585</v>
      </c>
      <c r="G126" s="143" t="s">
        <v>2587</v>
      </c>
      <c r="H126" s="143" t="s">
        <v>321</v>
      </c>
      <c r="I126" s="143" t="s">
        <v>917</v>
      </c>
      <c r="J126" s="143" t="s">
        <v>205</v>
      </c>
      <c r="K126" s="143" t="s">
        <v>268</v>
      </c>
      <c r="L126" s="143" t="s">
        <v>325</v>
      </c>
      <c r="M126" s="143" t="s">
        <v>344</v>
      </c>
      <c r="N126" s="143" t="s">
        <v>544</v>
      </c>
      <c r="O126" s="143" t="s">
        <v>339</v>
      </c>
      <c r="P126" s="143" t="s">
        <v>1211</v>
      </c>
      <c r="Q126" s="144">
        <v>5687</v>
      </c>
      <c r="R126" s="143" t="s">
        <v>1212</v>
      </c>
      <c r="S126" s="143" t="s">
        <v>2588</v>
      </c>
      <c r="T126" s="145" t="s">
        <v>3853</v>
      </c>
      <c r="U126" s="144">
        <v>552.39290000000005</v>
      </c>
      <c r="V126" s="146">
        <v>4.2194468495860314E-6</v>
      </c>
      <c r="W126" s="146">
        <v>3.9361245238157599E-3</v>
      </c>
      <c r="X126" s="147">
        <v>8.3405735738526258E-4</v>
      </c>
      <c r="Y126" s="183"/>
    </row>
    <row r="127" spans="1:25" ht="15" x14ac:dyDescent="0.2">
      <c r="A127" s="142" t="s">
        <v>1205</v>
      </c>
      <c r="B127" s="143" t="s">
        <v>1205</v>
      </c>
      <c r="C127" s="143" t="s">
        <v>2589</v>
      </c>
      <c r="D127" s="143" t="s">
        <v>2590</v>
      </c>
      <c r="E127" s="143" t="s">
        <v>313</v>
      </c>
      <c r="F127" s="143" t="s">
        <v>2591</v>
      </c>
      <c r="G127" s="143" t="s">
        <v>2592</v>
      </c>
      <c r="H127" s="143" t="s">
        <v>321</v>
      </c>
      <c r="I127" s="143" t="s">
        <v>917</v>
      </c>
      <c r="J127" s="143" t="s">
        <v>205</v>
      </c>
      <c r="K127" s="143" t="s">
        <v>224</v>
      </c>
      <c r="L127" s="143" t="s">
        <v>325</v>
      </c>
      <c r="M127" s="143" t="s">
        <v>344</v>
      </c>
      <c r="N127" s="143" t="s">
        <v>544</v>
      </c>
      <c r="O127" s="143" t="s">
        <v>339</v>
      </c>
      <c r="P127" s="143" t="s">
        <v>1211</v>
      </c>
      <c r="Q127" s="144">
        <v>994</v>
      </c>
      <c r="R127" s="143" t="s">
        <v>1212</v>
      </c>
      <c r="S127" s="143" t="s">
        <v>2593</v>
      </c>
      <c r="T127" s="145" t="s">
        <v>3853</v>
      </c>
      <c r="U127" s="144">
        <v>504.75650000000002</v>
      </c>
      <c r="V127" s="146">
        <v>3.0185241421196477E-6</v>
      </c>
      <c r="W127" s="146">
        <v>3.5966872707806339E-3</v>
      </c>
      <c r="X127" s="147">
        <v>7.6213124413563975E-4</v>
      </c>
      <c r="Y127" s="183"/>
    </row>
    <row r="128" spans="1:25" ht="15" x14ac:dyDescent="0.2">
      <c r="A128" s="142" t="s">
        <v>1205</v>
      </c>
      <c r="B128" s="143" t="s">
        <v>1205</v>
      </c>
      <c r="C128" s="143" t="s">
        <v>2594</v>
      </c>
      <c r="D128" s="143" t="s">
        <v>2595</v>
      </c>
      <c r="E128" s="143" t="s">
        <v>313</v>
      </c>
      <c r="F128" s="143" t="s">
        <v>2596</v>
      </c>
      <c r="G128" s="143" t="s">
        <v>2597</v>
      </c>
      <c r="H128" s="143" t="s">
        <v>321</v>
      </c>
      <c r="I128" s="143" t="s">
        <v>917</v>
      </c>
      <c r="J128" s="143" t="s">
        <v>205</v>
      </c>
      <c r="K128" s="143" t="s">
        <v>268</v>
      </c>
      <c r="L128" s="143" t="s">
        <v>325</v>
      </c>
      <c r="M128" s="143" t="s">
        <v>344</v>
      </c>
      <c r="N128" s="143" t="s">
        <v>546</v>
      </c>
      <c r="O128" s="143" t="s">
        <v>339</v>
      </c>
      <c r="P128" s="143" t="s">
        <v>1211</v>
      </c>
      <c r="Q128" s="144">
        <v>1482</v>
      </c>
      <c r="R128" s="143" t="s">
        <v>1212</v>
      </c>
      <c r="S128" s="143" t="s">
        <v>2598</v>
      </c>
      <c r="T128" s="145" t="s">
        <v>3853</v>
      </c>
      <c r="U128" s="144">
        <v>481.76609999999999</v>
      </c>
      <c r="V128" s="146">
        <v>5.3766171572860055E-6</v>
      </c>
      <c r="W128" s="146">
        <v>3.4328669886852081E-3</v>
      </c>
      <c r="X128" s="147">
        <v>7.2741803556108941E-4</v>
      </c>
      <c r="Y128" s="183"/>
    </row>
    <row r="129" spans="1:25" ht="15" x14ac:dyDescent="0.2">
      <c r="A129" s="142" t="s">
        <v>1205</v>
      </c>
      <c r="B129" s="143" t="s">
        <v>1205</v>
      </c>
      <c r="C129" s="143" t="s">
        <v>2599</v>
      </c>
      <c r="D129" s="143" t="s">
        <v>2600</v>
      </c>
      <c r="E129" s="143" t="s">
        <v>313</v>
      </c>
      <c r="F129" s="143" t="s">
        <v>2601</v>
      </c>
      <c r="G129" s="143" t="s">
        <v>2602</v>
      </c>
      <c r="H129" s="143" t="s">
        <v>321</v>
      </c>
      <c r="I129" s="143" t="s">
        <v>917</v>
      </c>
      <c r="J129" s="143" t="s">
        <v>205</v>
      </c>
      <c r="K129" s="143" t="s">
        <v>224</v>
      </c>
      <c r="L129" s="143" t="s">
        <v>325</v>
      </c>
      <c r="M129" s="143" t="s">
        <v>344</v>
      </c>
      <c r="N129" s="143" t="s">
        <v>548</v>
      </c>
      <c r="O129" s="143" t="s">
        <v>339</v>
      </c>
      <c r="P129" s="143" t="s">
        <v>1211</v>
      </c>
      <c r="Q129" s="144">
        <v>3302</v>
      </c>
      <c r="R129" s="143" t="s">
        <v>1212</v>
      </c>
      <c r="S129" s="143" t="s">
        <v>2603</v>
      </c>
      <c r="T129" s="145" t="s">
        <v>3853</v>
      </c>
      <c r="U129" s="144">
        <v>313.5326</v>
      </c>
      <c r="V129" s="146">
        <v>5.9075051435727706E-5</v>
      </c>
      <c r="W129" s="146">
        <v>2.2341046215009494E-3</v>
      </c>
      <c r="X129" s="147">
        <v>4.734025525505717E-4</v>
      </c>
      <c r="Y129" s="183"/>
    </row>
    <row r="130" spans="1:25" ht="15" x14ac:dyDescent="0.2">
      <c r="A130" s="142" t="s">
        <v>1205</v>
      </c>
      <c r="B130" s="143" t="s">
        <v>1205</v>
      </c>
      <c r="C130" s="143" t="s">
        <v>2604</v>
      </c>
      <c r="D130" s="143" t="s">
        <v>2605</v>
      </c>
      <c r="E130" s="143" t="s">
        <v>313</v>
      </c>
      <c r="F130" s="143" t="s">
        <v>2604</v>
      </c>
      <c r="G130" s="143" t="s">
        <v>2606</v>
      </c>
      <c r="H130" s="143" t="s">
        <v>321</v>
      </c>
      <c r="I130" s="143" t="s">
        <v>917</v>
      </c>
      <c r="J130" s="143" t="s">
        <v>205</v>
      </c>
      <c r="K130" s="143" t="s">
        <v>272</v>
      </c>
      <c r="L130" s="143" t="s">
        <v>325</v>
      </c>
      <c r="M130" s="143" t="s">
        <v>394</v>
      </c>
      <c r="N130" s="143" t="s">
        <v>568</v>
      </c>
      <c r="O130" s="143" t="s">
        <v>339</v>
      </c>
      <c r="P130" s="143" t="s">
        <v>1214</v>
      </c>
      <c r="Q130" s="144">
        <v>7552</v>
      </c>
      <c r="R130" s="143" t="s">
        <v>1215</v>
      </c>
      <c r="S130" s="143" t="s">
        <v>2607</v>
      </c>
      <c r="T130" s="145" t="s">
        <v>3853</v>
      </c>
      <c r="U130" s="144">
        <v>170.01910000000001</v>
      </c>
      <c r="V130" s="146">
        <v>2.0919667590027701E-3</v>
      </c>
      <c r="W130" s="146">
        <v>1.2114860944389357E-3</v>
      </c>
      <c r="X130" s="147">
        <v>2.5671161680047188E-4</v>
      </c>
      <c r="Y130" s="183"/>
    </row>
    <row r="131" spans="1:25" ht="15" x14ac:dyDescent="0.2">
      <c r="A131" s="142" t="s">
        <v>1205</v>
      </c>
      <c r="B131" s="143" t="s">
        <v>1205</v>
      </c>
      <c r="C131" s="143" t="s">
        <v>2608</v>
      </c>
      <c r="D131" s="143" t="s">
        <v>2609</v>
      </c>
      <c r="E131" s="143" t="s">
        <v>309</v>
      </c>
      <c r="F131" s="143" t="s">
        <v>2610</v>
      </c>
      <c r="G131" s="143" t="s">
        <v>2611</v>
      </c>
      <c r="H131" s="143" t="s">
        <v>321</v>
      </c>
      <c r="I131" s="143" t="s">
        <v>917</v>
      </c>
      <c r="J131" s="143" t="s">
        <v>205</v>
      </c>
      <c r="K131" s="143" t="s">
        <v>204</v>
      </c>
      <c r="L131" s="143" t="s">
        <v>325</v>
      </c>
      <c r="M131" s="143" t="s">
        <v>344</v>
      </c>
      <c r="N131" s="143" t="s">
        <v>533</v>
      </c>
      <c r="O131" s="143" t="s">
        <v>339</v>
      </c>
      <c r="P131" s="143" t="s">
        <v>1211</v>
      </c>
      <c r="Q131" s="144">
        <v>1972</v>
      </c>
      <c r="R131" s="143" t="s">
        <v>1212</v>
      </c>
      <c r="S131" s="143" t="s">
        <v>2612</v>
      </c>
      <c r="T131" s="145" t="s">
        <v>3853</v>
      </c>
      <c r="U131" s="144">
        <v>124.38589999999999</v>
      </c>
      <c r="V131" s="146">
        <v>8.5404937202252055E-5</v>
      </c>
      <c r="W131" s="146">
        <v>8.863228766342559E-4</v>
      </c>
      <c r="X131" s="147">
        <v>1.8781014467475057E-4</v>
      </c>
      <c r="Y131" s="183"/>
    </row>
    <row r="132" spans="1:25" ht="15" x14ac:dyDescent="0.2">
      <c r="A132" s="142" t="s">
        <v>1205</v>
      </c>
      <c r="B132" s="143" t="s">
        <v>1205</v>
      </c>
      <c r="C132" s="143" t="s">
        <v>2613</v>
      </c>
      <c r="D132" s="143" t="s">
        <v>2614</v>
      </c>
      <c r="E132" s="143" t="s">
        <v>313</v>
      </c>
      <c r="F132" s="143" t="s">
        <v>2613</v>
      </c>
      <c r="G132" s="143" t="s">
        <v>2615</v>
      </c>
      <c r="H132" s="143" t="s">
        <v>321</v>
      </c>
      <c r="I132" s="143" t="s">
        <v>917</v>
      </c>
      <c r="J132" s="143" t="s">
        <v>205</v>
      </c>
      <c r="K132" s="143" t="s">
        <v>224</v>
      </c>
      <c r="L132" s="143" t="s">
        <v>325</v>
      </c>
      <c r="M132" s="143" t="s">
        <v>344</v>
      </c>
      <c r="N132" s="143" t="s">
        <v>544</v>
      </c>
      <c r="O132" s="143" t="s">
        <v>339</v>
      </c>
      <c r="P132" s="143" t="s">
        <v>1211</v>
      </c>
      <c r="Q132" s="144">
        <v>43</v>
      </c>
      <c r="R132" s="143" t="s">
        <v>1212</v>
      </c>
      <c r="S132" s="143" t="s">
        <v>2616</v>
      </c>
      <c r="T132" s="145" t="s">
        <v>3853</v>
      </c>
      <c r="U132" s="144">
        <v>5.0834999999999999</v>
      </c>
      <c r="V132" s="146">
        <v>3.7647635640929109E-7</v>
      </c>
      <c r="W132" s="146">
        <v>3.6222814946084756E-5</v>
      </c>
      <c r="X132" s="147">
        <v>7.6755461185711673E-6</v>
      </c>
      <c r="Y132" s="183"/>
    </row>
    <row r="133" spans="1:25" ht="15" x14ac:dyDescent="0.2">
      <c r="A133" s="142" t="s">
        <v>1205</v>
      </c>
      <c r="B133" s="143" t="s">
        <v>1205</v>
      </c>
      <c r="C133" s="143" t="s">
        <v>2617</v>
      </c>
      <c r="D133" s="143" t="s">
        <v>2618</v>
      </c>
      <c r="E133" s="143" t="s">
        <v>309</v>
      </c>
      <c r="F133" s="143" t="s">
        <v>2617</v>
      </c>
      <c r="G133" s="143" t="s">
        <v>2619</v>
      </c>
      <c r="H133" s="143" t="s">
        <v>321</v>
      </c>
      <c r="I133" s="143" t="s">
        <v>917</v>
      </c>
      <c r="J133" s="143" t="s">
        <v>205</v>
      </c>
      <c r="K133" s="143" t="s">
        <v>204</v>
      </c>
      <c r="L133" s="143" t="s">
        <v>325</v>
      </c>
      <c r="M133" s="143" t="s">
        <v>344</v>
      </c>
      <c r="N133" s="143" t="s">
        <v>533</v>
      </c>
      <c r="O133" s="143" t="s">
        <v>339</v>
      </c>
      <c r="P133" s="143" t="s">
        <v>1211</v>
      </c>
      <c r="Q133" s="144">
        <v>64516</v>
      </c>
      <c r="R133" s="143" t="s">
        <v>1212</v>
      </c>
      <c r="S133" s="143" t="s">
        <v>2620</v>
      </c>
      <c r="T133" s="145" t="s">
        <v>3853</v>
      </c>
      <c r="U133" s="144">
        <v>4.1227999999999998</v>
      </c>
      <c r="V133" s="146">
        <v>8.6737204393595138E-4</v>
      </c>
      <c r="W133" s="146">
        <v>2.937713550046014E-5</v>
      </c>
      <c r="X133" s="147">
        <v>6.2249595648741354E-6</v>
      </c>
      <c r="Y133" s="183"/>
    </row>
    <row r="134" spans="1:25" ht="15" x14ac:dyDescent="0.2">
      <c r="A134" s="142" t="s">
        <v>1205</v>
      </c>
      <c r="B134" s="143" t="s">
        <v>1205</v>
      </c>
      <c r="C134" s="143" t="s">
        <v>2621</v>
      </c>
      <c r="D134" s="143" t="s">
        <v>2622</v>
      </c>
      <c r="E134" s="143" t="s">
        <v>313</v>
      </c>
      <c r="F134" s="143" t="s">
        <v>2621</v>
      </c>
      <c r="G134" s="143" t="s">
        <v>2623</v>
      </c>
      <c r="H134" s="143" t="s">
        <v>321</v>
      </c>
      <c r="I134" s="143" t="s">
        <v>917</v>
      </c>
      <c r="J134" s="143" t="s">
        <v>205</v>
      </c>
      <c r="K134" s="143" t="s">
        <v>224</v>
      </c>
      <c r="L134" s="143" t="s">
        <v>325</v>
      </c>
      <c r="M134" s="143" t="s">
        <v>344</v>
      </c>
      <c r="N134" s="143" t="s">
        <v>544</v>
      </c>
      <c r="O134" s="143" t="s">
        <v>339</v>
      </c>
      <c r="P134" s="143" t="s">
        <v>1211</v>
      </c>
      <c r="Q134" s="144">
        <v>1</v>
      </c>
      <c r="R134" s="143" t="s">
        <v>1212</v>
      </c>
      <c r="S134" s="143" t="s">
        <v>2624</v>
      </c>
      <c r="T134" s="145" t="s">
        <v>3853</v>
      </c>
      <c r="U134" s="144">
        <v>3.2399999999999998E-2</v>
      </c>
      <c r="V134" s="146">
        <v>8.0606158310494917E-9</v>
      </c>
      <c r="W134" s="146">
        <v>2.3115531702940175E-7</v>
      </c>
      <c r="X134" s="147">
        <v>4.8981375386008932E-8</v>
      </c>
      <c r="Y134" s="183"/>
    </row>
    <row r="135" spans="1:25" ht="15" x14ac:dyDescent="0.2">
      <c r="A135" s="142" t="s">
        <v>1218</v>
      </c>
      <c r="B135" s="143" t="s">
        <v>1218</v>
      </c>
      <c r="C135" s="143" t="s">
        <v>2057</v>
      </c>
      <c r="D135" s="143" t="s">
        <v>2058</v>
      </c>
      <c r="E135" s="143" t="s">
        <v>309</v>
      </c>
      <c r="F135" s="143" t="s">
        <v>2059</v>
      </c>
      <c r="G135" s="143" t="s">
        <v>2060</v>
      </c>
      <c r="H135" s="143" t="s">
        <v>321</v>
      </c>
      <c r="I135" s="143" t="s">
        <v>917</v>
      </c>
      <c r="J135" s="143" t="s">
        <v>204</v>
      </c>
      <c r="K135" s="143" t="s">
        <v>204</v>
      </c>
      <c r="L135" s="143" t="s">
        <v>325</v>
      </c>
      <c r="M135" s="143" t="s">
        <v>340</v>
      </c>
      <c r="N135" s="143" t="s">
        <v>467</v>
      </c>
      <c r="O135" s="143" t="s">
        <v>339</v>
      </c>
      <c r="P135" s="143" t="s">
        <v>1210</v>
      </c>
      <c r="Q135" s="144">
        <v>1162662</v>
      </c>
      <c r="R135" s="145" t="s">
        <v>3853</v>
      </c>
      <c r="S135" s="143" t="s">
        <v>2061</v>
      </c>
      <c r="T135" s="145" t="s">
        <v>3853</v>
      </c>
      <c r="U135" s="144">
        <v>71154.914400000009</v>
      </c>
      <c r="V135" s="146">
        <v>9.3884624207577622E-4</v>
      </c>
      <c r="W135" s="146">
        <v>4.6184675794262518E-2</v>
      </c>
      <c r="X135" s="147">
        <v>9.4796918398466646E-3</v>
      </c>
      <c r="Y135" s="183"/>
    </row>
    <row r="136" spans="1:25" ht="15" x14ac:dyDescent="0.2">
      <c r="A136" s="142" t="s">
        <v>1218</v>
      </c>
      <c r="B136" s="143" t="s">
        <v>1218</v>
      </c>
      <c r="C136" s="143" t="s">
        <v>1568</v>
      </c>
      <c r="D136" s="143" t="s">
        <v>1569</v>
      </c>
      <c r="E136" s="143" t="s">
        <v>309</v>
      </c>
      <c r="F136" s="143" t="s">
        <v>2062</v>
      </c>
      <c r="G136" s="143" t="s">
        <v>2063</v>
      </c>
      <c r="H136" s="143" t="s">
        <v>321</v>
      </c>
      <c r="I136" s="143" t="s">
        <v>917</v>
      </c>
      <c r="J136" s="143" t="s">
        <v>204</v>
      </c>
      <c r="K136" s="143" t="s">
        <v>204</v>
      </c>
      <c r="L136" s="143" t="s">
        <v>325</v>
      </c>
      <c r="M136" s="143" t="s">
        <v>340</v>
      </c>
      <c r="N136" s="143" t="s">
        <v>448</v>
      </c>
      <c r="O136" s="143" t="s">
        <v>339</v>
      </c>
      <c r="P136" s="143" t="s">
        <v>1210</v>
      </c>
      <c r="Q136" s="144">
        <v>1484659</v>
      </c>
      <c r="R136" s="145" t="s">
        <v>3853</v>
      </c>
      <c r="S136" s="143" t="s">
        <v>2064</v>
      </c>
      <c r="T136" s="145" t="s">
        <v>3853</v>
      </c>
      <c r="U136" s="144">
        <v>49958.775399999999</v>
      </c>
      <c r="V136" s="146">
        <v>1.1098741374549537E-3</v>
      </c>
      <c r="W136" s="146">
        <v>3.2426851498231074E-2</v>
      </c>
      <c r="X136" s="147">
        <v>6.6558128698153236E-3</v>
      </c>
      <c r="Y136" s="183"/>
    </row>
    <row r="137" spans="1:25" ht="15" x14ac:dyDescent="0.2">
      <c r="A137" s="142" t="s">
        <v>1218</v>
      </c>
      <c r="B137" s="143" t="s">
        <v>1218</v>
      </c>
      <c r="C137" s="143" t="s">
        <v>2065</v>
      </c>
      <c r="D137" s="143" t="s">
        <v>2066</v>
      </c>
      <c r="E137" s="143" t="s">
        <v>309</v>
      </c>
      <c r="F137" s="143" t="s">
        <v>2067</v>
      </c>
      <c r="G137" s="143" t="s">
        <v>2068</v>
      </c>
      <c r="H137" s="143" t="s">
        <v>321</v>
      </c>
      <c r="I137" s="143" t="s">
        <v>917</v>
      </c>
      <c r="J137" s="143" t="s">
        <v>204</v>
      </c>
      <c r="K137" s="143" t="s">
        <v>204</v>
      </c>
      <c r="L137" s="143" t="s">
        <v>325</v>
      </c>
      <c r="M137" s="143" t="s">
        <v>340</v>
      </c>
      <c r="N137" s="143" t="s">
        <v>480</v>
      </c>
      <c r="O137" s="143" t="s">
        <v>339</v>
      </c>
      <c r="P137" s="143" t="s">
        <v>1210</v>
      </c>
      <c r="Q137" s="144">
        <v>67882</v>
      </c>
      <c r="R137" s="145" t="s">
        <v>3853</v>
      </c>
      <c r="S137" s="143" t="s">
        <v>2069</v>
      </c>
      <c r="T137" s="145" t="s">
        <v>3853</v>
      </c>
      <c r="U137" s="144">
        <v>43716.008000000002</v>
      </c>
      <c r="V137" s="146">
        <v>9.078188840209553E-4</v>
      </c>
      <c r="W137" s="146">
        <v>2.8374844851185521E-2</v>
      </c>
      <c r="X137" s="147">
        <v>5.824113313925532E-3</v>
      </c>
      <c r="Y137" s="183"/>
    </row>
    <row r="138" spans="1:25" ht="15" x14ac:dyDescent="0.2">
      <c r="A138" s="142" t="s">
        <v>1218</v>
      </c>
      <c r="B138" s="143" t="s">
        <v>1218</v>
      </c>
      <c r="C138" s="143" t="s">
        <v>1481</v>
      </c>
      <c r="D138" s="143" t="s">
        <v>1482</v>
      </c>
      <c r="E138" s="143" t="s">
        <v>309</v>
      </c>
      <c r="F138" s="143" t="s">
        <v>2070</v>
      </c>
      <c r="G138" s="143" t="s">
        <v>2071</v>
      </c>
      <c r="H138" s="143" t="s">
        <v>321</v>
      </c>
      <c r="I138" s="143" t="s">
        <v>917</v>
      </c>
      <c r="J138" s="143" t="s">
        <v>204</v>
      </c>
      <c r="K138" s="143" t="s">
        <v>204</v>
      </c>
      <c r="L138" s="143" t="s">
        <v>325</v>
      </c>
      <c r="M138" s="143" t="s">
        <v>340</v>
      </c>
      <c r="N138" s="143" t="s">
        <v>448</v>
      </c>
      <c r="O138" s="143" t="s">
        <v>339</v>
      </c>
      <c r="P138" s="143" t="s">
        <v>1210</v>
      </c>
      <c r="Q138" s="144">
        <v>1242648</v>
      </c>
      <c r="R138" s="145" t="s">
        <v>3853</v>
      </c>
      <c r="S138" s="143" t="s">
        <v>2072</v>
      </c>
      <c r="T138" s="145" t="s">
        <v>3853</v>
      </c>
      <c r="U138" s="144">
        <v>38646.352800000001</v>
      </c>
      <c r="V138" s="146">
        <v>7.6914175652620527E-4</v>
      </c>
      <c r="W138" s="146">
        <v>2.508427267110435E-2</v>
      </c>
      <c r="X138" s="147">
        <v>5.1487029162668113E-3</v>
      </c>
      <c r="Y138" s="183"/>
    </row>
    <row r="139" spans="1:25" ht="15" x14ac:dyDescent="0.2">
      <c r="A139" s="142" t="s">
        <v>1218</v>
      </c>
      <c r="B139" s="143" t="s">
        <v>1218</v>
      </c>
      <c r="C139" s="143" t="s">
        <v>2073</v>
      </c>
      <c r="D139" s="143" t="s">
        <v>2074</v>
      </c>
      <c r="E139" s="143" t="s">
        <v>309</v>
      </c>
      <c r="F139" s="143" t="s">
        <v>2075</v>
      </c>
      <c r="G139" s="143" t="s">
        <v>2076</v>
      </c>
      <c r="H139" s="143" t="s">
        <v>321</v>
      </c>
      <c r="I139" s="143" t="s">
        <v>917</v>
      </c>
      <c r="J139" s="143" t="s">
        <v>204</v>
      </c>
      <c r="K139" s="143" t="s">
        <v>204</v>
      </c>
      <c r="L139" s="143" t="s">
        <v>327</v>
      </c>
      <c r="M139" s="143" t="s">
        <v>340</v>
      </c>
      <c r="N139" s="143" t="s">
        <v>441</v>
      </c>
      <c r="O139" s="143" t="s">
        <v>339</v>
      </c>
      <c r="P139" s="143" t="s">
        <v>1210</v>
      </c>
      <c r="Q139" s="144">
        <v>2150400</v>
      </c>
      <c r="R139" s="145" t="s">
        <v>3853</v>
      </c>
      <c r="S139" s="143" t="s">
        <v>2077</v>
      </c>
      <c r="T139" s="145" t="s">
        <v>3853</v>
      </c>
      <c r="U139" s="144">
        <v>29955.072</v>
      </c>
      <c r="V139" s="146">
        <v>3.3077580955779652E-2</v>
      </c>
      <c r="W139" s="146">
        <v>1.9443004047992936E-2</v>
      </c>
      <c r="X139" s="147">
        <v>3.9907974592464594E-3</v>
      </c>
      <c r="Y139" s="183"/>
    </row>
    <row r="140" spans="1:25" ht="15" x14ac:dyDescent="0.2">
      <c r="A140" s="142" t="s">
        <v>1218</v>
      </c>
      <c r="B140" s="143" t="s">
        <v>1218</v>
      </c>
      <c r="C140" s="143" t="s">
        <v>2078</v>
      </c>
      <c r="D140" s="143" t="s">
        <v>2079</v>
      </c>
      <c r="E140" s="143" t="s">
        <v>309</v>
      </c>
      <c r="F140" s="143" t="s">
        <v>2080</v>
      </c>
      <c r="G140" s="143" t="s">
        <v>2081</v>
      </c>
      <c r="H140" s="143" t="s">
        <v>321</v>
      </c>
      <c r="I140" s="143" t="s">
        <v>917</v>
      </c>
      <c r="J140" s="143" t="s">
        <v>204</v>
      </c>
      <c r="K140" s="143" t="s">
        <v>204</v>
      </c>
      <c r="L140" s="143" t="s">
        <v>325</v>
      </c>
      <c r="M140" s="143" t="s">
        <v>340</v>
      </c>
      <c r="N140" s="143" t="s">
        <v>448</v>
      </c>
      <c r="O140" s="143" t="s">
        <v>339</v>
      </c>
      <c r="P140" s="143" t="s">
        <v>1210</v>
      </c>
      <c r="Q140" s="144">
        <v>199524</v>
      </c>
      <c r="R140" s="145" t="s">
        <v>3853</v>
      </c>
      <c r="S140" s="143" t="s">
        <v>2082</v>
      </c>
      <c r="T140" s="145" t="s">
        <v>3853</v>
      </c>
      <c r="U140" s="144">
        <v>28751.4084</v>
      </c>
      <c r="V140" s="146">
        <v>1.9886765718422918E-3</v>
      </c>
      <c r="W140" s="146">
        <v>1.8661739484608753E-2</v>
      </c>
      <c r="X140" s="147">
        <v>3.8304380504402499E-3</v>
      </c>
      <c r="Y140" s="183"/>
    </row>
    <row r="141" spans="1:25" ht="15" x14ac:dyDescent="0.2">
      <c r="A141" s="142" t="s">
        <v>1218</v>
      </c>
      <c r="B141" s="143" t="s">
        <v>1218</v>
      </c>
      <c r="C141" s="143" t="s">
        <v>2083</v>
      </c>
      <c r="D141" s="143" t="s">
        <v>2084</v>
      </c>
      <c r="E141" s="143" t="s">
        <v>309</v>
      </c>
      <c r="F141" s="143" t="s">
        <v>2085</v>
      </c>
      <c r="G141" s="143" t="s">
        <v>2086</v>
      </c>
      <c r="H141" s="143" t="s">
        <v>321</v>
      </c>
      <c r="I141" s="143" t="s">
        <v>917</v>
      </c>
      <c r="J141" s="143" t="s">
        <v>204</v>
      </c>
      <c r="K141" s="143" t="s">
        <v>204</v>
      </c>
      <c r="L141" s="143" t="s">
        <v>325</v>
      </c>
      <c r="M141" s="143" t="s">
        <v>340</v>
      </c>
      <c r="N141" s="143" t="s">
        <v>448</v>
      </c>
      <c r="O141" s="143" t="s">
        <v>339</v>
      </c>
      <c r="P141" s="143" t="s">
        <v>1210</v>
      </c>
      <c r="Q141" s="144">
        <v>1482449</v>
      </c>
      <c r="R141" s="145" t="s">
        <v>3853</v>
      </c>
      <c r="S141" s="143" t="s">
        <v>2087</v>
      </c>
      <c r="T141" s="145" t="s">
        <v>3853</v>
      </c>
      <c r="U141" s="144">
        <v>28299.951399999998</v>
      </c>
      <c r="V141" s="146">
        <v>1.1984118563742167E-3</v>
      </c>
      <c r="W141" s="146">
        <v>1.8368711309478189E-2</v>
      </c>
      <c r="X141" s="147">
        <v>3.770292195719852E-3</v>
      </c>
      <c r="Y141" s="183"/>
    </row>
    <row r="142" spans="1:25" ht="15" x14ac:dyDescent="0.2">
      <c r="A142" s="142" t="s">
        <v>1218</v>
      </c>
      <c r="B142" s="143" t="s">
        <v>1218</v>
      </c>
      <c r="C142" s="143" t="s">
        <v>1831</v>
      </c>
      <c r="D142" s="143" t="s">
        <v>1832</v>
      </c>
      <c r="E142" s="143" t="s">
        <v>309</v>
      </c>
      <c r="F142" s="143" t="s">
        <v>2093</v>
      </c>
      <c r="G142" s="143" t="s">
        <v>2094</v>
      </c>
      <c r="H142" s="143" t="s">
        <v>321</v>
      </c>
      <c r="I142" s="143" t="s">
        <v>917</v>
      </c>
      <c r="J142" s="143" t="s">
        <v>204</v>
      </c>
      <c r="K142" s="143" t="s">
        <v>204</v>
      </c>
      <c r="L142" s="143" t="s">
        <v>325</v>
      </c>
      <c r="M142" s="143" t="s">
        <v>340</v>
      </c>
      <c r="N142" s="143" t="s">
        <v>454</v>
      </c>
      <c r="O142" s="143" t="s">
        <v>339</v>
      </c>
      <c r="P142" s="143" t="s">
        <v>1210</v>
      </c>
      <c r="Q142" s="144">
        <v>562932</v>
      </c>
      <c r="R142" s="145" t="s">
        <v>3853</v>
      </c>
      <c r="S142" s="143" t="s">
        <v>2095</v>
      </c>
      <c r="T142" s="145" t="s">
        <v>3853</v>
      </c>
      <c r="U142" s="144">
        <v>26311.441699999999</v>
      </c>
      <c r="V142" s="146">
        <v>5.6318191760775758E-3</v>
      </c>
      <c r="W142" s="146">
        <v>1.7078024953262341E-2</v>
      </c>
      <c r="X142" s="147">
        <v>3.5053707968271748E-3</v>
      </c>
      <c r="Y142" s="183"/>
    </row>
    <row r="143" spans="1:25" ht="15" x14ac:dyDescent="0.2">
      <c r="A143" s="142" t="s">
        <v>1218</v>
      </c>
      <c r="B143" s="143" t="s">
        <v>1218</v>
      </c>
      <c r="C143" s="143" t="s">
        <v>2096</v>
      </c>
      <c r="D143" s="143" t="s">
        <v>2097</v>
      </c>
      <c r="E143" s="143" t="s">
        <v>309</v>
      </c>
      <c r="F143" s="143" t="s">
        <v>2098</v>
      </c>
      <c r="G143" s="143" t="s">
        <v>2099</v>
      </c>
      <c r="H143" s="143" t="s">
        <v>321</v>
      </c>
      <c r="I143" s="143" t="s">
        <v>917</v>
      </c>
      <c r="J143" s="143" t="s">
        <v>204</v>
      </c>
      <c r="K143" s="143" t="s">
        <v>204</v>
      </c>
      <c r="L143" s="143" t="s">
        <v>325</v>
      </c>
      <c r="M143" s="143" t="s">
        <v>340</v>
      </c>
      <c r="N143" s="143" t="s">
        <v>441</v>
      </c>
      <c r="O143" s="143" t="s">
        <v>339</v>
      </c>
      <c r="P143" s="143" t="s">
        <v>1210</v>
      </c>
      <c r="Q143" s="144">
        <v>419849</v>
      </c>
      <c r="R143" s="145" t="s">
        <v>3853</v>
      </c>
      <c r="S143" s="143" t="s">
        <v>2100</v>
      </c>
      <c r="T143" s="145" t="s">
        <v>3853</v>
      </c>
      <c r="U143" s="144">
        <v>25169.4663</v>
      </c>
      <c r="V143" s="146">
        <v>3.6324459479335196E-3</v>
      </c>
      <c r="W143" s="146">
        <v>1.6336800493754907E-2</v>
      </c>
      <c r="X143" s="147">
        <v>3.3532298682735465E-3</v>
      </c>
      <c r="Y143" s="183"/>
    </row>
    <row r="144" spans="1:25" ht="15" x14ac:dyDescent="0.2">
      <c r="A144" s="142" t="s">
        <v>1218</v>
      </c>
      <c r="B144" s="143" t="s">
        <v>1218</v>
      </c>
      <c r="C144" s="143" t="s">
        <v>2088</v>
      </c>
      <c r="D144" s="143" t="s">
        <v>2089</v>
      </c>
      <c r="E144" s="143" t="s">
        <v>309</v>
      </c>
      <c r="F144" s="143" t="s">
        <v>2090</v>
      </c>
      <c r="G144" s="143" t="s">
        <v>2091</v>
      </c>
      <c r="H144" s="143" t="s">
        <v>321</v>
      </c>
      <c r="I144" s="143" t="s">
        <v>917</v>
      </c>
      <c r="J144" s="143" t="s">
        <v>204</v>
      </c>
      <c r="K144" s="143" t="s">
        <v>204</v>
      </c>
      <c r="L144" s="143" t="s">
        <v>325</v>
      </c>
      <c r="M144" s="143" t="s">
        <v>340</v>
      </c>
      <c r="N144" s="143" t="s">
        <v>448</v>
      </c>
      <c r="O144" s="143" t="s">
        <v>339</v>
      </c>
      <c r="P144" s="143" t="s">
        <v>1210</v>
      </c>
      <c r="Q144" s="144">
        <v>188637</v>
      </c>
      <c r="R144" s="145" t="s">
        <v>3853</v>
      </c>
      <c r="S144" s="143" t="s">
        <v>2092</v>
      </c>
      <c r="T144" s="145" t="s">
        <v>3853</v>
      </c>
      <c r="U144" s="144">
        <v>24673.7196</v>
      </c>
      <c r="V144" s="146">
        <v>7.3034200046983601E-4</v>
      </c>
      <c r="W144" s="146">
        <v>1.6015025103656658E-2</v>
      </c>
      <c r="X144" s="147">
        <v>3.2871834689577636E-3</v>
      </c>
      <c r="Y144" s="183"/>
    </row>
    <row r="145" spans="1:25" ht="15" x14ac:dyDescent="0.2">
      <c r="A145" s="142" t="s">
        <v>1218</v>
      </c>
      <c r="B145" s="143" t="s">
        <v>1218</v>
      </c>
      <c r="C145" s="143" t="s">
        <v>1491</v>
      </c>
      <c r="D145" s="143" t="s">
        <v>1492</v>
      </c>
      <c r="E145" s="143" t="s">
        <v>309</v>
      </c>
      <c r="F145" s="143" t="s">
        <v>2114</v>
      </c>
      <c r="G145" s="143" t="s">
        <v>2115</v>
      </c>
      <c r="H145" s="143" t="s">
        <v>321</v>
      </c>
      <c r="I145" s="143" t="s">
        <v>917</v>
      </c>
      <c r="J145" s="143" t="s">
        <v>204</v>
      </c>
      <c r="K145" s="143" t="s">
        <v>204</v>
      </c>
      <c r="L145" s="143" t="s">
        <v>325</v>
      </c>
      <c r="M145" s="143" t="s">
        <v>340</v>
      </c>
      <c r="N145" s="143" t="s">
        <v>464</v>
      </c>
      <c r="O145" s="143" t="s">
        <v>339</v>
      </c>
      <c r="P145" s="143" t="s">
        <v>1210</v>
      </c>
      <c r="Q145" s="144">
        <v>71080</v>
      </c>
      <c r="R145" s="145" t="s">
        <v>3853</v>
      </c>
      <c r="S145" s="143" t="s">
        <v>2116</v>
      </c>
      <c r="T145" s="145" t="s">
        <v>3853</v>
      </c>
      <c r="U145" s="144">
        <v>17563.867999999999</v>
      </c>
      <c r="V145" s="146">
        <v>1.4957348409756939E-3</v>
      </c>
      <c r="W145" s="146">
        <v>1.1400218187504727E-2</v>
      </c>
      <c r="X145" s="147">
        <v>2.3399656588687285E-3</v>
      </c>
      <c r="Y145" s="183"/>
    </row>
    <row r="146" spans="1:25" ht="15" x14ac:dyDescent="0.2">
      <c r="A146" s="142" t="s">
        <v>1218</v>
      </c>
      <c r="B146" s="143" t="s">
        <v>1218</v>
      </c>
      <c r="C146" s="143" t="s">
        <v>2101</v>
      </c>
      <c r="D146" s="143" t="s">
        <v>2102</v>
      </c>
      <c r="E146" s="143" t="s">
        <v>313</v>
      </c>
      <c r="F146" s="143" t="s">
        <v>2103</v>
      </c>
      <c r="G146" s="143" t="s">
        <v>2104</v>
      </c>
      <c r="H146" s="143" t="s">
        <v>321</v>
      </c>
      <c r="I146" s="143" t="s">
        <v>917</v>
      </c>
      <c r="J146" s="143" t="s">
        <v>204</v>
      </c>
      <c r="K146" s="143" t="s">
        <v>204</v>
      </c>
      <c r="L146" s="143" t="s">
        <v>325</v>
      </c>
      <c r="M146" s="143" t="s">
        <v>340</v>
      </c>
      <c r="N146" s="143" t="s">
        <v>454</v>
      </c>
      <c r="O146" s="143" t="s">
        <v>339</v>
      </c>
      <c r="P146" s="143" t="s">
        <v>1210</v>
      </c>
      <c r="Q146" s="144">
        <v>355345</v>
      </c>
      <c r="R146" s="145" t="s">
        <v>3853</v>
      </c>
      <c r="S146" s="143" t="s">
        <v>2105</v>
      </c>
      <c r="T146" s="144">
        <v>400.7226</v>
      </c>
      <c r="U146" s="144">
        <v>16855.896100000002</v>
      </c>
      <c r="V146" s="146">
        <v>1.9958605040412041E-3</v>
      </c>
      <c r="W146" s="146">
        <v>1.1200791199476088E-2</v>
      </c>
      <c r="X146" s="147">
        <v>2.2990320297255496E-3</v>
      </c>
      <c r="Y146" s="183"/>
    </row>
    <row r="147" spans="1:25" ht="15" x14ac:dyDescent="0.2">
      <c r="A147" s="142" t="s">
        <v>1218</v>
      </c>
      <c r="B147" s="143" t="s">
        <v>1218</v>
      </c>
      <c r="C147" s="143" t="s">
        <v>2106</v>
      </c>
      <c r="D147" s="143" t="s">
        <v>2107</v>
      </c>
      <c r="E147" s="143" t="s">
        <v>309</v>
      </c>
      <c r="F147" s="143" t="s">
        <v>2108</v>
      </c>
      <c r="G147" s="143" t="s">
        <v>2109</v>
      </c>
      <c r="H147" s="143" t="s">
        <v>321</v>
      </c>
      <c r="I147" s="143" t="s">
        <v>917</v>
      </c>
      <c r="J147" s="143" t="s">
        <v>204</v>
      </c>
      <c r="K147" s="143" t="s">
        <v>204</v>
      </c>
      <c r="L147" s="143" t="s">
        <v>325</v>
      </c>
      <c r="M147" s="143" t="s">
        <v>340</v>
      </c>
      <c r="N147" s="143" t="s">
        <v>441</v>
      </c>
      <c r="O147" s="143" t="s">
        <v>339</v>
      </c>
      <c r="P147" s="143" t="s">
        <v>1210</v>
      </c>
      <c r="Q147" s="144">
        <v>62688.36</v>
      </c>
      <c r="R147" s="145" t="s">
        <v>3853</v>
      </c>
      <c r="S147" s="143" t="s">
        <v>2110</v>
      </c>
      <c r="T147" s="145" t="s">
        <v>3853</v>
      </c>
      <c r="U147" s="144">
        <v>16662.5661</v>
      </c>
      <c r="V147" s="146">
        <v>1.1123914762215001E-3</v>
      </c>
      <c r="W147" s="146">
        <v>1.0815208185743431E-2</v>
      </c>
      <c r="X147" s="147">
        <v>2.2198887189627393E-3</v>
      </c>
      <c r="Y147" s="183"/>
    </row>
    <row r="148" spans="1:25" ht="15" x14ac:dyDescent="0.2">
      <c r="A148" s="142" t="s">
        <v>1218</v>
      </c>
      <c r="B148" s="143" t="s">
        <v>1218</v>
      </c>
      <c r="C148" s="143" t="s">
        <v>1574</v>
      </c>
      <c r="D148" s="143" t="s">
        <v>1575</v>
      </c>
      <c r="E148" s="143" t="s">
        <v>309</v>
      </c>
      <c r="F148" s="143" t="s">
        <v>2122</v>
      </c>
      <c r="G148" s="143" t="s">
        <v>2123</v>
      </c>
      <c r="H148" s="143" t="s">
        <v>321</v>
      </c>
      <c r="I148" s="143" t="s">
        <v>917</v>
      </c>
      <c r="J148" s="143" t="s">
        <v>204</v>
      </c>
      <c r="K148" s="143" t="s">
        <v>204</v>
      </c>
      <c r="L148" s="143" t="s">
        <v>325</v>
      </c>
      <c r="M148" s="143" t="s">
        <v>340</v>
      </c>
      <c r="N148" s="143" t="s">
        <v>464</v>
      </c>
      <c r="O148" s="143" t="s">
        <v>339</v>
      </c>
      <c r="P148" s="143" t="s">
        <v>1210</v>
      </c>
      <c r="Q148" s="144">
        <v>43219.31</v>
      </c>
      <c r="R148" s="145" t="s">
        <v>3853</v>
      </c>
      <c r="S148" s="143" t="s">
        <v>2124</v>
      </c>
      <c r="T148" s="145" t="s">
        <v>3853</v>
      </c>
      <c r="U148" s="144">
        <v>15446.581400000001</v>
      </c>
      <c r="V148" s="146">
        <v>1.7567695443325556E-3</v>
      </c>
      <c r="W148" s="146">
        <v>1.002594634294968E-2</v>
      </c>
      <c r="X148" s="147">
        <v>2.0578878188381197E-3</v>
      </c>
      <c r="Y148" s="183"/>
    </row>
    <row r="149" spans="1:25" ht="15" x14ac:dyDescent="0.2">
      <c r="A149" s="142" t="s">
        <v>1218</v>
      </c>
      <c r="B149" s="143" t="s">
        <v>1218</v>
      </c>
      <c r="C149" s="143" t="s">
        <v>1373</v>
      </c>
      <c r="D149" s="143" t="s">
        <v>1374</v>
      </c>
      <c r="E149" s="143" t="s">
        <v>309</v>
      </c>
      <c r="F149" s="143" t="s">
        <v>2111</v>
      </c>
      <c r="G149" s="143" t="s">
        <v>2112</v>
      </c>
      <c r="H149" s="143" t="s">
        <v>321</v>
      </c>
      <c r="I149" s="143" t="s">
        <v>917</v>
      </c>
      <c r="J149" s="143" t="s">
        <v>204</v>
      </c>
      <c r="K149" s="143" t="s">
        <v>204</v>
      </c>
      <c r="L149" s="143" t="s">
        <v>325</v>
      </c>
      <c r="M149" s="143" t="s">
        <v>340</v>
      </c>
      <c r="N149" s="143" t="s">
        <v>484</v>
      </c>
      <c r="O149" s="143" t="s">
        <v>339</v>
      </c>
      <c r="P149" s="143" t="s">
        <v>1210</v>
      </c>
      <c r="Q149" s="144">
        <v>3450276</v>
      </c>
      <c r="R149" s="145" t="s">
        <v>3853</v>
      </c>
      <c r="S149" s="143" t="s">
        <v>2113</v>
      </c>
      <c r="T149" s="145" t="s">
        <v>3853</v>
      </c>
      <c r="U149" s="144">
        <v>14615.3691</v>
      </c>
      <c r="V149" s="146">
        <v>1.2469807188460261E-3</v>
      </c>
      <c r="W149" s="146">
        <v>9.4864295860867583E-3</v>
      </c>
      <c r="X149" s="147">
        <v>1.9471486502819263E-3</v>
      </c>
      <c r="Y149" s="183"/>
    </row>
    <row r="150" spans="1:25" ht="15" x14ac:dyDescent="0.2">
      <c r="A150" s="142" t="s">
        <v>1218</v>
      </c>
      <c r="B150" s="143" t="s">
        <v>1218</v>
      </c>
      <c r="C150" s="143" t="s">
        <v>1720</v>
      </c>
      <c r="D150" s="143" t="s">
        <v>1721</v>
      </c>
      <c r="E150" s="143" t="s">
        <v>309</v>
      </c>
      <c r="F150" s="143" t="s">
        <v>2128</v>
      </c>
      <c r="G150" s="143" t="s">
        <v>2129</v>
      </c>
      <c r="H150" s="143" t="s">
        <v>321</v>
      </c>
      <c r="I150" s="143" t="s">
        <v>917</v>
      </c>
      <c r="J150" s="143" t="s">
        <v>204</v>
      </c>
      <c r="K150" s="143" t="s">
        <v>204</v>
      </c>
      <c r="L150" s="143" t="s">
        <v>325</v>
      </c>
      <c r="M150" s="143" t="s">
        <v>340</v>
      </c>
      <c r="N150" s="143" t="s">
        <v>464</v>
      </c>
      <c r="O150" s="143" t="s">
        <v>339</v>
      </c>
      <c r="P150" s="143" t="s">
        <v>1210</v>
      </c>
      <c r="Q150" s="144">
        <v>65961</v>
      </c>
      <c r="R150" s="145" t="s">
        <v>3853</v>
      </c>
      <c r="S150" s="143" t="s">
        <v>2130</v>
      </c>
      <c r="T150" s="145" t="s">
        <v>3853</v>
      </c>
      <c r="U150" s="144">
        <v>14511.42</v>
      </c>
      <c r="V150" s="146">
        <v>5.4390615007030431E-4</v>
      </c>
      <c r="W150" s="146">
        <v>9.4189590932088445E-3</v>
      </c>
      <c r="X150" s="147">
        <v>1.9332999121503783E-3</v>
      </c>
      <c r="Y150" s="183"/>
    </row>
    <row r="151" spans="1:25" ht="15" x14ac:dyDescent="0.2">
      <c r="A151" s="142" t="s">
        <v>1218</v>
      </c>
      <c r="B151" s="143" t="s">
        <v>1218</v>
      </c>
      <c r="C151" s="143" t="s">
        <v>1380</v>
      </c>
      <c r="D151" s="143" t="s">
        <v>1381</v>
      </c>
      <c r="E151" s="143" t="s">
        <v>309</v>
      </c>
      <c r="F151" s="143" t="s">
        <v>2125</v>
      </c>
      <c r="G151" s="143" t="s">
        <v>2126</v>
      </c>
      <c r="H151" s="143" t="s">
        <v>321</v>
      </c>
      <c r="I151" s="143" t="s">
        <v>917</v>
      </c>
      <c r="J151" s="143" t="s">
        <v>204</v>
      </c>
      <c r="K151" s="143" t="s">
        <v>204</v>
      </c>
      <c r="L151" s="143" t="s">
        <v>325</v>
      </c>
      <c r="M151" s="143" t="s">
        <v>340</v>
      </c>
      <c r="N151" s="143" t="s">
        <v>445</v>
      </c>
      <c r="O151" s="143" t="s">
        <v>339</v>
      </c>
      <c r="P151" s="143" t="s">
        <v>1210</v>
      </c>
      <c r="Q151" s="144">
        <v>271450</v>
      </c>
      <c r="R151" s="145" t="s">
        <v>3853</v>
      </c>
      <c r="S151" s="143" t="s">
        <v>2127</v>
      </c>
      <c r="T151" s="145" t="s">
        <v>3853</v>
      </c>
      <c r="U151" s="144">
        <v>14362.4195</v>
      </c>
      <c r="V151" s="146">
        <v>3.4327967159877375E-3</v>
      </c>
      <c r="W151" s="146">
        <v>9.3222470130424895E-3</v>
      </c>
      <c r="X151" s="147">
        <v>1.9134491564310647E-3</v>
      </c>
      <c r="Y151" s="183"/>
    </row>
    <row r="152" spans="1:25" ht="15" x14ac:dyDescent="0.2">
      <c r="A152" s="142" t="s">
        <v>1218</v>
      </c>
      <c r="B152" s="143" t="s">
        <v>1218</v>
      </c>
      <c r="C152" s="143" t="s">
        <v>2117</v>
      </c>
      <c r="D152" s="143" t="s">
        <v>2118</v>
      </c>
      <c r="E152" s="143" t="s">
        <v>309</v>
      </c>
      <c r="F152" s="143" t="s">
        <v>2119</v>
      </c>
      <c r="G152" s="143" t="s">
        <v>2120</v>
      </c>
      <c r="H152" s="143" t="s">
        <v>321</v>
      </c>
      <c r="I152" s="143" t="s">
        <v>917</v>
      </c>
      <c r="J152" s="143" t="s">
        <v>204</v>
      </c>
      <c r="K152" s="143" t="s">
        <v>204</v>
      </c>
      <c r="L152" s="143" t="s">
        <v>325</v>
      </c>
      <c r="M152" s="143" t="s">
        <v>340</v>
      </c>
      <c r="N152" s="143" t="s">
        <v>451</v>
      </c>
      <c r="O152" s="143" t="s">
        <v>339</v>
      </c>
      <c r="P152" s="143" t="s">
        <v>1210</v>
      </c>
      <c r="Q152" s="144">
        <v>2617581</v>
      </c>
      <c r="R152" s="145" t="s">
        <v>3853</v>
      </c>
      <c r="S152" s="143" t="s">
        <v>2121</v>
      </c>
      <c r="T152" s="145" t="s">
        <v>3853</v>
      </c>
      <c r="U152" s="144">
        <v>14066.880300000001</v>
      </c>
      <c r="V152" s="146">
        <v>1.3993727144386519E-2</v>
      </c>
      <c r="W152" s="146">
        <v>9.130420734721454E-3</v>
      </c>
      <c r="X152" s="147">
        <v>1.8740756202094686E-3</v>
      </c>
      <c r="Y152" s="183"/>
    </row>
    <row r="153" spans="1:25" ht="15" x14ac:dyDescent="0.2">
      <c r="A153" s="142" t="s">
        <v>1218</v>
      </c>
      <c r="B153" s="143" t="s">
        <v>1218</v>
      </c>
      <c r="C153" s="143" t="s">
        <v>2131</v>
      </c>
      <c r="D153" s="143" t="s">
        <v>2132</v>
      </c>
      <c r="E153" s="143" t="s">
        <v>309</v>
      </c>
      <c r="F153" s="143" t="s">
        <v>2133</v>
      </c>
      <c r="G153" s="143" t="s">
        <v>2134</v>
      </c>
      <c r="H153" s="143" t="s">
        <v>321</v>
      </c>
      <c r="I153" s="143" t="s">
        <v>917</v>
      </c>
      <c r="J153" s="143" t="s">
        <v>204</v>
      </c>
      <c r="K153" s="143" t="s">
        <v>204</v>
      </c>
      <c r="L153" s="143" t="s">
        <v>325</v>
      </c>
      <c r="M153" s="143" t="s">
        <v>340</v>
      </c>
      <c r="N153" s="143" t="s">
        <v>463</v>
      </c>
      <c r="O153" s="143" t="s">
        <v>339</v>
      </c>
      <c r="P153" s="143" t="s">
        <v>1210</v>
      </c>
      <c r="Q153" s="144">
        <v>2762934</v>
      </c>
      <c r="R153" s="145" t="s">
        <v>3853</v>
      </c>
      <c r="S153" s="143" t="s">
        <v>2135</v>
      </c>
      <c r="T153" s="145" t="s">
        <v>3853</v>
      </c>
      <c r="U153" s="144">
        <v>13491.4067</v>
      </c>
      <c r="V153" s="146">
        <v>9.6098709610100523E-3</v>
      </c>
      <c r="W153" s="146">
        <v>8.7568968456815961E-3</v>
      </c>
      <c r="X153" s="147">
        <v>1.7974075197622027E-3</v>
      </c>
      <c r="Y153" s="183"/>
    </row>
    <row r="154" spans="1:25" ht="15" x14ac:dyDescent="0.2">
      <c r="A154" s="142" t="s">
        <v>1218</v>
      </c>
      <c r="B154" s="143" t="s">
        <v>1218</v>
      </c>
      <c r="C154" s="143" t="s">
        <v>1392</v>
      </c>
      <c r="D154" s="143" t="s">
        <v>1393</v>
      </c>
      <c r="E154" s="143" t="s">
        <v>309</v>
      </c>
      <c r="F154" s="143" t="s">
        <v>2141</v>
      </c>
      <c r="G154" s="143" t="s">
        <v>2142</v>
      </c>
      <c r="H154" s="143" t="s">
        <v>321</v>
      </c>
      <c r="I154" s="143" t="s">
        <v>917</v>
      </c>
      <c r="J154" s="143" t="s">
        <v>204</v>
      </c>
      <c r="K154" s="143" t="s">
        <v>204</v>
      </c>
      <c r="L154" s="143" t="s">
        <v>325</v>
      </c>
      <c r="M154" s="143" t="s">
        <v>340</v>
      </c>
      <c r="N154" s="143" t="s">
        <v>463</v>
      </c>
      <c r="O154" s="143" t="s">
        <v>339</v>
      </c>
      <c r="P154" s="143" t="s">
        <v>1210</v>
      </c>
      <c r="Q154" s="144">
        <v>702392</v>
      </c>
      <c r="R154" s="145" t="s">
        <v>3853</v>
      </c>
      <c r="S154" s="143" t="s">
        <v>2143</v>
      </c>
      <c r="T154" s="145" t="s">
        <v>3853</v>
      </c>
      <c r="U154" s="144">
        <v>13485.9264</v>
      </c>
      <c r="V154" s="146">
        <v>1.9653849736207441E-3</v>
      </c>
      <c r="W154" s="146">
        <v>8.7533397211041527E-3</v>
      </c>
      <c r="X154" s="147">
        <v>1.7966773978278121E-3</v>
      </c>
      <c r="Y154" s="183"/>
    </row>
    <row r="155" spans="1:25" ht="15" x14ac:dyDescent="0.2">
      <c r="A155" s="142" t="s">
        <v>1218</v>
      </c>
      <c r="B155" s="143" t="s">
        <v>1218</v>
      </c>
      <c r="C155" s="143" t="s">
        <v>1412</v>
      </c>
      <c r="D155" s="143" t="s">
        <v>1413</v>
      </c>
      <c r="E155" s="143" t="s">
        <v>309</v>
      </c>
      <c r="F155" s="143" t="s">
        <v>2144</v>
      </c>
      <c r="G155" s="143" t="s">
        <v>2145</v>
      </c>
      <c r="H155" s="143" t="s">
        <v>321</v>
      </c>
      <c r="I155" s="143" t="s">
        <v>917</v>
      </c>
      <c r="J155" s="143" t="s">
        <v>204</v>
      </c>
      <c r="K155" s="143" t="s">
        <v>204</v>
      </c>
      <c r="L155" s="143" t="s">
        <v>325</v>
      </c>
      <c r="M155" s="143" t="s">
        <v>340</v>
      </c>
      <c r="N155" s="143" t="s">
        <v>451</v>
      </c>
      <c r="O155" s="143" t="s">
        <v>339</v>
      </c>
      <c r="P155" s="143" t="s">
        <v>1210</v>
      </c>
      <c r="Q155" s="144">
        <v>10313</v>
      </c>
      <c r="R155" s="145" t="s">
        <v>3853</v>
      </c>
      <c r="S155" s="143" t="s">
        <v>2146</v>
      </c>
      <c r="T155" s="145" t="s">
        <v>3853</v>
      </c>
      <c r="U155" s="144">
        <v>13374.929699999999</v>
      </c>
      <c r="V155" s="146">
        <v>2.5414648379357184E-3</v>
      </c>
      <c r="W155" s="146">
        <v>8.681294850458746E-3</v>
      </c>
      <c r="X155" s="147">
        <v>1.7818897402202877E-3</v>
      </c>
      <c r="Y155" s="183"/>
    </row>
    <row r="156" spans="1:25" ht="15" x14ac:dyDescent="0.2">
      <c r="A156" s="142" t="s">
        <v>1218</v>
      </c>
      <c r="B156" s="143" t="s">
        <v>1218</v>
      </c>
      <c r="C156" s="143" t="s">
        <v>1640</v>
      </c>
      <c r="D156" s="143" t="s">
        <v>1641</v>
      </c>
      <c r="E156" s="143" t="s">
        <v>309</v>
      </c>
      <c r="F156" s="143" t="s">
        <v>2147</v>
      </c>
      <c r="G156" s="143" t="s">
        <v>2148</v>
      </c>
      <c r="H156" s="143" t="s">
        <v>321</v>
      </c>
      <c r="I156" s="143" t="s">
        <v>917</v>
      </c>
      <c r="J156" s="143" t="s">
        <v>204</v>
      </c>
      <c r="K156" s="143" t="s">
        <v>204</v>
      </c>
      <c r="L156" s="143" t="s">
        <v>325</v>
      </c>
      <c r="M156" s="143" t="s">
        <v>340</v>
      </c>
      <c r="N156" s="143" t="s">
        <v>445</v>
      </c>
      <c r="O156" s="143" t="s">
        <v>339</v>
      </c>
      <c r="P156" s="143" t="s">
        <v>1210</v>
      </c>
      <c r="Q156" s="144">
        <v>359583</v>
      </c>
      <c r="R156" s="145" t="s">
        <v>3853</v>
      </c>
      <c r="S156" s="143" t="s">
        <v>2149</v>
      </c>
      <c r="T156" s="145" t="s">
        <v>3853</v>
      </c>
      <c r="U156" s="144">
        <v>12294.142800000001</v>
      </c>
      <c r="V156" s="146">
        <v>1.3780901559002549E-3</v>
      </c>
      <c r="W156" s="146">
        <v>7.979786115810808E-3</v>
      </c>
      <c r="X156" s="147">
        <v>1.6379007111092649E-3</v>
      </c>
      <c r="Y156" s="183"/>
    </row>
    <row r="157" spans="1:25" ht="15" x14ac:dyDescent="0.2">
      <c r="A157" s="142" t="s">
        <v>1218</v>
      </c>
      <c r="B157" s="143" t="s">
        <v>1218</v>
      </c>
      <c r="C157" s="143" t="s">
        <v>2136</v>
      </c>
      <c r="D157" s="143" t="s">
        <v>2137</v>
      </c>
      <c r="E157" s="143" t="s">
        <v>309</v>
      </c>
      <c r="F157" s="143" t="s">
        <v>2138</v>
      </c>
      <c r="G157" s="143" t="s">
        <v>2139</v>
      </c>
      <c r="H157" s="143" t="s">
        <v>321</v>
      </c>
      <c r="I157" s="143" t="s">
        <v>917</v>
      </c>
      <c r="J157" s="143" t="s">
        <v>204</v>
      </c>
      <c r="K157" s="143" t="s">
        <v>204</v>
      </c>
      <c r="L157" s="143" t="s">
        <v>325</v>
      </c>
      <c r="M157" s="143" t="s">
        <v>340</v>
      </c>
      <c r="N157" s="143" t="s">
        <v>456</v>
      </c>
      <c r="O157" s="143" t="s">
        <v>339</v>
      </c>
      <c r="P157" s="143" t="s">
        <v>1210</v>
      </c>
      <c r="Q157" s="144">
        <v>708940</v>
      </c>
      <c r="R157" s="145" t="s">
        <v>3853</v>
      </c>
      <c r="S157" s="143" t="s">
        <v>2140</v>
      </c>
      <c r="T157" s="145" t="s">
        <v>3853</v>
      </c>
      <c r="U157" s="144">
        <v>11428.112800000001</v>
      </c>
      <c r="V157" s="146">
        <v>5.3931381512001698E-4</v>
      </c>
      <c r="W157" s="146">
        <v>7.4176701505280938E-3</v>
      </c>
      <c r="X157" s="147">
        <v>1.5225229145241896E-3</v>
      </c>
      <c r="Y157" s="183"/>
    </row>
    <row r="158" spans="1:25" ht="15" x14ac:dyDescent="0.2">
      <c r="A158" s="142" t="s">
        <v>1218</v>
      </c>
      <c r="B158" s="143" t="s">
        <v>1218</v>
      </c>
      <c r="C158" s="143" t="s">
        <v>1753</v>
      </c>
      <c r="D158" s="143" t="s">
        <v>1754</v>
      </c>
      <c r="E158" s="143" t="s">
        <v>309</v>
      </c>
      <c r="F158" s="143" t="s">
        <v>2150</v>
      </c>
      <c r="G158" s="143" t="s">
        <v>2151</v>
      </c>
      <c r="H158" s="143" t="s">
        <v>321</v>
      </c>
      <c r="I158" s="143" t="s">
        <v>917</v>
      </c>
      <c r="J158" s="143" t="s">
        <v>204</v>
      </c>
      <c r="K158" s="143" t="s">
        <v>204</v>
      </c>
      <c r="L158" s="143" t="s">
        <v>325</v>
      </c>
      <c r="M158" s="143" t="s">
        <v>340</v>
      </c>
      <c r="N158" s="143" t="s">
        <v>464</v>
      </c>
      <c r="O158" s="143" t="s">
        <v>339</v>
      </c>
      <c r="P158" s="143" t="s">
        <v>1210</v>
      </c>
      <c r="Q158" s="144">
        <v>399975</v>
      </c>
      <c r="R158" s="145" t="s">
        <v>3853</v>
      </c>
      <c r="S158" s="143" t="s">
        <v>2152</v>
      </c>
      <c r="T158" s="145" t="s">
        <v>3853</v>
      </c>
      <c r="U158" s="144">
        <v>11347.290800000001</v>
      </c>
      <c r="V158" s="146">
        <v>9.8419740316571629E-3</v>
      </c>
      <c r="W158" s="146">
        <v>7.3652108059030141E-3</v>
      </c>
      <c r="X158" s="147">
        <v>1.5117553078968014E-3</v>
      </c>
      <c r="Y158" s="183"/>
    </row>
    <row r="159" spans="1:25" ht="15" x14ac:dyDescent="0.2">
      <c r="A159" s="142" t="s">
        <v>1218</v>
      </c>
      <c r="B159" s="143" t="s">
        <v>1218</v>
      </c>
      <c r="C159" s="143" t="s">
        <v>1773</v>
      </c>
      <c r="D159" s="143" t="s">
        <v>1774</v>
      </c>
      <c r="E159" s="143" t="s">
        <v>309</v>
      </c>
      <c r="F159" s="143" t="s">
        <v>2153</v>
      </c>
      <c r="G159" s="143" t="s">
        <v>2154</v>
      </c>
      <c r="H159" s="143" t="s">
        <v>321</v>
      </c>
      <c r="I159" s="143" t="s">
        <v>917</v>
      </c>
      <c r="J159" s="143" t="s">
        <v>204</v>
      </c>
      <c r="K159" s="143" t="s">
        <v>204</v>
      </c>
      <c r="L159" s="143" t="s">
        <v>325</v>
      </c>
      <c r="M159" s="143" t="s">
        <v>340</v>
      </c>
      <c r="N159" s="143" t="s">
        <v>445</v>
      </c>
      <c r="O159" s="143" t="s">
        <v>339</v>
      </c>
      <c r="P159" s="143" t="s">
        <v>1210</v>
      </c>
      <c r="Q159" s="144">
        <v>375178</v>
      </c>
      <c r="R159" s="145" t="s">
        <v>3853</v>
      </c>
      <c r="S159" s="143" t="s">
        <v>2155</v>
      </c>
      <c r="T159" s="145" t="s">
        <v>3853</v>
      </c>
      <c r="U159" s="144">
        <v>11244.084699999999</v>
      </c>
      <c r="V159" s="146">
        <v>1.6834307296846019E-3</v>
      </c>
      <c r="W159" s="146">
        <v>7.2982226035162023E-3</v>
      </c>
      <c r="X159" s="147">
        <v>1.4980055628869826E-3</v>
      </c>
      <c r="Y159" s="183"/>
    </row>
    <row r="160" spans="1:25" ht="15" x14ac:dyDescent="0.2">
      <c r="A160" s="142" t="s">
        <v>1218</v>
      </c>
      <c r="B160" s="143" t="s">
        <v>1218</v>
      </c>
      <c r="C160" s="143" t="s">
        <v>2159</v>
      </c>
      <c r="D160" s="143" t="s">
        <v>2160</v>
      </c>
      <c r="E160" s="143" t="s">
        <v>309</v>
      </c>
      <c r="F160" s="143" t="s">
        <v>2161</v>
      </c>
      <c r="G160" s="143" t="s">
        <v>2162</v>
      </c>
      <c r="H160" s="143" t="s">
        <v>321</v>
      </c>
      <c r="I160" s="143" t="s">
        <v>917</v>
      </c>
      <c r="J160" s="143" t="s">
        <v>204</v>
      </c>
      <c r="K160" s="143" t="s">
        <v>204</v>
      </c>
      <c r="L160" s="143" t="s">
        <v>325</v>
      </c>
      <c r="M160" s="143" t="s">
        <v>340</v>
      </c>
      <c r="N160" s="143" t="s">
        <v>446</v>
      </c>
      <c r="O160" s="143" t="s">
        <v>339</v>
      </c>
      <c r="P160" s="143" t="s">
        <v>1210</v>
      </c>
      <c r="Q160" s="144">
        <v>15635</v>
      </c>
      <c r="R160" s="145" t="s">
        <v>3853</v>
      </c>
      <c r="S160" s="143" t="s">
        <v>2163</v>
      </c>
      <c r="T160" s="144">
        <v>29.385999999999999</v>
      </c>
      <c r="U160" s="144">
        <v>10412.5895</v>
      </c>
      <c r="V160" s="146">
        <v>3.5153167985062228E-4</v>
      </c>
      <c r="W160" s="146">
        <v>6.777595832112268E-3</v>
      </c>
      <c r="X160" s="147">
        <v>1.3911436812864906E-3</v>
      </c>
      <c r="Y160" s="183"/>
    </row>
    <row r="161" spans="1:25" ht="15" x14ac:dyDescent="0.2">
      <c r="A161" s="142" t="s">
        <v>1218</v>
      </c>
      <c r="B161" s="143" t="s">
        <v>1218</v>
      </c>
      <c r="C161" s="143" t="s">
        <v>1680</v>
      </c>
      <c r="D161" s="143" t="s">
        <v>1681</v>
      </c>
      <c r="E161" s="143" t="s">
        <v>309</v>
      </c>
      <c r="F161" s="143" t="s">
        <v>2179</v>
      </c>
      <c r="G161" s="143" t="s">
        <v>2180</v>
      </c>
      <c r="H161" s="143" t="s">
        <v>321</v>
      </c>
      <c r="I161" s="143" t="s">
        <v>917</v>
      </c>
      <c r="J161" s="143" t="s">
        <v>204</v>
      </c>
      <c r="K161" s="143" t="s">
        <v>204</v>
      </c>
      <c r="L161" s="143" t="s">
        <v>325</v>
      </c>
      <c r="M161" s="143" t="s">
        <v>340</v>
      </c>
      <c r="N161" s="143" t="s">
        <v>451</v>
      </c>
      <c r="O161" s="143" t="s">
        <v>339</v>
      </c>
      <c r="P161" s="143" t="s">
        <v>1210</v>
      </c>
      <c r="Q161" s="144">
        <v>12375</v>
      </c>
      <c r="R161" s="145" t="s">
        <v>3853</v>
      </c>
      <c r="S161" s="143" t="s">
        <v>2181</v>
      </c>
      <c r="T161" s="145" t="s">
        <v>3853</v>
      </c>
      <c r="U161" s="144">
        <v>10362.825000000001</v>
      </c>
      <c r="V161" s="146">
        <v>1.6066441714844353E-3</v>
      </c>
      <c r="W161" s="146">
        <v>6.7262214700616442E-3</v>
      </c>
      <c r="X161" s="147">
        <v>1.3805987740779155E-3</v>
      </c>
      <c r="Y161" s="183"/>
    </row>
    <row r="162" spans="1:25" ht="15" x14ac:dyDescent="0.2">
      <c r="A162" s="142" t="s">
        <v>1218</v>
      </c>
      <c r="B162" s="143" t="s">
        <v>1218</v>
      </c>
      <c r="C162" s="143" t="s">
        <v>2164</v>
      </c>
      <c r="D162" s="143" t="s">
        <v>2165</v>
      </c>
      <c r="E162" s="143" t="s">
        <v>309</v>
      </c>
      <c r="F162" s="143" t="s">
        <v>2166</v>
      </c>
      <c r="G162" s="143" t="s">
        <v>2167</v>
      </c>
      <c r="H162" s="143" t="s">
        <v>321</v>
      </c>
      <c r="I162" s="143" t="s">
        <v>917</v>
      </c>
      <c r="J162" s="143" t="s">
        <v>204</v>
      </c>
      <c r="K162" s="143" t="s">
        <v>204</v>
      </c>
      <c r="L162" s="143" t="s">
        <v>325</v>
      </c>
      <c r="M162" s="143" t="s">
        <v>340</v>
      </c>
      <c r="N162" s="143" t="s">
        <v>458</v>
      </c>
      <c r="O162" s="143" t="s">
        <v>339</v>
      </c>
      <c r="P162" s="143" t="s">
        <v>1210</v>
      </c>
      <c r="Q162" s="144">
        <v>11444</v>
      </c>
      <c r="R162" s="145" t="s">
        <v>3853</v>
      </c>
      <c r="S162" s="143" t="s">
        <v>2168</v>
      </c>
      <c r="T162" s="145" t="s">
        <v>3853</v>
      </c>
      <c r="U162" s="144">
        <v>10047.832</v>
      </c>
      <c r="V162" s="146">
        <v>3.9401445086904217E-4</v>
      </c>
      <c r="W162" s="146">
        <v>6.5217682751539698E-3</v>
      </c>
      <c r="X162" s="147">
        <v>1.3386334847245659E-3</v>
      </c>
      <c r="Y162" s="183"/>
    </row>
    <row r="163" spans="1:25" ht="15" x14ac:dyDescent="0.2">
      <c r="A163" s="142" t="s">
        <v>1218</v>
      </c>
      <c r="B163" s="143" t="s">
        <v>1218</v>
      </c>
      <c r="C163" s="143" t="s">
        <v>1533</v>
      </c>
      <c r="D163" s="143" t="s">
        <v>1534</v>
      </c>
      <c r="E163" s="143" t="s">
        <v>309</v>
      </c>
      <c r="F163" s="143" t="s">
        <v>2156</v>
      </c>
      <c r="G163" s="143" t="s">
        <v>2157</v>
      </c>
      <c r="H163" s="143" t="s">
        <v>321</v>
      </c>
      <c r="I163" s="143" t="s">
        <v>917</v>
      </c>
      <c r="J163" s="143" t="s">
        <v>204</v>
      </c>
      <c r="K163" s="143" t="s">
        <v>204</v>
      </c>
      <c r="L163" s="143" t="s">
        <v>325</v>
      </c>
      <c r="M163" s="143" t="s">
        <v>340</v>
      </c>
      <c r="N163" s="143" t="s">
        <v>464</v>
      </c>
      <c r="O163" s="143" t="s">
        <v>339</v>
      </c>
      <c r="P163" s="143" t="s">
        <v>1210</v>
      </c>
      <c r="Q163" s="144">
        <v>182340.42</v>
      </c>
      <c r="R163" s="145" t="s">
        <v>3853</v>
      </c>
      <c r="S163" s="143" t="s">
        <v>2158</v>
      </c>
      <c r="T163" s="145" t="s">
        <v>3853</v>
      </c>
      <c r="U163" s="144">
        <v>9695.0401000000002</v>
      </c>
      <c r="V163" s="146">
        <v>1.3865163504111569E-3</v>
      </c>
      <c r="W163" s="146">
        <v>6.292780885997008E-3</v>
      </c>
      <c r="X163" s="147">
        <v>1.2916323994709004E-3</v>
      </c>
      <c r="Y163" s="183"/>
    </row>
    <row r="164" spans="1:25" ht="15" x14ac:dyDescent="0.2">
      <c r="A164" s="142" t="s">
        <v>1218</v>
      </c>
      <c r="B164" s="143" t="s">
        <v>1218</v>
      </c>
      <c r="C164" s="143" t="s">
        <v>2174</v>
      </c>
      <c r="D164" s="143" t="s">
        <v>2175</v>
      </c>
      <c r="E164" s="143" t="s">
        <v>309</v>
      </c>
      <c r="F164" s="143" t="s">
        <v>2176</v>
      </c>
      <c r="G164" s="143" t="s">
        <v>2177</v>
      </c>
      <c r="H164" s="143" t="s">
        <v>321</v>
      </c>
      <c r="I164" s="143" t="s">
        <v>917</v>
      </c>
      <c r="J164" s="143" t="s">
        <v>204</v>
      </c>
      <c r="K164" s="143" t="s">
        <v>204</v>
      </c>
      <c r="L164" s="143" t="s">
        <v>325</v>
      </c>
      <c r="M164" s="143" t="s">
        <v>340</v>
      </c>
      <c r="N164" s="143" t="s">
        <v>439</v>
      </c>
      <c r="O164" s="143" t="s">
        <v>339</v>
      </c>
      <c r="P164" s="143" t="s">
        <v>1210</v>
      </c>
      <c r="Q164" s="144">
        <v>172011</v>
      </c>
      <c r="R164" s="145" t="s">
        <v>3853</v>
      </c>
      <c r="S164" s="143" t="s">
        <v>2178</v>
      </c>
      <c r="T164" s="145" t="s">
        <v>3853</v>
      </c>
      <c r="U164" s="144">
        <v>9233.5504999999994</v>
      </c>
      <c r="V164" s="146">
        <v>2.1503638526750423E-3</v>
      </c>
      <c r="W164" s="146">
        <v>5.993240789405785E-3</v>
      </c>
      <c r="X164" s="147">
        <v>1.2301499323856718E-3</v>
      </c>
      <c r="Y164" s="183"/>
    </row>
    <row r="165" spans="1:25" ht="15" x14ac:dyDescent="0.2">
      <c r="A165" s="142" t="s">
        <v>1218</v>
      </c>
      <c r="B165" s="143" t="s">
        <v>1218</v>
      </c>
      <c r="C165" s="143" t="s">
        <v>1418</v>
      </c>
      <c r="D165" s="143" t="s">
        <v>1419</v>
      </c>
      <c r="E165" s="143" t="s">
        <v>309</v>
      </c>
      <c r="F165" s="143" t="s">
        <v>2182</v>
      </c>
      <c r="G165" s="143" t="s">
        <v>2183</v>
      </c>
      <c r="H165" s="143" t="s">
        <v>321</v>
      </c>
      <c r="I165" s="143" t="s">
        <v>917</v>
      </c>
      <c r="J165" s="143" t="s">
        <v>204</v>
      </c>
      <c r="K165" s="143" t="s">
        <v>204</v>
      </c>
      <c r="L165" s="143" t="s">
        <v>325</v>
      </c>
      <c r="M165" s="143" t="s">
        <v>340</v>
      </c>
      <c r="N165" s="143" t="s">
        <v>445</v>
      </c>
      <c r="O165" s="143" t="s">
        <v>339</v>
      </c>
      <c r="P165" s="143" t="s">
        <v>1210</v>
      </c>
      <c r="Q165" s="144">
        <v>97427</v>
      </c>
      <c r="R165" s="145" t="s">
        <v>3853</v>
      </c>
      <c r="S165" s="143" t="s">
        <v>2184</v>
      </c>
      <c r="T165" s="145" t="s">
        <v>3853</v>
      </c>
      <c r="U165" s="144">
        <v>8729.4591999999993</v>
      </c>
      <c r="V165" s="146">
        <v>1.5398139184340683E-3</v>
      </c>
      <c r="W165" s="146">
        <v>5.6660491606359414E-3</v>
      </c>
      <c r="X165" s="147">
        <v>1.1629918164094426E-3</v>
      </c>
      <c r="Y165" s="183"/>
    </row>
    <row r="166" spans="1:25" ht="15" x14ac:dyDescent="0.2">
      <c r="A166" s="142" t="s">
        <v>1218</v>
      </c>
      <c r="B166" s="143" t="s">
        <v>1218</v>
      </c>
      <c r="C166" s="143" t="s">
        <v>2169</v>
      </c>
      <c r="D166" s="143" t="s">
        <v>2170</v>
      </c>
      <c r="E166" s="143" t="s">
        <v>309</v>
      </c>
      <c r="F166" s="143" t="s">
        <v>2171</v>
      </c>
      <c r="G166" s="143" t="s">
        <v>2172</v>
      </c>
      <c r="H166" s="143" t="s">
        <v>321</v>
      </c>
      <c r="I166" s="143" t="s">
        <v>917</v>
      </c>
      <c r="J166" s="143" t="s">
        <v>204</v>
      </c>
      <c r="K166" s="143" t="s">
        <v>204</v>
      </c>
      <c r="L166" s="143" t="s">
        <v>325</v>
      </c>
      <c r="M166" s="143" t="s">
        <v>340</v>
      </c>
      <c r="N166" s="143" t="s">
        <v>454</v>
      </c>
      <c r="O166" s="143" t="s">
        <v>339</v>
      </c>
      <c r="P166" s="143" t="s">
        <v>1210</v>
      </c>
      <c r="Q166" s="144">
        <v>576992</v>
      </c>
      <c r="R166" s="145" t="s">
        <v>3853</v>
      </c>
      <c r="S166" s="143" t="s">
        <v>2173</v>
      </c>
      <c r="T166" s="145" t="s">
        <v>3853</v>
      </c>
      <c r="U166" s="144">
        <v>8204.8261999999995</v>
      </c>
      <c r="V166" s="146">
        <v>2.8848157592120394E-2</v>
      </c>
      <c r="W166" s="146">
        <v>5.3255244987359292E-3</v>
      </c>
      <c r="X166" s="147">
        <v>1.0930970124909292E-3</v>
      </c>
      <c r="Y166" s="183"/>
    </row>
    <row r="167" spans="1:25" ht="15" x14ac:dyDescent="0.2">
      <c r="A167" s="142" t="s">
        <v>1218</v>
      </c>
      <c r="B167" s="143" t="s">
        <v>1218</v>
      </c>
      <c r="C167" s="143" t="s">
        <v>1430</v>
      </c>
      <c r="D167" s="143" t="s">
        <v>1431</v>
      </c>
      <c r="E167" s="143" t="s">
        <v>309</v>
      </c>
      <c r="F167" s="143" t="s">
        <v>2190</v>
      </c>
      <c r="G167" s="143" t="s">
        <v>2191</v>
      </c>
      <c r="H167" s="143" t="s">
        <v>321</v>
      </c>
      <c r="I167" s="143" t="s">
        <v>917</v>
      </c>
      <c r="J167" s="143" t="s">
        <v>204</v>
      </c>
      <c r="K167" s="143" t="s">
        <v>204</v>
      </c>
      <c r="L167" s="143" t="s">
        <v>325</v>
      </c>
      <c r="M167" s="143" t="s">
        <v>340</v>
      </c>
      <c r="N167" s="143" t="s">
        <v>484</v>
      </c>
      <c r="O167" s="143" t="s">
        <v>339</v>
      </c>
      <c r="P167" s="143" t="s">
        <v>1210</v>
      </c>
      <c r="Q167" s="144">
        <v>610845</v>
      </c>
      <c r="R167" s="145" t="s">
        <v>3853</v>
      </c>
      <c r="S167" s="143" t="s">
        <v>2192</v>
      </c>
      <c r="T167" s="145" t="s">
        <v>3853</v>
      </c>
      <c r="U167" s="144">
        <v>8063.1540000000005</v>
      </c>
      <c r="V167" s="146">
        <v>3.6860830991075925E-3</v>
      </c>
      <c r="W167" s="146">
        <v>5.233568988303231E-3</v>
      </c>
      <c r="X167" s="147">
        <v>1.0742225722813461E-3</v>
      </c>
      <c r="Y167" s="183"/>
    </row>
    <row r="168" spans="1:25" ht="15" x14ac:dyDescent="0.2">
      <c r="A168" s="142" t="s">
        <v>1218</v>
      </c>
      <c r="B168" s="143" t="s">
        <v>1218</v>
      </c>
      <c r="C168" s="143" t="s">
        <v>1654</v>
      </c>
      <c r="D168" s="143" t="s">
        <v>1655</v>
      </c>
      <c r="E168" s="143" t="s">
        <v>309</v>
      </c>
      <c r="F168" s="143" t="s">
        <v>2193</v>
      </c>
      <c r="G168" s="143" t="s">
        <v>2194</v>
      </c>
      <c r="H168" s="143" t="s">
        <v>321</v>
      </c>
      <c r="I168" s="143" t="s">
        <v>917</v>
      </c>
      <c r="J168" s="143" t="s">
        <v>204</v>
      </c>
      <c r="K168" s="143" t="s">
        <v>204</v>
      </c>
      <c r="L168" s="143" t="s">
        <v>325</v>
      </c>
      <c r="M168" s="143" t="s">
        <v>340</v>
      </c>
      <c r="N168" s="143" t="s">
        <v>464</v>
      </c>
      <c r="O168" s="143" t="s">
        <v>339</v>
      </c>
      <c r="P168" s="143" t="s">
        <v>1210</v>
      </c>
      <c r="Q168" s="144">
        <v>1074991</v>
      </c>
      <c r="R168" s="145" t="s">
        <v>3853</v>
      </c>
      <c r="S168" s="143" t="s">
        <v>2195</v>
      </c>
      <c r="T168" s="145" t="s">
        <v>3853</v>
      </c>
      <c r="U168" s="144">
        <v>7115.3654000000006</v>
      </c>
      <c r="V168" s="146">
        <v>4.8349850755129795E-3</v>
      </c>
      <c r="W168" s="146">
        <v>4.6183857891910927E-3</v>
      </c>
      <c r="X168" s="147">
        <v>9.4795239603040493E-4</v>
      </c>
      <c r="Y168" s="183"/>
    </row>
    <row r="169" spans="1:25" ht="15" x14ac:dyDescent="0.2">
      <c r="A169" s="142" t="s">
        <v>1218</v>
      </c>
      <c r="B169" s="143" t="s">
        <v>1218</v>
      </c>
      <c r="C169" s="143" t="s">
        <v>2211</v>
      </c>
      <c r="D169" s="143" t="s">
        <v>2212</v>
      </c>
      <c r="E169" s="143" t="s">
        <v>309</v>
      </c>
      <c r="F169" s="143" t="s">
        <v>2213</v>
      </c>
      <c r="G169" s="143" t="s">
        <v>2214</v>
      </c>
      <c r="H169" s="143" t="s">
        <v>321</v>
      </c>
      <c r="I169" s="143" t="s">
        <v>917</v>
      </c>
      <c r="J169" s="143" t="s">
        <v>204</v>
      </c>
      <c r="K169" s="143" t="s">
        <v>204</v>
      </c>
      <c r="L169" s="143" t="s">
        <v>325</v>
      </c>
      <c r="M169" s="143" t="s">
        <v>340</v>
      </c>
      <c r="N169" s="143" t="s">
        <v>475</v>
      </c>
      <c r="O169" s="143" t="s">
        <v>339</v>
      </c>
      <c r="P169" s="143" t="s">
        <v>1210</v>
      </c>
      <c r="Q169" s="144">
        <v>38179</v>
      </c>
      <c r="R169" s="145" t="s">
        <v>3853</v>
      </c>
      <c r="S169" s="143" t="s">
        <v>2215</v>
      </c>
      <c r="T169" s="145" t="s">
        <v>3853</v>
      </c>
      <c r="U169" s="144">
        <v>6868.4020999999993</v>
      </c>
      <c r="V169" s="146">
        <v>2.633077883145798E-3</v>
      </c>
      <c r="W169" s="146">
        <v>4.4580887615140166E-3</v>
      </c>
      <c r="X169" s="147">
        <v>9.1505043452284299E-4</v>
      </c>
      <c r="Y169" s="183"/>
    </row>
    <row r="170" spans="1:25" ht="15" x14ac:dyDescent="0.2">
      <c r="A170" s="142" t="s">
        <v>1218</v>
      </c>
      <c r="B170" s="143" t="s">
        <v>1218</v>
      </c>
      <c r="C170" s="143" t="s">
        <v>1856</v>
      </c>
      <c r="D170" s="143" t="s">
        <v>1857</v>
      </c>
      <c r="E170" s="143" t="s">
        <v>309</v>
      </c>
      <c r="F170" s="143" t="s">
        <v>2219</v>
      </c>
      <c r="G170" s="143" t="s">
        <v>2220</v>
      </c>
      <c r="H170" s="143" t="s">
        <v>321</v>
      </c>
      <c r="I170" s="143" t="s">
        <v>917</v>
      </c>
      <c r="J170" s="143" t="s">
        <v>204</v>
      </c>
      <c r="K170" s="143" t="s">
        <v>204</v>
      </c>
      <c r="L170" s="143" t="s">
        <v>325</v>
      </c>
      <c r="M170" s="143" t="s">
        <v>340</v>
      </c>
      <c r="N170" s="143" t="s">
        <v>464</v>
      </c>
      <c r="O170" s="143" t="s">
        <v>339</v>
      </c>
      <c r="P170" s="143" t="s">
        <v>1210</v>
      </c>
      <c r="Q170" s="144">
        <v>756234.34</v>
      </c>
      <c r="R170" s="145" t="s">
        <v>3853</v>
      </c>
      <c r="S170" s="143" t="s">
        <v>2221</v>
      </c>
      <c r="T170" s="145" t="s">
        <v>3853</v>
      </c>
      <c r="U170" s="144">
        <v>6662.4245000000001</v>
      </c>
      <c r="V170" s="146">
        <v>1.0010567777909958E-3</v>
      </c>
      <c r="W170" s="146">
        <v>4.3243944535078958E-3</v>
      </c>
      <c r="X170" s="147">
        <v>8.8760884661854905E-4</v>
      </c>
      <c r="Y170" s="183"/>
    </row>
    <row r="171" spans="1:25" ht="15" x14ac:dyDescent="0.2">
      <c r="A171" s="142" t="s">
        <v>1218</v>
      </c>
      <c r="B171" s="143" t="s">
        <v>1218</v>
      </c>
      <c r="C171" s="143" t="s">
        <v>2196</v>
      </c>
      <c r="D171" s="143" t="s">
        <v>2197</v>
      </c>
      <c r="E171" s="143" t="s">
        <v>309</v>
      </c>
      <c r="F171" s="143" t="s">
        <v>2198</v>
      </c>
      <c r="G171" s="143" t="s">
        <v>2199</v>
      </c>
      <c r="H171" s="143" t="s">
        <v>321</v>
      </c>
      <c r="I171" s="143" t="s">
        <v>917</v>
      </c>
      <c r="J171" s="143" t="s">
        <v>204</v>
      </c>
      <c r="K171" s="143" t="s">
        <v>204</v>
      </c>
      <c r="L171" s="143" t="s">
        <v>325</v>
      </c>
      <c r="M171" s="143" t="s">
        <v>340</v>
      </c>
      <c r="N171" s="143" t="s">
        <v>459</v>
      </c>
      <c r="O171" s="143" t="s">
        <v>339</v>
      </c>
      <c r="P171" s="143" t="s">
        <v>1210</v>
      </c>
      <c r="Q171" s="144">
        <v>118409</v>
      </c>
      <c r="R171" s="145" t="s">
        <v>3853</v>
      </c>
      <c r="S171" s="143" t="s">
        <v>2200</v>
      </c>
      <c r="T171" s="145" t="s">
        <v>3853</v>
      </c>
      <c r="U171" s="144">
        <v>6629.7199000000001</v>
      </c>
      <c r="V171" s="146">
        <v>1.0083119463689665E-3</v>
      </c>
      <c r="W171" s="146">
        <v>4.3031667908255862E-3</v>
      </c>
      <c r="X171" s="147">
        <v>8.832517368792726E-4</v>
      </c>
      <c r="Y171" s="183"/>
    </row>
    <row r="172" spans="1:25" ht="15" x14ac:dyDescent="0.2">
      <c r="A172" s="142" t="s">
        <v>1218</v>
      </c>
      <c r="B172" s="143" t="s">
        <v>1218</v>
      </c>
      <c r="C172" s="143" t="s">
        <v>1867</v>
      </c>
      <c r="D172" s="143" t="s">
        <v>1868</v>
      </c>
      <c r="E172" s="143" t="s">
        <v>309</v>
      </c>
      <c r="F172" s="143" t="s">
        <v>2222</v>
      </c>
      <c r="G172" s="143" t="s">
        <v>2223</v>
      </c>
      <c r="H172" s="143" t="s">
        <v>321</v>
      </c>
      <c r="I172" s="143" t="s">
        <v>917</v>
      </c>
      <c r="J172" s="143" t="s">
        <v>204</v>
      </c>
      <c r="K172" s="143" t="s">
        <v>204</v>
      </c>
      <c r="L172" s="143" t="s">
        <v>325</v>
      </c>
      <c r="M172" s="143" t="s">
        <v>340</v>
      </c>
      <c r="N172" s="143" t="s">
        <v>484</v>
      </c>
      <c r="O172" s="143" t="s">
        <v>339</v>
      </c>
      <c r="P172" s="143" t="s">
        <v>1210</v>
      </c>
      <c r="Q172" s="144">
        <v>431140</v>
      </c>
      <c r="R172" s="145" t="s">
        <v>3853</v>
      </c>
      <c r="S172" s="143" t="s">
        <v>2224</v>
      </c>
      <c r="T172" s="145" t="s">
        <v>3853</v>
      </c>
      <c r="U172" s="144">
        <v>6617.9989999999998</v>
      </c>
      <c r="V172" s="146">
        <v>2.2558578200741848E-3</v>
      </c>
      <c r="W172" s="146">
        <v>4.2955590741565637E-3</v>
      </c>
      <c r="X172" s="147">
        <v>8.8169020573529617E-4</v>
      </c>
      <c r="Y172" s="183"/>
    </row>
    <row r="173" spans="1:25" ht="15" x14ac:dyDescent="0.2">
      <c r="A173" s="142" t="s">
        <v>1218</v>
      </c>
      <c r="B173" s="143" t="s">
        <v>1218</v>
      </c>
      <c r="C173" s="143" t="s">
        <v>2185</v>
      </c>
      <c r="D173" s="143" t="s">
        <v>2186</v>
      </c>
      <c r="E173" s="143" t="s">
        <v>309</v>
      </c>
      <c r="F173" s="143" t="s">
        <v>2187</v>
      </c>
      <c r="G173" s="143" t="s">
        <v>2188</v>
      </c>
      <c r="H173" s="143" t="s">
        <v>321</v>
      </c>
      <c r="I173" s="143" t="s">
        <v>917</v>
      </c>
      <c r="J173" s="143" t="s">
        <v>204</v>
      </c>
      <c r="K173" s="143" t="s">
        <v>204</v>
      </c>
      <c r="L173" s="143" t="s">
        <v>325</v>
      </c>
      <c r="M173" s="143" t="s">
        <v>340</v>
      </c>
      <c r="N173" s="143" t="s">
        <v>475</v>
      </c>
      <c r="O173" s="143" t="s">
        <v>339</v>
      </c>
      <c r="P173" s="143" t="s">
        <v>1210</v>
      </c>
      <c r="Q173" s="144">
        <v>105300</v>
      </c>
      <c r="R173" s="145" t="s">
        <v>3853</v>
      </c>
      <c r="S173" s="143" t="s">
        <v>2189</v>
      </c>
      <c r="T173" s="145" t="s">
        <v>3853</v>
      </c>
      <c r="U173" s="144">
        <v>6574.9319999999998</v>
      </c>
      <c r="V173" s="146">
        <v>4.2119999999999996E-3</v>
      </c>
      <c r="W173" s="146">
        <v>4.2676054823463051E-3</v>
      </c>
      <c r="X173" s="147">
        <v>8.7595255722697793E-4</v>
      </c>
      <c r="Y173" s="183"/>
    </row>
    <row r="174" spans="1:25" ht="15" x14ac:dyDescent="0.2">
      <c r="A174" s="142" t="s">
        <v>1218</v>
      </c>
      <c r="B174" s="143" t="s">
        <v>1218</v>
      </c>
      <c r="C174" s="143" t="s">
        <v>2201</v>
      </c>
      <c r="D174" s="143" t="s">
        <v>2202</v>
      </c>
      <c r="E174" s="143" t="s">
        <v>309</v>
      </c>
      <c r="F174" s="143" t="s">
        <v>2203</v>
      </c>
      <c r="G174" s="143" t="s">
        <v>2204</v>
      </c>
      <c r="H174" s="143" t="s">
        <v>321</v>
      </c>
      <c r="I174" s="143" t="s">
        <v>917</v>
      </c>
      <c r="J174" s="143" t="s">
        <v>204</v>
      </c>
      <c r="K174" s="143" t="s">
        <v>204</v>
      </c>
      <c r="L174" s="143" t="s">
        <v>325</v>
      </c>
      <c r="M174" s="143" t="s">
        <v>340</v>
      </c>
      <c r="N174" s="143" t="s">
        <v>456</v>
      </c>
      <c r="O174" s="143" t="s">
        <v>339</v>
      </c>
      <c r="P174" s="143" t="s">
        <v>1210</v>
      </c>
      <c r="Q174" s="144">
        <v>600000</v>
      </c>
      <c r="R174" s="145" t="s">
        <v>3853</v>
      </c>
      <c r="S174" s="143" t="s">
        <v>2205</v>
      </c>
      <c r="T174" s="145" t="s">
        <v>3853</v>
      </c>
      <c r="U174" s="144">
        <v>6504</v>
      </c>
      <c r="V174" s="146">
        <v>5.6146298313386718E-3</v>
      </c>
      <c r="W174" s="146">
        <v>4.2215654940888159E-3</v>
      </c>
      <c r="X174" s="147">
        <v>8.6650256340358562E-4</v>
      </c>
      <c r="Y174" s="183"/>
    </row>
    <row r="175" spans="1:25" ht="15" x14ac:dyDescent="0.2">
      <c r="A175" s="142" t="s">
        <v>1218</v>
      </c>
      <c r="B175" s="143" t="s">
        <v>1218</v>
      </c>
      <c r="C175" s="143" t="s">
        <v>2206</v>
      </c>
      <c r="D175" s="143" t="s">
        <v>2207</v>
      </c>
      <c r="E175" s="143" t="s">
        <v>309</v>
      </c>
      <c r="F175" s="143" t="s">
        <v>2208</v>
      </c>
      <c r="G175" s="143" t="s">
        <v>2209</v>
      </c>
      <c r="H175" s="143" t="s">
        <v>321</v>
      </c>
      <c r="I175" s="143" t="s">
        <v>917</v>
      </c>
      <c r="J175" s="143" t="s">
        <v>204</v>
      </c>
      <c r="K175" s="143" t="s">
        <v>204</v>
      </c>
      <c r="L175" s="143" t="s">
        <v>325</v>
      </c>
      <c r="M175" s="143" t="s">
        <v>340</v>
      </c>
      <c r="N175" s="143" t="s">
        <v>464</v>
      </c>
      <c r="O175" s="143" t="s">
        <v>339</v>
      </c>
      <c r="P175" s="143" t="s">
        <v>1210</v>
      </c>
      <c r="Q175" s="144">
        <v>70527</v>
      </c>
      <c r="R175" s="145" t="s">
        <v>3853</v>
      </c>
      <c r="S175" s="143" t="s">
        <v>2210</v>
      </c>
      <c r="T175" s="145" t="s">
        <v>3853</v>
      </c>
      <c r="U175" s="144">
        <v>6453.9258</v>
      </c>
      <c r="V175" s="146">
        <v>1.926818963874255E-3</v>
      </c>
      <c r="W175" s="146">
        <v>4.1890637041885909E-3</v>
      </c>
      <c r="X175" s="147">
        <v>8.5983136896086417E-4</v>
      </c>
      <c r="Y175" s="183"/>
    </row>
    <row r="176" spans="1:25" ht="15" x14ac:dyDescent="0.2">
      <c r="A176" s="142" t="s">
        <v>1218</v>
      </c>
      <c r="B176" s="143" t="s">
        <v>1218</v>
      </c>
      <c r="C176" s="143" t="s">
        <v>1362</v>
      </c>
      <c r="D176" s="143" t="s">
        <v>1363</v>
      </c>
      <c r="E176" s="143" t="s">
        <v>309</v>
      </c>
      <c r="F176" s="143" t="s">
        <v>2216</v>
      </c>
      <c r="G176" s="143" t="s">
        <v>2217</v>
      </c>
      <c r="H176" s="143" t="s">
        <v>321</v>
      </c>
      <c r="I176" s="143" t="s">
        <v>917</v>
      </c>
      <c r="J176" s="143" t="s">
        <v>204</v>
      </c>
      <c r="K176" s="143" t="s">
        <v>204</v>
      </c>
      <c r="L176" s="143" t="s">
        <v>325</v>
      </c>
      <c r="M176" s="143" t="s">
        <v>340</v>
      </c>
      <c r="N176" s="143" t="s">
        <v>440</v>
      </c>
      <c r="O176" s="143" t="s">
        <v>339</v>
      </c>
      <c r="P176" s="143" t="s">
        <v>1210</v>
      </c>
      <c r="Q176" s="144">
        <v>239778</v>
      </c>
      <c r="R176" s="145" t="s">
        <v>3853</v>
      </c>
      <c r="S176" s="143" t="s">
        <v>2218</v>
      </c>
      <c r="T176" s="145" t="s">
        <v>3853</v>
      </c>
      <c r="U176" s="144">
        <v>6313.3546999999999</v>
      </c>
      <c r="V176" s="146">
        <v>1.0683175668667983E-3</v>
      </c>
      <c r="W176" s="146">
        <v>4.0978229585372184E-3</v>
      </c>
      <c r="X176" s="147">
        <v>8.4110363866638654E-4</v>
      </c>
      <c r="Y176" s="183"/>
    </row>
    <row r="177" spans="1:25" ht="15" x14ac:dyDescent="0.2">
      <c r="A177" s="142" t="s">
        <v>1218</v>
      </c>
      <c r="B177" s="143" t="s">
        <v>1218</v>
      </c>
      <c r="C177" s="143" t="s">
        <v>1767</v>
      </c>
      <c r="D177" s="143" t="s">
        <v>1768</v>
      </c>
      <c r="E177" s="143" t="s">
        <v>309</v>
      </c>
      <c r="F177" s="143" t="s">
        <v>2324</v>
      </c>
      <c r="G177" s="143" t="s">
        <v>2325</v>
      </c>
      <c r="H177" s="143" t="s">
        <v>321</v>
      </c>
      <c r="I177" s="143" t="s">
        <v>917</v>
      </c>
      <c r="J177" s="143" t="s">
        <v>204</v>
      </c>
      <c r="K177" s="143" t="s">
        <v>204</v>
      </c>
      <c r="L177" s="143" t="s">
        <v>325</v>
      </c>
      <c r="M177" s="143" t="s">
        <v>340</v>
      </c>
      <c r="N177" s="143" t="s">
        <v>440</v>
      </c>
      <c r="O177" s="143" t="s">
        <v>339</v>
      </c>
      <c r="P177" s="143" t="s">
        <v>1210</v>
      </c>
      <c r="Q177" s="144">
        <v>7127267</v>
      </c>
      <c r="R177" s="145" t="s">
        <v>3853</v>
      </c>
      <c r="S177" s="143" t="s">
        <v>2326</v>
      </c>
      <c r="T177" s="145" t="s">
        <v>3853</v>
      </c>
      <c r="U177" s="144">
        <v>6179.3405000000002</v>
      </c>
      <c r="V177" s="146">
        <v>2.2158348077078037E-3</v>
      </c>
      <c r="W177" s="146">
        <v>4.0108380357608102E-3</v>
      </c>
      <c r="X177" s="147">
        <v>8.2324944247571749E-4</v>
      </c>
      <c r="Y177" s="183"/>
    </row>
    <row r="178" spans="1:25" ht="15" x14ac:dyDescent="0.2">
      <c r="A178" s="142" t="s">
        <v>1218</v>
      </c>
      <c r="B178" s="143" t="s">
        <v>1218</v>
      </c>
      <c r="C178" s="143" t="s">
        <v>1501</v>
      </c>
      <c r="D178" s="143" t="s">
        <v>1502</v>
      </c>
      <c r="E178" s="143" t="s">
        <v>309</v>
      </c>
      <c r="F178" s="143" t="s">
        <v>2276</v>
      </c>
      <c r="G178" s="143" t="s">
        <v>2277</v>
      </c>
      <c r="H178" s="143" t="s">
        <v>321</v>
      </c>
      <c r="I178" s="143" t="s">
        <v>917</v>
      </c>
      <c r="J178" s="143" t="s">
        <v>204</v>
      </c>
      <c r="K178" s="143" t="s">
        <v>204</v>
      </c>
      <c r="L178" s="143" t="s">
        <v>325</v>
      </c>
      <c r="M178" s="143" t="s">
        <v>340</v>
      </c>
      <c r="N178" s="143" t="s">
        <v>464</v>
      </c>
      <c r="O178" s="143" t="s">
        <v>339</v>
      </c>
      <c r="P178" s="143" t="s">
        <v>1210</v>
      </c>
      <c r="Q178" s="144">
        <v>401818</v>
      </c>
      <c r="R178" s="145" t="s">
        <v>3853</v>
      </c>
      <c r="S178" s="143" t="s">
        <v>2278</v>
      </c>
      <c r="T178" s="145" t="s">
        <v>3853</v>
      </c>
      <c r="U178" s="144">
        <v>6067.4517999999998</v>
      </c>
      <c r="V178" s="146">
        <v>8.5221067926971399E-4</v>
      </c>
      <c r="W178" s="146">
        <v>3.9382141998657869E-3</v>
      </c>
      <c r="X178" s="147">
        <v>8.0834294865124532E-4</v>
      </c>
      <c r="Y178" s="183"/>
    </row>
    <row r="179" spans="1:25" ht="15" x14ac:dyDescent="0.2">
      <c r="A179" s="142" t="s">
        <v>1218</v>
      </c>
      <c r="B179" s="143" t="s">
        <v>1218</v>
      </c>
      <c r="C179" s="143" t="s">
        <v>1851</v>
      </c>
      <c r="D179" s="143" t="s">
        <v>1852</v>
      </c>
      <c r="E179" s="143" t="s">
        <v>309</v>
      </c>
      <c r="F179" s="143" t="s">
        <v>1851</v>
      </c>
      <c r="G179" s="143" t="s">
        <v>2236</v>
      </c>
      <c r="H179" s="143" t="s">
        <v>321</v>
      </c>
      <c r="I179" s="143" t="s">
        <v>917</v>
      </c>
      <c r="J179" s="143" t="s">
        <v>204</v>
      </c>
      <c r="K179" s="143" t="s">
        <v>204</v>
      </c>
      <c r="L179" s="143" t="s">
        <v>325</v>
      </c>
      <c r="M179" s="143" t="s">
        <v>340</v>
      </c>
      <c r="N179" s="143" t="s">
        <v>441</v>
      </c>
      <c r="O179" s="143" t="s">
        <v>339</v>
      </c>
      <c r="P179" s="143" t="s">
        <v>1210</v>
      </c>
      <c r="Q179" s="144">
        <v>72417</v>
      </c>
      <c r="R179" s="145" t="s">
        <v>3853</v>
      </c>
      <c r="S179" s="143" t="s">
        <v>2237</v>
      </c>
      <c r="T179" s="145" t="s">
        <v>3853</v>
      </c>
      <c r="U179" s="144">
        <v>5974.4025000000001</v>
      </c>
      <c r="V179" s="146">
        <v>2.0375902294260703E-3</v>
      </c>
      <c r="W179" s="146">
        <v>3.8778184873613096E-3</v>
      </c>
      <c r="X179" s="147">
        <v>7.9594635317570576E-4</v>
      </c>
      <c r="Y179" s="183"/>
    </row>
    <row r="180" spans="1:25" ht="15" x14ac:dyDescent="0.2">
      <c r="A180" s="142" t="s">
        <v>1218</v>
      </c>
      <c r="B180" s="143" t="s">
        <v>1218</v>
      </c>
      <c r="C180" s="143" t="s">
        <v>2231</v>
      </c>
      <c r="D180" s="143" t="s">
        <v>2232</v>
      </c>
      <c r="E180" s="143" t="s">
        <v>309</v>
      </c>
      <c r="F180" s="143" t="s">
        <v>2233</v>
      </c>
      <c r="G180" s="143" t="s">
        <v>2234</v>
      </c>
      <c r="H180" s="143" t="s">
        <v>321</v>
      </c>
      <c r="I180" s="143" t="s">
        <v>917</v>
      </c>
      <c r="J180" s="143" t="s">
        <v>204</v>
      </c>
      <c r="K180" s="143" t="s">
        <v>204</v>
      </c>
      <c r="L180" s="143" t="s">
        <v>325</v>
      </c>
      <c r="M180" s="143" t="s">
        <v>340</v>
      </c>
      <c r="N180" s="143" t="s">
        <v>476</v>
      </c>
      <c r="O180" s="143" t="s">
        <v>339</v>
      </c>
      <c r="P180" s="143" t="s">
        <v>1210</v>
      </c>
      <c r="Q180" s="144">
        <v>21611</v>
      </c>
      <c r="R180" s="145" t="s">
        <v>3853</v>
      </c>
      <c r="S180" s="143" t="s">
        <v>2235</v>
      </c>
      <c r="T180" s="145" t="s">
        <v>3853</v>
      </c>
      <c r="U180" s="144">
        <v>5791.7479999999996</v>
      </c>
      <c r="V180" s="146">
        <v>1.3590723820027901E-3</v>
      </c>
      <c r="W180" s="146">
        <v>3.7592625318662227E-3</v>
      </c>
      <c r="X180" s="147">
        <v>7.7161200624040443E-4</v>
      </c>
      <c r="Y180" s="183"/>
    </row>
    <row r="181" spans="1:25" ht="15" x14ac:dyDescent="0.2">
      <c r="A181" s="142" t="s">
        <v>1218</v>
      </c>
      <c r="B181" s="143" t="s">
        <v>1218</v>
      </c>
      <c r="C181" s="143" t="s">
        <v>1405</v>
      </c>
      <c r="D181" s="143" t="s">
        <v>1406</v>
      </c>
      <c r="E181" s="143" t="s">
        <v>309</v>
      </c>
      <c r="F181" s="143" t="s">
        <v>2228</v>
      </c>
      <c r="G181" s="143" t="s">
        <v>2229</v>
      </c>
      <c r="H181" s="143" t="s">
        <v>321</v>
      </c>
      <c r="I181" s="143" t="s">
        <v>917</v>
      </c>
      <c r="J181" s="143" t="s">
        <v>204</v>
      </c>
      <c r="K181" s="143" t="s">
        <v>204</v>
      </c>
      <c r="L181" s="143" t="s">
        <v>325</v>
      </c>
      <c r="M181" s="143" t="s">
        <v>340</v>
      </c>
      <c r="N181" s="143" t="s">
        <v>475</v>
      </c>
      <c r="O181" s="143" t="s">
        <v>339</v>
      </c>
      <c r="P181" s="143" t="s">
        <v>1210</v>
      </c>
      <c r="Q181" s="144">
        <v>229962</v>
      </c>
      <c r="R181" s="145" t="s">
        <v>3853</v>
      </c>
      <c r="S181" s="143" t="s">
        <v>2230</v>
      </c>
      <c r="T181" s="145" t="s">
        <v>3853</v>
      </c>
      <c r="U181" s="144">
        <v>5684.6605999999992</v>
      </c>
      <c r="V181" s="146">
        <v>8.3758404937690583E-4</v>
      </c>
      <c r="W181" s="146">
        <v>3.6897551050782359E-3</v>
      </c>
      <c r="X181" s="147">
        <v>7.5734517476006577E-4</v>
      </c>
      <c r="Y181" s="183"/>
    </row>
    <row r="182" spans="1:25" ht="15" x14ac:dyDescent="0.2">
      <c r="A182" s="142" t="s">
        <v>1218</v>
      </c>
      <c r="B182" s="143" t="s">
        <v>1218</v>
      </c>
      <c r="C182" s="143" t="s">
        <v>1690</v>
      </c>
      <c r="D182" s="143" t="s">
        <v>1691</v>
      </c>
      <c r="E182" s="143" t="s">
        <v>309</v>
      </c>
      <c r="F182" s="143" t="s">
        <v>2225</v>
      </c>
      <c r="G182" s="143" t="s">
        <v>2226</v>
      </c>
      <c r="H182" s="143" t="s">
        <v>321</v>
      </c>
      <c r="I182" s="143" t="s">
        <v>917</v>
      </c>
      <c r="J182" s="143" t="s">
        <v>204</v>
      </c>
      <c r="K182" s="143" t="s">
        <v>204</v>
      </c>
      <c r="L182" s="143" t="s">
        <v>325</v>
      </c>
      <c r="M182" s="143" t="s">
        <v>340</v>
      </c>
      <c r="N182" s="143" t="s">
        <v>464</v>
      </c>
      <c r="O182" s="143" t="s">
        <v>339</v>
      </c>
      <c r="P182" s="143" t="s">
        <v>1210</v>
      </c>
      <c r="Q182" s="144">
        <v>768782</v>
      </c>
      <c r="R182" s="145" t="s">
        <v>3853</v>
      </c>
      <c r="S182" s="143" t="s">
        <v>2227</v>
      </c>
      <c r="T182" s="145" t="s">
        <v>3853</v>
      </c>
      <c r="U182" s="144">
        <v>5606.7271000000001</v>
      </c>
      <c r="V182" s="146">
        <v>5.1084950001427992E-3</v>
      </c>
      <c r="W182" s="146">
        <v>3.6391706288273922E-3</v>
      </c>
      <c r="X182" s="147">
        <v>7.4696239652266583E-4</v>
      </c>
      <c r="Y182" s="183"/>
    </row>
    <row r="183" spans="1:25" ht="15" x14ac:dyDescent="0.2">
      <c r="A183" s="142" t="s">
        <v>1218</v>
      </c>
      <c r="B183" s="143" t="s">
        <v>1218</v>
      </c>
      <c r="C183" s="143" t="s">
        <v>2248</v>
      </c>
      <c r="D183" s="143" t="s">
        <v>2249</v>
      </c>
      <c r="E183" s="143" t="s">
        <v>309</v>
      </c>
      <c r="F183" s="143" t="s">
        <v>2250</v>
      </c>
      <c r="G183" s="143" t="s">
        <v>2251</v>
      </c>
      <c r="H183" s="143" t="s">
        <v>321</v>
      </c>
      <c r="I183" s="143" t="s">
        <v>917</v>
      </c>
      <c r="J183" s="143" t="s">
        <v>204</v>
      </c>
      <c r="K183" s="143" t="s">
        <v>204</v>
      </c>
      <c r="L183" s="143" t="s">
        <v>325</v>
      </c>
      <c r="M183" s="143" t="s">
        <v>340</v>
      </c>
      <c r="N183" s="143" t="s">
        <v>451</v>
      </c>
      <c r="O183" s="143" t="s">
        <v>339</v>
      </c>
      <c r="P183" s="143" t="s">
        <v>1210</v>
      </c>
      <c r="Q183" s="144">
        <v>10531049</v>
      </c>
      <c r="R183" s="145" t="s">
        <v>3853</v>
      </c>
      <c r="S183" s="143" t="s">
        <v>2252</v>
      </c>
      <c r="T183" s="145" t="s">
        <v>3853</v>
      </c>
      <c r="U183" s="144">
        <v>5476.1454999999996</v>
      </c>
      <c r="V183" s="146">
        <v>8.3252320609100271E-3</v>
      </c>
      <c r="W183" s="146">
        <v>3.5544137144800795E-3</v>
      </c>
      <c r="X183" s="147">
        <v>7.295655129137391E-4</v>
      </c>
      <c r="Y183" s="183"/>
    </row>
    <row r="184" spans="1:25" ht="15" x14ac:dyDescent="0.2">
      <c r="A184" s="142" t="s">
        <v>1218</v>
      </c>
      <c r="B184" s="143" t="s">
        <v>1218</v>
      </c>
      <c r="C184" s="143" t="s">
        <v>2238</v>
      </c>
      <c r="D184" s="143" t="s">
        <v>2239</v>
      </c>
      <c r="E184" s="143" t="s">
        <v>309</v>
      </c>
      <c r="F184" s="143" t="s">
        <v>2240</v>
      </c>
      <c r="G184" s="143" t="s">
        <v>2241</v>
      </c>
      <c r="H184" s="143" t="s">
        <v>321</v>
      </c>
      <c r="I184" s="143" t="s">
        <v>917</v>
      </c>
      <c r="J184" s="143" t="s">
        <v>204</v>
      </c>
      <c r="K184" s="143" t="s">
        <v>204</v>
      </c>
      <c r="L184" s="143" t="s">
        <v>325</v>
      </c>
      <c r="M184" s="143" t="s">
        <v>340</v>
      </c>
      <c r="N184" s="143" t="s">
        <v>455</v>
      </c>
      <c r="O184" s="143" t="s">
        <v>339</v>
      </c>
      <c r="P184" s="143" t="s">
        <v>1210</v>
      </c>
      <c r="Q184" s="144">
        <v>97000</v>
      </c>
      <c r="R184" s="145" t="s">
        <v>3853</v>
      </c>
      <c r="S184" s="143" t="s">
        <v>2242</v>
      </c>
      <c r="T184" s="145" t="s">
        <v>3853</v>
      </c>
      <c r="U184" s="144">
        <v>5451.4</v>
      </c>
      <c r="V184" s="146">
        <v>9.3463554079794946E-3</v>
      </c>
      <c r="W184" s="146">
        <v>3.5383521116967671E-3</v>
      </c>
      <c r="X184" s="147">
        <v>7.2626876908645551E-4</v>
      </c>
      <c r="Y184" s="183"/>
    </row>
    <row r="185" spans="1:25" ht="15" x14ac:dyDescent="0.2">
      <c r="A185" s="142" t="s">
        <v>1218</v>
      </c>
      <c r="B185" s="143" t="s">
        <v>1218</v>
      </c>
      <c r="C185" s="143" t="s">
        <v>1617</v>
      </c>
      <c r="D185" s="143" t="s">
        <v>1618</v>
      </c>
      <c r="E185" s="143" t="s">
        <v>309</v>
      </c>
      <c r="F185" s="143" t="s">
        <v>2294</v>
      </c>
      <c r="G185" s="143" t="s">
        <v>2295</v>
      </c>
      <c r="H185" s="143" t="s">
        <v>321</v>
      </c>
      <c r="I185" s="143" t="s">
        <v>917</v>
      </c>
      <c r="J185" s="143" t="s">
        <v>204</v>
      </c>
      <c r="K185" s="143" t="s">
        <v>204</v>
      </c>
      <c r="L185" s="143" t="s">
        <v>325</v>
      </c>
      <c r="M185" s="143" t="s">
        <v>340</v>
      </c>
      <c r="N185" s="143" t="s">
        <v>440</v>
      </c>
      <c r="O185" s="143" t="s">
        <v>339</v>
      </c>
      <c r="P185" s="143" t="s">
        <v>1210</v>
      </c>
      <c r="Q185" s="144">
        <v>14896</v>
      </c>
      <c r="R185" s="145" t="s">
        <v>3853</v>
      </c>
      <c r="S185" s="143" t="s">
        <v>2296</v>
      </c>
      <c r="T185" s="144">
        <v>244.30199999999999</v>
      </c>
      <c r="U185" s="144">
        <v>5374.4844000000003</v>
      </c>
      <c r="V185" s="146">
        <v>1.0817446298379677E-3</v>
      </c>
      <c r="W185" s="146">
        <v>3.6469979551759239E-3</v>
      </c>
      <c r="X185" s="147">
        <v>7.4856900391868909E-4</v>
      </c>
      <c r="Y185" s="183"/>
    </row>
    <row r="186" spans="1:25" ht="15" x14ac:dyDescent="0.2">
      <c r="A186" s="142" t="s">
        <v>1218</v>
      </c>
      <c r="B186" s="143" t="s">
        <v>1218</v>
      </c>
      <c r="C186" s="143" t="s">
        <v>2243</v>
      </c>
      <c r="D186" s="143" t="s">
        <v>2244</v>
      </c>
      <c r="E186" s="143" t="s">
        <v>309</v>
      </c>
      <c r="F186" s="143" t="s">
        <v>2245</v>
      </c>
      <c r="G186" s="143" t="s">
        <v>2246</v>
      </c>
      <c r="H186" s="143" t="s">
        <v>321</v>
      </c>
      <c r="I186" s="143" t="s">
        <v>917</v>
      </c>
      <c r="J186" s="143" t="s">
        <v>204</v>
      </c>
      <c r="K186" s="143" t="s">
        <v>204</v>
      </c>
      <c r="L186" s="143" t="s">
        <v>325</v>
      </c>
      <c r="M186" s="143" t="s">
        <v>340</v>
      </c>
      <c r="N186" s="143" t="s">
        <v>476</v>
      </c>
      <c r="O186" s="143" t="s">
        <v>339</v>
      </c>
      <c r="P186" s="143" t="s">
        <v>1210</v>
      </c>
      <c r="Q186" s="144">
        <v>26711</v>
      </c>
      <c r="R186" s="145" t="s">
        <v>3853</v>
      </c>
      <c r="S186" s="143" t="s">
        <v>2247</v>
      </c>
      <c r="T186" s="145" t="s">
        <v>3853</v>
      </c>
      <c r="U186" s="144">
        <v>5235.3559999999998</v>
      </c>
      <c r="V186" s="146">
        <v>1.1647571716114956E-3</v>
      </c>
      <c r="W186" s="146">
        <v>3.3981239604659974E-3</v>
      </c>
      <c r="X186" s="147">
        <v>6.9748606923898259E-4</v>
      </c>
      <c r="Y186" s="183"/>
    </row>
    <row r="187" spans="1:25" ht="15" x14ac:dyDescent="0.2">
      <c r="A187" s="142" t="s">
        <v>1218</v>
      </c>
      <c r="B187" s="143" t="s">
        <v>1218</v>
      </c>
      <c r="C187" s="143" t="s">
        <v>1889</v>
      </c>
      <c r="D187" s="143" t="s">
        <v>1890</v>
      </c>
      <c r="E187" s="143" t="s">
        <v>309</v>
      </c>
      <c r="F187" s="143" t="s">
        <v>2258</v>
      </c>
      <c r="G187" s="143" t="s">
        <v>2259</v>
      </c>
      <c r="H187" s="143" t="s">
        <v>321</v>
      </c>
      <c r="I187" s="143" t="s">
        <v>917</v>
      </c>
      <c r="J187" s="143" t="s">
        <v>204</v>
      </c>
      <c r="K187" s="143" t="s">
        <v>204</v>
      </c>
      <c r="L187" s="143" t="s">
        <v>325</v>
      </c>
      <c r="M187" s="143" t="s">
        <v>340</v>
      </c>
      <c r="N187" s="143" t="s">
        <v>437</v>
      </c>
      <c r="O187" s="143" t="s">
        <v>339</v>
      </c>
      <c r="P187" s="143" t="s">
        <v>1210</v>
      </c>
      <c r="Q187" s="144">
        <v>32333</v>
      </c>
      <c r="R187" s="145" t="s">
        <v>3853</v>
      </c>
      <c r="S187" s="143" t="s">
        <v>2260</v>
      </c>
      <c r="T187" s="145" t="s">
        <v>3853</v>
      </c>
      <c r="U187" s="144">
        <v>5076.2809999999999</v>
      </c>
      <c r="V187" s="146">
        <v>1.2009225111370306E-3</v>
      </c>
      <c r="W187" s="146">
        <v>3.294872802567446E-3</v>
      </c>
      <c r="X187" s="147">
        <v>6.7629312716127263E-4</v>
      </c>
      <c r="Y187" s="183"/>
    </row>
    <row r="188" spans="1:25" ht="15" x14ac:dyDescent="0.2">
      <c r="A188" s="142" t="s">
        <v>1218</v>
      </c>
      <c r="B188" s="143" t="s">
        <v>1218</v>
      </c>
      <c r="C188" s="143" t="s">
        <v>2271</v>
      </c>
      <c r="D188" s="143" t="s">
        <v>2272</v>
      </c>
      <c r="E188" s="143" t="s">
        <v>309</v>
      </c>
      <c r="F188" s="143" t="s">
        <v>2273</v>
      </c>
      <c r="G188" s="143" t="s">
        <v>2274</v>
      </c>
      <c r="H188" s="143" t="s">
        <v>321</v>
      </c>
      <c r="I188" s="143" t="s">
        <v>917</v>
      </c>
      <c r="J188" s="143" t="s">
        <v>204</v>
      </c>
      <c r="K188" s="143" t="s">
        <v>204</v>
      </c>
      <c r="L188" s="143" t="s">
        <v>325</v>
      </c>
      <c r="M188" s="143" t="s">
        <v>340</v>
      </c>
      <c r="N188" s="143" t="s">
        <v>473</v>
      </c>
      <c r="O188" s="143" t="s">
        <v>339</v>
      </c>
      <c r="P188" s="143" t="s">
        <v>1210</v>
      </c>
      <c r="Q188" s="144">
        <v>347823.65</v>
      </c>
      <c r="R188" s="145" t="s">
        <v>3853</v>
      </c>
      <c r="S188" s="143" t="s">
        <v>2275</v>
      </c>
      <c r="T188" s="145" t="s">
        <v>3853</v>
      </c>
      <c r="U188" s="144">
        <v>4897.357</v>
      </c>
      <c r="V188" s="146">
        <v>3.1671543552413577E-3</v>
      </c>
      <c r="W188" s="146">
        <v>3.178738205667558E-3</v>
      </c>
      <c r="X188" s="147">
        <v>6.5245577913137663E-4</v>
      </c>
      <c r="Y188" s="183"/>
    </row>
    <row r="189" spans="1:25" ht="15" x14ac:dyDescent="0.2">
      <c r="A189" s="142" t="s">
        <v>1218</v>
      </c>
      <c r="B189" s="143" t="s">
        <v>1218</v>
      </c>
      <c r="C189" s="143" t="s">
        <v>2253</v>
      </c>
      <c r="D189" s="143" t="s">
        <v>2254</v>
      </c>
      <c r="E189" s="143" t="s">
        <v>309</v>
      </c>
      <c r="F189" s="143" t="s">
        <v>2255</v>
      </c>
      <c r="G189" s="143" t="s">
        <v>2256</v>
      </c>
      <c r="H189" s="143" t="s">
        <v>321</v>
      </c>
      <c r="I189" s="143" t="s">
        <v>917</v>
      </c>
      <c r="J189" s="143" t="s">
        <v>204</v>
      </c>
      <c r="K189" s="143" t="s">
        <v>204</v>
      </c>
      <c r="L189" s="143" t="s">
        <v>325</v>
      </c>
      <c r="M189" s="143" t="s">
        <v>340</v>
      </c>
      <c r="N189" s="143" t="s">
        <v>476</v>
      </c>
      <c r="O189" s="143" t="s">
        <v>339</v>
      </c>
      <c r="P189" s="143" t="s">
        <v>1210</v>
      </c>
      <c r="Q189" s="144">
        <v>70062</v>
      </c>
      <c r="R189" s="145" t="s">
        <v>3853</v>
      </c>
      <c r="S189" s="143" t="s">
        <v>2257</v>
      </c>
      <c r="T189" s="144">
        <v>56.7502</v>
      </c>
      <c r="U189" s="144">
        <v>4891.7287999999999</v>
      </c>
      <c r="V189" s="146">
        <v>1.0917176182673829E-3</v>
      </c>
      <c r="W189" s="146">
        <v>3.2119201180684288E-3</v>
      </c>
      <c r="X189" s="147">
        <v>6.5926657294572042E-4</v>
      </c>
      <c r="Y189" s="183"/>
    </row>
    <row r="190" spans="1:25" ht="15" x14ac:dyDescent="0.2">
      <c r="A190" s="142" t="s">
        <v>1218</v>
      </c>
      <c r="B190" s="143" t="s">
        <v>1218</v>
      </c>
      <c r="C190" s="143" t="s">
        <v>2289</v>
      </c>
      <c r="D190" s="143" t="s">
        <v>2290</v>
      </c>
      <c r="E190" s="143" t="s">
        <v>309</v>
      </c>
      <c r="F190" s="143" t="s">
        <v>2291</v>
      </c>
      <c r="G190" s="143" t="s">
        <v>2292</v>
      </c>
      <c r="H190" s="143" t="s">
        <v>321</v>
      </c>
      <c r="I190" s="143" t="s">
        <v>917</v>
      </c>
      <c r="J190" s="143" t="s">
        <v>204</v>
      </c>
      <c r="K190" s="143" t="s">
        <v>204</v>
      </c>
      <c r="L190" s="143" t="s">
        <v>325</v>
      </c>
      <c r="M190" s="143" t="s">
        <v>340</v>
      </c>
      <c r="N190" s="143" t="s">
        <v>475</v>
      </c>
      <c r="O190" s="143" t="s">
        <v>339</v>
      </c>
      <c r="P190" s="143" t="s">
        <v>1210</v>
      </c>
      <c r="Q190" s="144">
        <v>500000</v>
      </c>
      <c r="R190" s="145" t="s">
        <v>3853</v>
      </c>
      <c r="S190" s="143" t="s">
        <v>2293</v>
      </c>
      <c r="T190" s="145" t="s">
        <v>3853</v>
      </c>
      <c r="U190" s="144">
        <v>4357.5</v>
      </c>
      <c r="V190" s="146">
        <v>3.4943784745391409E-3</v>
      </c>
      <c r="W190" s="146">
        <v>2.8283320480461281E-3</v>
      </c>
      <c r="X190" s="147">
        <v>5.8053273678215322E-4</v>
      </c>
      <c r="Y190" s="183"/>
    </row>
    <row r="191" spans="1:25" ht="15" x14ac:dyDescent="0.2">
      <c r="A191" s="142" t="s">
        <v>1218</v>
      </c>
      <c r="B191" s="143" t="s">
        <v>1218</v>
      </c>
      <c r="C191" s="143" t="s">
        <v>2266</v>
      </c>
      <c r="D191" s="143" t="s">
        <v>2267</v>
      </c>
      <c r="E191" s="143" t="s">
        <v>309</v>
      </c>
      <c r="F191" s="143" t="s">
        <v>2268</v>
      </c>
      <c r="G191" s="143" t="s">
        <v>2269</v>
      </c>
      <c r="H191" s="143" t="s">
        <v>321</v>
      </c>
      <c r="I191" s="143" t="s">
        <v>917</v>
      </c>
      <c r="J191" s="143" t="s">
        <v>204</v>
      </c>
      <c r="K191" s="143" t="s">
        <v>204</v>
      </c>
      <c r="L191" s="143" t="s">
        <v>325</v>
      </c>
      <c r="M191" s="143" t="s">
        <v>340</v>
      </c>
      <c r="N191" s="143" t="s">
        <v>475</v>
      </c>
      <c r="O191" s="143" t="s">
        <v>339</v>
      </c>
      <c r="P191" s="143" t="s">
        <v>1210</v>
      </c>
      <c r="Q191" s="144">
        <v>875153</v>
      </c>
      <c r="R191" s="145" t="s">
        <v>3853</v>
      </c>
      <c r="S191" s="143" t="s">
        <v>2270</v>
      </c>
      <c r="T191" s="145" t="s">
        <v>3853</v>
      </c>
      <c r="U191" s="144">
        <v>4275.1224000000002</v>
      </c>
      <c r="V191" s="146">
        <v>8.0460912063856742E-3</v>
      </c>
      <c r="W191" s="146">
        <v>2.7748630424283506E-3</v>
      </c>
      <c r="X191" s="147">
        <v>5.6955789095888712E-4</v>
      </c>
      <c r="Y191" s="183"/>
    </row>
    <row r="192" spans="1:25" ht="15" x14ac:dyDescent="0.2">
      <c r="A192" s="142" t="s">
        <v>1218</v>
      </c>
      <c r="B192" s="143" t="s">
        <v>1218</v>
      </c>
      <c r="C192" s="143" t="s">
        <v>2279</v>
      </c>
      <c r="D192" s="143" t="s">
        <v>2280</v>
      </c>
      <c r="E192" s="143" t="s">
        <v>309</v>
      </c>
      <c r="F192" s="143" t="s">
        <v>2281</v>
      </c>
      <c r="G192" s="143" t="s">
        <v>2282</v>
      </c>
      <c r="H192" s="143" t="s">
        <v>321</v>
      </c>
      <c r="I192" s="143" t="s">
        <v>917</v>
      </c>
      <c r="J192" s="143" t="s">
        <v>204</v>
      </c>
      <c r="K192" s="143" t="s">
        <v>204</v>
      </c>
      <c r="L192" s="143" t="s">
        <v>325</v>
      </c>
      <c r="M192" s="143" t="s">
        <v>340</v>
      </c>
      <c r="N192" s="143" t="s">
        <v>476</v>
      </c>
      <c r="O192" s="143" t="s">
        <v>339</v>
      </c>
      <c r="P192" s="143" t="s">
        <v>1210</v>
      </c>
      <c r="Q192" s="144">
        <v>93786</v>
      </c>
      <c r="R192" s="145" t="s">
        <v>3853</v>
      </c>
      <c r="S192" s="143" t="s">
        <v>2283</v>
      </c>
      <c r="T192" s="145" t="s">
        <v>3853</v>
      </c>
      <c r="U192" s="144">
        <v>4262.5736999999999</v>
      </c>
      <c r="V192" s="146">
        <v>1.3057733557772383E-3</v>
      </c>
      <c r="W192" s="146">
        <v>2.766718027049584E-3</v>
      </c>
      <c r="X192" s="147">
        <v>5.6788607591431528E-4</v>
      </c>
      <c r="Y192" s="183"/>
    </row>
    <row r="193" spans="1:25" ht="15" x14ac:dyDescent="0.2">
      <c r="A193" s="142" t="s">
        <v>1218</v>
      </c>
      <c r="B193" s="143" t="s">
        <v>1218</v>
      </c>
      <c r="C193" s="143" t="s">
        <v>2306</v>
      </c>
      <c r="D193" s="143" t="s">
        <v>2307</v>
      </c>
      <c r="E193" s="143" t="s">
        <v>309</v>
      </c>
      <c r="F193" s="143" t="s">
        <v>2308</v>
      </c>
      <c r="G193" s="143" t="s">
        <v>2309</v>
      </c>
      <c r="H193" s="143" t="s">
        <v>321</v>
      </c>
      <c r="I193" s="143" t="s">
        <v>917</v>
      </c>
      <c r="J193" s="143" t="s">
        <v>204</v>
      </c>
      <c r="K193" s="143" t="s">
        <v>204</v>
      </c>
      <c r="L193" s="143" t="s">
        <v>325</v>
      </c>
      <c r="M193" s="143" t="s">
        <v>340</v>
      </c>
      <c r="N193" s="143" t="s">
        <v>447</v>
      </c>
      <c r="O193" s="143" t="s">
        <v>339</v>
      </c>
      <c r="P193" s="143" t="s">
        <v>1210</v>
      </c>
      <c r="Q193" s="144">
        <v>350177</v>
      </c>
      <c r="R193" s="145" t="s">
        <v>3853</v>
      </c>
      <c r="S193" s="143" t="s">
        <v>2310</v>
      </c>
      <c r="T193" s="145" t="s">
        <v>3853</v>
      </c>
      <c r="U193" s="144">
        <v>4233.6399000000001</v>
      </c>
      <c r="V193" s="146">
        <v>1.2465902165474411E-3</v>
      </c>
      <c r="W193" s="146">
        <v>2.7479379217227231E-3</v>
      </c>
      <c r="X193" s="147">
        <v>5.6403134253886489E-4</v>
      </c>
      <c r="Y193" s="183"/>
    </row>
    <row r="194" spans="1:25" ht="15" x14ac:dyDescent="0.2">
      <c r="A194" s="142" t="s">
        <v>1218</v>
      </c>
      <c r="B194" s="143" t="s">
        <v>1218</v>
      </c>
      <c r="C194" s="143" t="s">
        <v>2314</v>
      </c>
      <c r="D194" s="143" t="s">
        <v>2315</v>
      </c>
      <c r="E194" s="143" t="s">
        <v>309</v>
      </c>
      <c r="F194" s="143" t="s">
        <v>2316</v>
      </c>
      <c r="G194" s="143" t="s">
        <v>2317</v>
      </c>
      <c r="H194" s="143" t="s">
        <v>321</v>
      </c>
      <c r="I194" s="143" t="s">
        <v>917</v>
      </c>
      <c r="J194" s="143" t="s">
        <v>204</v>
      </c>
      <c r="K194" s="143" t="s">
        <v>204</v>
      </c>
      <c r="L194" s="143" t="s">
        <v>325</v>
      </c>
      <c r="M194" s="143" t="s">
        <v>340</v>
      </c>
      <c r="N194" s="143" t="s">
        <v>447</v>
      </c>
      <c r="O194" s="143" t="s">
        <v>339</v>
      </c>
      <c r="P194" s="143" t="s">
        <v>1210</v>
      </c>
      <c r="Q194" s="144">
        <v>268978</v>
      </c>
      <c r="R194" s="145" t="s">
        <v>3853</v>
      </c>
      <c r="S194" s="143" t="s">
        <v>2318</v>
      </c>
      <c r="T194" s="145" t="s">
        <v>3853</v>
      </c>
      <c r="U194" s="144">
        <v>4166.4692000000005</v>
      </c>
      <c r="V194" s="146">
        <v>1.274886625581499E-3</v>
      </c>
      <c r="W194" s="146">
        <v>2.7043392821856005E-3</v>
      </c>
      <c r="X194" s="147">
        <v>5.5508245071834842E-4</v>
      </c>
      <c r="Y194" s="183"/>
    </row>
    <row r="195" spans="1:25" ht="15" x14ac:dyDescent="0.2">
      <c r="A195" s="142" t="s">
        <v>1218</v>
      </c>
      <c r="B195" s="143" t="s">
        <v>1218</v>
      </c>
      <c r="C195" s="143" t="s">
        <v>2261</v>
      </c>
      <c r="D195" s="143" t="s">
        <v>2262</v>
      </c>
      <c r="E195" s="143" t="s">
        <v>309</v>
      </c>
      <c r="F195" s="143" t="s">
        <v>2263</v>
      </c>
      <c r="G195" s="143" t="s">
        <v>2264</v>
      </c>
      <c r="H195" s="143" t="s">
        <v>321</v>
      </c>
      <c r="I195" s="143" t="s">
        <v>917</v>
      </c>
      <c r="J195" s="143" t="s">
        <v>204</v>
      </c>
      <c r="K195" s="143" t="s">
        <v>204</v>
      </c>
      <c r="L195" s="143" t="s">
        <v>325</v>
      </c>
      <c r="M195" s="143" t="s">
        <v>340</v>
      </c>
      <c r="N195" s="143" t="s">
        <v>445</v>
      </c>
      <c r="O195" s="143" t="s">
        <v>339</v>
      </c>
      <c r="P195" s="143" t="s">
        <v>1210</v>
      </c>
      <c r="Q195" s="144">
        <v>41893</v>
      </c>
      <c r="R195" s="145" t="s">
        <v>3853</v>
      </c>
      <c r="S195" s="143" t="s">
        <v>2265</v>
      </c>
      <c r="T195" s="145" t="s">
        <v>3853</v>
      </c>
      <c r="U195" s="144">
        <v>4131.9066000000003</v>
      </c>
      <c r="V195" s="146">
        <v>2.8527537657364343E-3</v>
      </c>
      <c r="W195" s="146">
        <v>2.681905640397015E-3</v>
      </c>
      <c r="X195" s="147">
        <v>5.5047780626985986E-4</v>
      </c>
      <c r="Y195" s="183"/>
    </row>
    <row r="196" spans="1:25" ht="15" x14ac:dyDescent="0.2">
      <c r="A196" s="142" t="s">
        <v>1218</v>
      </c>
      <c r="B196" s="143" t="s">
        <v>1218</v>
      </c>
      <c r="C196" s="143" t="s">
        <v>2297</v>
      </c>
      <c r="D196" s="143" t="s">
        <v>2298</v>
      </c>
      <c r="E196" s="143" t="s">
        <v>309</v>
      </c>
      <c r="F196" s="143" t="s">
        <v>2297</v>
      </c>
      <c r="G196" s="143" t="s">
        <v>2299</v>
      </c>
      <c r="H196" s="143" t="s">
        <v>321</v>
      </c>
      <c r="I196" s="143" t="s">
        <v>917</v>
      </c>
      <c r="J196" s="143" t="s">
        <v>204</v>
      </c>
      <c r="K196" s="143" t="s">
        <v>204</v>
      </c>
      <c r="L196" s="143" t="s">
        <v>325</v>
      </c>
      <c r="M196" s="143" t="s">
        <v>340</v>
      </c>
      <c r="N196" s="143" t="s">
        <v>471</v>
      </c>
      <c r="O196" s="143" t="s">
        <v>339</v>
      </c>
      <c r="P196" s="143" t="s">
        <v>1210</v>
      </c>
      <c r="Q196" s="144">
        <v>230955</v>
      </c>
      <c r="R196" s="145" t="s">
        <v>3853</v>
      </c>
      <c r="S196" s="143" t="s">
        <v>2300</v>
      </c>
      <c r="T196" s="145" t="s">
        <v>3853</v>
      </c>
      <c r="U196" s="144">
        <v>4087.9034999999999</v>
      </c>
      <c r="V196" s="146">
        <v>1.5909792773493889E-3</v>
      </c>
      <c r="W196" s="146">
        <v>2.6533444586046896E-3</v>
      </c>
      <c r="X196" s="147">
        <v>5.4461544614029672E-4</v>
      </c>
      <c r="Y196" s="183"/>
    </row>
    <row r="197" spans="1:25" ht="15" x14ac:dyDescent="0.2">
      <c r="A197" s="142" t="s">
        <v>1218</v>
      </c>
      <c r="B197" s="143" t="s">
        <v>1218</v>
      </c>
      <c r="C197" s="143" t="s">
        <v>2284</v>
      </c>
      <c r="D197" s="143" t="s">
        <v>2285</v>
      </c>
      <c r="E197" s="143" t="s">
        <v>309</v>
      </c>
      <c r="F197" s="143" t="s">
        <v>2286</v>
      </c>
      <c r="G197" s="143" t="s">
        <v>2287</v>
      </c>
      <c r="H197" s="143" t="s">
        <v>321</v>
      </c>
      <c r="I197" s="143" t="s">
        <v>917</v>
      </c>
      <c r="J197" s="143" t="s">
        <v>204</v>
      </c>
      <c r="K197" s="143" t="s">
        <v>204</v>
      </c>
      <c r="L197" s="143" t="s">
        <v>325</v>
      </c>
      <c r="M197" s="143" t="s">
        <v>340</v>
      </c>
      <c r="N197" s="143" t="s">
        <v>441</v>
      </c>
      <c r="O197" s="143" t="s">
        <v>339</v>
      </c>
      <c r="P197" s="143" t="s">
        <v>1210</v>
      </c>
      <c r="Q197" s="144">
        <v>291595</v>
      </c>
      <c r="R197" s="145" t="s">
        <v>3853</v>
      </c>
      <c r="S197" s="143" t="s">
        <v>2288</v>
      </c>
      <c r="T197" s="145" t="s">
        <v>3853</v>
      </c>
      <c r="U197" s="144">
        <v>4067.7502999999997</v>
      </c>
      <c r="V197" s="146">
        <v>5.3070521372613436E-4</v>
      </c>
      <c r="W197" s="146">
        <v>2.640263544583511E-3</v>
      </c>
      <c r="X197" s="147">
        <v>5.4193050721257319E-4</v>
      </c>
      <c r="Y197" s="183"/>
    </row>
    <row r="198" spans="1:25" ht="15" x14ac:dyDescent="0.2">
      <c r="A198" s="142" t="s">
        <v>1218</v>
      </c>
      <c r="B198" s="143" t="s">
        <v>1218</v>
      </c>
      <c r="C198" s="143" t="s">
        <v>1841</v>
      </c>
      <c r="D198" s="143" t="s">
        <v>1842</v>
      </c>
      <c r="E198" s="143" t="s">
        <v>309</v>
      </c>
      <c r="F198" s="143" t="s">
        <v>2311</v>
      </c>
      <c r="G198" s="143" t="s">
        <v>2312</v>
      </c>
      <c r="H198" s="143" t="s">
        <v>321</v>
      </c>
      <c r="I198" s="143" t="s">
        <v>917</v>
      </c>
      <c r="J198" s="143" t="s">
        <v>204</v>
      </c>
      <c r="K198" s="143" t="s">
        <v>204</v>
      </c>
      <c r="L198" s="143" t="s">
        <v>325</v>
      </c>
      <c r="M198" s="143" t="s">
        <v>340</v>
      </c>
      <c r="N198" s="143" t="s">
        <v>454</v>
      </c>
      <c r="O198" s="143" t="s">
        <v>339</v>
      </c>
      <c r="P198" s="143" t="s">
        <v>1210</v>
      </c>
      <c r="Q198" s="144">
        <v>2740746.7</v>
      </c>
      <c r="R198" s="145" t="s">
        <v>3853</v>
      </c>
      <c r="S198" s="143" t="s">
        <v>2313</v>
      </c>
      <c r="T198" s="145" t="s">
        <v>3853</v>
      </c>
      <c r="U198" s="144">
        <v>4034.3791000000001</v>
      </c>
      <c r="V198" s="146">
        <v>1.0558564462080518E-3</v>
      </c>
      <c r="W198" s="146">
        <v>2.618603286843092E-3</v>
      </c>
      <c r="X198" s="147">
        <v>5.3748460464814879E-4</v>
      </c>
      <c r="Y198" s="183"/>
    </row>
    <row r="199" spans="1:25" ht="15" x14ac:dyDescent="0.2">
      <c r="A199" s="142" t="s">
        <v>1218</v>
      </c>
      <c r="B199" s="143" t="s">
        <v>1218</v>
      </c>
      <c r="C199" s="143" t="s">
        <v>2301</v>
      </c>
      <c r="D199" s="143" t="s">
        <v>2302</v>
      </c>
      <c r="E199" s="143" t="s">
        <v>309</v>
      </c>
      <c r="F199" s="143" t="s">
        <v>2303</v>
      </c>
      <c r="G199" s="143" t="s">
        <v>2304</v>
      </c>
      <c r="H199" s="143" t="s">
        <v>321</v>
      </c>
      <c r="I199" s="143" t="s">
        <v>917</v>
      </c>
      <c r="J199" s="143" t="s">
        <v>204</v>
      </c>
      <c r="K199" s="143" t="s">
        <v>204</v>
      </c>
      <c r="L199" s="143" t="s">
        <v>325</v>
      </c>
      <c r="M199" s="143" t="s">
        <v>340</v>
      </c>
      <c r="N199" s="143" t="s">
        <v>465</v>
      </c>
      <c r="O199" s="143" t="s">
        <v>339</v>
      </c>
      <c r="P199" s="143" t="s">
        <v>1210</v>
      </c>
      <c r="Q199" s="144">
        <v>632683</v>
      </c>
      <c r="R199" s="145" t="s">
        <v>3853</v>
      </c>
      <c r="S199" s="143" t="s">
        <v>2305</v>
      </c>
      <c r="T199" s="145" t="s">
        <v>3853</v>
      </c>
      <c r="U199" s="144">
        <v>3546.1882000000001</v>
      </c>
      <c r="V199" s="146">
        <v>9.2978377309868247E-3</v>
      </c>
      <c r="W199" s="146">
        <v>2.3017321346845651E-3</v>
      </c>
      <c r="X199" s="147">
        <v>4.7244483065945353E-4</v>
      </c>
      <c r="Y199" s="183"/>
    </row>
    <row r="200" spans="1:25" ht="15" x14ac:dyDescent="0.2">
      <c r="A200" s="142" t="s">
        <v>1218</v>
      </c>
      <c r="B200" s="143" t="s">
        <v>1218</v>
      </c>
      <c r="C200" s="143" t="s">
        <v>2332</v>
      </c>
      <c r="D200" s="143" t="s">
        <v>2333</v>
      </c>
      <c r="E200" s="143" t="s">
        <v>309</v>
      </c>
      <c r="F200" s="143" t="s">
        <v>2334</v>
      </c>
      <c r="G200" s="143" t="s">
        <v>2335</v>
      </c>
      <c r="H200" s="143" t="s">
        <v>321</v>
      </c>
      <c r="I200" s="143" t="s">
        <v>917</v>
      </c>
      <c r="J200" s="143" t="s">
        <v>204</v>
      </c>
      <c r="K200" s="143" t="s">
        <v>204</v>
      </c>
      <c r="L200" s="143" t="s">
        <v>325</v>
      </c>
      <c r="M200" s="143" t="s">
        <v>340</v>
      </c>
      <c r="N200" s="143" t="s">
        <v>448</v>
      </c>
      <c r="O200" s="143" t="s">
        <v>339</v>
      </c>
      <c r="P200" s="143" t="s">
        <v>1210</v>
      </c>
      <c r="Q200" s="144">
        <v>18742</v>
      </c>
      <c r="R200" s="145" t="s">
        <v>3853</v>
      </c>
      <c r="S200" s="143" t="s">
        <v>2336</v>
      </c>
      <c r="T200" s="145" t="s">
        <v>3853</v>
      </c>
      <c r="U200" s="144">
        <v>2848.7840000000001</v>
      </c>
      <c r="V200" s="146">
        <v>5.2864892431141945E-4</v>
      </c>
      <c r="W200" s="146">
        <v>1.8490664567208355E-3</v>
      </c>
      <c r="X200" s="147">
        <v>3.7953238600601483E-4</v>
      </c>
      <c r="Y200" s="183"/>
    </row>
    <row r="201" spans="1:25" ht="15" x14ac:dyDescent="0.2">
      <c r="A201" s="142" t="s">
        <v>1218</v>
      </c>
      <c r="B201" s="143" t="s">
        <v>1218</v>
      </c>
      <c r="C201" s="143" t="s">
        <v>2340</v>
      </c>
      <c r="D201" s="143" t="s">
        <v>2341</v>
      </c>
      <c r="E201" s="143" t="s">
        <v>309</v>
      </c>
      <c r="F201" s="143" t="s">
        <v>2342</v>
      </c>
      <c r="G201" s="143" t="s">
        <v>2343</v>
      </c>
      <c r="H201" s="143" t="s">
        <v>321</v>
      </c>
      <c r="I201" s="143" t="s">
        <v>917</v>
      </c>
      <c r="J201" s="143" t="s">
        <v>204</v>
      </c>
      <c r="K201" s="143" t="s">
        <v>204</v>
      </c>
      <c r="L201" s="143" t="s">
        <v>325</v>
      </c>
      <c r="M201" s="143" t="s">
        <v>340</v>
      </c>
      <c r="N201" s="143" t="s">
        <v>480</v>
      </c>
      <c r="O201" s="143" t="s">
        <v>339</v>
      </c>
      <c r="P201" s="143" t="s">
        <v>1210</v>
      </c>
      <c r="Q201" s="144">
        <v>90163</v>
      </c>
      <c r="R201" s="145" t="s">
        <v>3853</v>
      </c>
      <c r="S201" s="143" t="s">
        <v>2344</v>
      </c>
      <c r="T201" s="145" t="s">
        <v>3853</v>
      </c>
      <c r="U201" s="144">
        <v>2822.9409999999998</v>
      </c>
      <c r="V201" s="146">
        <v>2.0187403443566263E-3</v>
      </c>
      <c r="W201" s="146">
        <v>1.832292494617716E-3</v>
      </c>
      <c r="X201" s="147">
        <v>3.7608942599955759E-4</v>
      </c>
      <c r="Y201" s="183"/>
    </row>
    <row r="202" spans="1:25" ht="15" x14ac:dyDescent="0.2">
      <c r="A202" s="142" t="s">
        <v>1218</v>
      </c>
      <c r="B202" s="143" t="s">
        <v>1218</v>
      </c>
      <c r="C202" s="143" t="s">
        <v>2348</v>
      </c>
      <c r="D202" s="143" t="s">
        <v>2349</v>
      </c>
      <c r="E202" s="143" t="s">
        <v>309</v>
      </c>
      <c r="F202" s="143" t="s">
        <v>2350</v>
      </c>
      <c r="G202" s="143" t="s">
        <v>2351</v>
      </c>
      <c r="H202" s="143" t="s">
        <v>321</v>
      </c>
      <c r="I202" s="143" t="s">
        <v>917</v>
      </c>
      <c r="J202" s="143" t="s">
        <v>204</v>
      </c>
      <c r="K202" s="143" t="s">
        <v>204</v>
      </c>
      <c r="L202" s="143" t="s">
        <v>325</v>
      </c>
      <c r="M202" s="143" t="s">
        <v>340</v>
      </c>
      <c r="N202" s="143" t="s">
        <v>455</v>
      </c>
      <c r="O202" s="143" t="s">
        <v>339</v>
      </c>
      <c r="P202" s="143" t="s">
        <v>1210</v>
      </c>
      <c r="Q202" s="144">
        <v>122768</v>
      </c>
      <c r="R202" s="145" t="s">
        <v>3853</v>
      </c>
      <c r="S202" s="143" t="s">
        <v>2352</v>
      </c>
      <c r="T202" s="145" t="s">
        <v>3853</v>
      </c>
      <c r="U202" s="144">
        <v>2724.2219</v>
      </c>
      <c r="V202" s="146">
        <v>4.914036384875425E-3</v>
      </c>
      <c r="W202" s="146">
        <v>1.7682166752325313E-3</v>
      </c>
      <c r="X202" s="147">
        <v>3.6293746570729366E-4</v>
      </c>
      <c r="Y202" s="183"/>
    </row>
    <row r="203" spans="1:25" ht="15" x14ac:dyDescent="0.2">
      <c r="A203" s="142" t="s">
        <v>1218</v>
      </c>
      <c r="B203" s="143" t="s">
        <v>1218</v>
      </c>
      <c r="C203" s="143" t="s">
        <v>1634</v>
      </c>
      <c r="D203" s="143" t="s">
        <v>1635</v>
      </c>
      <c r="E203" s="143" t="s">
        <v>309</v>
      </c>
      <c r="F203" s="143" t="s">
        <v>2337</v>
      </c>
      <c r="G203" s="143" t="s">
        <v>2338</v>
      </c>
      <c r="H203" s="143" t="s">
        <v>321</v>
      </c>
      <c r="I203" s="143" t="s">
        <v>917</v>
      </c>
      <c r="J203" s="143" t="s">
        <v>204</v>
      </c>
      <c r="K203" s="143" t="s">
        <v>204</v>
      </c>
      <c r="L203" s="143" t="s">
        <v>325</v>
      </c>
      <c r="M203" s="143" t="s">
        <v>340</v>
      </c>
      <c r="N203" s="143" t="s">
        <v>464</v>
      </c>
      <c r="O203" s="143" t="s">
        <v>339</v>
      </c>
      <c r="P203" s="143" t="s">
        <v>1210</v>
      </c>
      <c r="Q203" s="144">
        <v>194306</v>
      </c>
      <c r="R203" s="145" t="s">
        <v>3853</v>
      </c>
      <c r="S203" s="143" t="s">
        <v>2339</v>
      </c>
      <c r="T203" s="145" t="s">
        <v>3853</v>
      </c>
      <c r="U203" s="144">
        <v>2702.7964999999999</v>
      </c>
      <c r="V203" s="146">
        <v>9.9887156188409429E-4</v>
      </c>
      <c r="W203" s="146">
        <v>1.7543100050863166E-3</v>
      </c>
      <c r="X203" s="147">
        <v>3.6008303520112807E-4</v>
      </c>
      <c r="Y203" s="183"/>
    </row>
    <row r="204" spans="1:25" ht="15" x14ac:dyDescent="0.2">
      <c r="A204" s="142" t="s">
        <v>1218</v>
      </c>
      <c r="B204" s="143" t="s">
        <v>1218</v>
      </c>
      <c r="C204" s="143" t="s">
        <v>2319</v>
      </c>
      <c r="D204" s="143" t="s">
        <v>2320</v>
      </c>
      <c r="E204" s="143" t="s">
        <v>309</v>
      </c>
      <c r="F204" s="143" t="s">
        <v>2321</v>
      </c>
      <c r="G204" s="143" t="s">
        <v>2322</v>
      </c>
      <c r="H204" s="143" t="s">
        <v>321</v>
      </c>
      <c r="I204" s="143" t="s">
        <v>917</v>
      </c>
      <c r="J204" s="143" t="s">
        <v>204</v>
      </c>
      <c r="K204" s="143" t="s">
        <v>204</v>
      </c>
      <c r="L204" s="143" t="s">
        <v>325</v>
      </c>
      <c r="M204" s="143" t="s">
        <v>340</v>
      </c>
      <c r="N204" s="143" t="s">
        <v>465</v>
      </c>
      <c r="O204" s="143" t="s">
        <v>339</v>
      </c>
      <c r="P204" s="143" t="s">
        <v>1210</v>
      </c>
      <c r="Q204" s="144">
        <v>60152</v>
      </c>
      <c r="R204" s="145" t="s">
        <v>3853</v>
      </c>
      <c r="S204" s="143" t="s">
        <v>2323</v>
      </c>
      <c r="T204" s="145" t="s">
        <v>3853</v>
      </c>
      <c r="U204" s="144">
        <v>2532.3992000000003</v>
      </c>
      <c r="V204" s="146">
        <v>8.1371351307836287E-4</v>
      </c>
      <c r="W204" s="146">
        <v>1.6437098831454677E-3</v>
      </c>
      <c r="X204" s="147">
        <v>3.3738167256475854E-4</v>
      </c>
      <c r="Y204" s="183"/>
    </row>
    <row r="205" spans="1:25" ht="15" x14ac:dyDescent="0.2">
      <c r="A205" s="142" t="s">
        <v>1218</v>
      </c>
      <c r="B205" s="143" t="s">
        <v>1218</v>
      </c>
      <c r="C205" s="143" t="s">
        <v>2327</v>
      </c>
      <c r="D205" s="143" t="s">
        <v>2328</v>
      </c>
      <c r="E205" s="143" t="s">
        <v>309</v>
      </c>
      <c r="F205" s="143" t="s">
        <v>2329</v>
      </c>
      <c r="G205" s="143" t="s">
        <v>2330</v>
      </c>
      <c r="H205" s="143" t="s">
        <v>321</v>
      </c>
      <c r="I205" s="143" t="s">
        <v>917</v>
      </c>
      <c r="J205" s="143" t="s">
        <v>204</v>
      </c>
      <c r="K205" s="143" t="s">
        <v>204</v>
      </c>
      <c r="L205" s="143" t="s">
        <v>325</v>
      </c>
      <c r="M205" s="143" t="s">
        <v>340</v>
      </c>
      <c r="N205" s="143" t="s">
        <v>462</v>
      </c>
      <c r="O205" s="143" t="s">
        <v>339</v>
      </c>
      <c r="P205" s="143" t="s">
        <v>1210</v>
      </c>
      <c r="Q205" s="144">
        <v>12902</v>
      </c>
      <c r="R205" s="145" t="s">
        <v>3853</v>
      </c>
      <c r="S205" s="143" t="s">
        <v>2331</v>
      </c>
      <c r="T205" s="145" t="s">
        <v>3853</v>
      </c>
      <c r="U205" s="144">
        <v>2506.8586</v>
      </c>
      <c r="V205" s="146">
        <v>1.5026786043933608E-3</v>
      </c>
      <c r="W205" s="146">
        <v>1.6271321900860698E-3</v>
      </c>
      <c r="X205" s="147">
        <v>3.3397899799974233E-4</v>
      </c>
      <c r="Y205" s="183"/>
    </row>
    <row r="206" spans="1:25" ht="15" x14ac:dyDescent="0.2">
      <c r="A206" s="142" t="s">
        <v>1218</v>
      </c>
      <c r="B206" s="143" t="s">
        <v>1218</v>
      </c>
      <c r="C206" s="143" t="s">
        <v>1672</v>
      </c>
      <c r="D206" s="143" t="s">
        <v>1673</v>
      </c>
      <c r="E206" s="143" t="s">
        <v>309</v>
      </c>
      <c r="F206" s="143" t="s">
        <v>2345</v>
      </c>
      <c r="G206" s="143" t="s">
        <v>2346</v>
      </c>
      <c r="H206" s="143" t="s">
        <v>321</v>
      </c>
      <c r="I206" s="143" t="s">
        <v>917</v>
      </c>
      <c r="J206" s="143" t="s">
        <v>204</v>
      </c>
      <c r="K206" s="143" t="s">
        <v>204</v>
      </c>
      <c r="L206" s="143" t="s">
        <v>325</v>
      </c>
      <c r="M206" s="143" t="s">
        <v>340</v>
      </c>
      <c r="N206" s="143" t="s">
        <v>447</v>
      </c>
      <c r="O206" s="143" t="s">
        <v>339</v>
      </c>
      <c r="P206" s="143" t="s">
        <v>1210</v>
      </c>
      <c r="Q206" s="144">
        <v>65000</v>
      </c>
      <c r="R206" s="145" t="s">
        <v>3853</v>
      </c>
      <c r="S206" s="143" t="s">
        <v>2347</v>
      </c>
      <c r="T206" s="145" t="s">
        <v>3853</v>
      </c>
      <c r="U206" s="144">
        <v>2256.15</v>
      </c>
      <c r="V206" s="146">
        <v>1.0627715207513252E-3</v>
      </c>
      <c r="W206" s="146">
        <v>1.4644042111759659E-3</v>
      </c>
      <c r="X206" s="147">
        <v>3.0057806863822257E-4</v>
      </c>
      <c r="Y206" s="183"/>
    </row>
    <row r="207" spans="1:25" ht="15" x14ac:dyDescent="0.2">
      <c r="A207" s="142" t="s">
        <v>1218</v>
      </c>
      <c r="B207" s="143" t="s">
        <v>1218</v>
      </c>
      <c r="C207" s="143" t="s">
        <v>2353</v>
      </c>
      <c r="D207" s="143" t="s">
        <v>2354</v>
      </c>
      <c r="E207" s="143" t="s">
        <v>309</v>
      </c>
      <c r="F207" s="143" t="s">
        <v>2355</v>
      </c>
      <c r="G207" s="143" t="s">
        <v>2356</v>
      </c>
      <c r="H207" s="143" t="s">
        <v>321</v>
      </c>
      <c r="I207" s="143" t="s">
        <v>917</v>
      </c>
      <c r="J207" s="143" t="s">
        <v>204</v>
      </c>
      <c r="K207" s="143" t="s">
        <v>204</v>
      </c>
      <c r="L207" s="143" t="s">
        <v>325</v>
      </c>
      <c r="M207" s="143" t="s">
        <v>340</v>
      </c>
      <c r="N207" s="143" t="s">
        <v>451</v>
      </c>
      <c r="O207" s="143" t="s">
        <v>339</v>
      </c>
      <c r="P207" s="143" t="s">
        <v>1210</v>
      </c>
      <c r="Q207" s="144">
        <v>7401000</v>
      </c>
      <c r="R207" s="145" t="s">
        <v>3853</v>
      </c>
      <c r="S207" s="143" t="s">
        <v>2357</v>
      </c>
      <c r="T207" s="145" t="s">
        <v>3853</v>
      </c>
      <c r="U207" s="144">
        <v>2168.4929999999999</v>
      </c>
      <c r="V207" s="146">
        <v>2.4076719143135559E-2</v>
      </c>
      <c r="W207" s="146">
        <v>1.4075084906170264E-3</v>
      </c>
      <c r="X207" s="147">
        <v>2.8889986826917771E-4</v>
      </c>
      <c r="Y207" s="183"/>
    </row>
    <row r="208" spans="1:25" ht="15" x14ac:dyDescent="0.2">
      <c r="A208" s="142" t="s">
        <v>1218</v>
      </c>
      <c r="B208" s="143" t="s">
        <v>1218</v>
      </c>
      <c r="C208" s="143" t="s">
        <v>2363</v>
      </c>
      <c r="D208" s="143" t="s">
        <v>2364</v>
      </c>
      <c r="E208" s="143" t="s">
        <v>309</v>
      </c>
      <c r="F208" s="143" t="s">
        <v>2365</v>
      </c>
      <c r="G208" s="143" t="s">
        <v>2366</v>
      </c>
      <c r="H208" s="143" t="s">
        <v>321</v>
      </c>
      <c r="I208" s="143" t="s">
        <v>917</v>
      </c>
      <c r="J208" s="143" t="s">
        <v>204</v>
      </c>
      <c r="K208" s="143" t="s">
        <v>204</v>
      </c>
      <c r="L208" s="143" t="s">
        <v>325</v>
      </c>
      <c r="M208" s="143" t="s">
        <v>340</v>
      </c>
      <c r="N208" s="143" t="s">
        <v>464</v>
      </c>
      <c r="O208" s="143" t="s">
        <v>339</v>
      </c>
      <c r="P208" s="143" t="s">
        <v>1210</v>
      </c>
      <c r="Q208" s="144">
        <v>1031121</v>
      </c>
      <c r="R208" s="145" t="s">
        <v>3853</v>
      </c>
      <c r="S208" s="143" t="s">
        <v>2367</v>
      </c>
      <c r="T208" s="145" t="s">
        <v>3853</v>
      </c>
      <c r="U208" s="144">
        <v>1643.6069</v>
      </c>
      <c r="V208" s="146">
        <v>1.3808578139097246E-3</v>
      </c>
      <c r="W208" s="146">
        <v>1.0668195057081157E-3</v>
      </c>
      <c r="X208" s="147">
        <v>2.1897133603148127E-4</v>
      </c>
      <c r="Y208" s="183"/>
    </row>
    <row r="209" spans="1:25" ht="15" x14ac:dyDescent="0.2">
      <c r="A209" s="142" t="s">
        <v>1218</v>
      </c>
      <c r="B209" s="143" t="s">
        <v>1218</v>
      </c>
      <c r="C209" s="143" t="s">
        <v>2358</v>
      </c>
      <c r="D209" s="143" t="s">
        <v>2359</v>
      </c>
      <c r="E209" s="143" t="s">
        <v>309</v>
      </c>
      <c r="F209" s="143" t="s">
        <v>2360</v>
      </c>
      <c r="G209" s="143" t="s">
        <v>2361</v>
      </c>
      <c r="H209" s="143" t="s">
        <v>321</v>
      </c>
      <c r="I209" s="143" t="s">
        <v>917</v>
      </c>
      <c r="J209" s="143" t="s">
        <v>204</v>
      </c>
      <c r="K209" s="143" t="s">
        <v>204</v>
      </c>
      <c r="L209" s="143" t="s">
        <v>325</v>
      </c>
      <c r="M209" s="143" t="s">
        <v>340</v>
      </c>
      <c r="N209" s="143" t="s">
        <v>477</v>
      </c>
      <c r="O209" s="143" t="s">
        <v>339</v>
      </c>
      <c r="P209" s="143" t="s">
        <v>1210</v>
      </c>
      <c r="Q209" s="144">
        <v>442369.17</v>
      </c>
      <c r="R209" s="145" t="s">
        <v>3853</v>
      </c>
      <c r="S209" s="143" t="s">
        <v>2362</v>
      </c>
      <c r="T209" s="145" t="s">
        <v>3853</v>
      </c>
      <c r="U209" s="144">
        <v>1633.6693</v>
      </c>
      <c r="V209" s="146">
        <v>8.019261091420999E-3</v>
      </c>
      <c r="W209" s="146">
        <v>1.0603693319189084E-3</v>
      </c>
      <c r="X209" s="147">
        <v>2.1764739776010473E-4</v>
      </c>
      <c r="Y209" s="183"/>
    </row>
    <row r="210" spans="1:25" ht="15" x14ac:dyDescent="0.2">
      <c r="A210" s="142" t="s">
        <v>1218</v>
      </c>
      <c r="B210" s="143" t="s">
        <v>1218</v>
      </c>
      <c r="C210" s="143" t="s">
        <v>2373</v>
      </c>
      <c r="D210" s="143" t="s">
        <v>2374</v>
      </c>
      <c r="E210" s="143" t="s">
        <v>309</v>
      </c>
      <c r="F210" s="143" t="s">
        <v>2375</v>
      </c>
      <c r="G210" s="143" t="s">
        <v>2376</v>
      </c>
      <c r="H210" s="143" t="s">
        <v>321</v>
      </c>
      <c r="I210" s="143" t="s">
        <v>917</v>
      </c>
      <c r="J210" s="143" t="s">
        <v>204</v>
      </c>
      <c r="K210" s="143" t="s">
        <v>204</v>
      </c>
      <c r="L210" s="143" t="s">
        <v>325</v>
      </c>
      <c r="M210" s="143" t="s">
        <v>340</v>
      </c>
      <c r="N210" s="143" t="s">
        <v>464</v>
      </c>
      <c r="O210" s="143" t="s">
        <v>339</v>
      </c>
      <c r="P210" s="143" t="s">
        <v>1210</v>
      </c>
      <c r="Q210" s="144">
        <v>460989.8</v>
      </c>
      <c r="R210" s="145" t="s">
        <v>3853</v>
      </c>
      <c r="S210" s="143" t="s">
        <v>2377</v>
      </c>
      <c r="T210" s="145" t="s">
        <v>3853</v>
      </c>
      <c r="U210" s="144">
        <v>1586.7268999999999</v>
      </c>
      <c r="V210" s="146">
        <v>4.8728776562686109E-3</v>
      </c>
      <c r="W210" s="146">
        <v>1.0299002912240722E-3</v>
      </c>
      <c r="X210" s="147">
        <v>2.113934377295208E-4</v>
      </c>
      <c r="Y210" s="183"/>
    </row>
    <row r="211" spans="1:25" ht="15" x14ac:dyDescent="0.2">
      <c r="A211" s="142" t="s">
        <v>1218</v>
      </c>
      <c r="B211" s="143" t="s">
        <v>1218</v>
      </c>
      <c r="C211" s="143" t="s">
        <v>2368</v>
      </c>
      <c r="D211" s="143" t="s">
        <v>2369</v>
      </c>
      <c r="E211" s="143" t="s">
        <v>309</v>
      </c>
      <c r="F211" s="143" t="s">
        <v>2370</v>
      </c>
      <c r="G211" s="143" t="s">
        <v>2371</v>
      </c>
      <c r="H211" s="143" t="s">
        <v>321</v>
      </c>
      <c r="I211" s="143" t="s">
        <v>917</v>
      </c>
      <c r="J211" s="143" t="s">
        <v>204</v>
      </c>
      <c r="K211" s="143" t="s">
        <v>204</v>
      </c>
      <c r="L211" s="143" t="s">
        <v>325</v>
      </c>
      <c r="M211" s="143" t="s">
        <v>340</v>
      </c>
      <c r="N211" s="143" t="s">
        <v>445</v>
      </c>
      <c r="O211" s="143" t="s">
        <v>339</v>
      </c>
      <c r="P211" s="143" t="s">
        <v>1210</v>
      </c>
      <c r="Q211" s="144">
        <v>91051</v>
      </c>
      <c r="R211" s="145" t="s">
        <v>3853</v>
      </c>
      <c r="S211" s="143" t="s">
        <v>2372</v>
      </c>
      <c r="T211" s="145" t="s">
        <v>3853</v>
      </c>
      <c r="U211" s="144">
        <v>1547.867</v>
      </c>
      <c r="V211" s="146">
        <v>5.0034070052423921E-3</v>
      </c>
      <c r="W211" s="146">
        <v>1.004677416457376E-3</v>
      </c>
      <c r="X211" s="147">
        <v>2.0621628587143571E-4</v>
      </c>
      <c r="Y211" s="183"/>
    </row>
    <row r="212" spans="1:25" ht="15" x14ac:dyDescent="0.2">
      <c r="A212" s="142" t="s">
        <v>1218</v>
      </c>
      <c r="B212" s="143" t="s">
        <v>1218</v>
      </c>
      <c r="C212" s="143" t="s">
        <v>2378</v>
      </c>
      <c r="D212" s="143" t="s">
        <v>2379</v>
      </c>
      <c r="E212" s="143" t="s">
        <v>309</v>
      </c>
      <c r="F212" s="143" t="s">
        <v>2380</v>
      </c>
      <c r="G212" s="143" t="s">
        <v>2381</v>
      </c>
      <c r="H212" s="143" t="s">
        <v>321</v>
      </c>
      <c r="I212" s="143" t="s">
        <v>917</v>
      </c>
      <c r="J212" s="143" t="s">
        <v>204</v>
      </c>
      <c r="K212" s="143" t="s">
        <v>204</v>
      </c>
      <c r="L212" s="143" t="s">
        <v>325</v>
      </c>
      <c r="M212" s="143" t="s">
        <v>340</v>
      </c>
      <c r="N212" s="143" t="s">
        <v>440</v>
      </c>
      <c r="O212" s="143" t="s">
        <v>339</v>
      </c>
      <c r="P212" s="143" t="s">
        <v>1210</v>
      </c>
      <c r="Q212" s="144">
        <v>14896</v>
      </c>
      <c r="R212" s="145" t="s">
        <v>3853</v>
      </c>
      <c r="S212" s="143" t="s">
        <v>2382</v>
      </c>
      <c r="T212" s="145" t="s">
        <v>3853</v>
      </c>
      <c r="U212" s="144">
        <v>921.91340000000002</v>
      </c>
      <c r="V212" s="146">
        <v>1.1922701260215756E-3</v>
      </c>
      <c r="W212" s="146">
        <v>5.9838837128547355E-4</v>
      </c>
      <c r="X212" s="147">
        <v>1.2282293342500273E-4</v>
      </c>
      <c r="Y212" s="183"/>
    </row>
    <row r="213" spans="1:25" ht="15" x14ac:dyDescent="0.2">
      <c r="A213" s="142" t="s">
        <v>1218</v>
      </c>
      <c r="B213" s="143" t="s">
        <v>1218</v>
      </c>
      <c r="C213" s="143" t="s">
        <v>2383</v>
      </c>
      <c r="D213" s="143" t="s">
        <v>2384</v>
      </c>
      <c r="E213" s="143" t="s">
        <v>309</v>
      </c>
      <c r="F213" s="143" t="s">
        <v>2385</v>
      </c>
      <c r="G213" s="143" t="s">
        <v>2386</v>
      </c>
      <c r="H213" s="143" t="s">
        <v>321</v>
      </c>
      <c r="I213" s="143" t="s">
        <v>917</v>
      </c>
      <c r="J213" s="143" t="s">
        <v>204</v>
      </c>
      <c r="K213" s="143" t="s">
        <v>204</v>
      </c>
      <c r="L213" s="143" t="s">
        <v>325</v>
      </c>
      <c r="M213" s="143" t="s">
        <v>340</v>
      </c>
      <c r="N213" s="143" t="s">
        <v>460</v>
      </c>
      <c r="O213" s="143" t="s">
        <v>339</v>
      </c>
      <c r="P213" s="143" t="s">
        <v>1210</v>
      </c>
      <c r="Q213" s="144">
        <v>203100</v>
      </c>
      <c r="R213" s="145" t="s">
        <v>3853</v>
      </c>
      <c r="S213" s="143" t="s">
        <v>2387</v>
      </c>
      <c r="T213" s="145" t="s">
        <v>3853</v>
      </c>
      <c r="U213" s="144">
        <v>674.49509999999998</v>
      </c>
      <c r="V213" s="146">
        <v>4.0544582211736301E-3</v>
      </c>
      <c r="W213" s="146">
        <v>4.37796008624229E-4</v>
      </c>
      <c r="X213" s="147">
        <v>8.9860352575823772E-5</v>
      </c>
      <c r="Y213" s="183"/>
    </row>
    <row r="214" spans="1:25" ht="15" x14ac:dyDescent="0.2">
      <c r="A214" s="142" t="s">
        <v>1218</v>
      </c>
      <c r="B214" s="143" t="s">
        <v>1218</v>
      </c>
      <c r="C214" s="143" t="s">
        <v>2388</v>
      </c>
      <c r="D214" s="143" t="s">
        <v>2389</v>
      </c>
      <c r="E214" s="143" t="s">
        <v>309</v>
      </c>
      <c r="F214" s="143" t="s">
        <v>2390</v>
      </c>
      <c r="G214" s="143" t="s">
        <v>2391</v>
      </c>
      <c r="H214" s="143" t="s">
        <v>321</v>
      </c>
      <c r="I214" s="143" t="s">
        <v>917</v>
      </c>
      <c r="J214" s="143" t="s">
        <v>204</v>
      </c>
      <c r="K214" s="143" t="s">
        <v>204</v>
      </c>
      <c r="L214" s="143" t="s">
        <v>325</v>
      </c>
      <c r="M214" s="143" t="s">
        <v>340</v>
      </c>
      <c r="N214" s="143" t="s">
        <v>439</v>
      </c>
      <c r="O214" s="143" t="s">
        <v>339</v>
      </c>
      <c r="P214" s="143" t="s">
        <v>1210</v>
      </c>
      <c r="Q214" s="144">
        <v>252399</v>
      </c>
      <c r="R214" s="145" t="s">
        <v>3853</v>
      </c>
      <c r="S214" s="143" t="s">
        <v>2392</v>
      </c>
      <c r="T214" s="145" t="s">
        <v>3853</v>
      </c>
      <c r="U214" s="144">
        <v>478.29609999999997</v>
      </c>
      <c r="V214" s="146">
        <v>8.5800305863665081E-3</v>
      </c>
      <c r="W214" s="146">
        <v>3.1044869815883782E-4</v>
      </c>
      <c r="X214" s="147">
        <v>6.3721525376453044E-5</v>
      </c>
      <c r="Y214" s="183"/>
    </row>
    <row r="215" spans="1:25" ht="15" x14ac:dyDescent="0.2">
      <c r="A215" s="142" t="s">
        <v>1218</v>
      </c>
      <c r="B215" s="143" t="s">
        <v>1218</v>
      </c>
      <c r="C215" s="143" t="s">
        <v>2393</v>
      </c>
      <c r="D215" s="143" t="s">
        <v>2394</v>
      </c>
      <c r="E215" s="143" t="s">
        <v>309</v>
      </c>
      <c r="F215" s="143" t="s">
        <v>2395</v>
      </c>
      <c r="G215" s="143" t="s">
        <v>2396</v>
      </c>
      <c r="H215" s="143" t="s">
        <v>321</v>
      </c>
      <c r="I215" s="143" t="s">
        <v>917</v>
      </c>
      <c r="J215" s="143" t="s">
        <v>204</v>
      </c>
      <c r="K215" s="143" t="s">
        <v>204</v>
      </c>
      <c r="L215" s="143" t="s">
        <v>325</v>
      </c>
      <c r="M215" s="143" t="s">
        <v>340</v>
      </c>
      <c r="N215" s="143" t="s">
        <v>459</v>
      </c>
      <c r="O215" s="143" t="s">
        <v>339</v>
      </c>
      <c r="P215" s="143" t="s">
        <v>1210</v>
      </c>
      <c r="Q215" s="144">
        <v>2467.44</v>
      </c>
      <c r="R215" s="145" t="s">
        <v>3853</v>
      </c>
      <c r="S215" s="143" t="s">
        <v>2397</v>
      </c>
      <c r="T215" s="145" t="s">
        <v>3853</v>
      </c>
      <c r="U215" s="144">
        <v>357.53209999999996</v>
      </c>
      <c r="V215" s="146">
        <v>7.3473478779122485E-4</v>
      </c>
      <c r="W215" s="146">
        <v>2.3206411295206492E-4</v>
      </c>
      <c r="X215" s="147">
        <v>4.7632601940798639E-5</v>
      </c>
      <c r="Y215" s="183"/>
    </row>
    <row r="216" spans="1:25" ht="15" x14ac:dyDescent="0.2">
      <c r="A216" s="142" t="s">
        <v>1218</v>
      </c>
      <c r="B216" s="143" t="s">
        <v>1218</v>
      </c>
      <c r="C216" s="143" t="s">
        <v>2398</v>
      </c>
      <c r="D216" s="143" t="s">
        <v>2399</v>
      </c>
      <c r="E216" s="143" t="s">
        <v>309</v>
      </c>
      <c r="F216" s="143" t="s">
        <v>2400</v>
      </c>
      <c r="G216" s="143" t="s">
        <v>2401</v>
      </c>
      <c r="H216" s="143" t="s">
        <v>321</v>
      </c>
      <c r="I216" s="143" t="s">
        <v>917</v>
      </c>
      <c r="J216" s="143" t="s">
        <v>204</v>
      </c>
      <c r="K216" s="143" t="s">
        <v>204</v>
      </c>
      <c r="L216" s="143" t="s">
        <v>325</v>
      </c>
      <c r="M216" s="143" t="s">
        <v>340</v>
      </c>
      <c r="N216" s="143" t="s">
        <v>480</v>
      </c>
      <c r="O216" s="143" t="s">
        <v>339</v>
      </c>
      <c r="P216" s="143" t="s">
        <v>1210</v>
      </c>
      <c r="Q216" s="144">
        <v>601000</v>
      </c>
      <c r="R216" s="145" t="s">
        <v>3853</v>
      </c>
      <c r="S216" s="143" t="s">
        <v>2402</v>
      </c>
      <c r="T216" s="145" t="s">
        <v>3853</v>
      </c>
      <c r="U216" s="144">
        <v>272.25299999999999</v>
      </c>
      <c r="V216" s="146">
        <v>4.0305339030974746E-3</v>
      </c>
      <c r="W216" s="146">
        <v>1.7671184970205451E-4</v>
      </c>
      <c r="X216" s="147">
        <v>3.6271205780183948E-5</v>
      </c>
      <c r="Y216" s="183"/>
    </row>
    <row r="217" spans="1:25" ht="15" x14ac:dyDescent="0.2">
      <c r="A217" s="142" t="s">
        <v>1218</v>
      </c>
      <c r="B217" s="143" t="s">
        <v>1218</v>
      </c>
      <c r="C217" s="143" t="s">
        <v>2403</v>
      </c>
      <c r="D217" s="143" t="s">
        <v>2404</v>
      </c>
      <c r="E217" s="143" t="s">
        <v>309</v>
      </c>
      <c r="F217" s="143" t="s">
        <v>2405</v>
      </c>
      <c r="G217" s="143" t="s">
        <v>2406</v>
      </c>
      <c r="H217" s="143" t="s">
        <v>321</v>
      </c>
      <c r="I217" s="143" t="s">
        <v>917</v>
      </c>
      <c r="J217" s="143" t="s">
        <v>204</v>
      </c>
      <c r="K217" s="143" t="s">
        <v>204</v>
      </c>
      <c r="L217" s="143" t="s">
        <v>325</v>
      </c>
      <c r="M217" s="143" t="s">
        <v>340</v>
      </c>
      <c r="N217" s="143" t="s">
        <v>460</v>
      </c>
      <c r="O217" s="143" t="s">
        <v>339</v>
      </c>
      <c r="P217" s="143" t="s">
        <v>1210</v>
      </c>
      <c r="Q217" s="144">
        <v>243238.75</v>
      </c>
      <c r="R217" s="145" t="s">
        <v>3853</v>
      </c>
      <c r="S217" s="143" t="s">
        <v>2407</v>
      </c>
      <c r="T217" s="145" t="s">
        <v>3853</v>
      </c>
      <c r="U217" s="144">
        <v>86.349800000000002</v>
      </c>
      <c r="V217" s="146">
        <v>9.0909816318545389E-3</v>
      </c>
      <c r="W217" s="146">
        <v>5.6047225001226954E-5</v>
      </c>
      <c r="X217" s="147">
        <v>1.1504041380673399E-5</v>
      </c>
      <c r="Y217" s="183"/>
    </row>
    <row r="218" spans="1:25" ht="15" x14ac:dyDescent="0.2">
      <c r="A218" s="142" t="s">
        <v>1218</v>
      </c>
      <c r="B218" s="143" t="s">
        <v>1218</v>
      </c>
      <c r="C218" s="143" t="s">
        <v>2408</v>
      </c>
      <c r="D218" s="143" t="s">
        <v>2409</v>
      </c>
      <c r="E218" s="143" t="s">
        <v>313</v>
      </c>
      <c r="F218" s="143" t="s">
        <v>2408</v>
      </c>
      <c r="G218" s="143" t="s">
        <v>2410</v>
      </c>
      <c r="H218" s="143" t="s">
        <v>321</v>
      </c>
      <c r="I218" s="143" t="s">
        <v>917</v>
      </c>
      <c r="J218" s="143" t="s">
        <v>205</v>
      </c>
      <c r="K218" s="143" t="s">
        <v>224</v>
      </c>
      <c r="L218" s="143" t="s">
        <v>325</v>
      </c>
      <c r="M218" s="143" t="s">
        <v>344</v>
      </c>
      <c r="N218" s="143" t="s">
        <v>544</v>
      </c>
      <c r="O218" s="143" t="s">
        <v>339</v>
      </c>
      <c r="P218" s="143" t="s">
        <v>1211</v>
      </c>
      <c r="Q218" s="144">
        <v>18316</v>
      </c>
      <c r="R218" s="143" t="s">
        <v>1212</v>
      </c>
      <c r="S218" s="143" t="s">
        <v>2411</v>
      </c>
      <c r="T218" s="145" t="s">
        <v>3853</v>
      </c>
      <c r="U218" s="144">
        <v>34715.4683</v>
      </c>
      <c r="V218" s="146">
        <v>8.1212386174739641E-6</v>
      </c>
      <c r="W218" s="146">
        <v>2.253284490503828E-2</v>
      </c>
      <c r="X218" s="147">
        <v>4.6250065048926425E-3</v>
      </c>
      <c r="Y218" s="183"/>
    </row>
    <row r="219" spans="1:25" ht="15" x14ac:dyDescent="0.2">
      <c r="A219" s="142" t="s">
        <v>1218</v>
      </c>
      <c r="B219" s="143" t="s">
        <v>1218</v>
      </c>
      <c r="C219" s="143" t="s">
        <v>2412</v>
      </c>
      <c r="D219" s="143" t="s">
        <v>2413</v>
      </c>
      <c r="E219" s="143" t="s">
        <v>313</v>
      </c>
      <c r="F219" s="143" t="s">
        <v>2412</v>
      </c>
      <c r="G219" s="143" t="s">
        <v>2414</v>
      </c>
      <c r="H219" s="143" t="s">
        <v>321</v>
      </c>
      <c r="I219" s="143" t="s">
        <v>917</v>
      </c>
      <c r="J219" s="143" t="s">
        <v>205</v>
      </c>
      <c r="K219" s="143" t="s">
        <v>224</v>
      </c>
      <c r="L219" s="143" t="s">
        <v>325</v>
      </c>
      <c r="M219" s="143" t="s">
        <v>344</v>
      </c>
      <c r="N219" s="143" t="s">
        <v>521</v>
      </c>
      <c r="O219" s="143" t="s">
        <v>339</v>
      </c>
      <c r="P219" s="143" t="s">
        <v>1211</v>
      </c>
      <c r="Q219" s="144">
        <v>44005</v>
      </c>
      <c r="R219" s="143" t="s">
        <v>1212</v>
      </c>
      <c r="S219" s="143" t="s">
        <v>2415</v>
      </c>
      <c r="T219" s="145" t="s">
        <v>3853</v>
      </c>
      <c r="U219" s="144">
        <v>31966.409100000001</v>
      </c>
      <c r="V219" s="146">
        <v>4.3135162200168715E-6</v>
      </c>
      <c r="W219" s="146">
        <v>2.0748507037048673E-2</v>
      </c>
      <c r="X219" s="147">
        <v>4.2587600641454748E-3</v>
      </c>
      <c r="Y219" s="183"/>
    </row>
    <row r="220" spans="1:25" ht="15" x14ac:dyDescent="0.2">
      <c r="A220" s="142" t="s">
        <v>1218</v>
      </c>
      <c r="B220" s="143" t="s">
        <v>1218</v>
      </c>
      <c r="C220" s="143" t="s">
        <v>2416</v>
      </c>
      <c r="D220" s="143" t="s">
        <v>2417</v>
      </c>
      <c r="E220" s="143" t="s">
        <v>313</v>
      </c>
      <c r="F220" s="143" t="s">
        <v>2416</v>
      </c>
      <c r="G220" s="143" t="s">
        <v>2418</v>
      </c>
      <c r="H220" s="143" t="s">
        <v>321</v>
      </c>
      <c r="I220" s="143" t="s">
        <v>917</v>
      </c>
      <c r="J220" s="143" t="s">
        <v>205</v>
      </c>
      <c r="K220" s="143" t="s">
        <v>224</v>
      </c>
      <c r="L220" s="143" t="s">
        <v>325</v>
      </c>
      <c r="M220" s="143" t="s">
        <v>344</v>
      </c>
      <c r="N220" s="143" t="s">
        <v>546</v>
      </c>
      <c r="O220" s="143" t="s">
        <v>339</v>
      </c>
      <c r="P220" s="143" t="s">
        <v>1211</v>
      </c>
      <c r="Q220" s="144">
        <v>18807</v>
      </c>
      <c r="R220" s="143" t="s">
        <v>1212</v>
      </c>
      <c r="S220" s="143" t="s">
        <v>2419</v>
      </c>
      <c r="T220" s="145" t="s">
        <v>3853</v>
      </c>
      <c r="U220" s="144">
        <v>31597.359499999999</v>
      </c>
      <c r="V220" s="146">
        <v>2.5229147654032687E-6</v>
      </c>
      <c r="W220" s="146">
        <v>2.0508967207680164E-2</v>
      </c>
      <c r="X220" s="147">
        <v>4.2095930249331955E-3</v>
      </c>
      <c r="Y220" s="183"/>
    </row>
    <row r="221" spans="1:25" ht="15" x14ac:dyDescent="0.2">
      <c r="A221" s="142" t="s">
        <v>1218</v>
      </c>
      <c r="B221" s="143" t="s">
        <v>1218</v>
      </c>
      <c r="C221" s="143" t="s">
        <v>2425</v>
      </c>
      <c r="D221" s="143" t="s">
        <v>2426</v>
      </c>
      <c r="E221" s="143" t="s">
        <v>313</v>
      </c>
      <c r="F221" s="143" t="s">
        <v>2425</v>
      </c>
      <c r="G221" s="143" t="s">
        <v>2427</v>
      </c>
      <c r="H221" s="143" t="s">
        <v>321</v>
      </c>
      <c r="I221" s="143" t="s">
        <v>917</v>
      </c>
      <c r="J221" s="143" t="s">
        <v>205</v>
      </c>
      <c r="K221" s="143" t="s">
        <v>224</v>
      </c>
      <c r="L221" s="143" t="s">
        <v>325</v>
      </c>
      <c r="M221" s="143" t="s">
        <v>344</v>
      </c>
      <c r="N221" s="143" t="s">
        <v>546</v>
      </c>
      <c r="O221" s="143" t="s">
        <v>339</v>
      </c>
      <c r="P221" s="143" t="s">
        <v>1211</v>
      </c>
      <c r="Q221" s="144">
        <v>37403</v>
      </c>
      <c r="R221" s="143" t="s">
        <v>1212</v>
      </c>
      <c r="S221" s="143" t="s">
        <v>2428</v>
      </c>
      <c r="T221" s="145" t="s">
        <v>3853</v>
      </c>
      <c r="U221" s="144">
        <v>29612.724899999997</v>
      </c>
      <c r="V221" s="146">
        <v>2.3511894996001412E-6</v>
      </c>
      <c r="W221" s="146">
        <v>1.9220796037591494E-2</v>
      </c>
      <c r="X221" s="147">
        <v>3.9451878836301935E-3</v>
      </c>
      <c r="Y221" s="183"/>
    </row>
    <row r="222" spans="1:25" ht="15" x14ac:dyDescent="0.2">
      <c r="A222" s="142" t="s">
        <v>1218</v>
      </c>
      <c r="B222" s="143" t="s">
        <v>1218</v>
      </c>
      <c r="C222" s="143" t="s">
        <v>2429</v>
      </c>
      <c r="D222" s="143" t="s">
        <v>2430</v>
      </c>
      <c r="E222" s="143" t="s">
        <v>313</v>
      </c>
      <c r="F222" s="143" t="s">
        <v>2429</v>
      </c>
      <c r="G222" s="143" t="s">
        <v>2431</v>
      </c>
      <c r="H222" s="143" t="s">
        <v>321</v>
      </c>
      <c r="I222" s="143" t="s">
        <v>917</v>
      </c>
      <c r="J222" s="143" t="s">
        <v>205</v>
      </c>
      <c r="K222" s="143" t="s">
        <v>224</v>
      </c>
      <c r="L222" s="143" t="s">
        <v>325</v>
      </c>
      <c r="M222" s="143" t="s">
        <v>344</v>
      </c>
      <c r="N222" s="143" t="s">
        <v>544</v>
      </c>
      <c r="O222" s="143" t="s">
        <v>339</v>
      </c>
      <c r="P222" s="143" t="s">
        <v>1211</v>
      </c>
      <c r="Q222" s="144">
        <v>13824</v>
      </c>
      <c r="R222" s="143" t="s">
        <v>1212</v>
      </c>
      <c r="S222" s="143" t="s">
        <v>2432</v>
      </c>
      <c r="T222" s="145" t="s">
        <v>3853</v>
      </c>
      <c r="U222" s="144">
        <v>28868.311699999998</v>
      </c>
      <c r="V222" s="146">
        <v>2.9735426973542696E-5</v>
      </c>
      <c r="W222" s="146">
        <v>1.8737618142073476E-2</v>
      </c>
      <c r="X222" s="147">
        <v>3.8460126166273358E-3</v>
      </c>
      <c r="Y222" s="183"/>
    </row>
    <row r="223" spans="1:25" ht="15" x14ac:dyDescent="0.2">
      <c r="A223" s="142" t="s">
        <v>1218</v>
      </c>
      <c r="B223" s="143" t="s">
        <v>1218</v>
      </c>
      <c r="C223" s="143" t="s">
        <v>2420</v>
      </c>
      <c r="D223" s="143" t="s">
        <v>2421</v>
      </c>
      <c r="E223" s="143" t="s">
        <v>313</v>
      </c>
      <c r="F223" s="143" t="s">
        <v>2422</v>
      </c>
      <c r="G223" s="143" t="s">
        <v>2423</v>
      </c>
      <c r="H223" s="143" t="s">
        <v>321</v>
      </c>
      <c r="I223" s="143" t="s">
        <v>917</v>
      </c>
      <c r="J223" s="143" t="s">
        <v>205</v>
      </c>
      <c r="K223" s="143" t="s">
        <v>224</v>
      </c>
      <c r="L223" s="143" t="s">
        <v>325</v>
      </c>
      <c r="M223" s="143" t="s">
        <v>344</v>
      </c>
      <c r="N223" s="143" t="s">
        <v>539</v>
      </c>
      <c r="O223" s="143" t="s">
        <v>339</v>
      </c>
      <c r="P223" s="143" t="s">
        <v>1211</v>
      </c>
      <c r="Q223" s="144">
        <v>28647</v>
      </c>
      <c r="R223" s="143" t="s">
        <v>1212</v>
      </c>
      <c r="S223" s="143" t="s">
        <v>2424</v>
      </c>
      <c r="T223" s="145" t="s">
        <v>3853</v>
      </c>
      <c r="U223" s="144">
        <v>28263.838600000003</v>
      </c>
      <c r="V223" s="146">
        <v>1.7598026357416795E-5</v>
      </c>
      <c r="W223" s="146">
        <v>1.834527151513328E-2</v>
      </c>
      <c r="X223" s="147">
        <v>3.7654810322038639E-3</v>
      </c>
      <c r="Y223" s="183"/>
    </row>
    <row r="224" spans="1:25" x14ac:dyDescent="0.2">
      <c r="A224" s="142" t="s">
        <v>1218</v>
      </c>
      <c r="B224" s="143" t="s">
        <v>1218</v>
      </c>
      <c r="C224" s="143" t="s">
        <v>2433</v>
      </c>
      <c r="D224" s="143" t="s">
        <v>2434</v>
      </c>
      <c r="E224" s="143" t="s">
        <v>313</v>
      </c>
      <c r="F224" s="143" t="s">
        <v>2435</v>
      </c>
      <c r="G224" s="143" t="s">
        <v>2436</v>
      </c>
      <c r="H224" s="143" t="s">
        <v>321</v>
      </c>
      <c r="I224" s="143" t="s">
        <v>917</v>
      </c>
      <c r="J224" s="143" t="s">
        <v>205</v>
      </c>
      <c r="K224" s="143" t="s">
        <v>224</v>
      </c>
      <c r="L224" s="143" t="s">
        <v>325</v>
      </c>
      <c r="M224" s="143" t="s">
        <v>344</v>
      </c>
      <c r="N224" s="143" t="s">
        <v>546</v>
      </c>
      <c r="O224" s="143" t="s">
        <v>339</v>
      </c>
      <c r="P224" s="143" t="s">
        <v>1211</v>
      </c>
      <c r="Q224" s="144">
        <v>40076</v>
      </c>
      <c r="R224" s="143" t="s">
        <v>1212</v>
      </c>
      <c r="S224" s="143" t="s">
        <v>2437</v>
      </c>
      <c r="T224" s="144">
        <v>22.362400000000001</v>
      </c>
      <c r="U224" s="144">
        <v>26267.786600000003</v>
      </c>
      <c r="V224" s="146">
        <v>7.7276152528424194E-6</v>
      </c>
      <c r="W224" s="146">
        <v>1.7064204496278445E-2</v>
      </c>
      <c r="X224" s="147">
        <v>3.5025340621085677E-3</v>
      </c>
      <c r="Y224" s="183"/>
    </row>
    <row r="225" spans="1:25" x14ac:dyDescent="0.2">
      <c r="A225" s="142" t="s">
        <v>1218</v>
      </c>
      <c r="B225" s="143" t="s">
        <v>1218</v>
      </c>
      <c r="C225" s="143" t="s">
        <v>2438</v>
      </c>
      <c r="D225" s="143" t="s">
        <v>2439</v>
      </c>
      <c r="E225" s="143" t="s">
        <v>313</v>
      </c>
      <c r="F225" s="143" t="s">
        <v>2438</v>
      </c>
      <c r="G225" s="143" t="s">
        <v>2440</v>
      </c>
      <c r="H225" s="143" t="s">
        <v>321</v>
      </c>
      <c r="I225" s="143" t="s">
        <v>917</v>
      </c>
      <c r="J225" s="143" t="s">
        <v>205</v>
      </c>
      <c r="K225" s="143" t="s">
        <v>224</v>
      </c>
      <c r="L225" s="143" t="s">
        <v>325</v>
      </c>
      <c r="M225" s="143" t="s">
        <v>344</v>
      </c>
      <c r="N225" s="143" t="s">
        <v>546</v>
      </c>
      <c r="O225" s="143" t="s">
        <v>339</v>
      </c>
      <c r="P225" s="143" t="s">
        <v>1211</v>
      </c>
      <c r="Q225" s="144">
        <v>52150</v>
      </c>
      <c r="R225" s="143" t="s">
        <v>1212</v>
      </c>
      <c r="S225" s="143" t="s">
        <v>2441</v>
      </c>
      <c r="T225" s="144">
        <v>0.52149999999999996</v>
      </c>
      <c r="U225" s="144">
        <v>24219.735100000002</v>
      </c>
      <c r="V225" s="146">
        <v>2.119918699186992E-5</v>
      </c>
      <c r="W225" s="146">
        <v>1.5720694862136536E-2</v>
      </c>
      <c r="X225" s="147">
        <v>3.2267703570158794E-3</v>
      </c>
      <c r="Y225" s="183"/>
    </row>
    <row r="226" spans="1:25" ht="15" x14ac:dyDescent="0.2">
      <c r="A226" s="142" t="s">
        <v>1218</v>
      </c>
      <c r="B226" s="143" t="s">
        <v>1218</v>
      </c>
      <c r="C226" s="143" t="s">
        <v>2442</v>
      </c>
      <c r="D226" s="143" t="s">
        <v>2443</v>
      </c>
      <c r="E226" s="143" t="s">
        <v>313</v>
      </c>
      <c r="F226" s="143" t="s">
        <v>2442</v>
      </c>
      <c r="G226" s="143" t="s">
        <v>2444</v>
      </c>
      <c r="H226" s="143" t="s">
        <v>321</v>
      </c>
      <c r="I226" s="143" t="s">
        <v>917</v>
      </c>
      <c r="J226" s="143" t="s">
        <v>205</v>
      </c>
      <c r="K226" s="143" t="s">
        <v>224</v>
      </c>
      <c r="L226" s="143" t="s">
        <v>325</v>
      </c>
      <c r="M226" s="143" t="s">
        <v>344</v>
      </c>
      <c r="N226" s="143" t="s">
        <v>517</v>
      </c>
      <c r="O226" s="143" t="s">
        <v>339</v>
      </c>
      <c r="P226" s="143" t="s">
        <v>1211</v>
      </c>
      <c r="Q226" s="144">
        <v>28736</v>
      </c>
      <c r="R226" s="143" t="s">
        <v>1212</v>
      </c>
      <c r="S226" s="143" t="s">
        <v>2445</v>
      </c>
      <c r="T226" s="145" t="s">
        <v>3853</v>
      </c>
      <c r="U226" s="144">
        <v>21374.725300000002</v>
      </c>
      <c r="V226" s="146">
        <v>9.1001446598719592E-6</v>
      </c>
      <c r="W226" s="146">
        <v>1.3873739674720238E-2</v>
      </c>
      <c r="X226" s="147">
        <v>2.8476713221605165E-3</v>
      </c>
      <c r="Y226" s="183"/>
    </row>
    <row r="227" spans="1:25" ht="15" x14ac:dyDescent="0.2">
      <c r="A227" s="142" t="s">
        <v>1218</v>
      </c>
      <c r="B227" s="143" t="s">
        <v>1218</v>
      </c>
      <c r="C227" s="143" t="s">
        <v>2451</v>
      </c>
      <c r="D227" s="143" t="s">
        <v>2452</v>
      </c>
      <c r="E227" s="143" t="s">
        <v>313</v>
      </c>
      <c r="F227" s="143" t="s">
        <v>2453</v>
      </c>
      <c r="G227" s="143" t="s">
        <v>2454</v>
      </c>
      <c r="H227" s="143" t="s">
        <v>321</v>
      </c>
      <c r="I227" s="143" t="s">
        <v>917</v>
      </c>
      <c r="J227" s="143" t="s">
        <v>205</v>
      </c>
      <c r="K227" s="143" t="s">
        <v>281</v>
      </c>
      <c r="L227" s="143" t="s">
        <v>325</v>
      </c>
      <c r="M227" s="143" t="s">
        <v>364</v>
      </c>
      <c r="N227" s="143" t="s">
        <v>517</v>
      </c>
      <c r="O227" s="143" t="s">
        <v>339</v>
      </c>
      <c r="P227" s="143" t="s">
        <v>1214</v>
      </c>
      <c r="Q227" s="144">
        <v>7199</v>
      </c>
      <c r="R227" s="143" t="s">
        <v>1215</v>
      </c>
      <c r="S227" s="143" t="s">
        <v>2455</v>
      </c>
      <c r="T227" s="145" t="s">
        <v>3853</v>
      </c>
      <c r="U227" s="144">
        <v>20652.5972</v>
      </c>
      <c r="V227" s="146">
        <v>1.4339266364969086E-5</v>
      </c>
      <c r="W227" s="146">
        <v>1.3405026379635426E-2</v>
      </c>
      <c r="X227" s="147">
        <v>2.7514650043239169E-3</v>
      </c>
      <c r="Y227" s="183"/>
    </row>
    <row r="228" spans="1:25" ht="15" x14ac:dyDescent="0.2">
      <c r="A228" s="142" t="s">
        <v>1218</v>
      </c>
      <c r="B228" s="143" t="s">
        <v>1218</v>
      </c>
      <c r="C228" s="143" t="s">
        <v>2456</v>
      </c>
      <c r="D228" s="143" t="s">
        <v>2457</v>
      </c>
      <c r="E228" s="143" t="s">
        <v>309</v>
      </c>
      <c r="F228" s="143" t="s">
        <v>2458</v>
      </c>
      <c r="G228" s="143" t="s">
        <v>2459</v>
      </c>
      <c r="H228" s="143" t="s">
        <v>321</v>
      </c>
      <c r="I228" s="143" t="s">
        <v>917</v>
      </c>
      <c r="J228" s="143" t="s">
        <v>205</v>
      </c>
      <c r="K228" s="143" t="s">
        <v>224</v>
      </c>
      <c r="L228" s="143" t="s">
        <v>325</v>
      </c>
      <c r="M228" s="143" t="s">
        <v>344</v>
      </c>
      <c r="N228" s="143" t="s">
        <v>458</v>
      </c>
      <c r="O228" s="143" t="s">
        <v>339</v>
      </c>
      <c r="P228" s="143" t="s">
        <v>1211</v>
      </c>
      <c r="Q228" s="144">
        <v>134589</v>
      </c>
      <c r="R228" s="143" t="s">
        <v>1212</v>
      </c>
      <c r="S228" s="143" t="s">
        <v>2460</v>
      </c>
      <c r="T228" s="145" t="s">
        <v>3853</v>
      </c>
      <c r="U228" s="144">
        <v>19932.338199999998</v>
      </c>
      <c r="V228" s="146">
        <v>1.2115265886738643E-3</v>
      </c>
      <c r="W228" s="146">
        <v>1.2937526288472896E-2</v>
      </c>
      <c r="X228" s="147">
        <v>2.6555077041349319E-3</v>
      </c>
      <c r="Y228" s="183"/>
    </row>
    <row r="229" spans="1:25" ht="15" x14ac:dyDescent="0.2">
      <c r="A229" s="142" t="s">
        <v>1218</v>
      </c>
      <c r="B229" s="143" t="s">
        <v>1218</v>
      </c>
      <c r="C229" s="143" t="s">
        <v>2446</v>
      </c>
      <c r="D229" s="143" t="s">
        <v>2447</v>
      </c>
      <c r="E229" s="143" t="s">
        <v>313</v>
      </c>
      <c r="F229" s="143" t="s">
        <v>2448</v>
      </c>
      <c r="G229" s="143" t="s">
        <v>2449</v>
      </c>
      <c r="H229" s="143" t="s">
        <v>321</v>
      </c>
      <c r="I229" s="143" t="s">
        <v>917</v>
      </c>
      <c r="J229" s="143" t="s">
        <v>205</v>
      </c>
      <c r="K229" s="143" t="s">
        <v>224</v>
      </c>
      <c r="L229" s="143" t="s">
        <v>325</v>
      </c>
      <c r="M229" s="143" t="s">
        <v>344</v>
      </c>
      <c r="N229" s="143" t="s">
        <v>546</v>
      </c>
      <c r="O229" s="143" t="s">
        <v>339</v>
      </c>
      <c r="P229" s="143" t="s">
        <v>1211</v>
      </c>
      <c r="Q229" s="144">
        <v>28841</v>
      </c>
      <c r="R229" s="143" t="s">
        <v>1212</v>
      </c>
      <c r="S229" s="143" t="s">
        <v>2450</v>
      </c>
      <c r="T229" s="145" t="s">
        <v>3853</v>
      </c>
      <c r="U229" s="144">
        <v>19885.170999999998</v>
      </c>
      <c r="V229" s="146">
        <v>4.7389089714097929E-6</v>
      </c>
      <c r="W229" s="146">
        <v>1.2906911379942461E-2</v>
      </c>
      <c r="X229" s="147">
        <v>2.6492238038242216E-3</v>
      </c>
      <c r="Y229" s="183"/>
    </row>
    <row r="230" spans="1:25" ht="15" x14ac:dyDescent="0.2">
      <c r="A230" s="142" t="s">
        <v>1218</v>
      </c>
      <c r="B230" s="143" t="s">
        <v>1218</v>
      </c>
      <c r="C230" s="143" t="s">
        <v>2471</v>
      </c>
      <c r="D230" s="143" t="s">
        <v>2472</v>
      </c>
      <c r="E230" s="143" t="s">
        <v>313</v>
      </c>
      <c r="F230" s="143" t="s">
        <v>2471</v>
      </c>
      <c r="G230" s="143" t="s">
        <v>2473</v>
      </c>
      <c r="H230" s="143" t="s">
        <v>321</v>
      </c>
      <c r="I230" s="143" t="s">
        <v>917</v>
      </c>
      <c r="J230" s="143" t="s">
        <v>205</v>
      </c>
      <c r="K230" s="143" t="s">
        <v>224</v>
      </c>
      <c r="L230" s="143" t="s">
        <v>325</v>
      </c>
      <c r="M230" s="143" t="s">
        <v>344</v>
      </c>
      <c r="N230" s="143" t="s">
        <v>486</v>
      </c>
      <c r="O230" s="143" t="s">
        <v>339</v>
      </c>
      <c r="P230" s="143" t="s">
        <v>1211</v>
      </c>
      <c r="Q230" s="144">
        <v>68948</v>
      </c>
      <c r="R230" s="143" t="s">
        <v>1212</v>
      </c>
      <c r="S230" s="143" t="s">
        <v>2474</v>
      </c>
      <c r="T230" s="145" t="s">
        <v>3853</v>
      </c>
      <c r="U230" s="144">
        <v>18352.219399999998</v>
      </c>
      <c r="V230" s="146">
        <v>3.469668331350608E-5</v>
      </c>
      <c r="W230" s="146">
        <v>1.1911915167174433E-2</v>
      </c>
      <c r="X230" s="147">
        <v>2.4449946451986851E-3</v>
      </c>
      <c r="Y230" s="183"/>
    </row>
    <row r="231" spans="1:25" ht="15" x14ac:dyDescent="0.2">
      <c r="A231" s="142" t="s">
        <v>1218</v>
      </c>
      <c r="B231" s="143" t="s">
        <v>1218</v>
      </c>
      <c r="C231" s="143" t="s">
        <v>2461</v>
      </c>
      <c r="D231" s="143" t="s">
        <v>2462</v>
      </c>
      <c r="E231" s="143" t="s">
        <v>313</v>
      </c>
      <c r="F231" s="143" t="s">
        <v>2463</v>
      </c>
      <c r="G231" s="143" t="s">
        <v>2464</v>
      </c>
      <c r="H231" s="143" t="s">
        <v>321</v>
      </c>
      <c r="I231" s="143" t="s">
        <v>917</v>
      </c>
      <c r="J231" s="143" t="s">
        <v>205</v>
      </c>
      <c r="K231" s="143" t="s">
        <v>224</v>
      </c>
      <c r="L231" s="143" t="s">
        <v>325</v>
      </c>
      <c r="M231" s="143" t="s">
        <v>344</v>
      </c>
      <c r="N231" s="143" t="s">
        <v>539</v>
      </c>
      <c r="O231" s="143" t="s">
        <v>339</v>
      </c>
      <c r="P231" s="143" t="s">
        <v>1211</v>
      </c>
      <c r="Q231" s="144">
        <v>10379</v>
      </c>
      <c r="R231" s="143" t="s">
        <v>1212</v>
      </c>
      <c r="S231" s="143" t="s">
        <v>2465</v>
      </c>
      <c r="T231" s="145" t="s">
        <v>3853</v>
      </c>
      <c r="U231" s="144">
        <v>17647.111499999999</v>
      </c>
      <c r="V231" s="146">
        <v>3.0649519394037827E-5</v>
      </c>
      <c r="W231" s="146">
        <v>1.1454249204295082E-2</v>
      </c>
      <c r="X231" s="147">
        <v>2.3510558609792253E-3</v>
      </c>
      <c r="Y231" s="183"/>
    </row>
    <row r="232" spans="1:25" ht="15" x14ac:dyDescent="0.2">
      <c r="A232" s="142" t="s">
        <v>1218</v>
      </c>
      <c r="B232" s="143" t="s">
        <v>1218</v>
      </c>
      <c r="C232" s="143" t="s">
        <v>2483</v>
      </c>
      <c r="D232" s="143" t="s">
        <v>2484</v>
      </c>
      <c r="E232" s="143" t="s">
        <v>313</v>
      </c>
      <c r="F232" s="143" t="s">
        <v>2483</v>
      </c>
      <c r="G232" s="143" t="s">
        <v>2485</v>
      </c>
      <c r="H232" s="143" t="s">
        <v>321</v>
      </c>
      <c r="I232" s="143" t="s">
        <v>917</v>
      </c>
      <c r="J232" s="143" t="s">
        <v>205</v>
      </c>
      <c r="K232" s="143" t="s">
        <v>241</v>
      </c>
      <c r="L232" s="143" t="s">
        <v>325</v>
      </c>
      <c r="M232" s="143" t="s">
        <v>344</v>
      </c>
      <c r="N232" s="143" t="s">
        <v>533</v>
      </c>
      <c r="O232" s="143" t="s">
        <v>339</v>
      </c>
      <c r="P232" s="143" t="s">
        <v>1211</v>
      </c>
      <c r="Q232" s="144">
        <v>31821</v>
      </c>
      <c r="R232" s="143" t="s">
        <v>1212</v>
      </c>
      <c r="S232" s="143" t="s">
        <v>2486</v>
      </c>
      <c r="T232" s="145" t="s">
        <v>3853</v>
      </c>
      <c r="U232" s="144">
        <v>17073.864899999997</v>
      </c>
      <c r="V232" s="146">
        <v>1.8261022263744688E-5</v>
      </c>
      <c r="W232" s="146">
        <v>1.1082170831037417E-2</v>
      </c>
      <c r="X232" s="147">
        <v>2.2746844616331179E-3</v>
      </c>
      <c r="Y232" s="183"/>
    </row>
    <row r="233" spans="1:25" ht="15" x14ac:dyDescent="0.2">
      <c r="A233" s="142" t="s">
        <v>1218</v>
      </c>
      <c r="B233" s="143" t="s">
        <v>1218</v>
      </c>
      <c r="C233" s="143" t="s">
        <v>2479</v>
      </c>
      <c r="D233" s="143" t="s">
        <v>2480</v>
      </c>
      <c r="E233" s="143" t="s">
        <v>313</v>
      </c>
      <c r="F233" s="143" t="s">
        <v>2479</v>
      </c>
      <c r="G233" s="143" t="s">
        <v>2481</v>
      </c>
      <c r="H233" s="143" t="s">
        <v>321</v>
      </c>
      <c r="I233" s="143" t="s">
        <v>917</v>
      </c>
      <c r="J233" s="143" t="s">
        <v>205</v>
      </c>
      <c r="K233" s="143" t="s">
        <v>224</v>
      </c>
      <c r="L233" s="143" t="s">
        <v>325</v>
      </c>
      <c r="M233" s="143" t="s">
        <v>344</v>
      </c>
      <c r="N233" s="143" t="s">
        <v>544</v>
      </c>
      <c r="O233" s="143" t="s">
        <v>339</v>
      </c>
      <c r="P233" s="143" t="s">
        <v>1211</v>
      </c>
      <c r="Q233" s="144">
        <v>13250</v>
      </c>
      <c r="R233" s="143" t="s">
        <v>1212</v>
      </c>
      <c r="S233" s="143" t="s">
        <v>2482</v>
      </c>
      <c r="T233" s="145" t="s">
        <v>3853</v>
      </c>
      <c r="U233" s="144">
        <v>16884.9863</v>
      </c>
      <c r="V233" s="146">
        <v>4.3822368921506694E-5</v>
      </c>
      <c r="W233" s="146">
        <v>1.0959574970190619E-2</v>
      </c>
      <c r="X233" s="147">
        <v>2.2495208990080287E-3</v>
      </c>
      <c r="Y233" s="183"/>
    </row>
    <row r="234" spans="1:25" ht="15" x14ac:dyDescent="0.2">
      <c r="A234" s="142" t="s">
        <v>1218</v>
      </c>
      <c r="B234" s="143" t="s">
        <v>1218</v>
      </c>
      <c r="C234" s="143" t="s">
        <v>2492</v>
      </c>
      <c r="D234" s="143" t="s">
        <v>2493</v>
      </c>
      <c r="E234" s="143" t="s">
        <v>309</v>
      </c>
      <c r="F234" s="143" t="s">
        <v>2494</v>
      </c>
      <c r="G234" s="143" t="s">
        <v>2495</v>
      </c>
      <c r="H234" s="143" t="s">
        <v>321</v>
      </c>
      <c r="I234" s="143" t="s">
        <v>917</v>
      </c>
      <c r="J234" s="143" t="s">
        <v>205</v>
      </c>
      <c r="K234" s="143" t="s">
        <v>224</v>
      </c>
      <c r="L234" s="143" t="s">
        <v>325</v>
      </c>
      <c r="M234" s="143" t="s">
        <v>344</v>
      </c>
      <c r="N234" s="143" t="s">
        <v>544</v>
      </c>
      <c r="O234" s="143" t="s">
        <v>339</v>
      </c>
      <c r="P234" s="143" t="s">
        <v>1211</v>
      </c>
      <c r="Q234" s="144">
        <v>371709</v>
      </c>
      <c r="R234" s="143" t="s">
        <v>1212</v>
      </c>
      <c r="S234" s="143" t="s">
        <v>2496</v>
      </c>
      <c r="T234" s="145" t="s">
        <v>3853</v>
      </c>
      <c r="U234" s="144">
        <v>16697.186900000001</v>
      </c>
      <c r="V234" s="146">
        <v>1.8833296177698513E-3</v>
      </c>
      <c r="W234" s="146">
        <v>1.0837679569424465E-2</v>
      </c>
      <c r="X234" s="147">
        <v>2.2245011101692967E-3</v>
      </c>
      <c r="Y234" s="183"/>
    </row>
    <row r="235" spans="1:25" ht="15" x14ac:dyDescent="0.2">
      <c r="A235" s="142" t="s">
        <v>1218</v>
      </c>
      <c r="B235" s="143" t="s">
        <v>1218</v>
      </c>
      <c r="C235" s="143" t="s">
        <v>2487</v>
      </c>
      <c r="D235" s="143" t="s">
        <v>2488</v>
      </c>
      <c r="E235" s="143" t="s">
        <v>313</v>
      </c>
      <c r="F235" s="143" t="s">
        <v>2489</v>
      </c>
      <c r="G235" s="143" t="s">
        <v>2490</v>
      </c>
      <c r="H235" s="143" t="s">
        <v>321</v>
      </c>
      <c r="I235" s="143" t="s">
        <v>917</v>
      </c>
      <c r="J235" s="143" t="s">
        <v>205</v>
      </c>
      <c r="K235" s="143" t="s">
        <v>224</v>
      </c>
      <c r="L235" s="143" t="s">
        <v>325</v>
      </c>
      <c r="M235" s="143" t="s">
        <v>344</v>
      </c>
      <c r="N235" s="143" t="s">
        <v>475</v>
      </c>
      <c r="O235" s="143" t="s">
        <v>339</v>
      </c>
      <c r="P235" s="143" t="s">
        <v>1211</v>
      </c>
      <c r="Q235" s="144">
        <v>44556</v>
      </c>
      <c r="R235" s="143" t="s">
        <v>1212</v>
      </c>
      <c r="S235" s="143" t="s">
        <v>2491</v>
      </c>
      <c r="T235" s="145" t="s">
        <v>3853</v>
      </c>
      <c r="U235" s="144">
        <v>16629.685300000001</v>
      </c>
      <c r="V235" s="146">
        <v>2.4433096876932997E-5</v>
      </c>
      <c r="W235" s="146">
        <v>1.0793866204936869E-2</v>
      </c>
      <c r="X235" s="147">
        <v>2.2155081447177371E-3</v>
      </c>
      <c r="Y235" s="183"/>
    </row>
    <row r="236" spans="1:25" ht="15" x14ac:dyDescent="0.2">
      <c r="A236" s="142" t="s">
        <v>1218</v>
      </c>
      <c r="B236" s="143" t="s">
        <v>1218</v>
      </c>
      <c r="C236" s="143" t="s">
        <v>2466</v>
      </c>
      <c r="D236" s="143" t="s">
        <v>2467</v>
      </c>
      <c r="E236" s="143" t="s">
        <v>313</v>
      </c>
      <c r="F236" s="143" t="s">
        <v>2468</v>
      </c>
      <c r="G236" s="143" t="s">
        <v>2469</v>
      </c>
      <c r="H236" s="143" t="s">
        <v>321</v>
      </c>
      <c r="I236" s="143" t="s">
        <v>917</v>
      </c>
      <c r="J236" s="143" t="s">
        <v>205</v>
      </c>
      <c r="K236" s="143" t="s">
        <v>224</v>
      </c>
      <c r="L236" s="143" t="s">
        <v>325</v>
      </c>
      <c r="M236" s="143" t="s">
        <v>344</v>
      </c>
      <c r="N236" s="143" t="s">
        <v>539</v>
      </c>
      <c r="O236" s="143" t="s">
        <v>339</v>
      </c>
      <c r="P236" s="143" t="s">
        <v>1211</v>
      </c>
      <c r="Q236" s="144">
        <v>9982</v>
      </c>
      <c r="R236" s="143" t="s">
        <v>1212</v>
      </c>
      <c r="S236" s="143" t="s">
        <v>2470</v>
      </c>
      <c r="T236" s="145" t="s">
        <v>3853</v>
      </c>
      <c r="U236" s="144">
        <v>16553.354599999999</v>
      </c>
      <c r="V236" s="146">
        <v>1.0465473478275913E-5</v>
      </c>
      <c r="W236" s="146">
        <v>1.0744322067374568E-2</v>
      </c>
      <c r="X236" s="147">
        <v>2.2053389024640126E-3</v>
      </c>
      <c r="Y236" s="183"/>
    </row>
    <row r="237" spans="1:25" x14ac:dyDescent="0.2">
      <c r="A237" s="142" t="s">
        <v>1218</v>
      </c>
      <c r="B237" s="143" t="s">
        <v>1218</v>
      </c>
      <c r="C237" s="143" t="s">
        <v>2497</v>
      </c>
      <c r="D237" s="143" t="s">
        <v>2498</v>
      </c>
      <c r="E237" s="143" t="s">
        <v>313</v>
      </c>
      <c r="F237" s="143" t="s">
        <v>2497</v>
      </c>
      <c r="G237" s="143" t="s">
        <v>2499</v>
      </c>
      <c r="H237" s="143" t="s">
        <v>321</v>
      </c>
      <c r="I237" s="143" t="s">
        <v>917</v>
      </c>
      <c r="J237" s="143" t="s">
        <v>205</v>
      </c>
      <c r="K237" s="143" t="s">
        <v>224</v>
      </c>
      <c r="L237" s="143" t="s">
        <v>325</v>
      </c>
      <c r="M237" s="143" t="s">
        <v>344</v>
      </c>
      <c r="N237" s="143" t="s">
        <v>568</v>
      </c>
      <c r="O237" s="143" t="s">
        <v>339</v>
      </c>
      <c r="P237" s="143" t="s">
        <v>1211</v>
      </c>
      <c r="Q237" s="144">
        <v>36760</v>
      </c>
      <c r="R237" s="143" t="s">
        <v>1212</v>
      </c>
      <c r="S237" s="143" t="s">
        <v>2500</v>
      </c>
      <c r="T237" s="144">
        <v>35.2896</v>
      </c>
      <c r="U237" s="144">
        <v>15651.743699999999</v>
      </c>
      <c r="V237" s="146">
        <v>3.9823243731034936E-5</v>
      </c>
      <c r="W237" s="146">
        <v>1.0182017017446414E-2</v>
      </c>
      <c r="X237" s="147">
        <v>2.089922295079909E-3</v>
      </c>
      <c r="Y237" s="183"/>
    </row>
    <row r="238" spans="1:25" x14ac:dyDescent="0.2">
      <c r="A238" s="142" t="s">
        <v>1218</v>
      </c>
      <c r="B238" s="143" t="s">
        <v>1218</v>
      </c>
      <c r="C238" s="143" t="s">
        <v>2501</v>
      </c>
      <c r="D238" s="143" t="s">
        <v>2502</v>
      </c>
      <c r="E238" s="143" t="s">
        <v>313</v>
      </c>
      <c r="F238" s="143" t="s">
        <v>2503</v>
      </c>
      <c r="G238" s="143" t="s">
        <v>2504</v>
      </c>
      <c r="H238" s="143" t="s">
        <v>321</v>
      </c>
      <c r="I238" s="143" t="s">
        <v>917</v>
      </c>
      <c r="J238" s="143" t="s">
        <v>205</v>
      </c>
      <c r="K238" s="143" t="s">
        <v>268</v>
      </c>
      <c r="L238" s="143" t="s">
        <v>325</v>
      </c>
      <c r="M238" s="143" t="s">
        <v>344</v>
      </c>
      <c r="N238" s="143" t="s">
        <v>521</v>
      </c>
      <c r="O238" s="143" t="s">
        <v>339</v>
      </c>
      <c r="P238" s="143" t="s">
        <v>1211</v>
      </c>
      <c r="Q238" s="144">
        <v>55320</v>
      </c>
      <c r="R238" s="143" t="s">
        <v>1212</v>
      </c>
      <c r="S238" s="143" t="s">
        <v>2505</v>
      </c>
      <c r="T238" s="144">
        <v>91.831199999999995</v>
      </c>
      <c r="U238" s="144">
        <v>15317.4408</v>
      </c>
      <c r="V238" s="146">
        <v>2.0894900012691046E-5</v>
      </c>
      <c r="W238" s="146">
        <v>1.0001729879530878E-2</v>
      </c>
      <c r="X238" s="147">
        <v>2.0529172391661136E-3</v>
      </c>
      <c r="Y238" s="183"/>
    </row>
    <row r="239" spans="1:25" ht="15" x14ac:dyDescent="0.2">
      <c r="A239" s="142" t="s">
        <v>1218</v>
      </c>
      <c r="B239" s="143" t="s">
        <v>1218</v>
      </c>
      <c r="C239" s="143" t="s">
        <v>2475</v>
      </c>
      <c r="D239" s="143" t="s">
        <v>2476</v>
      </c>
      <c r="E239" s="143" t="s">
        <v>313</v>
      </c>
      <c r="F239" s="143" t="s">
        <v>2475</v>
      </c>
      <c r="G239" s="143" t="s">
        <v>2477</v>
      </c>
      <c r="H239" s="143" t="s">
        <v>321</v>
      </c>
      <c r="I239" s="143" t="s">
        <v>917</v>
      </c>
      <c r="J239" s="143" t="s">
        <v>205</v>
      </c>
      <c r="K239" s="143" t="s">
        <v>224</v>
      </c>
      <c r="L239" s="143" t="s">
        <v>325</v>
      </c>
      <c r="M239" s="143" t="s">
        <v>344</v>
      </c>
      <c r="N239" s="143" t="s">
        <v>533</v>
      </c>
      <c r="O239" s="143" t="s">
        <v>339</v>
      </c>
      <c r="P239" s="143" t="s">
        <v>1211</v>
      </c>
      <c r="Q239" s="144">
        <v>4495</v>
      </c>
      <c r="R239" s="143" t="s">
        <v>1212</v>
      </c>
      <c r="S239" s="143" t="s">
        <v>2478</v>
      </c>
      <c r="T239" s="145" t="s">
        <v>3853</v>
      </c>
      <c r="U239" s="144">
        <v>15297.9388</v>
      </c>
      <c r="V239" s="146">
        <v>4.7306925649720372E-6</v>
      </c>
      <c r="W239" s="146">
        <v>9.9294665520230693E-3</v>
      </c>
      <c r="X239" s="147">
        <v>2.038084741929421E-3</v>
      </c>
      <c r="Y239" s="183"/>
    </row>
    <row r="240" spans="1:25" ht="15" x14ac:dyDescent="0.2">
      <c r="A240" s="142" t="s">
        <v>1218</v>
      </c>
      <c r="B240" s="143" t="s">
        <v>1218</v>
      </c>
      <c r="C240" s="143" t="s">
        <v>2506</v>
      </c>
      <c r="D240" s="143" t="s">
        <v>2507</v>
      </c>
      <c r="E240" s="143" t="s">
        <v>313</v>
      </c>
      <c r="F240" s="143" t="s">
        <v>2508</v>
      </c>
      <c r="G240" s="143" t="s">
        <v>2509</v>
      </c>
      <c r="H240" s="143" t="s">
        <v>321</v>
      </c>
      <c r="I240" s="143" t="s">
        <v>917</v>
      </c>
      <c r="J240" s="143" t="s">
        <v>205</v>
      </c>
      <c r="K240" s="143" t="s">
        <v>224</v>
      </c>
      <c r="L240" s="143" t="s">
        <v>325</v>
      </c>
      <c r="M240" s="143" t="s">
        <v>344</v>
      </c>
      <c r="N240" s="143" t="s">
        <v>539</v>
      </c>
      <c r="O240" s="143" t="s">
        <v>339</v>
      </c>
      <c r="P240" s="143" t="s">
        <v>1211</v>
      </c>
      <c r="Q240" s="144">
        <v>38368</v>
      </c>
      <c r="R240" s="143" t="s">
        <v>1212</v>
      </c>
      <c r="S240" s="143" t="s">
        <v>2510</v>
      </c>
      <c r="T240" s="145" t="s">
        <v>3853</v>
      </c>
      <c r="U240" s="144">
        <v>15178.2718</v>
      </c>
      <c r="V240" s="146">
        <v>4.4556341103131761E-5</v>
      </c>
      <c r="W240" s="146">
        <v>9.8517940710377543E-3</v>
      </c>
      <c r="X240" s="147">
        <v>2.0221419823124179E-3</v>
      </c>
      <c r="Y240" s="183"/>
    </row>
    <row r="241" spans="1:25" ht="15" x14ac:dyDescent="0.2">
      <c r="A241" s="142" t="s">
        <v>1218</v>
      </c>
      <c r="B241" s="143" t="s">
        <v>1218</v>
      </c>
      <c r="C241" s="143" t="s">
        <v>2511</v>
      </c>
      <c r="D241" s="143" t="s">
        <v>2512</v>
      </c>
      <c r="E241" s="143" t="s">
        <v>313</v>
      </c>
      <c r="F241" s="143" t="s">
        <v>2513</v>
      </c>
      <c r="G241" s="143" t="s">
        <v>2514</v>
      </c>
      <c r="H241" s="143" t="s">
        <v>321</v>
      </c>
      <c r="I241" s="143" t="s">
        <v>917</v>
      </c>
      <c r="J241" s="143" t="s">
        <v>205</v>
      </c>
      <c r="K241" s="143" t="s">
        <v>243</v>
      </c>
      <c r="L241" s="143" t="s">
        <v>325</v>
      </c>
      <c r="M241" s="143" t="s">
        <v>380</v>
      </c>
      <c r="N241" s="143" t="s">
        <v>546</v>
      </c>
      <c r="O241" s="143" t="s">
        <v>339</v>
      </c>
      <c r="P241" s="143" t="s">
        <v>1211</v>
      </c>
      <c r="Q241" s="144">
        <v>2722</v>
      </c>
      <c r="R241" s="143" t="s">
        <v>1212</v>
      </c>
      <c r="S241" s="143" t="s">
        <v>2515</v>
      </c>
      <c r="T241" s="145" t="s">
        <v>3853</v>
      </c>
      <c r="U241" s="144">
        <v>15143.357</v>
      </c>
      <c r="V241" s="146">
        <v>1.1399089580428072E-5</v>
      </c>
      <c r="W241" s="146">
        <v>9.8291318488208726E-3</v>
      </c>
      <c r="X241" s="147">
        <v>2.0174904203099225E-3</v>
      </c>
      <c r="Y241" s="183"/>
    </row>
    <row r="242" spans="1:25" ht="15" x14ac:dyDescent="0.2">
      <c r="A242" s="142" t="s">
        <v>1218</v>
      </c>
      <c r="B242" s="143" t="s">
        <v>1218</v>
      </c>
      <c r="C242" s="143" t="s">
        <v>2516</v>
      </c>
      <c r="D242" s="143" t="s">
        <v>2517</v>
      </c>
      <c r="E242" s="143" t="s">
        <v>313</v>
      </c>
      <c r="F242" s="143" t="s">
        <v>2516</v>
      </c>
      <c r="G242" s="143" t="s">
        <v>2518</v>
      </c>
      <c r="H242" s="143" t="s">
        <v>321</v>
      </c>
      <c r="I242" s="143" t="s">
        <v>917</v>
      </c>
      <c r="J242" s="143" t="s">
        <v>205</v>
      </c>
      <c r="K242" s="143" t="s">
        <v>224</v>
      </c>
      <c r="L242" s="143" t="s">
        <v>325</v>
      </c>
      <c r="M242" s="143" t="s">
        <v>344</v>
      </c>
      <c r="N242" s="143" t="s">
        <v>521</v>
      </c>
      <c r="O242" s="143" t="s">
        <v>339</v>
      </c>
      <c r="P242" s="143" t="s">
        <v>1211</v>
      </c>
      <c r="Q242" s="144">
        <v>4086</v>
      </c>
      <c r="R242" s="143" t="s">
        <v>1212</v>
      </c>
      <c r="S242" s="143" t="s">
        <v>2519</v>
      </c>
      <c r="T242" s="145" t="s">
        <v>3853</v>
      </c>
      <c r="U242" s="144">
        <v>13055.229300000001</v>
      </c>
      <c r="V242" s="146">
        <v>9.2059994457474634E-6</v>
      </c>
      <c r="W242" s="146">
        <v>8.473786217857604E-3</v>
      </c>
      <c r="X242" s="147">
        <v>1.7392973032845031E-3</v>
      </c>
      <c r="Y242" s="183"/>
    </row>
    <row r="243" spans="1:25" ht="15" x14ac:dyDescent="0.2">
      <c r="A243" s="142" t="s">
        <v>1218</v>
      </c>
      <c r="B243" s="143" t="s">
        <v>1218</v>
      </c>
      <c r="C243" s="143" t="s">
        <v>2525</v>
      </c>
      <c r="D243" s="143" t="s">
        <v>2526</v>
      </c>
      <c r="E243" s="143" t="s">
        <v>313</v>
      </c>
      <c r="F243" s="143" t="s">
        <v>2525</v>
      </c>
      <c r="G243" s="143" t="s">
        <v>2527</v>
      </c>
      <c r="H243" s="143" t="s">
        <v>321</v>
      </c>
      <c r="I243" s="143" t="s">
        <v>917</v>
      </c>
      <c r="J243" s="143" t="s">
        <v>205</v>
      </c>
      <c r="K243" s="143" t="s">
        <v>224</v>
      </c>
      <c r="L243" s="143" t="s">
        <v>325</v>
      </c>
      <c r="M243" s="143" t="s">
        <v>344</v>
      </c>
      <c r="N243" s="143" t="s">
        <v>544</v>
      </c>
      <c r="O243" s="143" t="s">
        <v>339</v>
      </c>
      <c r="P243" s="143" t="s">
        <v>1211</v>
      </c>
      <c r="Q243" s="144">
        <v>13010</v>
      </c>
      <c r="R243" s="143" t="s">
        <v>1212</v>
      </c>
      <c r="S243" s="143" t="s">
        <v>2528</v>
      </c>
      <c r="T243" s="145" t="s">
        <v>3853</v>
      </c>
      <c r="U243" s="144">
        <v>12573.3701</v>
      </c>
      <c r="V243" s="146">
        <v>1.4125950054288816E-5</v>
      </c>
      <c r="W243" s="146">
        <v>8.161024801988135E-3</v>
      </c>
      <c r="X243" s="147">
        <v>1.6751010782196294E-3</v>
      </c>
      <c r="Y243" s="183"/>
    </row>
    <row r="244" spans="1:25" ht="15" x14ac:dyDescent="0.2">
      <c r="A244" s="142" t="s">
        <v>1218</v>
      </c>
      <c r="B244" s="143" t="s">
        <v>1218</v>
      </c>
      <c r="C244" s="143" t="s">
        <v>2446</v>
      </c>
      <c r="D244" s="143" t="s">
        <v>2447</v>
      </c>
      <c r="E244" s="143" t="s">
        <v>313</v>
      </c>
      <c r="F244" s="143" t="s">
        <v>2529</v>
      </c>
      <c r="G244" s="143" t="s">
        <v>2530</v>
      </c>
      <c r="H244" s="143" t="s">
        <v>321</v>
      </c>
      <c r="I244" s="143" t="s">
        <v>917</v>
      </c>
      <c r="J244" s="143" t="s">
        <v>205</v>
      </c>
      <c r="K244" s="143" t="s">
        <v>224</v>
      </c>
      <c r="L244" s="143" t="s">
        <v>325</v>
      </c>
      <c r="M244" s="143" t="s">
        <v>344</v>
      </c>
      <c r="N244" s="143" t="s">
        <v>546</v>
      </c>
      <c r="O244" s="143" t="s">
        <v>339</v>
      </c>
      <c r="P244" s="143" t="s">
        <v>1211</v>
      </c>
      <c r="Q244" s="144">
        <v>16714</v>
      </c>
      <c r="R244" s="143" t="s">
        <v>1212</v>
      </c>
      <c r="S244" s="143" t="s">
        <v>2531</v>
      </c>
      <c r="T244" s="145" t="s">
        <v>3853</v>
      </c>
      <c r="U244" s="144">
        <v>11444.106699999998</v>
      </c>
      <c r="V244" s="146">
        <v>2.7982588314080029E-6</v>
      </c>
      <c r="W244" s="146">
        <v>7.42805135972038E-3</v>
      </c>
      <c r="X244" s="147">
        <v>1.5246537222515456E-3</v>
      </c>
      <c r="Y244" s="183"/>
    </row>
    <row r="245" spans="1:25" x14ac:dyDescent="0.2">
      <c r="A245" s="142" t="s">
        <v>1218</v>
      </c>
      <c r="B245" s="143" t="s">
        <v>1218</v>
      </c>
      <c r="C245" s="143" t="s">
        <v>2537</v>
      </c>
      <c r="D245" s="143" t="s">
        <v>2538</v>
      </c>
      <c r="E245" s="143" t="s">
        <v>313</v>
      </c>
      <c r="F245" s="143" t="s">
        <v>2539</v>
      </c>
      <c r="G245" s="143" t="s">
        <v>2540</v>
      </c>
      <c r="H245" s="143" t="s">
        <v>321</v>
      </c>
      <c r="I245" s="143" t="s">
        <v>917</v>
      </c>
      <c r="J245" s="143" t="s">
        <v>205</v>
      </c>
      <c r="K245" s="143" t="s">
        <v>224</v>
      </c>
      <c r="L245" s="143" t="s">
        <v>325</v>
      </c>
      <c r="M245" s="143" t="s">
        <v>344</v>
      </c>
      <c r="N245" s="143" t="s">
        <v>497</v>
      </c>
      <c r="O245" s="143" t="s">
        <v>339</v>
      </c>
      <c r="P245" s="143" t="s">
        <v>1211</v>
      </c>
      <c r="Q245" s="144">
        <v>7232</v>
      </c>
      <c r="R245" s="143" t="s">
        <v>1212</v>
      </c>
      <c r="S245" s="143" t="s">
        <v>2541</v>
      </c>
      <c r="T245" s="144">
        <v>10.631</v>
      </c>
      <c r="U245" s="144">
        <v>10197.1265</v>
      </c>
      <c r="V245" s="146">
        <v>2.424917096134953E-5</v>
      </c>
      <c r="W245" s="146">
        <v>6.6255715006209581E-3</v>
      </c>
      <c r="X245" s="147">
        <v>1.3599397421029369E-3</v>
      </c>
      <c r="Y245" s="183"/>
    </row>
    <row r="246" spans="1:25" ht="15" x14ac:dyDescent="0.2">
      <c r="A246" s="142" t="s">
        <v>1218</v>
      </c>
      <c r="B246" s="143" t="s">
        <v>1218</v>
      </c>
      <c r="C246" s="143" t="s">
        <v>2532</v>
      </c>
      <c r="D246" s="143" t="s">
        <v>2533</v>
      </c>
      <c r="E246" s="143" t="s">
        <v>313</v>
      </c>
      <c r="F246" s="143" t="s">
        <v>2534</v>
      </c>
      <c r="G246" s="143" t="s">
        <v>2535</v>
      </c>
      <c r="H246" s="143" t="s">
        <v>321</v>
      </c>
      <c r="I246" s="143" t="s">
        <v>917</v>
      </c>
      <c r="J246" s="143" t="s">
        <v>205</v>
      </c>
      <c r="K246" s="143" t="s">
        <v>224</v>
      </c>
      <c r="L246" s="143" t="s">
        <v>325</v>
      </c>
      <c r="M246" s="143" t="s">
        <v>344</v>
      </c>
      <c r="N246" s="143" t="s">
        <v>517</v>
      </c>
      <c r="O246" s="143" t="s">
        <v>339</v>
      </c>
      <c r="P246" s="143" t="s">
        <v>1211</v>
      </c>
      <c r="Q246" s="144">
        <v>37662</v>
      </c>
      <c r="R246" s="143" t="s">
        <v>1212</v>
      </c>
      <c r="S246" s="143" t="s">
        <v>2536</v>
      </c>
      <c r="T246" s="145" t="s">
        <v>3853</v>
      </c>
      <c r="U246" s="144">
        <v>9585.8034000000007</v>
      </c>
      <c r="V246" s="146">
        <v>1.3965440522100266E-5</v>
      </c>
      <c r="W246" s="146">
        <v>6.2218783757644544E-3</v>
      </c>
      <c r="X246" s="147">
        <v>1.2770792184402416E-3</v>
      </c>
      <c r="Y246" s="183"/>
    </row>
    <row r="247" spans="1:25" x14ac:dyDescent="0.2">
      <c r="A247" s="142" t="s">
        <v>1218</v>
      </c>
      <c r="B247" s="143" t="s">
        <v>1218</v>
      </c>
      <c r="C247" s="143" t="s">
        <v>2551</v>
      </c>
      <c r="D247" s="143" t="s">
        <v>2552</v>
      </c>
      <c r="E247" s="143" t="s">
        <v>313</v>
      </c>
      <c r="F247" s="143" t="s">
        <v>2551</v>
      </c>
      <c r="G247" s="143" t="s">
        <v>2553</v>
      </c>
      <c r="H247" s="143" t="s">
        <v>321</v>
      </c>
      <c r="I247" s="143" t="s">
        <v>917</v>
      </c>
      <c r="J247" s="143" t="s">
        <v>205</v>
      </c>
      <c r="K247" s="143" t="s">
        <v>224</v>
      </c>
      <c r="L247" s="143" t="s">
        <v>325</v>
      </c>
      <c r="M247" s="143" t="s">
        <v>344</v>
      </c>
      <c r="N247" s="143" t="s">
        <v>546</v>
      </c>
      <c r="O247" s="143" t="s">
        <v>339</v>
      </c>
      <c r="P247" s="143" t="s">
        <v>1211</v>
      </c>
      <c r="Q247" s="144">
        <v>1510</v>
      </c>
      <c r="R247" s="143" t="s">
        <v>1212</v>
      </c>
      <c r="S247" s="143" t="s">
        <v>2554</v>
      </c>
      <c r="T247" s="144">
        <v>7.9275000000000002</v>
      </c>
      <c r="U247" s="144">
        <v>9142.9323000000004</v>
      </c>
      <c r="V247" s="146">
        <v>3.6134256711160461E-6</v>
      </c>
      <c r="W247" s="146">
        <v>5.9395685366990351E-3</v>
      </c>
      <c r="X247" s="147">
        <v>1.2191333688337939E-3</v>
      </c>
      <c r="Y247" s="183"/>
    </row>
    <row r="248" spans="1:25" ht="15" x14ac:dyDescent="0.2">
      <c r="A248" s="142" t="s">
        <v>1218</v>
      </c>
      <c r="B248" s="143" t="s">
        <v>1218</v>
      </c>
      <c r="C248" s="143" t="s">
        <v>2542</v>
      </c>
      <c r="D248" s="143" t="s">
        <v>2543</v>
      </c>
      <c r="E248" s="143" t="s">
        <v>313</v>
      </c>
      <c r="F248" s="143" t="s">
        <v>2544</v>
      </c>
      <c r="G248" s="143" t="s">
        <v>2545</v>
      </c>
      <c r="H248" s="143" t="s">
        <v>321</v>
      </c>
      <c r="I248" s="143" t="s">
        <v>917</v>
      </c>
      <c r="J248" s="143" t="s">
        <v>205</v>
      </c>
      <c r="K248" s="143" t="s">
        <v>238</v>
      </c>
      <c r="L248" s="143" t="s">
        <v>325</v>
      </c>
      <c r="M248" s="143" t="s">
        <v>368</v>
      </c>
      <c r="N248" s="143" t="s">
        <v>544</v>
      </c>
      <c r="O248" s="143" t="s">
        <v>339</v>
      </c>
      <c r="P248" s="143" t="s">
        <v>1214</v>
      </c>
      <c r="Q248" s="144">
        <v>11655</v>
      </c>
      <c r="R248" s="143" t="s">
        <v>1215</v>
      </c>
      <c r="S248" s="143" t="s">
        <v>2546</v>
      </c>
      <c r="T248" s="145" t="s">
        <v>3853</v>
      </c>
      <c r="U248" s="144">
        <v>8880.0413000000008</v>
      </c>
      <c r="V248" s="146">
        <v>9.4871485969927657E-6</v>
      </c>
      <c r="W248" s="146">
        <v>5.7637878024144476E-3</v>
      </c>
      <c r="X248" s="147">
        <v>1.183053280281849E-3</v>
      </c>
      <c r="Y248" s="183"/>
    </row>
    <row r="249" spans="1:25" ht="15" x14ac:dyDescent="0.2">
      <c r="A249" s="142" t="s">
        <v>1218</v>
      </c>
      <c r="B249" s="143" t="s">
        <v>1218</v>
      </c>
      <c r="C249" s="143" t="s">
        <v>2547</v>
      </c>
      <c r="D249" s="143" t="s">
        <v>2548</v>
      </c>
      <c r="E249" s="143" t="s">
        <v>309</v>
      </c>
      <c r="F249" s="143" t="s">
        <v>2547</v>
      </c>
      <c r="G249" s="143" t="s">
        <v>2549</v>
      </c>
      <c r="H249" s="143" t="s">
        <v>321</v>
      </c>
      <c r="I249" s="143" t="s">
        <v>917</v>
      </c>
      <c r="J249" s="143" t="s">
        <v>205</v>
      </c>
      <c r="K249" s="143" t="s">
        <v>204</v>
      </c>
      <c r="L249" s="143" t="s">
        <v>325</v>
      </c>
      <c r="M249" s="143" t="s">
        <v>344</v>
      </c>
      <c r="N249" s="143" t="s">
        <v>476</v>
      </c>
      <c r="O249" s="143" t="s">
        <v>339</v>
      </c>
      <c r="P249" s="143" t="s">
        <v>1211</v>
      </c>
      <c r="Q249" s="144">
        <v>8485</v>
      </c>
      <c r="R249" s="143" t="s">
        <v>1212</v>
      </c>
      <c r="S249" s="143" t="s">
        <v>2550</v>
      </c>
      <c r="T249" s="145" t="s">
        <v>3853</v>
      </c>
      <c r="U249" s="144">
        <v>8720.7623000000003</v>
      </c>
      <c r="V249" s="146">
        <v>2.0839473425680321E-4</v>
      </c>
      <c r="W249" s="146">
        <v>5.6604042728512311E-3</v>
      </c>
      <c r="X249" s="147">
        <v>1.1618331680970035E-3</v>
      </c>
      <c r="Y249" s="183"/>
    </row>
    <row r="250" spans="1:25" ht="15" x14ac:dyDescent="0.2">
      <c r="A250" s="142" t="s">
        <v>1218</v>
      </c>
      <c r="B250" s="143" t="s">
        <v>1218</v>
      </c>
      <c r="C250" s="143" t="s">
        <v>2572</v>
      </c>
      <c r="D250" s="143" t="s">
        <v>2573</v>
      </c>
      <c r="E250" s="143" t="s">
        <v>309</v>
      </c>
      <c r="F250" s="143" t="s">
        <v>2574</v>
      </c>
      <c r="G250" s="143" t="s">
        <v>2575</v>
      </c>
      <c r="H250" s="143" t="s">
        <v>321</v>
      </c>
      <c r="I250" s="143" t="s">
        <v>917</v>
      </c>
      <c r="J250" s="143" t="s">
        <v>205</v>
      </c>
      <c r="K250" s="143" t="s">
        <v>204</v>
      </c>
      <c r="L250" s="143" t="s">
        <v>325</v>
      </c>
      <c r="M250" s="143" t="s">
        <v>344</v>
      </c>
      <c r="N250" s="143" t="s">
        <v>544</v>
      </c>
      <c r="O250" s="143" t="s">
        <v>339</v>
      </c>
      <c r="P250" s="143" t="s">
        <v>1211</v>
      </c>
      <c r="Q250" s="144">
        <v>14438</v>
      </c>
      <c r="R250" s="143" t="s">
        <v>1212</v>
      </c>
      <c r="S250" s="143" t="s">
        <v>2576</v>
      </c>
      <c r="T250" s="145" t="s">
        <v>3853</v>
      </c>
      <c r="U250" s="144">
        <v>8633.1172999999999</v>
      </c>
      <c r="V250" s="146">
        <v>2.4559851667885755E-4</v>
      </c>
      <c r="W250" s="146">
        <v>5.6035163448192836E-3</v>
      </c>
      <c r="X250" s="147">
        <v>1.1501565671925703E-3</v>
      </c>
      <c r="Y250" s="183"/>
    </row>
    <row r="251" spans="1:25" ht="15" x14ac:dyDescent="0.2">
      <c r="A251" s="142" t="s">
        <v>1218</v>
      </c>
      <c r="B251" s="143" t="s">
        <v>1218</v>
      </c>
      <c r="C251" s="143" t="s">
        <v>2520</v>
      </c>
      <c r="D251" s="143" t="s">
        <v>2521</v>
      </c>
      <c r="E251" s="143" t="s">
        <v>313</v>
      </c>
      <c r="F251" s="143" t="s">
        <v>2522</v>
      </c>
      <c r="G251" s="143" t="s">
        <v>2523</v>
      </c>
      <c r="H251" s="143" t="s">
        <v>321</v>
      </c>
      <c r="I251" s="143" t="s">
        <v>917</v>
      </c>
      <c r="J251" s="143" t="s">
        <v>205</v>
      </c>
      <c r="K251" s="143" t="s">
        <v>224</v>
      </c>
      <c r="L251" s="143" t="s">
        <v>325</v>
      </c>
      <c r="M251" s="143" t="s">
        <v>344</v>
      </c>
      <c r="N251" s="143" t="s">
        <v>536</v>
      </c>
      <c r="O251" s="143" t="s">
        <v>339</v>
      </c>
      <c r="P251" s="143" t="s">
        <v>1211</v>
      </c>
      <c r="Q251" s="144">
        <v>11261</v>
      </c>
      <c r="R251" s="143" t="s">
        <v>1212</v>
      </c>
      <c r="S251" s="143" t="s">
        <v>2524</v>
      </c>
      <c r="T251" s="145" t="s">
        <v>3853</v>
      </c>
      <c r="U251" s="144">
        <v>8561.6858000000011</v>
      </c>
      <c r="V251" s="146">
        <v>3.8391452353313187E-6</v>
      </c>
      <c r="W251" s="146">
        <v>5.5571521286485494E-3</v>
      </c>
      <c r="X251" s="147">
        <v>1.140640023574239E-3</v>
      </c>
      <c r="Y251" s="183"/>
    </row>
    <row r="252" spans="1:25" ht="15" x14ac:dyDescent="0.2">
      <c r="A252" s="142" t="s">
        <v>1218</v>
      </c>
      <c r="B252" s="143" t="s">
        <v>1218</v>
      </c>
      <c r="C252" s="143" t="s">
        <v>2564</v>
      </c>
      <c r="D252" s="143" t="s">
        <v>2565</v>
      </c>
      <c r="E252" s="143" t="s">
        <v>313</v>
      </c>
      <c r="F252" s="143" t="s">
        <v>2564</v>
      </c>
      <c r="G252" s="143" t="s">
        <v>2566</v>
      </c>
      <c r="H252" s="143" t="s">
        <v>321</v>
      </c>
      <c r="I252" s="143" t="s">
        <v>917</v>
      </c>
      <c r="J252" s="143" t="s">
        <v>205</v>
      </c>
      <c r="K252" s="143" t="s">
        <v>224</v>
      </c>
      <c r="L252" s="143" t="s">
        <v>325</v>
      </c>
      <c r="M252" s="143" t="s">
        <v>344</v>
      </c>
      <c r="N252" s="143" t="s">
        <v>546</v>
      </c>
      <c r="O252" s="143" t="s">
        <v>339</v>
      </c>
      <c r="P252" s="143" t="s">
        <v>1211</v>
      </c>
      <c r="Q252" s="144">
        <v>37587</v>
      </c>
      <c r="R252" s="143" t="s">
        <v>1212</v>
      </c>
      <c r="S252" s="143" t="s">
        <v>2567</v>
      </c>
      <c r="T252" s="145" t="s">
        <v>3853</v>
      </c>
      <c r="U252" s="144">
        <v>8515.520199999999</v>
      </c>
      <c r="V252" s="146">
        <v>4.8112222171021302E-5</v>
      </c>
      <c r="W252" s="146">
        <v>5.5271872764397819E-3</v>
      </c>
      <c r="X252" s="147">
        <v>1.1344895513649925E-3</v>
      </c>
      <c r="Y252" s="183"/>
    </row>
    <row r="253" spans="1:25" ht="15" x14ac:dyDescent="0.2">
      <c r="A253" s="142" t="s">
        <v>1218</v>
      </c>
      <c r="B253" s="143" t="s">
        <v>1218</v>
      </c>
      <c r="C253" s="143" t="s">
        <v>2559</v>
      </c>
      <c r="D253" s="143" t="s">
        <v>2560</v>
      </c>
      <c r="E253" s="143" t="s">
        <v>313</v>
      </c>
      <c r="F253" s="143" t="s">
        <v>2561</v>
      </c>
      <c r="G253" s="143" t="s">
        <v>2562</v>
      </c>
      <c r="H253" s="143" t="s">
        <v>321</v>
      </c>
      <c r="I253" s="143" t="s">
        <v>917</v>
      </c>
      <c r="J253" s="143" t="s">
        <v>205</v>
      </c>
      <c r="K253" s="143" t="s">
        <v>281</v>
      </c>
      <c r="L253" s="143" t="s">
        <v>325</v>
      </c>
      <c r="M253" s="143" t="s">
        <v>364</v>
      </c>
      <c r="N253" s="143" t="s">
        <v>517</v>
      </c>
      <c r="O253" s="143" t="s">
        <v>339</v>
      </c>
      <c r="P253" s="143" t="s">
        <v>1214</v>
      </c>
      <c r="Q253" s="144">
        <v>5049</v>
      </c>
      <c r="R253" s="143" t="s">
        <v>1215</v>
      </c>
      <c r="S253" s="143" t="s">
        <v>2563</v>
      </c>
      <c r="T253" s="145" t="s">
        <v>3853</v>
      </c>
      <c r="U253" s="144">
        <v>8323.190700000001</v>
      </c>
      <c r="V253" s="146">
        <v>9.4069819219755218E-6</v>
      </c>
      <c r="W253" s="146">
        <v>5.4023515888185917E-3</v>
      </c>
      <c r="X253" s="147">
        <v>1.1088662503693134E-3</v>
      </c>
      <c r="Y253" s="183"/>
    </row>
    <row r="254" spans="1:25" x14ac:dyDescent="0.2">
      <c r="A254" s="142" t="s">
        <v>1218</v>
      </c>
      <c r="B254" s="143" t="s">
        <v>1218</v>
      </c>
      <c r="C254" s="143" t="s">
        <v>2568</v>
      </c>
      <c r="D254" s="143" t="s">
        <v>2569</v>
      </c>
      <c r="E254" s="143" t="s">
        <v>313</v>
      </c>
      <c r="F254" s="143" t="s">
        <v>2568</v>
      </c>
      <c r="G254" s="143" t="s">
        <v>2570</v>
      </c>
      <c r="H254" s="143" t="s">
        <v>321</v>
      </c>
      <c r="I254" s="143" t="s">
        <v>917</v>
      </c>
      <c r="J254" s="143" t="s">
        <v>205</v>
      </c>
      <c r="K254" s="143" t="s">
        <v>224</v>
      </c>
      <c r="L254" s="143" t="s">
        <v>325</v>
      </c>
      <c r="M254" s="143" t="s">
        <v>344</v>
      </c>
      <c r="N254" s="143" t="s">
        <v>497</v>
      </c>
      <c r="O254" s="143" t="s">
        <v>339</v>
      </c>
      <c r="P254" s="143" t="s">
        <v>1211</v>
      </c>
      <c r="Q254" s="144">
        <v>34933</v>
      </c>
      <c r="R254" s="143" t="s">
        <v>1212</v>
      </c>
      <c r="S254" s="143" t="s">
        <v>2571</v>
      </c>
      <c r="T254" s="144">
        <v>6.6372999999999998</v>
      </c>
      <c r="U254" s="144">
        <v>8308.1828000000005</v>
      </c>
      <c r="V254" s="146">
        <v>4.1634139684666057E-5</v>
      </c>
      <c r="W254" s="146">
        <v>5.3969184412973074E-3</v>
      </c>
      <c r="X254" s="147">
        <v>1.1077510630623454E-3</v>
      </c>
      <c r="Y254" s="183"/>
    </row>
    <row r="255" spans="1:25" x14ac:dyDescent="0.2">
      <c r="A255" s="142" t="s">
        <v>1218</v>
      </c>
      <c r="B255" s="143" t="s">
        <v>1218</v>
      </c>
      <c r="C255" s="143" t="s">
        <v>2555</v>
      </c>
      <c r="D255" s="143" t="s">
        <v>2556</v>
      </c>
      <c r="E255" s="143" t="s">
        <v>313</v>
      </c>
      <c r="F255" s="143" t="s">
        <v>2555</v>
      </c>
      <c r="G255" s="143" t="s">
        <v>2557</v>
      </c>
      <c r="H255" s="143" t="s">
        <v>321</v>
      </c>
      <c r="I255" s="143" t="s">
        <v>917</v>
      </c>
      <c r="J255" s="143" t="s">
        <v>205</v>
      </c>
      <c r="K255" s="143" t="s">
        <v>224</v>
      </c>
      <c r="L255" s="143" t="s">
        <v>325</v>
      </c>
      <c r="M255" s="143" t="s">
        <v>344</v>
      </c>
      <c r="N255" s="143" t="s">
        <v>515</v>
      </c>
      <c r="O255" s="143" t="s">
        <v>339</v>
      </c>
      <c r="P255" s="143" t="s">
        <v>1211</v>
      </c>
      <c r="Q255" s="144">
        <v>28624</v>
      </c>
      <c r="R255" s="143" t="s">
        <v>1212</v>
      </c>
      <c r="S255" s="143" t="s">
        <v>2558</v>
      </c>
      <c r="T255" s="144">
        <v>22.541900000000002</v>
      </c>
      <c r="U255" s="144">
        <v>8194.3672000000006</v>
      </c>
      <c r="V255" s="146">
        <v>2.2723086986618909E-5</v>
      </c>
      <c r="W255" s="146">
        <v>5.3333671632054235E-3</v>
      </c>
      <c r="X255" s="147">
        <v>1.0947067681316379E-3</v>
      </c>
      <c r="Y255" s="183"/>
    </row>
    <row r="256" spans="1:25" ht="15" x14ac:dyDescent="0.2">
      <c r="A256" s="142" t="s">
        <v>1218</v>
      </c>
      <c r="B256" s="143" t="s">
        <v>1218</v>
      </c>
      <c r="C256" s="143" t="s">
        <v>2581</v>
      </c>
      <c r="D256" s="143" t="s">
        <v>2582</v>
      </c>
      <c r="E256" s="143" t="s">
        <v>309</v>
      </c>
      <c r="F256" s="143" t="s">
        <v>2581</v>
      </c>
      <c r="G256" s="143" t="s">
        <v>2583</v>
      </c>
      <c r="H256" s="143" t="s">
        <v>321</v>
      </c>
      <c r="I256" s="143" t="s">
        <v>917</v>
      </c>
      <c r="J256" s="143" t="s">
        <v>205</v>
      </c>
      <c r="K256" s="143" t="s">
        <v>224</v>
      </c>
      <c r="L256" s="143" t="s">
        <v>325</v>
      </c>
      <c r="M256" s="143" t="s">
        <v>344</v>
      </c>
      <c r="N256" s="143" t="s">
        <v>544</v>
      </c>
      <c r="O256" s="143" t="s">
        <v>339</v>
      </c>
      <c r="P256" s="143" t="s">
        <v>1211</v>
      </c>
      <c r="Q256" s="144">
        <v>55700</v>
      </c>
      <c r="R256" s="143" t="s">
        <v>1212</v>
      </c>
      <c r="S256" s="143" t="s">
        <v>2584</v>
      </c>
      <c r="T256" s="145" t="s">
        <v>3853</v>
      </c>
      <c r="U256" s="144">
        <v>7862.0800999999992</v>
      </c>
      <c r="V256" s="146">
        <v>5.5538937082460864E-4</v>
      </c>
      <c r="W256" s="146">
        <v>5.1030574898781609E-3</v>
      </c>
      <c r="X256" s="147">
        <v>1.047434275831293E-3</v>
      </c>
      <c r="Y256" s="183"/>
    </row>
    <row r="257" spans="1:25" ht="15" x14ac:dyDescent="0.2">
      <c r="A257" s="142" t="s">
        <v>1218</v>
      </c>
      <c r="B257" s="143" t="s">
        <v>1218</v>
      </c>
      <c r="C257" s="143" t="s">
        <v>2577</v>
      </c>
      <c r="D257" s="143" t="s">
        <v>2578</v>
      </c>
      <c r="E257" s="143" t="s">
        <v>313</v>
      </c>
      <c r="F257" s="143" t="s">
        <v>2577</v>
      </c>
      <c r="G257" s="143" t="s">
        <v>2579</v>
      </c>
      <c r="H257" s="143" t="s">
        <v>321</v>
      </c>
      <c r="I257" s="143" t="s">
        <v>917</v>
      </c>
      <c r="J257" s="143" t="s">
        <v>205</v>
      </c>
      <c r="K257" s="143" t="s">
        <v>224</v>
      </c>
      <c r="L257" s="143" t="s">
        <v>325</v>
      </c>
      <c r="M257" s="143" t="s">
        <v>344</v>
      </c>
      <c r="N257" s="143" t="s">
        <v>533</v>
      </c>
      <c r="O257" s="143" t="s">
        <v>339</v>
      </c>
      <c r="P257" s="143" t="s">
        <v>1211</v>
      </c>
      <c r="Q257" s="144">
        <v>17298</v>
      </c>
      <c r="R257" s="143" t="s">
        <v>1212</v>
      </c>
      <c r="S257" s="143" t="s">
        <v>2580</v>
      </c>
      <c r="T257" s="145" t="s">
        <v>3853</v>
      </c>
      <c r="U257" s="144">
        <v>7721.5029000000004</v>
      </c>
      <c r="V257" s="146">
        <v>4.5025769170701236E-5</v>
      </c>
      <c r="W257" s="146">
        <v>5.0118127378287235E-3</v>
      </c>
      <c r="X257" s="147">
        <v>1.0287057231987045E-3</v>
      </c>
      <c r="Y257" s="183"/>
    </row>
    <row r="258" spans="1:25" ht="15" x14ac:dyDescent="0.2">
      <c r="A258" s="142" t="s">
        <v>1218</v>
      </c>
      <c r="B258" s="143" t="s">
        <v>1218</v>
      </c>
      <c r="C258" s="143" t="s">
        <v>2589</v>
      </c>
      <c r="D258" s="143" t="s">
        <v>2590</v>
      </c>
      <c r="E258" s="143" t="s">
        <v>313</v>
      </c>
      <c r="F258" s="143" t="s">
        <v>2591</v>
      </c>
      <c r="G258" s="143" t="s">
        <v>2592</v>
      </c>
      <c r="H258" s="143" t="s">
        <v>321</v>
      </c>
      <c r="I258" s="143" t="s">
        <v>917</v>
      </c>
      <c r="J258" s="143" t="s">
        <v>205</v>
      </c>
      <c r="K258" s="143" t="s">
        <v>224</v>
      </c>
      <c r="L258" s="143" t="s">
        <v>325</v>
      </c>
      <c r="M258" s="143" t="s">
        <v>344</v>
      </c>
      <c r="N258" s="143" t="s">
        <v>544</v>
      </c>
      <c r="O258" s="143" t="s">
        <v>339</v>
      </c>
      <c r="P258" s="143" t="s">
        <v>1211</v>
      </c>
      <c r="Q258" s="144">
        <v>11259</v>
      </c>
      <c r="R258" s="143" t="s">
        <v>1212</v>
      </c>
      <c r="S258" s="143" t="s">
        <v>2593</v>
      </c>
      <c r="T258" s="145" t="s">
        <v>3853</v>
      </c>
      <c r="U258" s="144">
        <v>5717.3575000000001</v>
      </c>
      <c r="V258" s="146">
        <v>3.4190707561494079E-5</v>
      </c>
      <c r="W258" s="146">
        <v>3.7109777062242452E-3</v>
      </c>
      <c r="X258" s="147">
        <v>7.6170124558754871E-4</v>
      </c>
      <c r="Y258" s="183"/>
    </row>
    <row r="259" spans="1:25" ht="15" x14ac:dyDescent="0.2">
      <c r="A259" s="142" t="s">
        <v>1218</v>
      </c>
      <c r="B259" s="143" t="s">
        <v>1218</v>
      </c>
      <c r="C259" s="143" t="s">
        <v>2585</v>
      </c>
      <c r="D259" s="143" t="s">
        <v>2586</v>
      </c>
      <c r="E259" s="143" t="s">
        <v>313</v>
      </c>
      <c r="F259" s="143" t="s">
        <v>2585</v>
      </c>
      <c r="G259" s="143" t="s">
        <v>2587</v>
      </c>
      <c r="H259" s="143" t="s">
        <v>321</v>
      </c>
      <c r="I259" s="143" t="s">
        <v>917</v>
      </c>
      <c r="J259" s="143" t="s">
        <v>205</v>
      </c>
      <c r="K259" s="143" t="s">
        <v>268</v>
      </c>
      <c r="L259" s="143" t="s">
        <v>325</v>
      </c>
      <c r="M259" s="143" t="s">
        <v>344</v>
      </c>
      <c r="N259" s="143" t="s">
        <v>544</v>
      </c>
      <c r="O259" s="143" t="s">
        <v>339</v>
      </c>
      <c r="P259" s="143" t="s">
        <v>1211</v>
      </c>
      <c r="Q259" s="144">
        <v>56965</v>
      </c>
      <c r="R259" s="143" t="s">
        <v>1212</v>
      </c>
      <c r="S259" s="143" t="s">
        <v>2588</v>
      </c>
      <c r="T259" s="145" t="s">
        <v>3853</v>
      </c>
      <c r="U259" s="144">
        <v>5533.1562999999996</v>
      </c>
      <c r="V259" s="146">
        <v>4.226495336498475E-5</v>
      </c>
      <c r="W259" s="146">
        <v>3.5914178392892778E-3</v>
      </c>
      <c r="X259" s="147">
        <v>7.3716083958783041E-4</v>
      </c>
      <c r="Y259" s="183"/>
    </row>
    <row r="260" spans="1:25" ht="15" x14ac:dyDescent="0.2">
      <c r="A260" s="142" t="s">
        <v>1218</v>
      </c>
      <c r="B260" s="143" t="s">
        <v>1218</v>
      </c>
      <c r="C260" s="143" t="s">
        <v>2594</v>
      </c>
      <c r="D260" s="143" t="s">
        <v>2595</v>
      </c>
      <c r="E260" s="143" t="s">
        <v>313</v>
      </c>
      <c r="F260" s="143" t="s">
        <v>2596</v>
      </c>
      <c r="G260" s="143" t="s">
        <v>2597</v>
      </c>
      <c r="H260" s="143" t="s">
        <v>321</v>
      </c>
      <c r="I260" s="143" t="s">
        <v>917</v>
      </c>
      <c r="J260" s="143" t="s">
        <v>205</v>
      </c>
      <c r="K260" s="143" t="s">
        <v>268</v>
      </c>
      <c r="L260" s="143" t="s">
        <v>325</v>
      </c>
      <c r="M260" s="143" t="s">
        <v>344</v>
      </c>
      <c r="N260" s="143" t="s">
        <v>546</v>
      </c>
      <c r="O260" s="143" t="s">
        <v>339</v>
      </c>
      <c r="P260" s="143" t="s">
        <v>1211</v>
      </c>
      <c r="Q260" s="144">
        <v>15038</v>
      </c>
      <c r="R260" s="143" t="s">
        <v>1212</v>
      </c>
      <c r="S260" s="143" t="s">
        <v>2598</v>
      </c>
      <c r="T260" s="145" t="s">
        <v>3853</v>
      </c>
      <c r="U260" s="144">
        <v>4888.5277999999998</v>
      </c>
      <c r="V260" s="146">
        <v>5.4557063975213866E-5</v>
      </c>
      <c r="W260" s="146">
        <v>3.1730074072465857E-3</v>
      </c>
      <c r="X260" s="147">
        <v>6.5127949712673273E-4</v>
      </c>
      <c r="Y260" s="183"/>
    </row>
    <row r="261" spans="1:25" ht="15" x14ac:dyDescent="0.2">
      <c r="A261" s="142" t="s">
        <v>1218</v>
      </c>
      <c r="B261" s="143" t="s">
        <v>1218</v>
      </c>
      <c r="C261" s="143" t="s">
        <v>2599</v>
      </c>
      <c r="D261" s="143" t="s">
        <v>2600</v>
      </c>
      <c r="E261" s="143" t="s">
        <v>313</v>
      </c>
      <c r="F261" s="143" t="s">
        <v>2601</v>
      </c>
      <c r="G261" s="143" t="s">
        <v>2602</v>
      </c>
      <c r="H261" s="143" t="s">
        <v>321</v>
      </c>
      <c r="I261" s="143" t="s">
        <v>917</v>
      </c>
      <c r="J261" s="143" t="s">
        <v>205</v>
      </c>
      <c r="K261" s="143" t="s">
        <v>224</v>
      </c>
      <c r="L261" s="143" t="s">
        <v>325</v>
      </c>
      <c r="M261" s="143" t="s">
        <v>344</v>
      </c>
      <c r="N261" s="143" t="s">
        <v>548</v>
      </c>
      <c r="O261" s="143" t="s">
        <v>339</v>
      </c>
      <c r="P261" s="143" t="s">
        <v>1211</v>
      </c>
      <c r="Q261" s="144">
        <v>36066</v>
      </c>
      <c r="R261" s="143" t="s">
        <v>1212</v>
      </c>
      <c r="S261" s="143" t="s">
        <v>2603</v>
      </c>
      <c r="T261" s="145" t="s">
        <v>3853</v>
      </c>
      <c r="U261" s="144">
        <v>3424.5511000000001</v>
      </c>
      <c r="V261" s="146">
        <v>6.4524554969138564E-4</v>
      </c>
      <c r="W261" s="146">
        <v>2.2227808630122994E-3</v>
      </c>
      <c r="X261" s="147">
        <v>4.5623959130363078E-4</v>
      </c>
      <c r="Y261" s="183"/>
    </row>
    <row r="262" spans="1:25" ht="15" x14ac:dyDescent="0.2">
      <c r="A262" s="142" t="s">
        <v>1218</v>
      </c>
      <c r="B262" s="143" t="s">
        <v>1218</v>
      </c>
      <c r="C262" s="143" t="s">
        <v>2604</v>
      </c>
      <c r="D262" s="143" t="s">
        <v>2605</v>
      </c>
      <c r="E262" s="143" t="s">
        <v>313</v>
      </c>
      <c r="F262" s="143" t="s">
        <v>2604</v>
      </c>
      <c r="G262" s="143" t="s">
        <v>2606</v>
      </c>
      <c r="H262" s="143" t="s">
        <v>321</v>
      </c>
      <c r="I262" s="143" t="s">
        <v>917</v>
      </c>
      <c r="J262" s="143" t="s">
        <v>205</v>
      </c>
      <c r="K262" s="143" t="s">
        <v>272</v>
      </c>
      <c r="L262" s="143" t="s">
        <v>325</v>
      </c>
      <c r="M262" s="143" t="s">
        <v>394</v>
      </c>
      <c r="N262" s="143" t="s">
        <v>568</v>
      </c>
      <c r="O262" s="143" t="s">
        <v>339</v>
      </c>
      <c r="P262" s="143" t="s">
        <v>1214</v>
      </c>
      <c r="Q262" s="144">
        <v>76833</v>
      </c>
      <c r="R262" s="143" t="s">
        <v>1215</v>
      </c>
      <c r="S262" s="143" t="s">
        <v>2607</v>
      </c>
      <c r="T262" s="145" t="s">
        <v>3853</v>
      </c>
      <c r="U262" s="144">
        <v>1729.7505000000001</v>
      </c>
      <c r="V262" s="146">
        <v>2.1283379501385043E-2</v>
      </c>
      <c r="W262" s="146">
        <v>1.1227329690760644E-3</v>
      </c>
      <c r="X262" s="147">
        <v>2.3044792200531972E-4</v>
      </c>
      <c r="Y262" s="183"/>
    </row>
    <row r="263" spans="1:25" ht="15" x14ac:dyDescent="0.2">
      <c r="A263" s="142" t="s">
        <v>1218</v>
      </c>
      <c r="B263" s="143" t="s">
        <v>1218</v>
      </c>
      <c r="C263" s="143" t="s">
        <v>2608</v>
      </c>
      <c r="D263" s="143" t="s">
        <v>2609</v>
      </c>
      <c r="E263" s="143" t="s">
        <v>309</v>
      </c>
      <c r="F263" s="143" t="s">
        <v>2610</v>
      </c>
      <c r="G263" s="143" t="s">
        <v>2611</v>
      </c>
      <c r="H263" s="143" t="s">
        <v>321</v>
      </c>
      <c r="I263" s="143" t="s">
        <v>917</v>
      </c>
      <c r="J263" s="143" t="s">
        <v>205</v>
      </c>
      <c r="K263" s="143" t="s">
        <v>204</v>
      </c>
      <c r="L263" s="143" t="s">
        <v>325</v>
      </c>
      <c r="M263" s="143" t="s">
        <v>344</v>
      </c>
      <c r="N263" s="143" t="s">
        <v>533</v>
      </c>
      <c r="O263" s="143" t="s">
        <v>339</v>
      </c>
      <c r="P263" s="143" t="s">
        <v>1211</v>
      </c>
      <c r="Q263" s="144">
        <v>19851</v>
      </c>
      <c r="R263" s="143" t="s">
        <v>1212</v>
      </c>
      <c r="S263" s="143" t="s">
        <v>2612</v>
      </c>
      <c r="T263" s="145" t="s">
        <v>3853</v>
      </c>
      <c r="U263" s="144">
        <v>1252.1221</v>
      </c>
      <c r="V263" s="146">
        <v>8.5972282373321786E-4</v>
      </c>
      <c r="W263" s="146">
        <v>8.1271761037026271E-4</v>
      </c>
      <c r="X263" s="147">
        <v>1.6681534224570135E-4</v>
      </c>
      <c r="Y263" s="183"/>
    </row>
    <row r="264" spans="1:25" ht="15" x14ac:dyDescent="0.2">
      <c r="A264" s="142" t="s">
        <v>1218</v>
      </c>
      <c r="B264" s="143" t="s">
        <v>1218</v>
      </c>
      <c r="C264" s="143" t="s">
        <v>2613</v>
      </c>
      <c r="D264" s="143" t="s">
        <v>2614</v>
      </c>
      <c r="E264" s="143" t="s">
        <v>313</v>
      </c>
      <c r="F264" s="143" t="s">
        <v>2613</v>
      </c>
      <c r="G264" s="143" t="s">
        <v>2615</v>
      </c>
      <c r="H264" s="143" t="s">
        <v>321</v>
      </c>
      <c r="I264" s="143" t="s">
        <v>917</v>
      </c>
      <c r="J264" s="143" t="s">
        <v>205</v>
      </c>
      <c r="K264" s="143" t="s">
        <v>224</v>
      </c>
      <c r="L264" s="143" t="s">
        <v>325</v>
      </c>
      <c r="M264" s="143" t="s">
        <v>344</v>
      </c>
      <c r="N264" s="143" t="s">
        <v>544</v>
      </c>
      <c r="O264" s="143" t="s">
        <v>339</v>
      </c>
      <c r="P264" s="143" t="s">
        <v>1211</v>
      </c>
      <c r="Q264" s="144">
        <v>431</v>
      </c>
      <c r="R264" s="143" t="s">
        <v>1212</v>
      </c>
      <c r="S264" s="143" t="s">
        <v>2616</v>
      </c>
      <c r="T264" s="145" t="s">
        <v>3853</v>
      </c>
      <c r="U264" s="144">
        <v>50.953099999999999</v>
      </c>
      <c r="V264" s="146">
        <v>3.7735188281954525E-6</v>
      </c>
      <c r="W264" s="146">
        <v>3.3072212094191098E-5</v>
      </c>
      <c r="X264" s="147">
        <v>6.788277144384093E-6</v>
      </c>
      <c r="Y264" s="183"/>
    </row>
    <row r="265" spans="1:25" ht="15" x14ac:dyDescent="0.2">
      <c r="A265" s="142" t="s">
        <v>1218</v>
      </c>
      <c r="B265" s="143" t="s">
        <v>1218</v>
      </c>
      <c r="C265" s="143" t="s">
        <v>2617</v>
      </c>
      <c r="D265" s="143" t="s">
        <v>2618</v>
      </c>
      <c r="E265" s="143" t="s">
        <v>309</v>
      </c>
      <c r="F265" s="143" t="s">
        <v>2617</v>
      </c>
      <c r="G265" s="143" t="s">
        <v>2619</v>
      </c>
      <c r="H265" s="143" t="s">
        <v>321</v>
      </c>
      <c r="I265" s="143" t="s">
        <v>917</v>
      </c>
      <c r="J265" s="143" t="s">
        <v>205</v>
      </c>
      <c r="K265" s="143" t="s">
        <v>204</v>
      </c>
      <c r="L265" s="143" t="s">
        <v>325</v>
      </c>
      <c r="M265" s="143" t="s">
        <v>344</v>
      </c>
      <c r="N265" s="143" t="s">
        <v>533</v>
      </c>
      <c r="O265" s="143" t="s">
        <v>339</v>
      </c>
      <c r="P265" s="143" t="s">
        <v>1211</v>
      </c>
      <c r="Q265" s="144">
        <v>737327</v>
      </c>
      <c r="R265" s="143" t="s">
        <v>1212</v>
      </c>
      <c r="S265" s="143" t="s">
        <v>2620</v>
      </c>
      <c r="T265" s="145" t="s">
        <v>3853</v>
      </c>
      <c r="U265" s="144">
        <v>47.117400000000004</v>
      </c>
      <c r="V265" s="146">
        <v>9.9128406447883191E-3</v>
      </c>
      <c r="W265" s="146">
        <v>3.0582598516051471E-5</v>
      </c>
      <c r="X265" s="147">
        <v>6.2772684793845738E-6</v>
      </c>
      <c r="Y265" s="183"/>
    </row>
    <row r="266" spans="1:25" ht="15" x14ac:dyDescent="0.2">
      <c r="A266" s="142" t="s">
        <v>1218</v>
      </c>
      <c r="B266" s="143" t="s">
        <v>1218</v>
      </c>
      <c r="C266" s="143" t="s">
        <v>2621</v>
      </c>
      <c r="D266" s="143" t="s">
        <v>2622</v>
      </c>
      <c r="E266" s="143" t="s">
        <v>313</v>
      </c>
      <c r="F266" s="143" t="s">
        <v>2621</v>
      </c>
      <c r="G266" s="143" t="s">
        <v>2623</v>
      </c>
      <c r="H266" s="143" t="s">
        <v>321</v>
      </c>
      <c r="I266" s="143" t="s">
        <v>917</v>
      </c>
      <c r="J266" s="143" t="s">
        <v>205</v>
      </c>
      <c r="K266" s="143" t="s">
        <v>224</v>
      </c>
      <c r="L266" s="143" t="s">
        <v>325</v>
      </c>
      <c r="M266" s="143" t="s">
        <v>344</v>
      </c>
      <c r="N266" s="143" t="s">
        <v>544</v>
      </c>
      <c r="O266" s="143" t="s">
        <v>339</v>
      </c>
      <c r="P266" s="143" t="s">
        <v>1211</v>
      </c>
      <c r="Q266" s="144">
        <v>38</v>
      </c>
      <c r="R266" s="143" t="s">
        <v>1212</v>
      </c>
      <c r="S266" s="143" t="s">
        <v>2624</v>
      </c>
      <c r="T266" s="145" t="s">
        <v>3853</v>
      </c>
      <c r="U266" s="144">
        <v>1.2327000000000001</v>
      </c>
      <c r="V266" s="146">
        <v>3.063034015798807E-7</v>
      </c>
      <c r="W266" s="146">
        <v>8.0012845743946141E-7</v>
      </c>
      <c r="X266" s="147">
        <v>1.6423134033908791E-7</v>
      </c>
      <c r="Y266" s="183"/>
    </row>
    <row r="267" spans="1:25" ht="15" x14ac:dyDescent="0.2">
      <c r="A267" s="154" t="s">
        <v>1205</v>
      </c>
      <c r="B267" s="155" t="s">
        <v>1206</v>
      </c>
      <c r="C267" s="145" t="s">
        <v>3853</v>
      </c>
      <c r="D267" s="145" t="s">
        <v>3853</v>
      </c>
      <c r="E267" s="145" t="s">
        <v>3853</v>
      </c>
      <c r="F267" s="145" t="s">
        <v>3853</v>
      </c>
      <c r="G267" s="145" t="s">
        <v>3853</v>
      </c>
      <c r="H267" s="145" t="s">
        <v>3853</v>
      </c>
      <c r="I267" s="145" t="s">
        <v>3853</v>
      </c>
      <c r="J267" s="145" t="s">
        <v>3853</v>
      </c>
      <c r="K267" s="145" t="s">
        <v>3853</v>
      </c>
      <c r="L267" s="145" t="s">
        <v>3853</v>
      </c>
      <c r="M267" s="145" t="s">
        <v>3853</v>
      </c>
      <c r="N267" s="145" t="s">
        <v>3853</v>
      </c>
      <c r="O267" s="145" t="s">
        <v>3853</v>
      </c>
      <c r="P267" s="145" t="s">
        <v>3853</v>
      </c>
      <c r="Q267" s="145" t="s">
        <v>3853</v>
      </c>
      <c r="R267" s="145" t="s">
        <v>3853</v>
      </c>
      <c r="S267" s="145" t="s">
        <v>3853</v>
      </c>
      <c r="T267" s="145" t="s">
        <v>3853</v>
      </c>
      <c r="U267" s="145" t="s">
        <v>3853</v>
      </c>
      <c r="V267" s="145" t="s">
        <v>3853</v>
      </c>
      <c r="W267" s="145" t="s">
        <v>3853</v>
      </c>
      <c r="X267" s="156" t="s">
        <v>3853</v>
      </c>
      <c r="Y267" s="183"/>
    </row>
    <row r="268" spans="1:25" ht="15" x14ac:dyDescent="0.2">
      <c r="A268" s="154" t="s">
        <v>1205</v>
      </c>
      <c r="B268" s="155" t="s">
        <v>1213</v>
      </c>
      <c r="C268" s="145" t="s">
        <v>3853</v>
      </c>
      <c r="D268" s="145" t="s">
        <v>3853</v>
      </c>
      <c r="E268" s="145" t="s">
        <v>3853</v>
      </c>
      <c r="F268" s="145" t="s">
        <v>3853</v>
      </c>
      <c r="G268" s="145" t="s">
        <v>3853</v>
      </c>
      <c r="H268" s="145" t="s">
        <v>3853</v>
      </c>
      <c r="I268" s="145" t="s">
        <v>3853</v>
      </c>
      <c r="J268" s="145" t="s">
        <v>3853</v>
      </c>
      <c r="K268" s="145" t="s">
        <v>3853</v>
      </c>
      <c r="L268" s="145" t="s">
        <v>3853</v>
      </c>
      <c r="M268" s="145" t="s">
        <v>3853</v>
      </c>
      <c r="N268" s="145" t="s">
        <v>3853</v>
      </c>
      <c r="O268" s="145" t="s">
        <v>3853</v>
      </c>
      <c r="P268" s="145" t="s">
        <v>3853</v>
      </c>
      <c r="Q268" s="145" t="s">
        <v>3853</v>
      </c>
      <c r="R268" s="145" t="s">
        <v>3853</v>
      </c>
      <c r="S268" s="145" t="s">
        <v>3853</v>
      </c>
      <c r="T268" s="145" t="s">
        <v>3853</v>
      </c>
      <c r="U268" s="145" t="s">
        <v>3853</v>
      </c>
      <c r="V268" s="145" t="s">
        <v>3853</v>
      </c>
      <c r="W268" s="145" t="s">
        <v>3853</v>
      </c>
      <c r="X268" s="156" t="s">
        <v>3853</v>
      </c>
      <c r="Y268" s="183"/>
    </row>
    <row r="269" spans="1:25" ht="15" x14ac:dyDescent="0.2">
      <c r="A269" s="154" t="s">
        <v>1218</v>
      </c>
      <c r="B269" s="155" t="s">
        <v>1219</v>
      </c>
      <c r="C269" s="145" t="s">
        <v>3853</v>
      </c>
      <c r="D269" s="145" t="s">
        <v>3853</v>
      </c>
      <c r="E269" s="145" t="s">
        <v>3853</v>
      </c>
      <c r="F269" s="145" t="s">
        <v>3853</v>
      </c>
      <c r="G269" s="145" t="s">
        <v>3853</v>
      </c>
      <c r="H269" s="145" t="s">
        <v>3853</v>
      </c>
      <c r="I269" s="145" t="s">
        <v>3853</v>
      </c>
      <c r="J269" s="145" t="s">
        <v>3853</v>
      </c>
      <c r="K269" s="145" t="s">
        <v>3853</v>
      </c>
      <c r="L269" s="145" t="s">
        <v>3853</v>
      </c>
      <c r="M269" s="145" t="s">
        <v>3853</v>
      </c>
      <c r="N269" s="145" t="s">
        <v>3853</v>
      </c>
      <c r="O269" s="145" t="s">
        <v>3853</v>
      </c>
      <c r="P269" s="145" t="s">
        <v>3853</v>
      </c>
      <c r="Q269" s="145" t="s">
        <v>3853</v>
      </c>
      <c r="R269" s="145" t="s">
        <v>3853</v>
      </c>
      <c r="S269" s="145" t="s">
        <v>3853</v>
      </c>
      <c r="T269" s="145" t="s">
        <v>3853</v>
      </c>
      <c r="U269" s="145" t="s">
        <v>3853</v>
      </c>
      <c r="V269" s="145" t="s">
        <v>3853</v>
      </c>
      <c r="W269" s="145" t="s">
        <v>3853</v>
      </c>
      <c r="X269" s="156" t="s">
        <v>3853</v>
      </c>
      <c r="Y269" s="183"/>
    </row>
    <row r="270" spans="1:25" ht="15" x14ac:dyDescent="0.2">
      <c r="A270" s="157" t="s">
        <v>1218</v>
      </c>
      <c r="B270" s="158" t="s">
        <v>1220</v>
      </c>
      <c r="C270" s="151" t="s">
        <v>3853</v>
      </c>
      <c r="D270" s="151" t="s">
        <v>3853</v>
      </c>
      <c r="E270" s="151" t="s">
        <v>3853</v>
      </c>
      <c r="F270" s="151" t="s">
        <v>3853</v>
      </c>
      <c r="G270" s="151" t="s">
        <v>3853</v>
      </c>
      <c r="H270" s="151" t="s">
        <v>3853</v>
      </c>
      <c r="I270" s="151" t="s">
        <v>3853</v>
      </c>
      <c r="J270" s="151" t="s">
        <v>3853</v>
      </c>
      <c r="K270" s="151" t="s">
        <v>3853</v>
      </c>
      <c r="L270" s="151" t="s">
        <v>3853</v>
      </c>
      <c r="M270" s="151" t="s">
        <v>3853</v>
      </c>
      <c r="N270" s="151" t="s">
        <v>3853</v>
      </c>
      <c r="O270" s="151" t="s">
        <v>3853</v>
      </c>
      <c r="P270" s="151" t="s">
        <v>3853</v>
      </c>
      <c r="Q270" s="151" t="s">
        <v>3853</v>
      </c>
      <c r="R270" s="151" t="s">
        <v>3853</v>
      </c>
      <c r="S270" s="151" t="s">
        <v>3853</v>
      </c>
      <c r="T270" s="151" t="s">
        <v>3853</v>
      </c>
      <c r="U270" s="151" t="s">
        <v>3853</v>
      </c>
      <c r="V270" s="151" t="s">
        <v>3853</v>
      </c>
      <c r="W270" s="151" t="s">
        <v>3853</v>
      </c>
      <c r="X270" s="159" t="s">
        <v>3853</v>
      </c>
      <c r="Y270" s="183"/>
    </row>
    <row r="271" spans="1:25" x14ac:dyDescent="0.2">
      <c r="A271" s="183" t="s">
        <v>3870</v>
      </c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</row>
    <row r="272" spans="1:25" x14ac:dyDescent="0.2">
      <c r="A272" s="4" t="s">
        <v>3869</v>
      </c>
    </row>
    <row r="273" spans="1:1" x14ac:dyDescent="0.2">
      <c r="A273" s="177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71:X271"/>
    <mergeCell ref="Y2:Y270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26"/>
  <sheetViews>
    <sheetView rightToLeft="1" topLeftCell="B1" workbookViewId="0">
      <selection activeCell="D15" sqref="D15"/>
    </sheetView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34.75" style="2" bestFit="1" customWidth="1"/>
    <col min="4" max="4" width="26.375" style="2" bestFit="1" customWidth="1"/>
    <col min="5" max="5" width="18.125" style="4" customWidth="1"/>
    <col min="6" max="6" width="47" style="2" bestFit="1" customWidth="1"/>
    <col min="7" max="7" width="14.375" style="2" bestFit="1" customWidth="1"/>
    <col min="8" max="8" width="15.5" style="2" customWidth="1"/>
    <col min="9" max="9" width="24.5" style="2" bestFit="1" customWidth="1"/>
    <col min="10" max="10" width="10.625" style="2" customWidth="1"/>
    <col min="11" max="11" width="21" style="2" bestFit="1" customWidth="1"/>
    <col min="12" max="12" width="11" style="2" bestFit="1" customWidth="1"/>
    <col min="13" max="13" width="75.5" style="2" bestFit="1" customWidth="1"/>
    <col min="14" max="14" width="15.125" style="2" customWidth="1"/>
    <col min="15" max="15" width="11.75" style="2" customWidth="1"/>
    <col min="16" max="16" width="14.875" style="4" customWidth="1"/>
    <col min="17" max="17" width="10.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3879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90</v>
      </c>
      <c r="N2" s="140" t="s">
        <v>56</v>
      </c>
      <c r="O2" s="140" t="s">
        <v>59</v>
      </c>
      <c r="P2" s="140" t="s">
        <v>76</v>
      </c>
      <c r="Q2" s="140" t="s">
        <v>61</v>
      </c>
      <c r="R2" s="140" t="s">
        <v>77</v>
      </c>
      <c r="S2" s="140" t="s">
        <v>75</v>
      </c>
      <c r="T2" s="140" t="s">
        <v>63</v>
      </c>
      <c r="U2" s="140" t="s">
        <v>79</v>
      </c>
      <c r="V2" s="140" t="s">
        <v>64</v>
      </c>
      <c r="W2" s="141" t="s">
        <v>65</v>
      </c>
      <c r="X2" s="181" t="s">
        <v>3871</v>
      </c>
    </row>
    <row r="3" spans="1:24" ht="15" x14ac:dyDescent="0.2">
      <c r="A3" s="142" t="s">
        <v>1205</v>
      </c>
      <c r="B3" s="143" t="s">
        <v>1206</v>
      </c>
      <c r="C3" s="143" t="s">
        <v>2625</v>
      </c>
      <c r="D3" s="143" t="s">
        <v>2626</v>
      </c>
      <c r="E3" s="143" t="s">
        <v>309</v>
      </c>
      <c r="F3" s="143" t="s">
        <v>2627</v>
      </c>
      <c r="G3" s="143" t="s">
        <v>2628</v>
      </c>
      <c r="H3" s="143" t="s">
        <v>321</v>
      </c>
      <c r="I3" s="143" t="s">
        <v>964</v>
      </c>
      <c r="J3" s="143" t="s">
        <v>204</v>
      </c>
      <c r="K3" s="143" t="s">
        <v>204</v>
      </c>
      <c r="L3" s="143" t="s">
        <v>340</v>
      </c>
      <c r="M3" s="143" t="s">
        <v>572</v>
      </c>
      <c r="N3" s="143" t="s">
        <v>339</v>
      </c>
      <c r="O3" s="143" t="s">
        <v>1210</v>
      </c>
      <c r="P3" s="144">
        <v>4193</v>
      </c>
      <c r="Q3" s="145" t="s">
        <v>3853</v>
      </c>
      <c r="R3" s="143" t="s">
        <v>2629</v>
      </c>
      <c r="S3" s="144" t="s">
        <v>3855</v>
      </c>
      <c r="T3" s="144">
        <v>801.70159999999998</v>
      </c>
      <c r="U3" s="146">
        <v>1.9966666666666666E-3</v>
      </c>
      <c r="V3" s="146">
        <v>9.1098587071919271E-2</v>
      </c>
      <c r="W3" s="147">
        <v>5.4291219122235584E-2</v>
      </c>
      <c r="X3" s="181"/>
    </row>
    <row r="4" spans="1:24" ht="15" x14ac:dyDescent="0.2">
      <c r="A4" s="142" t="s">
        <v>1205</v>
      </c>
      <c r="B4" s="143" t="s">
        <v>1206</v>
      </c>
      <c r="C4" s="143" t="s">
        <v>2630</v>
      </c>
      <c r="D4" s="143" t="s">
        <v>2631</v>
      </c>
      <c r="E4" s="143" t="s">
        <v>309</v>
      </c>
      <c r="F4" s="143" t="s">
        <v>2632</v>
      </c>
      <c r="G4" s="143" t="s">
        <v>2633</v>
      </c>
      <c r="H4" s="143" t="s">
        <v>321</v>
      </c>
      <c r="I4" s="143" t="s">
        <v>964</v>
      </c>
      <c r="J4" s="143" t="s">
        <v>204</v>
      </c>
      <c r="K4" s="143" t="s">
        <v>204</v>
      </c>
      <c r="L4" s="143" t="s">
        <v>340</v>
      </c>
      <c r="M4" s="143" t="s">
        <v>572</v>
      </c>
      <c r="N4" s="143" t="s">
        <v>339</v>
      </c>
      <c r="O4" s="143" t="s">
        <v>1210</v>
      </c>
      <c r="P4" s="144">
        <v>32425</v>
      </c>
      <c r="Q4" s="145" t="s">
        <v>3853</v>
      </c>
      <c r="R4" s="143" t="s">
        <v>2143</v>
      </c>
      <c r="S4" s="144" t="s">
        <v>3855</v>
      </c>
      <c r="T4" s="144">
        <v>622.55999999999995</v>
      </c>
      <c r="U4" s="146">
        <v>1.706578947368421E-3</v>
      </c>
      <c r="V4" s="146">
        <v>7.0742451265525808E-2</v>
      </c>
      <c r="W4" s="147">
        <v>4.2159752926449176E-2</v>
      </c>
      <c r="X4" s="181"/>
    </row>
    <row r="5" spans="1:24" ht="15" x14ac:dyDescent="0.2">
      <c r="A5" s="142" t="s">
        <v>1205</v>
      </c>
      <c r="B5" s="143" t="s">
        <v>1206</v>
      </c>
      <c r="C5" s="143" t="s">
        <v>2634</v>
      </c>
      <c r="D5" s="143" t="s">
        <v>2635</v>
      </c>
      <c r="E5" s="143" t="s">
        <v>309</v>
      </c>
      <c r="F5" s="143" t="s">
        <v>2636</v>
      </c>
      <c r="G5" s="143" t="s">
        <v>2637</v>
      </c>
      <c r="H5" s="143" t="s">
        <v>321</v>
      </c>
      <c r="I5" s="143" t="s">
        <v>964</v>
      </c>
      <c r="J5" s="143" t="s">
        <v>204</v>
      </c>
      <c r="K5" s="143" t="s">
        <v>204</v>
      </c>
      <c r="L5" s="143" t="s">
        <v>340</v>
      </c>
      <c r="M5" s="143" t="s">
        <v>572</v>
      </c>
      <c r="N5" s="143" t="s">
        <v>339</v>
      </c>
      <c r="O5" s="143" t="s">
        <v>1210</v>
      </c>
      <c r="P5" s="144">
        <v>10208</v>
      </c>
      <c r="Q5" s="145" t="s">
        <v>3853</v>
      </c>
      <c r="R5" s="143" t="s">
        <v>2638</v>
      </c>
      <c r="S5" s="144" t="s">
        <v>3855</v>
      </c>
      <c r="T5" s="144">
        <v>195.17699999999999</v>
      </c>
      <c r="U5" s="146">
        <v>5.0039608153789445E-4</v>
      </c>
      <c r="V5" s="146">
        <v>2.2178258450516384E-2</v>
      </c>
      <c r="W5" s="147">
        <v>1.3217380510369206E-2</v>
      </c>
      <c r="X5" s="181"/>
    </row>
    <row r="6" spans="1:24" ht="15" x14ac:dyDescent="0.2">
      <c r="A6" s="142" t="s">
        <v>1205</v>
      </c>
      <c r="B6" s="143" t="s">
        <v>1206</v>
      </c>
      <c r="C6" s="143" t="s">
        <v>2639</v>
      </c>
      <c r="D6" s="143" t="s">
        <v>2640</v>
      </c>
      <c r="E6" s="143" t="s">
        <v>309</v>
      </c>
      <c r="F6" s="143" t="s">
        <v>2641</v>
      </c>
      <c r="G6" s="143" t="s">
        <v>2642</v>
      </c>
      <c r="H6" s="143" t="s">
        <v>321</v>
      </c>
      <c r="I6" s="143" t="s">
        <v>964</v>
      </c>
      <c r="J6" s="143" t="s">
        <v>204</v>
      </c>
      <c r="K6" s="143" t="s">
        <v>204</v>
      </c>
      <c r="L6" s="143" t="s">
        <v>340</v>
      </c>
      <c r="M6" s="143" t="s">
        <v>572</v>
      </c>
      <c r="N6" s="143" t="s">
        <v>339</v>
      </c>
      <c r="O6" s="143" t="s">
        <v>1210</v>
      </c>
      <c r="P6" s="144">
        <v>2670</v>
      </c>
      <c r="Q6" s="145" t="s">
        <v>3853</v>
      </c>
      <c r="R6" s="143" t="s">
        <v>2643</v>
      </c>
      <c r="S6" s="144" t="s">
        <v>3855</v>
      </c>
      <c r="T6" s="144">
        <v>80.206800000000001</v>
      </c>
      <c r="U6" s="146">
        <v>2.9666666666666665E-4</v>
      </c>
      <c r="V6" s="146">
        <v>9.114022166801232E-3</v>
      </c>
      <c r="W6" s="147">
        <v>5.4316031724189213E-3</v>
      </c>
      <c r="X6" s="181"/>
    </row>
    <row r="7" spans="1:24" ht="15" x14ac:dyDescent="0.2">
      <c r="A7" s="142" t="s">
        <v>1205</v>
      </c>
      <c r="B7" s="143" t="s">
        <v>1206</v>
      </c>
      <c r="C7" s="143" t="s">
        <v>2630</v>
      </c>
      <c r="D7" s="143" t="s">
        <v>2631</v>
      </c>
      <c r="E7" s="143" t="s">
        <v>309</v>
      </c>
      <c r="F7" s="143" t="s">
        <v>2644</v>
      </c>
      <c r="G7" s="143" t="s">
        <v>2645</v>
      </c>
      <c r="H7" s="143" t="s">
        <v>321</v>
      </c>
      <c r="I7" s="143" t="s">
        <v>965</v>
      </c>
      <c r="J7" s="143" t="s">
        <v>204</v>
      </c>
      <c r="K7" s="143" t="s">
        <v>224</v>
      </c>
      <c r="L7" s="143" t="s">
        <v>340</v>
      </c>
      <c r="M7" s="143" t="s">
        <v>604</v>
      </c>
      <c r="N7" s="143" t="s">
        <v>339</v>
      </c>
      <c r="O7" s="143" t="s">
        <v>1210</v>
      </c>
      <c r="P7" s="144">
        <v>15698</v>
      </c>
      <c r="Q7" s="145" t="s">
        <v>3853</v>
      </c>
      <c r="R7" s="143" t="s">
        <v>2646</v>
      </c>
      <c r="S7" s="144" t="s">
        <v>3855</v>
      </c>
      <c r="T7" s="144">
        <v>374.39729999999997</v>
      </c>
      <c r="U7" s="146">
        <v>4.1442736388115674E-5</v>
      </c>
      <c r="V7" s="146">
        <v>4.2543341604334435E-2</v>
      </c>
      <c r="W7" s="147">
        <v>2.5354178977656242E-2</v>
      </c>
      <c r="X7" s="181"/>
    </row>
    <row r="8" spans="1:24" ht="15" x14ac:dyDescent="0.2">
      <c r="A8" s="142" t="s">
        <v>1205</v>
      </c>
      <c r="B8" s="143" t="s">
        <v>1206</v>
      </c>
      <c r="C8" s="143" t="s">
        <v>2630</v>
      </c>
      <c r="D8" s="143" t="s">
        <v>2631</v>
      </c>
      <c r="E8" s="143" t="s">
        <v>309</v>
      </c>
      <c r="F8" s="143" t="s">
        <v>2647</v>
      </c>
      <c r="G8" s="143" t="s">
        <v>2648</v>
      </c>
      <c r="H8" s="143" t="s">
        <v>321</v>
      </c>
      <c r="I8" s="143" t="s">
        <v>965</v>
      </c>
      <c r="J8" s="143" t="s">
        <v>204</v>
      </c>
      <c r="K8" s="143" t="s">
        <v>224</v>
      </c>
      <c r="L8" s="143" t="s">
        <v>340</v>
      </c>
      <c r="M8" s="143" t="s">
        <v>611</v>
      </c>
      <c r="N8" s="143" t="s">
        <v>339</v>
      </c>
      <c r="O8" s="143" t="s">
        <v>1210</v>
      </c>
      <c r="P8" s="144">
        <v>2464</v>
      </c>
      <c r="Q8" s="145" t="s">
        <v>3853</v>
      </c>
      <c r="R8" s="143" t="s">
        <v>2649</v>
      </c>
      <c r="S8" s="144" t="s">
        <v>3855</v>
      </c>
      <c r="T8" s="144">
        <v>220.40479999999999</v>
      </c>
      <c r="U8" s="146">
        <v>6.0012811176411849E-5</v>
      </c>
      <c r="V8" s="146">
        <v>2.5044936749370281E-2</v>
      </c>
      <c r="W8" s="147">
        <v>1.4925809418856729E-2</v>
      </c>
      <c r="X8" s="181"/>
    </row>
    <row r="9" spans="1:24" ht="15" x14ac:dyDescent="0.2">
      <c r="A9" s="142" t="s">
        <v>1205</v>
      </c>
      <c r="B9" s="143" t="s">
        <v>1206</v>
      </c>
      <c r="C9" s="143" t="s">
        <v>2625</v>
      </c>
      <c r="D9" s="143" t="s">
        <v>2626</v>
      </c>
      <c r="E9" s="143" t="s">
        <v>309</v>
      </c>
      <c r="F9" s="143" t="s">
        <v>2650</v>
      </c>
      <c r="G9" s="143" t="s">
        <v>2651</v>
      </c>
      <c r="H9" s="143" t="s">
        <v>321</v>
      </c>
      <c r="I9" s="143" t="s">
        <v>965</v>
      </c>
      <c r="J9" s="143" t="s">
        <v>204</v>
      </c>
      <c r="K9" s="143" t="s">
        <v>224</v>
      </c>
      <c r="L9" s="143" t="s">
        <v>340</v>
      </c>
      <c r="M9" s="143" t="s">
        <v>595</v>
      </c>
      <c r="N9" s="143" t="s">
        <v>339</v>
      </c>
      <c r="O9" s="143" t="s">
        <v>1210</v>
      </c>
      <c r="P9" s="144">
        <v>9330</v>
      </c>
      <c r="Q9" s="145" t="s">
        <v>3853</v>
      </c>
      <c r="R9" s="143" t="s">
        <v>2652</v>
      </c>
      <c r="S9" s="144" t="s">
        <v>3855</v>
      </c>
      <c r="T9" s="144">
        <v>134.16540000000001</v>
      </c>
      <c r="U9" s="146">
        <v>1.3799940735688597E-4</v>
      </c>
      <c r="V9" s="146">
        <v>1.5245420957047957E-2</v>
      </c>
      <c r="W9" s="147">
        <v>9.0856786739884083E-3</v>
      </c>
      <c r="X9" s="181"/>
    </row>
    <row r="10" spans="1:24" ht="15" x14ac:dyDescent="0.2">
      <c r="A10" s="142" t="s">
        <v>1205</v>
      </c>
      <c r="B10" s="143" t="s">
        <v>1206</v>
      </c>
      <c r="C10" s="143" t="s">
        <v>2630</v>
      </c>
      <c r="D10" s="143" t="s">
        <v>2631</v>
      </c>
      <c r="E10" s="143" t="s">
        <v>309</v>
      </c>
      <c r="F10" s="143" t="s">
        <v>2653</v>
      </c>
      <c r="G10" s="143" t="s">
        <v>2654</v>
      </c>
      <c r="H10" s="143" t="s">
        <v>321</v>
      </c>
      <c r="I10" s="143" t="s">
        <v>965</v>
      </c>
      <c r="J10" s="143" t="s">
        <v>204</v>
      </c>
      <c r="K10" s="143" t="s">
        <v>224</v>
      </c>
      <c r="L10" s="143" t="s">
        <v>340</v>
      </c>
      <c r="M10" s="143" t="s">
        <v>597</v>
      </c>
      <c r="N10" s="143" t="s">
        <v>339</v>
      </c>
      <c r="O10" s="143" t="s">
        <v>1210</v>
      </c>
      <c r="P10" s="144">
        <v>1277</v>
      </c>
      <c r="Q10" s="145" t="s">
        <v>3853</v>
      </c>
      <c r="R10" s="143" t="s">
        <v>2655</v>
      </c>
      <c r="S10" s="144" t="s">
        <v>3855</v>
      </c>
      <c r="T10" s="144">
        <v>100.7808</v>
      </c>
      <c r="U10" s="146">
        <v>1.2873357743383657E-5</v>
      </c>
      <c r="V10" s="146">
        <v>1.1451882006872837E-2</v>
      </c>
      <c r="W10" s="147">
        <v>6.8248768217039416E-3</v>
      </c>
      <c r="X10" s="181"/>
    </row>
    <row r="11" spans="1:24" x14ac:dyDescent="0.2">
      <c r="A11" s="142" t="s">
        <v>1205</v>
      </c>
      <c r="B11" s="143" t="s">
        <v>1206</v>
      </c>
      <c r="C11" s="143" t="s">
        <v>2656</v>
      </c>
      <c r="D11" s="143" t="s">
        <v>2657</v>
      </c>
      <c r="E11" s="143" t="s">
        <v>313</v>
      </c>
      <c r="F11" s="143" t="s">
        <v>2658</v>
      </c>
      <c r="G11" s="143" t="s">
        <v>2659</v>
      </c>
      <c r="H11" s="143" t="s">
        <v>321</v>
      </c>
      <c r="I11" s="143" t="s">
        <v>965</v>
      </c>
      <c r="J11" s="143" t="s">
        <v>205</v>
      </c>
      <c r="K11" s="143" t="s">
        <v>224</v>
      </c>
      <c r="L11" s="143" t="s">
        <v>344</v>
      </c>
      <c r="M11" s="143" t="s">
        <v>604</v>
      </c>
      <c r="N11" s="143" t="s">
        <v>339</v>
      </c>
      <c r="O11" s="143" t="s">
        <v>1211</v>
      </c>
      <c r="P11" s="144">
        <v>495</v>
      </c>
      <c r="Q11" s="143" t="s">
        <v>1212</v>
      </c>
      <c r="R11" s="143" t="s">
        <v>2660</v>
      </c>
      <c r="S11" s="144">
        <v>0.87070999999999998</v>
      </c>
      <c r="T11" s="144">
        <v>1015.9059</v>
      </c>
      <c r="U11" s="146">
        <v>5.2495832149083924E-7</v>
      </c>
      <c r="V11" s="146">
        <v>0.11553788862252695</v>
      </c>
      <c r="W11" s="147">
        <v>6.8856093488848302E-2</v>
      </c>
      <c r="X11" s="181"/>
    </row>
    <row r="12" spans="1:24" x14ac:dyDescent="0.2">
      <c r="A12" s="142" t="s">
        <v>1205</v>
      </c>
      <c r="B12" s="143" t="s">
        <v>1206</v>
      </c>
      <c r="C12" s="143" t="s">
        <v>2661</v>
      </c>
      <c r="D12" s="143" t="s">
        <v>2662</v>
      </c>
      <c r="E12" s="143" t="s">
        <v>313</v>
      </c>
      <c r="F12" s="143" t="s">
        <v>2663</v>
      </c>
      <c r="G12" s="143" t="s">
        <v>2664</v>
      </c>
      <c r="H12" s="143" t="s">
        <v>321</v>
      </c>
      <c r="I12" s="143" t="s">
        <v>965</v>
      </c>
      <c r="J12" s="143" t="s">
        <v>205</v>
      </c>
      <c r="K12" s="143" t="s">
        <v>224</v>
      </c>
      <c r="L12" s="143" t="s">
        <v>344</v>
      </c>
      <c r="M12" s="143" t="s">
        <v>597</v>
      </c>
      <c r="N12" s="143" t="s">
        <v>339</v>
      </c>
      <c r="O12" s="143" t="s">
        <v>1211</v>
      </c>
      <c r="P12" s="144">
        <v>443</v>
      </c>
      <c r="Q12" s="143" t="s">
        <v>1212</v>
      </c>
      <c r="R12" s="143" t="s">
        <v>2665</v>
      </c>
      <c r="S12" s="144">
        <v>0.33733999999999997</v>
      </c>
      <c r="T12" s="144">
        <v>799.09980000000007</v>
      </c>
      <c r="U12" s="146">
        <v>8.1983899324511891E-7</v>
      </c>
      <c r="V12" s="146">
        <v>9.0841268465368483E-2</v>
      </c>
      <c r="W12" s="147">
        <v>5.4137867228408201E-2</v>
      </c>
      <c r="X12" s="181"/>
    </row>
    <row r="13" spans="1:24" x14ac:dyDescent="0.2">
      <c r="A13" s="142" t="s">
        <v>1205</v>
      </c>
      <c r="B13" s="143" t="s">
        <v>1206</v>
      </c>
      <c r="C13" s="143" t="s">
        <v>2666</v>
      </c>
      <c r="D13" s="143" t="s">
        <v>2667</v>
      </c>
      <c r="E13" s="143" t="s">
        <v>313</v>
      </c>
      <c r="F13" s="143" t="s">
        <v>2666</v>
      </c>
      <c r="G13" s="143" t="s">
        <v>2668</v>
      </c>
      <c r="H13" s="143" t="s">
        <v>321</v>
      </c>
      <c r="I13" s="143" t="s">
        <v>965</v>
      </c>
      <c r="J13" s="143" t="s">
        <v>205</v>
      </c>
      <c r="K13" s="143" t="s">
        <v>224</v>
      </c>
      <c r="L13" s="143" t="s">
        <v>344</v>
      </c>
      <c r="M13" s="143" t="s">
        <v>586</v>
      </c>
      <c r="N13" s="143" t="s">
        <v>339</v>
      </c>
      <c r="O13" s="143" t="s">
        <v>1211</v>
      </c>
      <c r="P13" s="144">
        <v>2152</v>
      </c>
      <c r="Q13" s="143" t="s">
        <v>1212</v>
      </c>
      <c r="R13" s="143" t="s">
        <v>2669</v>
      </c>
      <c r="S13" s="144" t="s">
        <v>3855</v>
      </c>
      <c r="T13" s="144">
        <v>332.5539</v>
      </c>
      <c r="U13" s="146">
        <v>2.3218553264030125E-6</v>
      </c>
      <c r="V13" s="146">
        <v>3.7788613742018508E-2</v>
      </c>
      <c r="W13" s="147">
        <v>2.252054587162574E-2</v>
      </c>
      <c r="X13" s="181"/>
    </row>
    <row r="14" spans="1:24" x14ac:dyDescent="0.2">
      <c r="A14" s="142" t="s">
        <v>1205</v>
      </c>
      <c r="B14" s="143" t="s">
        <v>1206</v>
      </c>
      <c r="C14" s="143" t="s">
        <v>2670</v>
      </c>
      <c r="D14" s="143" t="s">
        <v>2671</v>
      </c>
      <c r="E14" s="143" t="s">
        <v>313</v>
      </c>
      <c r="F14" s="143" t="s">
        <v>2670</v>
      </c>
      <c r="G14" s="143" t="s">
        <v>2672</v>
      </c>
      <c r="H14" s="143" t="s">
        <v>321</v>
      </c>
      <c r="I14" s="143" t="s">
        <v>965</v>
      </c>
      <c r="J14" s="143" t="s">
        <v>205</v>
      </c>
      <c r="K14" s="143" t="s">
        <v>268</v>
      </c>
      <c r="L14" s="143" t="s">
        <v>344</v>
      </c>
      <c r="M14" s="143" t="s">
        <v>707</v>
      </c>
      <c r="N14" s="143" t="s">
        <v>339</v>
      </c>
      <c r="O14" s="143" t="s">
        <v>1211</v>
      </c>
      <c r="P14" s="144">
        <v>650</v>
      </c>
      <c r="Q14" s="143" t="s">
        <v>1212</v>
      </c>
      <c r="R14" s="143" t="s">
        <v>2673</v>
      </c>
      <c r="S14" s="144" t="s">
        <v>3855</v>
      </c>
      <c r="T14" s="144">
        <v>175.8723</v>
      </c>
      <c r="U14" s="146">
        <v>1.1690647482014388E-5</v>
      </c>
      <c r="V14" s="146">
        <v>1.9984643963966247E-2</v>
      </c>
      <c r="W14" s="147">
        <v>1.19100714884962E-2</v>
      </c>
      <c r="X14" s="181"/>
    </row>
    <row r="15" spans="1:24" x14ac:dyDescent="0.2">
      <c r="A15" s="142" t="s">
        <v>1205</v>
      </c>
      <c r="B15" s="143" t="s">
        <v>1206</v>
      </c>
      <c r="C15" s="143" t="s">
        <v>2674</v>
      </c>
      <c r="D15" s="143" t="s">
        <v>2675</v>
      </c>
      <c r="E15" s="143" t="s">
        <v>313</v>
      </c>
      <c r="F15" s="143" t="s">
        <v>2676</v>
      </c>
      <c r="G15" s="143" t="s">
        <v>2677</v>
      </c>
      <c r="H15" s="143" t="s">
        <v>321</v>
      </c>
      <c r="I15" s="143" t="s">
        <v>965</v>
      </c>
      <c r="J15" s="143" t="s">
        <v>205</v>
      </c>
      <c r="K15" s="143" t="s">
        <v>224</v>
      </c>
      <c r="L15" s="143" t="s">
        <v>344</v>
      </c>
      <c r="M15" s="143" t="s">
        <v>583</v>
      </c>
      <c r="N15" s="143" t="s">
        <v>339</v>
      </c>
      <c r="O15" s="143" t="s">
        <v>1211</v>
      </c>
      <c r="P15" s="144">
        <v>320</v>
      </c>
      <c r="Q15" s="143" t="s">
        <v>1212</v>
      </c>
      <c r="R15" s="143" t="s">
        <v>2678</v>
      </c>
      <c r="S15" s="144" t="s">
        <v>3855</v>
      </c>
      <c r="T15" s="144">
        <v>146.595</v>
      </c>
      <c r="U15" s="146">
        <v>2.3251420516472176E-6</v>
      </c>
      <c r="V15" s="146">
        <v>1.6657813904809908E-2</v>
      </c>
      <c r="W15" s="147">
        <v>9.9274100057060756E-3</v>
      </c>
      <c r="X15" s="181"/>
    </row>
    <row r="16" spans="1:24" x14ac:dyDescent="0.2">
      <c r="A16" s="142" t="s">
        <v>1205</v>
      </c>
      <c r="B16" s="143" t="s">
        <v>1206</v>
      </c>
      <c r="C16" s="143" t="s">
        <v>2679</v>
      </c>
      <c r="D16" s="143" t="s">
        <v>2680</v>
      </c>
      <c r="E16" s="143" t="s">
        <v>313</v>
      </c>
      <c r="F16" s="143" t="s">
        <v>2679</v>
      </c>
      <c r="G16" s="143" t="s">
        <v>2681</v>
      </c>
      <c r="H16" s="143" t="s">
        <v>321</v>
      </c>
      <c r="I16" s="143" t="s">
        <v>965</v>
      </c>
      <c r="J16" s="143" t="s">
        <v>205</v>
      </c>
      <c r="K16" s="143" t="s">
        <v>224</v>
      </c>
      <c r="L16" s="143" t="s">
        <v>344</v>
      </c>
      <c r="M16" s="143" t="s">
        <v>604</v>
      </c>
      <c r="N16" s="143" t="s">
        <v>339</v>
      </c>
      <c r="O16" s="143" t="s">
        <v>1211</v>
      </c>
      <c r="P16" s="144">
        <v>77</v>
      </c>
      <c r="Q16" s="143" t="s">
        <v>1212</v>
      </c>
      <c r="R16" s="143" t="s">
        <v>2682</v>
      </c>
      <c r="S16" s="144">
        <v>0.13733000000000001</v>
      </c>
      <c r="T16" s="144">
        <v>145.27539999999999</v>
      </c>
      <c r="U16" s="146">
        <v>1.03151616801121E-7</v>
      </c>
      <c r="V16" s="146">
        <v>1.6523466819706529E-2</v>
      </c>
      <c r="W16" s="147">
        <v>9.8473443617677903E-3</v>
      </c>
      <c r="X16" s="181"/>
    </row>
    <row r="17" spans="1:24" x14ac:dyDescent="0.2">
      <c r="A17" s="142" t="s">
        <v>1205</v>
      </c>
      <c r="B17" s="143" t="s">
        <v>1206</v>
      </c>
      <c r="C17" s="143" t="s">
        <v>2683</v>
      </c>
      <c r="D17" s="143" t="s">
        <v>2684</v>
      </c>
      <c r="E17" s="143" t="s">
        <v>313</v>
      </c>
      <c r="F17" s="143" t="s">
        <v>2685</v>
      </c>
      <c r="G17" s="143" t="s">
        <v>2686</v>
      </c>
      <c r="H17" s="143" t="s">
        <v>321</v>
      </c>
      <c r="I17" s="143" t="s">
        <v>965</v>
      </c>
      <c r="J17" s="143" t="s">
        <v>205</v>
      </c>
      <c r="K17" s="143" t="s">
        <v>224</v>
      </c>
      <c r="L17" s="143" t="s">
        <v>344</v>
      </c>
      <c r="M17" s="143" t="s">
        <v>604</v>
      </c>
      <c r="N17" s="143" t="s">
        <v>339</v>
      </c>
      <c r="O17" s="143" t="s">
        <v>1211</v>
      </c>
      <c r="P17" s="144">
        <v>233</v>
      </c>
      <c r="Q17" s="143" t="s">
        <v>1212</v>
      </c>
      <c r="R17" s="143" t="s">
        <v>2687</v>
      </c>
      <c r="S17" s="144">
        <v>0.15458000000000002</v>
      </c>
      <c r="T17" s="144">
        <v>144.46520000000001</v>
      </c>
      <c r="U17" s="146">
        <v>1.0117545908907348E-6</v>
      </c>
      <c r="V17" s="146">
        <v>1.6433369544670649E-2</v>
      </c>
      <c r="W17" s="147">
        <v>9.7936498857225385E-3</v>
      </c>
      <c r="X17" s="181"/>
    </row>
    <row r="18" spans="1:24" x14ac:dyDescent="0.2">
      <c r="A18" s="142" t="s">
        <v>1205</v>
      </c>
      <c r="B18" s="143" t="s">
        <v>1206</v>
      </c>
      <c r="C18" s="143" t="s">
        <v>2688</v>
      </c>
      <c r="D18" s="143" t="s">
        <v>2689</v>
      </c>
      <c r="E18" s="143" t="s">
        <v>313</v>
      </c>
      <c r="F18" s="143" t="s">
        <v>2690</v>
      </c>
      <c r="G18" s="143" t="s">
        <v>2691</v>
      </c>
      <c r="H18" s="143" t="s">
        <v>321</v>
      </c>
      <c r="I18" s="143" t="s">
        <v>965</v>
      </c>
      <c r="J18" s="143" t="s">
        <v>205</v>
      </c>
      <c r="K18" s="143" t="s">
        <v>238</v>
      </c>
      <c r="L18" s="143" t="s">
        <v>368</v>
      </c>
      <c r="M18" s="143" t="s">
        <v>581</v>
      </c>
      <c r="N18" s="143" t="s">
        <v>339</v>
      </c>
      <c r="O18" s="143" t="s">
        <v>1214</v>
      </c>
      <c r="P18" s="144">
        <v>225</v>
      </c>
      <c r="Q18" s="143" t="s">
        <v>1215</v>
      </c>
      <c r="R18" s="143" t="s">
        <v>2692</v>
      </c>
      <c r="S18" s="144" t="s">
        <v>3855</v>
      </c>
      <c r="T18" s="144">
        <v>137.4727</v>
      </c>
      <c r="U18" s="146">
        <v>5.1264524948735474E-6</v>
      </c>
      <c r="V18" s="146">
        <v>1.5621240127127676E-2</v>
      </c>
      <c r="W18" s="147">
        <v>9.3096523004621845E-3</v>
      </c>
      <c r="X18" s="181"/>
    </row>
    <row r="19" spans="1:24" x14ac:dyDescent="0.2">
      <c r="A19" s="142" t="s">
        <v>1205</v>
      </c>
      <c r="B19" s="143" t="s">
        <v>1206</v>
      </c>
      <c r="C19" s="143" t="s">
        <v>2693</v>
      </c>
      <c r="D19" s="143" t="s">
        <v>2694</v>
      </c>
      <c r="E19" s="143" t="s">
        <v>313</v>
      </c>
      <c r="F19" s="143" t="s">
        <v>2693</v>
      </c>
      <c r="G19" s="143" t="s">
        <v>2695</v>
      </c>
      <c r="H19" s="143" t="s">
        <v>321</v>
      </c>
      <c r="I19" s="143" t="s">
        <v>965</v>
      </c>
      <c r="J19" s="143" t="s">
        <v>205</v>
      </c>
      <c r="K19" s="143" t="s">
        <v>224</v>
      </c>
      <c r="L19" s="143" t="s">
        <v>344</v>
      </c>
      <c r="M19" s="143" t="s">
        <v>611</v>
      </c>
      <c r="N19" s="143" t="s">
        <v>339</v>
      </c>
      <c r="O19" s="143" t="s">
        <v>1211</v>
      </c>
      <c r="P19" s="144">
        <v>148</v>
      </c>
      <c r="Q19" s="143" t="s">
        <v>1212</v>
      </c>
      <c r="R19" s="143" t="s">
        <v>2696</v>
      </c>
      <c r="S19" s="144" t="s">
        <v>3855</v>
      </c>
      <c r="T19" s="144">
        <v>125.85899999999999</v>
      </c>
      <c r="U19" s="146">
        <v>4.8468017658077785E-7</v>
      </c>
      <c r="V19" s="146">
        <v>1.4301550614214982E-2</v>
      </c>
      <c r="W19" s="147">
        <v>8.5231686148008901E-3</v>
      </c>
      <c r="X19" s="181"/>
    </row>
    <row r="20" spans="1:24" x14ac:dyDescent="0.2">
      <c r="A20" s="142" t="s">
        <v>1205</v>
      </c>
      <c r="B20" s="143" t="s">
        <v>1206</v>
      </c>
      <c r="C20" s="143" t="s">
        <v>2697</v>
      </c>
      <c r="D20" s="143" t="s">
        <v>2698</v>
      </c>
      <c r="E20" s="143" t="s">
        <v>313</v>
      </c>
      <c r="F20" s="143" t="s">
        <v>2697</v>
      </c>
      <c r="G20" s="143" t="s">
        <v>2699</v>
      </c>
      <c r="H20" s="143" t="s">
        <v>321</v>
      </c>
      <c r="I20" s="143" t="s">
        <v>965</v>
      </c>
      <c r="J20" s="143" t="s">
        <v>205</v>
      </c>
      <c r="K20" s="143" t="s">
        <v>224</v>
      </c>
      <c r="L20" s="143" t="s">
        <v>344</v>
      </c>
      <c r="M20" s="143" t="s">
        <v>589</v>
      </c>
      <c r="N20" s="143" t="s">
        <v>339</v>
      </c>
      <c r="O20" s="143" t="s">
        <v>1211</v>
      </c>
      <c r="P20" s="144">
        <v>160</v>
      </c>
      <c r="Q20" s="143" t="s">
        <v>1212</v>
      </c>
      <c r="R20" s="143" t="s">
        <v>2700</v>
      </c>
      <c r="S20" s="144" t="s">
        <v>3855</v>
      </c>
      <c r="T20" s="144">
        <v>87.659899999999993</v>
      </c>
      <c r="U20" s="146">
        <v>5.1660397462182973E-7</v>
      </c>
      <c r="V20" s="146">
        <v>9.9609271216297875E-3</v>
      </c>
      <c r="W20" s="147">
        <v>5.9363256270274084E-3</v>
      </c>
      <c r="X20" s="181"/>
    </row>
    <row r="21" spans="1:24" x14ac:dyDescent="0.2">
      <c r="A21" s="142" t="s">
        <v>1205</v>
      </c>
      <c r="B21" s="143" t="s">
        <v>1206</v>
      </c>
      <c r="C21" s="143" t="s">
        <v>2701</v>
      </c>
      <c r="D21" s="143" t="s">
        <v>2702</v>
      </c>
      <c r="E21" s="143" t="s">
        <v>313</v>
      </c>
      <c r="F21" s="143" t="s">
        <v>2703</v>
      </c>
      <c r="G21" s="143" t="s">
        <v>2704</v>
      </c>
      <c r="H21" s="143" t="s">
        <v>321</v>
      </c>
      <c r="I21" s="143" t="s">
        <v>965</v>
      </c>
      <c r="J21" s="143" t="s">
        <v>205</v>
      </c>
      <c r="K21" s="143" t="s">
        <v>224</v>
      </c>
      <c r="L21" s="143" t="s">
        <v>344</v>
      </c>
      <c r="M21" s="143" t="s">
        <v>597</v>
      </c>
      <c r="N21" s="143" t="s">
        <v>339</v>
      </c>
      <c r="O21" s="143" t="s">
        <v>1211</v>
      </c>
      <c r="P21" s="144">
        <v>117</v>
      </c>
      <c r="Q21" s="143" t="s">
        <v>1212</v>
      </c>
      <c r="R21" s="143" t="s">
        <v>2705</v>
      </c>
      <c r="S21" s="144" t="s">
        <v>3855</v>
      </c>
      <c r="T21" s="144">
        <v>86.843500000000006</v>
      </c>
      <c r="U21" s="146">
        <v>8.8301886792452828E-6</v>
      </c>
      <c r="V21" s="146">
        <v>9.8681606485476452E-3</v>
      </c>
      <c r="W21" s="147">
        <v>5.8810404126329908E-3</v>
      </c>
      <c r="X21" s="181"/>
    </row>
    <row r="22" spans="1:24" x14ac:dyDescent="0.2">
      <c r="A22" s="142" t="s">
        <v>1205</v>
      </c>
      <c r="B22" s="143" t="s">
        <v>1206</v>
      </c>
      <c r="C22" s="143" t="s">
        <v>2706</v>
      </c>
      <c r="D22" s="143" t="s">
        <v>2707</v>
      </c>
      <c r="E22" s="143" t="s">
        <v>313</v>
      </c>
      <c r="F22" s="143" t="s">
        <v>2708</v>
      </c>
      <c r="G22" s="143" t="s">
        <v>2709</v>
      </c>
      <c r="H22" s="143" t="s">
        <v>321</v>
      </c>
      <c r="I22" s="143" t="s">
        <v>965</v>
      </c>
      <c r="J22" s="143" t="s">
        <v>205</v>
      </c>
      <c r="K22" s="143" t="s">
        <v>224</v>
      </c>
      <c r="L22" s="143" t="s">
        <v>344</v>
      </c>
      <c r="M22" s="143" t="s">
        <v>580</v>
      </c>
      <c r="N22" s="143" t="s">
        <v>339</v>
      </c>
      <c r="O22" s="143" t="s">
        <v>1211</v>
      </c>
      <c r="P22" s="144">
        <v>478</v>
      </c>
      <c r="Q22" s="143" t="s">
        <v>1212</v>
      </c>
      <c r="R22" s="143" t="s">
        <v>2710</v>
      </c>
      <c r="S22" s="144" t="s">
        <v>3855</v>
      </c>
      <c r="T22" s="144">
        <v>86.749600000000001</v>
      </c>
      <c r="U22" s="146">
        <v>2.0964912280701754E-5</v>
      </c>
      <c r="V22" s="146">
        <v>9.857490667437083E-3</v>
      </c>
      <c r="W22" s="147">
        <v>5.8746815183721357E-3</v>
      </c>
      <c r="X22" s="181"/>
    </row>
    <row r="23" spans="1:24" x14ac:dyDescent="0.2">
      <c r="A23" s="142" t="s">
        <v>1205</v>
      </c>
      <c r="B23" s="143" t="s">
        <v>1206</v>
      </c>
      <c r="C23" s="143" t="s">
        <v>2711</v>
      </c>
      <c r="D23" s="143" t="s">
        <v>2712</v>
      </c>
      <c r="E23" s="143" t="s">
        <v>313</v>
      </c>
      <c r="F23" s="143" t="s">
        <v>2711</v>
      </c>
      <c r="G23" s="143" t="s">
        <v>2713</v>
      </c>
      <c r="H23" s="143" t="s">
        <v>321</v>
      </c>
      <c r="I23" s="143" t="s">
        <v>965</v>
      </c>
      <c r="J23" s="143" t="s">
        <v>205</v>
      </c>
      <c r="K23" s="143" t="s">
        <v>251</v>
      </c>
      <c r="L23" s="143" t="s">
        <v>344</v>
      </c>
      <c r="M23" s="143" t="s">
        <v>599</v>
      </c>
      <c r="N23" s="143" t="s">
        <v>339</v>
      </c>
      <c r="O23" s="143" t="s">
        <v>1211</v>
      </c>
      <c r="P23" s="144">
        <v>337</v>
      </c>
      <c r="Q23" s="143" t="s">
        <v>1212</v>
      </c>
      <c r="R23" s="143" t="s">
        <v>2714</v>
      </c>
      <c r="S23" s="144" t="s">
        <v>3855</v>
      </c>
      <c r="T23" s="144">
        <v>86.445300000000003</v>
      </c>
      <c r="U23" s="146">
        <v>1.9707602339181285E-6</v>
      </c>
      <c r="V23" s="146">
        <v>9.8229093355431223E-3</v>
      </c>
      <c r="W23" s="147">
        <v>5.8540723878933989E-3</v>
      </c>
      <c r="X23" s="181"/>
    </row>
    <row r="24" spans="1:24" x14ac:dyDescent="0.2">
      <c r="A24" s="142" t="s">
        <v>1205</v>
      </c>
      <c r="B24" s="143" t="s">
        <v>1206</v>
      </c>
      <c r="C24" s="143" t="s">
        <v>2715</v>
      </c>
      <c r="D24" s="143" t="s">
        <v>2716</v>
      </c>
      <c r="E24" s="143" t="s">
        <v>313</v>
      </c>
      <c r="F24" s="143" t="s">
        <v>2715</v>
      </c>
      <c r="G24" s="143" t="s">
        <v>2717</v>
      </c>
      <c r="H24" s="143" t="s">
        <v>321</v>
      </c>
      <c r="I24" s="143" t="s">
        <v>965</v>
      </c>
      <c r="J24" s="143" t="s">
        <v>205</v>
      </c>
      <c r="K24" s="143" t="s">
        <v>224</v>
      </c>
      <c r="L24" s="143" t="s">
        <v>344</v>
      </c>
      <c r="M24" s="143" t="s">
        <v>708</v>
      </c>
      <c r="N24" s="143" t="s">
        <v>339</v>
      </c>
      <c r="O24" s="143" t="s">
        <v>1211</v>
      </c>
      <c r="P24" s="144">
        <v>244</v>
      </c>
      <c r="Q24" s="143" t="s">
        <v>1212</v>
      </c>
      <c r="R24" s="143" t="s">
        <v>2718</v>
      </c>
      <c r="S24" s="144" t="s">
        <v>3855</v>
      </c>
      <c r="T24" s="144">
        <v>83.602399999999989</v>
      </c>
      <c r="U24" s="146">
        <v>5.2793969370843014E-7</v>
      </c>
      <c r="V24" s="146">
        <v>9.4998711724407995E-3</v>
      </c>
      <c r="W24" s="147">
        <v>5.6615541912721171E-3</v>
      </c>
      <c r="X24" s="181"/>
    </row>
    <row r="25" spans="1:24" x14ac:dyDescent="0.2">
      <c r="A25" s="142" t="s">
        <v>1205</v>
      </c>
      <c r="B25" s="143" t="s">
        <v>1206</v>
      </c>
      <c r="C25" s="143" t="s">
        <v>2719</v>
      </c>
      <c r="D25" s="143" t="s">
        <v>2720</v>
      </c>
      <c r="E25" s="143" t="s">
        <v>313</v>
      </c>
      <c r="F25" s="143" t="s">
        <v>2719</v>
      </c>
      <c r="G25" s="143" t="s">
        <v>2721</v>
      </c>
      <c r="H25" s="143" t="s">
        <v>321</v>
      </c>
      <c r="I25" s="143" t="s">
        <v>965</v>
      </c>
      <c r="J25" s="143" t="s">
        <v>205</v>
      </c>
      <c r="K25" s="143" t="s">
        <v>253</v>
      </c>
      <c r="L25" s="143" t="s">
        <v>314</v>
      </c>
      <c r="M25" s="143" t="s">
        <v>610</v>
      </c>
      <c r="N25" s="143" t="s">
        <v>339</v>
      </c>
      <c r="O25" s="143" t="s">
        <v>1214</v>
      </c>
      <c r="P25" s="144">
        <v>87</v>
      </c>
      <c r="Q25" s="143" t="s">
        <v>1215</v>
      </c>
      <c r="R25" s="143" t="s">
        <v>2722</v>
      </c>
      <c r="S25" s="144" t="s">
        <v>3855</v>
      </c>
      <c r="T25" s="144">
        <v>82.979900000000001</v>
      </c>
      <c r="U25" s="146">
        <v>8.6215439500545048E-6</v>
      </c>
      <c r="V25" s="146">
        <v>9.4291386923428689E-3</v>
      </c>
      <c r="W25" s="147">
        <v>5.6194003807742204E-3</v>
      </c>
      <c r="X25" s="181"/>
    </row>
    <row r="26" spans="1:24" x14ac:dyDescent="0.2">
      <c r="A26" s="142" t="s">
        <v>1205</v>
      </c>
      <c r="B26" s="143" t="s">
        <v>1206</v>
      </c>
      <c r="C26" s="143" t="s">
        <v>2723</v>
      </c>
      <c r="D26" s="143" t="s">
        <v>2724</v>
      </c>
      <c r="E26" s="143" t="s">
        <v>313</v>
      </c>
      <c r="F26" s="143" t="s">
        <v>2723</v>
      </c>
      <c r="G26" s="143" t="s">
        <v>2725</v>
      </c>
      <c r="H26" s="143" t="s">
        <v>321</v>
      </c>
      <c r="I26" s="143" t="s">
        <v>965</v>
      </c>
      <c r="J26" s="143" t="s">
        <v>205</v>
      </c>
      <c r="K26" s="143" t="s">
        <v>268</v>
      </c>
      <c r="L26" s="143" t="s">
        <v>344</v>
      </c>
      <c r="M26" s="143" t="s">
        <v>588</v>
      </c>
      <c r="N26" s="143" t="s">
        <v>339</v>
      </c>
      <c r="O26" s="143" t="s">
        <v>1211</v>
      </c>
      <c r="P26" s="144">
        <v>786</v>
      </c>
      <c r="Q26" s="143" t="s">
        <v>1212</v>
      </c>
      <c r="R26" s="143" t="s">
        <v>2726</v>
      </c>
      <c r="S26" s="144" t="s">
        <v>3855</v>
      </c>
      <c r="T26" s="144">
        <v>79.832599999999999</v>
      </c>
      <c r="U26" s="146">
        <v>3.6617749825296996E-6</v>
      </c>
      <c r="V26" s="146">
        <v>9.0715000492958553E-3</v>
      </c>
      <c r="W26" s="147">
        <v>5.4062616421797823E-3</v>
      </c>
      <c r="X26" s="181"/>
    </row>
    <row r="27" spans="1:24" x14ac:dyDescent="0.2">
      <c r="A27" s="142" t="s">
        <v>1205</v>
      </c>
      <c r="B27" s="143" t="s">
        <v>1206</v>
      </c>
      <c r="C27" s="143" t="s">
        <v>2727</v>
      </c>
      <c r="D27" s="143" t="s">
        <v>2728</v>
      </c>
      <c r="E27" s="143" t="s">
        <v>313</v>
      </c>
      <c r="F27" s="143" t="s">
        <v>2727</v>
      </c>
      <c r="G27" s="143" t="s">
        <v>2729</v>
      </c>
      <c r="H27" s="143" t="s">
        <v>321</v>
      </c>
      <c r="I27" s="143" t="s">
        <v>965</v>
      </c>
      <c r="J27" s="143" t="s">
        <v>205</v>
      </c>
      <c r="K27" s="143" t="s">
        <v>224</v>
      </c>
      <c r="L27" s="143" t="s">
        <v>344</v>
      </c>
      <c r="M27" s="143" t="s">
        <v>708</v>
      </c>
      <c r="N27" s="143" t="s">
        <v>339</v>
      </c>
      <c r="O27" s="143" t="s">
        <v>1211</v>
      </c>
      <c r="P27" s="144">
        <v>215</v>
      </c>
      <c r="Q27" s="143" t="s">
        <v>1212</v>
      </c>
      <c r="R27" s="143" t="s">
        <v>2730</v>
      </c>
      <c r="S27" s="144" t="s">
        <v>3855</v>
      </c>
      <c r="T27" s="144">
        <v>69.229100000000003</v>
      </c>
      <c r="U27" s="146">
        <v>1.2928442573662057E-6</v>
      </c>
      <c r="V27" s="146">
        <v>7.8666122944401218E-3</v>
      </c>
      <c r="W27" s="147">
        <v>4.6881953447856384E-3</v>
      </c>
      <c r="X27" s="181"/>
    </row>
    <row r="28" spans="1:24" x14ac:dyDescent="0.2">
      <c r="A28" s="142" t="s">
        <v>1205</v>
      </c>
      <c r="B28" s="143" t="s">
        <v>1206</v>
      </c>
      <c r="C28" s="143" t="s">
        <v>2731</v>
      </c>
      <c r="D28" s="143" t="s">
        <v>2732</v>
      </c>
      <c r="E28" s="143" t="s">
        <v>313</v>
      </c>
      <c r="F28" s="143" t="s">
        <v>2733</v>
      </c>
      <c r="G28" s="143" t="s">
        <v>2734</v>
      </c>
      <c r="H28" s="143" t="s">
        <v>321</v>
      </c>
      <c r="I28" s="143" t="s">
        <v>965</v>
      </c>
      <c r="J28" s="143" t="s">
        <v>205</v>
      </c>
      <c r="K28" s="143" t="s">
        <v>224</v>
      </c>
      <c r="L28" s="143" t="s">
        <v>344</v>
      </c>
      <c r="M28" s="143" t="s">
        <v>708</v>
      </c>
      <c r="N28" s="143" t="s">
        <v>339</v>
      </c>
      <c r="O28" s="143" t="s">
        <v>1211</v>
      </c>
      <c r="P28" s="144">
        <v>42</v>
      </c>
      <c r="Q28" s="143" t="s">
        <v>1212</v>
      </c>
      <c r="R28" s="143" t="s">
        <v>2735</v>
      </c>
      <c r="S28" s="144">
        <v>3.669E-2</v>
      </c>
      <c r="T28" s="144">
        <v>61.8887</v>
      </c>
      <c r="U28" s="146">
        <v>4.7595843296352116E-7</v>
      </c>
      <c r="V28" s="146">
        <v>7.036681931477066E-3</v>
      </c>
      <c r="W28" s="147">
        <v>4.1935890875420207E-3</v>
      </c>
      <c r="X28" s="181"/>
    </row>
    <row r="29" spans="1:24" x14ac:dyDescent="0.2">
      <c r="A29" s="142" t="s">
        <v>1205</v>
      </c>
      <c r="B29" s="143" t="s">
        <v>1206</v>
      </c>
      <c r="C29" s="143" t="s">
        <v>2736</v>
      </c>
      <c r="D29" s="143" t="s">
        <v>2737</v>
      </c>
      <c r="E29" s="143" t="s">
        <v>313</v>
      </c>
      <c r="F29" s="143" t="s">
        <v>2736</v>
      </c>
      <c r="G29" s="143" t="s">
        <v>2738</v>
      </c>
      <c r="H29" s="143" t="s">
        <v>321</v>
      </c>
      <c r="I29" s="143" t="s">
        <v>965</v>
      </c>
      <c r="J29" s="143" t="s">
        <v>205</v>
      </c>
      <c r="K29" s="143" t="s">
        <v>244</v>
      </c>
      <c r="L29" s="143" t="s">
        <v>344</v>
      </c>
      <c r="M29" s="143" t="s">
        <v>580</v>
      </c>
      <c r="N29" s="143" t="s">
        <v>339</v>
      </c>
      <c r="O29" s="143" t="s">
        <v>1211</v>
      </c>
      <c r="P29" s="144">
        <v>294</v>
      </c>
      <c r="Q29" s="143" t="s">
        <v>1212</v>
      </c>
      <c r="R29" s="143" t="s">
        <v>2739</v>
      </c>
      <c r="S29" s="144" t="s">
        <v>3855</v>
      </c>
      <c r="T29" s="144">
        <v>61.645000000000003</v>
      </c>
      <c r="U29" s="146">
        <v>2.7071823204419889E-6</v>
      </c>
      <c r="V29" s="146">
        <v>7.0048212420362691E-3</v>
      </c>
      <c r="W29" s="147">
        <v>4.1746013542805797E-3</v>
      </c>
      <c r="X29" s="181"/>
    </row>
    <row r="30" spans="1:24" x14ac:dyDescent="0.2">
      <c r="A30" s="142" t="s">
        <v>1205</v>
      </c>
      <c r="B30" s="143" t="s">
        <v>1206</v>
      </c>
      <c r="C30" s="143" t="s">
        <v>2740</v>
      </c>
      <c r="D30" s="143" t="s">
        <v>2741</v>
      </c>
      <c r="E30" s="143" t="s">
        <v>313</v>
      </c>
      <c r="F30" s="143" t="s">
        <v>2742</v>
      </c>
      <c r="G30" s="143" t="s">
        <v>2743</v>
      </c>
      <c r="H30" s="143" t="s">
        <v>321</v>
      </c>
      <c r="I30" s="143" t="s">
        <v>965</v>
      </c>
      <c r="J30" s="143" t="s">
        <v>205</v>
      </c>
      <c r="K30" s="143" t="s">
        <v>268</v>
      </c>
      <c r="L30" s="143" t="s">
        <v>344</v>
      </c>
      <c r="M30" s="143" t="s">
        <v>588</v>
      </c>
      <c r="N30" s="143" t="s">
        <v>339</v>
      </c>
      <c r="O30" s="143" t="s">
        <v>1211</v>
      </c>
      <c r="P30" s="144">
        <v>382</v>
      </c>
      <c r="Q30" s="143" t="s">
        <v>1212</v>
      </c>
      <c r="R30" s="143" t="s">
        <v>2744</v>
      </c>
      <c r="S30" s="144" t="s">
        <v>3855</v>
      </c>
      <c r="T30" s="144">
        <v>60.5535</v>
      </c>
      <c r="U30" s="146">
        <v>2.3726708074534161E-6</v>
      </c>
      <c r="V30" s="146">
        <v>6.880788050887948E-3</v>
      </c>
      <c r="W30" s="147">
        <v>4.1006823904908623E-3</v>
      </c>
      <c r="X30" s="181"/>
    </row>
    <row r="31" spans="1:24" x14ac:dyDescent="0.2">
      <c r="A31" s="142" t="s">
        <v>1205</v>
      </c>
      <c r="B31" s="143" t="s">
        <v>1206</v>
      </c>
      <c r="C31" s="143" t="s">
        <v>2745</v>
      </c>
      <c r="D31" s="143" t="s">
        <v>2746</v>
      </c>
      <c r="E31" s="143" t="s">
        <v>313</v>
      </c>
      <c r="F31" s="143" t="s">
        <v>2747</v>
      </c>
      <c r="G31" s="143" t="s">
        <v>2748</v>
      </c>
      <c r="H31" s="143" t="s">
        <v>321</v>
      </c>
      <c r="I31" s="143" t="s">
        <v>965</v>
      </c>
      <c r="J31" s="143" t="s">
        <v>205</v>
      </c>
      <c r="K31" s="143" t="s">
        <v>224</v>
      </c>
      <c r="L31" s="143" t="s">
        <v>344</v>
      </c>
      <c r="M31" s="143" t="s">
        <v>602</v>
      </c>
      <c r="N31" s="143" t="s">
        <v>339</v>
      </c>
      <c r="O31" s="143" t="s">
        <v>1211</v>
      </c>
      <c r="P31" s="144">
        <v>75</v>
      </c>
      <c r="Q31" s="143" t="s">
        <v>1212</v>
      </c>
      <c r="R31" s="143" t="s">
        <v>2749</v>
      </c>
      <c r="S31" s="144" t="s">
        <v>3855</v>
      </c>
      <c r="T31" s="144">
        <v>57.199800000000003</v>
      </c>
      <c r="U31" s="146">
        <v>2.4654832347140041E-7</v>
      </c>
      <c r="V31" s="146">
        <v>6.4996971602941708E-3</v>
      </c>
      <c r="W31" s="147">
        <v>3.8735670233734699E-3</v>
      </c>
      <c r="X31" s="181"/>
    </row>
    <row r="32" spans="1:24" x14ac:dyDescent="0.2">
      <c r="A32" s="142" t="s">
        <v>1205</v>
      </c>
      <c r="B32" s="143" t="s">
        <v>1206</v>
      </c>
      <c r="C32" s="143" t="s">
        <v>2750</v>
      </c>
      <c r="D32" s="143" t="s">
        <v>2751</v>
      </c>
      <c r="E32" s="143" t="s">
        <v>313</v>
      </c>
      <c r="F32" s="143" t="s">
        <v>2750</v>
      </c>
      <c r="G32" s="143" t="s">
        <v>2752</v>
      </c>
      <c r="H32" s="143" t="s">
        <v>321</v>
      </c>
      <c r="I32" s="143" t="s">
        <v>965</v>
      </c>
      <c r="J32" s="143" t="s">
        <v>205</v>
      </c>
      <c r="K32" s="143" t="s">
        <v>224</v>
      </c>
      <c r="L32" s="143" t="s">
        <v>344</v>
      </c>
      <c r="M32" s="143" t="s">
        <v>708</v>
      </c>
      <c r="N32" s="143" t="s">
        <v>339</v>
      </c>
      <c r="O32" s="143" t="s">
        <v>1211</v>
      </c>
      <c r="P32" s="144">
        <v>67</v>
      </c>
      <c r="Q32" s="143" t="s">
        <v>1212</v>
      </c>
      <c r="R32" s="143" t="s">
        <v>2753</v>
      </c>
      <c r="S32" s="144" t="s">
        <v>3855</v>
      </c>
      <c r="T32" s="144">
        <v>45.938000000000002</v>
      </c>
      <c r="U32" s="146">
        <v>6.7777406856645725E-7</v>
      </c>
      <c r="V32" s="146">
        <v>5.2200042096060594E-3</v>
      </c>
      <c r="W32" s="147">
        <v>3.110919735110487E-3</v>
      </c>
      <c r="X32" s="181"/>
    </row>
    <row r="33" spans="1:24" x14ac:dyDescent="0.2">
      <c r="A33" s="142" t="s">
        <v>1205</v>
      </c>
      <c r="B33" s="143" t="s">
        <v>1206</v>
      </c>
      <c r="C33" s="143" t="s">
        <v>2754</v>
      </c>
      <c r="D33" s="143" t="s">
        <v>2755</v>
      </c>
      <c r="E33" s="143" t="s">
        <v>313</v>
      </c>
      <c r="F33" s="143" t="s">
        <v>2754</v>
      </c>
      <c r="G33" s="143" t="s">
        <v>2756</v>
      </c>
      <c r="H33" s="143" t="s">
        <v>321</v>
      </c>
      <c r="I33" s="143" t="s">
        <v>965</v>
      </c>
      <c r="J33" s="143" t="s">
        <v>205</v>
      </c>
      <c r="K33" s="143" t="s">
        <v>224</v>
      </c>
      <c r="L33" s="143" t="s">
        <v>344</v>
      </c>
      <c r="M33" s="143" t="s">
        <v>586</v>
      </c>
      <c r="N33" s="143" t="s">
        <v>339</v>
      </c>
      <c r="O33" s="143" t="s">
        <v>1211</v>
      </c>
      <c r="P33" s="144">
        <v>102</v>
      </c>
      <c r="Q33" s="143" t="s">
        <v>1212</v>
      </c>
      <c r="R33" s="143" t="s">
        <v>2757</v>
      </c>
      <c r="S33" s="144" t="s">
        <v>3855</v>
      </c>
      <c r="T33" s="144">
        <v>44.833100000000002</v>
      </c>
      <c r="U33" s="146">
        <v>1.1860465116279071E-5</v>
      </c>
      <c r="V33" s="146">
        <v>5.094450396650148E-3</v>
      </c>
      <c r="W33" s="147">
        <v>3.0360945397928008E-3</v>
      </c>
      <c r="X33" s="181"/>
    </row>
    <row r="34" spans="1:24" x14ac:dyDescent="0.2">
      <c r="A34" s="142" t="s">
        <v>1205</v>
      </c>
      <c r="B34" s="143" t="s">
        <v>1206</v>
      </c>
      <c r="C34" s="143" t="s">
        <v>2758</v>
      </c>
      <c r="D34" s="143" t="s">
        <v>2759</v>
      </c>
      <c r="E34" s="143" t="s">
        <v>313</v>
      </c>
      <c r="F34" s="143" t="s">
        <v>2760</v>
      </c>
      <c r="G34" s="143" t="s">
        <v>2761</v>
      </c>
      <c r="H34" s="143" t="s">
        <v>321</v>
      </c>
      <c r="I34" s="143" t="s">
        <v>965</v>
      </c>
      <c r="J34" s="143" t="s">
        <v>205</v>
      </c>
      <c r="K34" s="143" t="s">
        <v>243</v>
      </c>
      <c r="L34" s="143" t="s">
        <v>344</v>
      </c>
      <c r="M34" s="143" t="s">
        <v>707</v>
      </c>
      <c r="N34" s="143" t="s">
        <v>339</v>
      </c>
      <c r="O34" s="143" t="s">
        <v>1211</v>
      </c>
      <c r="P34" s="144">
        <v>172</v>
      </c>
      <c r="Q34" s="143" t="s">
        <v>1212</v>
      </c>
      <c r="R34" s="143" t="s">
        <v>2762</v>
      </c>
      <c r="S34" s="144" t="s">
        <v>3855</v>
      </c>
      <c r="T34" s="144">
        <v>42.730400000000003</v>
      </c>
      <c r="U34" s="146">
        <v>3.0255057167985929E-6</v>
      </c>
      <c r="V34" s="146">
        <v>4.855516288018189E-3</v>
      </c>
      <c r="W34" s="147">
        <v>2.8936990925695336E-3</v>
      </c>
      <c r="X34" s="181"/>
    </row>
    <row r="35" spans="1:24" x14ac:dyDescent="0.2">
      <c r="A35" s="142" t="s">
        <v>1205</v>
      </c>
      <c r="B35" s="143" t="s">
        <v>1206</v>
      </c>
      <c r="C35" s="143" t="s">
        <v>2763</v>
      </c>
      <c r="D35" s="143" t="s">
        <v>2764</v>
      </c>
      <c r="E35" s="143" t="s">
        <v>313</v>
      </c>
      <c r="F35" s="143" t="s">
        <v>2765</v>
      </c>
      <c r="G35" s="143" t="s">
        <v>2766</v>
      </c>
      <c r="H35" s="143" t="s">
        <v>321</v>
      </c>
      <c r="I35" s="143" t="s">
        <v>965</v>
      </c>
      <c r="J35" s="143" t="s">
        <v>205</v>
      </c>
      <c r="K35" s="143" t="s">
        <v>224</v>
      </c>
      <c r="L35" s="143" t="s">
        <v>344</v>
      </c>
      <c r="M35" s="143" t="s">
        <v>703</v>
      </c>
      <c r="N35" s="143" t="s">
        <v>339</v>
      </c>
      <c r="O35" s="143" t="s">
        <v>1211</v>
      </c>
      <c r="P35" s="144">
        <v>89</v>
      </c>
      <c r="Q35" s="143" t="s">
        <v>1212</v>
      </c>
      <c r="R35" s="143" t="s">
        <v>2767</v>
      </c>
      <c r="S35" s="144">
        <v>1.24E-2</v>
      </c>
      <c r="T35" s="144">
        <v>34.411699999999996</v>
      </c>
      <c r="U35" s="146">
        <v>3.9696699375557535E-6</v>
      </c>
      <c r="V35" s="146">
        <v>3.9116623808510961E-3</v>
      </c>
      <c r="W35" s="147">
        <v>2.3311988284004282E-3</v>
      </c>
      <c r="X35" s="181"/>
    </row>
    <row r="36" spans="1:24" x14ac:dyDescent="0.2">
      <c r="A36" s="142" t="s">
        <v>1205</v>
      </c>
      <c r="B36" s="143" t="s">
        <v>1206</v>
      </c>
      <c r="C36" s="143" t="s">
        <v>2768</v>
      </c>
      <c r="D36" s="143" t="s">
        <v>2769</v>
      </c>
      <c r="E36" s="143" t="s">
        <v>313</v>
      </c>
      <c r="F36" s="143" t="s">
        <v>2770</v>
      </c>
      <c r="G36" s="143" t="s">
        <v>2771</v>
      </c>
      <c r="H36" s="143" t="s">
        <v>321</v>
      </c>
      <c r="I36" s="143" t="s">
        <v>965</v>
      </c>
      <c r="J36" s="143" t="s">
        <v>205</v>
      </c>
      <c r="K36" s="143" t="s">
        <v>224</v>
      </c>
      <c r="L36" s="143" t="s">
        <v>344</v>
      </c>
      <c r="M36" s="143" t="s">
        <v>708</v>
      </c>
      <c r="N36" s="143" t="s">
        <v>339</v>
      </c>
      <c r="O36" s="143" t="s">
        <v>1211</v>
      </c>
      <c r="P36" s="144">
        <v>66</v>
      </c>
      <c r="Q36" s="143" t="s">
        <v>1212</v>
      </c>
      <c r="R36" s="143" t="s">
        <v>2772</v>
      </c>
      <c r="S36" s="144" t="s">
        <v>3855</v>
      </c>
      <c r="T36" s="144">
        <v>32.760799999999996</v>
      </c>
      <c r="U36" s="146">
        <v>1.6019417475728156E-6</v>
      </c>
      <c r="V36" s="146">
        <v>3.7226615841826796E-3</v>
      </c>
      <c r="W36" s="147">
        <v>2.2185616954216113E-3</v>
      </c>
      <c r="X36" s="181"/>
    </row>
    <row r="37" spans="1:24" x14ac:dyDescent="0.2">
      <c r="A37" s="142" t="s">
        <v>1205</v>
      </c>
      <c r="B37" s="143" t="s">
        <v>1206</v>
      </c>
      <c r="C37" s="143" t="s">
        <v>2773</v>
      </c>
      <c r="D37" s="143" t="s">
        <v>2774</v>
      </c>
      <c r="E37" s="143" t="s">
        <v>313</v>
      </c>
      <c r="F37" s="143" t="s">
        <v>2775</v>
      </c>
      <c r="G37" s="143" t="s">
        <v>2776</v>
      </c>
      <c r="H37" s="143" t="s">
        <v>321</v>
      </c>
      <c r="I37" s="143" t="s">
        <v>965</v>
      </c>
      <c r="J37" s="143" t="s">
        <v>205</v>
      </c>
      <c r="K37" s="143" t="s">
        <v>224</v>
      </c>
      <c r="L37" s="143" t="s">
        <v>344</v>
      </c>
      <c r="M37" s="143" t="s">
        <v>612</v>
      </c>
      <c r="N37" s="143" t="s">
        <v>339</v>
      </c>
      <c r="O37" s="143" t="s">
        <v>1211</v>
      </c>
      <c r="P37" s="144">
        <v>90</v>
      </c>
      <c r="Q37" s="143" t="s">
        <v>1212</v>
      </c>
      <c r="R37" s="143" t="s">
        <v>2777</v>
      </c>
      <c r="S37" s="144" t="s">
        <v>3855</v>
      </c>
      <c r="T37" s="144">
        <v>29.399099999999997</v>
      </c>
      <c r="U37" s="146">
        <v>5.2478134110787169E-6</v>
      </c>
      <c r="V37" s="146">
        <v>3.3406694261692354E-3</v>
      </c>
      <c r="W37" s="147">
        <v>1.9909092079323054E-3</v>
      </c>
      <c r="X37" s="181"/>
    </row>
    <row r="38" spans="1:24" x14ac:dyDescent="0.2">
      <c r="A38" s="142" t="s">
        <v>1205</v>
      </c>
      <c r="B38" s="143" t="s">
        <v>1206</v>
      </c>
      <c r="C38" s="143" t="s">
        <v>2778</v>
      </c>
      <c r="D38" s="143" t="s">
        <v>2680</v>
      </c>
      <c r="E38" s="143" t="s">
        <v>313</v>
      </c>
      <c r="F38" s="143" t="s">
        <v>2778</v>
      </c>
      <c r="G38" s="143" t="s">
        <v>2779</v>
      </c>
      <c r="H38" s="143" t="s">
        <v>321</v>
      </c>
      <c r="I38" s="143" t="s">
        <v>965</v>
      </c>
      <c r="J38" s="143" t="s">
        <v>205</v>
      </c>
      <c r="K38" s="143" t="s">
        <v>301</v>
      </c>
      <c r="L38" s="143" t="s">
        <v>314</v>
      </c>
      <c r="M38" s="143" t="s">
        <v>596</v>
      </c>
      <c r="N38" s="143" t="s">
        <v>339</v>
      </c>
      <c r="O38" s="143" t="s">
        <v>1214</v>
      </c>
      <c r="P38" s="144">
        <v>154</v>
      </c>
      <c r="Q38" s="143" t="s">
        <v>1215</v>
      </c>
      <c r="R38" s="143" t="s">
        <v>2780</v>
      </c>
      <c r="S38" s="144" t="s">
        <v>3855</v>
      </c>
      <c r="T38" s="144">
        <v>27.878599999999999</v>
      </c>
      <c r="U38" s="146">
        <v>5.2920962199312717E-6</v>
      </c>
      <c r="V38" s="146">
        <v>3.167883616568909E-3</v>
      </c>
      <c r="W38" s="147">
        <v>1.8879355773663517E-3</v>
      </c>
      <c r="X38" s="181"/>
    </row>
    <row r="39" spans="1:24" x14ac:dyDescent="0.2">
      <c r="A39" s="142" t="s">
        <v>1205</v>
      </c>
      <c r="B39" s="143" t="s">
        <v>1206</v>
      </c>
      <c r="C39" s="143" t="s">
        <v>2768</v>
      </c>
      <c r="D39" s="143" t="s">
        <v>2769</v>
      </c>
      <c r="E39" s="143" t="s">
        <v>313</v>
      </c>
      <c r="F39" s="143" t="s">
        <v>2781</v>
      </c>
      <c r="G39" s="143" t="s">
        <v>2782</v>
      </c>
      <c r="H39" s="143" t="s">
        <v>321</v>
      </c>
      <c r="I39" s="143" t="s">
        <v>965</v>
      </c>
      <c r="J39" s="143" t="s">
        <v>205</v>
      </c>
      <c r="K39" s="143" t="s">
        <v>224</v>
      </c>
      <c r="L39" s="143" t="s">
        <v>344</v>
      </c>
      <c r="M39" s="143" t="s">
        <v>707</v>
      </c>
      <c r="N39" s="143" t="s">
        <v>339</v>
      </c>
      <c r="O39" s="143" t="s">
        <v>1211</v>
      </c>
      <c r="P39" s="144">
        <v>121</v>
      </c>
      <c r="Q39" s="143" t="s">
        <v>1212</v>
      </c>
      <c r="R39" s="143" t="s">
        <v>2783</v>
      </c>
      <c r="S39" s="144" t="s">
        <v>3855</v>
      </c>
      <c r="T39" s="144">
        <v>24.6477</v>
      </c>
      <c r="U39" s="146">
        <v>1.4404761904761905E-6</v>
      </c>
      <c r="V39" s="146">
        <v>2.8007589848737264E-3</v>
      </c>
      <c r="W39" s="147">
        <v>1.669143558025834E-3</v>
      </c>
      <c r="X39" s="181"/>
    </row>
    <row r="40" spans="1:24" x14ac:dyDescent="0.2">
      <c r="A40" s="142" t="s">
        <v>1205</v>
      </c>
      <c r="B40" s="143" t="s">
        <v>1206</v>
      </c>
      <c r="C40" s="143" t="s">
        <v>2784</v>
      </c>
      <c r="D40" s="143" t="s">
        <v>2785</v>
      </c>
      <c r="E40" s="143" t="s">
        <v>313</v>
      </c>
      <c r="F40" s="143" t="s">
        <v>2784</v>
      </c>
      <c r="G40" s="143" t="s">
        <v>2786</v>
      </c>
      <c r="H40" s="143" t="s">
        <v>321</v>
      </c>
      <c r="I40" s="143" t="s">
        <v>965</v>
      </c>
      <c r="J40" s="143" t="s">
        <v>205</v>
      </c>
      <c r="K40" s="143" t="s">
        <v>224</v>
      </c>
      <c r="L40" s="143" t="s">
        <v>344</v>
      </c>
      <c r="M40" s="143" t="s">
        <v>703</v>
      </c>
      <c r="N40" s="143" t="s">
        <v>339</v>
      </c>
      <c r="O40" s="143" t="s">
        <v>1211</v>
      </c>
      <c r="P40" s="144">
        <v>152</v>
      </c>
      <c r="Q40" s="143" t="s">
        <v>1212</v>
      </c>
      <c r="R40" s="143" t="s">
        <v>2787</v>
      </c>
      <c r="S40" s="144" t="s">
        <v>3855</v>
      </c>
      <c r="T40" s="144">
        <v>22.974700000000002</v>
      </c>
      <c r="U40" s="146">
        <v>4.5882637044192223E-6</v>
      </c>
      <c r="V40" s="146">
        <v>2.610651359057956E-3</v>
      </c>
      <c r="W40" s="147">
        <v>1.5558467978705557E-3</v>
      </c>
      <c r="X40" s="181"/>
    </row>
    <row r="41" spans="1:24" x14ac:dyDescent="0.2">
      <c r="A41" s="142" t="s">
        <v>1205</v>
      </c>
      <c r="B41" s="143" t="s">
        <v>1206</v>
      </c>
      <c r="C41" s="143" t="s">
        <v>2788</v>
      </c>
      <c r="D41" s="143" t="s">
        <v>2789</v>
      </c>
      <c r="E41" s="143" t="s">
        <v>313</v>
      </c>
      <c r="F41" s="143" t="s">
        <v>2788</v>
      </c>
      <c r="G41" s="143" t="s">
        <v>2790</v>
      </c>
      <c r="H41" s="143" t="s">
        <v>321</v>
      </c>
      <c r="I41" s="143" t="s">
        <v>965</v>
      </c>
      <c r="J41" s="143" t="s">
        <v>205</v>
      </c>
      <c r="K41" s="143" t="s">
        <v>246</v>
      </c>
      <c r="L41" s="143" t="s">
        <v>370</v>
      </c>
      <c r="M41" s="143" t="s">
        <v>707</v>
      </c>
      <c r="N41" s="143" t="s">
        <v>339</v>
      </c>
      <c r="O41" s="143" t="s">
        <v>2791</v>
      </c>
      <c r="P41" s="144">
        <v>5860</v>
      </c>
      <c r="Q41" s="143" t="s">
        <v>2792</v>
      </c>
      <c r="R41" s="143" t="s">
        <v>2793</v>
      </c>
      <c r="S41" s="144">
        <v>0.1172</v>
      </c>
      <c r="T41" s="144">
        <v>21.096700000000002</v>
      </c>
      <c r="U41" s="146">
        <v>4.0694444444444444E-5</v>
      </c>
      <c r="V41" s="146">
        <v>2.4105711441156511E-3</v>
      </c>
      <c r="W41" s="147">
        <v>1.4366067619863436E-3</v>
      </c>
      <c r="X41" s="181"/>
    </row>
    <row r="42" spans="1:24" x14ac:dyDescent="0.2">
      <c r="A42" s="142" t="s">
        <v>1205</v>
      </c>
      <c r="B42" s="143" t="s">
        <v>1206</v>
      </c>
      <c r="C42" s="143" t="s">
        <v>2794</v>
      </c>
      <c r="D42" s="143" t="s">
        <v>2795</v>
      </c>
      <c r="E42" s="143" t="s">
        <v>313</v>
      </c>
      <c r="F42" s="143" t="s">
        <v>2796</v>
      </c>
      <c r="G42" s="143" t="s">
        <v>2797</v>
      </c>
      <c r="H42" s="143" t="s">
        <v>321</v>
      </c>
      <c r="I42" s="143" t="s">
        <v>965</v>
      </c>
      <c r="J42" s="143" t="s">
        <v>205</v>
      </c>
      <c r="K42" s="143" t="s">
        <v>224</v>
      </c>
      <c r="L42" s="143" t="s">
        <v>344</v>
      </c>
      <c r="M42" s="143" t="s">
        <v>708</v>
      </c>
      <c r="N42" s="143" t="s">
        <v>339</v>
      </c>
      <c r="O42" s="143" t="s">
        <v>1211</v>
      </c>
      <c r="P42" s="144">
        <v>134</v>
      </c>
      <c r="Q42" s="143" t="s">
        <v>1212</v>
      </c>
      <c r="R42" s="143" t="s">
        <v>2798</v>
      </c>
      <c r="S42" s="144" t="s">
        <v>3855</v>
      </c>
      <c r="T42" s="144">
        <v>19.347300000000001</v>
      </c>
      <c r="U42" s="146">
        <v>1.0178503608051651E-6</v>
      </c>
      <c r="V42" s="146">
        <v>2.1984688781904469E-3</v>
      </c>
      <c r="W42" s="147">
        <v>1.3102020507192304E-3</v>
      </c>
      <c r="X42" s="181"/>
    </row>
    <row r="43" spans="1:24" x14ac:dyDescent="0.2">
      <c r="A43" s="142" t="s">
        <v>1205</v>
      </c>
      <c r="B43" s="143" t="s">
        <v>1206</v>
      </c>
      <c r="C43" s="143" t="s">
        <v>2768</v>
      </c>
      <c r="D43" s="143" t="s">
        <v>2769</v>
      </c>
      <c r="E43" s="143" t="s">
        <v>313</v>
      </c>
      <c r="F43" s="143" t="s">
        <v>2799</v>
      </c>
      <c r="G43" s="143" t="s">
        <v>2800</v>
      </c>
      <c r="H43" s="143" t="s">
        <v>321</v>
      </c>
      <c r="I43" s="143" t="s">
        <v>965</v>
      </c>
      <c r="J43" s="143" t="s">
        <v>205</v>
      </c>
      <c r="K43" s="143" t="s">
        <v>224</v>
      </c>
      <c r="L43" s="143" t="s">
        <v>344</v>
      </c>
      <c r="M43" s="143" t="s">
        <v>708</v>
      </c>
      <c r="N43" s="143" t="s">
        <v>339</v>
      </c>
      <c r="O43" s="143" t="s">
        <v>1211</v>
      </c>
      <c r="P43" s="144">
        <v>74</v>
      </c>
      <c r="Q43" s="143" t="s">
        <v>1212</v>
      </c>
      <c r="R43" s="143" t="s">
        <v>2801</v>
      </c>
      <c r="S43" s="144" t="s">
        <v>3855</v>
      </c>
      <c r="T43" s="144">
        <v>15.5884</v>
      </c>
      <c r="U43" s="146">
        <v>6.1743846474760122E-7</v>
      </c>
      <c r="V43" s="146">
        <v>1.7713364638213493E-3</v>
      </c>
      <c r="W43" s="147">
        <v>1.0556477239390043E-3</v>
      </c>
      <c r="X43" s="181"/>
    </row>
    <row r="44" spans="1:24" x14ac:dyDescent="0.2">
      <c r="A44" s="142" t="s">
        <v>1205</v>
      </c>
      <c r="B44" s="143" t="s">
        <v>1206</v>
      </c>
      <c r="C44" s="143" t="s">
        <v>2802</v>
      </c>
      <c r="D44" s="143" t="s">
        <v>2803</v>
      </c>
      <c r="E44" s="143" t="s">
        <v>313</v>
      </c>
      <c r="F44" s="143" t="s">
        <v>2804</v>
      </c>
      <c r="G44" s="143" t="s">
        <v>2805</v>
      </c>
      <c r="H44" s="143" t="s">
        <v>321</v>
      </c>
      <c r="I44" s="143" t="s">
        <v>965</v>
      </c>
      <c r="J44" s="143" t="s">
        <v>205</v>
      </c>
      <c r="K44" s="143" t="s">
        <v>268</v>
      </c>
      <c r="L44" s="143" t="s">
        <v>344</v>
      </c>
      <c r="M44" s="143" t="s">
        <v>588</v>
      </c>
      <c r="N44" s="143" t="s">
        <v>339</v>
      </c>
      <c r="O44" s="143" t="s">
        <v>1211</v>
      </c>
      <c r="P44" s="144">
        <v>99</v>
      </c>
      <c r="Q44" s="143" t="s">
        <v>1212</v>
      </c>
      <c r="R44" s="143" t="s">
        <v>2806</v>
      </c>
      <c r="S44" s="144" t="s">
        <v>3855</v>
      </c>
      <c r="T44" s="144">
        <v>9.6718999999999991</v>
      </c>
      <c r="U44" s="146">
        <v>5.3614947197400491E-7</v>
      </c>
      <c r="V44" s="146">
        <v>1.0990379542549168E-3</v>
      </c>
      <c r="W44" s="147">
        <v>6.5498392802734956E-4</v>
      </c>
      <c r="X44" s="181"/>
    </row>
    <row r="45" spans="1:24" ht="15" x14ac:dyDescent="0.2">
      <c r="A45" s="142" t="s">
        <v>1205</v>
      </c>
      <c r="B45" s="143" t="s">
        <v>1206</v>
      </c>
      <c r="C45" s="143" t="s">
        <v>2639</v>
      </c>
      <c r="D45" s="143" t="s">
        <v>2640</v>
      </c>
      <c r="E45" s="143" t="s">
        <v>309</v>
      </c>
      <c r="F45" s="143" t="s">
        <v>2807</v>
      </c>
      <c r="G45" s="143" t="s">
        <v>2808</v>
      </c>
      <c r="H45" s="143" t="s">
        <v>321</v>
      </c>
      <c r="I45" s="143" t="s">
        <v>966</v>
      </c>
      <c r="J45" s="143" t="s">
        <v>204</v>
      </c>
      <c r="K45" s="143" t="s">
        <v>204</v>
      </c>
      <c r="L45" s="143" t="s">
        <v>340</v>
      </c>
      <c r="M45" s="143" t="s">
        <v>576</v>
      </c>
      <c r="N45" s="143" t="s">
        <v>339</v>
      </c>
      <c r="O45" s="143" t="s">
        <v>1210</v>
      </c>
      <c r="P45" s="144">
        <v>103891</v>
      </c>
      <c r="Q45" s="145" t="s">
        <v>3853</v>
      </c>
      <c r="R45" s="143" t="s">
        <v>2809</v>
      </c>
      <c r="S45" s="144" t="s">
        <v>3855</v>
      </c>
      <c r="T45" s="144">
        <v>473.53520000000003</v>
      </c>
      <c r="U45" s="146">
        <v>2.597275E-3</v>
      </c>
      <c r="V45" s="146">
        <v>5.3808531309716474E-2</v>
      </c>
      <c r="W45" s="147">
        <v>3.2067794439832514E-2</v>
      </c>
      <c r="X45" s="181"/>
    </row>
    <row r="46" spans="1:24" ht="15" x14ac:dyDescent="0.2">
      <c r="A46" s="142" t="s">
        <v>1205</v>
      </c>
      <c r="B46" s="143" t="s">
        <v>1206</v>
      </c>
      <c r="C46" s="143" t="s">
        <v>2639</v>
      </c>
      <c r="D46" s="143" t="s">
        <v>2640</v>
      </c>
      <c r="E46" s="143" t="s">
        <v>309</v>
      </c>
      <c r="F46" s="143" t="s">
        <v>2810</v>
      </c>
      <c r="G46" s="143" t="s">
        <v>2811</v>
      </c>
      <c r="H46" s="143" t="s">
        <v>321</v>
      </c>
      <c r="I46" s="143" t="s">
        <v>966</v>
      </c>
      <c r="J46" s="143" t="s">
        <v>204</v>
      </c>
      <c r="K46" s="143" t="s">
        <v>204</v>
      </c>
      <c r="L46" s="143" t="s">
        <v>340</v>
      </c>
      <c r="M46" s="143" t="s">
        <v>632</v>
      </c>
      <c r="N46" s="143" t="s">
        <v>339</v>
      </c>
      <c r="O46" s="143" t="s">
        <v>1210</v>
      </c>
      <c r="P46" s="144">
        <v>76219</v>
      </c>
      <c r="Q46" s="145" t="s">
        <v>3853</v>
      </c>
      <c r="R46" s="143" t="s">
        <v>2812</v>
      </c>
      <c r="S46" s="144" t="s">
        <v>3855</v>
      </c>
      <c r="T46" s="144">
        <v>339.94440000000003</v>
      </c>
      <c r="U46" s="146">
        <v>2.1551176303347954E-3</v>
      </c>
      <c r="V46" s="146">
        <v>3.8628401205829187E-2</v>
      </c>
      <c r="W46" s="147">
        <v>2.3021026578070262E-2</v>
      </c>
      <c r="X46" s="181"/>
    </row>
    <row r="47" spans="1:24" ht="15" x14ac:dyDescent="0.2">
      <c r="A47" s="142" t="s">
        <v>1205</v>
      </c>
      <c r="B47" s="143" t="s">
        <v>1206</v>
      </c>
      <c r="C47" s="143" t="s">
        <v>2625</v>
      </c>
      <c r="D47" s="143" t="s">
        <v>2626</v>
      </c>
      <c r="E47" s="143" t="s">
        <v>309</v>
      </c>
      <c r="F47" s="143" t="s">
        <v>2813</v>
      </c>
      <c r="G47" s="143" t="s">
        <v>2814</v>
      </c>
      <c r="H47" s="143" t="s">
        <v>321</v>
      </c>
      <c r="I47" s="143" t="s">
        <v>966</v>
      </c>
      <c r="J47" s="143" t="s">
        <v>204</v>
      </c>
      <c r="K47" s="143" t="s">
        <v>204</v>
      </c>
      <c r="L47" s="143" t="s">
        <v>340</v>
      </c>
      <c r="M47" s="143" t="s">
        <v>576</v>
      </c>
      <c r="N47" s="143" t="s">
        <v>339</v>
      </c>
      <c r="O47" s="143" t="s">
        <v>1210</v>
      </c>
      <c r="P47" s="144">
        <v>257230</v>
      </c>
      <c r="Q47" s="145" t="s">
        <v>3853</v>
      </c>
      <c r="R47" s="143" t="s">
        <v>2815</v>
      </c>
      <c r="S47" s="144" t="s">
        <v>3855</v>
      </c>
      <c r="T47" s="144">
        <v>281.30670000000003</v>
      </c>
      <c r="U47" s="146">
        <v>6.4307500000000001E-4</v>
      </c>
      <c r="V47" s="146">
        <v>3.1965316589894183E-2</v>
      </c>
      <c r="W47" s="147">
        <v>1.9050086978006683E-2</v>
      </c>
      <c r="X47" s="181"/>
    </row>
    <row r="48" spans="1:24" ht="15" x14ac:dyDescent="0.2">
      <c r="A48" s="142" t="s">
        <v>1205</v>
      </c>
      <c r="B48" s="143" t="s">
        <v>1206</v>
      </c>
      <c r="C48" s="143" t="s">
        <v>2630</v>
      </c>
      <c r="D48" s="143" t="s">
        <v>2631</v>
      </c>
      <c r="E48" s="143" t="s">
        <v>309</v>
      </c>
      <c r="F48" s="143" t="s">
        <v>2816</v>
      </c>
      <c r="G48" s="143" t="s">
        <v>2817</v>
      </c>
      <c r="H48" s="143" t="s">
        <v>321</v>
      </c>
      <c r="I48" s="143" t="s">
        <v>966</v>
      </c>
      <c r="J48" s="143" t="s">
        <v>204</v>
      </c>
      <c r="K48" s="143" t="s">
        <v>204</v>
      </c>
      <c r="L48" s="143" t="s">
        <v>340</v>
      </c>
      <c r="M48" s="143" t="s">
        <v>632</v>
      </c>
      <c r="N48" s="143" t="s">
        <v>339</v>
      </c>
      <c r="O48" s="143" t="s">
        <v>1210</v>
      </c>
      <c r="P48" s="144">
        <v>64537</v>
      </c>
      <c r="Q48" s="145" t="s">
        <v>3853</v>
      </c>
      <c r="R48" s="143" t="s">
        <v>2818</v>
      </c>
      <c r="S48" s="144" t="s">
        <v>3855</v>
      </c>
      <c r="T48" s="144">
        <v>247.18960000000001</v>
      </c>
      <c r="U48" s="146">
        <v>8.6049333333333331E-4</v>
      </c>
      <c r="V48" s="146">
        <v>2.8088536787238931E-2</v>
      </c>
      <c r="W48" s="147">
        <v>1.6739676811178845E-2</v>
      </c>
      <c r="X48" s="181"/>
    </row>
    <row r="49" spans="1:24" ht="15" x14ac:dyDescent="0.2">
      <c r="A49" s="142" t="s">
        <v>1205</v>
      </c>
      <c r="B49" s="143" t="s">
        <v>1206</v>
      </c>
      <c r="C49" s="143" t="s">
        <v>2630</v>
      </c>
      <c r="D49" s="143" t="s">
        <v>2631</v>
      </c>
      <c r="E49" s="143" t="s">
        <v>309</v>
      </c>
      <c r="F49" s="143" t="s">
        <v>2819</v>
      </c>
      <c r="G49" s="143" t="s">
        <v>2820</v>
      </c>
      <c r="H49" s="143" t="s">
        <v>321</v>
      </c>
      <c r="I49" s="143" t="s">
        <v>966</v>
      </c>
      <c r="J49" s="143" t="s">
        <v>204</v>
      </c>
      <c r="K49" s="143" t="s">
        <v>204</v>
      </c>
      <c r="L49" s="143" t="s">
        <v>340</v>
      </c>
      <c r="M49" s="143" t="s">
        <v>576</v>
      </c>
      <c r="N49" s="143" t="s">
        <v>339</v>
      </c>
      <c r="O49" s="143" t="s">
        <v>1210</v>
      </c>
      <c r="P49" s="144">
        <v>62437</v>
      </c>
      <c r="Q49" s="145" t="s">
        <v>3853</v>
      </c>
      <c r="R49" s="143" t="s">
        <v>2821</v>
      </c>
      <c r="S49" s="144" t="s">
        <v>3855</v>
      </c>
      <c r="T49" s="144">
        <v>228.5881</v>
      </c>
      <c r="U49" s="146">
        <v>4.893181818181818E-4</v>
      </c>
      <c r="V49" s="146">
        <v>2.5974817806554959E-2</v>
      </c>
      <c r="W49" s="147">
        <v>1.5479982407219036E-2</v>
      </c>
      <c r="X49" s="181"/>
    </row>
    <row r="50" spans="1:24" ht="15" x14ac:dyDescent="0.2">
      <c r="A50" s="142" t="s">
        <v>1205</v>
      </c>
      <c r="B50" s="143" t="s">
        <v>1206</v>
      </c>
      <c r="C50" s="143" t="s">
        <v>2625</v>
      </c>
      <c r="D50" s="143" t="s">
        <v>2626</v>
      </c>
      <c r="E50" s="143" t="s">
        <v>309</v>
      </c>
      <c r="F50" s="143" t="s">
        <v>2822</v>
      </c>
      <c r="G50" s="143" t="s">
        <v>2823</v>
      </c>
      <c r="H50" s="143" t="s">
        <v>321</v>
      </c>
      <c r="I50" s="143" t="s">
        <v>966</v>
      </c>
      <c r="J50" s="143" t="s">
        <v>204</v>
      </c>
      <c r="K50" s="143" t="s">
        <v>204</v>
      </c>
      <c r="L50" s="143" t="s">
        <v>340</v>
      </c>
      <c r="M50" s="143" t="s">
        <v>632</v>
      </c>
      <c r="N50" s="143" t="s">
        <v>339</v>
      </c>
      <c r="O50" s="143" t="s">
        <v>1210</v>
      </c>
      <c r="P50" s="144">
        <v>810.24</v>
      </c>
      <c r="Q50" s="145" t="s">
        <v>3853</v>
      </c>
      <c r="R50" s="143" t="s">
        <v>2824</v>
      </c>
      <c r="S50" s="144" t="s">
        <v>3855</v>
      </c>
      <c r="T50" s="144">
        <v>30.9725</v>
      </c>
      <c r="U50" s="146">
        <v>9.2133860182910002E-5</v>
      </c>
      <c r="V50" s="146">
        <v>3.5194502808030773E-3</v>
      </c>
      <c r="W50" s="147">
        <v>2.0974556524575505E-3</v>
      </c>
      <c r="X50" s="181"/>
    </row>
    <row r="51" spans="1:24" x14ac:dyDescent="0.2">
      <c r="A51" s="142" t="s">
        <v>1205</v>
      </c>
      <c r="B51" s="143" t="s">
        <v>1206</v>
      </c>
      <c r="C51" s="143" t="s">
        <v>2825</v>
      </c>
      <c r="D51" s="143" t="s">
        <v>2826</v>
      </c>
      <c r="E51" s="143" t="s">
        <v>313</v>
      </c>
      <c r="F51" s="143" t="s">
        <v>2825</v>
      </c>
      <c r="G51" s="143" t="s">
        <v>2827</v>
      </c>
      <c r="H51" s="143" t="s">
        <v>321</v>
      </c>
      <c r="I51" s="143" t="s">
        <v>967</v>
      </c>
      <c r="J51" s="143" t="s">
        <v>205</v>
      </c>
      <c r="K51" s="143" t="s">
        <v>224</v>
      </c>
      <c r="L51" s="143" t="s">
        <v>380</v>
      </c>
      <c r="M51" s="143" t="s">
        <v>592</v>
      </c>
      <c r="N51" s="143" t="s">
        <v>339</v>
      </c>
      <c r="O51" s="143" t="s">
        <v>1211</v>
      </c>
      <c r="P51" s="144">
        <v>10914</v>
      </c>
      <c r="Q51" s="143" t="s">
        <v>1212</v>
      </c>
      <c r="R51" s="143" t="s">
        <v>2828</v>
      </c>
      <c r="S51" s="144" t="s">
        <v>3855</v>
      </c>
      <c r="T51" s="144">
        <v>235.2415</v>
      </c>
      <c r="U51" s="146">
        <v>3.5936779716825817E-5</v>
      </c>
      <c r="V51" s="146">
        <v>2.6730855276318636E-2</v>
      </c>
      <c r="W51" s="147">
        <v>1.5930551370524206E-2</v>
      </c>
      <c r="X51" s="181"/>
    </row>
    <row r="52" spans="1:24" x14ac:dyDescent="0.2">
      <c r="A52" s="142" t="s">
        <v>1205</v>
      </c>
      <c r="B52" s="143" t="s">
        <v>1206</v>
      </c>
      <c r="C52" s="143" t="s">
        <v>2829</v>
      </c>
      <c r="D52" s="143" t="s">
        <v>2830</v>
      </c>
      <c r="E52" s="143" t="s">
        <v>313</v>
      </c>
      <c r="F52" s="143" t="s">
        <v>2829</v>
      </c>
      <c r="G52" s="143" t="s">
        <v>2831</v>
      </c>
      <c r="H52" s="143" t="s">
        <v>321</v>
      </c>
      <c r="I52" s="143" t="s">
        <v>967</v>
      </c>
      <c r="J52" s="143" t="s">
        <v>205</v>
      </c>
      <c r="K52" s="143" t="s">
        <v>224</v>
      </c>
      <c r="L52" s="143" t="s">
        <v>314</v>
      </c>
      <c r="M52" s="143" t="s">
        <v>677</v>
      </c>
      <c r="N52" s="143" t="s">
        <v>339</v>
      </c>
      <c r="O52" s="143" t="s">
        <v>1211</v>
      </c>
      <c r="P52" s="144">
        <v>167</v>
      </c>
      <c r="Q52" s="143" t="s">
        <v>1212</v>
      </c>
      <c r="R52" s="143" t="s">
        <v>2832</v>
      </c>
      <c r="S52" s="144" t="s">
        <v>3855</v>
      </c>
      <c r="T52" s="144">
        <v>58.613300000000002</v>
      </c>
      <c r="U52" s="146">
        <v>1.1045704080957735E-5</v>
      </c>
      <c r="V52" s="146">
        <v>6.6603192458352372E-3</v>
      </c>
      <c r="W52" s="147">
        <v>3.9692915469063767E-3</v>
      </c>
      <c r="X52" s="181"/>
    </row>
    <row r="53" spans="1:24" x14ac:dyDescent="0.2">
      <c r="A53" s="142" t="s">
        <v>1205</v>
      </c>
      <c r="B53" s="143" t="s">
        <v>1206</v>
      </c>
      <c r="C53" s="143" t="s">
        <v>2833</v>
      </c>
      <c r="D53" s="143" t="s">
        <v>2834</v>
      </c>
      <c r="E53" s="143" t="s">
        <v>313</v>
      </c>
      <c r="F53" s="143" t="s">
        <v>2833</v>
      </c>
      <c r="G53" s="143" t="s">
        <v>2835</v>
      </c>
      <c r="H53" s="143" t="s">
        <v>321</v>
      </c>
      <c r="I53" s="143" t="s">
        <v>967</v>
      </c>
      <c r="J53" s="143" t="s">
        <v>205</v>
      </c>
      <c r="K53" s="143" t="s">
        <v>233</v>
      </c>
      <c r="L53" s="143" t="s">
        <v>380</v>
      </c>
      <c r="M53" s="143" t="s">
        <v>677</v>
      </c>
      <c r="N53" s="143" t="s">
        <v>339</v>
      </c>
      <c r="O53" s="143" t="s">
        <v>1211</v>
      </c>
      <c r="P53" s="144">
        <v>148</v>
      </c>
      <c r="Q53" s="143" t="s">
        <v>1212</v>
      </c>
      <c r="R53" s="143" t="s">
        <v>2836</v>
      </c>
      <c r="S53" s="144" t="s">
        <v>3855</v>
      </c>
      <c r="T53" s="144">
        <v>51.126899999999999</v>
      </c>
      <c r="U53" s="146">
        <v>4.6284713535151362E-6</v>
      </c>
      <c r="V53" s="146">
        <v>5.8096295869087076E-3</v>
      </c>
      <c r="W53" s="147">
        <v>3.4623135556743219E-3</v>
      </c>
      <c r="X53" s="181"/>
    </row>
    <row r="54" spans="1:24" x14ac:dyDescent="0.2">
      <c r="A54" s="142" t="s">
        <v>1205</v>
      </c>
      <c r="B54" s="143" t="s">
        <v>1206</v>
      </c>
      <c r="C54" s="143" t="s">
        <v>2837</v>
      </c>
      <c r="D54" s="143" t="s">
        <v>2838</v>
      </c>
      <c r="E54" s="143" t="s">
        <v>313</v>
      </c>
      <c r="F54" s="143" t="s">
        <v>2837</v>
      </c>
      <c r="G54" s="143" t="s">
        <v>2839</v>
      </c>
      <c r="H54" s="143" t="s">
        <v>321</v>
      </c>
      <c r="I54" s="143" t="s">
        <v>967</v>
      </c>
      <c r="J54" s="143" t="s">
        <v>205</v>
      </c>
      <c r="K54" s="143" t="s">
        <v>224</v>
      </c>
      <c r="L54" s="143" t="s">
        <v>314</v>
      </c>
      <c r="M54" s="143" t="s">
        <v>677</v>
      </c>
      <c r="N54" s="143" t="s">
        <v>339</v>
      </c>
      <c r="O54" s="143" t="s">
        <v>1211</v>
      </c>
      <c r="P54" s="144">
        <v>322</v>
      </c>
      <c r="Q54" s="143" t="s">
        <v>1212</v>
      </c>
      <c r="R54" s="143" t="s">
        <v>2840</v>
      </c>
      <c r="S54" s="144" t="s">
        <v>3855</v>
      </c>
      <c r="T54" s="144">
        <v>25.454699999999999</v>
      </c>
      <c r="U54" s="146">
        <v>5.7500000000000002E-5</v>
      </c>
      <c r="V54" s="146">
        <v>2.8924533341533262E-3</v>
      </c>
      <c r="W54" s="147">
        <v>1.7237898282811501E-3</v>
      </c>
      <c r="X54" s="181"/>
    </row>
    <row r="55" spans="1:24" ht="15" x14ac:dyDescent="0.2">
      <c r="A55" s="142" t="s">
        <v>1205</v>
      </c>
      <c r="B55" s="143" t="s">
        <v>1213</v>
      </c>
      <c r="C55" s="143" t="s">
        <v>2630</v>
      </c>
      <c r="D55" s="143" t="s">
        <v>2631</v>
      </c>
      <c r="E55" s="143" t="s">
        <v>309</v>
      </c>
      <c r="F55" s="143" t="s">
        <v>2841</v>
      </c>
      <c r="G55" s="143" t="s">
        <v>2842</v>
      </c>
      <c r="H55" s="143" t="s">
        <v>321</v>
      </c>
      <c r="I55" s="143" t="s">
        <v>966</v>
      </c>
      <c r="J55" s="143" t="s">
        <v>204</v>
      </c>
      <c r="K55" s="143" t="s">
        <v>204</v>
      </c>
      <c r="L55" s="143" t="s">
        <v>340</v>
      </c>
      <c r="M55" s="143" t="s">
        <v>632</v>
      </c>
      <c r="N55" s="143" t="s">
        <v>339</v>
      </c>
      <c r="O55" s="143" t="s">
        <v>1210</v>
      </c>
      <c r="P55" s="144">
        <v>68992</v>
      </c>
      <c r="Q55" s="145" t="s">
        <v>3853</v>
      </c>
      <c r="R55" s="143" t="s">
        <v>2843</v>
      </c>
      <c r="S55" s="144" t="s">
        <v>3855</v>
      </c>
      <c r="T55" s="144">
        <v>264.46699999999998</v>
      </c>
      <c r="U55" s="146">
        <v>2.527710482302013E-4</v>
      </c>
      <c r="V55" s="146">
        <v>0.27223829032360536</v>
      </c>
      <c r="W55" s="147">
        <v>7.805756337468335E-2</v>
      </c>
      <c r="X55" s="181"/>
    </row>
    <row r="56" spans="1:24" ht="15" x14ac:dyDescent="0.2">
      <c r="A56" s="142" t="s">
        <v>1205</v>
      </c>
      <c r="B56" s="143" t="s">
        <v>1213</v>
      </c>
      <c r="C56" s="143" t="s">
        <v>2639</v>
      </c>
      <c r="D56" s="143" t="s">
        <v>2640</v>
      </c>
      <c r="E56" s="143" t="s">
        <v>309</v>
      </c>
      <c r="F56" s="143" t="s">
        <v>2844</v>
      </c>
      <c r="G56" s="143" t="s">
        <v>2845</v>
      </c>
      <c r="H56" s="143" t="s">
        <v>321</v>
      </c>
      <c r="I56" s="143" t="s">
        <v>966</v>
      </c>
      <c r="J56" s="143" t="s">
        <v>204</v>
      </c>
      <c r="K56" s="143" t="s">
        <v>204</v>
      </c>
      <c r="L56" s="143" t="s">
        <v>340</v>
      </c>
      <c r="M56" s="143" t="s">
        <v>632</v>
      </c>
      <c r="N56" s="143" t="s">
        <v>339</v>
      </c>
      <c r="O56" s="143" t="s">
        <v>1210</v>
      </c>
      <c r="P56" s="144">
        <v>44759</v>
      </c>
      <c r="Q56" s="145" t="s">
        <v>3853</v>
      </c>
      <c r="R56" s="143" t="s">
        <v>2846</v>
      </c>
      <c r="S56" s="144" t="s">
        <v>3855</v>
      </c>
      <c r="T56" s="144">
        <v>199.17760000000001</v>
      </c>
      <c r="U56" s="146">
        <v>1.8176899204230793E-4</v>
      </c>
      <c r="V56" s="146">
        <v>0.20503030167781344</v>
      </c>
      <c r="W56" s="147">
        <v>5.8787343058621433E-2</v>
      </c>
      <c r="X56" s="181"/>
    </row>
    <row r="57" spans="1:24" ht="15" x14ac:dyDescent="0.2">
      <c r="A57" s="142" t="s">
        <v>1205</v>
      </c>
      <c r="B57" s="143" t="s">
        <v>1213</v>
      </c>
      <c r="C57" s="143" t="s">
        <v>2625</v>
      </c>
      <c r="D57" s="143" t="s">
        <v>2626</v>
      </c>
      <c r="E57" s="143" t="s">
        <v>309</v>
      </c>
      <c r="F57" s="143" t="s">
        <v>2847</v>
      </c>
      <c r="G57" s="143" t="s">
        <v>2848</v>
      </c>
      <c r="H57" s="143" t="s">
        <v>321</v>
      </c>
      <c r="I57" s="143" t="s">
        <v>966</v>
      </c>
      <c r="J57" s="143" t="s">
        <v>204</v>
      </c>
      <c r="K57" s="143" t="s">
        <v>204</v>
      </c>
      <c r="L57" s="143" t="s">
        <v>340</v>
      </c>
      <c r="M57" s="143" t="s">
        <v>576</v>
      </c>
      <c r="N57" s="143" t="s">
        <v>339</v>
      </c>
      <c r="O57" s="143" t="s">
        <v>1210</v>
      </c>
      <c r="P57" s="144">
        <v>4782</v>
      </c>
      <c r="Q57" s="145" t="s">
        <v>3853</v>
      </c>
      <c r="R57" s="143" t="s">
        <v>2849</v>
      </c>
      <c r="S57" s="144" t="s">
        <v>3855</v>
      </c>
      <c r="T57" s="144">
        <v>169.66970000000001</v>
      </c>
      <c r="U57" s="146">
        <v>3.4157142857142855E-5</v>
      </c>
      <c r="V57" s="146">
        <v>0.17465533818689499</v>
      </c>
      <c r="W57" s="147">
        <v>5.0078077235368959E-2</v>
      </c>
      <c r="X57" s="181"/>
    </row>
    <row r="58" spans="1:24" ht="15" x14ac:dyDescent="0.2">
      <c r="A58" s="142" t="s">
        <v>1205</v>
      </c>
      <c r="B58" s="143" t="s">
        <v>1213</v>
      </c>
      <c r="C58" s="143" t="s">
        <v>2639</v>
      </c>
      <c r="D58" s="143" t="s">
        <v>2640</v>
      </c>
      <c r="E58" s="143" t="s">
        <v>309</v>
      </c>
      <c r="F58" s="143" t="s">
        <v>2850</v>
      </c>
      <c r="G58" s="143" t="s">
        <v>2851</v>
      </c>
      <c r="H58" s="143" t="s">
        <v>321</v>
      </c>
      <c r="I58" s="143" t="s">
        <v>966</v>
      </c>
      <c r="J58" s="143" t="s">
        <v>204</v>
      </c>
      <c r="K58" s="143" t="s">
        <v>204</v>
      </c>
      <c r="L58" s="143" t="s">
        <v>340</v>
      </c>
      <c r="M58" s="143" t="s">
        <v>576</v>
      </c>
      <c r="N58" s="143" t="s">
        <v>339</v>
      </c>
      <c r="O58" s="143" t="s">
        <v>1210</v>
      </c>
      <c r="P58" s="144">
        <v>23837</v>
      </c>
      <c r="Q58" s="145" t="s">
        <v>3853</v>
      </c>
      <c r="R58" s="143" t="s">
        <v>2852</v>
      </c>
      <c r="S58" s="144" t="s">
        <v>3855</v>
      </c>
      <c r="T58" s="144">
        <v>108.24860000000001</v>
      </c>
      <c r="U58" s="146">
        <v>1.6457187276625889E-4</v>
      </c>
      <c r="V58" s="146">
        <v>0.11142942523255382</v>
      </c>
      <c r="W58" s="147">
        <v>3.1949618150905745E-2</v>
      </c>
      <c r="X58" s="181"/>
    </row>
    <row r="59" spans="1:24" ht="15" x14ac:dyDescent="0.2">
      <c r="A59" s="142" t="s">
        <v>1205</v>
      </c>
      <c r="B59" s="143" t="s">
        <v>1213</v>
      </c>
      <c r="C59" s="143" t="s">
        <v>2630</v>
      </c>
      <c r="D59" s="143" t="s">
        <v>2631</v>
      </c>
      <c r="E59" s="143" t="s">
        <v>309</v>
      </c>
      <c r="F59" s="143" t="s">
        <v>2853</v>
      </c>
      <c r="G59" s="143" t="s">
        <v>2854</v>
      </c>
      <c r="H59" s="143" t="s">
        <v>321</v>
      </c>
      <c r="I59" s="143" t="s">
        <v>966</v>
      </c>
      <c r="J59" s="143" t="s">
        <v>204</v>
      </c>
      <c r="K59" s="143" t="s">
        <v>204</v>
      </c>
      <c r="L59" s="143" t="s">
        <v>340</v>
      </c>
      <c r="M59" s="143" t="s">
        <v>576</v>
      </c>
      <c r="N59" s="143" t="s">
        <v>339</v>
      </c>
      <c r="O59" s="143" t="s">
        <v>1210</v>
      </c>
      <c r="P59" s="144">
        <v>27008</v>
      </c>
      <c r="Q59" s="145" t="s">
        <v>3853</v>
      </c>
      <c r="R59" s="143" t="s">
        <v>2855</v>
      </c>
      <c r="S59" s="144" t="s">
        <v>3855</v>
      </c>
      <c r="T59" s="144">
        <v>96.1053</v>
      </c>
      <c r="U59" s="146">
        <v>8.7417852489501225E-5</v>
      </c>
      <c r="V59" s="146">
        <v>9.8929281572360292E-2</v>
      </c>
      <c r="W59" s="147">
        <v>2.8365512642498505E-2</v>
      </c>
      <c r="X59" s="181"/>
    </row>
    <row r="60" spans="1:24" ht="15" x14ac:dyDescent="0.2">
      <c r="A60" s="142" t="s">
        <v>1205</v>
      </c>
      <c r="B60" s="143" t="s">
        <v>1213</v>
      </c>
      <c r="C60" s="143" t="s">
        <v>2630</v>
      </c>
      <c r="D60" s="143" t="s">
        <v>2631</v>
      </c>
      <c r="E60" s="143" t="s">
        <v>309</v>
      </c>
      <c r="F60" s="143" t="s">
        <v>2856</v>
      </c>
      <c r="G60" s="143" t="s">
        <v>2857</v>
      </c>
      <c r="H60" s="143" t="s">
        <v>321</v>
      </c>
      <c r="I60" s="143" t="s">
        <v>966</v>
      </c>
      <c r="J60" s="143" t="s">
        <v>204</v>
      </c>
      <c r="K60" s="143" t="s">
        <v>204</v>
      </c>
      <c r="L60" s="143" t="s">
        <v>340</v>
      </c>
      <c r="M60" s="143" t="s">
        <v>634</v>
      </c>
      <c r="N60" s="143" t="s">
        <v>339</v>
      </c>
      <c r="O60" s="143" t="s">
        <v>1210</v>
      </c>
      <c r="P60" s="144">
        <v>7800</v>
      </c>
      <c r="Q60" s="145" t="s">
        <v>3853</v>
      </c>
      <c r="R60" s="143" t="s">
        <v>2858</v>
      </c>
      <c r="S60" s="144" t="s">
        <v>3855</v>
      </c>
      <c r="T60" s="144">
        <v>29.846700000000002</v>
      </c>
      <c r="U60" s="146">
        <v>5.8455909192072563E-5</v>
      </c>
      <c r="V60" s="146">
        <v>3.0723733197276473E-2</v>
      </c>
      <c r="W60" s="147">
        <v>8.8092668680167848E-3</v>
      </c>
      <c r="X60" s="181"/>
    </row>
    <row r="61" spans="1:24" ht="15" x14ac:dyDescent="0.2">
      <c r="A61" s="142" t="s">
        <v>1205</v>
      </c>
      <c r="B61" s="143" t="s">
        <v>1213</v>
      </c>
      <c r="C61" s="143" t="s">
        <v>2625</v>
      </c>
      <c r="D61" s="143" t="s">
        <v>2626</v>
      </c>
      <c r="E61" s="143" t="s">
        <v>309</v>
      </c>
      <c r="F61" s="143" t="s">
        <v>2859</v>
      </c>
      <c r="G61" s="143" t="s">
        <v>2860</v>
      </c>
      <c r="H61" s="143" t="s">
        <v>321</v>
      </c>
      <c r="I61" s="143" t="s">
        <v>966</v>
      </c>
      <c r="J61" s="143" t="s">
        <v>204</v>
      </c>
      <c r="K61" s="143" t="s">
        <v>204</v>
      </c>
      <c r="L61" s="143" t="s">
        <v>340</v>
      </c>
      <c r="M61" s="143" t="s">
        <v>632</v>
      </c>
      <c r="N61" s="143" t="s">
        <v>339</v>
      </c>
      <c r="O61" s="143" t="s">
        <v>1210</v>
      </c>
      <c r="P61" s="144">
        <v>674.6</v>
      </c>
      <c r="Q61" s="145" t="s">
        <v>3853</v>
      </c>
      <c r="R61" s="143" t="s">
        <v>2861</v>
      </c>
      <c r="S61" s="144" t="s">
        <v>3855</v>
      </c>
      <c r="T61" s="144">
        <v>25.784200000000002</v>
      </c>
      <c r="U61" s="146">
        <v>1.2492175261404231E-5</v>
      </c>
      <c r="V61" s="146">
        <v>2.6541882881606325E-2</v>
      </c>
      <c r="W61" s="147">
        <v>7.6102252282428716E-3</v>
      </c>
      <c r="X61" s="181"/>
    </row>
    <row r="62" spans="1:24" x14ac:dyDescent="0.2">
      <c r="A62" s="142" t="s">
        <v>1205</v>
      </c>
      <c r="B62" s="143" t="s">
        <v>1213</v>
      </c>
      <c r="C62" s="143" t="s">
        <v>2825</v>
      </c>
      <c r="D62" s="143" t="s">
        <v>2826</v>
      </c>
      <c r="E62" s="143" t="s">
        <v>313</v>
      </c>
      <c r="F62" s="143" t="s">
        <v>2825</v>
      </c>
      <c r="G62" s="143" t="s">
        <v>2827</v>
      </c>
      <c r="H62" s="143" t="s">
        <v>321</v>
      </c>
      <c r="I62" s="143" t="s">
        <v>967</v>
      </c>
      <c r="J62" s="143" t="s">
        <v>205</v>
      </c>
      <c r="K62" s="143" t="s">
        <v>224</v>
      </c>
      <c r="L62" s="143" t="s">
        <v>380</v>
      </c>
      <c r="M62" s="143" t="s">
        <v>592</v>
      </c>
      <c r="N62" s="143" t="s">
        <v>339</v>
      </c>
      <c r="O62" s="143" t="s">
        <v>1211</v>
      </c>
      <c r="P62" s="144">
        <v>3626</v>
      </c>
      <c r="Q62" s="143" t="s">
        <v>1212</v>
      </c>
      <c r="R62" s="143" t="s">
        <v>2828</v>
      </c>
      <c r="S62" s="144" t="s">
        <v>3855</v>
      </c>
      <c r="T62" s="144">
        <v>78.155199999999994</v>
      </c>
      <c r="U62" s="146">
        <v>1.1939413895291406E-5</v>
      </c>
      <c r="V62" s="146">
        <v>8.0451746927889284E-2</v>
      </c>
      <c r="W62" s="147">
        <v>2.3067538835051176E-2</v>
      </c>
      <c r="X62" s="181"/>
    </row>
    <row r="63" spans="1:24" ht="15" x14ac:dyDescent="0.2">
      <c r="A63" s="142" t="s">
        <v>1205</v>
      </c>
      <c r="B63" s="143" t="s">
        <v>1205</v>
      </c>
      <c r="C63" s="143" t="s">
        <v>2625</v>
      </c>
      <c r="D63" s="143" t="s">
        <v>2626</v>
      </c>
      <c r="E63" s="143" t="s">
        <v>309</v>
      </c>
      <c r="F63" s="143" t="s">
        <v>2862</v>
      </c>
      <c r="G63" s="143" t="s">
        <v>2863</v>
      </c>
      <c r="H63" s="143" t="s">
        <v>321</v>
      </c>
      <c r="I63" s="143" t="s">
        <v>965</v>
      </c>
      <c r="J63" s="143" t="s">
        <v>204</v>
      </c>
      <c r="K63" s="143" t="s">
        <v>244</v>
      </c>
      <c r="L63" s="143" t="s">
        <v>340</v>
      </c>
      <c r="M63" s="143" t="s">
        <v>580</v>
      </c>
      <c r="N63" s="143" t="s">
        <v>339</v>
      </c>
      <c r="O63" s="143" t="s">
        <v>1210</v>
      </c>
      <c r="P63" s="144">
        <v>20500</v>
      </c>
      <c r="Q63" s="145" t="s">
        <v>3853</v>
      </c>
      <c r="R63" s="143" t="s">
        <v>2864</v>
      </c>
      <c r="S63" s="144" t="s">
        <v>3855</v>
      </c>
      <c r="T63" s="144">
        <v>2252.9499999999998</v>
      </c>
      <c r="U63" s="146">
        <v>1.8668393508243736E-3</v>
      </c>
      <c r="V63" s="146">
        <v>1.557779886792208E-2</v>
      </c>
      <c r="W63" s="147">
        <v>3.4017266147467421E-3</v>
      </c>
      <c r="X63" s="181"/>
    </row>
    <row r="64" spans="1:24" ht="15" x14ac:dyDescent="0.2">
      <c r="A64" s="142" t="s">
        <v>1205</v>
      </c>
      <c r="B64" s="143" t="s">
        <v>1205</v>
      </c>
      <c r="C64" s="143" t="s">
        <v>2625</v>
      </c>
      <c r="D64" s="143" t="s">
        <v>2626</v>
      </c>
      <c r="E64" s="143" t="s">
        <v>309</v>
      </c>
      <c r="F64" s="143" t="s">
        <v>2865</v>
      </c>
      <c r="G64" s="143" t="s">
        <v>2866</v>
      </c>
      <c r="H64" s="143" t="s">
        <v>321</v>
      </c>
      <c r="I64" s="143" t="s">
        <v>965</v>
      </c>
      <c r="J64" s="143" t="s">
        <v>204</v>
      </c>
      <c r="K64" s="143" t="s">
        <v>224</v>
      </c>
      <c r="L64" s="143" t="s">
        <v>340</v>
      </c>
      <c r="M64" s="143" t="s">
        <v>708</v>
      </c>
      <c r="N64" s="143" t="s">
        <v>339</v>
      </c>
      <c r="O64" s="143" t="s">
        <v>1210</v>
      </c>
      <c r="P64" s="144">
        <v>5023</v>
      </c>
      <c r="Q64" s="145" t="s">
        <v>3853</v>
      </c>
      <c r="R64" s="143" t="s">
        <v>2867</v>
      </c>
      <c r="S64" s="144" t="s">
        <v>3855</v>
      </c>
      <c r="T64" s="144">
        <v>1035.7426</v>
      </c>
      <c r="U64" s="146">
        <v>1.5830943301081029E-3</v>
      </c>
      <c r="V64" s="146">
        <v>7.161539271505658E-3</v>
      </c>
      <c r="W64" s="147">
        <v>1.5638665609298871E-3</v>
      </c>
      <c r="X64" s="181"/>
    </row>
    <row r="65" spans="1:24" ht="15" x14ac:dyDescent="0.2">
      <c r="A65" s="142" t="s">
        <v>1205</v>
      </c>
      <c r="B65" s="143" t="s">
        <v>1205</v>
      </c>
      <c r="C65" s="143" t="s">
        <v>2625</v>
      </c>
      <c r="D65" s="143" t="s">
        <v>2626</v>
      </c>
      <c r="E65" s="143" t="s">
        <v>309</v>
      </c>
      <c r="F65" s="143" t="s">
        <v>2868</v>
      </c>
      <c r="G65" s="143" t="s">
        <v>2869</v>
      </c>
      <c r="H65" s="143" t="s">
        <v>321</v>
      </c>
      <c r="I65" s="143" t="s">
        <v>965</v>
      </c>
      <c r="J65" s="143" t="s">
        <v>204</v>
      </c>
      <c r="K65" s="143" t="s">
        <v>224</v>
      </c>
      <c r="L65" s="143" t="s">
        <v>340</v>
      </c>
      <c r="M65" s="143" t="s">
        <v>698</v>
      </c>
      <c r="N65" s="143" t="s">
        <v>339</v>
      </c>
      <c r="O65" s="143" t="s">
        <v>1210</v>
      </c>
      <c r="P65" s="144">
        <v>3508</v>
      </c>
      <c r="Q65" s="145" t="s">
        <v>3853</v>
      </c>
      <c r="R65" s="143" t="s">
        <v>2870</v>
      </c>
      <c r="S65" s="144" t="s">
        <v>3855</v>
      </c>
      <c r="T65" s="144">
        <v>511.46640000000002</v>
      </c>
      <c r="U65" s="146">
        <v>3.4972634013578316E-4</v>
      </c>
      <c r="V65" s="146">
        <v>3.5364835912471125E-3</v>
      </c>
      <c r="W65" s="147">
        <v>7.7226252931876125E-4</v>
      </c>
      <c r="X65" s="181"/>
    </row>
    <row r="66" spans="1:24" x14ac:dyDescent="0.2">
      <c r="A66" s="142" t="s">
        <v>1205</v>
      </c>
      <c r="B66" s="143" t="s">
        <v>1205</v>
      </c>
      <c r="C66" s="143" t="s">
        <v>2661</v>
      </c>
      <c r="D66" s="143" t="s">
        <v>2662</v>
      </c>
      <c r="E66" s="143" t="s">
        <v>313</v>
      </c>
      <c r="F66" s="143" t="s">
        <v>2663</v>
      </c>
      <c r="G66" s="143" t="s">
        <v>2664</v>
      </c>
      <c r="H66" s="143" t="s">
        <v>321</v>
      </c>
      <c r="I66" s="143" t="s">
        <v>965</v>
      </c>
      <c r="J66" s="143" t="s">
        <v>205</v>
      </c>
      <c r="K66" s="143" t="s">
        <v>224</v>
      </c>
      <c r="L66" s="143" t="s">
        <v>344</v>
      </c>
      <c r="M66" s="143" t="s">
        <v>597</v>
      </c>
      <c r="N66" s="143" t="s">
        <v>339</v>
      </c>
      <c r="O66" s="143" t="s">
        <v>1211</v>
      </c>
      <c r="P66" s="144">
        <v>6048</v>
      </c>
      <c r="Q66" s="143" t="s">
        <v>1212</v>
      </c>
      <c r="R66" s="143" t="s">
        <v>2665</v>
      </c>
      <c r="S66" s="144">
        <v>4.60555</v>
      </c>
      <c r="T66" s="144">
        <v>10909.606</v>
      </c>
      <c r="U66" s="146">
        <v>1.1192745442768576E-5</v>
      </c>
      <c r="V66" s="146">
        <v>7.5465230912658152E-2</v>
      </c>
      <c r="W66" s="147">
        <v>1.6479355437835397E-2</v>
      </c>
      <c r="X66" s="181"/>
    </row>
    <row r="67" spans="1:24" x14ac:dyDescent="0.2">
      <c r="A67" s="142" t="s">
        <v>1205</v>
      </c>
      <c r="B67" s="143" t="s">
        <v>1205</v>
      </c>
      <c r="C67" s="143" t="s">
        <v>2656</v>
      </c>
      <c r="D67" s="143" t="s">
        <v>2657</v>
      </c>
      <c r="E67" s="143" t="s">
        <v>313</v>
      </c>
      <c r="F67" s="143" t="s">
        <v>2658</v>
      </c>
      <c r="G67" s="143" t="s">
        <v>2659</v>
      </c>
      <c r="H67" s="143" t="s">
        <v>321</v>
      </c>
      <c r="I67" s="143" t="s">
        <v>965</v>
      </c>
      <c r="J67" s="143" t="s">
        <v>205</v>
      </c>
      <c r="K67" s="143" t="s">
        <v>224</v>
      </c>
      <c r="L67" s="143" t="s">
        <v>344</v>
      </c>
      <c r="M67" s="143" t="s">
        <v>604</v>
      </c>
      <c r="N67" s="143" t="s">
        <v>339</v>
      </c>
      <c r="O67" s="143" t="s">
        <v>1211</v>
      </c>
      <c r="P67" s="144">
        <v>4335</v>
      </c>
      <c r="Q67" s="143" t="s">
        <v>1212</v>
      </c>
      <c r="R67" s="143" t="s">
        <v>2660</v>
      </c>
      <c r="S67" s="144">
        <v>7.6253500000000001</v>
      </c>
      <c r="T67" s="144">
        <v>8896.872800000001</v>
      </c>
      <c r="U67" s="146">
        <v>4.5973622700258345E-6</v>
      </c>
      <c r="V67" s="146">
        <v>6.1569267555829268E-2</v>
      </c>
      <c r="W67" s="147">
        <v>1.3444891532552246E-2</v>
      </c>
      <c r="X67" s="181"/>
    </row>
    <row r="68" spans="1:24" x14ac:dyDescent="0.2">
      <c r="A68" s="142" t="s">
        <v>1205</v>
      </c>
      <c r="B68" s="143" t="s">
        <v>1205</v>
      </c>
      <c r="C68" s="143" t="s">
        <v>2666</v>
      </c>
      <c r="D68" s="143" t="s">
        <v>2667</v>
      </c>
      <c r="E68" s="143" t="s">
        <v>313</v>
      </c>
      <c r="F68" s="143" t="s">
        <v>2666</v>
      </c>
      <c r="G68" s="143" t="s">
        <v>2668</v>
      </c>
      <c r="H68" s="143" t="s">
        <v>321</v>
      </c>
      <c r="I68" s="143" t="s">
        <v>965</v>
      </c>
      <c r="J68" s="143" t="s">
        <v>205</v>
      </c>
      <c r="K68" s="143" t="s">
        <v>224</v>
      </c>
      <c r="L68" s="143" t="s">
        <v>344</v>
      </c>
      <c r="M68" s="143" t="s">
        <v>586</v>
      </c>
      <c r="N68" s="143" t="s">
        <v>339</v>
      </c>
      <c r="O68" s="143" t="s">
        <v>1211</v>
      </c>
      <c r="P68" s="144">
        <v>48284</v>
      </c>
      <c r="Q68" s="143" t="s">
        <v>1212</v>
      </c>
      <c r="R68" s="143" t="s">
        <v>2669</v>
      </c>
      <c r="S68" s="144" t="s">
        <v>3855</v>
      </c>
      <c r="T68" s="144">
        <v>7461.4467000000004</v>
      </c>
      <c r="U68" s="146">
        <v>5.2095010492585061E-5</v>
      </c>
      <c r="V68" s="146">
        <v>5.1591431985161647E-2</v>
      </c>
      <c r="W68" s="147">
        <v>1.1266029864990203E-2</v>
      </c>
      <c r="X68" s="181"/>
    </row>
    <row r="69" spans="1:24" x14ac:dyDescent="0.2">
      <c r="A69" s="142" t="s">
        <v>1205</v>
      </c>
      <c r="B69" s="143" t="s">
        <v>1205</v>
      </c>
      <c r="C69" s="143" t="s">
        <v>2679</v>
      </c>
      <c r="D69" s="143" t="s">
        <v>2680</v>
      </c>
      <c r="E69" s="143" t="s">
        <v>313</v>
      </c>
      <c r="F69" s="143" t="s">
        <v>2679</v>
      </c>
      <c r="G69" s="143" t="s">
        <v>2681</v>
      </c>
      <c r="H69" s="143" t="s">
        <v>321</v>
      </c>
      <c r="I69" s="143" t="s">
        <v>965</v>
      </c>
      <c r="J69" s="143" t="s">
        <v>205</v>
      </c>
      <c r="K69" s="143" t="s">
        <v>224</v>
      </c>
      <c r="L69" s="143" t="s">
        <v>344</v>
      </c>
      <c r="M69" s="143" t="s">
        <v>604</v>
      </c>
      <c r="N69" s="143" t="s">
        <v>339</v>
      </c>
      <c r="O69" s="143" t="s">
        <v>1211</v>
      </c>
      <c r="P69" s="144">
        <v>3552</v>
      </c>
      <c r="Q69" s="143" t="s">
        <v>1212</v>
      </c>
      <c r="R69" s="143" t="s">
        <v>2682</v>
      </c>
      <c r="S69" s="144">
        <v>6.3349899999999995</v>
      </c>
      <c r="T69" s="144">
        <v>6701.5330000000004</v>
      </c>
      <c r="U69" s="146">
        <v>4.7583706867218413E-6</v>
      </c>
      <c r="V69" s="146">
        <v>4.638088644659874E-2</v>
      </c>
      <c r="W69" s="147">
        <v>1.0128202140665267E-2</v>
      </c>
      <c r="X69" s="181"/>
    </row>
    <row r="70" spans="1:24" x14ac:dyDescent="0.2">
      <c r="A70" s="142" t="s">
        <v>1205</v>
      </c>
      <c r="B70" s="143" t="s">
        <v>1205</v>
      </c>
      <c r="C70" s="143" t="s">
        <v>2674</v>
      </c>
      <c r="D70" s="143" t="s">
        <v>2675</v>
      </c>
      <c r="E70" s="143" t="s">
        <v>313</v>
      </c>
      <c r="F70" s="143" t="s">
        <v>2676</v>
      </c>
      <c r="G70" s="143" t="s">
        <v>2677</v>
      </c>
      <c r="H70" s="143" t="s">
        <v>321</v>
      </c>
      <c r="I70" s="143" t="s">
        <v>965</v>
      </c>
      <c r="J70" s="143" t="s">
        <v>205</v>
      </c>
      <c r="K70" s="143" t="s">
        <v>224</v>
      </c>
      <c r="L70" s="143" t="s">
        <v>344</v>
      </c>
      <c r="M70" s="143" t="s">
        <v>583</v>
      </c>
      <c r="N70" s="143" t="s">
        <v>339</v>
      </c>
      <c r="O70" s="143" t="s">
        <v>1211</v>
      </c>
      <c r="P70" s="144">
        <v>13135</v>
      </c>
      <c r="Q70" s="143" t="s">
        <v>1212</v>
      </c>
      <c r="R70" s="143" t="s">
        <v>2678</v>
      </c>
      <c r="S70" s="144" t="s">
        <v>3855</v>
      </c>
      <c r="T70" s="144">
        <v>6017.2659999999996</v>
      </c>
      <c r="U70" s="146">
        <v>9.5439815151206889E-5</v>
      </c>
      <c r="V70" s="146">
        <v>4.1605788079924523E-2</v>
      </c>
      <c r="W70" s="147">
        <v>9.0854630900669003E-3</v>
      </c>
      <c r="X70" s="181"/>
    </row>
    <row r="71" spans="1:24" x14ac:dyDescent="0.2">
      <c r="A71" s="142" t="s">
        <v>1205</v>
      </c>
      <c r="B71" s="143" t="s">
        <v>1205</v>
      </c>
      <c r="C71" s="143" t="s">
        <v>2697</v>
      </c>
      <c r="D71" s="143" t="s">
        <v>2698</v>
      </c>
      <c r="E71" s="143" t="s">
        <v>313</v>
      </c>
      <c r="F71" s="143" t="s">
        <v>2697</v>
      </c>
      <c r="G71" s="143" t="s">
        <v>2699</v>
      </c>
      <c r="H71" s="143" t="s">
        <v>321</v>
      </c>
      <c r="I71" s="143" t="s">
        <v>965</v>
      </c>
      <c r="J71" s="143" t="s">
        <v>205</v>
      </c>
      <c r="K71" s="143" t="s">
        <v>224</v>
      </c>
      <c r="L71" s="143" t="s">
        <v>344</v>
      </c>
      <c r="M71" s="143" t="s">
        <v>589</v>
      </c>
      <c r="N71" s="143" t="s">
        <v>339</v>
      </c>
      <c r="O71" s="143" t="s">
        <v>1211</v>
      </c>
      <c r="P71" s="144">
        <v>10564</v>
      </c>
      <c r="Q71" s="143" t="s">
        <v>1212</v>
      </c>
      <c r="R71" s="143" t="s">
        <v>2700</v>
      </c>
      <c r="S71" s="144" t="s">
        <v>3855</v>
      </c>
      <c r="T71" s="144">
        <v>5787.7435999999998</v>
      </c>
      <c r="U71" s="146">
        <v>3.410877742440631E-5</v>
      </c>
      <c r="V71" s="146">
        <v>4.0018777754328279E-2</v>
      </c>
      <c r="W71" s="147">
        <v>8.7389073726493755E-3</v>
      </c>
      <c r="X71" s="181"/>
    </row>
    <row r="72" spans="1:24" x14ac:dyDescent="0.2">
      <c r="A72" s="142" t="s">
        <v>1205</v>
      </c>
      <c r="B72" s="143" t="s">
        <v>1205</v>
      </c>
      <c r="C72" s="143" t="s">
        <v>2701</v>
      </c>
      <c r="D72" s="143" t="s">
        <v>2702</v>
      </c>
      <c r="E72" s="143" t="s">
        <v>313</v>
      </c>
      <c r="F72" s="143" t="s">
        <v>2703</v>
      </c>
      <c r="G72" s="143" t="s">
        <v>2704</v>
      </c>
      <c r="H72" s="143" t="s">
        <v>321</v>
      </c>
      <c r="I72" s="143" t="s">
        <v>965</v>
      </c>
      <c r="J72" s="143" t="s">
        <v>205</v>
      </c>
      <c r="K72" s="143" t="s">
        <v>224</v>
      </c>
      <c r="L72" s="143" t="s">
        <v>344</v>
      </c>
      <c r="M72" s="143" t="s">
        <v>597</v>
      </c>
      <c r="N72" s="143" t="s">
        <v>339</v>
      </c>
      <c r="O72" s="143" t="s">
        <v>1211</v>
      </c>
      <c r="P72" s="144">
        <v>6630</v>
      </c>
      <c r="Q72" s="143" t="s">
        <v>1212</v>
      </c>
      <c r="R72" s="143" t="s">
        <v>2705</v>
      </c>
      <c r="S72" s="144" t="s">
        <v>3855</v>
      </c>
      <c r="T72" s="144">
        <v>4921.1316999999999</v>
      </c>
      <c r="U72" s="146">
        <v>5.0037735849056599E-4</v>
      </c>
      <c r="V72" s="146">
        <v>3.4026675976536289E-2</v>
      </c>
      <c r="W72" s="147">
        <v>7.4304110781080387E-3</v>
      </c>
      <c r="X72" s="181"/>
    </row>
    <row r="73" spans="1:24" x14ac:dyDescent="0.2">
      <c r="A73" s="142" t="s">
        <v>1205</v>
      </c>
      <c r="B73" s="143" t="s">
        <v>1205</v>
      </c>
      <c r="C73" s="143" t="s">
        <v>2719</v>
      </c>
      <c r="D73" s="143" t="s">
        <v>2720</v>
      </c>
      <c r="E73" s="143" t="s">
        <v>313</v>
      </c>
      <c r="F73" s="143" t="s">
        <v>2719</v>
      </c>
      <c r="G73" s="143" t="s">
        <v>2721</v>
      </c>
      <c r="H73" s="143" t="s">
        <v>321</v>
      </c>
      <c r="I73" s="143" t="s">
        <v>965</v>
      </c>
      <c r="J73" s="143" t="s">
        <v>205</v>
      </c>
      <c r="K73" s="143" t="s">
        <v>253</v>
      </c>
      <c r="L73" s="143" t="s">
        <v>314</v>
      </c>
      <c r="M73" s="143" t="s">
        <v>610</v>
      </c>
      <c r="N73" s="143" t="s">
        <v>339</v>
      </c>
      <c r="O73" s="143" t="s">
        <v>1214</v>
      </c>
      <c r="P73" s="144">
        <v>4819</v>
      </c>
      <c r="Q73" s="143" t="s">
        <v>1215</v>
      </c>
      <c r="R73" s="143" t="s">
        <v>2722</v>
      </c>
      <c r="S73" s="144" t="s">
        <v>3855</v>
      </c>
      <c r="T73" s="144">
        <v>4596.3257999999996</v>
      </c>
      <c r="U73" s="146">
        <v>4.7755425626796154E-4</v>
      </c>
      <c r="V73" s="146">
        <v>3.1780838057503993E-2</v>
      </c>
      <c r="W73" s="147">
        <v>6.9399870659382972E-3</v>
      </c>
      <c r="X73" s="181"/>
    </row>
    <row r="74" spans="1:24" x14ac:dyDescent="0.2">
      <c r="A74" s="142" t="s">
        <v>1205</v>
      </c>
      <c r="B74" s="143" t="s">
        <v>1205</v>
      </c>
      <c r="C74" s="143" t="s">
        <v>2670</v>
      </c>
      <c r="D74" s="143" t="s">
        <v>2671</v>
      </c>
      <c r="E74" s="143" t="s">
        <v>313</v>
      </c>
      <c r="F74" s="143" t="s">
        <v>2670</v>
      </c>
      <c r="G74" s="143" t="s">
        <v>2672</v>
      </c>
      <c r="H74" s="143" t="s">
        <v>321</v>
      </c>
      <c r="I74" s="143" t="s">
        <v>965</v>
      </c>
      <c r="J74" s="143" t="s">
        <v>205</v>
      </c>
      <c r="K74" s="143" t="s">
        <v>268</v>
      </c>
      <c r="L74" s="143" t="s">
        <v>344</v>
      </c>
      <c r="M74" s="143" t="s">
        <v>707</v>
      </c>
      <c r="N74" s="143" t="s">
        <v>339</v>
      </c>
      <c r="O74" s="143" t="s">
        <v>1211</v>
      </c>
      <c r="P74" s="144">
        <v>14184</v>
      </c>
      <c r="Q74" s="143" t="s">
        <v>1212</v>
      </c>
      <c r="R74" s="143" t="s">
        <v>2673</v>
      </c>
      <c r="S74" s="144" t="s">
        <v>3855</v>
      </c>
      <c r="T74" s="144">
        <v>3837.8049000000001</v>
      </c>
      <c r="U74" s="146">
        <v>2.5510791366906474E-4</v>
      </c>
      <c r="V74" s="146">
        <v>2.6536120418794336E-2</v>
      </c>
      <c r="W74" s="147">
        <v>5.7946971742342231E-3</v>
      </c>
      <c r="X74" s="181"/>
    </row>
    <row r="75" spans="1:24" x14ac:dyDescent="0.2">
      <c r="A75" s="142" t="s">
        <v>1205</v>
      </c>
      <c r="B75" s="143" t="s">
        <v>1205</v>
      </c>
      <c r="C75" s="143" t="s">
        <v>2871</v>
      </c>
      <c r="D75" s="143" t="s">
        <v>2872</v>
      </c>
      <c r="E75" s="143" t="s">
        <v>313</v>
      </c>
      <c r="F75" s="143" t="s">
        <v>2873</v>
      </c>
      <c r="G75" s="143" t="s">
        <v>2874</v>
      </c>
      <c r="H75" s="143" t="s">
        <v>321</v>
      </c>
      <c r="I75" s="143" t="s">
        <v>965</v>
      </c>
      <c r="J75" s="143" t="s">
        <v>205</v>
      </c>
      <c r="K75" s="143" t="s">
        <v>224</v>
      </c>
      <c r="L75" s="143" t="s">
        <v>344</v>
      </c>
      <c r="M75" s="143" t="s">
        <v>611</v>
      </c>
      <c r="N75" s="143" t="s">
        <v>339</v>
      </c>
      <c r="O75" s="143" t="s">
        <v>1211</v>
      </c>
      <c r="P75" s="144">
        <v>3301</v>
      </c>
      <c r="Q75" s="143" t="s">
        <v>1212</v>
      </c>
      <c r="R75" s="143" t="s">
        <v>2875</v>
      </c>
      <c r="S75" s="144" t="s">
        <v>3855</v>
      </c>
      <c r="T75" s="144">
        <v>3234.8852999999999</v>
      </c>
      <c r="U75" s="146">
        <v>1.0539254813064716E-4</v>
      </c>
      <c r="V75" s="146">
        <v>2.2367292643572633E-2</v>
      </c>
      <c r="W75" s="147">
        <v>4.884349536836672E-3</v>
      </c>
      <c r="X75" s="181"/>
    </row>
    <row r="76" spans="1:24" x14ac:dyDescent="0.2">
      <c r="A76" s="142" t="s">
        <v>1205</v>
      </c>
      <c r="B76" s="143" t="s">
        <v>1205</v>
      </c>
      <c r="C76" s="143" t="s">
        <v>2727</v>
      </c>
      <c r="D76" s="143" t="s">
        <v>2728</v>
      </c>
      <c r="E76" s="143" t="s">
        <v>313</v>
      </c>
      <c r="F76" s="143" t="s">
        <v>2727</v>
      </c>
      <c r="G76" s="143" t="s">
        <v>2729</v>
      </c>
      <c r="H76" s="143" t="s">
        <v>321</v>
      </c>
      <c r="I76" s="143" t="s">
        <v>965</v>
      </c>
      <c r="J76" s="143" t="s">
        <v>205</v>
      </c>
      <c r="K76" s="143" t="s">
        <v>224</v>
      </c>
      <c r="L76" s="143" t="s">
        <v>344</v>
      </c>
      <c r="M76" s="143" t="s">
        <v>708</v>
      </c>
      <c r="N76" s="143" t="s">
        <v>339</v>
      </c>
      <c r="O76" s="143" t="s">
        <v>1211</v>
      </c>
      <c r="P76" s="144">
        <v>9694</v>
      </c>
      <c r="Q76" s="143" t="s">
        <v>1212</v>
      </c>
      <c r="R76" s="143" t="s">
        <v>2730</v>
      </c>
      <c r="S76" s="144" t="s">
        <v>3855</v>
      </c>
      <c r="T76" s="144">
        <v>3121.4286000000002</v>
      </c>
      <c r="U76" s="146">
        <v>5.8292242934455799E-5</v>
      </c>
      <c r="V76" s="146">
        <v>2.1582808127679338E-2</v>
      </c>
      <c r="W76" s="147">
        <v>4.7130415183420857E-3</v>
      </c>
      <c r="X76" s="181"/>
    </row>
    <row r="77" spans="1:24" x14ac:dyDescent="0.2">
      <c r="A77" s="142" t="s">
        <v>1205</v>
      </c>
      <c r="B77" s="143" t="s">
        <v>1205</v>
      </c>
      <c r="C77" s="143" t="s">
        <v>2685</v>
      </c>
      <c r="D77" s="143" t="s">
        <v>2876</v>
      </c>
      <c r="E77" s="143" t="s">
        <v>313</v>
      </c>
      <c r="F77" s="143" t="s">
        <v>2685</v>
      </c>
      <c r="G77" s="143" t="s">
        <v>2877</v>
      </c>
      <c r="H77" s="143" t="s">
        <v>321</v>
      </c>
      <c r="I77" s="143" t="s">
        <v>965</v>
      </c>
      <c r="J77" s="143" t="s">
        <v>205</v>
      </c>
      <c r="K77" s="143" t="s">
        <v>224</v>
      </c>
      <c r="L77" s="143" t="s">
        <v>344</v>
      </c>
      <c r="M77" s="143" t="s">
        <v>604</v>
      </c>
      <c r="N77" s="143" t="s">
        <v>339</v>
      </c>
      <c r="O77" s="143" t="s">
        <v>1211</v>
      </c>
      <c r="P77" s="144">
        <v>17167</v>
      </c>
      <c r="Q77" s="143" t="s">
        <v>1212</v>
      </c>
      <c r="R77" s="143" t="s">
        <v>2878</v>
      </c>
      <c r="S77" s="144">
        <v>1.86022</v>
      </c>
      <c r="T77" s="144">
        <v>2937.3341</v>
      </c>
      <c r="U77" s="146">
        <v>8.3741463414634138E-3</v>
      </c>
      <c r="V77" s="146">
        <v>2.0322766745221727E-2</v>
      </c>
      <c r="W77" s="147">
        <v>4.4378860652045608E-3</v>
      </c>
      <c r="X77" s="181"/>
    </row>
    <row r="78" spans="1:24" x14ac:dyDescent="0.2">
      <c r="A78" s="142" t="s">
        <v>1205</v>
      </c>
      <c r="B78" s="143" t="s">
        <v>1205</v>
      </c>
      <c r="C78" s="143" t="s">
        <v>2754</v>
      </c>
      <c r="D78" s="143" t="s">
        <v>2755</v>
      </c>
      <c r="E78" s="143" t="s">
        <v>313</v>
      </c>
      <c r="F78" s="143" t="s">
        <v>2754</v>
      </c>
      <c r="G78" s="143" t="s">
        <v>2756</v>
      </c>
      <c r="H78" s="143" t="s">
        <v>321</v>
      </c>
      <c r="I78" s="143" t="s">
        <v>965</v>
      </c>
      <c r="J78" s="143" t="s">
        <v>205</v>
      </c>
      <c r="K78" s="143" t="s">
        <v>224</v>
      </c>
      <c r="L78" s="143" t="s">
        <v>344</v>
      </c>
      <c r="M78" s="143" t="s">
        <v>586</v>
      </c>
      <c r="N78" s="143" t="s">
        <v>339</v>
      </c>
      <c r="O78" s="143" t="s">
        <v>1211</v>
      </c>
      <c r="P78" s="144">
        <v>6630</v>
      </c>
      <c r="Q78" s="143" t="s">
        <v>1212</v>
      </c>
      <c r="R78" s="143" t="s">
        <v>2757</v>
      </c>
      <c r="S78" s="144" t="s">
        <v>3855</v>
      </c>
      <c r="T78" s="144">
        <v>2914.1493</v>
      </c>
      <c r="U78" s="146">
        <v>7.7093023255813949E-4</v>
      </c>
      <c r="V78" s="146">
        <v>2.0149595978610293E-2</v>
      </c>
      <c r="W78" s="147">
        <v>4.4000707351522991E-3</v>
      </c>
      <c r="X78" s="181"/>
    </row>
    <row r="79" spans="1:24" x14ac:dyDescent="0.2">
      <c r="A79" s="142" t="s">
        <v>1205</v>
      </c>
      <c r="B79" s="143" t="s">
        <v>1205</v>
      </c>
      <c r="C79" s="143" t="s">
        <v>2773</v>
      </c>
      <c r="D79" s="143" t="s">
        <v>2774</v>
      </c>
      <c r="E79" s="143" t="s">
        <v>313</v>
      </c>
      <c r="F79" s="143" t="s">
        <v>2775</v>
      </c>
      <c r="G79" s="143" t="s">
        <v>2776</v>
      </c>
      <c r="H79" s="143" t="s">
        <v>321</v>
      </c>
      <c r="I79" s="143" t="s">
        <v>965</v>
      </c>
      <c r="J79" s="143" t="s">
        <v>205</v>
      </c>
      <c r="K79" s="143" t="s">
        <v>224</v>
      </c>
      <c r="L79" s="143" t="s">
        <v>344</v>
      </c>
      <c r="M79" s="143" t="s">
        <v>612</v>
      </c>
      <c r="N79" s="143" t="s">
        <v>339</v>
      </c>
      <c r="O79" s="143" t="s">
        <v>1211</v>
      </c>
      <c r="P79" s="144">
        <v>8415</v>
      </c>
      <c r="Q79" s="143" t="s">
        <v>1212</v>
      </c>
      <c r="R79" s="143" t="s">
        <v>2777</v>
      </c>
      <c r="S79" s="144" t="s">
        <v>3855</v>
      </c>
      <c r="T79" s="144">
        <v>2748.8195000000001</v>
      </c>
      <c r="U79" s="146">
        <v>4.9067055393586009E-4</v>
      </c>
      <c r="V79" s="146">
        <v>1.9006439220000376E-2</v>
      </c>
      <c r="W79" s="147">
        <v>4.1504393974028672E-3</v>
      </c>
      <c r="X79" s="181"/>
    </row>
    <row r="80" spans="1:24" x14ac:dyDescent="0.2">
      <c r="A80" s="142" t="s">
        <v>1205</v>
      </c>
      <c r="B80" s="143" t="s">
        <v>1205</v>
      </c>
      <c r="C80" s="143" t="s">
        <v>2879</v>
      </c>
      <c r="D80" s="143" t="s">
        <v>2880</v>
      </c>
      <c r="E80" s="143" t="s">
        <v>313</v>
      </c>
      <c r="F80" s="143" t="s">
        <v>2881</v>
      </c>
      <c r="G80" s="143" t="s">
        <v>2882</v>
      </c>
      <c r="H80" s="143" t="s">
        <v>321</v>
      </c>
      <c r="I80" s="143" t="s">
        <v>965</v>
      </c>
      <c r="J80" s="143" t="s">
        <v>205</v>
      </c>
      <c r="K80" s="143" t="s">
        <v>233</v>
      </c>
      <c r="L80" s="143" t="s">
        <v>380</v>
      </c>
      <c r="M80" s="143" t="s">
        <v>587</v>
      </c>
      <c r="N80" s="143" t="s">
        <v>339</v>
      </c>
      <c r="O80" s="143" t="s">
        <v>1216</v>
      </c>
      <c r="P80" s="144">
        <v>72686</v>
      </c>
      <c r="Q80" s="143" t="s">
        <v>1217</v>
      </c>
      <c r="R80" s="143" t="s">
        <v>2883</v>
      </c>
      <c r="S80" s="144" t="s">
        <v>3855</v>
      </c>
      <c r="T80" s="144">
        <v>2741.2957999999999</v>
      </c>
      <c r="U80" s="146">
        <v>5.2350123410197926E-5</v>
      </c>
      <c r="V80" s="146">
        <v>1.8954417081870609E-2</v>
      </c>
      <c r="W80" s="147">
        <v>4.1390793141630935E-3</v>
      </c>
      <c r="X80" s="181"/>
    </row>
    <row r="81" spans="1:24" x14ac:dyDescent="0.2">
      <c r="A81" s="142" t="s">
        <v>1205</v>
      </c>
      <c r="B81" s="143" t="s">
        <v>1205</v>
      </c>
      <c r="C81" s="143" t="s">
        <v>2884</v>
      </c>
      <c r="D81" s="143" t="s">
        <v>2885</v>
      </c>
      <c r="E81" s="143" t="s">
        <v>313</v>
      </c>
      <c r="F81" s="143" t="s">
        <v>2884</v>
      </c>
      <c r="G81" s="143" t="s">
        <v>2886</v>
      </c>
      <c r="H81" s="143" t="s">
        <v>321</v>
      </c>
      <c r="I81" s="143" t="s">
        <v>965</v>
      </c>
      <c r="J81" s="143" t="s">
        <v>205</v>
      </c>
      <c r="K81" s="143" t="s">
        <v>224</v>
      </c>
      <c r="L81" s="143" t="s">
        <v>344</v>
      </c>
      <c r="M81" s="143" t="s">
        <v>703</v>
      </c>
      <c r="N81" s="143" t="s">
        <v>339</v>
      </c>
      <c r="O81" s="143" t="s">
        <v>1211</v>
      </c>
      <c r="P81" s="144">
        <v>19648</v>
      </c>
      <c r="Q81" s="143" t="s">
        <v>1212</v>
      </c>
      <c r="R81" s="143" t="s">
        <v>2887</v>
      </c>
      <c r="S81" s="144">
        <v>1.5737300000000001</v>
      </c>
      <c r="T81" s="144">
        <v>2740.0951</v>
      </c>
      <c r="U81" s="146">
        <v>1.4652845104034604E-4</v>
      </c>
      <c r="V81" s="146">
        <v>1.895699596006364E-2</v>
      </c>
      <c r="W81" s="147">
        <v>4.139642464237106E-3</v>
      </c>
      <c r="X81" s="181"/>
    </row>
    <row r="82" spans="1:24" x14ac:dyDescent="0.2">
      <c r="A82" s="142" t="s">
        <v>1205</v>
      </c>
      <c r="B82" s="143" t="s">
        <v>1205</v>
      </c>
      <c r="C82" s="143" t="s">
        <v>2706</v>
      </c>
      <c r="D82" s="143" t="s">
        <v>2707</v>
      </c>
      <c r="E82" s="143" t="s">
        <v>313</v>
      </c>
      <c r="F82" s="143" t="s">
        <v>2708</v>
      </c>
      <c r="G82" s="143" t="s">
        <v>2709</v>
      </c>
      <c r="H82" s="143" t="s">
        <v>321</v>
      </c>
      <c r="I82" s="143" t="s">
        <v>965</v>
      </c>
      <c r="J82" s="143" t="s">
        <v>205</v>
      </c>
      <c r="K82" s="143" t="s">
        <v>224</v>
      </c>
      <c r="L82" s="143" t="s">
        <v>344</v>
      </c>
      <c r="M82" s="143" t="s">
        <v>580</v>
      </c>
      <c r="N82" s="143" t="s">
        <v>339</v>
      </c>
      <c r="O82" s="143" t="s">
        <v>1211</v>
      </c>
      <c r="P82" s="144">
        <v>14488</v>
      </c>
      <c r="Q82" s="143" t="s">
        <v>1212</v>
      </c>
      <c r="R82" s="143" t="s">
        <v>2710</v>
      </c>
      <c r="S82" s="144" t="s">
        <v>3855</v>
      </c>
      <c r="T82" s="144">
        <v>2629.3477000000003</v>
      </c>
      <c r="U82" s="146">
        <v>6.3543859649122804E-4</v>
      </c>
      <c r="V82" s="146">
        <v>1.8180363534795546E-2</v>
      </c>
      <c r="W82" s="147">
        <v>3.9700491081211793E-3</v>
      </c>
      <c r="X82" s="181"/>
    </row>
    <row r="83" spans="1:24" x14ac:dyDescent="0.2">
      <c r="A83" s="142" t="s">
        <v>1205</v>
      </c>
      <c r="B83" s="143" t="s">
        <v>1205</v>
      </c>
      <c r="C83" s="143" t="s">
        <v>2888</v>
      </c>
      <c r="D83" s="143" t="s">
        <v>2889</v>
      </c>
      <c r="E83" s="143" t="s">
        <v>313</v>
      </c>
      <c r="F83" s="143" t="s">
        <v>2888</v>
      </c>
      <c r="G83" s="143" t="s">
        <v>2890</v>
      </c>
      <c r="H83" s="143" t="s">
        <v>321</v>
      </c>
      <c r="I83" s="143" t="s">
        <v>965</v>
      </c>
      <c r="J83" s="143" t="s">
        <v>205</v>
      </c>
      <c r="K83" s="143" t="s">
        <v>293</v>
      </c>
      <c r="L83" s="143" t="s">
        <v>364</v>
      </c>
      <c r="M83" s="143" t="s">
        <v>584</v>
      </c>
      <c r="N83" s="143" t="s">
        <v>339</v>
      </c>
      <c r="O83" s="143" t="s">
        <v>1214</v>
      </c>
      <c r="P83" s="144">
        <v>42371</v>
      </c>
      <c r="Q83" s="143" t="s">
        <v>1215</v>
      </c>
      <c r="R83" s="143" t="s">
        <v>2891</v>
      </c>
      <c r="S83" s="144" t="s">
        <v>3855</v>
      </c>
      <c r="T83" s="144">
        <v>2600.4087999999997</v>
      </c>
      <c r="U83" s="146">
        <v>1.4699902858728838E-3</v>
      </c>
      <c r="V83" s="146">
        <v>1.7980268380565514E-2</v>
      </c>
      <c r="W83" s="147">
        <v>3.9263542949195662E-3</v>
      </c>
      <c r="X83" s="181"/>
    </row>
    <row r="84" spans="1:24" x14ac:dyDescent="0.2">
      <c r="A84" s="142" t="s">
        <v>1205</v>
      </c>
      <c r="B84" s="143" t="s">
        <v>1205</v>
      </c>
      <c r="C84" s="143" t="s">
        <v>2740</v>
      </c>
      <c r="D84" s="143" t="s">
        <v>2741</v>
      </c>
      <c r="E84" s="143" t="s">
        <v>313</v>
      </c>
      <c r="F84" s="143" t="s">
        <v>2742</v>
      </c>
      <c r="G84" s="143" t="s">
        <v>2743</v>
      </c>
      <c r="H84" s="143" t="s">
        <v>321</v>
      </c>
      <c r="I84" s="143" t="s">
        <v>965</v>
      </c>
      <c r="J84" s="143" t="s">
        <v>205</v>
      </c>
      <c r="K84" s="143" t="s">
        <v>268</v>
      </c>
      <c r="L84" s="143" t="s">
        <v>344</v>
      </c>
      <c r="M84" s="143" t="s">
        <v>588</v>
      </c>
      <c r="N84" s="143" t="s">
        <v>339</v>
      </c>
      <c r="O84" s="143" t="s">
        <v>1211</v>
      </c>
      <c r="P84" s="144">
        <v>15894</v>
      </c>
      <c r="Q84" s="143" t="s">
        <v>1212</v>
      </c>
      <c r="R84" s="143" t="s">
        <v>2744</v>
      </c>
      <c r="S84" s="144" t="s">
        <v>3855</v>
      </c>
      <c r="T84" s="144">
        <v>2519.4697000000001</v>
      </c>
      <c r="U84" s="146">
        <v>9.872049689440994E-5</v>
      </c>
      <c r="V84" s="146">
        <v>1.7420622671686016E-2</v>
      </c>
      <c r="W84" s="147">
        <v>3.8041443653354552E-3</v>
      </c>
      <c r="X84" s="181"/>
    </row>
    <row r="85" spans="1:24" x14ac:dyDescent="0.2">
      <c r="A85" s="142" t="s">
        <v>1205</v>
      </c>
      <c r="B85" s="143" t="s">
        <v>1205</v>
      </c>
      <c r="C85" s="143" t="s">
        <v>2723</v>
      </c>
      <c r="D85" s="143" t="s">
        <v>2724</v>
      </c>
      <c r="E85" s="143" t="s">
        <v>313</v>
      </c>
      <c r="F85" s="143" t="s">
        <v>2723</v>
      </c>
      <c r="G85" s="143" t="s">
        <v>2725</v>
      </c>
      <c r="H85" s="143" t="s">
        <v>321</v>
      </c>
      <c r="I85" s="143" t="s">
        <v>965</v>
      </c>
      <c r="J85" s="143" t="s">
        <v>205</v>
      </c>
      <c r="K85" s="143" t="s">
        <v>268</v>
      </c>
      <c r="L85" s="143" t="s">
        <v>344</v>
      </c>
      <c r="M85" s="143" t="s">
        <v>588</v>
      </c>
      <c r="N85" s="143" t="s">
        <v>339</v>
      </c>
      <c r="O85" s="143" t="s">
        <v>1211</v>
      </c>
      <c r="P85" s="144">
        <v>23616</v>
      </c>
      <c r="Q85" s="143" t="s">
        <v>1212</v>
      </c>
      <c r="R85" s="143" t="s">
        <v>2726</v>
      </c>
      <c r="S85" s="144" t="s">
        <v>3855</v>
      </c>
      <c r="T85" s="144">
        <v>2398.6341000000002</v>
      </c>
      <c r="U85" s="146">
        <v>1.10020964360587E-4</v>
      </c>
      <c r="V85" s="146">
        <v>1.6585117367542163E-2</v>
      </c>
      <c r="W85" s="147">
        <v>3.6216949285462303E-3</v>
      </c>
      <c r="X85" s="181"/>
    </row>
    <row r="86" spans="1:24" x14ac:dyDescent="0.2">
      <c r="A86" s="142" t="s">
        <v>1205</v>
      </c>
      <c r="B86" s="143" t="s">
        <v>1205</v>
      </c>
      <c r="C86" s="143" t="s">
        <v>2750</v>
      </c>
      <c r="D86" s="143" t="s">
        <v>2751</v>
      </c>
      <c r="E86" s="143" t="s">
        <v>313</v>
      </c>
      <c r="F86" s="143" t="s">
        <v>2750</v>
      </c>
      <c r="G86" s="143" t="s">
        <v>2752</v>
      </c>
      <c r="H86" s="143" t="s">
        <v>321</v>
      </c>
      <c r="I86" s="143" t="s">
        <v>965</v>
      </c>
      <c r="J86" s="143" t="s">
        <v>205</v>
      </c>
      <c r="K86" s="143" t="s">
        <v>224</v>
      </c>
      <c r="L86" s="143" t="s">
        <v>344</v>
      </c>
      <c r="M86" s="143" t="s">
        <v>708</v>
      </c>
      <c r="N86" s="143" t="s">
        <v>339</v>
      </c>
      <c r="O86" s="143" t="s">
        <v>1211</v>
      </c>
      <c r="P86" s="144">
        <v>3284</v>
      </c>
      <c r="Q86" s="143" t="s">
        <v>1212</v>
      </c>
      <c r="R86" s="143" t="s">
        <v>2753</v>
      </c>
      <c r="S86" s="144" t="s">
        <v>3855</v>
      </c>
      <c r="T86" s="144">
        <v>2251.6469999999999</v>
      </c>
      <c r="U86" s="146">
        <v>3.322104539063053E-5</v>
      </c>
      <c r="V86" s="146">
        <v>1.556878950348674E-2</v>
      </c>
      <c r="W86" s="147">
        <v>3.399759238287366E-3</v>
      </c>
      <c r="X86" s="181"/>
    </row>
    <row r="87" spans="1:24" x14ac:dyDescent="0.2">
      <c r="A87" s="142" t="s">
        <v>1205</v>
      </c>
      <c r="B87" s="143" t="s">
        <v>1205</v>
      </c>
      <c r="C87" s="143" t="s">
        <v>2758</v>
      </c>
      <c r="D87" s="143" t="s">
        <v>2759</v>
      </c>
      <c r="E87" s="143" t="s">
        <v>313</v>
      </c>
      <c r="F87" s="143" t="s">
        <v>2760</v>
      </c>
      <c r="G87" s="143" t="s">
        <v>2761</v>
      </c>
      <c r="H87" s="143" t="s">
        <v>321</v>
      </c>
      <c r="I87" s="143" t="s">
        <v>965</v>
      </c>
      <c r="J87" s="143" t="s">
        <v>205</v>
      </c>
      <c r="K87" s="143" t="s">
        <v>243</v>
      </c>
      <c r="L87" s="143" t="s">
        <v>344</v>
      </c>
      <c r="M87" s="143" t="s">
        <v>707</v>
      </c>
      <c r="N87" s="143" t="s">
        <v>339</v>
      </c>
      <c r="O87" s="143" t="s">
        <v>1211</v>
      </c>
      <c r="P87" s="144">
        <v>8829</v>
      </c>
      <c r="Q87" s="143" t="s">
        <v>1212</v>
      </c>
      <c r="R87" s="143" t="s">
        <v>2762</v>
      </c>
      <c r="S87" s="144" t="s">
        <v>3855</v>
      </c>
      <c r="T87" s="144">
        <v>2193.4088999999999</v>
      </c>
      <c r="U87" s="146">
        <v>1.5530343007915567E-4</v>
      </c>
      <c r="V87" s="146">
        <v>1.5166107607328826E-2</v>
      </c>
      <c r="W87" s="147">
        <v>3.3118255234505546E-3</v>
      </c>
      <c r="X87" s="181"/>
    </row>
    <row r="88" spans="1:24" x14ac:dyDescent="0.2">
      <c r="A88" s="142" t="s">
        <v>1205</v>
      </c>
      <c r="B88" s="143" t="s">
        <v>1205</v>
      </c>
      <c r="C88" s="143" t="s">
        <v>2693</v>
      </c>
      <c r="D88" s="143" t="s">
        <v>2694</v>
      </c>
      <c r="E88" s="143" t="s">
        <v>313</v>
      </c>
      <c r="F88" s="143" t="s">
        <v>2693</v>
      </c>
      <c r="G88" s="143" t="s">
        <v>2695</v>
      </c>
      <c r="H88" s="143" t="s">
        <v>321</v>
      </c>
      <c r="I88" s="143" t="s">
        <v>965</v>
      </c>
      <c r="J88" s="143" t="s">
        <v>205</v>
      </c>
      <c r="K88" s="143" t="s">
        <v>224</v>
      </c>
      <c r="L88" s="143" t="s">
        <v>344</v>
      </c>
      <c r="M88" s="143" t="s">
        <v>611</v>
      </c>
      <c r="N88" s="143" t="s">
        <v>339</v>
      </c>
      <c r="O88" s="143" t="s">
        <v>1211</v>
      </c>
      <c r="P88" s="144">
        <v>2555</v>
      </c>
      <c r="Q88" s="143" t="s">
        <v>1212</v>
      </c>
      <c r="R88" s="143" t="s">
        <v>2696</v>
      </c>
      <c r="S88" s="144" t="s">
        <v>3855</v>
      </c>
      <c r="T88" s="144">
        <v>2172.7682999999997</v>
      </c>
      <c r="U88" s="146">
        <v>8.3672827781343736E-6</v>
      </c>
      <c r="V88" s="146">
        <v>1.5023390792528889E-2</v>
      </c>
      <c r="W88" s="147">
        <v>3.2806604280867587E-3</v>
      </c>
      <c r="X88" s="181"/>
    </row>
    <row r="89" spans="1:24" x14ac:dyDescent="0.2">
      <c r="A89" s="142" t="s">
        <v>1205</v>
      </c>
      <c r="B89" s="143" t="s">
        <v>1205</v>
      </c>
      <c r="C89" s="143" t="s">
        <v>2763</v>
      </c>
      <c r="D89" s="143" t="s">
        <v>2764</v>
      </c>
      <c r="E89" s="143" t="s">
        <v>313</v>
      </c>
      <c r="F89" s="143" t="s">
        <v>2765</v>
      </c>
      <c r="G89" s="143" t="s">
        <v>2766</v>
      </c>
      <c r="H89" s="143" t="s">
        <v>321</v>
      </c>
      <c r="I89" s="143" t="s">
        <v>965</v>
      </c>
      <c r="J89" s="143" t="s">
        <v>205</v>
      </c>
      <c r="K89" s="143" t="s">
        <v>224</v>
      </c>
      <c r="L89" s="143" t="s">
        <v>344</v>
      </c>
      <c r="M89" s="143" t="s">
        <v>703</v>
      </c>
      <c r="N89" s="143" t="s">
        <v>339</v>
      </c>
      <c r="O89" s="143" t="s">
        <v>1211</v>
      </c>
      <c r="P89" s="144">
        <v>5113</v>
      </c>
      <c r="Q89" s="143" t="s">
        <v>1212</v>
      </c>
      <c r="R89" s="143" t="s">
        <v>2767</v>
      </c>
      <c r="S89" s="144">
        <v>0.7121900000000001</v>
      </c>
      <c r="T89" s="144">
        <v>1976.9316000000001</v>
      </c>
      <c r="U89" s="146">
        <v>2.2805530776092776E-4</v>
      </c>
      <c r="V89" s="146">
        <v>1.3674221360035311E-2</v>
      </c>
      <c r="W89" s="147">
        <v>2.9860420673524378E-3</v>
      </c>
      <c r="X89" s="181"/>
    </row>
    <row r="90" spans="1:24" x14ac:dyDescent="0.2">
      <c r="A90" s="142" t="s">
        <v>1205</v>
      </c>
      <c r="B90" s="143" t="s">
        <v>1205</v>
      </c>
      <c r="C90" s="143" t="s">
        <v>2768</v>
      </c>
      <c r="D90" s="143" t="s">
        <v>2769</v>
      </c>
      <c r="E90" s="143" t="s">
        <v>313</v>
      </c>
      <c r="F90" s="143" t="s">
        <v>2770</v>
      </c>
      <c r="G90" s="143" t="s">
        <v>2771</v>
      </c>
      <c r="H90" s="143" t="s">
        <v>321</v>
      </c>
      <c r="I90" s="143" t="s">
        <v>965</v>
      </c>
      <c r="J90" s="143" t="s">
        <v>205</v>
      </c>
      <c r="K90" s="143" t="s">
        <v>224</v>
      </c>
      <c r="L90" s="143" t="s">
        <v>344</v>
      </c>
      <c r="M90" s="143" t="s">
        <v>708</v>
      </c>
      <c r="N90" s="143" t="s">
        <v>339</v>
      </c>
      <c r="O90" s="143" t="s">
        <v>1211</v>
      </c>
      <c r="P90" s="144">
        <v>3804</v>
      </c>
      <c r="Q90" s="143" t="s">
        <v>1212</v>
      </c>
      <c r="R90" s="143" t="s">
        <v>2772</v>
      </c>
      <c r="S90" s="144" t="s">
        <v>3855</v>
      </c>
      <c r="T90" s="144">
        <v>1888.2141000000001</v>
      </c>
      <c r="U90" s="146">
        <v>9.2330097087378642E-5</v>
      </c>
      <c r="V90" s="146">
        <v>1.3055868831686515E-2</v>
      </c>
      <c r="W90" s="147">
        <v>2.8510123195161427E-3</v>
      </c>
      <c r="X90" s="181"/>
    </row>
    <row r="91" spans="1:24" x14ac:dyDescent="0.2">
      <c r="A91" s="142" t="s">
        <v>1205</v>
      </c>
      <c r="B91" s="143" t="s">
        <v>1205</v>
      </c>
      <c r="C91" s="143" t="s">
        <v>2892</v>
      </c>
      <c r="D91" s="143" t="s">
        <v>2893</v>
      </c>
      <c r="E91" s="143" t="s">
        <v>313</v>
      </c>
      <c r="F91" s="143" t="s">
        <v>2892</v>
      </c>
      <c r="G91" s="143" t="s">
        <v>2894</v>
      </c>
      <c r="H91" s="143" t="s">
        <v>321</v>
      </c>
      <c r="I91" s="143" t="s">
        <v>965</v>
      </c>
      <c r="J91" s="143" t="s">
        <v>205</v>
      </c>
      <c r="K91" s="143" t="s">
        <v>293</v>
      </c>
      <c r="L91" s="143" t="s">
        <v>368</v>
      </c>
      <c r="M91" s="143" t="s">
        <v>610</v>
      </c>
      <c r="N91" s="143" t="s">
        <v>339</v>
      </c>
      <c r="O91" s="143" t="s">
        <v>1214</v>
      </c>
      <c r="P91" s="144">
        <v>5012</v>
      </c>
      <c r="Q91" s="143" t="s">
        <v>1215</v>
      </c>
      <c r="R91" s="143" t="s">
        <v>2895</v>
      </c>
      <c r="S91" s="144" t="s">
        <v>3855</v>
      </c>
      <c r="T91" s="144">
        <v>1716.3125</v>
      </c>
      <c r="U91" s="146">
        <v>1.8305332359386413E-3</v>
      </c>
      <c r="V91" s="146">
        <v>1.1867271983523079E-2</v>
      </c>
      <c r="W91" s="147">
        <v>2.5914582216051982E-3</v>
      </c>
      <c r="X91" s="181"/>
    </row>
    <row r="92" spans="1:24" x14ac:dyDescent="0.2">
      <c r="A92" s="142" t="s">
        <v>1205</v>
      </c>
      <c r="B92" s="143" t="s">
        <v>1205</v>
      </c>
      <c r="C92" s="143" t="s">
        <v>2788</v>
      </c>
      <c r="D92" s="143" t="s">
        <v>2789</v>
      </c>
      <c r="E92" s="143" t="s">
        <v>313</v>
      </c>
      <c r="F92" s="143" t="s">
        <v>2788</v>
      </c>
      <c r="G92" s="143" t="s">
        <v>2790</v>
      </c>
      <c r="H92" s="143" t="s">
        <v>321</v>
      </c>
      <c r="I92" s="143" t="s">
        <v>965</v>
      </c>
      <c r="J92" s="143" t="s">
        <v>205</v>
      </c>
      <c r="K92" s="143" t="s">
        <v>246</v>
      </c>
      <c r="L92" s="143" t="s">
        <v>370</v>
      </c>
      <c r="M92" s="143" t="s">
        <v>707</v>
      </c>
      <c r="N92" s="143" t="s">
        <v>339</v>
      </c>
      <c r="O92" s="143" t="s">
        <v>2791</v>
      </c>
      <c r="P92" s="144">
        <v>454273</v>
      </c>
      <c r="Q92" s="143" t="s">
        <v>2792</v>
      </c>
      <c r="R92" s="143" t="s">
        <v>2793</v>
      </c>
      <c r="S92" s="144">
        <v>9.0854599999999994</v>
      </c>
      <c r="T92" s="144">
        <v>1635.4391000000001</v>
      </c>
      <c r="U92" s="146">
        <v>3.1546736111111111E-3</v>
      </c>
      <c r="V92" s="146">
        <v>1.1370901837176373E-2</v>
      </c>
      <c r="W92" s="147">
        <v>2.4830657874808666E-3</v>
      </c>
      <c r="X92" s="181"/>
    </row>
    <row r="93" spans="1:24" x14ac:dyDescent="0.2">
      <c r="A93" s="142" t="s">
        <v>1205</v>
      </c>
      <c r="B93" s="143" t="s">
        <v>1205</v>
      </c>
      <c r="C93" s="143" t="s">
        <v>2896</v>
      </c>
      <c r="D93" s="143" t="s">
        <v>2897</v>
      </c>
      <c r="E93" s="143" t="s">
        <v>313</v>
      </c>
      <c r="F93" s="143" t="s">
        <v>2898</v>
      </c>
      <c r="G93" s="143" t="s">
        <v>2899</v>
      </c>
      <c r="H93" s="143" t="s">
        <v>321</v>
      </c>
      <c r="I93" s="143" t="s">
        <v>965</v>
      </c>
      <c r="J93" s="143" t="s">
        <v>205</v>
      </c>
      <c r="K93" s="143" t="s">
        <v>224</v>
      </c>
      <c r="L93" s="143" t="s">
        <v>380</v>
      </c>
      <c r="M93" s="143" t="s">
        <v>604</v>
      </c>
      <c r="N93" s="143" t="s">
        <v>339</v>
      </c>
      <c r="O93" s="143" t="s">
        <v>1211</v>
      </c>
      <c r="P93" s="144">
        <v>1087</v>
      </c>
      <c r="Q93" s="143" t="s">
        <v>1212</v>
      </c>
      <c r="R93" s="143" t="s">
        <v>2900</v>
      </c>
      <c r="S93" s="144" t="s">
        <v>3855</v>
      </c>
      <c r="T93" s="144">
        <v>1594.7378000000001</v>
      </c>
      <c r="U93" s="146">
        <v>1.4576907603593939E-4</v>
      </c>
      <c r="V93" s="146">
        <v>1.1026656162067544E-2</v>
      </c>
      <c r="W93" s="147">
        <v>2.4078928002727344E-3</v>
      </c>
      <c r="X93" s="181"/>
    </row>
    <row r="94" spans="1:24" x14ac:dyDescent="0.2">
      <c r="A94" s="142" t="s">
        <v>1205</v>
      </c>
      <c r="B94" s="143" t="s">
        <v>1205</v>
      </c>
      <c r="C94" s="143" t="s">
        <v>2901</v>
      </c>
      <c r="D94" s="143" t="s">
        <v>2902</v>
      </c>
      <c r="E94" s="143" t="s">
        <v>313</v>
      </c>
      <c r="F94" s="143" t="s">
        <v>2901</v>
      </c>
      <c r="G94" s="143" t="s">
        <v>2903</v>
      </c>
      <c r="H94" s="143" t="s">
        <v>321</v>
      </c>
      <c r="I94" s="143" t="s">
        <v>965</v>
      </c>
      <c r="J94" s="143" t="s">
        <v>205</v>
      </c>
      <c r="K94" s="143" t="s">
        <v>293</v>
      </c>
      <c r="L94" s="143" t="s">
        <v>364</v>
      </c>
      <c r="M94" s="143" t="s">
        <v>610</v>
      </c>
      <c r="N94" s="143" t="s">
        <v>339</v>
      </c>
      <c r="O94" s="143" t="s">
        <v>1214</v>
      </c>
      <c r="P94" s="144">
        <v>2482</v>
      </c>
      <c r="Q94" s="143" t="s">
        <v>1215</v>
      </c>
      <c r="R94" s="143" t="s">
        <v>2904</v>
      </c>
      <c r="S94" s="144" t="s">
        <v>3855</v>
      </c>
      <c r="T94" s="144">
        <v>1563.4343000000001</v>
      </c>
      <c r="U94" s="146">
        <v>9.1994069681245372E-4</v>
      </c>
      <c r="V94" s="146">
        <v>1.0810210948575632E-2</v>
      </c>
      <c r="W94" s="147">
        <v>2.3606276218214872E-3</v>
      </c>
      <c r="X94" s="181"/>
    </row>
    <row r="95" spans="1:24" x14ac:dyDescent="0.2">
      <c r="A95" s="142" t="s">
        <v>1205</v>
      </c>
      <c r="B95" s="143" t="s">
        <v>1205</v>
      </c>
      <c r="C95" s="143" t="s">
        <v>2905</v>
      </c>
      <c r="D95" s="143" t="s">
        <v>2906</v>
      </c>
      <c r="E95" s="143" t="s">
        <v>313</v>
      </c>
      <c r="F95" s="143" t="s">
        <v>2905</v>
      </c>
      <c r="G95" s="143" t="s">
        <v>2907</v>
      </c>
      <c r="H95" s="143" t="s">
        <v>321</v>
      </c>
      <c r="I95" s="143" t="s">
        <v>965</v>
      </c>
      <c r="J95" s="143" t="s">
        <v>205</v>
      </c>
      <c r="K95" s="143" t="s">
        <v>224</v>
      </c>
      <c r="L95" s="143" t="s">
        <v>344</v>
      </c>
      <c r="M95" s="143" t="s">
        <v>708</v>
      </c>
      <c r="N95" s="143" t="s">
        <v>339</v>
      </c>
      <c r="O95" s="143" t="s">
        <v>1211</v>
      </c>
      <c r="P95" s="144">
        <v>12865</v>
      </c>
      <c r="Q95" s="143" t="s">
        <v>1212</v>
      </c>
      <c r="R95" s="143" t="s">
        <v>2908</v>
      </c>
      <c r="S95" s="144" t="s">
        <v>3855</v>
      </c>
      <c r="T95" s="144">
        <v>1527.6777</v>
      </c>
      <c r="U95" s="146">
        <v>7.1571627260083451E-4</v>
      </c>
      <c r="V95" s="146">
        <v>1.0562975703638946E-2</v>
      </c>
      <c r="W95" s="147">
        <v>2.3066388189145245E-3</v>
      </c>
      <c r="X95" s="181"/>
    </row>
    <row r="96" spans="1:24" x14ac:dyDescent="0.2">
      <c r="A96" s="142" t="s">
        <v>1205</v>
      </c>
      <c r="B96" s="143" t="s">
        <v>1205</v>
      </c>
      <c r="C96" s="143" t="s">
        <v>2745</v>
      </c>
      <c r="D96" s="143" t="s">
        <v>2746</v>
      </c>
      <c r="E96" s="143" t="s">
        <v>313</v>
      </c>
      <c r="F96" s="143" t="s">
        <v>2747</v>
      </c>
      <c r="G96" s="143" t="s">
        <v>2748</v>
      </c>
      <c r="H96" s="143" t="s">
        <v>321</v>
      </c>
      <c r="I96" s="143" t="s">
        <v>965</v>
      </c>
      <c r="J96" s="143" t="s">
        <v>205</v>
      </c>
      <c r="K96" s="143" t="s">
        <v>224</v>
      </c>
      <c r="L96" s="143" t="s">
        <v>344</v>
      </c>
      <c r="M96" s="143" t="s">
        <v>602</v>
      </c>
      <c r="N96" s="143" t="s">
        <v>339</v>
      </c>
      <c r="O96" s="143" t="s">
        <v>1211</v>
      </c>
      <c r="P96" s="144">
        <v>1908</v>
      </c>
      <c r="Q96" s="143" t="s">
        <v>1212</v>
      </c>
      <c r="R96" s="143" t="s">
        <v>2749</v>
      </c>
      <c r="S96" s="144" t="s">
        <v>3855</v>
      </c>
      <c r="T96" s="144">
        <v>1455.162</v>
      </c>
      <c r="U96" s="146">
        <v>6.2721893491124259E-6</v>
      </c>
      <c r="V96" s="146">
        <v>1.0061572870769472E-2</v>
      </c>
      <c r="W96" s="147">
        <v>2.1971473961696999E-3</v>
      </c>
      <c r="X96" s="181"/>
    </row>
    <row r="97" spans="1:24" x14ac:dyDescent="0.2">
      <c r="A97" s="142" t="s">
        <v>1205</v>
      </c>
      <c r="B97" s="143" t="s">
        <v>1205</v>
      </c>
      <c r="C97" s="143" t="s">
        <v>2768</v>
      </c>
      <c r="D97" s="143" t="s">
        <v>2769</v>
      </c>
      <c r="E97" s="143" t="s">
        <v>313</v>
      </c>
      <c r="F97" s="143" t="s">
        <v>2781</v>
      </c>
      <c r="G97" s="143" t="s">
        <v>2782</v>
      </c>
      <c r="H97" s="143" t="s">
        <v>321</v>
      </c>
      <c r="I97" s="143" t="s">
        <v>965</v>
      </c>
      <c r="J97" s="143" t="s">
        <v>205</v>
      </c>
      <c r="K97" s="143" t="s">
        <v>224</v>
      </c>
      <c r="L97" s="143" t="s">
        <v>344</v>
      </c>
      <c r="M97" s="143" t="s">
        <v>707</v>
      </c>
      <c r="N97" s="143" t="s">
        <v>339</v>
      </c>
      <c r="O97" s="143" t="s">
        <v>1211</v>
      </c>
      <c r="P97" s="144">
        <v>7012</v>
      </c>
      <c r="Q97" s="143" t="s">
        <v>1212</v>
      </c>
      <c r="R97" s="143" t="s">
        <v>2783</v>
      </c>
      <c r="S97" s="144" t="s">
        <v>3855</v>
      </c>
      <c r="T97" s="144">
        <v>1428.3458999999998</v>
      </c>
      <c r="U97" s="146">
        <v>8.3476190476190483E-5</v>
      </c>
      <c r="V97" s="146">
        <v>9.8761555808798383E-3</v>
      </c>
      <c r="W97" s="147">
        <v>2.1566577907254671E-3</v>
      </c>
      <c r="X97" s="181"/>
    </row>
    <row r="98" spans="1:24" x14ac:dyDescent="0.2">
      <c r="A98" s="142" t="s">
        <v>1205</v>
      </c>
      <c r="B98" s="143" t="s">
        <v>1205</v>
      </c>
      <c r="C98" s="143" t="s">
        <v>2778</v>
      </c>
      <c r="D98" s="143" t="s">
        <v>2680</v>
      </c>
      <c r="E98" s="143" t="s">
        <v>313</v>
      </c>
      <c r="F98" s="143" t="s">
        <v>2778</v>
      </c>
      <c r="G98" s="143" t="s">
        <v>2779</v>
      </c>
      <c r="H98" s="143" t="s">
        <v>321</v>
      </c>
      <c r="I98" s="143" t="s">
        <v>965</v>
      </c>
      <c r="J98" s="143" t="s">
        <v>205</v>
      </c>
      <c r="K98" s="143" t="s">
        <v>301</v>
      </c>
      <c r="L98" s="143" t="s">
        <v>314</v>
      </c>
      <c r="M98" s="143" t="s">
        <v>596</v>
      </c>
      <c r="N98" s="143" t="s">
        <v>339</v>
      </c>
      <c r="O98" s="143" t="s">
        <v>1214</v>
      </c>
      <c r="P98" s="144">
        <v>7203</v>
      </c>
      <c r="Q98" s="143" t="s">
        <v>1215</v>
      </c>
      <c r="R98" s="143" t="s">
        <v>2780</v>
      </c>
      <c r="S98" s="144" t="s">
        <v>3855</v>
      </c>
      <c r="T98" s="144">
        <v>1303.9563000000001</v>
      </c>
      <c r="U98" s="146">
        <v>2.4752577319587632E-4</v>
      </c>
      <c r="V98" s="146">
        <v>9.0160759122510127E-3</v>
      </c>
      <c r="W98" s="147">
        <v>1.9688420457422673E-3</v>
      </c>
      <c r="X98" s="181"/>
    </row>
    <row r="99" spans="1:24" x14ac:dyDescent="0.2">
      <c r="A99" s="142" t="s">
        <v>1205</v>
      </c>
      <c r="B99" s="143" t="s">
        <v>1205</v>
      </c>
      <c r="C99" s="143" t="s">
        <v>2794</v>
      </c>
      <c r="D99" s="143" t="s">
        <v>2795</v>
      </c>
      <c r="E99" s="143" t="s">
        <v>313</v>
      </c>
      <c r="F99" s="143" t="s">
        <v>2796</v>
      </c>
      <c r="G99" s="143" t="s">
        <v>2797</v>
      </c>
      <c r="H99" s="143" t="s">
        <v>321</v>
      </c>
      <c r="I99" s="143" t="s">
        <v>965</v>
      </c>
      <c r="J99" s="143" t="s">
        <v>205</v>
      </c>
      <c r="K99" s="143" t="s">
        <v>224</v>
      </c>
      <c r="L99" s="143" t="s">
        <v>344</v>
      </c>
      <c r="M99" s="143" t="s">
        <v>708</v>
      </c>
      <c r="N99" s="143" t="s">
        <v>339</v>
      </c>
      <c r="O99" s="143" t="s">
        <v>1211</v>
      </c>
      <c r="P99" s="144">
        <v>8325</v>
      </c>
      <c r="Q99" s="143" t="s">
        <v>1212</v>
      </c>
      <c r="R99" s="143" t="s">
        <v>2798</v>
      </c>
      <c r="S99" s="144" t="s">
        <v>3855</v>
      </c>
      <c r="T99" s="144">
        <v>1201.9901</v>
      </c>
      <c r="U99" s="146">
        <v>6.3235852639574627E-5</v>
      </c>
      <c r="V99" s="146">
        <v>8.3110407888740308E-3</v>
      </c>
      <c r="W99" s="147">
        <v>1.8148834047393072E-3</v>
      </c>
      <c r="X99" s="181"/>
    </row>
    <row r="100" spans="1:24" x14ac:dyDescent="0.2">
      <c r="A100" s="142" t="s">
        <v>1205</v>
      </c>
      <c r="B100" s="143" t="s">
        <v>1205</v>
      </c>
      <c r="C100" s="143" t="s">
        <v>2909</v>
      </c>
      <c r="D100" s="143" t="s">
        <v>2910</v>
      </c>
      <c r="E100" s="143" t="s">
        <v>313</v>
      </c>
      <c r="F100" s="143" t="s">
        <v>2909</v>
      </c>
      <c r="G100" s="143" t="s">
        <v>2911</v>
      </c>
      <c r="H100" s="143" t="s">
        <v>321</v>
      </c>
      <c r="I100" s="143" t="s">
        <v>965</v>
      </c>
      <c r="J100" s="143" t="s">
        <v>205</v>
      </c>
      <c r="K100" s="143" t="s">
        <v>224</v>
      </c>
      <c r="L100" s="143" t="s">
        <v>344</v>
      </c>
      <c r="M100" s="143" t="s">
        <v>708</v>
      </c>
      <c r="N100" s="143" t="s">
        <v>339</v>
      </c>
      <c r="O100" s="143" t="s">
        <v>1211</v>
      </c>
      <c r="P100" s="144">
        <v>2995</v>
      </c>
      <c r="Q100" s="143" t="s">
        <v>1212</v>
      </c>
      <c r="R100" s="143" t="s">
        <v>2912</v>
      </c>
      <c r="S100" s="144" t="s">
        <v>3855</v>
      </c>
      <c r="T100" s="144">
        <v>1137.9793999999999</v>
      </c>
      <c r="U100" s="146">
        <v>2.1861313868613139E-4</v>
      </c>
      <c r="V100" s="146">
        <v>7.868445197512423E-3</v>
      </c>
      <c r="W100" s="147">
        <v>1.7182337294244798E-3</v>
      </c>
      <c r="X100" s="181"/>
    </row>
    <row r="101" spans="1:24" x14ac:dyDescent="0.2">
      <c r="A101" s="142" t="s">
        <v>1205</v>
      </c>
      <c r="B101" s="143" t="s">
        <v>1205</v>
      </c>
      <c r="C101" s="143" t="s">
        <v>2913</v>
      </c>
      <c r="D101" s="143" t="s">
        <v>2680</v>
      </c>
      <c r="E101" s="143" t="s">
        <v>313</v>
      </c>
      <c r="F101" s="143" t="s">
        <v>2913</v>
      </c>
      <c r="G101" s="143" t="s">
        <v>2914</v>
      </c>
      <c r="H101" s="143" t="s">
        <v>321</v>
      </c>
      <c r="I101" s="143" t="s">
        <v>965</v>
      </c>
      <c r="J101" s="143" t="s">
        <v>205</v>
      </c>
      <c r="K101" s="143" t="s">
        <v>224</v>
      </c>
      <c r="L101" s="143" t="s">
        <v>344</v>
      </c>
      <c r="M101" s="143" t="s">
        <v>708</v>
      </c>
      <c r="N101" s="143" t="s">
        <v>339</v>
      </c>
      <c r="O101" s="143" t="s">
        <v>1211</v>
      </c>
      <c r="P101" s="144">
        <v>3005</v>
      </c>
      <c r="Q101" s="143" t="s">
        <v>1212</v>
      </c>
      <c r="R101" s="143" t="s">
        <v>2915</v>
      </c>
      <c r="S101" s="144">
        <v>1.1157600000000001</v>
      </c>
      <c r="T101" s="144">
        <v>1123.7203999999999</v>
      </c>
      <c r="U101" s="146">
        <v>5.0083333333333338E-4</v>
      </c>
      <c r="V101" s="146">
        <v>7.7775677290302051E-3</v>
      </c>
      <c r="W101" s="147">
        <v>1.6983888010210612E-3</v>
      </c>
      <c r="X101" s="181"/>
    </row>
    <row r="102" spans="1:24" ht="15" x14ac:dyDescent="0.2">
      <c r="A102" s="142" t="s">
        <v>1205</v>
      </c>
      <c r="B102" s="143" t="s">
        <v>1205</v>
      </c>
      <c r="C102" s="143" t="s">
        <v>2639</v>
      </c>
      <c r="D102" s="143" t="s">
        <v>2640</v>
      </c>
      <c r="E102" s="143" t="s">
        <v>309</v>
      </c>
      <c r="F102" s="143" t="s">
        <v>2916</v>
      </c>
      <c r="G102" s="143" t="s">
        <v>2917</v>
      </c>
      <c r="H102" s="143" t="s">
        <v>321</v>
      </c>
      <c r="I102" s="143" t="s">
        <v>965</v>
      </c>
      <c r="J102" s="143" t="s">
        <v>205</v>
      </c>
      <c r="K102" s="143" t="s">
        <v>224</v>
      </c>
      <c r="L102" s="143" t="s">
        <v>340</v>
      </c>
      <c r="M102" s="143" t="s">
        <v>708</v>
      </c>
      <c r="N102" s="143" t="s">
        <v>339</v>
      </c>
      <c r="O102" s="143" t="s">
        <v>1210</v>
      </c>
      <c r="P102" s="144">
        <v>44480</v>
      </c>
      <c r="Q102" s="145" t="s">
        <v>3853</v>
      </c>
      <c r="R102" s="143" t="s">
        <v>2918</v>
      </c>
      <c r="S102" s="144" t="s">
        <v>3855</v>
      </c>
      <c r="T102" s="144">
        <v>1098.6559999999999</v>
      </c>
      <c r="U102" s="146">
        <v>9.884444444444444E-3</v>
      </c>
      <c r="V102" s="146">
        <v>7.5965477232232412E-3</v>
      </c>
      <c r="W102" s="147">
        <v>1.658859431257328E-3</v>
      </c>
      <c r="X102" s="181"/>
    </row>
    <row r="103" spans="1:24" x14ac:dyDescent="0.2">
      <c r="A103" s="142" t="s">
        <v>1205</v>
      </c>
      <c r="B103" s="143" t="s">
        <v>1205</v>
      </c>
      <c r="C103" s="143" t="s">
        <v>2919</v>
      </c>
      <c r="D103" s="143" t="s">
        <v>2920</v>
      </c>
      <c r="E103" s="143" t="s">
        <v>313</v>
      </c>
      <c r="F103" s="143" t="s">
        <v>2919</v>
      </c>
      <c r="G103" s="143" t="s">
        <v>2921</v>
      </c>
      <c r="H103" s="143" t="s">
        <v>321</v>
      </c>
      <c r="I103" s="143" t="s">
        <v>965</v>
      </c>
      <c r="J103" s="143" t="s">
        <v>205</v>
      </c>
      <c r="K103" s="143" t="s">
        <v>224</v>
      </c>
      <c r="L103" s="143" t="s">
        <v>314</v>
      </c>
      <c r="M103" s="143" t="s">
        <v>708</v>
      </c>
      <c r="N103" s="143" t="s">
        <v>339</v>
      </c>
      <c r="O103" s="143" t="s">
        <v>1211</v>
      </c>
      <c r="P103" s="144">
        <v>2507</v>
      </c>
      <c r="Q103" s="143" t="s">
        <v>1212</v>
      </c>
      <c r="R103" s="143" t="s">
        <v>2922</v>
      </c>
      <c r="S103" s="144" t="s">
        <v>3855</v>
      </c>
      <c r="T103" s="144">
        <v>1039.3523</v>
      </c>
      <c r="U103" s="146">
        <v>8.6448275862068967E-4</v>
      </c>
      <c r="V103" s="146">
        <v>7.1864984307375111E-3</v>
      </c>
      <c r="W103" s="147">
        <v>1.5693168968188382E-3</v>
      </c>
      <c r="X103" s="181"/>
    </row>
    <row r="104" spans="1:24" x14ac:dyDescent="0.2">
      <c r="A104" s="142" t="s">
        <v>1205</v>
      </c>
      <c r="B104" s="143" t="s">
        <v>1205</v>
      </c>
      <c r="C104" s="143" t="s">
        <v>2923</v>
      </c>
      <c r="D104" s="143" t="s">
        <v>2924</v>
      </c>
      <c r="E104" s="143" t="s">
        <v>313</v>
      </c>
      <c r="F104" s="143" t="s">
        <v>2923</v>
      </c>
      <c r="G104" s="143" t="s">
        <v>2925</v>
      </c>
      <c r="H104" s="143" t="s">
        <v>321</v>
      </c>
      <c r="I104" s="143" t="s">
        <v>965</v>
      </c>
      <c r="J104" s="143" t="s">
        <v>205</v>
      </c>
      <c r="K104" s="143" t="s">
        <v>224</v>
      </c>
      <c r="L104" s="143" t="s">
        <v>344</v>
      </c>
      <c r="M104" s="143" t="s">
        <v>703</v>
      </c>
      <c r="N104" s="143" t="s">
        <v>339</v>
      </c>
      <c r="O104" s="143" t="s">
        <v>1211</v>
      </c>
      <c r="P104" s="144">
        <v>12917</v>
      </c>
      <c r="Q104" s="143" t="s">
        <v>1212</v>
      </c>
      <c r="R104" s="143" t="s">
        <v>2926</v>
      </c>
      <c r="S104" s="144" t="s">
        <v>3855</v>
      </c>
      <c r="T104" s="144">
        <v>954.59140000000002</v>
      </c>
      <c r="U104" s="146">
        <v>2.7790447504302926E-4</v>
      </c>
      <c r="V104" s="146">
        <v>6.6004270806040276E-3</v>
      </c>
      <c r="W104" s="147">
        <v>1.4413363954146909E-3</v>
      </c>
      <c r="X104" s="181"/>
    </row>
    <row r="105" spans="1:24" x14ac:dyDescent="0.2">
      <c r="A105" s="142" t="s">
        <v>1205</v>
      </c>
      <c r="B105" s="143" t="s">
        <v>1205</v>
      </c>
      <c r="C105" s="143" t="s">
        <v>2784</v>
      </c>
      <c r="D105" s="143" t="s">
        <v>2785</v>
      </c>
      <c r="E105" s="143" t="s">
        <v>313</v>
      </c>
      <c r="F105" s="143" t="s">
        <v>2784</v>
      </c>
      <c r="G105" s="143" t="s">
        <v>2786</v>
      </c>
      <c r="H105" s="143" t="s">
        <v>321</v>
      </c>
      <c r="I105" s="143" t="s">
        <v>965</v>
      </c>
      <c r="J105" s="143" t="s">
        <v>205</v>
      </c>
      <c r="K105" s="143" t="s">
        <v>224</v>
      </c>
      <c r="L105" s="143" t="s">
        <v>344</v>
      </c>
      <c r="M105" s="143" t="s">
        <v>703</v>
      </c>
      <c r="N105" s="143" t="s">
        <v>339</v>
      </c>
      <c r="O105" s="143" t="s">
        <v>1211</v>
      </c>
      <c r="P105" s="144">
        <v>5478</v>
      </c>
      <c r="Q105" s="143" t="s">
        <v>1212</v>
      </c>
      <c r="R105" s="143" t="s">
        <v>2787</v>
      </c>
      <c r="S105" s="144" t="s">
        <v>3855</v>
      </c>
      <c r="T105" s="144">
        <v>827.99639999999999</v>
      </c>
      <c r="U105" s="146">
        <v>1.6535860903163488E-4</v>
      </c>
      <c r="V105" s="146">
        <v>5.7250985307435503E-3</v>
      </c>
      <c r="W105" s="147">
        <v>1.2501907496174779E-3</v>
      </c>
      <c r="X105" s="181"/>
    </row>
    <row r="106" spans="1:24" x14ac:dyDescent="0.2">
      <c r="A106" s="142" t="s">
        <v>1205</v>
      </c>
      <c r="B106" s="143" t="s">
        <v>1205</v>
      </c>
      <c r="C106" s="143" t="s">
        <v>2768</v>
      </c>
      <c r="D106" s="143" t="s">
        <v>2769</v>
      </c>
      <c r="E106" s="143" t="s">
        <v>313</v>
      </c>
      <c r="F106" s="143" t="s">
        <v>2799</v>
      </c>
      <c r="G106" s="143" t="s">
        <v>2800</v>
      </c>
      <c r="H106" s="143" t="s">
        <v>321</v>
      </c>
      <c r="I106" s="143" t="s">
        <v>965</v>
      </c>
      <c r="J106" s="143" t="s">
        <v>205</v>
      </c>
      <c r="K106" s="143" t="s">
        <v>224</v>
      </c>
      <c r="L106" s="143" t="s">
        <v>344</v>
      </c>
      <c r="M106" s="143" t="s">
        <v>708</v>
      </c>
      <c r="N106" s="143" t="s">
        <v>339</v>
      </c>
      <c r="O106" s="143" t="s">
        <v>1211</v>
      </c>
      <c r="P106" s="144">
        <v>3294</v>
      </c>
      <c r="Q106" s="143" t="s">
        <v>1212</v>
      </c>
      <c r="R106" s="143" t="s">
        <v>2801</v>
      </c>
      <c r="S106" s="144" t="s">
        <v>3855</v>
      </c>
      <c r="T106" s="144">
        <v>693.89549999999997</v>
      </c>
      <c r="U106" s="146">
        <v>2.748435544430538E-5</v>
      </c>
      <c r="V106" s="146">
        <v>4.7978712088184031E-3</v>
      </c>
      <c r="W106" s="147">
        <v>1.0477119600493178E-3</v>
      </c>
      <c r="X106" s="181"/>
    </row>
    <row r="107" spans="1:24" x14ac:dyDescent="0.2">
      <c r="A107" s="142" t="s">
        <v>1205</v>
      </c>
      <c r="B107" s="143" t="s">
        <v>1205</v>
      </c>
      <c r="C107" s="143" t="s">
        <v>2927</v>
      </c>
      <c r="D107" s="143" t="s">
        <v>2928</v>
      </c>
      <c r="E107" s="143" t="s">
        <v>313</v>
      </c>
      <c r="F107" s="143" t="s">
        <v>2927</v>
      </c>
      <c r="G107" s="143" t="s">
        <v>2929</v>
      </c>
      <c r="H107" s="143" t="s">
        <v>321</v>
      </c>
      <c r="I107" s="143" t="s">
        <v>965</v>
      </c>
      <c r="J107" s="143" t="s">
        <v>205</v>
      </c>
      <c r="K107" s="143" t="s">
        <v>224</v>
      </c>
      <c r="L107" s="143" t="s">
        <v>344</v>
      </c>
      <c r="M107" s="143" t="s">
        <v>708</v>
      </c>
      <c r="N107" s="143" t="s">
        <v>339</v>
      </c>
      <c r="O107" s="143" t="s">
        <v>1211</v>
      </c>
      <c r="P107" s="144">
        <v>2591</v>
      </c>
      <c r="Q107" s="143" t="s">
        <v>1212</v>
      </c>
      <c r="R107" s="143" t="s">
        <v>2930</v>
      </c>
      <c r="S107" s="144" t="s">
        <v>3855</v>
      </c>
      <c r="T107" s="144">
        <v>663.65419999999995</v>
      </c>
      <c r="U107" s="146">
        <v>1.1040848155313329E-5</v>
      </c>
      <c r="V107" s="146">
        <v>4.5887712282318052E-3</v>
      </c>
      <c r="W107" s="147">
        <v>1.0020507613693699E-3</v>
      </c>
      <c r="X107" s="181"/>
    </row>
    <row r="108" spans="1:24" x14ac:dyDescent="0.2">
      <c r="A108" s="142" t="s">
        <v>1205</v>
      </c>
      <c r="B108" s="143" t="s">
        <v>1205</v>
      </c>
      <c r="C108" s="143" t="s">
        <v>2931</v>
      </c>
      <c r="D108" s="143" t="s">
        <v>2932</v>
      </c>
      <c r="E108" s="143" t="s">
        <v>313</v>
      </c>
      <c r="F108" s="143" t="s">
        <v>2933</v>
      </c>
      <c r="G108" s="143" t="s">
        <v>2934</v>
      </c>
      <c r="H108" s="143" t="s">
        <v>321</v>
      </c>
      <c r="I108" s="143" t="s">
        <v>965</v>
      </c>
      <c r="J108" s="143" t="s">
        <v>205</v>
      </c>
      <c r="K108" s="143" t="s">
        <v>224</v>
      </c>
      <c r="L108" s="143" t="s">
        <v>344</v>
      </c>
      <c r="M108" s="143" t="s">
        <v>589</v>
      </c>
      <c r="N108" s="143" t="s">
        <v>339</v>
      </c>
      <c r="O108" s="143" t="s">
        <v>1211</v>
      </c>
      <c r="P108" s="144">
        <v>1888</v>
      </c>
      <c r="Q108" s="143" t="s">
        <v>1212</v>
      </c>
      <c r="R108" s="143" t="s">
        <v>2935</v>
      </c>
      <c r="S108" s="144" t="s">
        <v>3855</v>
      </c>
      <c r="T108" s="144">
        <v>599.05499999999995</v>
      </c>
      <c r="U108" s="146">
        <v>4.3154285714285716E-4</v>
      </c>
      <c r="V108" s="146">
        <v>4.1421060233452689E-3</v>
      </c>
      <c r="W108" s="147">
        <v>9.045124038500245E-4</v>
      </c>
      <c r="X108" s="181"/>
    </row>
    <row r="109" spans="1:24" x14ac:dyDescent="0.2">
      <c r="A109" s="142" t="s">
        <v>1205</v>
      </c>
      <c r="B109" s="143" t="s">
        <v>1205</v>
      </c>
      <c r="C109" s="143" t="s">
        <v>2825</v>
      </c>
      <c r="D109" s="143" t="s">
        <v>2826</v>
      </c>
      <c r="E109" s="143" t="s">
        <v>313</v>
      </c>
      <c r="F109" s="143" t="s">
        <v>2825</v>
      </c>
      <c r="G109" s="143" t="s">
        <v>2827</v>
      </c>
      <c r="H109" s="143" t="s">
        <v>321</v>
      </c>
      <c r="I109" s="143" t="s">
        <v>967</v>
      </c>
      <c r="J109" s="143" t="s">
        <v>205</v>
      </c>
      <c r="K109" s="143" t="s">
        <v>224</v>
      </c>
      <c r="L109" s="143" t="s">
        <v>380</v>
      </c>
      <c r="M109" s="143" t="s">
        <v>592</v>
      </c>
      <c r="N109" s="143" t="s">
        <v>339</v>
      </c>
      <c r="O109" s="143" t="s">
        <v>1211</v>
      </c>
      <c r="P109" s="144">
        <v>545993</v>
      </c>
      <c r="Q109" s="143" t="s">
        <v>1212</v>
      </c>
      <c r="R109" s="143" t="s">
        <v>2828</v>
      </c>
      <c r="S109" s="144" t="s">
        <v>3855</v>
      </c>
      <c r="T109" s="144">
        <v>11768.391</v>
      </c>
      <c r="U109" s="146">
        <v>1.7978037537043135E-3</v>
      </c>
      <c r="V109" s="146">
        <v>8.1371369961317414E-2</v>
      </c>
      <c r="W109" s="147">
        <v>1.7769080036449319E-2</v>
      </c>
      <c r="X109" s="181"/>
    </row>
    <row r="110" spans="1:24" x14ac:dyDescent="0.2">
      <c r="A110" s="142" t="s">
        <v>1205</v>
      </c>
      <c r="B110" s="143" t="s">
        <v>1205</v>
      </c>
      <c r="C110" s="143" t="s">
        <v>2833</v>
      </c>
      <c r="D110" s="143" t="s">
        <v>2834</v>
      </c>
      <c r="E110" s="143" t="s">
        <v>313</v>
      </c>
      <c r="F110" s="143" t="s">
        <v>2833</v>
      </c>
      <c r="G110" s="143" t="s">
        <v>2835</v>
      </c>
      <c r="H110" s="143" t="s">
        <v>321</v>
      </c>
      <c r="I110" s="143" t="s">
        <v>967</v>
      </c>
      <c r="J110" s="143" t="s">
        <v>205</v>
      </c>
      <c r="K110" s="143" t="s">
        <v>233</v>
      </c>
      <c r="L110" s="143" t="s">
        <v>380</v>
      </c>
      <c r="M110" s="143" t="s">
        <v>677</v>
      </c>
      <c r="N110" s="143" t="s">
        <v>339</v>
      </c>
      <c r="O110" s="143" t="s">
        <v>1211</v>
      </c>
      <c r="P110" s="144">
        <v>9685</v>
      </c>
      <c r="Q110" s="143" t="s">
        <v>1212</v>
      </c>
      <c r="R110" s="143" t="s">
        <v>2836</v>
      </c>
      <c r="S110" s="144" t="s">
        <v>3855</v>
      </c>
      <c r="T110" s="144">
        <v>3345.7036000000003</v>
      </c>
      <c r="U110" s="146">
        <v>3.0288341255941956E-4</v>
      </c>
      <c r="V110" s="146">
        <v>2.3133534953433562E-2</v>
      </c>
      <c r="W110" s="147">
        <v>5.0516740016663189E-3</v>
      </c>
      <c r="X110" s="181"/>
    </row>
    <row r="111" spans="1:24" x14ac:dyDescent="0.2">
      <c r="A111" s="142" t="s">
        <v>1205</v>
      </c>
      <c r="B111" s="143" t="s">
        <v>1205</v>
      </c>
      <c r="C111" s="143" t="s">
        <v>2829</v>
      </c>
      <c r="D111" s="143" t="s">
        <v>2830</v>
      </c>
      <c r="E111" s="143" t="s">
        <v>313</v>
      </c>
      <c r="F111" s="143" t="s">
        <v>2829</v>
      </c>
      <c r="G111" s="143" t="s">
        <v>2831</v>
      </c>
      <c r="H111" s="143" t="s">
        <v>321</v>
      </c>
      <c r="I111" s="143" t="s">
        <v>967</v>
      </c>
      <c r="J111" s="143" t="s">
        <v>205</v>
      </c>
      <c r="K111" s="143" t="s">
        <v>224</v>
      </c>
      <c r="L111" s="143" t="s">
        <v>314</v>
      </c>
      <c r="M111" s="143" t="s">
        <v>677</v>
      </c>
      <c r="N111" s="143" t="s">
        <v>339</v>
      </c>
      <c r="O111" s="143" t="s">
        <v>1211</v>
      </c>
      <c r="P111" s="144">
        <v>7726</v>
      </c>
      <c r="Q111" s="143" t="s">
        <v>1212</v>
      </c>
      <c r="R111" s="143" t="s">
        <v>2832</v>
      </c>
      <c r="S111" s="144" t="s">
        <v>3855</v>
      </c>
      <c r="T111" s="144">
        <v>2711.6547</v>
      </c>
      <c r="U111" s="146">
        <v>5.1101263311065551E-4</v>
      </c>
      <c r="V111" s="146">
        <v>1.8749467028997491E-2</v>
      </c>
      <c r="W111" s="147">
        <v>4.0943243359108138E-3</v>
      </c>
      <c r="X111" s="181"/>
    </row>
    <row r="112" spans="1:24" x14ac:dyDescent="0.2">
      <c r="A112" s="142" t="s">
        <v>1205</v>
      </c>
      <c r="B112" s="143" t="s">
        <v>1205</v>
      </c>
      <c r="C112" s="143" t="s">
        <v>2837</v>
      </c>
      <c r="D112" s="143" t="s">
        <v>2838</v>
      </c>
      <c r="E112" s="143" t="s">
        <v>313</v>
      </c>
      <c r="F112" s="143" t="s">
        <v>2837</v>
      </c>
      <c r="G112" s="143" t="s">
        <v>2839</v>
      </c>
      <c r="H112" s="143" t="s">
        <v>321</v>
      </c>
      <c r="I112" s="143" t="s">
        <v>967</v>
      </c>
      <c r="J112" s="143" t="s">
        <v>205</v>
      </c>
      <c r="K112" s="143" t="s">
        <v>224</v>
      </c>
      <c r="L112" s="143" t="s">
        <v>314</v>
      </c>
      <c r="M112" s="143" t="s">
        <v>677</v>
      </c>
      <c r="N112" s="143" t="s">
        <v>339</v>
      </c>
      <c r="O112" s="143" t="s">
        <v>1211</v>
      </c>
      <c r="P112" s="144">
        <v>15626</v>
      </c>
      <c r="Q112" s="143" t="s">
        <v>1212</v>
      </c>
      <c r="R112" s="143" t="s">
        <v>2840</v>
      </c>
      <c r="S112" s="144" t="s">
        <v>3855</v>
      </c>
      <c r="T112" s="144">
        <v>1235.2629999999999</v>
      </c>
      <c r="U112" s="146">
        <v>2.790357142857143E-3</v>
      </c>
      <c r="V112" s="146">
        <v>8.5411029579129747E-3</v>
      </c>
      <c r="W112" s="147">
        <v>1.8651221201124845E-3</v>
      </c>
      <c r="X112" s="181"/>
    </row>
    <row r="113" spans="1:24" ht="15" x14ac:dyDescent="0.2">
      <c r="A113" s="142" t="s">
        <v>1218</v>
      </c>
      <c r="B113" s="143" t="s">
        <v>1219</v>
      </c>
      <c r="C113" s="143" t="s">
        <v>2625</v>
      </c>
      <c r="D113" s="143" t="s">
        <v>2626</v>
      </c>
      <c r="E113" s="143" t="s">
        <v>309</v>
      </c>
      <c r="F113" s="143" t="s">
        <v>2627</v>
      </c>
      <c r="G113" s="143" t="s">
        <v>2628</v>
      </c>
      <c r="H113" s="143" t="s">
        <v>321</v>
      </c>
      <c r="I113" s="143" t="s">
        <v>964</v>
      </c>
      <c r="J113" s="143" t="s">
        <v>204</v>
      </c>
      <c r="K113" s="143" t="s">
        <v>204</v>
      </c>
      <c r="L113" s="143" t="s">
        <v>340</v>
      </c>
      <c r="M113" s="143" t="s">
        <v>572</v>
      </c>
      <c r="N113" s="143" t="s">
        <v>339</v>
      </c>
      <c r="O113" s="143" t="s">
        <v>1210</v>
      </c>
      <c r="P113" s="144">
        <v>76284</v>
      </c>
      <c r="Q113" s="145" t="s">
        <v>3853</v>
      </c>
      <c r="R113" s="143" t="s">
        <v>2629</v>
      </c>
      <c r="S113" s="144" t="s">
        <v>3855</v>
      </c>
      <c r="T113" s="144">
        <v>14585.500800000002</v>
      </c>
      <c r="U113" s="146">
        <v>3.6325714285714288E-2</v>
      </c>
      <c r="V113" s="146">
        <v>8.5280293911978153E-2</v>
      </c>
      <c r="W113" s="147">
        <v>5.141027905535156E-2</v>
      </c>
      <c r="X113" s="181"/>
    </row>
    <row r="114" spans="1:24" ht="15" x14ac:dyDescent="0.2">
      <c r="A114" s="142" t="s">
        <v>1218</v>
      </c>
      <c r="B114" s="143" t="s">
        <v>1219</v>
      </c>
      <c r="C114" s="143" t="s">
        <v>2630</v>
      </c>
      <c r="D114" s="143" t="s">
        <v>2631</v>
      </c>
      <c r="E114" s="143" t="s">
        <v>309</v>
      </c>
      <c r="F114" s="143" t="s">
        <v>2632</v>
      </c>
      <c r="G114" s="143" t="s">
        <v>2633</v>
      </c>
      <c r="H114" s="143" t="s">
        <v>321</v>
      </c>
      <c r="I114" s="143" t="s">
        <v>964</v>
      </c>
      <c r="J114" s="143" t="s">
        <v>204</v>
      </c>
      <c r="K114" s="143" t="s">
        <v>204</v>
      </c>
      <c r="L114" s="143" t="s">
        <v>340</v>
      </c>
      <c r="M114" s="143" t="s">
        <v>572</v>
      </c>
      <c r="N114" s="143" t="s">
        <v>339</v>
      </c>
      <c r="O114" s="143" t="s">
        <v>1210</v>
      </c>
      <c r="P114" s="144">
        <v>752355</v>
      </c>
      <c r="Q114" s="145" t="s">
        <v>3853</v>
      </c>
      <c r="R114" s="143" t="s">
        <v>2143</v>
      </c>
      <c r="S114" s="144" t="s">
        <v>3855</v>
      </c>
      <c r="T114" s="144">
        <v>14445.216</v>
      </c>
      <c r="U114" s="146">
        <v>3.959763157894737E-2</v>
      </c>
      <c r="V114" s="146">
        <v>8.4460059547767433E-2</v>
      </c>
      <c r="W114" s="147">
        <v>5.0915809868854772E-2</v>
      </c>
      <c r="X114" s="181"/>
    </row>
    <row r="115" spans="1:24" ht="15" x14ac:dyDescent="0.2">
      <c r="A115" s="142" t="s">
        <v>1218</v>
      </c>
      <c r="B115" s="143" t="s">
        <v>1219</v>
      </c>
      <c r="C115" s="143" t="s">
        <v>2639</v>
      </c>
      <c r="D115" s="143" t="s">
        <v>2640</v>
      </c>
      <c r="E115" s="143" t="s">
        <v>309</v>
      </c>
      <c r="F115" s="143" t="s">
        <v>2641</v>
      </c>
      <c r="G115" s="143" t="s">
        <v>2642</v>
      </c>
      <c r="H115" s="143" t="s">
        <v>321</v>
      </c>
      <c r="I115" s="143" t="s">
        <v>964</v>
      </c>
      <c r="J115" s="143" t="s">
        <v>204</v>
      </c>
      <c r="K115" s="143" t="s">
        <v>204</v>
      </c>
      <c r="L115" s="143" t="s">
        <v>340</v>
      </c>
      <c r="M115" s="143" t="s">
        <v>572</v>
      </c>
      <c r="N115" s="143" t="s">
        <v>339</v>
      </c>
      <c r="O115" s="143" t="s">
        <v>1210</v>
      </c>
      <c r="P115" s="144">
        <v>58215</v>
      </c>
      <c r="Q115" s="145" t="s">
        <v>3853</v>
      </c>
      <c r="R115" s="143" t="s">
        <v>2643</v>
      </c>
      <c r="S115" s="144" t="s">
        <v>3855</v>
      </c>
      <c r="T115" s="144">
        <v>1748.7786000000001</v>
      </c>
      <c r="U115" s="146">
        <v>6.4683333333333337E-3</v>
      </c>
      <c r="V115" s="146">
        <v>1.0224973077028503E-2</v>
      </c>
      <c r="W115" s="147">
        <v>6.1640115800498958E-3</v>
      </c>
      <c r="X115" s="181"/>
    </row>
    <row r="116" spans="1:24" ht="15" x14ac:dyDescent="0.2">
      <c r="A116" s="142" t="s">
        <v>1218</v>
      </c>
      <c r="B116" s="143" t="s">
        <v>1219</v>
      </c>
      <c r="C116" s="143" t="s">
        <v>2625</v>
      </c>
      <c r="D116" s="143" t="s">
        <v>2626</v>
      </c>
      <c r="E116" s="143" t="s">
        <v>309</v>
      </c>
      <c r="F116" s="143" t="s">
        <v>2936</v>
      </c>
      <c r="G116" s="143" t="s">
        <v>2937</v>
      </c>
      <c r="H116" s="143" t="s">
        <v>321</v>
      </c>
      <c r="I116" s="143" t="s">
        <v>965</v>
      </c>
      <c r="J116" s="143" t="s">
        <v>204</v>
      </c>
      <c r="K116" s="143" t="s">
        <v>224</v>
      </c>
      <c r="L116" s="143" t="s">
        <v>340</v>
      </c>
      <c r="M116" s="143" t="s">
        <v>611</v>
      </c>
      <c r="N116" s="143" t="s">
        <v>339</v>
      </c>
      <c r="O116" s="143" t="s">
        <v>1210</v>
      </c>
      <c r="P116" s="144">
        <v>46487</v>
      </c>
      <c r="Q116" s="145" t="s">
        <v>3853</v>
      </c>
      <c r="R116" s="143" t="s">
        <v>2938</v>
      </c>
      <c r="S116" s="144" t="s">
        <v>3855</v>
      </c>
      <c r="T116" s="144">
        <v>4158.7269999999999</v>
      </c>
      <c r="U116" s="146">
        <v>2.7056729324682382E-3</v>
      </c>
      <c r="V116" s="146">
        <v>2.431575490128423E-2</v>
      </c>
      <c r="W116" s="147">
        <v>1.4658483074727925E-2</v>
      </c>
      <c r="X116" s="181"/>
    </row>
    <row r="117" spans="1:24" ht="15" x14ac:dyDescent="0.2">
      <c r="A117" s="142" t="s">
        <v>1218</v>
      </c>
      <c r="B117" s="143" t="s">
        <v>1219</v>
      </c>
      <c r="C117" s="143" t="s">
        <v>2625</v>
      </c>
      <c r="D117" s="143" t="s">
        <v>2626</v>
      </c>
      <c r="E117" s="143" t="s">
        <v>309</v>
      </c>
      <c r="F117" s="143" t="s">
        <v>2650</v>
      </c>
      <c r="G117" s="143" t="s">
        <v>2651</v>
      </c>
      <c r="H117" s="143" t="s">
        <v>321</v>
      </c>
      <c r="I117" s="143" t="s">
        <v>965</v>
      </c>
      <c r="J117" s="143" t="s">
        <v>204</v>
      </c>
      <c r="K117" s="143" t="s">
        <v>224</v>
      </c>
      <c r="L117" s="143" t="s">
        <v>340</v>
      </c>
      <c r="M117" s="143" t="s">
        <v>595</v>
      </c>
      <c r="N117" s="143" t="s">
        <v>339</v>
      </c>
      <c r="O117" s="143" t="s">
        <v>1210</v>
      </c>
      <c r="P117" s="144">
        <v>244820</v>
      </c>
      <c r="Q117" s="145" t="s">
        <v>3853</v>
      </c>
      <c r="R117" s="143" t="s">
        <v>2652</v>
      </c>
      <c r="S117" s="144" t="s">
        <v>3855</v>
      </c>
      <c r="T117" s="144">
        <v>3520.5116000000003</v>
      </c>
      <c r="U117" s="146">
        <v>3.6211162817912992E-3</v>
      </c>
      <c r="V117" s="146">
        <v>2.058415875363899E-2</v>
      </c>
      <c r="W117" s="147">
        <v>1.2408931736756149E-2</v>
      </c>
      <c r="X117" s="181"/>
    </row>
    <row r="118" spans="1:24" ht="15" x14ac:dyDescent="0.2">
      <c r="A118" s="142" t="s">
        <v>1218</v>
      </c>
      <c r="B118" s="143" t="s">
        <v>1219</v>
      </c>
      <c r="C118" s="143" t="s">
        <v>2630</v>
      </c>
      <c r="D118" s="143" t="s">
        <v>2631</v>
      </c>
      <c r="E118" s="143" t="s">
        <v>309</v>
      </c>
      <c r="F118" s="143" t="s">
        <v>2653</v>
      </c>
      <c r="G118" s="143" t="s">
        <v>2654</v>
      </c>
      <c r="H118" s="143" t="s">
        <v>321</v>
      </c>
      <c r="I118" s="143" t="s">
        <v>965</v>
      </c>
      <c r="J118" s="143" t="s">
        <v>204</v>
      </c>
      <c r="K118" s="143" t="s">
        <v>224</v>
      </c>
      <c r="L118" s="143" t="s">
        <v>340</v>
      </c>
      <c r="M118" s="143" t="s">
        <v>597</v>
      </c>
      <c r="N118" s="143" t="s">
        <v>339</v>
      </c>
      <c r="O118" s="143" t="s">
        <v>1210</v>
      </c>
      <c r="P118" s="144">
        <v>39722</v>
      </c>
      <c r="Q118" s="145" t="s">
        <v>3853</v>
      </c>
      <c r="R118" s="143" t="s">
        <v>2655</v>
      </c>
      <c r="S118" s="144" t="s">
        <v>3855</v>
      </c>
      <c r="T118" s="144">
        <v>3134.8602000000001</v>
      </c>
      <c r="U118" s="146">
        <v>4.0043501666615943E-4</v>
      </c>
      <c r="V118" s="146">
        <v>1.8329285110331925E-2</v>
      </c>
      <c r="W118" s="147">
        <v>1.1049606177247363E-2</v>
      </c>
      <c r="X118" s="181"/>
    </row>
    <row r="119" spans="1:24" ht="15" x14ac:dyDescent="0.2">
      <c r="A119" s="142" t="s">
        <v>1218</v>
      </c>
      <c r="B119" s="143" t="s">
        <v>1219</v>
      </c>
      <c r="C119" s="143" t="s">
        <v>2630</v>
      </c>
      <c r="D119" s="143" t="s">
        <v>2631</v>
      </c>
      <c r="E119" s="143" t="s">
        <v>309</v>
      </c>
      <c r="F119" s="143" t="s">
        <v>2644</v>
      </c>
      <c r="G119" s="143" t="s">
        <v>2645</v>
      </c>
      <c r="H119" s="143" t="s">
        <v>321</v>
      </c>
      <c r="I119" s="143" t="s">
        <v>965</v>
      </c>
      <c r="J119" s="143" t="s">
        <v>204</v>
      </c>
      <c r="K119" s="143" t="s">
        <v>224</v>
      </c>
      <c r="L119" s="143" t="s">
        <v>340</v>
      </c>
      <c r="M119" s="143" t="s">
        <v>604</v>
      </c>
      <c r="N119" s="143" t="s">
        <v>339</v>
      </c>
      <c r="O119" s="143" t="s">
        <v>1210</v>
      </c>
      <c r="P119" s="144">
        <v>94537</v>
      </c>
      <c r="Q119" s="145" t="s">
        <v>3853</v>
      </c>
      <c r="R119" s="143" t="s">
        <v>2646</v>
      </c>
      <c r="S119" s="144" t="s">
        <v>3855</v>
      </c>
      <c r="T119" s="144">
        <v>2254.7075</v>
      </c>
      <c r="U119" s="146">
        <v>2.4957777869303682E-4</v>
      </c>
      <c r="V119" s="146">
        <v>1.3183099892019257E-2</v>
      </c>
      <c r="W119" s="147">
        <v>7.9472855119709102E-3</v>
      </c>
      <c r="X119" s="181"/>
    </row>
    <row r="120" spans="1:24" ht="15" x14ac:dyDescent="0.2">
      <c r="A120" s="142" t="s">
        <v>1218</v>
      </c>
      <c r="B120" s="143" t="s">
        <v>1219</v>
      </c>
      <c r="C120" s="143" t="s">
        <v>2625</v>
      </c>
      <c r="D120" s="143" t="s">
        <v>2626</v>
      </c>
      <c r="E120" s="143" t="s">
        <v>309</v>
      </c>
      <c r="F120" s="143" t="s">
        <v>2939</v>
      </c>
      <c r="G120" s="143" t="s">
        <v>2940</v>
      </c>
      <c r="H120" s="143" t="s">
        <v>321</v>
      </c>
      <c r="I120" s="143" t="s">
        <v>965</v>
      </c>
      <c r="J120" s="143" t="s">
        <v>204</v>
      </c>
      <c r="K120" s="143" t="s">
        <v>224</v>
      </c>
      <c r="L120" s="143" t="s">
        <v>340</v>
      </c>
      <c r="M120" s="143" t="s">
        <v>708</v>
      </c>
      <c r="N120" s="143" t="s">
        <v>339</v>
      </c>
      <c r="O120" s="143" t="s">
        <v>1210</v>
      </c>
      <c r="P120" s="144">
        <v>31260</v>
      </c>
      <c r="Q120" s="145" t="s">
        <v>3853</v>
      </c>
      <c r="R120" s="143" t="s">
        <v>2941</v>
      </c>
      <c r="S120" s="144" t="s">
        <v>3855</v>
      </c>
      <c r="T120" s="144">
        <v>1216.6391999999998</v>
      </c>
      <c r="U120" s="146">
        <v>1.1962544149192748E-3</v>
      </c>
      <c r="V120" s="146">
        <v>7.113595205509431E-3</v>
      </c>
      <c r="W120" s="147">
        <v>4.2883519489217451E-3</v>
      </c>
      <c r="X120" s="181"/>
    </row>
    <row r="121" spans="1:24" ht="15" x14ac:dyDescent="0.2">
      <c r="A121" s="142" t="s">
        <v>1218</v>
      </c>
      <c r="B121" s="143" t="s">
        <v>1219</v>
      </c>
      <c r="C121" s="143" t="s">
        <v>2625</v>
      </c>
      <c r="D121" s="143" t="s">
        <v>2626</v>
      </c>
      <c r="E121" s="143" t="s">
        <v>309</v>
      </c>
      <c r="F121" s="143" t="s">
        <v>2942</v>
      </c>
      <c r="G121" s="143" t="s">
        <v>2943</v>
      </c>
      <c r="H121" s="143" t="s">
        <v>321</v>
      </c>
      <c r="I121" s="143" t="s">
        <v>965</v>
      </c>
      <c r="J121" s="143" t="s">
        <v>204</v>
      </c>
      <c r="K121" s="143" t="s">
        <v>238</v>
      </c>
      <c r="L121" s="143" t="s">
        <v>340</v>
      </c>
      <c r="M121" s="143" t="s">
        <v>581</v>
      </c>
      <c r="N121" s="143" t="s">
        <v>339</v>
      </c>
      <c r="O121" s="143" t="s">
        <v>1210</v>
      </c>
      <c r="P121" s="144">
        <v>4764</v>
      </c>
      <c r="Q121" s="145" t="s">
        <v>3853</v>
      </c>
      <c r="R121" s="143" t="s">
        <v>2944</v>
      </c>
      <c r="S121" s="144" t="s">
        <v>3855</v>
      </c>
      <c r="T121" s="144">
        <v>304.65780000000001</v>
      </c>
      <c r="U121" s="146">
        <v>3.3739039858029748E-4</v>
      </c>
      <c r="V121" s="146">
        <v>1.7813105688202807E-3</v>
      </c>
      <c r="W121" s="147">
        <v>1.0738433139292334E-3</v>
      </c>
      <c r="X121" s="181"/>
    </row>
    <row r="122" spans="1:24" ht="15" x14ac:dyDescent="0.2">
      <c r="A122" s="142" t="s">
        <v>1218</v>
      </c>
      <c r="B122" s="143" t="s">
        <v>1219</v>
      </c>
      <c r="C122" s="143" t="s">
        <v>2625</v>
      </c>
      <c r="D122" s="143" t="s">
        <v>2626</v>
      </c>
      <c r="E122" s="143" t="s">
        <v>309</v>
      </c>
      <c r="F122" s="143" t="s">
        <v>2945</v>
      </c>
      <c r="G122" s="143" t="s">
        <v>2946</v>
      </c>
      <c r="H122" s="143" t="s">
        <v>321</v>
      </c>
      <c r="I122" s="143" t="s">
        <v>965</v>
      </c>
      <c r="J122" s="143" t="s">
        <v>204</v>
      </c>
      <c r="K122" s="143" t="s">
        <v>232</v>
      </c>
      <c r="L122" s="143" t="s">
        <v>340</v>
      </c>
      <c r="M122" s="143" t="s">
        <v>591</v>
      </c>
      <c r="N122" s="143" t="s">
        <v>339</v>
      </c>
      <c r="O122" s="143" t="s">
        <v>1210</v>
      </c>
      <c r="P122" s="144">
        <v>2831</v>
      </c>
      <c r="Q122" s="145" t="s">
        <v>3853</v>
      </c>
      <c r="R122" s="143" t="s">
        <v>2947</v>
      </c>
      <c r="S122" s="144" t="s">
        <v>3855</v>
      </c>
      <c r="T122" s="144">
        <v>202.10509999999999</v>
      </c>
      <c r="U122" s="146">
        <v>3.7359985831974287E-4</v>
      </c>
      <c r="V122" s="146">
        <v>1.1816928134758867E-3</v>
      </c>
      <c r="W122" s="147">
        <v>7.1237040248950119E-4</v>
      </c>
      <c r="X122" s="181"/>
    </row>
    <row r="123" spans="1:24" x14ac:dyDescent="0.2">
      <c r="A123" s="142" t="s">
        <v>1218</v>
      </c>
      <c r="B123" s="143" t="s">
        <v>1219</v>
      </c>
      <c r="C123" s="143" t="s">
        <v>2656</v>
      </c>
      <c r="D123" s="143" t="s">
        <v>2657</v>
      </c>
      <c r="E123" s="143" t="s">
        <v>313</v>
      </c>
      <c r="F123" s="143" t="s">
        <v>2658</v>
      </c>
      <c r="G123" s="143" t="s">
        <v>2659</v>
      </c>
      <c r="H123" s="143" t="s">
        <v>321</v>
      </c>
      <c r="I123" s="143" t="s">
        <v>965</v>
      </c>
      <c r="J123" s="143" t="s">
        <v>205</v>
      </c>
      <c r="K123" s="143" t="s">
        <v>224</v>
      </c>
      <c r="L123" s="143" t="s">
        <v>344</v>
      </c>
      <c r="M123" s="143" t="s">
        <v>604</v>
      </c>
      <c r="N123" s="143" t="s">
        <v>339</v>
      </c>
      <c r="O123" s="143" t="s">
        <v>1211</v>
      </c>
      <c r="P123" s="144">
        <v>9735</v>
      </c>
      <c r="Q123" s="143" t="s">
        <v>1212</v>
      </c>
      <c r="R123" s="143" t="s">
        <v>2660</v>
      </c>
      <c r="S123" s="144">
        <v>17.12406</v>
      </c>
      <c r="T123" s="144">
        <v>19979.482600000003</v>
      </c>
      <c r="U123" s="146">
        <v>1.0324180322653171E-5</v>
      </c>
      <c r="V123" s="146">
        <v>0.11691861064516351</v>
      </c>
      <c r="W123" s="147">
        <v>7.0483087291372426E-2</v>
      </c>
      <c r="X123" s="181"/>
    </row>
    <row r="124" spans="1:24" x14ac:dyDescent="0.2">
      <c r="A124" s="142" t="s">
        <v>1218</v>
      </c>
      <c r="B124" s="143" t="s">
        <v>1219</v>
      </c>
      <c r="C124" s="143" t="s">
        <v>2661</v>
      </c>
      <c r="D124" s="143" t="s">
        <v>2662</v>
      </c>
      <c r="E124" s="143" t="s">
        <v>313</v>
      </c>
      <c r="F124" s="143" t="s">
        <v>2663</v>
      </c>
      <c r="G124" s="143" t="s">
        <v>2664</v>
      </c>
      <c r="H124" s="143" t="s">
        <v>321</v>
      </c>
      <c r="I124" s="143" t="s">
        <v>965</v>
      </c>
      <c r="J124" s="143" t="s">
        <v>205</v>
      </c>
      <c r="K124" s="143" t="s">
        <v>224</v>
      </c>
      <c r="L124" s="143" t="s">
        <v>344</v>
      </c>
      <c r="M124" s="143" t="s">
        <v>597</v>
      </c>
      <c r="N124" s="143" t="s">
        <v>339</v>
      </c>
      <c r="O124" s="143" t="s">
        <v>1211</v>
      </c>
      <c r="P124" s="144">
        <v>6449</v>
      </c>
      <c r="Q124" s="143" t="s">
        <v>1212</v>
      </c>
      <c r="R124" s="143" t="s">
        <v>2665</v>
      </c>
      <c r="S124" s="144">
        <v>4.9109099999999994</v>
      </c>
      <c r="T124" s="144">
        <v>11632.944599999999</v>
      </c>
      <c r="U124" s="146">
        <v>1.193485703710558E-5</v>
      </c>
      <c r="V124" s="146">
        <v>6.8045640100099239E-2</v>
      </c>
      <c r="W124" s="147">
        <v>4.1020559212153127E-2</v>
      </c>
      <c r="X124" s="181"/>
    </row>
    <row r="125" spans="1:24" x14ac:dyDescent="0.2">
      <c r="A125" s="142" t="s">
        <v>1218</v>
      </c>
      <c r="B125" s="143" t="s">
        <v>1219</v>
      </c>
      <c r="C125" s="143" t="s">
        <v>2679</v>
      </c>
      <c r="D125" s="143" t="s">
        <v>2680</v>
      </c>
      <c r="E125" s="143" t="s">
        <v>313</v>
      </c>
      <c r="F125" s="143" t="s">
        <v>2679</v>
      </c>
      <c r="G125" s="143" t="s">
        <v>2681</v>
      </c>
      <c r="H125" s="143" t="s">
        <v>321</v>
      </c>
      <c r="I125" s="143" t="s">
        <v>965</v>
      </c>
      <c r="J125" s="143" t="s">
        <v>205</v>
      </c>
      <c r="K125" s="143" t="s">
        <v>224</v>
      </c>
      <c r="L125" s="143" t="s">
        <v>344</v>
      </c>
      <c r="M125" s="143" t="s">
        <v>604</v>
      </c>
      <c r="N125" s="143" t="s">
        <v>339</v>
      </c>
      <c r="O125" s="143" t="s">
        <v>1211</v>
      </c>
      <c r="P125" s="144">
        <v>3953</v>
      </c>
      <c r="Q125" s="143" t="s">
        <v>1212</v>
      </c>
      <c r="R125" s="143" t="s">
        <v>2682</v>
      </c>
      <c r="S125" s="144">
        <v>7.0501800000000001</v>
      </c>
      <c r="T125" s="144">
        <v>7458.0968000000003</v>
      </c>
      <c r="U125" s="146">
        <v>5.2955628729198877E-6</v>
      </c>
      <c r="V125" s="146">
        <v>4.364813664043226E-2</v>
      </c>
      <c r="W125" s="147">
        <v>2.6312794925951337E-2</v>
      </c>
      <c r="X125" s="181"/>
    </row>
    <row r="126" spans="1:24" x14ac:dyDescent="0.2">
      <c r="A126" s="142" t="s">
        <v>1218</v>
      </c>
      <c r="B126" s="143" t="s">
        <v>1219</v>
      </c>
      <c r="C126" s="143" t="s">
        <v>2666</v>
      </c>
      <c r="D126" s="143" t="s">
        <v>2667</v>
      </c>
      <c r="E126" s="143" t="s">
        <v>313</v>
      </c>
      <c r="F126" s="143" t="s">
        <v>2666</v>
      </c>
      <c r="G126" s="143" t="s">
        <v>2668</v>
      </c>
      <c r="H126" s="143" t="s">
        <v>321</v>
      </c>
      <c r="I126" s="143" t="s">
        <v>965</v>
      </c>
      <c r="J126" s="143" t="s">
        <v>205</v>
      </c>
      <c r="K126" s="143" t="s">
        <v>224</v>
      </c>
      <c r="L126" s="143" t="s">
        <v>344</v>
      </c>
      <c r="M126" s="143" t="s">
        <v>586</v>
      </c>
      <c r="N126" s="143" t="s">
        <v>339</v>
      </c>
      <c r="O126" s="143" t="s">
        <v>1211</v>
      </c>
      <c r="P126" s="144">
        <v>39416</v>
      </c>
      <c r="Q126" s="143" t="s">
        <v>1212</v>
      </c>
      <c r="R126" s="143" t="s">
        <v>2669</v>
      </c>
      <c r="S126" s="144" t="s">
        <v>3855</v>
      </c>
      <c r="T126" s="144">
        <v>6091.0526</v>
      </c>
      <c r="U126" s="146">
        <v>4.2527067632667812E-5</v>
      </c>
      <c r="V126" s="146">
        <v>3.5613913110543419E-2</v>
      </c>
      <c r="W126" s="147">
        <v>2.1469452405450916E-2</v>
      </c>
      <c r="X126" s="181"/>
    </row>
    <row r="127" spans="1:24" x14ac:dyDescent="0.2">
      <c r="A127" s="142" t="s">
        <v>1218</v>
      </c>
      <c r="B127" s="143" t="s">
        <v>1219</v>
      </c>
      <c r="C127" s="143" t="s">
        <v>2683</v>
      </c>
      <c r="D127" s="143" t="s">
        <v>2684</v>
      </c>
      <c r="E127" s="143" t="s">
        <v>313</v>
      </c>
      <c r="F127" s="143" t="s">
        <v>2685</v>
      </c>
      <c r="G127" s="143" t="s">
        <v>2686</v>
      </c>
      <c r="H127" s="143" t="s">
        <v>321</v>
      </c>
      <c r="I127" s="143" t="s">
        <v>965</v>
      </c>
      <c r="J127" s="143" t="s">
        <v>205</v>
      </c>
      <c r="K127" s="143" t="s">
        <v>224</v>
      </c>
      <c r="L127" s="143" t="s">
        <v>344</v>
      </c>
      <c r="M127" s="143" t="s">
        <v>604</v>
      </c>
      <c r="N127" s="143" t="s">
        <v>339</v>
      </c>
      <c r="O127" s="143" t="s">
        <v>1211</v>
      </c>
      <c r="P127" s="144">
        <v>6362</v>
      </c>
      <c r="Q127" s="143" t="s">
        <v>1212</v>
      </c>
      <c r="R127" s="143" t="s">
        <v>2687</v>
      </c>
      <c r="S127" s="144">
        <v>4.2206800000000007</v>
      </c>
      <c r="T127" s="144">
        <v>3944.5819999999999</v>
      </c>
      <c r="U127" s="146">
        <v>2.7625676855136718E-5</v>
      </c>
      <c r="V127" s="146">
        <v>2.3088343423621222E-2</v>
      </c>
      <c r="W127" s="147">
        <v>1.3918551682752108E-2</v>
      </c>
      <c r="X127" s="181"/>
    </row>
    <row r="128" spans="1:24" x14ac:dyDescent="0.2">
      <c r="A128" s="142" t="s">
        <v>1218</v>
      </c>
      <c r="B128" s="143" t="s">
        <v>1219</v>
      </c>
      <c r="C128" s="143" t="s">
        <v>2670</v>
      </c>
      <c r="D128" s="143" t="s">
        <v>2671</v>
      </c>
      <c r="E128" s="143" t="s">
        <v>313</v>
      </c>
      <c r="F128" s="143" t="s">
        <v>2670</v>
      </c>
      <c r="G128" s="143" t="s">
        <v>2672</v>
      </c>
      <c r="H128" s="143" t="s">
        <v>321</v>
      </c>
      <c r="I128" s="143" t="s">
        <v>965</v>
      </c>
      <c r="J128" s="143" t="s">
        <v>205</v>
      </c>
      <c r="K128" s="143" t="s">
        <v>268</v>
      </c>
      <c r="L128" s="143" t="s">
        <v>344</v>
      </c>
      <c r="M128" s="143" t="s">
        <v>707</v>
      </c>
      <c r="N128" s="143" t="s">
        <v>339</v>
      </c>
      <c r="O128" s="143" t="s">
        <v>1211</v>
      </c>
      <c r="P128" s="144">
        <v>12675</v>
      </c>
      <c r="Q128" s="143" t="s">
        <v>1212</v>
      </c>
      <c r="R128" s="143" t="s">
        <v>2673</v>
      </c>
      <c r="S128" s="144" t="s">
        <v>3855</v>
      </c>
      <c r="T128" s="144">
        <v>3429.5104999999999</v>
      </c>
      <c r="U128" s="146">
        <v>2.2796762589928057E-4</v>
      </c>
      <c r="V128" s="146">
        <v>2.0052082329589483E-2</v>
      </c>
      <c r="W128" s="147">
        <v>1.2088175367560327E-2</v>
      </c>
      <c r="X128" s="181"/>
    </row>
    <row r="129" spans="1:24" x14ac:dyDescent="0.2">
      <c r="A129" s="142" t="s">
        <v>1218</v>
      </c>
      <c r="B129" s="143" t="s">
        <v>1219</v>
      </c>
      <c r="C129" s="143" t="s">
        <v>2693</v>
      </c>
      <c r="D129" s="143" t="s">
        <v>2694</v>
      </c>
      <c r="E129" s="143" t="s">
        <v>313</v>
      </c>
      <c r="F129" s="143" t="s">
        <v>2693</v>
      </c>
      <c r="G129" s="143" t="s">
        <v>2695</v>
      </c>
      <c r="H129" s="143" t="s">
        <v>321</v>
      </c>
      <c r="I129" s="143" t="s">
        <v>965</v>
      </c>
      <c r="J129" s="143" t="s">
        <v>205</v>
      </c>
      <c r="K129" s="143" t="s">
        <v>224</v>
      </c>
      <c r="L129" s="143" t="s">
        <v>344</v>
      </c>
      <c r="M129" s="143" t="s">
        <v>611</v>
      </c>
      <c r="N129" s="143" t="s">
        <v>339</v>
      </c>
      <c r="O129" s="143" t="s">
        <v>1211</v>
      </c>
      <c r="P129" s="144">
        <v>3420</v>
      </c>
      <c r="Q129" s="143" t="s">
        <v>1212</v>
      </c>
      <c r="R129" s="143" t="s">
        <v>2696</v>
      </c>
      <c r="S129" s="144" t="s">
        <v>3855</v>
      </c>
      <c r="T129" s="144">
        <v>2908.3631</v>
      </c>
      <c r="U129" s="146">
        <v>1.1200041918285542E-5</v>
      </c>
      <c r="V129" s="146">
        <v>1.7004973923993524E-2</v>
      </c>
      <c r="W129" s="147">
        <v>1.0251259870935933E-2</v>
      </c>
      <c r="X129" s="181"/>
    </row>
    <row r="130" spans="1:24" x14ac:dyDescent="0.2">
      <c r="A130" s="142" t="s">
        <v>1218</v>
      </c>
      <c r="B130" s="143" t="s">
        <v>1219</v>
      </c>
      <c r="C130" s="143" t="s">
        <v>2674</v>
      </c>
      <c r="D130" s="143" t="s">
        <v>2675</v>
      </c>
      <c r="E130" s="143" t="s">
        <v>313</v>
      </c>
      <c r="F130" s="143" t="s">
        <v>2676</v>
      </c>
      <c r="G130" s="143" t="s">
        <v>2677</v>
      </c>
      <c r="H130" s="143" t="s">
        <v>321</v>
      </c>
      <c r="I130" s="143" t="s">
        <v>965</v>
      </c>
      <c r="J130" s="143" t="s">
        <v>205</v>
      </c>
      <c r="K130" s="143" t="s">
        <v>224</v>
      </c>
      <c r="L130" s="143" t="s">
        <v>344</v>
      </c>
      <c r="M130" s="143" t="s">
        <v>583</v>
      </c>
      <c r="N130" s="143" t="s">
        <v>339</v>
      </c>
      <c r="O130" s="143" t="s">
        <v>1211</v>
      </c>
      <c r="P130" s="144">
        <v>5750</v>
      </c>
      <c r="Q130" s="143" t="s">
        <v>1212</v>
      </c>
      <c r="R130" s="143" t="s">
        <v>2678</v>
      </c>
      <c r="S130" s="144" t="s">
        <v>3855</v>
      </c>
      <c r="T130" s="144">
        <v>2634.1286</v>
      </c>
      <c r="U130" s="146">
        <v>4.1779896240535943E-5</v>
      </c>
      <c r="V130" s="146">
        <v>1.5401546257551987E-2</v>
      </c>
      <c r="W130" s="147">
        <v>9.2846512912104322E-3</v>
      </c>
      <c r="X130" s="181"/>
    </row>
    <row r="131" spans="1:24" x14ac:dyDescent="0.2">
      <c r="A131" s="142" t="s">
        <v>1218</v>
      </c>
      <c r="B131" s="143" t="s">
        <v>1219</v>
      </c>
      <c r="C131" s="143" t="s">
        <v>2688</v>
      </c>
      <c r="D131" s="143" t="s">
        <v>2689</v>
      </c>
      <c r="E131" s="143" t="s">
        <v>313</v>
      </c>
      <c r="F131" s="143" t="s">
        <v>2690</v>
      </c>
      <c r="G131" s="143" t="s">
        <v>2691</v>
      </c>
      <c r="H131" s="143" t="s">
        <v>321</v>
      </c>
      <c r="I131" s="143" t="s">
        <v>965</v>
      </c>
      <c r="J131" s="143" t="s">
        <v>205</v>
      </c>
      <c r="K131" s="143" t="s">
        <v>238</v>
      </c>
      <c r="L131" s="143" t="s">
        <v>368</v>
      </c>
      <c r="M131" s="143" t="s">
        <v>581</v>
      </c>
      <c r="N131" s="143" t="s">
        <v>339</v>
      </c>
      <c r="O131" s="143" t="s">
        <v>1214</v>
      </c>
      <c r="P131" s="144">
        <v>3368</v>
      </c>
      <c r="Q131" s="143" t="s">
        <v>1215</v>
      </c>
      <c r="R131" s="143" t="s">
        <v>2692</v>
      </c>
      <c r="S131" s="144" t="s">
        <v>3855</v>
      </c>
      <c r="T131" s="144">
        <v>2057.8143</v>
      </c>
      <c r="U131" s="146">
        <v>7.6737297789929374E-5</v>
      </c>
      <c r="V131" s="146">
        <v>1.2031880926363623E-2</v>
      </c>
      <c r="W131" s="147">
        <v>7.253285930552294E-3</v>
      </c>
      <c r="X131" s="181"/>
    </row>
    <row r="132" spans="1:24" x14ac:dyDescent="0.2">
      <c r="A132" s="142" t="s">
        <v>1218</v>
      </c>
      <c r="B132" s="143" t="s">
        <v>1219</v>
      </c>
      <c r="C132" s="143" t="s">
        <v>2719</v>
      </c>
      <c r="D132" s="143" t="s">
        <v>2720</v>
      </c>
      <c r="E132" s="143" t="s">
        <v>313</v>
      </c>
      <c r="F132" s="143" t="s">
        <v>2719</v>
      </c>
      <c r="G132" s="143" t="s">
        <v>2721</v>
      </c>
      <c r="H132" s="143" t="s">
        <v>321</v>
      </c>
      <c r="I132" s="143" t="s">
        <v>965</v>
      </c>
      <c r="J132" s="143" t="s">
        <v>205</v>
      </c>
      <c r="K132" s="143" t="s">
        <v>253</v>
      </c>
      <c r="L132" s="143" t="s">
        <v>314</v>
      </c>
      <c r="M132" s="143" t="s">
        <v>610</v>
      </c>
      <c r="N132" s="143" t="s">
        <v>339</v>
      </c>
      <c r="O132" s="143" t="s">
        <v>1214</v>
      </c>
      <c r="P132" s="144">
        <v>1762</v>
      </c>
      <c r="Q132" s="143" t="s">
        <v>1215</v>
      </c>
      <c r="R132" s="143" t="s">
        <v>2722</v>
      </c>
      <c r="S132" s="144" t="s">
        <v>3855</v>
      </c>
      <c r="T132" s="144">
        <v>1680.5823</v>
      </c>
      <c r="U132" s="146">
        <v>1.7461103954018433E-4</v>
      </c>
      <c r="V132" s="146">
        <v>9.8262345728231237E-3</v>
      </c>
      <c r="W132" s="147">
        <v>5.9236364965344684E-3</v>
      </c>
      <c r="X132" s="181"/>
    </row>
    <row r="133" spans="1:24" x14ac:dyDescent="0.2">
      <c r="A133" s="142" t="s">
        <v>1218</v>
      </c>
      <c r="B133" s="143" t="s">
        <v>1219</v>
      </c>
      <c r="C133" s="143" t="s">
        <v>2731</v>
      </c>
      <c r="D133" s="143" t="s">
        <v>2732</v>
      </c>
      <c r="E133" s="143" t="s">
        <v>313</v>
      </c>
      <c r="F133" s="143" t="s">
        <v>2733</v>
      </c>
      <c r="G133" s="143" t="s">
        <v>2734</v>
      </c>
      <c r="H133" s="143" t="s">
        <v>321</v>
      </c>
      <c r="I133" s="143" t="s">
        <v>965</v>
      </c>
      <c r="J133" s="143" t="s">
        <v>205</v>
      </c>
      <c r="K133" s="143" t="s">
        <v>224</v>
      </c>
      <c r="L133" s="143" t="s">
        <v>344</v>
      </c>
      <c r="M133" s="143" t="s">
        <v>708</v>
      </c>
      <c r="N133" s="143" t="s">
        <v>339</v>
      </c>
      <c r="O133" s="143" t="s">
        <v>1211</v>
      </c>
      <c r="P133" s="144">
        <v>1105</v>
      </c>
      <c r="Q133" s="143" t="s">
        <v>1212</v>
      </c>
      <c r="R133" s="143" t="s">
        <v>2735</v>
      </c>
      <c r="S133" s="144">
        <v>0.96528000000000003</v>
      </c>
      <c r="T133" s="144">
        <v>1628.2631999999999</v>
      </c>
      <c r="U133" s="146">
        <v>1.2522239724397403E-5</v>
      </c>
      <c r="V133" s="146">
        <v>9.5259728566689187E-3</v>
      </c>
      <c r="W133" s="147">
        <v>5.7426270521596726E-3</v>
      </c>
      <c r="X133" s="181"/>
    </row>
    <row r="134" spans="1:24" x14ac:dyDescent="0.2">
      <c r="A134" s="142" t="s">
        <v>1218</v>
      </c>
      <c r="B134" s="143" t="s">
        <v>1219</v>
      </c>
      <c r="C134" s="143" t="s">
        <v>2711</v>
      </c>
      <c r="D134" s="143" t="s">
        <v>2712</v>
      </c>
      <c r="E134" s="143" t="s">
        <v>313</v>
      </c>
      <c r="F134" s="143" t="s">
        <v>2711</v>
      </c>
      <c r="G134" s="143" t="s">
        <v>2713</v>
      </c>
      <c r="H134" s="143" t="s">
        <v>321</v>
      </c>
      <c r="I134" s="143" t="s">
        <v>965</v>
      </c>
      <c r="J134" s="143" t="s">
        <v>205</v>
      </c>
      <c r="K134" s="143" t="s">
        <v>251</v>
      </c>
      <c r="L134" s="143" t="s">
        <v>344</v>
      </c>
      <c r="M134" s="143" t="s">
        <v>599</v>
      </c>
      <c r="N134" s="143" t="s">
        <v>339</v>
      </c>
      <c r="O134" s="143" t="s">
        <v>1211</v>
      </c>
      <c r="P134" s="144">
        <v>6086</v>
      </c>
      <c r="Q134" s="143" t="s">
        <v>1212</v>
      </c>
      <c r="R134" s="143" t="s">
        <v>2714</v>
      </c>
      <c r="S134" s="144" t="s">
        <v>3855</v>
      </c>
      <c r="T134" s="144">
        <v>1561.1451999999999</v>
      </c>
      <c r="U134" s="146">
        <v>3.5590643274853804E-5</v>
      </c>
      <c r="V134" s="146">
        <v>9.1278949844931061E-3</v>
      </c>
      <c r="W134" s="147">
        <v>5.5026502233339845E-3</v>
      </c>
      <c r="X134" s="181"/>
    </row>
    <row r="135" spans="1:24" x14ac:dyDescent="0.2">
      <c r="A135" s="142" t="s">
        <v>1218</v>
      </c>
      <c r="B135" s="143" t="s">
        <v>1219</v>
      </c>
      <c r="C135" s="143" t="s">
        <v>2706</v>
      </c>
      <c r="D135" s="143" t="s">
        <v>2707</v>
      </c>
      <c r="E135" s="143" t="s">
        <v>313</v>
      </c>
      <c r="F135" s="143" t="s">
        <v>2708</v>
      </c>
      <c r="G135" s="143" t="s">
        <v>2709</v>
      </c>
      <c r="H135" s="143" t="s">
        <v>321</v>
      </c>
      <c r="I135" s="143" t="s">
        <v>965</v>
      </c>
      <c r="J135" s="143" t="s">
        <v>205</v>
      </c>
      <c r="K135" s="143" t="s">
        <v>224</v>
      </c>
      <c r="L135" s="143" t="s">
        <v>344</v>
      </c>
      <c r="M135" s="143" t="s">
        <v>580</v>
      </c>
      <c r="N135" s="143" t="s">
        <v>339</v>
      </c>
      <c r="O135" s="143" t="s">
        <v>1211</v>
      </c>
      <c r="P135" s="144">
        <v>8325</v>
      </c>
      <c r="Q135" s="143" t="s">
        <v>1212</v>
      </c>
      <c r="R135" s="143" t="s">
        <v>2710</v>
      </c>
      <c r="S135" s="144" t="s">
        <v>3855</v>
      </c>
      <c r="T135" s="144">
        <v>1510.8586</v>
      </c>
      <c r="U135" s="146">
        <v>3.6513157894736844E-4</v>
      </c>
      <c r="V135" s="146">
        <v>8.83387342727158E-3</v>
      </c>
      <c r="W135" s="147">
        <v>5.325402589541243E-3</v>
      </c>
      <c r="X135" s="181"/>
    </row>
    <row r="136" spans="1:24" x14ac:dyDescent="0.2">
      <c r="A136" s="142" t="s">
        <v>1218</v>
      </c>
      <c r="B136" s="143" t="s">
        <v>1219</v>
      </c>
      <c r="C136" s="143" t="s">
        <v>2745</v>
      </c>
      <c r="D136" s="143" t="s">
        <v>2746</v>
      </c>
      <c r="E136" s="143" t="s">
        <v>313</v>
      </c>
      <c r="F136" s="143" t="s">
        <v>2747</v>
      </c>
      <c r="G136" s="143" t="s">
        <v>2748</v>
      </c>
      <c r="H136" s="143" t="s">
        <v>321</v>
      </c>
      <c r="I136" s="143" t="s">
        <v>965</v>
      </c>
      <c r="J136" s="143" t="s">
        <v>205</v>
      </c>
      <c r="K136" s="143" t="s">
        <v>224</v>
      </c>
      <c r="L136" s="143" t="s">
        <v>344</v>
      </c>
      <c r="M136" s="143" t="s">
        <v>602</v>
      </c>
      <c r="N136" s="143" t="s">
        <v>339</v>
      </c>
      <c r="O136" s="143" t="s">
        <v>1211</v>
      </c>
      <c r="P136" s="144">
        <v>1882</v>
      </c>
      <c r="Q136" s="143" t="s">
        <v>1212</v>
      </c>
      <c r="R136" s="143" t="s">
        <v>2749</v>
      </c>
      <c r="S136" s="144" t="s">
        <v>3855</v>
      </c>
      <c r="T136" s="144">
        <v>1435.3326999999999</v>
      </c>
      <c r="U136" s="146">
        <v>6.1867192636423403E-6</v>
      </c>
      <c r="V136" s="146">
        <v>8.3922793188842965E-3</v>
      </c>
      <c r="W136" s="147">
        <v>5.059192480499854E-3</v>
      </c>
      <c r="X136" s="181"/>
    </row>
    <row r="137" spans="1:24" x14ac:dyDescent="0.2">
      <c r="A137" s="142" t="s">
        <v>1218</v>
      </c>
      <c r="B137" s="143" t="s">
        <v>1219</v>
      </c>
      <c r="C137" s="143" t="s">
        <v>2723</v>
      </c>
      <c r="D137" s="143" t="s">
        <v>2724</v>
      </c>
      <c r="E137" s="143" t="s">
        <v>313</v>
      </c>
      <c r="F137" s="143" t="s">
        <v>2723</v>
      </c>
      <c r="G137" s="143" t="s">
        <v>2725</v>
      </c>
      <c r="H137" s="143" t="s">
        <v>321</v>
      </c>
      <c r="I137" s="143" t="s">
        <v>965</v>
      </c>
      <c r="J137" s="143" t="s">
        <v>205</v>
      </c>
      <c r="K137" s="143" t="s">
        <v>268</v>
      </c>
      <c r="L137" s="143" t="s">
        <v>344</v>
      </c>
      <c r="M137" s="143" t="s">
        <v>588</v>
      </c>
      <c r="N137" s="143" t="s">
        <v>339</v>
      </c>
      <c r="O137" s="143" t="s">
        <v>1211</v>
      </c>
      <c r="P137" s="144">
        <v>13910</v>
      </c>
      <c r="Q137" s="143" t="s">
        <v>1212</v>
      </c>
      <c r="R137" s="143" t="s">
        <v>2726</v>
      </c>
      <c r="S137" s="144" t="s">
        <v>3855</v>
      </c>
      <c r="T137" s="144">
        <v>1412.8134</v>
      </c>
      <c r="U137" s="146">
        <v>6.4803167947822041E-5</v>
      </c>
      <c r="V137" s="146">
        <v>8.2606104696275086E-3</v>
      </c>
      <c r="W137" s="147">
        <v>4.9798173755057837E-3</v>
      </c>
      <c r="X137" s="181"/>
    </row>
    <row r="138" spans="1:24" x14ac:dyDescent="0.2">
      <c r="A138" s="142" t="s">
        <v>1218</v>
      </c>
      <c r="B138" s="143" t="s">
        <v>1219</v>
      </c>
      <c r="C138" s="143" t="s">
        <v>2701</v>
      </c>
      <c r="D138" s="143" t="s">
        <v>2702</v>
      </c>
      <c r="E138" s="143" t="s">
        <v>313</v>
      </c>
      <c r="F138" s="143" t="s">
        <v>2703</v>
      </c>
      <c r="G138" s="143" t="s">
        <v>2704</v>
      </c>
      <c r="H138" s="143" t="s">
        <v>321</v>
      </c>
      <c r="I138" s="143" t="s">
        <v>965</v>
      </c>
      <c r="J138" s="143" t="s">
        <v>205</v>
      </c>
      <c r="K138" s="143" t="s">
        <v>224</v>
      </c>
      <c r="L138" s="143" t="s">
        <v>344</v>
      </c>
      <c r="M138" s="143" t="s">
        <v>597</v>
      </c>
      <c r="N138" s="143" t="s">
        <v>339</v>
      </c>
      <c r="O138" s="143" t="s">
        <v>1211</v>
      </c>
      <c r="P138" s="144">
        <v>1786</v>
      </c>
      <c r="Q138" s="143" t="s">
        <v>1212</v>
      </c>
      <c r="R138" s="143" t="s">
        <v>2705</v>
      </c>
      <c r="S138" s="144" t="s">
        <v>3855</v>
      </c>
      <c r="T138" s="144">
        <v>1325.6623</v>
      </c>
      <c r="U138" s="146">
        <v>1.3479245283018869E-4</v>
      </c>
      <c r="V138" s="146">
        <v>7.7510449590874964E-3</v>
      </c>
      <c r="W138" s="147">
        <v>4.6726314607751914E-3</v>
      </c>
      <c r="X138" s="181"/>
    </row>
    <row r="139" spans="1:24" x14ac:dyDescent="0.2">
      <c r="A139" s="142" t="s">
        <v>1218</v>
      </c>
      <c r="B139" s="143" t="s">
        <v>1219</v>
      </c>
      <c r="C139" s="143" t="s">
        <v>2697</v>
      </c>
      <c r="D139" s="143" t="s">
        <v>2698</v>
      </c>
      <c r="E139" s="143" t="s">
        <v>313</v>
      </c>
      <c r="F139" s="143" t="s">
        <v>2697</v>
      </c>
      <c r="G139" s="143" t="s">
        <v>2699</v>
      </c>
      <c r="H139" s="143" t="s">
        <v>321</v>
      </c>
      <c r="I139" s="143" t="s">
        <v>965</v>
      </c>
      <c r="J139" s="143" t="s">
        <v>205</v>
      </c>
      <c r="K139" s="143" t="s">
        <v>224</v>
      </c>
      <c r="L139" s="143" t="s">
        <v>344</v>
      </c>
      <c r="M139" s="143" t="s">
        <v>589</v>
      </c>
      <c r="N139" s="143" t="s">
        <v>339</v>
      </c>
      <c r="O139" s="143" t="s">
        <v>1211</v>
      </c>
      <c r="P139" s="144">
        <v>2360</v>
      </c>
      <c r="Q139" s="143" t="s">
        <v>1212</v>
      </c>
      <c r="R139" s="143" t="s">
        <v>2700</v>
      </c>
      <c r="S139" s="144" t="s">
        <v>3855</v>
      </c>
      <c r="T139" s="144">
        <v>1292.9831999999999</v>
      </c>
      <c r="U139" s="146">
        <v>7.6199086256719884E-6</v>
      </c>
      <c r="V139" s="146">
        <v>7.5599728380707264E-3</v>
      </c>
      <c r="W139" s="147">
        <v>4.557445752441343E-3</v>
      </c>
      <c r="X139" s="181"/>
    </row>
    <row r="140" spans="1:24" x14ac:dyDescent="0.2">
      <c r="A140" s="142" t="s">
        <v>1218</v>
      </c>
      <c r="B140" s="143" t="s">
        <v>1219</v>
      </c>
      <c r="C140" s="143" t="s">
        <v>2715</v>
      </c>
      <c r="D140" s="143" t="s">
        <v>2716</v>
      </c>
      <c r="E140" s="143" t="s">
        <v>313</v>
      </c>
      <c r="F140" s="143" t="s">
        <v>2715</v>
      </c>
      <c r="G140" s="143" t="s">
        <v>2717</v>
      </c>
      <c r="H140" s="143" t="s">
        <v>321</v>
      </c>
      <c r="I140" s="143" t="s">
        <v>965</v>
      </c>
      <c r="J140" s="143" t="s">
        <v>205</v>
      </c>
      <c r="K140" s="143" t="s">
        <v>224</v>
      </c>
      <c r="L140" s="143" t="s">
        <v>344</v>
      </c>
      <c r="M140" s="143" t="s">
        <v>708</v>
      </c>
      <c r="N140" s="143" t="s">
        <v>339</v>
      </c>
      <c r="O140" s="143" t="s">
        <v>1211</v>
      </c>
      <c r="P140" s="144">
        <v>3459</v>
      </c>
      <c r="Q140" s="143" t="s">
        <v>1212</v>
      </c>
      <c r="R140" s="143" t="s">
        <v>2718</v>
      </c>
      <c r="S140" s="144" t="s">
        <v>3855</v>
      </c>
      <c r="T140" s="144">
        <v>1185.1669999999999</v>
      </c>
      <c r="U140" s="146">
        <v>7.4841942644977867E-6</v>
      </c>
      <c r="V140" s="146">
        <v>6.9295798533991846E-3</v>
      </c>
      <c r="W140" s="147">
        <v>4.1774203354329248E-3</v>
      </c>
      <c r="X140" s="181"/>
    </row>
    <row r="141" spans="1:24" x14ac:dyDescent="0.2">
      <c r="A141" s="142" t="s">
        <v>1218</v>
      </c>
      <c r="B141" s="143" t="s">
        <v>1219</v>
      </c>
      <c r="C141" s="143" t="s">
        <v>2740</v>
      </c>
      <c r="D141" s="143" t="s">
        <v>2741</v>
      </c>
      <c r="E141" s="143" t="s">
        <v>313</v>
      </c>
      <c r="F141" s="143" t="s">
        <v>2742</v>
      </c>
      <c r="G141" s="143" t="s">
        <v>2743</v>
      </c>
      <c r="H141" s="143" t="s">
        <v>321</v>
      </c>
      <c r="I141" s="143" t="s">
        <v>965</v>
      </c>
      <c r="J141" s="143" t="s">
        <v>205</v>
      </c>
      <c r="K141" s="143" t="s">
        <v>268</v>
      </c>
      <c r="L141" s="143" t="s">
        <v>344</v>
      </c>
      <c r="M141" s="143" t="s">
        <v>588</v>
      </c>
      <c r="N141" s="143" t="s">
        <v>339</v>
      </c>
      <c r="O141" s="143" t="s">
        <v>1211</v>
      </c>
      <c r="P141" s="144">
        <v>5681</v>
      </c>
      <c r="Q141" s="143" t="s">
        <v>1212</v>
      </c>
      <c r="R141" s="143" t="s">
        <v>2744</v>
      </c>
      <c r="S141" s="144" t="s">
        <v>3855</v>
      </c>
      <c r="T141" s="144">
        <v>900.53519999999992</v>
      </c>
      <c r="U141" s="146">
        <v>3.5285714285714288E-5</v>
      </c>
      <c r="V141" s="146">
        <v>5.2653598688175568E-3</v>
      </c>
      <c r="W141" s="147">
        <v>3.1741637811679639E-3</v>
      </c>
      <c r="X141" s="181"/>
    </row>
    <row r="142" spans="1:24" x14ac:dyDescent="0.2">
      <c r="A142" s="142" t="s">
        <v>1218</v>
      </c>
      <c r="B142" s="143" t="s">
        <v>1219</v>
      </c>
      <c r="C142" s="143" t="s">
        <v>2750</v>
      </c>
      <c r="D142" s="143" t="s">
        <v>2751</v>
      </c>
      <c r="E142" s="143" t="s">
        <v>313</v>
      </c>
      <c r="F142" s="143" t="s">
        <v>2750</v>
      </c>
      <c r="G142" s="143" t="s">
        <v>2752</v>
      </c>
      <c r="H142" s="143" t="s">
        <v>321</v>
      </c>
      <c r="I142" s="143" t="s">
        <v>965</v>
      </c>
      <c r="J142" s="143" t="s">
        <v>205</v>
      </c>
      <c r="K142" s="143" t="s">
        <v>224</v>
      </c>
      <c r="L142" s="143" t="s">
        <v>344</v>
      </c>
      <c r="M142" s="143" t="s">
        <v>708</v>
      </c>
      <c r="N142" s="143" t="s">
        <v>339</v>
      </c>
      <c r="O142" s="143" t="s">
        <v>1211</v>
      </c>
      <c r="P142" s="144">
        <v>1215</v>
      </c>
      <c r="Q142" s="143" t="s">
        <v>1212</v>
      </c>
      <c r="R142" s="143" t="s">
        <v>2753</v>
      </c>
      <c r="S142" s="144" t="s">
        <v>3855</v>
      </c>
      <c r="T142" s="144">
        <v>833.05449999999996</v>
      </c>
      <c r="U142" s="146">
        <v>1.2290977512063367E-5</v>
      </c>
      <c r="V142" s="146">
        <v>4.8708054204781876E-3</v>
      </c>
      <c r="W142" s="147">
        <v>2.9363110093119766E-3</v>
      </c>
      <c r="X142" s="181"/>
    </row>
    <row r="143" spans="1:24" x14ac:dyDescent="0.2">
      <c r="A143" s="142" t="s">
        <v>1218</v>
      </c>
      <c r="B143" s="143" t="s">
        <v>1219</v>
      </c>
      <c r="C143" s="143" t="s">
        <v>2736</v>
      </c>
      <c r="D143" s="143" t="s">
        <v>2737</v>
      </c>
      <c r="E143" s="143" t="s">
        <v>313</v>
      </c>
      <c r="F143" s="143" t="s">
        <v>2736</v>
      </c>
      <c r="G143" s="143" t="s">
        <v>2738</v>
      </c>
      <c r="H143" s="143" t="s">
        <v>321</v>
      </c>
      <c r="I143" s="143" t="s">
        <v>965</v>
      </c>
      <c r="J143" s="143" t="s">
        <v>205</v>
      </c>
      <c r="K143" s="143" t="s">
        <v>244</v>
      </c>
      <c r="L143" s="143" t="s">
        <v>344</v>
      </c>
      <c r="M143" s="143" t="s">
        <v>580</v>
      </c>
      <c r="N143" s="143" t="s">
        <v>339</v>
      </c>
      <c r="O143" s="143" t="s">
        <v>1211</v>
      </c>
      <c r="P143" s="144">
        <v>3954</v>
      </c>
      <c r="Q143" s="143" t="s">
        <v>1212</v>
      </c>
      <c r="R143" s="143" t="s">
        <v>2739</v>
      </c>
      <c r="S143" s="144" t="s">
        <v>3855</v>
      </c>
      <c r="T143" s="144">
        <v>829.06290000000001</v>
      </c>
      <c r="U143" s="146">
        <v>3.6408839779005525E-5</v>
      </c>
      <c r="V143" s="146">
        <v>4.8474668038625216E-3</v>
      </c>
      <c r="W143" s="147">
        <v>2.9222415832120189E-3</v>
      </c>
      <c r="X143" s="181"/>
    </row>
    <row r="144" spans="1:24" x14ac:dyDescent="0.2">
      <c r="A144" s="142" t="s">
        <v>1218</v>
      </c>
      <c r="B144" s="143" t="s">
        <v>1219</v>
      </c>
      <c r="C144" s="143" t="s">
        <v>2754</v>
      </c>
      <c r="D144" s="143" t="s">
        <v>2755</v>
      </c>
      <c r="E144" s="143" t="s">
        <v>313</v>
      </c>
      <c r="F144" s="143" t="s">
        <v>2754</v>
      </c>
      <c r="G144" s="143" t="s">
        <v>2756</v>
      </c>
      <c r="H144" s="143" t="s">
        <v>321</v>
      </c>
      <c r="I144" s="143" t="s">
        <v>965</v>
      </c>
      <c r="J144" s="143" t="s">
        <v>205</v>
      </c>
      <c r="K144" s="143" t="s">
        <v>224</v>
      </c>
      <c r="L144" s="143" t="s">
        <v>344</v>
      </c>
      <c r="M144" s="143" t="s">
        <v>586</v>
      </c>
      <c r="N144" s="143" t="s">
        <v>339</v>
      </c>
      <c r="O144" s="143" t="s">
        <v>1211</v>
      </c>
      <c r="P144" s="144">
        <v>1816</v>
      </c>
      <c r="Q144" s="143" t="s">
        <v>1212</v>
      </c>
      <c r="R144" s="143" t="s">
        <v>2757</v>
      </c>
      <c r="S144" s="144" t="s">
        <v>3855</v>
      </c>
      <c r="T144" s="144">
        <v>798.20440000000008</v>
      </c>
      <c r="U144" s="146">
        <v>2.1116279069767442E-4</v>
      </c>
      <c r="V144" s="146">
        <v>4.6670393496624357E-3</v>
      </c>
      <c r="W144" s="147">
        <v>2.8134728941729414E-3</v>
      </c>
      <c r="X144" s="181"/>
    </row>
    <row r="145" spans="1:24" x14ac:dyDescent="0.2">
      <c r="A145" s="142" t="s">
        <v>1218</v>
      </c>
      <c r="B145" s="143" t="s">
        <v>1219</v>
      </c>
      <c r="C145" s="143" t="s">
        <v>2758</v>
      </c>
      <c r="D145" s="143" t="s">
        <v>2759</v>
      </c>
      <c r="E145" s="143" t="s">
        <v>313</v>
      </c>
      <c r="F145" s="143" t="s">
        <v>2760</v>
      </c>
      <c r="G145" s="143" t="s">
        <v>2761</v>
      </c>
      <c r="H145" s="143" t="s">
        <v>321</v>
      </c>
      <c r="I145" s="143" t="s">
        <v>965</v>
      </c>
      <c r="J145" s="143" t="s">
        <v>205</v>
      </c>
      <c r="K145" s="143" t="s">
        <v>243</v>
      </c>
      <c r="L145" s="143" t="s">
        <v>344</v>
      </c>
      <c r="M145" s="143" t="s">
        <v>707</v>
      </c>
      <c r="N145" s="143" t="s">
        <v>339</v>
      </c>
      <c r="O145" s="143" t="s">
        <v>1211</v>
      </c>
      <c r="P145" s="144">
        <v>3000</v>
      </c>
      <c r="Q145" s="143" t="s">
        <v>1212</v>
      </c>
      <c r="R145" s="143" t="s">
        <v>2762</v>
      </c>
      <c r="S145" s="144" t="s">
        <v>3855</v>
      </c>
      <c r="T145" s="144">
        <v>745.29690000000005</v>
      </c>
      <c r="U145" s="146">
        <v>5.2770448548812667E-5</v>
      </c>
      <c r="V145" s="146">
        <v>4.3576934459525042E-3</v>
      </c>
      <c r="W145" s="147">
        <v>2.6269871481133383E-3</v>
      </c>
      <c r="X145" s="181"/>
    </row>
    <row r="146" spans="1:24" x14ac:dyDescent="0.2">
      <c r="A146" s="142" t="s">
        <v>1218</v>
      </c>
      <c r="B146" s="143" t="s">
        <v>1219</v>
      </c>
      <c r="C146" s="143" t="s">
        <v>2763</v>
      </c>
      <c r="D146" s="143" t="s">
        <v>2764</v>
      </c>
      <c r="E146" s="143" t="s">
        <v>313</v>
      </c>
      <c r="F146" s="143" t="s">
        <v>2765</v>
      </c>
      <c r="G146" s="143" t="s">
        <v>2766</v>
      </c>
      <c r="H146" s="143" t="s">
        <v>321</v>
      </c>
      <c r="I146" s="143" t="s">
        <v>965</v>
      </c>
      <c r="J146" s="143" t="s">
        <v>205</v>
      </c>
      <c r="K146" s="143" t="s">
        <v>224</v>
      </c>
      <c r="L146" s="143" t="s">
        <v>344</v>
      </c>
      <c r="M146" s="143" t="s">
        <v>703</v>
      </c>
      <c r="N146" s="143" t="s">
        <v>339</v>
      </c>
      <c r="O146" s="143" t="s">
        <v>1211</v>
      </c>
      <c r="P146" s="144">
        <v>1610</v>
      </c>
      <c r="Q146" s="143" t="s">
        <v>1212</v>
      </c>
      <c r="R146" s="143" t="s">
        <v>2767</v>
      </c>
      <c r="S146" s="144">
        <v>0.22425999999999999</v>
      </c>
      <c r="T146" s="144">
        <v>622.50340000000006</v>
      </c>
      <c r="U146" s="146">
        <v>7.1810883140053524E-5</v>
      </c>
      <c r="V146" s="146">
        <v>3.6410404499473484E-3</v>
      </c>
      <c r="W146" s="147">
        <v>2.1949608402712646E-3</v>
      </c>
      <c r="X146" s="181"/>
    </row>
    <row r="147" spans="1:24" x14ac:dyDescent="0.2">
      <c r="A147" s="142" t="s">
        <v>1218</v>
      </c>
      <c r="B147" s="143" t="s">
        <v>1219</v>
      </c>
      <c r="C147" s="143" t="s">
        <v>2788</v>
      </c>
      <c r="D147" s="143" t="s">
        <v>2789</v>
      </c>
      <c r="E147" s="143" t="s">
        <v>313</v>
      </c>
      <c r="F147" s="143" t="s">
        <v>2788</v>
      </c>
      <c r="G147" s="143" t="s">
        <v>2790</v>
      </c>
      <c r="H147" s="143" t="s">
        <v>321</v>
      </c>
      <c r="I147" s="143" t="s">
        <v>965</v>
      </c>
      <c r="J147" s="143" t="s">
        <v>205</v>
      </c>
      <c r="K147" s="143" t="s">
        <v>246</v>
      </c>
      <c r="L147" s="143" t="s">
        <v>370</v>
      </c>
      <c r="M147" s="143" t="s">
        <v>707</v>
      </c>
      <c r="N147" s="143" t="s">
        <v>339</v>
      </c>
      <c r="O147" s="143" t="s">
        <v>2791</v>
      </c>
      <c r="P147" s="144">
        <v>160110</v>
      </c>
      <c r="Q147" s="143" t="s">
        <v>2792</v>
      </c>
      <c r="R147" s="143" t="s">
        <v>2793</v>
      </c>
      <c r="S147" s="144">
        <v>3.2021999999999999</v>
      </c>
      <c r="T147" s="144">
        <v>576.41590000000008</v>
      </c>
      <c r="U147" s="146">
        <v>1.111875E-3</v>
      </c>
      <c r="V147" s="146">
        <v>3.3889818833720076E-3</v>
      </c>
      <c r="W147" s="147">
        <v>2.0430101298374429E-3</v>
      </c>
      <c r="X147" s="181"/>
    </row>
    <row r="148" spans="1:24" x14ac:dyDescent="0.2">
      <c r="A148" s="142" t="s">
        <v>1218</v>
      </c>
      <c r="B148" s="143" t="s">
        <v>1219</v>
      </c>
      <c r="C148" s="143" t="s">
        <v>2727</v>
      </c>
      <c r="D148" s="143" t="s">
        <v>2728</v>
      </c>
      <c r="E148" s="143" t="s">
        <v>313</v>
      </c>
      <c r="F148" s="143" t="s">
        <v>2727</v>
      </c>
      <c r="G148" s="143" t="s">
        <v>2729</v>
      </c>
      <c r="H148" s="143" t="s">
        <v>321</v>
      </c>
      <c r="I148" s="143" t="s">
        <v>965</v>
      </c>
      <c r="J148" s="143" t="s">
        <v>205</v>
      </c>
      <c r="K148" s="143" t="s">
        <v>224</v>
      </c>
      <c r="L148" s="143" t="s">
        <v>344</v>
      </c>
      <c r="M148" s="143" t="s">
        <v>708</v>
      </c>
      <c r="N148" s="143" t="s">
        <v>339</v>
      </c>
      <c r="O148" s="143" t="s">
        <v>1211</v>
      </c>
      <c r="P148" s="144">
        <v>1696</v>
      </c>
      <c r="Q148" s="143" t="s">
        <v>1212</v>
      </c>
      <c r="R148" s="143" t="s">
        <v>2730</v>
      </c>
      <c r="S148" s="144" t="s">
        <v>3855</v>
      </c>
      <c r="T148" s="144">
        <v>546.10509999999999</v>
      </c>
      <c r="U148" s="146">
        <v>1.0198436560432952E-5</v>
      </c>
      <c r="V148" s="146">
        <v>3.1930343214009909E-3</v>
      </c>
      <c r="W148" s="147">
        <v>1.9248853160141778E-3</v>
      </c>
      <c r="X148" s="181"/>
    </row>
    <row r="149" spans="1:24" x14ac:dyDescent="0.2">
      <c r="A149" s="142" t="s">
        <v>1218</v>
      </c>
      <c r="B149" s="143" t="s">
        <v>1219</v>
      </c>
      <c r="C149" s="143" t="s">
        <v>2768</v>
      </c>
      <c r="D149" s="143" t="s">
        <v>2769</v>
      </c>
      <c r="E149" s="143" t="s">
        <v>313</v>
      </c>
      <c r="F149" s="143" t="s">
        <v>2770</v>
      </c>
      <c r="G149" s="143" t="s">
        <v>2771</v>
      </c>
      <c r="H149" s="143" t="s">
        <v>321</v>
      </c>
      <c r="I149" s="143" t="s">
        <v>965</v>
      </c>
      <c r="J149" s="143" t="s">
        <v>205</v>
      </c>
      <c r="K149" s="143" t="s">
        <v>224</v>
      </c>
      <c r="L149" s="143" t="s">
        <v>344</v>
      </c>
      <c r="M149" s="143" t="s">
        <v>708</v>
      </c>
      <c r="N149" s="143" t="s">
        <v>339</v>
      </c>
      <c r="O149" s="143" t="s">
        <v>1211</v>
      </c>
      <c r="P149" s="144">
        <v>1082</v>
      </c>
      <c r="Q149" s="143" t="s">
        <v>1212</v>
      </c>
      <c r="R149" s="143" t="s">
        <v>2772</v>
      </c>
      <c r="S149" s="144" t="s">
        <v>3855</v>
      </c>
      <c r="T149" s="144">
        <v>537.0788</v>
      </c>
      <c r="U149" s="146">
        <v>2.6262135922330097E-5</v>
      </c>
      <c r="V149" s="146">
        <v>3.1402580316747188E-3</v>
      </c>
      <c r="W149" s="147">
        <v>1.8930697152713591E-3</v>
      </c>
      <c r="X149" s="181"/>
    </row>
    <row r="150" spans="1:24" x14ac:dyDescent="0.2">
      <c r="A150" s="142" t="s">
        <v>1218</v>
      </c>
      <c r="B150" s="143" t="s">
        <v>1219</v>
      </c>
      <c r="C150" s="143" t="s">
        <v>2773</v>
      </c>
      <c r="D150" s="143" t="s">
        <v>2774</v>
      </c>
      <c r="E150" s="143" t="s">
        <v>313</v>
      </c>
      <c r="F150" s="143" t="s">
        <v>2775</v>
      </c>
      <c r="G150" s="143" t="s">
        <v>2776</v>
      </c>
      <c r="H150" s="143" t="s">
        <v>321</v>
      </c>
      <c r="I150" s="143" t="s">
        <v>965</v>
      </c>
      <c r="J150" s="143" t="s">
        <v>205</v>
      </c>
      <c r="K150" s="143" t="s">
        <v>224</v>
      </c>
      <c r="L150" s="143" t="s">
        <v>344</v>
      </c>
      <c r="M150" s="143" t="s">
        <v>612</v>
      </c>
      <c r="N150" s="143" t="s">
        <v>339</v>
      </c>
      <c r="O150" s="143" t="s">
        <v>1211</v>
      </c>
      <c r="P150" s="144">
        <v>1495</v>
      </c>
      <c r="Q150" s="143" t="s">
        <v>1212</v>
      </c>
      <c r="R150" s="143" t="s">
        <v>2777</v>
      </c>
      <c r="S150" s="144" t="s">
        <v>3855</v>
      </c>
      <c r="T150" s="144">
        <v>488.35240000000005</v>
      </c>
      <c r="U150" s="146">
        <v>8.7172011661807585E-5</v>
      </c>
      <c r="V150" s="146">
        <v>2.8553584651114269E-3</v>
      </c>
      <c r="W150" s="147">
        <v>1.721321172344371E-3</v>
      </c>
      <c r="X150" s="181"/>
    </row>
    <row r="151" spans="1:24" x14ac:dyDescent="0.2">
      <c r="A151" s="142" t="s">
        <v>1218</v>
      </c>
      <c r="B151" s="143" t="s">
        <v>1219</v>
      </c>
      <c r="C151" s="143" t="s">
        <v>2778</v>
      </c>
      <c r="D151" s="143" t="s">
        <v>2680</v>
      </c>
      <c r="E151" s="143" t="s">
        <v>313</v>
      </c>
      <c r="F151" s="143" t="s">
        <v>2778</v>
      </c>
      <c r="G151" s="143" t="s">
        <v>2779</v>
      </c>
      <c r="H151" s="143" t="s">
        <v>321</v>
      </c>
      <c r="I151" s="143" t="s">
        <v>965</v>
      </c>
      <c r="J151" s="143" t="s">
        <v>205</v>
      </c>
      <c r="K151" s="143" t="s">
        <v>301</v>
      </c>
      <c r="L151" s="143" t="s">
        <v>314</v>
      </c>
      <c r="M151" s="143" t="s">
        <v>596</v>
      </c>
      <c r="N151" s="143" t="s">
        <v>339</v>
      </c>
      <c r="O151" s="143" t="s">
        <v>1214</v>
      </c>
      <c r="P151" s="144">
        <v>2469</v>
      </c>
      <c r="Q151" s="143" t="s">
        <v>1215</v>
      </c>
      <c r="R151" s="143" t="s">
        <v>2780</v>
      </c>
      <c r="S151" s="144" t="s">
        <v>3855</v>
      </c>
      <c r="T151" s="144">
        <v>446.96209999999996</v>
      </c>
      <c r="U151" s="146">
        <v>8.4845360824742269E-5</v>
      </c>
      <c r="V151" s="146">
        <v>2.6133527768840187E-3</v>
      </c>
      <c r="W151" s="147">
        <v>1.5754307280924432E-3</v>
      </c>
      <c r="X151" s="181"/>
    </row>
    <row r="152" spans="1:24" x14ac:dyDescent="0.2">
      <c r="A152" s="142" t="s">
        <v>1218</v>
      </c>
      <c r="B152" s="143" t="s">
        <v>1219</v>
      </c>
      <c r="C152" s="143" t="s">
        <v>2794</v>
      </c>
      <c r="D152" s="143" t="s">
        <v>2795</v>
      </c>
      <c r="E152" s="143" t="s">
        <v>313</v>
      </c>
      <c r="F152" s="143" t="s">
        <v>2796</v>
      </c>
      <c r="G152" s="143" t="s">
        <v>2797</v>
      </c>
      <c r="H152" s="143" t="s">
        <v>321</v>
      </c>
      <c r="I152" s="143" t="s">
        <v>965</v>
      </c>
      <c r="J152" s="143" t="s">
        <v>205</v>
      </c>
      <c r="K152" s="143" t="s">
        <v>224</v>
      </c>
      <c r="L152" s="143" t="s">
        <v>344</v>
      </c>
      <c r="M152" s="143" t="s">
        <v>708</v>
      </c>
      <c r="N152" s="143" t="s">
        <v>339</v>
      </c>
      <c r="O152" s="143" t="s">
        <v>1211</v>
      </c>
      <c r="P152" s="144">
        <v>2982</v>
      </c>
      <c r="Q152" s="143" t="s">
        <v>1212</v>
      </c>
      <c r="R152" s="143" t="s">
        <v>2798</v>
      </c>
      <c r="S152" s="144" t="s">
        <v>3855</v>
      </c>
      <c r="T152" s="144">
        <v>430.55070000000001</v>
      </c>
      <c r="U152" s="146">
        <v>2.2650968477022409E-5</v>
      </c>
      <c r="V152" s="146">
        <v>2.5173964476846947E-3</v>
      </c>
      <c r="W152" s="147">
        <v>1.5175845196077943E-3</v>
      </c>
      <c r="X152" s="181"/>
    </row>
    <row r="153" spans="1:24" x14ac:dyDescent="0.2">
      <c r="A153" s="142" t="s">
        <v>1218</v>
      </c>
      <c r="B153" s="143" t="s">
        <v>1219</v>
      </c>
      <c r="C153" s="143" t="s">
        <v>2768</v>
      </c>
      <c r="D153" s="143" t="s">
        <v>2769</v>
      </c>
      <c r="E153" s="143" t="s">
        <v>313</v>
      </c>
      <c r="F153" s="143" t="s">
        <v>2781</v>
      </c>
      <c r="G153" s="143" t="s">
        <v>2782</v>
      </c>
      <c r="H153" s="143" t="s">
        <v>321</v>
      </c>
      <c r="I153" s="143" t="s">
        <v>965</v>
      </c>
      <c r="J153" s="143" t="s">
        <v>205</v>
      </c>
      <c r="K153" s="143" t="s">
        <v>224</v>
      </c>
      <c r="L153" s="143" t="s">
        <v>344</v>
      </c>
      <c r="M153" s="143" t="s">
        <v>707</v>
      </c>
      <c r="N153" s="143" t="s">
        <v>339</v>
      </c>
      <c r="O153" s="143" t="s">
        <v>1211</v>
      </c>
      <c r="P153" s="144">
        <v>1995</v>
      </c>
      <c r="Q153" s="143" t="s">
        <v>1212</v>
      </c>
      <c r="R153" s="143" t="s">
        <v>2783</v>
      </c>
      <c r="S153" s="144" t="s">
        <v>3855</v>
      </c>
      <c r="T153" s="144">
        <v>406.38190000000003</v>
      </c>
      <c r="U153" s="146">
        <v>2.3750000000000001E-5</v>
      </c>
      <c r="V153" s="146">
        <v>2.3760836164480334E-3</v>
      </c>
      <c r="W153" s="147">
        <v>1.4323956470708747E-3</v>
      </c>
      <c r="X153" s="181"/>
    </row>
    <row r="154" spans="1:24" x14ac:dyDescent="0.2">
      <c r="A154" s="142" t="s">
        <v>1218</v>
      </c>
      <c r="B154" s="143" t="s">
        <v>1219</v>
      </c>
      <c r="C154" s="143" t="s">
        <v>2784</v>
      </c>
      <c r="D154" s="143" t="s">
        <v>2785</v>
      </c>
      <c r="E154" s="143" t="s">
        <v>313</v>
      </c>
      <c r="F154" s="143" t="s">
        <v>2784</v>
      </c>
      <c r="G154" s="143" t="s">
        <v>2786</v>
      </c>
      <c r="H154" s="143" t="s">
        <v>321</v>
      </c>
      <c r="I154" s="143" t="s">
        <v>965</v>
      </c>
      <c r="J154" s="143" t="s">
        <v>205</v>
      </c>
      <c r="K154" s="143" t="s">
        <v>224</v>
      </c>
      <c r="L154" s="143" t="s">
        <v>344</v>
      </c>
      <c r="M154" s="143" t="s">
        <v>703</v>
      </c>
      <c r="N154" s="143" t="s">
        <v>339</v>
      </c>
      <c r="O154" s="143" t="s">
        <v>1211</v>
      </c>
      <c r="P154" s="144">
        <v>2468</v>
      </c>
      <c r="Q154" s="143" t="s">
        <v>1212</v>
      </c>
      <c r="R154" s="143" t="s">
        <v>2787</v>
      </c>
      <c r="S154" s="144" t="s">
        <v>3855</v>
      </c>
      <c r="T154" s="144">
        <v>373.0367</v>
      </c>
      <c r="U154" s="146">
        <v>7.4498913305964741E-5</v>
      </c>
      <c r="V154" s="146">
        <v>2.1811166709214684E-3</v>
      </c>
      <c r="W154" s="147">
        <v>1.3148619869918442E-3</v>
      </c>
      <c r="X154" s="181"/>
    </row>
    <row r="155" spans="1:24" x14ac:dyDescent="0.2">
      <c r="A155" s="142" t="s">
        <v>1218</v>
      </c>
      <c r="B155" s="143" t="s">
        <v>1219</v>
      </c>
      <c r="C155" s="143" t="s">
        <v>2768</v>
      </c>
      <c r="D155" s="143" t="s">
        <v>2769</v>
      </c>
      <c r="E155" s="143" t="s">
        <v>313</v>
      </c>
      <c r="F155" s="143" t="s">
        <v>2799</v>
      </c>
      <c r="G155" s="143" t="s">
        <v>2800</v>
      </c>
      <c r="H155" s="143" t="s">
        <v>321</v>
      </c>
      <c r="I155" s="143" t="s">
        <v>965</v>
      </c>
      <c r="J155" s="143" t="s">
        <v>205</v>
      </c>
      <c r="K155" s="143" t="s">
        <v>224</v>
      </c>
      <c r="L155" s="143" t="s">
        <v>344</v>
      </c>
      <c r="M155" s="143" t="s">
        <v>708</v>
      </c>
      <c r="N155" s="143" t="s">
        <v>339</v>
      </c>
      <c r="O155" s="143" t="s">
        <v>1211</v>
      </c>
      <c r="P155" s="144">
        <v>1372</v>
      </c>
      <c r="Q155" s="143" t="s">
        <v>1212</v>
      </c>
      <c r="R155" s="143" t="s">
        <v>2801</v>
      </c>
      <c r="S155" s="144" t="s">
        <v>3855</v>
      </c>
      <c r="T155" s="144">
        <v>289.01779999999997</v>
      </c>
      <c r="U155" s="146">
        <v>1.1447642886942011E-5</v>
      </c>
      <c r="V155" s="146">
        <v>1.68986459401693E-3</v>
      </c>
      <c r="W155" s="147">
        <v>1.0187161225527436E-3</v>
      </c>
      <c r="X155" s="181"/>
    </row>
    <row r="156" spans="1:24" x14ac:dyDescent="0.2">
      <c r="A156" s="142" t="s">
        <v>1218</v>
      </c>
      <c r="B156" s="143" t="s">
        <v>1219</v>
      </c>
      <c r="C156" s="143" t="s">
        <v>2802</v>
      </c>
      <c r="D156" s="143" t="s">
        <v>2803</v>
      </c>
      <c r="E156" s="143" t="s">
        <v>313</v>
      </c>
      <c r="F156" s="143" t="s">
        <v>2804</v>
      </c>
      <c r="G156" s="143" t="s">
        <v>2805</v>
      </c>
      <c r="H156" s="143" t="s">
        <v>321</v>
      </c>
      <c r="I156" s="143" t="s">
        <v>965</v>
      </c>
      <c r="J156" s="143" t="s">
        <v>205</v>
      </c>
      <c r="K156" s="143" t="s">
        <v>268</v>
      </c>
      <c r="L156" s="143" t="s">
        <v>344</v>
      </c>
      <c r="M156" s="143" t="s">
        <v>588</v>
      </c>
      <c r="N156" s="143" t="s">
        <v>339</v>
      </c>
      <c r="O156" s="143" t="s">
        <v>1211</v>
      </c>
      <c r="P156" s="144">
        <v>1822</v>
      </c>
      <c r="Q156" s="143" t="s">
        <v>1212</v>
      </c>
      <c r="R156" s="143" t="s">
        <v>2806</v>
      </c>
      <c r="S156" s="144" t="s">
        <v>3855</v>
      </c>
      <c r="T156" s="144">
        <v>178.00289999999998</v>
      </c>
      <c r="U156" s="146">
        <v>9.8673165448145139E-6</v>
      </c>
      <c r="V156" s="146">
        <v>1.0407689350233357E-3</v>
      </c>
      <c r="W156" s="147">
        <v>6.2741600582330375E-4</v>
      </c>
      <c r="X156" s="181"/>
    </row>
    <row r="157" spans="1:24" ht="15" x14ac:dyDescent="0.2">
      <c r="A157" s="142" t="s">
        <v>1218</v>
      </c>
      <c r="B157" s="143" t="s">
        <v>1219</v>
      </c>
      <c r="C157" s="143" t="s">
        <v>2639</v>
      </c>
      <c r="D157" s="143" t="s">
        <v>2640</v>
      </c>
      <c r="E157" s="143" t="s">
        <v>309</v>
      </c>
      <c r="F157" s="143" t="s">
        <v>2807</v>
      </c>
      <c r="G157" s="143" t="s">
        <v>2808</v>
      </c>
      <c r="H157" s="143" t="s">
        <v>321</v>
      </c>
      <c r="I157" s="143" t="s">
        <v>966</v>
      </c>
      <c r="J157" s="143" t="s">
        <v>204</v>
      </c>
      <c r="K157" s="143" t="s">
        <v>204</v>
      </c>
      <c r="L157" s="143" t="s">
        <v>340</v>
      </c>
      <c r="M157" s="143" t="s">
        <v>576</v>
      </c>
      <c r="N157" s="143" t="s">
        <v>339</v>
      </c>
      <c r="O157" s="143" t="s">
        <v>1210</v>
      </c>
      <c r="P157" s="144">
        <v>2210091</v>
      </c>
      <c r="Q157" s="145" t="s">
        <v>3853</v>
      </c>
      <c r="R157" s="143" t="s">
        <v>2809</v>
      </c>
      <c r="S157" s="144" t="s">
        <v>3855</v>
      </c>
      <c r="T157" s="144">
        <v>10073.594800000001</v>
      </c>
      <c r="U157" s="146">
        <v>5.5252275000000003E-2</v>
      </c>
      <c r="V157" s="146">
        <v>5.88995287304779E-2</v>
      </c>
      <c r="W157" s="147">
        <v>3.550692744314355E-2</v>
      </c>
      <c r="X157" s="181"/>
    </row>
    <row r="158" spans="1:24" ht="15" x14ac:dyDescent="0.2">
      <c r="A158" s="142" t="s">
        <v>1218</v>
      </c>
      <c r="B158" s="143" t="s">
        <v>1219</v>
      </c>
      <c r="C158" s="143" t="s">
        <v>2639</v>
      </c>
      <c r="D158" s="143" t="s">
        <v>2640</v>
      </c>
      <c r="E158" s="143" t="s">
        <v>309</v>
      </c>
      <c r="F158" s="143" t="s">
        <v>2810</v>
      </c>
      <c r="G158" s="143" t="s">
        <v>2811</v>
      </c>
      <c r="H158" s="143" t="s">
        <v>321</v>
      </c>
      <c r="I158" s="143" t="s">
        <v>966</v>
      </c>
      <c r="J158" s="143" t="s">
        <v>204</v>
      </c>
      <c r="K158" s="143" t="s">
        <v>204</v>
      </c>
      <c r="L158" s="143" t="s">
        <v>340</v>
      </c>
      <c r="M158" s="143" t="s">
        <v>632</v>
      </c>
      <c r="N158" s="143" t="s">
        <v>339</v>
      </c>
      <c r="O158" s="143" t="s">
        <v>1210</v>
      </c>
      <c r="P158" s="144">
        <v>1982746</v>
      </c>
      <c r="Q158" s="145" t="s">
        <v>3853</v>
      </c>
      <c r="R158" s="143" t="s">
        <v>2812</v>
      </c>
      <c r="S158" s="144" t="s">
        <v>3855</v>
      </c>
      <c r="T158" s="144">
        <v>8843.2453999999998</v>
      </c>
      <c r="U158" s="146">
        <v>5.6062804039357567E-2</v>
      </c>
      <c r="V158" s="146">
        <v>5.1705771378000746E-2</v>
      </c>
      <c r="W158" s="147">
        <v>3.1170250633269284E-2</v>
      </c>
      <c r="X158" s="181"/>
    </row>
    <row r="159" spans="1:24" ht="15" x14ac:dyDescent="0.2">
      <c r="A159" s="142" t="s">
        <v>1218</v>
      </c>
      <c r="B159" s="143" t="s">
        <v>1219</v>
      </c>
      <c r="C159" s="143" t="s">
        <v>2625</v>
      </c>
      <c r="D159" s="143" t="s">
        <v>2626</v>
      </c>
      <c r="E159" s="143" t="s">
        <v>309</v>
      </c>
      <c r="F159" s="143" t="s">
        <v>2813</v>
      </c>
      <c r="G159" s="143" t="s">
        <v>2814</v>
      </c>
      <c r="H159" s="143" t="s">
        <v>321</v>
      </c>
      <c r="I159" s="143" t="s">
        <v>966</v>
      </c>
      <c r="J159" s="143" t="s">
        <v>204</v>
      </c>
      <c r="K159" s="143" t="s">
        <v>204</v>
      </c>
      <c r="L159" s="143" t="s">
        <v>340</v>
      </c>
      <c r="M159" s="143" t="s">
        <v>576</v>
      </c>
      <c r="N159" s="143" t="s">
        <v>339</v>
      </c>
      <c r="O159" s="143" t="s">
        <v>1210</v>
      </c>
      <c r="P159" s="144">
        <v>7093665</v>
      </c>
      <c r="Q159" s="145" t="s">
        <v>3853</v>
      </c>
      <c r="R159" s="143" t="s">
        <v>2815</v>
      </c>
      <c r="S159" s="144" t="s">
        <v>3855</v>
      </c>
      <c r="T159" s="144">
        <v>7757.6319999999996</v>
      </c>
      <c r="U159" s="146">
        <v>1.7734162500000001E-2</v>
      </c>
      <c r="V159" s="146">
        <v>4.5358273935530539E-2</v>
      </c>
      <c r="W159" s="147">
        <v>2.7343732221438519E-2</v>
      </c>
      <c r="X159" s="181"/>
    </row>
    <row r="160" spans="1:24" ht="15" x14ac:dyDescent="0.2">
      <c r="A160" s="142" t="s">
        <v>1218</v>
      </c>
      <c r="B160" s="143" t="s">
        <v>1219</v>
      </c>
      <c r="C160" s="143" t="s">
        <v>2630</v>
      </c>
      <c r="D160" s="143" t="s">
        <v>2631</v>
      </c>
      <c r="E160" s="143" t="s">
        <v>309</v>
      </c>
      <c r="F160" s="143" t="s">
        <v>2816</v>
      </c>
      <c r="G160" s="143" t="s">
        <v>2817</v>
      </c>
      <c r="H160" s="143" t="s">
        <v>321</v>
      </c>
      <c r="I160" s="143" t="s">
        <v>966</v>
      </c>
      <c r="J160" s="143" t="s">
        <v>204</v>
      </c>
      <c r="K160" s="143" t="s">
        <v>204</v>
      </c>
      <c r="L160" s="143" t="s">
        <v>340</v>
      </c>
      <c r="M160" s="143" t="s">
        <v>632</v>
      </c>
      <c r="N160" s="143" t="s">
        <v>339</v>
      </c>
      <c r="O160" s="143" t="s">
        <v>1210</v>
      </c>
      <c r="P160" s="144">
        <v>1955834</v>
      </c>
      <c r="Q160" s="145" t="s">
        <v>3853</v>
      </c>
      <c r="R160" s="143" t="s">
        <v>2818</v>
      </c>
      <c r="S160" s="144" t="s">
        <v>3855</v>
      </c>
      <c r="T160" s="144">
        <v>7491.2354000000005</v>
      </c>
      <c r="U160" s="146">
        <v>2.6077786666666665E-2</v>
      </c>
      <c r="V160" s="146">
        <v>4.3800673306336892E-2</v>
      </c>
      <c r="W160" s="147">
        <v>2.6404749962696684E-2</v>
      </c>
      <c r="X160" s="181"/>
    </row>
    <row r="161" spans="1:24" ht="15" x14ac:dyDescent="0.2">
      <c r="A161" s="142" t="s">
        <v>1218</v>
      </c>
      <c r="B161" s="143" t="s">
        <v>1219</v>
      </c>
      <c r="C161" s="143" t="s">
        <v>2630</v>
      </c>
      <c r="D161" s="143" t="s">
        <v>2631</v>
      </c>
      <c r="E161" s="143" t="s">
        <v>309</v>
      </c>
      <c r="F161" s="143" t="s">
        <v>2819</v>
      </c>
      <c r="G161" s="143" t="s">
        <v>2820</v>
      </c>
      <c r="H161" s="143" t="s">
        <v>321</v>
      </c>
      <c r="I161" s="143" t="s">
        <v>966</v>
      </c>
      <c r="J161" s="143" t="s">
        <v>204</v>
      </c>
      <c r="K161" s="143" t="s">
        <v>204</v>
      </c>
      <c r="L161" s="143" t="s">
        <v>340</v>
      </c>
      <c r="M161" s="143" t="s">
        <v>576</v>
      </c>
      <c r="N161" s="143" t="s">
        <v>339</v>
      </c>
      <c r="O161" s="143" t="s">
        <v>1210</v>
      </c>
      <c r="P161" s="144">
        <v>666247</v>
      </c>
      <c r="Q161" s="145" t="s">
        <v>3853</v>
      </c>
      <c r="R161" s="143" t="s">
        <v>2821</v>
      </c>
      <c r="S161" s="144" t="s">
        <v>3855</v>
      </c>
      <c r="T161" s="144">
        <v>2439.1968999999999</v>
      </c>
      <c r="U161" s="146">
        <v>5.2213714733542324E-3</v>
      </c>
      <c r="V161" s="146">
        <v>1.4261795373756351E-2</v>
      </c>
      <c r="W161" s="147">
        <v>8.5975651157101946E-3</v>
      </c>
      <c r="X161" s="181"/>
    </row>
    <row r="162" spans="1:24" x14ac:dyDescent="0.2">
      <c r="A162" s="142" t="s">
        <v>1218</v>
      </c>
      <c r="B162" s="143" t="s">
        <v>1219</v>
      </c>
      <c r="C162" s="143" t="s">
        <v>2825</v>
      </c>
      <c r="D162" s="143" t="s">
        <v>2826</v>
      </c>
      <c r="E162" s="143" t="s">
        <v>313</v>
      </c>
      <c r="F162" s="143" t="s">
        <v>2825</v>
      </c>
      <c r="G162" s="143" t="s">
        <v>2827</v>
      </c>
      <c r="H162" s="143" t="s">
        <v>321</v>
      </c>
      <c r="I162" s="143" t="s">
        <v>967</v>
      </c>
      <c r="J162" s="143" t="s">
        <v>205</v>
      </c>
      <c r="K162" s="143" t="s">
        <v>224</v>
      </c>
      <c r="L162" s="143" t="s">
        <v>380</v>
      </c>
      <c r="M162" s="143" t="s">
        <v>592</v>
      </c>
      <c r="N162" s="143" t="s">
        <v>339</v>
      </c>
      <c r="O162" s="143" t="s">
        <v>1211</v>
      </c>
      <c r="P162" s="144">
        <v>200144</v>
      </c>
      <c r="Q162" s="143" t="s">
        <v>1212</v>
      </c>
      <c r="R162" s="143" t="s">
        <v>2828</v>
      </c>
      <c r="S162" s="144" t="s">
        <v>3855</v>
      </c>
      <c r="T162" s="144">
        <v>4313.9250000000002</v>
      </c>
      <c r="U162" s="146">
        <v>6.5901876852156739E-4</v>
      </c>
      <c r="V162" s="146">
        <v>2.5223185423240438E-2</v>
      </c>
      <c r="W162" s="147">
        <v>1.5205517497536819E-2</v>
      </c>
      <c r="X162" s="181"/>
    </row>
    <row r="163" spans="1:24" x14ac:dyDescent="0.2">
      <c r="A163" s="142" t="s">
        <v>1218</v>
      </c>
      <c r="B163" s="143" t="s">
        <v>1219</v>
      </c>
      <c r="C163" s="143" t="s">
        <v>2829</v>
      </c>
      <c r="D163" s="143" t="s">
        <v>2830</v>
      </c>
      <c r="E163" s="143" t="s">
        <v>313</v>
      </c>
      <c r="F163" s="143" t="s">
        <v>2829</v>
      </c>
      <c r="G163" s="143" t="s">
        <v>2831</v>
      </c>
      <c r="H163" s="143" t="s">
        <v>321</v>
      </c>
      <c r="I163" s="143" t="s">
        <v>967</v>
      </c>
      <c r="J163" s="143" t="s">
        <v>205</v>
      </c>
      <c r="K163" s="143" t="s">
        <v>224</v>
      </c>
      <c r="L163" s="143" t="s">
        <v>314</v>
      </c>
      <c r="M163" s="143" t="s">
        <v>677</v>
      </c>
      <c r="N163" s="143" t="s">
        <v>339</v>
      </c>
      <c r="O163" s="143" t="s">
        <v>1211</v>
      </c>
      <c r="P163" s="144">
        <v>3096</v>
      </c>
      <c r="Q163" s="143" t="s">
        <v>1212</v>
      </c>
      <c r="R163" s="143" t="s">
        <v>2832</v>
      </c>
      <c r="S163" s="144" t="s">
        <v>3855</v>
      </c>
      <c r="T163" s="144">
        <v>1086.6273999999999</v>
      </c>
      <c r="U163" s="146">
        <v>2.0477544811164759E-4</v>
      </c>
      <c r="V163" s="146">
        <v>6.3534260528694212E-3</v>
      </c>
      <c r="W163" s="147">
        <v>3.8300924088358508E-3</v>
      </c>
      <c r="X163" s="181"/>
    </row>
    <row r="164" spans="1:24" x14ac:dyDescent="0.2">
      <c r="A164" s="142" t="s">
        <v>1218</v>
      </c>
      <c r="B164" s="143" t="s">
        <v>1219</v>
      </c>
      <c r="C164" s="143" t="s">
        <v>2833</v>
      </c>
      <c r="D164" s="143" t="s">
        <v>2834</v>
      </c>
      <c r="E164" s="143" t="s">
        <v>313</v>
      </c>
      <c r="F164" s="143" t="s">
        <v>2833</v>
      </c>
      <c r="G164" s="143" t="s">
        <v>2835</v>
      </c>
      <c r="H164" s="143" t="s">
        <v>321</v>
      </c>
      <c r="I164" s="143" t="s">
        <v>967</v>
      </c>
      <c r="J164" s="143" t="s">
        <v>205</v>
      </c>
      <c r="K164" s="143" t="s">
        <v>233</v>
      </c>
      <c r="L164" s="143" t="s">
        <v>380</v>
      </c>
      <c r="M164" s="143" t="s">
        <v>677</v>
      </c>
      <c r="N164" s="143" t="s">
        <v>339</v>
      </c>
      <c r="O164" s="143" t="s">
        <v>1211</v>
      </c>
      <c r="P164" s="144">
        <v>2365</v>
      </c>
      <c r="Q164" s="143" t="s">
        <v>1212</v>
      </c>
      <c r="R164" s="143" t="s">
        <v>2836</v>
      </c>
      <c r="S164" s="144" t="s">
        <v>3855</v>
      </c>
      <c r="T164" s="144">
        <v>816.99419999999998</v>
      </c>
      <c r="U164" s="146">
        <v>7.3961721290968229E-5</v>
      </c>
      <c r="V164" s="146">
        <v>4.7769019290380705E-3</v>
      </c>
      <c r="W164" s="147">
        <v>2.8797023312955635E-3</v>
      </c>
      <c r="X164" s="181"/>
    </row>
    <row r="165" spans="1:24" x14ac:dyDescent="0.2">
      <c r="A165" s="142" t="s">
        <v>1218</v>
      </c>
      <c r="B165" s="143" t="s">
        <v>1219</v>
      </c>
      <c r="C165" s="143" t="s">
        <v>2837</v>
      </c>
      <c r="D165" s="143" t="s">
        <v>2838</v>
      </c>
      <c r="E165" s="143" t="s">
        <v>313</v>
      </c>
      <c r="F165" s="143" t="s">
        <v>2837</v>
      </c>
      <c r="G165" s="143" t="s">
        <v>2839</v>
      </c>
      <c r="H165" s="143" t="s">
        <v>321</v>
      </c>
      <c r="I165" s="143" t="s">
        <v>967</v>
      </c>
      <c r="J165" s="143" t="s">
        <v>205</v>
      </c>
      <c r="K165" s="143" t="s">
        <v>224</v>
      </c>
      <c r="L165" s="143" t="s">
        <v>314</v>
      </c>
      <c r="M165" s="143" t="s">
        <v>677</v>
      </c>
      <c r="N165" s="143" t="s">
        <v>339</v>
      </c>
      <c r="O165" s="143" t="s">
        <v>1211</v>
      </c>
      <c r="P165" s="144">
        <v>5903</v>
      </c>
      <c r="Q165" s="143" t="s">
        <v>1212</v>
      </c>
      <c r="R165" s="143" t="s">
        <v>2840</v>
      </c>
      <c r="S165" s="144" t="s">
        <v>3855</v>
      </c>
      <c r="T165" s="144">
        <v>466.64259999999996</v>
      </c>
      <c r="U165" s="146">
        <v>1.0541071428571429E-3</v>
      </c>
      <c r="V165" s="146">
        <v>2.7284231430521715E-3</v>
      </c>
      <c r="W165" s="147">
        <v>1.6447996217059222E-3</v>
      </c>
      <c r="X165" s="181"/>
    </row>
    <row r="166" spans="1:24" ht="15" x14ac:dyDescent="0.2">
      <c r="A166" s="142" t="s">
        <v>1218</v>
      </c>
      <c r="B166" s="143" t="s">
        <v>1220</v>
      </c>
      <c r="C166" s="143" t="s">
        <v>2630</v>
      </c>
      <c r="D166" s="143" t="s">
        <v>2631</v>
      </c>
      <c r="E166" s="143" t="s">
        <v>309</v>
      </c>
      <c r="F166" s="143" t="s">
        <v>2841</v>
      </c>
      <c r="G166" s="143" t="s">
        <v>2842</v>
      </c>
      <c r="H166" s="143" t="s">
        <v>321</v>
      </c>
      <c r="I166" s="143" t="s">
        <v>966</v>
      </c>
      <c r="J166" s="143" t="s">
        <v>204</v>
      </c>
      <c r="K166" s="143" t="s">
        <v>204</v>
      </c>
      <c r="L166" s="143" t="s">
        <v>340</v>
      </c>
      <c r="M166" s="143" t="s">
        <v>632</v>
      </c>
      <c r="N166" s="143" t="s">
        <v>339</v>
      </c>
      <c r="O166" s="143" t="s">
        <v>1210</v>
      </c>
      <c r="P166" s="144">
        <v>180740</v>
      </c>
      <c r="Q166" s="145" t="s">
        <v>3853</v>
      </c>
      <c r="R166" s="143" t="s">
        <v>2843</v>
      </c>
      <c r="S166" s="144" t="s">
        <v>3855</v>
      </c>
      <c r="T166" s="144">
        <v>692.8306</v>
      </c>
      <c r="U166" s="146">
        <v>6.6219038811929766E-4</v>
      </c>
      <c r="V166" s="146">
        <v>0.33624406205467378</v>
      </c>
      <c r="W166" s="147">
        <v>8.9167478345092782E-2</v>
      </c>
      <c r="X166" s="181"/>
    </row>
    <row r="167" spans="1:24" ht="15" x14ac:dyDescent="0.2">
      <c r="A167" s="142" t="s">
        <v>1218</v>
      </c>
      <c r="B167" s="143" t="s">
        <v>1220</v>
      </c>
      <c r="C167" s="143" t="s">
        <v>2639</v>
      </c>
      <c r="D167" s="143" t="s">
        <v>2640</v>
      </c>
      <c r="E167" s="143" t="s">
        <v>309</v>
      </c>
      <c r="F167" s="143" t="s">
        <v>2850</v>
      </c>
      <c r="G167" s="143" t="s">
        <v>2851</v>
      </c>
      <c r="H167" s="143" t="s">
        <v>321</v>
      </c>
      <c r="I167" s="143" t="s">
        <v>966</v>
      </c>
      <c r="J167" s="143" t="s">
        <v>204</v>
      </c>
      <c r="K167" s="143" t="s">
        <v>204</v>
      </c>
      <c r="L167" s="143" t="s">
        <v>340</v>
      </c>
      <c r="M167" s="143" t="s">
        <v>576</v>
      </c>
      <c r="N167" s="143" t="s">
        <v>339</v>
      </c>
      <c r="O167" s="143" t="s">
        <v>1210</v>
      </c>
      <c r="P167" s="144">
        <v>93897</v>
      </c>
      <c r="Q167" s="145" t="s">
        <v>3853</v>
      </c>
      <c r="R167" s="143" t="s">
        <v>2852</v>
      </c>
      <c r="S167" s="144" t="s">
        <v>3855</v>
      </c>
      <c r="T167" s="144">
        <v>426.4051</v>
      </c>
      <c r="U167" s="146">
        <v>6.4826971251136516E-4</v>
      </c>
      <c r="V167" s="146">
        <v>0.20694259109369512</v>
      </c>
      <c r="W167" s="147">
        <v>5.4878438290529685E-2</v>
      </c>
      <c r="X167" s="181"/>
    </row>
    <row r="168" spans="1:24" ht="15" x14ac:dyDescent="0.2">
      <c r="A168" s="142" t="s">
        <v>1218</v>
      </c>
      <c r="B168" s="143" t="s">
        <v>1220</v>
      </c>
      <c r="C168" s="143" t="s">
        <v>2630</v>
      </c>
      <c r="D168" s="143" t="s">
        <v>2631</v>
      </c>
      <c r="E168" s="143" t="s">
        <v>309</v>
      </c>
      <c r="F168" s="143" t="s">
        <v>2853</v>
      </c>
      <c r="G168" s="143" t="s">
        <v>2854</v>
      </c>
      <c r="H168" s="143" t="s">
        <v>321</v>
      </c>
      <c r="I168" s="143" t="s">
        <v>966</v>
      </c>
      <c r="J168" s="143" t="s">
        <v>204</v>
      </c>
      <c r="K168" s="143" t="s">
        <v>204</v>
      </c>
      <c r="L168" s="143" t="s">
        <v>340</v>
      </c>
      <c r="M168" s="143" t="s">
        <v>576</v>
      </c>
      <c r="N168" s="143" t="s">
        <v>339</v>
      </c>
      <c r="O168" s="143" t="s">
        <v>1210</v>
      </c>
      <c r="P168" s="144">
        <v>69450</v>
      </c>
      <c r="Q168" s="145" t="s">
        <v>3853</v>
      </c>
      <c r="R168" s="143" t="s">
        <v>2855</v>
      </c>
      <c r="S168" s="144" t="s">
        <v>3855</v>
      </c>
      <c r="T168" s="144">
        <v>247.1309</v>
      </c>
      <c r="U168" s="146">
        <v>2.24791537892323E-4</v>
      </c>
      <c r="V168" s="146">
        <v>0.1199373785063423</v>
      </c>
      <c r="W168" s="147">
        <v>3.1805806578057962E-2</v>
      </c>
      <c r="X168" s="181"/>
    </row>
    <row r="169" spans="1:24" ht="15" x14ac:dyDescent="0.2">
      <c r="A169" s="142" t="s">
        <v>1218</v>
      </c>
      <c r="B169" s="143" t="s">
        <v>1220</v>
      </c>
      <c r="C169" s="143" t="s">
        <v>2625</v>
      </c>
      <c r="D169" s="143" t="s">
        <v>2626</v>
      </c>
      <c r="E169" s="143" t="s">
        <v>309</v>
      </c>
      <c r="F169" s="143" t="s">
        <v>2859</v>
      </c>
      <c r="G169" s="143" t="s">
        <v>2860</v>
      </c>
      <c r="H169" s="143" t="s">
        <v>321</v>
      </c>
      <c r="I169" s="143" t="s">
        <v>966</v>
      </c>
      <c r="J169" s="143" t="s">
        <v>204</v>
      </c>
      <c r="K169" s="143" t="s">
        <v>204</v>
      </c>
      <c r="L169" s="143" t="s">
        <v>340</v>
      </c>
      <c r="M169" s="143" t="s">
        <v>632</v>
      </c>
      <c r="N169" s="143" t="s">
        <v>339</v>
      </c>
      <c r="O169" s="143" t="s">
        <v>1210</v>
      </c>
      <c r="P169" s="144">
        <v>5659.4</v>
      </c>
      <c r="Q169" s="145" t="s">
        <v>3853</v>
      </c>
      <c r="R169" s="143" t="s">
        <v>2861</v>
      </c>
      <c r="S169" s="144" t="s">
        <v>3855</v>
      </c>
      <c r="T169" s="144">
        <v>216.3108</v>
      </c>
      <c r="U169" s="146">
        <v>1.0480020260063905E-4</v>
      </c>
      <c r="V169" s="146">
        <v>0.10497977893048481</v>
      </c>
      <c r="W169" s="147">
        <v>2.7839248988535462E-2</v>
      </c>
      <c r="X169" s="181"/>
    </row>
    <row r="170" spans="1:24" ht="15" x14ac:dyDescent="0.2">
      <c r="A170" s="142" t="s">
        <v>1218</v>
      </c>
      <c r="B170" s="143" t="s">
        <v>1220</v>
      </c>
      <c r="C170" s="143" t="s">
        <v>2639</v>
      </c>
      <c r="D170" s="143" t="s">
        <v>2640</v>
      </c>
      <c r="E170" s="143" t="s">
        <v>309</v>
      </c>
      <c r="F170" s="143" t="s">
        <v>2844</v>
      </c>
      <c r="G170" s="143" t="s">
        <v>2845</v>
      </c>
      <c r="H170" s="143" t="s">
        <v>321</v>
      </c>
      <c r="I170" s="143" t="s">
        <v>966</v>
      </c>
      <c r="J170" s="143" t="s">
        <v>204</v>
      </c>
      <c r="K170" s="143" t="s">
        <v>204</v>
      </c>
      <c r="L170" s="143" t="s">
        <v>340</v>
      </c>
      <c r="M170" s="143" t="s">
        <v>632</v>
      </c>
      <c r="N170" s="143" t="s">
        <v>339</v>
      </c>
      <c r="O170" s="143" t="s">
        <v>1210</v>
      </c>
      <c r="P170" s="144">
        <v>31741</v>
      </c>
      <c r="Q170" s="145" t="s">
        <v>3853</v>
      </c>
      <c r="R170" s="143" t="s">
        <v>2846</v>
      </c>
      <c r="S170" s="144" t="s">
        <v>3855</v>
      </c>
      <c r="T170" s="144">
        <v>141.2475</v>
      </c>
      <c r="U170" s="146">
        <v>1.2890211078028769E-4</v>
      </c>
      <c r="V170" s="146">
        <v>6.8550109454980537E-2</v>
      </c>
      <c r="W170" s="147">
        <v>1.8178582435120667E-2</v>
      </c>
      <c r="X170" s="181"/>
    </row>
    <row r="171" spans="1:24" ht="15" x14ac:dyDescent="0.2">
      <c r="A171" s="142" t="s">
        <v>1218</v>
      </c>
      <c r="B171" s="143" t="s">
        <v>1220</v>
      </c>
      <c r="C171" s="143" t="s">
        <v>2625</v>
      </c>
      <c r="D171" s="143" t="s">
        <v>2626</v>
      </c>
      <c r="E171" s="143" t="s">
        <v>309</v>
      </c>
      <c r="F171" s="143" t="s">
        <v>2948</v>
      </c>
      <c r="G171" s="143" t="s">
        <v>2949</v>
      </c>
      <c r="H171" s="143" t="s">
        <v>321</v>
      </c>
      <c r="I171" s="143" t="s">
        <v>966</v>
      </c>
      <c r="J171" s="143" t="s">
        <v>204</v>
      </c>
      <c r="K171" s="143" t="s">
        <v>204</v>
      </c>
      <c r="L171" s="143" t="s">
        <v>340</v>
      </c>
      <c r="M171" s="143" t="s">
        <v>626</v>
      </c>
      <c r="N171" s="143" t="s">
        <v>339</v>
      </c>
      <c r="O171" s="143" t="s">
        <v>1210</v>
      </c>
      <c r="P171" s="144">
        <v>2620</v>
      </c>
      <c r="Q171" s="145" t="s">
        <v>3853</v>
      </c>
      <c r="R171" s="143" t="s">
        <v>2950</v>
      </c>
      <c r="S171" s="144" t="s">
        <v>3855</v>
      </c>
      <c r="T171" s="144">
        <v>98.349600000000009</v>
      </c>
      <c r="U171" s="146">
        <v>3.1157041717376141E-4</v>
      </c>
      <c r="V171" s="146">
        <v>4.7730936755666566E-2</v>
      </c>
      <c r="W171" s="147">
        <v>1.2657613174027894E-2</v>
      </c>
      <c r="X171" s="181"/>
    </row>
    <row r="172" spans="1:24" ht="15" x14ac:dyDescent="0.2">
      <c r="A172" s="142" t="s">
        <v>1218</v>
      </c>
      <c r="B172" s="143" t="s">
        <v>1220</v>
      </c>
      <c r="C172" s="143" t="s">
        <v>2630</v>
      </c>
      <c r="D172" s="143" t="s">
        <v>2631</v>
      </c>
      <c r="E172" s="143" t="s">
        <v>309</v>
      </c>
      <c r="F172" s="143" t="s">
        <v>2856</v>
      </c>
      <c r="G172" s="143" t="s">
        <v>2857</v>
      </c>
      <c r="H172" s="143" t="s">
        <v>321</v>
      </c>
      <c r="I172" s="143" t="s">
        <v>966</v>
      </c>
      <c r="J172" s="143" t="s">
        <v>204</v>
      </c>
      <c r="K172" s="143" t="s">
        <v>204</v>
      </c>
      <c r="L172" s="143" t="s">
        <v>340</v>
      </c>
      <c r="M172" s="143" t="s">
        <v>634</v>
      </c>
      <c r="N172" s="143" t="s">
        <v>339</v>
      </c>
      <c r="O172" s="143" t="s">
        <v>1210</v>
      </c>
      <c r="P172" s="144">
        <v>11330</v>
      </c>
      <c r="Q172" s="145" t="s">
        <v>3853</v>
      </c>
      <c r="R172" s="143" t="s">
        <v>2858</v>
      </c>
      <c r="S172" s="144" t="s">
        <v>3855</v>
      </c>
      <c r="T172" s="144">
        <v>43.354199999999999</v>
      </c>
      <c r="U172" s="146">
        <v>8.4910955275151556E-5</v>
      </c>
      <c r="V172" s="146">
        <v>2.1040650575200066E-2</v>
      </c>
      <c r="W172" s="147">
        <v>5.5797022646774724E-3</v>
      </c>
      <c r="X172" s="181"/>
    </row>
    <row r="173" spans="1:24" x14ac:dyDescent="0.2">
      <c r="A173" s="142" t="s">
        <v>1218</v>
      </c>
      <c r="B173" s="143" t="s">
        <v>1220</v>
      </c>
      <c r="C173" s="143" t="s">
        <v>2825</v>
      </c>
      <c r="D173" s="143" t="s">
        <v>2826</v>
      </c>
      <c r="E173" s="143" t="s">
        <v>313</v>
      </c>
      <c r="F173" s="143" t="s">
        <v>2825</v>
      </c>
      <c r="G173" s="143" t="s">
        <v>2827</v>
      </c>
      <c r="H173" s="143" t="s">
        <v>321</v>
      </c>
      <c r="I173" s="143" t="s">
        <v>967</v>
      </c>
      <c r="J173" s="143" t="s">
        <v>205</v>
      </c>
      <c r="K173" s="143" t="s">
        <v>224</v>
      </c>
      <c r="L173" s="143" t="s">
        <v>380</v>
      </c>
      <c r="M173" s="143" t="s">
        <v>592</v>
      </c>
      <c r="N173" s="143" t="s">
        <v>339</v>
      </c>
      <c r="O173" s="143" t="s">
        <v>1211</v>
      </c>
      <c r="P173" s="144">
        <v>9041</v>
      </c>
      <c r="Q173" s="143" t="s">
        <v>1212</v>
      </c>
      <c r="R173" s="143" t="s">
        <v>2828</v>
      </c>
      <c r="S173" s="144" t="s">
        <v>3855</v>
      </c>
      <c r="T173" s="144">
        <v>194.8707</v>
      </c>
      <c r="U173" s="146">
        <v>2.9769509384260784E-5</v>
      </c>
      <c r="V173" s="146">
        <v>9.4574492628956827E-2</v>
      </c>
      <c r="W173" s="147">
        <v>2.5079904673883675E-2</v>
      </c>
      <c r="X173" s="181"/>
    </row>
    <row r="174" spans="1:24" ht="15" x14ac:dyDescent="0.2">
      <c r="A174" s="142" t="s">
        <v>1218</v>
      </c>
      <c r="B174" s="143" t="s">
        <v>1218</v>
      </c>
      <c r="C174" s="143" t="s">
        <v>2625</v>
      </c>
      <c r="D174" s="143" t="s">
        <v>2626</v>
      </c>
      <c r="E174" s="143" t="s">
        <v>309</v>
      </c>
      <c r="F174" s="143" t="s">
        <v>2862</v>
      </c>
      <c r="G174" s="143" t="s">
        <v>2863</v>
      </c>
      <c r="H174" s="143" t="s">
        <v>321</v>
      </c>
      <c r="I174" s="143" t="s">
        <v>965</v>
      </c>
      <c r="J174" s="143" t="s">
        <v>204</v>
      </c>
      <c r="K174" s="143" t="s">
        <v>244</v>
      </c>
      <c r="L174" s="143" t="s">
        <v>340</v>
      </c>
      <c r="M174" s="143" t="s">
        <v>580</v>
      </c>
      <c r="N174" s="143" t="s">
        <v>339</v>
      </c>
      <c r="O174" s="143" t="s">
        <v>1210</v>
      </c>
      <c r="P174" s="144">
        <v>179000</v>
      </c>
      <c r="Q174" s="145" t="s">
        <v>3853</v>
      </c>
      <c r="R174" s="143" t="s">
        <v>2864</v>
      </c>
      <c r="S174" s="144" t="s">
        <v>3855</v>
      </c>
      <c r="T174" s="144">
        <v>19672.099999999999</v>
      </c>
      <c r="U174" s="146">
        <v>1.6300694819393311E-2</v>
      </c>
      <c r="V174" s="146">
        <v>1.2245529980321695E-2</v>
      </c>
      <c r="W174" s="147">
        <v>2.6208371890423859E-3</v>
      </c>
      <c r="X174" s="181"/>
    </row>
    <row r="175" spans="1:24" ht="15" x14ac:dyDescent="0.2">
      <c r="A175" s="142" t="s">
        <v>1218</v>
      </c>
      <c r="B175" s="143" t="s">
        <v>1218</v>
      </c>
      <c r="C175" s="143" t="s">
        <v>2625</v>
      </c>
      <c r="D175" s="143" t="s">
        <v>2626</v>
      </c>
      <c r="E175" s="143" t="s">
        <v>309</v>
      </c>
      <c r="F175" s="143" t="s">
        <v>2865</v>
      </c>
      <c r="G175" s="143" t="s">
        <v>2866</v>
      </c>
      <c r="H175" s="143" t="s">
        <v>321</v>
      </c>
      <c r="I175" s="143" t="s">
        <v>965</v>
      </c>
      <c r="J175" s="143" t="s">
        <v>204</v>
      </c>
      <c r="K175" s="143" t="s">
        <v>224</v>
      </c>
      <c r="L175" s="143" t="s">
        <v>340</v>
      </c>
      <c r="M175" s="143" t="s">
        <v>708</v>
      </c>
      <c r="N175" s="143" t="s">
        <v>339</v>
      </c>
      <c r="O175" s="143" t="s">
        <v>1210</v>
      </c>
      <c r="P175" s="144">
        <v>50230</v>
      </c>
      <c r="Q175" s="145" t="s">
        <v>3853</v>
      </c>
      <c r="R175" s="143" t="s">
        <v>2867</v>
      </c>
      <c r="S175" s="144" t="s">
        <v>3855</v>
      </c>
      <c r="T175" s="144">
        <v>10357.425999999999</v>
      </c>
      <c r="U175" s="146">
        <v>1.5830943301081028E-2</v>
      </c>
      <c r="V175" s="146">
        <v>6.4473122138441457E-3</v>
      </c>
      <c r="W175" s="147">
        <v>1.3798794863565415E-3</v>
      </c>
      <c r="X175" s="181"/>
    </row>
    <row r="176" spans="1:24" ht="15" x14ac:dyDescent="0.2">
      <c r="A176" s="142" t="s">
        <v>1218</v>
      </c>
      <c r="B176" s="143" t="s">
        <v>1218</v>
      </c>
      <c r="C176" s="143" t="s">
        <v>2625</v>
      </c>
      <c r="D176" s="143" t="s">
        <v>2626</v>
      </c>
      <c r="E176" s="143" t="s">
        <v>309</v>
      </c>
      <c r="F176" s="143" t="s">
        <v>2868</v>
      </c>
      <c r="G176" s="143" t="s">
        <v>2869</v>
      </c>
      <c r="H176" s="143" t="s">
        <v>321</v>
      </c>
      <c r="I176" s="143" t="s">
        <v>965</v>
      </c>
      <c r="J176" s="143" t="s">
        <v>204</v>
      </c>
      <c r="K176" s="143" t="s">
        <v>224</v>
      </c>
      <c r="L176" s="143" t="s">
        <v>340</v>
      </c>
      <c r="M176" s="143" t="s">
        <v>698</v>
      </c>
      <c r="N176" s="143" t="s">
        <v>339</v>
      </c>
      <c r="O176" s="143" t="s">
        <v>1210</v>
      </c>
      <c r="P176" s="144">
        <v>35636</v>
      </c>
      <c r="Q176" s="145" t="s">
        <v>3853</v>
      </c>
      <c r="R176" s="143" t="s">
        <v>2870</v>
      </c>
      <c r="S176" s="144" t="s">
        <v>3855</v>
      </c>
      <c r="T176" s="144">
        <v>5195.7287999999999</v>
      </c>
      <c r="U176" s="146">
        <v>3.5526932317784402E-3</v>
      </c>
      <c r="V176" s="146">
        <v>3.2342481377189455E-3</v>
      </c>
      <c r="W176" s="147">
        <v>6.9220669187420605E-4</v>
      </c>
      <c r="X176" s="181"/>
    </row>
    <row r="177" spans="1:24" x14ac:dyDescent="0.2">
      <c r="A177" s="142" t="s">
        <v>1218</v>
      </c>
      <c r="B177" s="143" t="s">
        <v>1218</v>
      </c>
      <c r="C177" s="143" t="s">
        <v>2661</v>
      </c>
      <c r="D177" s="143" t="s">
        <v>2662</v>
      </c>
      <c r="E177" s="143" t="s">
        <v>313</v>
      </c>
      <c r="F177" s="143" t="s">
        <v>2663</v>
      </c>
      <c r="G177" s="143" t="s">
        <v>2664</v>
      </c>
      <c r="H177" s="143" t="s">
        <v>321</v>
      </c>
      <c r="I177" s="143" t="s">
        <v>965</v>
      </c>
      <c r="J177" s="143" t="s">
        <v>205</v>
      </c>
      <c r="K177" s="143" t="s">
        <v>224</v>
      </c>
      <c r="L177" s="143" t="s">
        <v>344</v>
      </c>
      <c r="M177" s="143" t="s">
        <v>597</v>
      </c>
      <c r="N177" s="143" t="s">
        <v>339</v>
      </c>
      <c r="O177" s="143" t="s">
        <v>1211</v>
      </c>
      <c r="P177" s="144">
        <v>86805</v>
      </c>
      <c r="Q177" s="143" t="s">
        <v>1212</v>
      </c>
      <c r="R177" s="143" t="s">
        <v>2665</v>
      </c>
      <c r="S177" s="144">
        <v>66.102009999999993</v>
      </c>
      <c r="T177" s="144">
        <v>156582.0681</v>
      </c>
      <c r="U177" s="146">
        <v>1.6064587767187932E-4</v>
      </c>
      <c r="V177" s="146">
        <v>9.7510680758800872E-2</v>
      </c>
      <c r="W177" s="147">
        <v>2.0869624987418588E-2</v>
      </c>
      <c r="X177" s="181"/>
    </row>
    <row r="178" spans="1:24" x14ac:dyDescent="0.2">
      <c r="A178" s="142" t="s">
        <v>1218</v>
      </c>
      <c r="B178" s="143" t="s">
        <v>1218</v>
      </c>
      <c r="C178" s="143" t="s">
        <v>2656</v>
      </c>
      <c r="D178" s="143" t="s">
        <v>2657</v>
      </c>
      <c r="E178" s="143" t="s">
        <v>313</v>
      </c>
      <c r="F178" s="143" t="s">
        <v>2658</v>
      </c>
      <c r="G178" s="143" t="s">
        <v>2659</v>
      </c>
      <c r="H178" s="143" t="s">
        <v>321</v>
      </c>
      <c r="I178" s="143" t="s">
        <v>965</v>
      </c>
      <c r="J178" s="143" t="s">
        <v>205</v>
      </c>
      <c r="K178" s="143" t="s">
        <v>224</v>
      </c>
      <c r="L178" s="143" t="s">
        <v>344</v>
      </c>
      <c r="M178" s="143" t="s">
        <v>604</v>
      </c>
      <c r="N178" s="143" t="s">
        <v>339</v>
      </c>
      <c r="O178" s="143" t="s">
        <v>1211</v>
      </c>
      <c r="P178" s="144">
        <v>47993</v>
      </c>
      <c r="Q178" s="143" t="s">
        <v>1212</v>
      </c>
      <c r="R178" s="143" t="s">
        <v>2660</v>
      </c>
      <c r="S178" s="144">
        <v>84.420649999999995</v>
      </c>
      <c r="T178" s="144">
        <v>98497.720199999996</v>
      </c>
      <c r="U178" s="146">
        <v>5.0897625703656257E-5</v>
      </c>
      <c r="V178" s="146">
        <v>6.1365617363345171E-2</v>
      </c>
      <c r="W178" s="147">
        <v>1.3133714291896668E-2</v>
      </c>
      <c r="X178" s="181"/>
    </row>
    <row r="179" spans="1:24" x14ac:dyDescent="0.2">
      <c r="A179" s="142" t="s">
        <v>1218</v>
      </c>
      <c r="B179" s="143" t="s">
        <v>1218</v>
      </c>
      <c r="C179" s="143" t="s">
        <v>2666</v>
      </c>
      <c r="D179" s="143" t="s">
        <v>2667</v>
      </c>
      <c r="E179" s="143" t="s">
        <v>313</v>
      </c>
      <c r="F179" s="143" t="s">
        <v>2666</v>
      </c>
      <c r="G179" s="143" t="s">
        <v>2668</v>
      </c>
      <c r="H179" s="143" t="s">
        <v>321</v>
      </c>
      <c r="I179" s="143" t="s">
        <v>965</v>
      </c>
      <c r="J179" s="143" t="s">
        <v>205</v>
      </c>
      <c r="K179" s="143" t="s">
        <v>224</v>
      </c>
      <c r="L179" s="143" t="s">
        <v>344</v>
      </c>
      <c r="M179" s="143" t="s">
        <v>586</v>
      </c>
      <c r="N179" s="143" t="s">
        <v>339</v>
      </c>
      <c r="O179" s="143" t="s">
        <v>1211</v>
      </c>
      <c r="P179" s="144">
        <v>498997</v>
      </c>
      <c r="Q179" s="143" t="s">
        <v>1212</v>
      </c>
      <c r="R179" s="143" t="s">
        <v>2669</v>
      </c>
      <c r="S179" s="144" t="s">
        <v>3855</v>
      </c>
      <c r="T179" s="144">
        <v>77111.248900000006</v>
      </c>
      <c r="U179" s="146">
        <v>5.3838236166780856E-4</v>
      </c>
      <c r="V179" s="146">
        <v>4.8000371611492156E-2</v>
      </c>
      <c r="W179" s="147">
        <v>1.0273231065491882E-2</v>
      </c>
      <c r="X179" s="181"/>
    </row>
    <row r="180" spans="1:24" x14ac:dyDescent="0.2">
      <c r="A180" s="142" t="s">
        <v>1218</v>
      </c>
      <c r="B180" s="143" t="s">
        <v>1218</v>
      </c>
      <c r="C180" s="143" t="s">
        <v>2674</v>
      </c>
      <c r="D180" s="143" t="s">
        <v>2675</v>
      </c>
      <c r="E180" s="143" t="s">
        <v>313</v>
      </c>
      <c r="F180" s="143" t="s">
        <v>2676</v>
      </c>
      <c r="G180" s="143" t="s">
        <v>2677</v>
      </c>
      <c r="H180" s="143" t="s">
        <v>321</v>
      </c>
      <c r="I180" s="143" t="s">
        <v>965</v>
      </c>
      <c r="J180" s="143" t="s">
        <v>205</v>
      </c>
      <c r="K180" s="143" t="s">
        <v>224</v>
      </c>
      <c r="L180" s="143" t="s">
        <v>344</v>
      </c>
      <c r="M180" s="143" t="s">
        <v>583</v>
      </c>
      <c r="N180" s="143" t="s">
        <v>339</v>
      </c>
      <c r="O180" s="143" t="s">
        <v>1211</v>
      </c>
      <c r="P180" s="144">
        <v>147677</v>
      </c>
      <c r="Q180" s="143" t="s">
        <v>1212</v>
      </c>
      <c r="R180" s="143" t="s">
        <v>2678</v>
      </c>
      <c r="S180" s="144" t="s">
        <v>3855</v>
      </c>
      <c r="T180" s="144">
        <v>67652.211500000005</v>
      </c>
      <c r="U180" s="146">
        <v>1.0730312586284569E-3</v>
      </c>
      <c r="V180" s="146">
        <v>4.2112290222280219E-2</v>
      </c>
      <c r="W180" s="147">
        <v>9.0130403916906313E-3</v>
      </c>
      <c r="X180" s="181"/>
    </row>
    <row r="181" spans="1:24" x14ac:dyDescent="0.2">
      <c r="A181" s="142" t="s">
        <v>1218</v>
      </c>
      <c r="B181" s="143" t="s">
        <v>1218</v>
      </c>
      <c r="C181" s="143" t="s">
        <v>2679</v>
      </c>
      <c r="D181" s="143" t="s">
        <v>2680</v>
      </c>
      <c r="E181" s="143" t="s">
        <v>313</v>
      </c>
      <c r="F181" s="143" t="s">
        <v>2679</v>
      </c>
      <c r="G181" s="143" t="s">
        <v>2681</v>
      </c>
      <c r="H181" s="143" t="s">
        <v>321</v>
      </c>
      <c r="I181" s="143" t="s">
        <v>965</v>
      </c>
      <c r="J181" s="143" t="s">
        <v>205</v>
      </c>
      <c r="K181" s="143" t="s">
        <v>224</v>
      </c>
      <c r="L181" s="143" t="s">
        <v>344</v>
      </c>
      <c r="M181" s="143" t="s">
        <v>604</v>
      </c>
      <c r="N181" s="143" t="s">
        <v>339</v>
      </c>
      <c r="O181" s="143" t="s">
        <v>1211</v>
      </c>
      <c r="P181" s="144">
        <v>35607</v>
      </c>
      <c r="Q181" s="143" t="s">
        <v>1212</v>
      </c>
      <c r="R181" s="143" t="s">
        <v>2682</v>
      </c>
      <c r="S181" s="144">
        <v>63.50508</v>
      </c>
      <c r="T181" s="144">
        <v>67179.472200000004</v>
      </c>
      <c r="U181" s="146">
        <v>4.7700254797889812E-5</v>
      </c>
      <c r="V181" s="146">
        <v>4.1857549212412214E-2</v>
      </c>
      <c r="W181" s="147">
        <v>8.9585197042798669E-3</v>
      </c>
      <c r="X181" s="181"/>
    </row>
    <row r="182" spans="1:24" x14ac:dyDescent="0.2">
      <c r="A182" s="142" t="s">
        <v>1218</v>
      </c>
      <c r="B182" s="143" t="s">
        <v>1218</v>
      </c>
      <c r="C182" s="143" t="s">
        <v>2670</v>
      </c>
      <c r="D182" s="143" t="s">
        <v>2671</v>
      </c>
      <c r="E182" s="143" t="s">
        <v>313</v>
      </c>
      <c r="F182" s="143" t="s">
        <v>2670</v>
      </c>
      <c r="G182" s="143" t="s">
        <v>2672</v>
      </c>
      <c r="H182" s="143" t="s">
        <v>321</v>
      </c>
      <c r="I182" s="143" t="s">
        <v>965</v>
      </c>
      <c r="J182" s="143" t="s">
        <v>205</v>
      </c>
      <c r="K182" s="143" t="s">
        <v>268</v>
      </c>
      <c r="L182" s="143" t="s">
        <v>344</v>
      </c>
      <c r="M182" s="143" t="s">
        <v>707</v>
      </c>
      <c r="N182" s="143" t="s">
        <v>339</v>
      </c>
      <c r="O182" s="143" t="s">
        <v>1211</v>
      </c>
      <c r="P182" s="144">
        <v>221119</v>
      </c>
      <c r="Q182" s="143" t="s">
        <v>1212</v>
      </c>
      <c r="R182" s="143" t="s">
        <v>2673</v>
      </c>
      <c r="S182" s="144" t="s">
        <v>3855</v>
      </c>
      <c r="T182" s="144">
        <v>59828.791400000002</v>
      </c>
      <c r="U182" s="146">
        <v>3.9769604316546763E-3</v>
      </c>
      <c r="V182" s="146">
        <v>3.7242351279148253E-2</v>
      </c>
      <c r="W182" s="147">
        <v>7.9707566268363214E-3</v>
      </c>
      <c r="X182" s="181"/>
    </row>
    <row r="183" spans="1:24" x14ac:dyDescent="0.2">
      <c r="A183" s="142" t="s">
        <v>1218</v>
      </c>
      <c r="B183" s="143" t="s">
        <v>1218</v>
      </c>
      <c r="C183" s="143" t="s">
        <v>2701</v>
      </c>
      <c r="D183" s="143" t="s">
        <v>2702</v>
      </c>
      <c r="E183" s="143" t="s">
        <v>313</v>
      </c>
      <c r="F183" s="143" t="s">
        <v>2703</v>
      </c>
      <c r="G183" s="143" t="s">
        <v>2704</v>
      </c>
      <c r="H183" s="143" t="s">
        <v>321</v>
      </c>
      <c r="I183" s="143" t="s">
        <v>965</v>
      </c>
      <c r="J183" s="143" t="s">
        <v>205</v>
      </c>
      <c r="K183" s="143" t="s">
        <v>224</v>
      </c>
      <c r="L183" s="143" t="s">
        <v>344</v>
      </c>
      <c r="M183" s="143" t="s">
        <v>597</v>
      </c>
      <c r="N183" s="143" t="s">
        <v>339</v>
      </c>
      <c r="O183" s="143" t="s">
        <v>1211</v>
      </c>
      <c r="P183" s="144">
        <v>70964</v>
      </c>
      <c r="Q183" s="143" t="s">
        <v>1212</v>
      </c>
      <c r="R183" s="143" t="s">
        <v>2705</v>
      </c>
      <c r="S183" s="144" t="s">
        <v>3855</v>
      </c>
      <c r="T183" s="144">
        <v>52673.180899999999</v>
      </c>
      <c r="U183" s="146">
        <v>5.3557735849056607E-3</v>
      </c>
      <c r="V183" s="146">
        <v>3.278811186483821E-2</v>
      </c>
      <c r="W183" s="147">
        <v>7.0174425338830771E-3</v>
      </c>
      <c r="X183" s="181"/>
    </row>
    <row r="184" spans="1:24" x14ac:dyDescent="0.2">
      <c r="A184" s="142" t="s">
        <v>1218</v>
      </c>
      <c r="B184" s="143" t="s">
        <v>1218</v>
      </c>
      <c r="C184" s="143" t="s">
        <v>2697</v>
      </c>
      <c r="D184" s="143" t="s">
        <v>2698</v>
      </c>
      <c r="E184" s="143" t="s">
        <v>313</v>
      </c>
      <c r="F184" s="143" t="s">
        <v>2697</v>
      </c>
      <c r="G184" s="143" t="s">
        <v>2699</v>
      </c>
      <c r="H184" s="143" t="s">
        <v>321</v>
      </c>
      <c r="I184" s="143" t="s">
        <v>965</v>
      </c>
      <c r="J184" s="143" t="s">
        <v>205</v>
      </c>
      <c r="K184" s="143" t="s">
        <v>224</v>
      </c>
      <c r="L184" s="143" t="s">
        <v>344</v>
      </c>
      <c r="M184" s="143" t="s">
        <v>589</v>
      </c>
      <c r="N184" s="143" t="s">
        <v>339</v>
      </c>
      <c r="O184" s="143" t="s">
        <v>1211</v>
      </c>
      <c r="P184" s="144">
        <v>92258</v>
      </c>
      <c r="Q184" s="143" t="s">
        <v>1212</v>
      </c>
      <c r="R184" s="143" t="s">
        <v>2700</v>
      </c>
      <c r="S184" s="144" t="s">
        <v>3855</v>
      </c>
      <c r="T184" s="144">
        <v>50545.782599999999</v>
      </c>
      <c r="U184" s="146">
        <v>2.9788030931662981E-4</v>
      </c>
      <c r="V184" s="146">
        <v>3.1463844514537959E-2</v>
      </c>
      <c r="W184" s="147">
        <v>6.7340175514218163E-3</v>
      </c>
      <c r="X184" s="181"/>
    </row>
    <row r="185" spans="1:24" x14ac:dyDescent="0.2">
      <c r="A185" s="142" t="s">
        <v>1218</v>
      </c>
      <c r="B185" s="143" t="s">
        <v>1218</v>
      </c>
      <c r="C185" s="143" t="s">
        <v>2719</v>
      </c>
      <c r="D185" s="143" t="s">
        <v>2720</v>
      </c>
      <c r="E185" s="143" t="s">
        <v>313</v>
      </c>
      <c r="F185" s="143" t="s">
        <v>2719</v>
      </c>
      <c r="G185" s="143" t="s">
        <v>2721</v>
      </c>
      <c r="H185" s="143" t="s">
        <v>321</v>
      </c>
      <c r="I185" s="143" t="s">
        <v>965</v>
      </c>
      <c r="J185" s="143" t="s">
        <v>205</v>
      </c>
      <c r="K185" s="143" t="s">
        <v>253</v>
      </c>
      <c r="L185" s="143" t="s">
        <v>314</v>
      </c>
      <c r="M185" s="143" t="s">
        <v>610</v>
      </c>
      <c r="N185" s="143" t="s">
        <v>339</v>
      </c>
      <c r="O185" s="143" t="s">
        <v>1214</v>
      </c>
      <c r="P185" s="144">
        <v>49260</v>
      </c>
      <c r="Q185" s="143" t="s">
        <v>1215</v>
      </c>
      <c r="R185" s="143" t="s">
        <v>2722</v>
      </c>
      <c r="S185" s="144" t="s">
        <v>3855</v>
      </c>
      <c r="T185" s="144">
        <v>46983.816100000004</v>
      </c>
      <c r="U185" s="146">
        <v>4.8815776434446533E-3</v>
      </c>
      <c r="V185" s="146">
        <v>2.9246584171658301E-2</v>
      </c>
      <c r="W185" s="147">
        <v>6.2594706454286789E-3</v>
      </c>
      <c r="X185" s="181"/>
    </row>
    <row r="186" spans="1:24" x14ac:dyDescent="0.2">
      <c r="A186" s="142" t="s">
        <v>1218</v>
      </c>
      <c r="B186" s="143" t="s">
        <v>1218</v>
      </c>
      <c r="C186" s="143" t="s">
        <v>2871</v>
      </c>
      <c r="D186" s="143" t="s">
        <v>2872</v>
      </c>
      <c r="E186" s="143" t="s">
        <v>313</v>
      </c>
      <c r="F186" s="143" t="s">
        <v>2873</v>
      </c>
      <c r="G186" s="143" t="s">
        <v>2874</v>
      </c>
      <c r="H186" s="143" t="s">
        <v>321</v>
      </c>
      <c r="I186" s="143" t="s">
        <v>965</v>
      </c>
      <c r="J186" s="143" t="s">
        <v>205</v>
      </c>
      <c r="K186" s="143" t="s">
        <v>224</v>
      </c>
      <c r="L186" s="143" t="s">
        <v>344</v>
      </c>
      <c r="M186" s="143" t="s">
        <v>611</v>
      </c>
      <c r="N186" s="143" t="s">
        <v>339</v>
      </c>
      <c r="O186" s="143" t="s">
        <v>1211</v>
      </c>
      <c r="P186" s="144">
        <v>36275</v>
      </c>
      <c r="Q186" s="143" t="s">
        <v>1212</v>
      </c>
      <c r="R186" s="143" t="s">
        <v>2875</v>
      </c>
      <c r="S186" s="144" t="s">
        <v>3855</v>
      </c>
      <c r="T186" s="144">
        <v>35548.458899999998</v>
      </c>
      <c r="U186" s="146">
        <v>1.1581686408479934E-3</v>
      </c>
      <c r="V186" s="146">
        <v>2.2128279101164852E-2</v>
      </c>
      <c r="W186" s="147">
        <v>4.7359825904667559E-3</v>
      </c>
      <c r="X186" s="181"/>
    </row>
    <row r="187" spans="1:24" x14ac:dyDescent="0.2">
      <c r="A187" s="142" t="s">
        <v>1218</v>
      </c>
      <c r="B187" s="143" t="s">
        <v>1218</v>
      </c>
      <c r="C187" s="143" t="s">
        <v>2727</v>
      </c>
      <c r="D187" s="143" t="s">
        <v>2728</v>
      </c>
      <c r="E187" s="143" t="s">
        <v>313</v>
      </c>
      <c r="F187" s="143" t="s">
        <v>2727</v>
      </c>
      <c r="G187" s="143" t="s">
        <v>2729</v>
      </c>
      <c r="H187" s="143" t="s">
        <v>321</v>
      </c>
      <c r="I187" s="143" t="s">
        <v>965</v>
      </c>
      <c r="J187" s="143" t="s">
        <v>205</v>
      </c>
      <c r="K187" s="143" t="s">
        <v>224</v>
      </c>
      <c r="L187" s="143" t="s">
        <v>344</v>
      </c>
      <c r="M187" s="143" t="s">
        <v>708</v>
      </c>
      <c r="N187" s="143" t="s">
        <v>339</v>
      </c>
      <c r="O187" s="143" t="s">
        <v>1211</v>
      </c>
      <c r="P187" s="144">
        <v>102841</v>
      </c>
      <c r="Q187" s="143" t="s">
        <v>1212</v>
      </c>
      <c r="R187" s="143" t="s">
        <v>2730</v>
      </c>
      <c r="S187" s="144" t="s">
        <v>3855</v>
      </c>
      <c r="T187" s="144">
        <v>33114.3845</v>
      </c>
      <c r="U187" s="146">
        <v>6.1840649428743233E-4</v>
      </c>
      <c r="V187" s="146">
        <v>2.0613111348186979E-2</v>
      </c>
      <c r="W187" s="147">
        <v>4.4117003420852223E-3</v>
      </c>
      <c r="X187" s="181"/>
    </row>
    <row r="188" spans="1:24" x14ac:dyDescent="0.2">
      <c r="A188" s="142" t="s">
        <v>1218</v>
      </c>
      <c r="B188" s="143" t="s">
        <v>1218</v>
      </c>
      <c r="C188" s="143" t="s">
        <v>2685</v>
      </c>
      <c r="D188" s="143" t="s">
        <v>2876</v>
      </c>
      <c r="E188" s="143" t="s">
        <v>313</v>
      </c>
      <c r="F188" s="143" t="s">
        <v>2685</v>
      </c>
      <c r="G188" s="143" t="s">
        <v>2877</v>
      </c>
      <c r="H188" s="143" t="s">
        <v>321</v>
      </c>
      <c r="I188" s="143" t="s">
        <v>965</v>
      </c>
      <c r="J188" s="143" t="s">
        <v>205</v>
      </c>
      <c r="K188" s="143" t="s">
        <v>224</v>
      </c>
      <c r="L188" s="143" t="s">
        <v>344</v>
      </c>
      <c r="M188" s="143" t="s">
        <v>604</v>
      </c>
      <c r="N188" s="143" t="s">
        <v>339</v>
      </c>
      <c r="O188" s="143" t="s">
        <v>1211</v>
      </c>
      <c r="P188" s="144">
        <v>192207</v>
      </c>
      <c r="Q188" s="143" t="s">
        <v>1212</v>
      </c>
      <c r="R188" s="143" t="s">
        <v>2878</v>
      </c>
      <c r="S188" s="144">
        <v>20.827549999999999</v>
      </c>
      <c r="T188" s="144">
        <v>32887.293399999995</v>
      </c>
      <c r="U188" s="146">
        <v>9.375951219512195E-2</v>
      </c>
      <c r="V188" s="146">
        <v>2.0484715973322524E-2</v>
      </c>
      <c r="W188" s="147">
        <v>4.3842206516278423E-3</v>
      </c>
      <c r="X188" s="181"/>
    </row>
    <row r="189" spans="1:24" x14ac:dyDescent="0.2">
      <c r="A189" s="142" t="s">
        <v>1218</v>
      </c>
      <c r="B189" s="143" t="s">
        <v>1218</v>
      </c>
      <c r="C189" s="143" t="s">
        <v>2754</v>
      </c>
      <c r="D189" s="143" t="s">
        <v>2755</v>
      </c>
      <c r="E189" s="143" t="s">
        <v>313</v>
      </c>
      <c r="F189" s="143" t="s">
        <v>2754</v>
      </c>
      <c r="G189" s="143" t="s">
        <v>2756</v>
      </c>
      <c r="H189" s="143" t="s">
        <v>321</v>
      </c>
      <c r="I189" s="143" t="s">
        <v>965</v>
      </c>
      <c r="J189" s="143" t="s">
        <v>205</v>
      </c>
      <c r="K189" s="143" t="s">
        <v>224</v>
      </c>
      <c r="L189" s="143" t="s">
        <v>344</v>
      </c>
      <c r="M189" s="143" t="s">
        <v>586</v>
      </c>
      <c r="N189" s="143" t="s">
        <v>339</v>
      </c>
      <c r="O189" s="143" t="s">
        <v>1211</v>
      </c>
      <c r="P189" s="144">
        <v>74660</v>
      </c>
      <c r="Q189" s="143" t="s">
        <v>1212</v>
      </c>
      <c r="R189" s="143" t="s">
        <v>2757</v>
      </c>
      <c r="S189" s="144" t="s">
        <v>3855</v>
      </c>
      <c r="T189" s="144">
        <v>32816.046699999999</v>
      </c>
      <c r="U189" s="146">
        <v>8.6813953488372089E-3</v>
      </c>
      <c r="V189" s="146">
        <v>2.0427401427883286E-2</v>
      </c>
      <c r="W189" s="147">
        <v>4.3719539639139084E-3</v>
      </c>
      <c r="X189" s="181"/>
    </row>
    <row r="190" spans="1:24" x14ac:dyDescent="0.2">
      <c r="A190" s="142" t="s">
        <v>1218</v>
      </c>
      <c r="B190" s="143" t="s">
        <v>1218</v>
      </c>
      <c r="C190" s="143" t="s">
        <v>2879</v>
      </c>
      <c r="D190" s="143" t="s">
        <v>2880</v>
      </c>
      <c r="E190" s="143" t="s">
        <v>313</v>
      </c>
      <c r="F190" s="143" t="s">
        <v>2881</v>
      </c>
      <c r="G190" s="143" t="s">
        <v>2882</v>
      </c>
      <c r="H190" s="143" t="s">
        <v>321</v>
      </c>
      <c r="I190" s="143" t="s">
        <v>965</v>
      </c>
      <c r="J190" s="143" t="s">
        <v>205</v>
      </c>
      <c r="K190" s="143" t="s">
        <v>233</v>
      </c>
      <c r="L190" s="143" t="s">
        <v>380</v>
      </c>
      <c r="M190" s="143" t="s">
        <v>587</v>
      </c>
      <c r="N190" s="143" t="s">
        <v>339</v>
      </c>
      <c r="O190" s="143" t="s">
        <v>1216</v>
      </c>
      <c r="P190" s="144">
        <v>811269</v>
      </c>
      <c r="Q190" s="143" t="s">
        <v>1217</v>
      </c>
      <c r="R190" s="143" t="s">
        <v>2883</v>
      </c>
      <c r="S190" s="144" t="s">
        <v>3855</v>
      </c>
      <c r="T190" s="144">
        <v>30596.377100000002</v>
      </c>
      <c r="U190" s="146">
        <v>5.8429453084318653E-4</v>
      </c>
      <c r="V190" s="146">
        <v>1.9045696877889692E-2</v>
      </c>
      <c r="W190" s="147">
        <v>4.0762360427858309E-3</v>
      </c>
      <c r="X190" s="181"/>
    </row>
    <row r="191" spans="1:24" x14ac:dyDescent="0.2">
      <c r="A191" s="142" t="s">
        <v>1218</v>
      </c>
      <c r="B191" s="143" t="s">
        <v>1218</v>
      </c>
      <c r="C191" s="143" t="s">
        <v>2773</v>
      </c>
      <c r="D191" s="143" t="s">
        <v>2774</v>
      </c>
      <c r="E191" s="143" t="s">
        <v>313</v>
      </c>
      <c r="F191" s="143" t="s">
        <v>2775</v>
      </c>
      <c r="G191" s="143" t="s">
        <v>2776</v>
      </c>
      <c r="H191" s="143" t="s">
        <v>321</v>
      </c>
      <c r="I191" s="143" t="s">
        <v>965</v>
      </c>
      <c r="J191" s="143" t="s">
        <v>205</v>
      </c>
      <c r="K191" s="143" t="s">
        <v>224</v>
      </c>
      <c r="L191" s="143" t="s">
        <v>344</v>
      </c>
      <c r="M191" s="143" t="s">
        <v>612</v>
      </c>
      <c r="N191" s="143" t="s">
        <v>339</v>
      </c>
      <c r="O191" s="143" t="s">
        <v>1211</v>
      </c>
      <c r="P191" s="144">
        <v>92160</v>
      </c>
      <c r="Q191" s="143" t="s">
        <v>1212</v>
      </c>
      <c r="R191" s="143" t="s">
        <v>2777</v>
      </c>
      <c r="S191" s="144" t="s">
        <v>3855</v>
      </c>
      <c r="T191" s="144">
        <v>30104.7183</v>
      </c>
      <c r="U191" s="146">
        <v>5.3737609329446061E-3</v>
      </c>
      <c r="V191" s="146">
        <v>1.8739648076851391E-2</v>
      </c>
      <c r="W191" s="147">
        <v>4.0107342571781869E-3</v>
      </c>
      <c r="X191" s="181"/>
    </row>
    <row r="192" spans="1:24" x14ac:dyDescent="0.2">
      <c r="A192" s="142" t="s">
        <v>1218</v>
      </c>
      <c r="B192" s="143" t="s">
        <v>1218</v>
      </c>
      <c r="C192" s="143" t="s">
        <v>2706</v>
      </c>
      <c r="D192" s="143" t="s">
        <v>2707</v>
      </c>
      <c r="E192" s="143" t="s">
        <v>313</v>
      </c>
      <c r="F192" s="143" t="s">
        <v>2708</v>
      </c>
      <c r="G192" s="143" t="s">
        <v>2709</v>
      </c>
      <c r="H192" s="143" t="s">
        <v>321</v>
      </c>
      <c r="I192" s="143" t="s">
        <v>965</v>
      </c>
      <c r="J192" s="143" t="s">
        <v>205</v>
      </c>
      <c r="K192" s="143" t="s">
        <v>224</v>
      </c>
      <c r="L192" s="143" t="s">
        <v>344</v>
      </c>
      <c r="M192" s="143" t="s">
        <v>580</v>
      </c>
      <c r="N192" s="143" t="s">
        <v>339</v>
      </c>
      <c r="O192" s="143" t="s">
        <v>1211</v>
      </c>
      <c r="P192" s="144">
        <v>164459</v>
      </c>
      <c r="Q192" s="143" t="s">
        <v>1212</v>
      </c>
      <c r="R192" s="143" t="s">
        <v>2710</v>
      </c>
      <c r="S192" s="144" t="s">
        <v>3855</v>
      </c>
      <c r="T192" s="144">
        <v>29846.762699999999</v>
      </c>
      <c r="U192" s="146">
        <v>7.2131140350877197E-3</v>
      </c>
      <c r="V192" s="146">
        <v>1.8579075296909862E-2</v>
      </c>
      <c r="W192" s="147">
        <v>3.9763678300905108E-3</v>
      </c>
      <c r="X192" s="181"/>
    </row>
    <row r="193" spans="1:24" x14ac:dyDescent="0.2">
      <c r="A193" s="142" t="s">
        <v>1218</v>
      </c>
      <c r="B193" s="143" t="s">
        <v>1218</v>
      </c>
      <c r="C193" s="143" t="s">
        <v>2888</v>
      </c>
      <c r="D193" s="143" t="s">
        <v>2889</v>
      </c>
      <c r="E193" s="143" t="s">
        <v>313</v>
      </c>
      <c r="F193" s="143" t="s">
        <v>2888</v>
      </c>
      <c r="G193" s="143" t="s">
        <v>2890</v>
      </c>
      <c r="H193" s="143" t="s">
        <v>321</v>
      </c>
      <c r="I193" s="143" t="s">
        <v>965</v>
      </c>
      <c r="J193" s="143" t="s">
        <v>205</v>
      </c>
      <c r="K193" s="143" t="s">
        <v>293</v>
      </c>
      <c r="L193" s="143" t="s">
        <v>364</v>
      </c>
      <c r="M193" s="143" t="s">
        <v>584</v>
      </c>
      <c r="N193" s="143" t="s">
        <v>339</v>
      </c>
      <c r="O193" s="143" t="s">
        <v>1214</v>
      </c>
      <c r="P193" s="144">
        <v>477799</v>
      </c>
      <c r="Q193" s="143" t="s">
        <v>1215</v>
      </c>
      <c r="R193" s="143" t="s">
        <v>2891</v>
      </c>
      <c r="S193" s="144" t="s">
        <v>3855</v>
      </c>
      <c r="T193" s="144">
        <v>29323.658500000001</v>
      </c>
      <c r="U193" s="146">
        <v>1.6576429364418541E-2</v>
      </c>
      <c r="V193" s="146">
        <v>1.825345234194433E-2</v>
      </c>
      <c r="W193" s="147">
        <v>3.9066767059537074E-3</v>
      </c>
      <c r="X193" s="181"/>
    </row>
    <row r="194" spans="1:24" x14ac:dyDescent="0.2">
      <c r="A194" s="142" t="s">
        <v>1218</v>
      </c>
      <c r="B194" s="143" t="s">
        <v>1218</v>
      </c>
      <c r="C194" s="143" t="s">
        <v>2884</v>
      </c>
      <c r="D194" s="143" t="s">
        <v>2885</v>
      </c>
      <c r="E194" s="143" t="s">
        <v>313</v>
      </c>
      <c r="F194" s="143" t="s">
        <v>2884</v>
      </c>
      <c r="G194" s="143" t="s">
        <v>2886</v>
      </c>
      <c r="H194" s="143" t="s">
        <v>321</v>
      </c>
      <c r="I194" s="143" t="s">
        <v>965</v>
      </c>
      <c r="J194" s="143" t="s">
        <v>205</v>
      </c>
      <c r="K194" s="143" t="s">
        <v>224</v>
      </c>
      <c r="L194" s="143" t="s">
        <v>344</v>
      </c>
      <c r="M194" s="143" t="s">
        <v>703</v>
      </c>
      <c r="N194" s="143" t="s">
        <v>339</v>
      </c>
      <c r="O194" s="143" t="s">
        <v>1211</v>
      </c>
      <c r="P194" s="144">
        <v>209542</v>
      </c>
      <c r="Q194" s="143" t="s">
        <v>1212</v>
      </c>
      <c r="R194" s="143" t="s">
        <v>2887</v>
      </c>
      <c r="S194" s="144">
        <v>16.783480000000001</v>
      </c>
      <c r="T194" s="144">
        <v>29222.5677</v>
      </c>
      <c r="U194" s="146">
        <v>1.5626966962487881E-3</v>
      </c>
      <c r="V194" s="146">
        <v>1.8200971745645299E-2</v>
      </c>
      <c r="W194" s="147">
        <v>3.8954445993233987E-3</v>
      </c>
      <c r="X194" s="181"/>
    </row>
    <row r="195" spans="1:24" x14ac:dyDescent="0.2">
      <c r="A195" s="142" t="s">
        <v>1218</v>
      </c>
      <c r="B195" s="143" t="s">
        <v>1218</v>
      </c>
      <c r="C195" s="143" t="s">
        <v>2896</v>
      </c>
      <c r="D195" s="143" t="s">
        <v>2897</v>
      </c>
      <c r="E195" s="143" t="s">
        <v>313</v>
      </c>
      <c r="F195" s="143" t="s">
        <v>2898</v>
      </c>
      <c r="G195" s="143" t="s">
        <v>2899</v>
      </c>
      <c r="H195" s="143" t="s">
        <v>321</v>
      </c>
      <c r="I195" s="143" t="s">
        <v>965</v>
      </c>
      <c r="J195" s="143" t="s">
        <v>205</v>
      </c>
      <c r="K195" s="143" t="s">
        <v>224</v>
      </c>
      <c r="L195" s="143" t="s">
        <v>380</v>
      </c>
      <c r="M195" s="143" t="s">
        <v>604</v>
      </c>
      <c r="N195" s="143" t="s">
        <v>339</v>
      </c>
      <c r="O195" s="143" t="s">
        <v>1211</v>
      </c>
      <c r="P195" s="144">
        <v>17828</v>
      </c>
      <c r="Q195" s="143" t="s">
        <v>1212</v>
      </c>
      <c r="R195" s="143" t="s">
        <v>2900</v>
      </c>
      <c r="S195" s="144" t="s">
        <v>3855</v>
      </c>
      <c r="T195" s="144">
        <v>26155.460800000001</v>
      </c>
      <c r="U195" s="146">
        <v>2.3907737696124446E-3</v>
      </c>
      <c r="V195" s="146">
        <v>1.628130595609685E-2</v>
      </c>
      <c r="W195" s="147">
        <v>3.4845900671091204E-3</v>
      </c>
      <c r="X195" s="181"/>
    </row>
    <row r="196" spans="1:24" x14ac:dyDescent="0.2">
      <c r="A196" s="142" t="s">
        <v>1218</v>
      </c>
      <c r="B196" s="143" t="s">
        <v>1218</v>
      </c>
      <c r="C196" s="143" t="s">
        <v>2740</v>
      </c>
      <c r="D196" s="143" t="s">
        <v>2741</v>
      </c>
      <c r="E196" s="143" t="s">
        <v>313</v>
      </c>
      <c r="F196" s="143" t="s">
        <v>2742</v>
      </c>
      <c r="G196" s="143" t="s">
        <v>2743</v>
      </c>
      <c r="H196" s="143" t="s">
        <v>321</v>
      </c>
      <c r="I196" s="143" t="s">
        <v>965</v>
      </c>
      <c r="J196" s="143" t="s">
        <v>205</v>
      </c>
      <c r="K196" s="143" t="s">
        <v>268</v>
      </c>
      <c r="L196" s="143" t="s">
        <v>344</v>
      </c>
      <c r="M196" s="143" t="s">
        <v>588</v>
      </c>
      <c r="N196" s="143" t="s">
        <v>339</v>
      </c>
      <c r="O196" s="143" t="s">
        <v>1211</v>
      </c>
      <c r="P196" s="144">
        <v>164038</v>
      </c>
      <c r="Q196" s="143" t="s">
        <v>1212</v>
      </c>
      <c r="R196" s="143" t="s">
        <v>2744</v>
      </c>
      <c r="S196" s="144" t="s">
        <v>3855</v>
      </c>
      <c r="T196" s="144">
        <v>26002.816600000002</v>
      </c>
      <c r="U196" s="146">
        <v>1.0188695652173913E-3</v>
      </c>
      <c r="V196" s="146">
        <v>1.6186287678779519E-2</v>
      </c>
      <c r="W196" s="147">
        <v>3.4642538762515427E-3</v>
      </c>
      <c r="X196" s="181"/>
    </row>
    <row r="197" spans="1:24" x14ac:dyDescent="0.2">
      <c r="A197" s="142" t="s">
        <v>1218</v>
      </c>
      <c r="B197" s="143" t="s">
        <v>1218</v>
      </c>
      <c r="C197" s="143" t="s">
        <v>2723</v>
      </c>
      <c r="D197" s="143" t="s">
        <v>2724</v>
      </c>
      <c r="E197" s="143" t="s">
        <v>313</v>
      </c>
      <c r="F197" s="143" t="s">
        <v>2723</v>
      </c>
      <c r="G197" s="143" t="s">
        <v>2725</v>
      </c>
      <c r="H197" s="143" t="s">
        <v>321</v>
      </c>
      <c r="I197" s="143" t="s">
        <v>965</v>
      </c>
      <c r="J197" s="143" t="s">
        <v>205</v>
      </c>
      <c r="K197" s="143" t="s">
        <v>268</v>
      </c>
      <c r="L197" s="143" t="s">
        <v>344</v>
      </c>
      <c r="M197" s="143" t="s">
        <v>588</v>
      </c>
      <c r="N197" s="143" t="s">
        <v>339</v>
      </c>
      <c r="O197" s="143" t="s">
        <v>1211</v>
      </c>
      <c r="P197" s="144">
        <v>244797</v>
      </c>
      <c r="Q197" s="143" t="s">
        <v>1212</v>
      </c>
      <c r="R197" s="143" t="s">
        <v>2726</v>
      </c>
      <c r="S197" s="144" t="s">
        <v>3855</v>
      </c>
      <c r="T197" s="144">
        <v>24863.585800000001</v>
      </c>
      <c r="U197" s="146">
        <v>1.1404472396925227E-3</v>
      </c>
      <c r="V197" s="146">
        <v>1.5477136901284917E-2</v>
      </c>
      <c r="W197" s="147">
        <v>3.312478597167432E-3</v>
      </c>
      <c r="X197" s="181"/>
    </row>
    <row r="198" spans="1:24" x14ac:dyDescent="0.2">
      <c r="A198" s="142" t="s">
        <v>1218</v>
      </c>
      <c r="B198" s="143" t="s">
        <v>1218</v>
      </c>
      <c r="C198" s="143" t="s">
        <v>2750</v>
      </c>
      <c r="D198" s="143" t="s">
        <v>2751</v>
      </c>
      <c r="E198" s="143" t="s">
        <v>313</v>
      </c>
      <c r="F198" s="143" t="s">
        <v>2750</v>
      </c>
      <c r="G198" s="143" t="s">
        <v>2752</v>
      </c>
      <c r="H198" s="143" t="s">
        <v>321</v>
      </c>
      <c r="I198" s="143" t="s">
        <v>965</v>
      </c>
      <c r="J198" s="143" t="s">
        <v>205</v>
      </c>
      <c r="K198" s="143" t="s">
        <v>224</v>
      </c>
      <c r="L198" s="143" t="s">
        <v>344</v>
      </c>
      <c r="M198" s="143" t="s">
        <v>708</v>
      </c>
      <c r="N198" s="143" t="s">
        <v>339</v>
      </c>
      <c r="O198" s="143" t="s">
        <v>1211</v>
      </c>
      <c r="P198" s="144">
        <v>35973</v>
      </c>
      <c r="Q198" s="143" t="s">
        <v>1212</v>
      </c>
      <c r="R198" s="143" t="s">
        <v>2753</v>
      </c>
      <c r="S198" s="144" t="s">
        <v>3855</v>
      </c>
      <c r="T198" s="144">
        <v>24664.585300000002</v>
      </c>
      <c r="U198" s="146">
        <v>3.6390397863494278E-4</v>
      </c>
      <c r="V198" s="146">
        <v>1.5353262664344705E-2</v>
      </c>
      <c r="W198" s="147">
        <v>3.285966538689043E-3</v>
      </c>
      <c r="X198" s="181"/>
    </row>
    <row r="199" spans="1:24" x14ac:dyDescent="0.2">
      <c r="A199" s="142" t="s">
        <v>1218</v>
      </c>
      <c r="B199" s="143" t="s">
        <v>1218</v>
      </c>
      <c r="C199" s="143" t="s">
        <v>2693</v>
      </c>
      <c r="D199" s="143" t="s">
        <v>2694</v>
      </c>
      <c r="E199" s="143" t="s">
        <v>313</v>
      </c>
      <c r="F199" s="143" t="s">
        <v>2693</v>
      </c>
      <c r="G199" s="143" t="s">
        <v>2695</v>
      </c>
      <c r="H199" s="143" t="s">
        <v>321</v>
      </c>
      <c r="I199" s="143" t="s">
        <v>965</v>
      </c>
      <c r="J199" s="143" t="s">
        <v>205</v>
      </c>
      <c r="K199" s="143" t="s">
        <v>224</v>
      </c>
      <c r="L199" s="143" t="s">
        <v>344</v>
      </c>
      <c r="M199" s="143" t="s">
        <v>611</v>
      </c>
      <c r="N199" s="143" t="s">
        <v>339</v>
      </c>
      <c r="O199" s="143" t="s">
        <v>1211</v>
      </c>
      <c r="P199" s="144">
        <v>28123</v>
      </c>
      <c r="Q199" s="143" t="s">
        <v>1212</v>
      </c>
      <c r="R199" s="143" t="s">
        <v>2696</v>
      </c>
      <c r="S199" s="144" t="s">
        <v>3855</v>
      </c>
      <c r="T199" s="144">
        <v>23915.758999999998</v>
      </c>
      <c r="U199" s="146">
        <v>9.2099058148521724E-5</v>
      </c>
      <c r="V199" s="146">
        <v>1.4887131706430272E-2</v>
      </c>
      <c r="W199" s="147">
        <v>3.1862033310998844E-3</v>
      </c>
      <c r="X199" s="181"/>
    </row>
    <row r="200" spans="1:24" x14ac:dyDescent="0.2">
      <c r="A200" s="142" t="s">
        <v>1218</v>
      </c>
      <c r="B200" s="143" t="s">
        <v>1218</v>
      </c>
      <c r="C200" s="143" t="s">
        <v>2758</v>
      </c>
      <c r="D200" s="143" t="s">
        <v>2759</v>
      </c>
      <c r="E200" s="143" t="s">
        <v>313</v>
      </c>
      <c r="F200" s="143" t="s">
        <v>2760</v>
      </c>
      <c r="G200" s="143" t="s">
        <v>2761</v>
      </c>
      <c r="H200" s="143" t="s">
        <v>321</v>
      </c>
      <c r="I200" s="143" t="s">
        <v>965</v>
      </c>
      <c r="J200" s="143" t="s">
        <v>205</v>
      </c>
      <c r="K200" s="143" t="s">
        <v>243</v>
      </c>
      <c r="L200" s="143" t="s">
        <v>344</v>
      </c>
      <c r="M200" s="143" t="s">
        <v>707</v>
      </c>
      <c r="N200" s="143" t="s">
        <v>339</v>
      </c>
      <c r="O200" s="143" t="s">
        <v>1211</v>
      </c>
      <c r="P200" s="144">
        <v>94712</v>
      </c>
      <c r="Q200" s="143" t="s">
        <v>1212</v>
      </c>
      <c r="R200" s="143" t="s">
        <v>2762</v>
      </c>
      <c r="S200" s="144" t="s">
        <v>3855</v>
      </c>
      <c r="T200" s="144">
        <v>23529.5209</v>
      </c>
      <c r="U200" s="146">
        <v>1.6659982409850485E-3</v>
      </c>
      <c r="V200" s="146">
        <v>1.4646705443301733E-2</v>
      </c>
      <c r="W200" s="147">
        <v>3.134746342905633E-3</v>
      </c>
      <c r="X200" s="181"/>
    </row>
    <row r="201" spans="1:24" x14ac:dyDescent="0.2">
      <c r="A201" s="142" t="s">
        <v>1218</v>
      </c>
      <c r="B201" s="143" t="s">
        <v>1218</v>
      </c>
      <c r="C201" s="143" t="s">
        <v>2763</v>
      </c>
      <c r="D201" s="143" t="s">
        <v>2764</v>
      </c>
      <c r="E201" s="143" t="s">
        <v>313</v>
      </c>
      <c r="F201" s="143" t="s">
        <v>2765</v>
      </c>
      <c r="G201" s="143" t="s">
        <v>2766</v>
      </c>
      <c r="H201" s="143" t="s">
        <v>321</v>
      </c>
      <c r="I201" s="143" t="s">
        <v>965</v>
      </c>
      <c r="J201" s="143" t="s">
        <v>205</v>
      </c>
      <c r="K201" s="143" t="s">
        <v>224</v>
      </c>
      <c r="L201" s="143" t="s">
        <v>344</v>
      </c>
      <c r="M201" s="143" t="s">
        <v>703</v>
      </c>
      <c r="N201" s="143" t="s">
        <v>339</v>
      </c>
      <c r="O201" s="143" t="s">
        <v>1211</v>
      </c>
      <c r="P201" s="144">
        <v>54353</v>
      </c>
      <c r="Q201" s="143" t="s">
        <v>1212</v>
      </c>
      <c r="R201" s="143" t="s">
        <v>2767</v>
      </c>
      <c r="S201" s="144">
        <v>7.5708299999999999</v>
      </c>
      <c r="T201" s="144">
        <v>21015.482600000003</v>
      </c>
      <c r="U201" s="146">
        <v>2.4243086529884034E-3</v>
      </c>
      <c r="V201" s="146">
        <v>1.3086474305981128E-2</v>
      </c>
      <c r="W201" s="147">
        <v>2.800819449193164E-3</v>
      </c>
      <c r="X201" s="181"/>
    </row>
    <row r="202" spans="1:24" x14ac:dyDescent="0.2">
      <c r="A202" s="142" t="s">
        <v>1218</v>
      </c>
      <c r="B202" s="143" t="s">
        <v>1218</v>
      </c>
      <c r="C202" s="143" t="s">
        <v>2768</v>
      </c>
      <c r="D202" s="143" t="s">
        <v>2769</v>
      </c>
      <c r="E202" s="143" t="s">
        <v>313</v>
      </c>
      <c r="F202" s="143" t="s">
        <v>2770</v>
      </c>
      <c r="G202" s="143" t="s">
        <v>2771</v>
      </c>
      <c r="H202" s="143" t="s">
        <v>321</v>
      </c>
      <c r="I202" s="143" t="s">
        <v>965</v>
      </c>
      <c r="J202" s="143" t="s">
        <v>205</v>
      </c>
      <c r="K202" s="143" t="s">
        <v>224</v>
      </c>
      <c r="L202" s="143" t="s">
        <v>344</v>
      </c>
      <c r="M202" s="143" t="s">
        <v>708</v>
      </c>
      <c r="N202" s="143" t="s">
        <v>339</v>
      </c>
      <c r="O202" s="143" t="s">
        <v>1211</v>
      </c>
      <c r="P202" s="144">
        <v>39348</v>
      </c>
      <c r="Q202" s="143" t="s">
        <v>1212</v>
      </c>
      <c r="R202" s="143" t="s">
        <v>2772</v>
      </c>
      <c r="S202" s="144" t="s">
        <v>3855</v>
      </c>
      <c r="T202" s="144">
        <v>19531.400899999997</v>
      </c>
      <c r="U202" s="146">
        <v>9.5504854368932035E-4</v>
      </c>
      <c r="V202" s="146">
        <v>1.2157947298004223E-2</v>
      </c>
      <c r="W202" s="147">
        <v>2.6020923938965177E-3</v>
      </c>
      <c r="X202" s="181"/>
    </row>
    <row r="203" spans="1:24" x14ac:dyDescent="0.2">
      <c r="A203" s="142" t="s">
        <v>1218</v>
      </c>
      <c r="B203" s="143" t="s">
        <v>1218</v>
      </c>
      <c r="C203" s="143" t="s">
        <v>2892</v>
      </c>
      <c r="D203" s="143" t="s">
        <v>2893</v>
      </c>
      <c r="E203" s="143" t="s">
        <v>313</v>
      </c>
      <c r="F203" s="143" t="s">
        <v>2892</v>
      </c>
      <c r="G203" s="143" t="s">
        <v>2894</v>
      </c>
      <c r="H203" s="143" t="s">
        <v>321</v>
      </c>
      <c r="I203" s="143" t="s">
        <v>965</v>
      </c>
      <c r="J203" s="143" t="s">
        <v>205</v>
      </c>
      <c r="K203" s="143" t="s">
        <v>293</v>
      </c>
      <c r="L203" s="143" t="s">
        <v>368</v>
      </c>
      <c r="M203" s="143" t="s">
        <v>610</v>
      </c>
      <c r="N203" s="143" t="s">
        <v>339</v>
      </c>
      <c r="O203" s="143" t="s">
        <v>1214</v>
      </c>
      <c r="P203" s="144">
        <v>53253</v>
      </c>
      <c r="Q203" s="143" t="s">
        <v>1215</v>
      </c>
      <c r="R203" s="143" t="s">
        <v>2895</v>
      </c>
      <c r="S203" s="144" t="s">
        <v>3855</v>
      </c>
      <c r="T203" s="144">
        <v>18235.9912</v>
      </c>
      <c r="U203" s="146">
        <v>1.9449598246895544E-2</v>
      </c>
      <c r="V203" s="146">
        <v>1.1351577961918413E-2</v>
      </c>
      <c r="W203" s="147">
        <v>2.4295100109769348E-3</v>
      </c>
      <c r="X203" s="181"/>
    </row>
    <row r="204" spans="1:24" x14ac:dyDescent="0.2">
      <c r="A204" s="142" t="s">
        <v>1218</v>
      </c>
      <c r="B204" s="143" t="s">
        <v>1218</v>
      </c>
      <c r="C204" s="143" t="s">
        <v>2788</v>
      </c>
      <c r="D204" s="143" t="s">
        <v>2789</v>
      </c>
      <c r="E204" s="143" t="s">
        <v>313</v>
      </c>
      <c r="F204" s="143" t="s">
        <v>2788</v>
      </c>
      <c r="G204" s="143" t="s">
        <v>2790</v>
      </c>
      <c r="H204" s="143" t="s">
        <v>321</v>
      </c>
      <c r="I204" s="143" t="s">
        <v>965</v>
      </c>
      <c r="J204" s="143" t="s">
        <v>205</v>
      </c>
      <c r="K204" s="143" t="s">
        <v>246</v>
      </c>
      <c r="L204" s="143" t="s">
        <v>370</v>
      </c>
      <c r="M204" s="143" t="s">
        <v>707</v>
      </c>
      <c r="N204" s="143" t="s">
        <v>339</v>
      </c>
      <c r="O204" s="143" t="s">
        <v>2791</v>
      </c>
      <c r="P204" s="144">
        <v>4778406</v>
      </c>
      <c r="Q204" s="143" t="s">
        <v>2792</v>
      </c>
      <c r="R204" s="143" t="s">
        <v>2793</v>
      </c>
      <c r="S204" s="144">
        <v>95.568119999999993</v>
      </c>
      <c r="T204" s="144">
        <v>17202.8541</v>
      </c>
      <c r="U204" s="146">
        <v>3.3183375000000001E-2</v>
      </c>
      <c r="V204" s="146">
        <v>1.0767958081795391E-2</v>
      </c>
      <c r="W204" s="147">
        <v>2.3046013554472136E-3</v>
      </c>
      <c r="X204" s="181"/>
    </row>
    <row r="205" spans="1:24" x14ac:dyDescent="0.2">
      <c r="A205" s="142" t="s">
        <v>1218</v>
      </c>
      <c r="B205" s="143" t="s">
        <v>1218</v>
      </c>
      <c r="C205" s="143" t="s">
        <v>2745</v>
      </c>
      <c r="D205" s="143" t="s">
        <v>2746</v>
      </c>
      <c r="E205" s="143" t="s">
        <v>313</v>
      </c>
      <c r="F205" s="143" t="s">
        <v>2747</v>
      </c>
      <c r="G205" s="143" t="s">
        <v>2748</v>
      </c>
      <c r="H205" s="143" t="s">
        <v>321</v>
      </c>
      <c r="I205" s="143" t="s">
        <v>965</v>
      </c>
      <c r="J205" s="143" t="s">
        <v>205</v>
      </c>
      <c r="K205" s="143" t="s">
        <v>224</v>
      </c>
      <c r="L205" s="143" t="s">
        <v>344</v>
      </c>
      <c r="M205" s="143" t="s">
        <v>602</v>
      </c>
      <c r="N205" s="143" t="s">
        <v>339</v>
      </c>
      <c r="O205" s="143" t="s">
        <v>1211</v>
      </c>
      <c r="P205" s="144">
        <v>21179</v>
      </c>
      <c r="Q205" s="143" t="s">
        <v>1212</v>
      </c>
      <c r="R205" s="143" t="s">
        <v>2749</v>
      </c>
      <c r="S205" s="144" t="s">
        <v>3855</v>
      </c>
      <c r="T205" s="144">
        <v>16152.450500000001</v>
      </c>
      <c r="U205" s="146">
        <v>6.9621959237343856E-5</v>
      </c>
      <c r="V205" s="146">
        <v>1.0054611179668755E-2</v>
      </c>
      <c r="W205" s="147">
        <v>2.1519280050257932E-3</v>
      </c>
      <c r="X205" s="181"/>
    </row>
    <row r="206" spans="1:24" x14ac:dyDescent="0.2">
      <c r="A206" s="142" t="s">
        <v>1218</v>
      </c>
      <c r="B206" s="143" t="s">
        <v>1218</v>
      </c>
      <c r="C206" s="143" t="s">
        <v>2901</v>
      </c>
      <c r="D206" s="143" t="s">
        <v>2902</v>
      </c>
      <c r="E206" s="143" t="s">
        <v>313</v>
      </c>
      <c r="F206" s="143" t="s">
        <v>2901</v>
      </c>
      <c r="G206" s="143" t="s">
        <v>2903</v>
      </c>
      <c r="H206" s="143" t="s">
        <v>321</v>
      </c>
      <c r="I206" s="143" t="s">
        <v>965</v>
      </c>
      <c r="J206" s="143" t="s">
        <v>205</v>
      </c>
      <c r="K206" s="143" t="s">
        <v>293</v>
      </c>
      <c r="L206" s="143" t="s">
        <v>364</v>
      </c>
      <c r="M206" s="143" t="s">
        <v>610</v>
      </c>
      <c r="N206" s="143" t="s">
        <v>339</v>
      </c>
      <c r="O206" s="143" t="s">
        <v>1214</v>
      </c>
      <c r="P206" s="144">
        <v>25307</v>
      </c>
      <c r="Q206" s="143" t="s">
        <v>1215</v>
      </c>
      <c r="R206" s="143" t="s">
        <v>2904</v>
      </c>
      <c r="S206" s="144" t="s">
        <v>3855</v>
      </c>
      <c r="T206" s="144">
        <v>15941.1085</v>
      </c>
      <c r="U206" s="146">
        <v>9.3799110452186807E-3</v>
      </c>
      <c r="V206" s="146">
        <v>9.9230545892725584E-3</v>
      </c>
      <c r="W206" s="147">
        <v>2.1237717386062885E-3</v>
      </c>
      <c r="X206" s="181"/>
    </row>
    <row r="207" spans="1:24" x14ac:dyDescent="0.2">
      <c r="A207" s="142" t="s">
        <v>1218</v>
      </c>
      <c r="B207" s="143" t="s">
        <v>1218</v>
      </c>
      <c r="C207" s="143" t="s">
        <v>2905</v>
      </c>
      <c r="D207" s="143" t="s">
        <v>2906</v>
      </c>
      <c r="E207" s="143" t="s">
        <v>313</v>
      </c>
      <c r="F207" s="143" t="s">
        <v>2905</v>
      </c>
      <c r="G207" s="143" t="s">
        <v>2907</v>
      </c>
      <c r="H207" s="143" t="s">
        <v>321</v>
      </c>
      <c r="I207" s="143" t="s">
        <v>965</v>
      </c>
      <c r="J207" s="143" t="s">
        <v>205</v>
      </c>
      <c r="K207" s="143" t="s">
        <v>224</v>
      </c>
      <c r="L207" s="143" t="s">
        <v>344</v>
      </c>
      <c r="M207" s="143" t="s">
        <v>708</v>
      </c>
      <c r="N207" s="143" t="s">
        <v>339</v>
      </c>
      <c r="O207" s="143" t="s">
        <v>1211</v>
      </c>
      <c r="P207" s="144">
        <v>130774</v>
      </c>
      <c r="Q207" s="143" t="s">
        <v>1212</v>
      </c>
      <c r="R207" s="143" t="s">
        <v>2908</v>
      </c>
      <c r="S207" s="144" t="s">
        <v>3855</v>
      </c>
      <c r="T207" s="144">
        <v>15528.9953</v>
      </c>
      <c r="U207" s="146">
        <v>7.2753268428372743E-3</v>
      </c>
      <c r="V207" s="146">
        <v>9.6665215146985537E-3</v>
      </c>
      <c r="W207" s="147">
        <v>2.068867506356369E-3</v>
      </c>
      <c r="X207" s="181"/>
    </row>
    <row r="208" spans="1:24" x14ac:dyDescent="0.2">
      <c r="A208" s="142" t="s">
        <v>1218</v>
      </c>
      <c r="B208" s="143" t="s">
        <v>1218</v>
      </c>
      <c r="C208" s="143" t="s">
        <v>2768</v>
      </c>
      <c r="D208" s="143" t="s">
        <v>2769</v>
      </c>
      <c r="E208" s="143" t="s">
        <v>313</v>
      </c>
      <c r="F208" s="143" t="s">
        <v>2781</v>
      </c>
      <c r="G208" s="143" t="s">
        <v>2782</v>
      </c>
      <c r="H208" s="143" t="s">
        <v>321</v>
      </c>
      <c r="I208" s="143" t="s">
        <v>965</v>
      </c>
      <c r="J208" s="143" t="s">
        <v>205</v>
      </c>
      <c r="K208" s="143" t="s">
        <v>224</v>
      </c>
      <c r="L208" s="143" t="s">
        <v>344</v>
      </c>
      <c r="M208" s="143" t="s">
        <v>707</v>
      </c>
      <c r="N208" s="143" t="s">
        <v>339</v>
      </c>
      <c r="O208" s="143" t="s">
        <v>1211</v>
      </c>
      <c r="P208" s="144">
        <v>72542</v>
      </c>
      <c r="Q208" s="143" t="s">
        <v>1212</v>
      </c>
      <c r="R208" s="143" t="s">
        <v>2783</v>
      </c>
      <c r="S208" s="144" t="s">
        <v>3855</v>
      </c>
      <c r="T208" s="144">
        <v>14776.820599999999</v>
      </c>
      <c r="U208" s="146">
        <v>8.6359523809523807E-4</v>
      </c>
      <c r="V208" s="146">
        <v>9.1983062349865578E-3</v>
      </c>
      <c r="W208" s="147">
        <v>1.9686582038991431E-3</v>
      </c>
      <c r="X208" s="181"/>
    </row>
    <row r="209" spans="1:24" x14ac:dyDescent="0.2">
      <c r="A209" s="142" t="s">
        <v>1218</v>
      </c>
      <c r="B209" s="143" t="s">
        <v>1218</v>
      </c>
      <c r="C209" s="143" t="s">
        <v>2794</v>
      </c>
      <c r="D209" s="143" t="s">
        <v>2795</v>
      </c>
      <c r="E209" s="143" t="s">
        <v>313</v>
      </c>
      <c r="F209" s="143" t="s">
        <v>2796</v>
      </c>
      <c r="G209" s="143" t="s">
        <v>2797</v>
      </c>
      <c r="H209" s="143" t="s">
        <v>321</v>
      </c>
      <c r="I209" s="143" t="s">
        <v>965</v>
      </c>
      <c r="J209" s="143" t="s">
        <v>205</v>
      </c>
      <c r="K209" s="143" t="s">
        <v>224</v>
      </c>
      <c r="L209" s="143" t="s">
        <v>344</v>
      </c>
      <c r="M209" s="143" t="s">
        <v>708</v>
      </c>
      <c r="N209" s="143" t="s">
        <v>339</v>
      </c>
      <c r="O209" s="143" t="s">
        <v>1211</v>
      </c>
      <c r="P209" s="144">
        <v>93317</v>
      </c>
      <c r="Q209" s="143" t="s">
        <v>1212</v>
      </c>
      <c r="R209" s="143" t="s">
        <v>2798</v>
      </c>
      <c r="S209" s="144" t="s">
        <v>3855</v>
      </c>
      <c r="T209" s="144">
        <v>13473.4061</v>
      </c>
      <c r="U209" s="146">
        <v>7.0882643372578811E-4</v>
      </c>
      <c r="V209" s="146">
        <v>8.3869540536842743E-3</v>
      </c>
      <c r="W209" s="147">
        <v>1.7950093725635622E-3</v>
      </c>
      <c r="X209" s="181"/>
    </row>
    <row r="210" spans="1:24" x14ac:dyDescent="0.2">
      <c r="A210" s="142" t="s">
        <v>1218</v>
      </c>
      <c r="B210" s="143" t="s">
        <v>1218</v>
      </c>
      <c r="C210" s="143" t="s">
        <v>2778</v>
      </c>
      <c r="D210" s="143" t="s">
        <v>2680</v>
      </c>
      <c r="E210" s="143" t="s">
        <v>313</v>
      </c>
      <c r="F210" s="143" t="s">
        <v>2778</v>
      </c>
      <c r="G210" s="143" t="s">
        <v>2779</v>
      </c>
      <c r="H210" s="143" t="s">
        <v>321</v>
      </c>
      <c r="I210" s="143" t="s">
        <v>965</v>
      </c>
      <c r="J210" s="143" t="s">
        <v>205</v>
      </c>
      <c r="K210" s="143" t="s">
        <v>301</v>
      </c>
      <c r="L210" s="143" t="s">
        <v>314</v>
      </c>
      <c r="M210" s="143" t="s">
        <v>596</v>
      </c>
      <c r="N210" s="143" t="s">
        <v>339</v>
      </c>
      <c r="O210" s="143" t="s">
        <v>1214</v>
      </c>
      <c r="P210" s="144">
        <v>68692</v>
      </c>
      <c r="Q210" s="143" t="s">
        <v>1215</v>
      </c>
      <c r="R210" s="143" t="s">
        <v>2780</v>
      </c>
      <c r="S210" s="144" t="s">
        <v>3855</v>
      </c>
      <c r="T210" s="144">
        <v>12435.285699999999</v>
      </c>
      <c r="U210" s="146">
        <v>2.360549828178694E-3</v>
      </c>
      <c r="V210" s="146">
        <v>7.7407426658210581E-3</v>
      </c>
      <c r="W210" s="147">
        <v>1.6567046327918894E-3</v>
      </c>
      <c r="X210" s="181"/>
    </row>
    <row r="211" spans="1:24" ht="15" x14ac:dyDescent="0.2">
      <c r="A211" s="142" t="s">
        <v>1218</v>
      </c>
      <c r="B211" s="143" t="s">
        <v>1218</v>
      </c>
      <c r="C211" s="143" t="s">
        <v>2639</v>
      </c>
      <c r="D211" s="143" t="s">
        <v>2640</v>
      </c>
      <c r="E211" s="143" t="s">
        <v>309</v>
      </c>
      <c r="F211" s="143" t="s">
        <v>2916</v>
      </c>
      <c r="G211" s="143" t="s">
        <v>2917</v>
      </c>
      <c r="H211" s="143" t="s">
        <v>321</v>
      </c>
      <c r="I211" s="143" t="s">
        <v>965</v>
      </c>
      <c r="J211" s="143" t="s">
        <v>205</v>
      </c>
      <c r="K211" s="143" t="s">
        <v>224</v>
      </c>
      <c r="L211" s="143" t="s">
        <v>340</v>
      </c>
      <c r="M211" s="143" t="s">
        <v>708</v>
      </c>
      <c r="N211" s="143" t="s">
        <v>339</v>
      </c>
      <c r="O211" s="143" t="s">
        <v>1210</v>
      </c>
      <c r="P211" s="144">
        <v>501742</v>
      </c>
      <c r="Q211" s="145" t="s">
        <v>3853</v>
      </c>
      <c r="R211" s="143" t="s">
        <v>2918</v>
      </c>
      <c r="S211" s="144" t="s">
        <v>3855</v>
      </c>
      <c r="T211" s="144">
        <v>12393.027400000001</v>
      </c>
      <c r="U211" s="146">
        <v>0.11149822222222222</v>
      </c>
      <c r="V211" s="146">
        <v>7.7144376336867057E-3</v>
      </c>
      <c r="W211" s="147">
        <v>1.6510747248509954E-3</v>
      </c>
      <c r="X211" s="181"/>
    </row>
    <row r="212" spans="1:24" x14ac:dyDescent="0.2">
      <c r="A212" s="142" t="s">
        <v>1218</v>
      </c>
      <c r="B212" s="143" t="s">
        <v>1218</v>
      </c>
      <c r="C212" s="143" t="s">
        <v>2919</v>
      </c>
      <c r="D212" s="143" t="s">
        <v>2920</v>
      </c>
      <c r="E212" s="143" t="s">
        <v>313</v>
      </c>
      <c r="F212" s="143" t="s">
        <v>2919</v>
      </c>
      <c r="G212" s="143" t="s">
        <v>2921</v>
      </c>
      <c r="H212" s="143" t="s">
        <v>321</v>
      </c>
      <c r="I212" s="143" t="s">
        <v>965</v>
      </c>
      <c r="J212" s="143" t="s">
        <v>205</v>
      </c>
      <c r="K212" s="143" t="s">
        <v>224</v>
      </c>
      <c r="L212" s="143" t="s">
        <v>314</v>
      </c>
      <c r="M212" s="143" t="s">
        <v>708</v>
      </c>
      <c r="N212" s="143" t="s">
        <v>339</v>
      </c>
      <c r="O212" s="143" t="s">
        <v>1211</v>
      </c>
      <c r="P212" s="144">
        <v>28430</v>
      </c>
      <c r="Q212" s="143" t="s">
        <v>1212</v>
      </c>
      <c r="R212" s="143" t="s">
        <v>2922</v>
      </c>
      <c r="S212" s="144" t="s">
        <v>3855</v>
      </c>
      <c r="T212" s="144">
        <v>11786.512500000001</v>
      </c>
      <c r="U212" s="146">
        <v>9.8034482758620686E-3</v>
      </c>
      <c r="V212" s="146">
        <v>7.3368929863354389E-3</v>
      </c>
      <c r="W212" s="147">
        <v>1.5702711129295702E-3</v>
      </c>
      <c r="X212" s="181"/>
    </row>
    <row r="213" spans="1:24" x14ac:dyDescent="0.2">
      <c r="A213" s="142" t="s">
        <v>1218</v>
      </c>
      <c r="B213" s="143" t="s">
        <v>1218</v>
      </c>
      <c r="C213" s="143" t="s">
        <v>2909</v>
      </c>
      <c r="D213" s="143" t="s">
        <v>2910</v>
      </c>
      <c r="E213" s="143" t="s">
        <v>313</v>
      </c>
      <c r="F213" s="143" t="s">
        <v>2909</v>
      </c>
      <c r="G213" s="143" t="s">
        <v>2911</v>
      </c>
      <c r="H213" s="143" t="s">
        <v>321</v>
      </c>
      <c r="I213" s="143" t="s">
        <v>965</v>
      </c>
      <c r="J213" s="143" t="s">
        <v>205</v>
      </c>
      <c r="K213" s="143" t="s">
        <v>224</v>
      </c>
      <c r="L213" s="143" t="s">
        <v>344</v>
      </c>
      <c r="M213" s="143" t="s">
        <v>708</v>
      </c>
      <c r="N213" s="143" t="s">
        <v>339</v>
      </c>
      <c r="O213" s="143" t="s">
        <v>1211</v>
      </c>
      <c r="P213" s="144">
        <v>30674</v>
      </c>
      <c r="Q213" s="143" t="s">
        <v>1212</v>
      </c>
      <c r="R213" s="143" t="s">
        <v>2912</v>
      </c>
      <c r="S213" s="144" t="s">
        <v>3855</v>
      </c>
      <c r="T213" s="144">
        <v>11654.8845</v>
      </c>
      <c r="U213" s="146">
        <v>2.2389781021897809E-3</v>
      </c>
      <c r="V213" s="146">
        <v>7.2549568660862044E-3</v>
      </c>
      <c r="W213" s="147">
        <v>1.5527348175287073E-3</v>
      </c>
      <c r="X213" s="181"/>
    </row>
    <row r="214" spans="1:24" x14ac:dyDescent="0.2">
      <c r="A214" s="142" t="s">
        <v>1218</v>
      </c>
      <c r="B214" s="143" t="s">
        <v>1218</v>
      </c>
      <c r="C214" s="143" t="s">
        <v>2913</v>
      </c>
      <c r="D214" s="143" t="s">
        <v>2680</v>
      </c>
      <c r="E214" s="143" t="s">
        <v>313</v>
      </c>
      <c r="F214" s="143" t="s">
        <v>2913</v>
      </c>
      <c r="G214" s="143" t="s">
        <v>2914</v>
      </c>
      <c r="H214" s="143" t="s">
        <v>321</v>
      </c>
      <c r="I214" s="143" t="s">
        <v>965</v>
      </c>
      <c r="J214" s="143" t="s">
        <v>205</v>
      </c>
      <c r="K214" s="143" t="s">
        <v>224</v>
      </c>
      <c r="L214" s="143" t="s">
        <v>344</v>
      </c>
      <c r="M214" s="143" t="s">
        <v>708</v>
      </c>
      <c r="N214" s="143" t="s">
        <v>339</v>
      </c>
      <c r="O214" s="143" t="s">
        <v>1211</v>
      </c>
      <c r="P214" s="144">
        <v>28667</v>
      </c>
      <c r="Q214" s="143" t="s">
        <v>1212</v>
      </c>
      <c r="R214" s="143" t="s">
        <v>2915</v>
      </c>
      <c r="S214" s="144">
        <v>10.64406</v>
      </c>
      <c r="T214" s="144">
        <v>10720.0306</v>
      </c>
      <c r="U214" s="146">
        <v>4.7778333333333336E-3</v>
      </c>
      <c r="V214" s="146">
        <v>6.6796528124197082E-3</v>
      </c>
      <c r="W214" s="147">
        <v>1.4296059483593895E-3</v>
      </c>
      <c r="X214" s="181"/>
    </row>
    <row r="215" spans="1:24" x14ac:dyDescent="0.2">
      <c r="A215" s="142" t="s">
        <v>1218</v>
      </c>
      <c r="B215" s="143" t="s">
        <v>1218</v>
      </c>
      <c r="C215" s="143" t="s">
        <v>2923</v>
      </c>
      <c r="D215" s="143" t="s">
        <v>2924</v>
      </c>
      <c r="E215" s="143" t="s">
        <v>313</v>
      </c>
      <c r="F215" s="143" t="s">
        <v>2923</v>
      </c>
      <c r="G215" s="143" t="s">
        <v>2925</v>
      </c>
      <c r="H215" s="143" t="s">
        <v>321</v>
      </c>
      <c r="I215" s="143" t="s">
        <v>965</v>
      </c>
      <c r="J215" s="143" t="s">
        <v>205</v>
      </c>
      <c r="K215" s="143" t="s">
        <v>224</v>
      </c>
      <c r="L215" s="143" t="s">
        <v>344</v>
      </c>
      <c r="M215" s="143" t="s">
        <v>703</v>
      </c>
      <c r="N215" s="143" t="s">
        <v>339</v>
      </c>
      <c r="O215" s="143" t="s">
        <v>1211</v>
      </c>
      <c r="P215" s="144">
        <v>133732</v>
      </c>
      <c r="Q215" s="143" t="s">
        <v>1212</v>
      </c>
      <c r="R215" s="143" t="s">
        <v>2926</v>
      </c>
      <c r="S215" s="144" t="s">
        <v>3855</v>
      </c>
      <c r="T215" s="144">
        <v>9883.0541999999987</v>
      </c>
      <c r="U215" s="146">
        <v>2.8771944922547331E-3</v>
      </c>
      <c r="V215" s="146">
        <v>6.1520242879024144E-3</v>
      </c>
      <c r="W215" s="147">
        <v>1.3166807861755836E-3</v>
      </c>
      <c r="X215" s="181"/>
    </row>
    <row r="216" spans="1:24" x14ac:dyDescent="0.2">
      <c r="A216" s="142" t="s">
        <v>1218</v>
      </c>
      <c r="B216" s="143" t="s">
        <v>1218</v>
      </c>
      <c r="C216" s="143" t="s">
        <v>2784</v>
      </c>
      <c r="D216" s="143" t="s">
        <v>2785</v>
      </c>
      <c r="E216" s="143" t="s">
        <v>313</v>
      </c>
      <c r="F216" s="143" t="s">
        <v>2784</v>
      </c>
      <c r="G216" s="143" t="s">
        <v>2786</v>
      </c>
      <c r="H216" s="143" t="s">
        <v>321</v>
      </c>
      <c r="I216" s="143" t="s">
        <v>965</v>
      </c>
      <c r="J216" s="143" t="s">
        <v>205</v>
      </c>
      <c r="K216" s="143" t="s">
        <v>224</v>
      </c>
      <c r="L216" s="143" t="s">
        <v>344</v>
      </c>
      <c r="M216" s="143" t="s">
        <v>703</v>
      </c>
      <c r="N216" s="143" t="s">
        <v>339</v>
      </c>
      <c r="O216" s="143" t="s">
        <v>1211</v>
      </c>
      <c r="P216" s="144">
        <v>53271</v>
      </c>
      <c r="Q216" s="143" t="s">
        <v>1212</v>
      </c>
      <c r="R216" s="143" t="s">
        <v>2787</v>
      </c>
      <c r="S216" s="144" t="s">
        <v>3855</v>
      </c>
      <c r="T216" s="144">
        <v>8051.8792000000003</v>
      </c>
      <c r="U216" s="146">
        <v>1.6080354986718183E-3</v>
      </c>
      <c r="V216" s="146">
        <v>5.0121505882281866E-3</v>
      </c>
      <c r="W216" s="147">
        <v>1.0727204685969836E-3</v>
      </c>
      <c r="X216" s="181"/>
    </row>
    <row r="217" spans="1:24" x14ac:dyDescent="0.2">
      <c r="A217" s="142" t="s">
        <v>1218</v>
      </c>
      <c r="B217" s="143" t="s">
        <v>1218</v>
      </c>
      <c r="C217" s="143" t="s">
        <v>2768</v>
      </c>
      <c r="D217" s="143" t="s">
        <v>2769</v>
      </c>
      <c r="E217" s="143" t="s">
        <v>313</v>
      </c>
      <c r="F217" s="143" t="s">
        <v>2799</v>
      </c>
      <c r="G217" s="143" t="s">
        <v>2800</v>
      </c>
      <c r="H217" s="143" t="s">
        <v>321</v>
      </c>
      <c r="I217" s="143" t="s">
        <v>965</v>
      </c>
      <c r="J217" s="143" t="s">
        <v>205</v>
      </c>
      <c r="K217" s="143" t="s">
        <v>224</v>
      </c>
      <c r="L217" s="143" t="s">
        <v>344</v>
      </c>
      <c r="M217" s="143" t="s">
        <v>708</v>
      </c>
      <c r="N217" s="143" t="s">
        <v>339</v>
      </c>
      <c r="O217" s="143" t="s">
        <v>1211</v>
      </c>
      <c r="P217" s="144">
        <v>37569</v>
      </c>
      <c r="Q217" s="143" t="s">
        <v>1212</v>
      </c>
      <c r="R217" s="143" t="s">
        <v>2801</v>
      </c>
      <c r="S217" s="144" t="s">
        <v>3855</v>
      </c>
      <c r="T217" s="144">
        <v>7914.0736999999999</v>
      </c>
      <c r="U217" s="146">
        <v>3.1346683354192741E-4</v>
      </c>
      <c r="V217" s="146">
        <v>4.9263691297744116E-3</v>
      </c>
      <c r="W217" s="147">
        <v>1.0543611785697468E-3</v>
      </c>
      <c r="X217" s="181"/>
    </row>
    <row r="218" spans="1:24" x14ac:dyDescent="0.2">
      <c r="A218" s="142" t="s">
        <v>1218</v>
      </c>
      <c r="B218" s="143" t="s">
        <v>1218</v>
      </c>
      <c r="C218" s="143" t="s">
        <v>2927</v>
      </c>
      <c r="D218" s="143" t="s">
        <v>2928</v>
      </c>
      <c r="E218" s="143" t="s">
        <v>313</v>
      </c>
      <c r="F218" s="143" t="s">
        <v>2927</v>
      </c>
      <c r="G218" s="143" t="s">
        <v>2929</v>
      </c>
      <c r="H218" s="143" t="s">
        <v>321</v>
      </c>
      <c r="I218" s="143" t="s">
        <v>965</v>
      </c>
      <c r="J218" s="143" t="s">
        <v>205</v>
      </c>
      <c r="K218" s="143" t="s">
        <v>224</v>
      </c>
      <c r="L218" s="143" t="s">
        <v>344</v>
      </c>
      <c r="M218" s="143" t="s">
        <v>708</v>
      </c>
      <c r="N218" s="143" t="s">
        <v>339</v>
      </c>
      <c r="O218" s="143" t="s">
        <v>1211</v>
      </c>
      <c r="P218" s="144">
        <v>29213</v>
      </c>
      <c r="Q218" s="143" t="s">
        <v>1212</v>
      </c>
      <c r="R218" s="143" t="s">
        <v>2930</v>
      </c>
      <c r="S218" s="144" t="s">
        <v>3855</v>
      </c>
      <c r="T218" s="144">
        <v>7482.567</v>
      </c>
      <c r="U218" s="146">
        <v>1.2448332580515951E-4</v>
      </c>
      <c r="V218" s="146">
        <v>4.6577639600356973E-3</v>
      </c>
      <c r="W218" s="147">
        <v>9.9687322834206954E-4</v>
      </c>
      <c r="X218" s="181"/>
    </row>
    <row r="219" spans="1:24" x14ac:dyDescent="0.2">
      <c r="A219" s="142" t="s">
        <v>1218</v>
      </c>
      <c r="B219" s="143" t="s">
        <v>1218</v>
      </c>
      <c r="C219" s="143" t="s">
        <v>2931</v>
      </c>
      <c r="D219" s="143" t="s">
        <v>2932</v>
      </c>
      <c r="E219" s="143" t="s">
        <v>313</v>
      </c>
      <c r="F219" s="143" t="s">
        <v>2933</v>
      </c>
      <c r="G219" s="143" t="s">
        <v>2934</v>
      </c>
      <c r="H219" s="143" t="s">
        <v>321</v>
      </c>
      <c r="I219" s="143" t="s">
        <v>965</v>
      </c>
      <c r="J219" s="143" t="s">
        <v>205</v>
      </c>
      <c r="K219" s="143" t="s">
        <v>224</v>
      </c>
      <c r="L219" s="143" t="s">
        <v>344</v>
      </c>
      <c r="M219" s="143" t="s">
        <v>589</v>
      </c>
      <c r="N219" s="143" t="s">
        <v>339</v>
      </c>
      <c r="O219" s="143" t="s">
        <v>1211</v>
      </c>
      <c r="P219" s="144">
        <v>18747</v>
      </c>
      <c r="Q219" s="143" t="s">
        <v>1212</v>
      </c>
      <c r="R219" s="143" t="s">
        <v>2935</v>
      </c>
      <c r="S219" s="144" t="s">
        <v>3855</v>
      </c>
      <c r="T219" s="144">
        <v>5948.3492999999999</v>
      </c>
      <c r="U219" s="146">
        <v>4.2850285714285717E-3</v>
      </c>
      <c r="V219" s="146">
        <v>3.7027409092525443E-3</v>
      </c>
      <c r="W219" s="147">
        <v>7.9247538423835126E-4</v>
      </c>
      <c r="X219" s="181"/>
    </row>
    <row r="220" spans="1:24" x14ac:dyDescent="0.2">
      <c r="A220" s="142" t="s">
        <v>1218</v>
      </c>
      <c r="B220" s="143" t="s">
        <v>1218</v>
      </c>
      <c r="C220" s="143" t="s">
        <v>2825</v>
      </c>
      <c r="D220" s="143" t="s">
        <v>2826</v>
      </c>
      <c r="E220" s="143" t="s">
        <v>313</v>
      </c>
      <c r="F220" s="143" t="s">
        <v>2825</v>
      </c>
      <c r="G220" s="143" t="s">
        <v>2827</v>
      </c>
      <c r="H220" s="143" t="s">
        <v>321</v>
      </c>
      <c r="I220" s="143" t="s">
        <v>967</v>
      </c>
      <c r="J220" s="143" t="s">
        <v>205</v>
      </c>
      <c r="K220" s="143" t="s">
        <v>224</v>
      </c>
      <c r="L220" s="143" t="s">
        <v>380</v>
      </c>
      <c r="M220" s="143" t="s">
        <v>592</v>
      </c>
      <c r="N220" s="143" t="s">
        <v>339</v>
      </c>
      <c r="O220" s="143" t="s">
        <v>1211</v>
      </c>
      <c r="P220" s="144">
        <v>6080342</v>
      </c>
      <c r="Q220" s="143" t="s">
        <v>1212</v>
      </c>
      <c r="R220" s="143" t="s">
        <v>2828</v>
      </c>
      <c r="S220" s="144" t="s">
        <v>3855</v>
      </c>
      <c r="T220" s="144">
        <v>131056.336</v>
      </c>
      <c r="U220" s="146">
        <v>2.0020882449785973E-2</v>
      </c>
      <c r="V220" s="146">
        <v>8.1580222315170772E-2</v>
      </c>
      <c r="W220" s="147">
        <v>1.7460124704894824E-2</v>
      </c>
      <c r="X220" s="181"/>
    </row>
    <row r="221" spans="1:24" x14ac:dyDescent="0.2">
      <c r="A221" s="142" t="s">
        <v>1218</v>
      </c>
      <c r="B221" s="143" t="s">
        <v>1218</v>
      </c>
      <c r="C221" s="143" t="s">
        <v>2833</v>
      </c>
      <c r="D221" s="143" t="s">
        <v>2834</v>
      </c>
      <c r="E221" s="143" t="s">
        <v>313</v>
      </c>
      <c r="F221" s="143" t="s">
        <v>2833</v>
      </c>
      <c r="G221" s="143" t="s">
        <v>2835</v>
      </c>
      <c r="H221" s="143" t="s">
        <v>321</v>
      </c>
      <c r="I221" s="143" t="s">
        <v>967</v>
      </c>
      <c r="J221" s="143" t="s">
        <v>205</v>
      </c>
      <c r="K221" s="143" t="s">
        <v>233</v>
      </c>
      <c r="L221" s="143" t="s">
        <v>380</v>
      </c>
      <c r="M221" s="143" t="s">
        <v>677</v>
      </c>
      <c r="N221" s="143" t="s">
        <v>339</v>
      </c>
      <c r="O221" s="143" t="s">
        <v>1211</v>
      </c>
      <c r="P221" s="144">
        <v>106102</v>
      </c>
      <c r="Q221" s="143" t="s">
        <v>1212</v>
      </c>
      <c r="R221" s="143" t="s">
        <v>2836</v>
      </c>
      <c r="S221" s="144" t="s">
        <v>3855</v>
      </c>
      <c r="T221" s="144">
        <v>36653.1587</v>
      </c>
      <c r="U221" s="146">
        <v>3.3181761320990742E-3</v>
      </c>
      <c r="V221" s="146">
        <v>2.2815934948898466E-2</v>
      </c>
      <c r="W221" s="147">
        <v>4.883157438913403E-3</v>
      </c>
      <c r="X221" s="181"/>
    </row>
    <row r="222" spans="1:24" x14ac:dyDescent="0.2">
      <c r="A222" s="142" t="s">
        <v>1218</v>
      </c>
      <c r="B222" s="143" t="s">
        <v>1218</v>
      </c>
      <c r="C222" s="143" t="s">
        <v>2829</v>
      </c>
      <c r="D222" s="143" t="s">
        <v>2830</v>
      </c>
      <c r="E222" s="143" t="s">
        <v>313</v>
      </c>
      <c r="F222" s="143" t="s">
        <v>2829</v>
      </c>
      <c r="G222" s="143" t="s">
        <v>2831</v>
      </c>
      <c r="H222" s="143" t="s">
        <v>321</v>
      </c>
      <c r="I222" s="143" t="s">
        <v>967</v>
      </c>
      <c r="J222" s="143" t="s">
        <v>205</v>
      </c>
      <c r="K222" s="143" t="s">
        <v>224</v>
      </c>
      <c r="L222" s="143" t="s">
        <v>314</v>
      </c>
      <c r="M222" s="143" t="s">
        <v>677</v>
      </c>
      <c r="N222" s="143" t="s">
        <v>339</v>
      </c>
      <c r="O222" s="143" t="s">
        <v>1211</v>
      </c>
      <c r="P222" s="144">
        <v>85583</v>
      </c>
      <c r="Q222" s="143" t="s">
        <v>1212</v>
      </c>
      <c r="R222" s="143" t="s">
        <v>2832</v>
      </c>
      <c r="S222" s="144" t="s">
        <v>3855</v>
      </c>
      <c r="T222" s="144">
        <v>30037.7356</v>
      </c>
      <c r="U222" s="146">
        <v>5.6606257027581189E-3</v>
      </c>
      <c r="V222" s="146">
        <v>1.8697952538649535E-2</v>
      </c>
      <c r="W222" s="147">
        <v>4.0018104117168496E-3</v>
      </c>
      <c r="X222" s="181"/>
    </row>
    <row r="223" spans="1:24" x14ac:dyDescent="0.2">
      <c r="A223" s="148" t="s">
        <v>1218</v>
      </c>
      <c r="B223" s="149" t="s">
        <v>1218</v>
      </c>
      <c r="C223" s="149" t="s">
        <v>2837</v>
      </c>
      <c r="D223" s="149" t="s">
        <v>2838</v>
      </c>
      <c r="E223" s="149" t="s">
        <v>313</v>
      </c>
      <c r="F223" s="149" t="s">
        <v>2837</v>
      </c>
      <c r="G223" s="149" t="s">
        <v>2839</v>
      </c>
      <c r="H223" s="149" t="s">
        <v>321</v>
      </c>
      <c r="I223" s="149" t="s">
        <v>967</v>
      </c>
      <c r="J223" s="149" t="s">
        <v>205</v>
      </c>
      <c r="K223" s="149" t="s">
        <v>224</v>
      </c>
      <c r="L223" s="149" t="s">
        <v>314</v>
      </c>
      <c r="M223" s="149" t="s">
        <v>677</v>
      </c>
      <c r="N223" s="149" t="s">
        <v>339</v>
      </c>
      <c r="O223" s="149" t="s">
        <v>1211</v>
      </c>
      <c r="P223" s="150">
        <v>173620</v>
      </c>
      <c r="Q223" s="149" t="s">
        <v>1212</v>
      </c>
      <c r="R223" s="149" t="s">
        <v>2840</v>
      </c>
      <c r="S223" s="150" t="s">
        <v>3855</v>
      </c>
      <c r="T223" s="150">
        <v>13724.9683</v>
      </c>
      <c r="U223" s="152">
        <v>3.1003571428571429E-2</v>
      </c>
      <c r="V223" s="152">
        <v>8.5435469973836973E-3</v>
      </c>
      <c r="W223" s="153">
        <v>1.8285240192181845E-3</v>
      </c>
      <c r="X223" s="181"/>
    </row>
    <row r="224" spans="1:24" x14ac:dyDescent="0.2">
      <c r="A224" s="181" t="s">
        <v>3870</v>
      </c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</row>
    <row r="225" spans="1:1" x14ac:dyDescent="0.2">
      <c r="A225" s="2" t="s">
        <v>3869</v>
      </c>
    </row>
    <row r="226" spans="1:1" x14ac:dyDescent="0.2">
      <c r="A226" s="17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24:W224"/>
    <mergeCell ref="X2:X223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048575"/>
  <sheetViews>
    <sheetView rightToLeft="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5.375" style="4" bestFit="1" customWidth="1"/>
    <col min="4" max="4" width="25.125" style="4" bestFit="1" customWidth="1"/>
    <col min="5" max="5" width="18.125" style="4" customWidth="1"/>
    <col min="6" max="6" width="36.75" style="4" bestFit="1" customWidth="1"/>
    <col min="7" max="7" width="14.7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4" customWidth="1"/>
    <col min="13" max="13" width="10.25" style="2" customWidth="1"/>
    <col min="14" max="14" width="75.5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3880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91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90</v>
      </c>
      <c r="O2" s="140" t="s">
        <v>56</v>
      </c>
      <c r="P2" s="140" t="s">
        <v>59</v>
      </c>
      <c r="Q2" s="140" t="s">
        <v>76</v>
      </c>
      <c r="R2" s="140" t="s">
        <v>61</v>
      </c>
      <c r="S2" s="140" t="s">
        <v>77</v>
      </c>
      <c r="T2" s="140" t="s">
        <v>63</v>
      </c>
      <c r="U2" s="140" t="s">
        <v>79</v>
      </c>
      <c r="V2" s="140" t="s">
        <v>64</v>
      </c>
      <c r="W2" s="141" t="s">
        <v>65</v>
      </c>
      <c r="X2" s="183" t="s">
        <v>3871</v>
      </c>
    </row>
    <row r="3" spans="1:24" x14ac:dyDescent="0.2">
      <c r="A3" s="142" t="s">
        <v>1205</v>
      </c>
      <c r="B3" s="143" t="s">
        <v>1206</v>
      </c>
      <c r="C3" s="143" t="s">
        <v>2951</v>
      </c>
      <c r="D3" s="143" t="s">
        <v>2952</v>
      </c>
      <c r="E3" s="143" t="s">
        <v>313</v>
      </c>
      <c r="F3" s="143" t="s">
        <v>2951</v>
      </c>
      <c r="G3" s="143" t="s">
        <v>2953</v>
      </c>
      <c r="H3" s="143" t="s">
        <v>321</v>
      </c>
      <c r="I3" s="143" t="s">
        <v>969</v>
      </c>
      <c r="J3" s="143" t="s">
        <v>205</v>
      </c>
      <c r="K3" s="143" t="s">
        <v>224</v>
      </c>
      <c r="L3" s="143" t="s">
        <v>325</v>
      </c>
      <c r="M3" s="143" t="s">
        <v>314</v>
      </c>
      <c r="N3" s="143" t="s">
        <v>677</v>
      </c>
      <c r="O3" s="143" t="s">
        <v>339</v>
      </c>
      <c r="P3" s="143" t="s">
        <v>1211</v>
      </c>
      <c r="Q3" s="144">
        <v>13.5</v>
      </c>
      <c r="R3" s="143" t="s">
        <v>1212</v>
      </c>
      <c r="S3" s="143" t="s">
        <v>2954</v>
      </c>
      <c r="T3" s="144">
        <v>11.7311</v>
      </c>
      <c r="U3" s="146">
        <v>3.7458379578246392E-6</v>
      </c>
      <c r="V3" s="146">
        <v>0.12922209696465362</v>
      </c>
      <c r="W3" s="147">
        <v>7.9442775879927103E-4</v>
      </c>
      <c r="X3" s="183"/>
    </row>
    <row r="4" spans="1:24" ht="15" x14ac:dyDescent="0.2">
      <c r="A4" s="142" t="s">
        <v>1205</v>
      </c>
      <c r="B4" s="143" t="s">
        <v>1206</v>
      </c>
      <c r="C4" s="143" t="s">
        <v>2955</v>
      </c>
      <c r="D4" s="143" t="s">
        <v>2956</v>
      </c>
      <c r="E4" s="143" t="s">
        <v>313</v>
      </c>
      <c r="F4" s="143" t="s">
        <v>2955</v>
      </c>
      <c r="G4" s="143" t="s">
        <v>2957</v>
      </c>
      <c r="H4" s="143" t="s">
        <v>321</v>
      </c>
      <c r="I4" s="143" t="s">
        <v>917</v>
      </c>
      <c r="J4" s="143" t="s">
        <v>205</v>
      </c>
      <c r="K4" s="143" t="s">
        <v>244</v>
      </c>
      <c r="L4" s="143" t="s">
        <v>325</v>
      </c>
      <c r="M4" s="143" t="s">
        <v>314</v>
      </c>
      <c r="N4" s="143" t="s">
        <v>580</v>
      </c>
      <c r="O4" s="143" t="s">
        <v>339</v>
      </c>
      <c r="P4" s="143" t="s">
        <v>1211</v>
      </c>
      <c r="Q4" s="144">
        <v>589.01</v>
      </c>
      <c r="R4" s="143" t="s">
        <v>1212</v>
      </c>
      <c r="S4" s="143" t="s">
        <v>2958</v>
      </c>
      <c r="T4" s="144">
        <v>33.371600000000001</v>
      </c>
      <c r="U4" s="145" t="s">
        <v>3853</v>
      </c>
      <c r="V4" s="146">
        <v>0.3676009475047799</v>
      </c>
      <c r="W4" s="147">
        <v>2.2599261559622498E-3</v>
      </c>
      <c r="X4" s="183"/>
    </row>
    <row r="5" spans="1:24" x14ac:dyDescent="0.2">
      <c r="A5" s="142" t="s">
        <v>1205</v>
      </c>
      <c r="B5" s="143" t="s">
        <v>1206</v>
      </c>
      <c r="C5" s="143" t="s">
        <v>2959</v>
      </c>
      <c r="D5" s="143" t="s">
        <v>2960</v>
      </c>
      <c r="E5" s="143" t="s">
        <v>313</v>
      </c>
      <c r="F5" s="143" t="s">
        <v>2959</v>
      </c>
      <c r="G5" s="143" t="s">
        <v>2961</v>
      </c>
      <c r="H5" s="143" t="s">
        <v>321</v>
      </c>
      <c r="I5" s="143" t="s">
        <v>917</v>
      </c>
      <c r="J5" s="143" t="s">
        <v>205</v>
      </c>
      <c r="K5" s="143" t="s">
        <v>238</v>
      </c>
      <c r="L5" s="143" t="s">
        <v>325</v>
      </c>
      <c r="M5" s="143" t="s">
        <v>314</v>
      </c>
      <c r="N5" s="143" t="s">
        <v>706</v>
      </c>
      <c r="O5" s="143" t="s">
        <v>339</v>
      </c>
      <c r="P5" s="143" t="s">
        <v>1214</v>
      </c>
      <c r="Q5" s="144">
        <v>34.08</v>
      </c>
      <c r="R5" s="143" t="s">
        <v>1215</v>
      </c>
      <c r="S5" s="143" t="s">
        <v>2962</v>
      </c>
      <c r="T5" s="144">
        <v>27.248200000000001</v>
      </c>
      <c r="U5" s="146">
        <v>6.1963636363636366E-4</v>
      </c>
      <c r="V5" s="146">
        <v>0.30014946510489771</v>
      </c>
      <c r="W5" s="147">
        <v>1.8452499415274679E-3</v>
      </c>
      <c r="X5" s="183"/>
    </row>
    <row r="6" spans="1:24" ht="15" x14ac:dyDescent="0.2">
      <c r="A6" s="142" t="s">
        <v>1205</v>
      </c>
      <c r="B6" s="143" t="s">
        <v>1206</v>
      </c>
      <c r="C6" s="143" t="s">
        <v>2963</v>
      </c>
      <c r="D6" s="143" t="s">
        <v>2964</v>
      </c>
      <c r="E6" s="143" t="s">
        <v>313</v>
      </c>
      <c r="F6" s="143" t="s">
        <v>2963</v>
      </c>
      <c r="G6" s="143" t="s">
        <v>2965</v>
      </c>
      <c r="H6" s="143" t="s">
        <v>321</v>
      </c>
      <c r="I6" s="143" t="s">
        <v>917</v>
      </c>
      <c r="J6" s="143" t="s">
        <v>205</v>
      </c>
      <c r="K6" s="143" t="s">
        <v>220</v>
      </c>
      <c r="L6" s="143" t="s">
        <v>325</v>
      </c>
      <c r="M6" s="143" t="s">
        <v>314</v>
      </c>
      <c r="N6" s="143" t="s">
        <v>599</v>
      </c>
      <c r="O6" s="143" t="s">
        <v>339</v>
      </c>
      <c r="P6" s="143" t="s">
        <v>1211</v>
      </c>
      <c r="Q6" s="144">
        <v>21.86</v>
      </c>
      <c r="R6" s="143" t="s">
        <v>1212</v>
      </c>
      <c r="S6" s="143" t="s">
        <v>2966</v>
      </c>
      <c r="T6" s="144">
        <v>18.4313</v>
      </c>
      <c r="U6" s="145" t="s">
        <v>3853</v>
      </c>
      <c r="V6" s="146">
        <v>0.20302749042566878</v>
      </c>
      <c r="W6" s="147">
        <v>1.248166358402485E-3</v>
      </c>
      <c r="X6" s="183"/>
    </row>
    <row r="7" spans="1:24" ht="15" x14ac:dyDescent="0.2">
      <c r="A7" s="142" t="s">
        <v>1205</v>
      </c>
      <c r="B7" s="143" t="s">
        <v>1213</v>
      </c>
      <c r="C7" s="143" t="s">
        <v>2967</v>
      </c>
      <c r="D7" s="143" t="s">
        <v>2968</v>
      </c>
      <c r="E7" s="143" t="s">
        <v>314</v>
      </c>
      <c r="F7" s="143" t="s">
        <v>2969</v>
      </c>
      <c r="G7" s="143" t="s">
        <v>2970</v>
      </c>
      <c r="H7" s="143" t="s">
        <v>321</v>
      </c>
      <c r="I7" s="143" t="s">
        <v>969</v>
      </c>
      <c r="J7" s="143" t="s">
        <v>205</v>
      </c>
      <c r="K7" s="143" t="s">
        <v>291</v>
      </c>
      <c r="L7" s="143" t="s">
        <v>325</v>
      </c>
      <c r="M7" s="143" t="s">
        <v>314</v>
      </c>
      <c r="N7" s="143" t="s">
        <v>678</v>
      </c>
      <c r="O7" s="143" t="s">
        <v>339</v>
      </c>
      <c r="P7" s="143" t="s">
        <v>1211</v>
      </c>
      <c r="Q7" s="144">
        <v>3.98</v>
      </c>
      <c r="R7" s="143" t="s">
        <v>1212</v>
      </c>
      <c r="S7" s="143" t="s">
        <v>2971</v>
      </c>
      <c r="T7" s="144">
        <v>19.8505</v>
      </c>
      <c r="U7" s="145" t="s">
        <v>3853</v>
      </c>
      <c r="V7" s="146">
        <v>0.86714102534461113</v>
      </c>
      <c r="W7" s="147">
        <v>5.8588735733819475E-3</v>
      </c>
      <c r="X7" s="183"/>
    </row>
    <row r="8" spans="1:24" x14ac:dyDescent="0.2">
      <c r="A8" s="142" t="s">
        <v>1205</v>
      </c>
      <c r="B8" s="143" t="s">
        <v>1213</v>
      </c>
      <c r="C8" s="143" t="s">
        <v>2951</v>
      </c>
      <c r="D8" s="143" t="s">
        <v>2952</v>
      </c>
      <c r="E8" s="143" t="s">
        <v>313</v>
      </c>
      <c r="F8" s="143" t="s">
        <v>2951</v>
      </c>
      <c r="G8" s="143" t="s">
        <v>2953</v>
      </c>
      <c r="H8" s="143" t="s">
        <v>321</v>
      </c>
      <c r="I8" s="143" t="s">
        <v>969</v>
      </c>
      <c r="J8" s="143" t="s">
        <v>205</v>
      </c>
      <c r="K8" s="143" t="s">
        <v>224</v>
      </c>
      <c r="L8" s="143" t="s">
        <v>325</v>
      </c>
      <c r="M8" s="143" t="s">
        <v>314</v>
      </c>
      <c r="N8" s="143" t="s">
        <v>677</v>
      </c>
      <c r="O8" s="143" t="s">
        <v>339</v>
      </c>
      <c r="P8" s="143" t="s">
        <v>1211</v>
      </c>
      <c r="Q8" s="144">
        <v>3.5</v>
      </c>
      <c r="R8" s="143" t="s">
        <v>1212</v>
      </c>
      <c r="S8" s="143" t="s">
        <v>2954</v>
      </c>
      <c r="T8" s="144">
        <v>3.0413999999999999</v>
      </c>
      <c r="U8" s="146">
        <v>9.7114317425083232E-7</v>
      </c>
      <c r="V8" s="146">
        <v>0.13285897465538885</v>
      </c>
      <c r="W8" s="147">
        <v>8.9766706088635769E-4</v>
      </c>
      <c r="X8" s="183"/>
    </row>
    <row r="9" spans="1:24" ht="15" x14ac:dyDescent="0.2">
      <c r="A9" s="142" t="s">
        <v>1205</v>
      </c>
      <c r="B9" s="143" t="s">
        <v>1205</v>
      </c>
      <c r="C9" s="143" t="s">
        <v>2967</v>
      </c>
      <c r="D9" s="143" t="s">
        <v>2968</v>
      </c>
      <c r="E9" s="143" t="s">
        <v>314</v>
      </c>
      <c r="F9" s="143" t="s">
        <v>2969</v>
      </c>
      <c r="G9" s="143" t="s">
        <v>2970</v>
      </c>
      <c r="H9" s="143" t="s">
        <v>321</v>
      </c>
      <c r="I9" s="143" t="s">
        <v>969</v>
      </c>
      <c r="J9" s="143" t="s">
        <v>205</v>
      </c>
      <c r="K9" s="143" t="s">
        <v>291</v>
      </c>
      <c r="L9" s="143" t="s">
        <v>325</v>
      </c>
      <c r="M9" s="143" t="s">
        <v>314</v>
      </c>
      <c r="N9" s="143" t="s">
        <v>678</v>
      </c>
      <c r="O9" s="143" t="s">
        <v>339</v>
      </c>
      <c r="P9" s="143" t="s">
        <v>1211</v>
      </c>
      <c r="Q9" s="144">
        <v>1019.78</v>
      </c>
      <c r="R9" s="143" t="s">
        <v>1212</v>
      </c>
      <c r="S9" s="143" t="s">
        <v>2971</v>
      </c>
      <c r="T9" s="144">
        <v>5086.2078000000001</v>
      </c>
      <c r="U9" s="145" t="s">
        <v>3853</v>
      </c>
      <c r="V9" s="146">
        <v>0.2146793669926633</v>
      </c>
      <c r="W9" s="147">
        <v>7.6796592906905959E-3</v>
      </c>
      <c r="X9" s="183"/>
    </row>
    <row r="10" spans="1:24" ht="15" x14ac:dyDescent="0.2">
      <c r="A10" s="142" t="s">
        <v>1205</v>
      </c>
      <c r="B10" s="143" t="s">
        <v>1205</v>
      </c>
      <c r="C10" s="143" t="s">
        <v>2972</v>
      </c>
      <c r="D10" s="143" t="s">
        <v>2973</v>
      </c>
      <c r="E10" s="143" t="s">
        <v>313</v>
      </c>
      <c r="F10" s="143" t="s">
        <v>2972</v>
      </c>
      <c r="G10" s="143" t="s">
        <v>2974</v>
      </c>
      <c r="H10" s="143" t="s">
        <v>321</v>
      </c>
      <c r="I10" s="143" t="s">
        <v>969</v>
      </c>
      <c r="J10" s="143" t="s">
        <v>205</v>
      </c>
      <c r="K10" s="143" t="s">
        <v>2975</v>
      </c>
      <c r="L10" s="143" t="s">
        <v>325</v>
      </c>
      <c r="M10" s="143" t="s">
        <v>314</v>
      </c>
      <c r="N10" s="143" t="s">
        <v>596</v>
      </c>
      <c r="O10" s="143" t="s">
        <v>339</v>
      </c>
      <c r="P10" s="143" t="s">
        <v>1211</v>
      </c>
      <c r="Q10" s="144">
        <v>41060.07</v>
      </c>
      <c r="R10" s="143" t="s">
        <v>1212</v>
      </c>
      <c r="S10" s="143" t="s">
        <v>2976</v>
      </c>
      <c r="T10" s="144">
        <v>1730.3905</v>
      </c>
      <c r="U10" s="145" t="s">
        <v>3853</v>
      </c>
      <c r="V10" s="146">
        <v>7.3036561510118642E-2</v>
      </c>
      <c r="W10" s="147">
        <v>2.6127145613413635E-3</v>
      </c>
      <c r="X10" s="183"/>
    </row>
    <row r="11" spans="1:24" x14ac:dyDescent="0.2">
      <c r="A11" s="142" t="s">
        <v>1205</v>
      </c>
      <c r="B11" s="143" t="s">
        <v>1205</v>
      </c>
      <c r="C11" s="143" t="s">
        <v>2977</v>
      </c>
      <c r="D11" s="143" t="s">
        <v>2978</v>
      </c>
      <c r="E11" s="143" t="s">
        <v>313</v>
      </c>
      <c r="F11" s="143" t="s">
        <v>2979</v>
      </c>
      <c r="G11" s="143" t="s">
        <v>2980</v>
      </c>
      <c r="H11" s="143" t="s">
        <v>321</v>
      </c>
      <c r="I11" s="143" t="s">
        <v>969</v>
      </c>
      <c r="J11" s="143" t="s">
        <v>205</v>
      </c>
      <c r="K11" s="143" t="s">
        <v>2975</v>
      </c>
      <c r="L11" s="143" t="s">
        <v>325</v>
      </c>
      <c r="M11" s="143" t="s">
        <v>314</v>
      </c>
      <c r="N11" s="143" t="s">
        <v>678</v>
      </c>
      <c r="O11" s="143" t="s">
        <v>339</v>
      </c>
      <c r="P11" s="143" t="s">
        <v>1211</v>
      </c>
      <c r="Q11" s="144">
        <v>13172.44</v>
      </c>
      <c r="R11" s="143" t="s">
        <v>1212</v>
      </c>
      <c r="S11" s="143" t="s">
        <v>2981</v>
      </c>
      <c r="T11" s="144">
        <v>1657.769</v>
      </c>
      <c r="U11" s="146">
        <v>2.7027042554064588E-4</v>
      </c>
      <c r="V11" s="146">
        <v>6.9971343320581317E-2</v>
      </c>
      <c r="W11" s="147">
        <v>2.5030634491873083E-3</v>
      </c>
      <c r="X11" s="183"/>
    </row>
    <row r="12" spans="1:24" x14ac:dyDescent="0.2">
      <c r="A12" s="142" t="s">
        <v>1205</v>
      </c>
      <c r="B12" s="143" t="s">
        <v>1205</v>
      </c>
      <c r="C12" s="143" t="s">
        <v>2951</v>
      </c>
      <c r="D12" s="143" t="s">
        <v>2952</v>
      </c>
      <c r="E12" s="143" t="s">
        <v>313</v>
      </c>
      <c r="F12" s="143" t="s">
        <v>2951</v>
      </c>
      <c r="G12" s="143" t="s">
        <v>2953</v>
      </c>
      <c r="H12" s="143" t="s">
        <v>321</v>
      </c>
      <c r="I12" s="143" t="s">
        <v>969</v>
      </c>
      <c r="J12" s="143" t="s">
        <v>205</v>
      </c>
      <c r="K12" s="143" t="s">
        <v>224</v>
      </c>
      <c r="L12" s="143" t="s">
        <v>325</v>
      </c>
      <c r="M12" s="143" t="s">
        <v>314</v>
      </c>
      <c r="N12" s="143" t="s">
        <v>677</v>
      </c>
      <c r="O12" s="143" t="s">
        <v>339</v>
      </c>
      <c r="P12" s="143" t="s">
        <v>1211</v>
      </c>
      <c r="Q12" s="144">
        <v>1288.5</v>
      </c>
      <c r="R12" s="143" t="s">
        <v>1212</v>
      </c>
      <c r="S12" s="143" t="s">
        <v>2954</v>
      </c>
      <c r="T12" s="144">
        <v>1119.6653000000001</v>
      </c>
      <c r="U12" s="146">
        <v>3.5751942286348499E-4</v>
      </c>
      <c r="V12" s="146">
        <v>4.7258989274056383E-2</v>
      </c>
      <c r="W12" s="147">
        <v>1.6905813592209709E-3</v>
      </c>
      <c r="X12" s="183"/>
    </row>
    <row r="13" spans="1:24" ht="15" x14ac:dyDescent="0.2">
      <c r="A13" s="142" t="s">
        <v>1205</v>
      </c>
      <c r="B13" s="143" t="s">
        <v>1205</v>
      </c>
      <c r="C13" s="143" t="s">
        <v>2982</v>
      </c>
      <c r="D13" s="143" t="s">
        <v>2983</v>
      </c>
      <c r="E13" s="143" t="s">
        <v>309</v>
      </c>
      <c r="F13" s="143" t="s">
        <v>2984</v>
      </c>
      <c r="G13" s="143" t="s">
        <v>2985</v>
      </c>
      <c r="H13" s="143" t="s">
        <v>321</v>
      </c>
      <c r="I13" s="143" t="s">
        <v>917</v>
      </c>
      <c r="J13" s="143" t="s">
        <v>204</v>
      </c>
      <c r="K13" s="143" t="s">
        <v>291</v>
      </c>
      <c r="L13" s="143" t="s">
        <v>325</v>
      </c>
      <c r="M13" s="143" t="s">
        <v>340</v>
      </c>
      <c r="N13" s="143" t="s">
        <v>698</v>
      </c>
      <c r="O13" s="143" t="s">
        <v>339</v>
      </c>
      <c r="P13" s="143" t="s">
        <v>1210</v>
      </c>
      <c r="Q13" s="144">
        <v>1280604.33</v>
      </c>
      <c r="R13" s="145" t="s">
        <v>3853</v>
      </c>
      <c r="S13" s="143" t="s">
        <v>2986</v>
      </c>
      <c r="T13" s="144">
        <v>825.98980000000006</v>
      </c>
      <c r="U13" s="146">
        <v>3.4966889258406719E-3</v>
      </c>
      <c r="V13" s="146">
        <v>3.4863492267521071E-2</v>
      </c>
      <c r="W13" s="147">
        <v>1.2471610385703159E-3</v>
      </c>
      <c r="X13" s="183"/>
    </row>
    <row r="14" spans="1:24" ht="15" x14ac:dyDescent="0.2">
      <c r="A14" s="142" t="s">
        <v>1205</v>
      </c>
      <c r="B14" s="143" t="s">
        <v>1205</v>
      </c>
      <c r="C14" s="143" t="s">
        <v>2955</v>
      </c>
      <c r="D14" s="143" t="s">
        <v>2956</v>
      </c>
      <c r="E14" s="143" t="s">
        <v>313</v>
      </c>
      <c r="F14" s="143" t="s">
        <v>2955</v>
      </c>
      <c r="G14" s="143" t="s">
        <v>2957</v>
      </c>
      <c r="H14" s="143" t="s">
        <v>321</v>
      </c>
      <c r="I14" s="143" t="s">
        <v>917</v>
      </c>
      <c r="J14" s="143" t="s">
        <v>205</v>
      </c>
      <c r="K14" s="143" t="s">
        <v>244</v>
      </c>
      <c r="L14" s="143" t="s">
        <v>325</v>
      </c>
      <c r="M14" s="143" t="s">
        <v>314</v>
      </c>
      <c r="N14" s="143" t="s">
        <v>580</v>
      </c>
      <c r="O14" s="143" t="s">
        <v>339</v>
      </c>
      <c r="P14" s="143" t="s">
        <v>1211</v>
      </c>
      <c r="Q14" s="144">
        <v>67736.58</v>
      </c>
      <c r="R14" s="143" t="s">
        <v>1212</v>
      </c>
      <c r="S14" s="143" t="s">
        <v>2958</v>
      </c>
      <c r="T14" s="144">
        <v>3837.7617</v>
      </c>
      <c r="U14" s="145" t="s">
        <v>3853</v>
      </c>
      <c r="V14" s="146">
        <v>0.16198477981276591</v>
      </c>
      <c r="W14" s="147">
        <v>5.7946319512023337E-3</v>
      </c>
      <c r="X14" s="183"/>
    </row>
    <row r="15" spans="1:24" x14ac:dyDescent="0.2">
      <c r="A15" s="142" t="s">
        <v>1205</v>
      </c>
      <c r="B15" s="143" t="s">
        <v>1205</v>
      </c>
      <c r="C15" s="143" t="s">
        <v>2987</v>
      </c>
      <c r="D15" s="143" t="s">
        <v>2988</v>
      </c>
      <c r="E15" s="143" t="s">
        <v>313</v>
      </c>
      <c r="F15" s="143" t="s">
        <v>2987</v>
      </c>
      <c r="G15" s="143" t="s">
        <v>2989</v>
      </c>
      <c r="H15" s="143" t="s">
        <v>321</v>
      </c>
      <c r="I15" s="143" t="s">
        <v>917</v>
      </c>
      <c r="J15" s="143" t="s">
        <v>205</v>
      </c>
      <c r="K15" s="143" t="s">
        <v>281</v>
      </c>
      <c r="L15" s="143" t="s">
        <v>325</v>
      </c>
      <c r="M15" s="143" t="s">
        <v>314</v>
      </c>
      <c r="N15" s="143" t="s">
        <v>708</v>
      </c>
      <c r="O15" s="143" t="s">
        <v>339</v>
      </c>
      <c r="P15" s="143" t="s">
        <v>1211</v>
      </c>
      <c r="Q15" s="144">
        <v>52079.19</v>
      </c>
      <c r="R15" s="143" t="s">
        <v>1212</v>
      </c>
      <c r="S15" s="143" t="s">
        <v>2990</v>
      </c>
      <c r="T15" s="144">
        <v>1950.8050000000001</v>
      </c>
      <c r="U15" s="146">
        <v>1.2773899926416483E-2</v>
      </c>
      <c r="V15" s="146">
        <v>8.2339847295197985E-2</v>
      </c>
      <c r="W15" s="147">
        <v>2.945518156368621E-3</v>
      </c>
      <c r="X15" s="183"/>
    </row>
    <row r="16" spans="1:24" x14ac:dyDescent="0.2">
      <c r="A16" s="142" t="s">
        <v>1205</v>
      </c>
      <c r="B16" s="143" t="s">
        <v>1205</v>
      </c>
      <c r="C16" s="143" t="s">
        <v>2991</v>
      </c>
      <c r="D16" s="143" t="s">
        <v>2992</v>
      </c>
      <c r="E16" s="143" t="s">
        <v>313</v>
      </c>
      <c r="F16" s="143" t="s">
        <v>2991</v>
      </c>
      <c r="G16" s="143" t="s">
        <v>2993</v>
      </c>
      <c r="H16" s="143" t="s">
        <v>321</v>
      </c>
      <c r="I16" s="143" t="s">
        <v>917</v>
      </c>
      <c r="J16" s="143" t="s">
        <v>205</v>
      </c>
      <c r="K16" s="143" t="s">
        <v>220</v>
      </c>
      <c r="L16" s="143" t="s">
        <v>325</v>
      </c>
      <c r="M16" s="143" t="s">
        <v>314</v>
      </c>
      <c r="N16" s="143" t="s">
        <v>706</v>
      </c>
      <c r="O16" s="143" t="s">
        <v>339</v>
      </c>
      <c r="P16" s="143" t="s">
        <v>1214</v>
      </c>
      <c r="Q16" s="144">
        <v>8351.16</v>
      </c>
      <c r="R16" s="143" t="s">
        <v>1215</v>
      </c>
      <c r="S16" s="143" t="s">
        <v>2994</v>
      </c>
      <c r="T16" s="144">
        <v>1649.1221</v>
      </c>
      <c r="U16" s="146">
        <v>2.0128127259580621E-4</v>
      </c>
      <c r="V16" s="146">
        <v>6.9606376991963176E-2</v>
      </c>
      <c r="W16" s="147">
        <v>2.4900076204151965E-3</v>
      </c>
      <c r="X16" s="183"/>
    </row>
    <row r="17" spans="1:24" x14ac:dyDescent="0.2">
      <c r="A17" s="142" t="s">
        <v>1205</v>
      </c>
      <c r="B17" s="143" t="s">
        <v>1205</v>
      </c>
      <c r="C17" s="143" t="s">
        <v>2959</v>
      </c>
      <c r="D17" s="143" t="s">
        <v>2960</v>
      </c>
      <c r="E17" s="143" t="s">
        <v>313</v>
      </c>
      <c r="F17" s="143" t="s">
        <v>2959</v>
      </c>
      <c r="G17" s="143" t="s">
        <v>2961</v>
      </c>
      <c r="H17" s="143" t="s">
        <v>321</v>
      </c>
      <c r="I17" s="143" t="s">
        <v>917</v>
      </c>
      <c r="J17" s="143" t="s">
        <v>205</v>
      </c>
      <c r="K17" s="143" t="s">
        <v>238</v>
      </c>
      <c r="L17" s="143" t="s">
        <v>325</v>
      </c>
      <c r="M17" s="143" t="s">
        <v>314</v>
      </c>
      <c r="N17" s="143" t="s">
        <v>706</v>
      </c>
      <c r="O17" s="143" t="s">
        <v>339</v>
      </c>
      <c r="P17" s="143" t="s">
        <v>1214</v>
      </c>
      <c r="Q17" s="144">
        <v>2007.01</v>
      </c>
      <c r="R17" s="143" t="s">
        <v>1215</v>
      </c>
      <c r="S17" s="143" t="s">
        <v>2962</v>
      </c>
      <c r="T17" s="144">
        <v>1604.6795</v>
      </c>
      <c r="U17" s="146">
        <v>3.6491090909090911E-2</v>
      </c>
      <c r="V17" s="146">
        <v>6.7730536307282679E-2</v>
      </c>
      <c r="W17" s="147">
        <v>2.4229037457216664E-3</v>
      </c>
      <c r="X17" s="183"/>
    </row>
    <row r="18" spans="1:24" ht="15" x14ac:dyDescent="0.2">
      <c r="A18" s="142" t="s">
        <v>1205</v>
      </c>
      <c r="B18" s="143" t="s">
        <v>1205</v>
      </c>
      <c r="C18" s="143" t="s">
        <v>2995</v>
      </c>
      <c r="D18" s="143" t="s">
        <v>2996</v>
      </c>
      <c r="E18" s="143" t="s">
        <v>313</v>
      </c>
      <c r="F18" s="143" t="s">
        <v>2995</v>
      </c>
      <c r="G18" s="143" t="s">
        <v>2997</v>
      </c>
      <c r="H18" s="143" t="s">
        <v>321</v>
      </c>
      <c r="I18" s="143" t="s">
        <v>917</v>
      </c>
      <c r="J18" s="143" t="s">
        <v>205</v>
      </c>
      <c r="K18" s="145" t="s">
        <v>3853</v>
      </c>
      <c r="L18" s="143" t="s">
        <v>325</v>
      </c>
      <c r="M18" s="143" t="s">
        <v>380</v>
      </c>
      <c r="N18" s="143" t="s">
        <v>587</v>
      </c>
      <c r="O18" s="143" t="s">
        <v>339</v>
      </c>
      <c r="P18" s="143" t="s">
        <v>1216</v>
      </c>
      <c r="Q18" s="144">
        <v>28450.91</v>
      </c>
      <c r="R18" s="143" t="s">
        <v>1217</v>
      </c>
      <c r="S18" s="143" t="s">
        <v>2998</v>
      </c>
      <c r="T18" s="144">
        <v>1324.3264999999999</v>
      </c>
      <c r="U18" s="146">
        <v>2.044959641191142E-4</v>
      </c>
      <c r="V18" s="146">
        <v>5.5897358954357483E-2</v>
      </c>
      <c r="W18" s="147">
        <v>1.9995991139361295E-3</v>
      </c>
      <c r="X18" s="183"/>
    </row>
    <row r="19" spans="1:24" ht="15" x14ac:dyDescent="0.2">
      <c r="A19" s="142" t="s">
        <v>1205</v>
      </c>
      <c r="B19" s="143" t="s">
        <v>1205</v>
      </c>
      <c r="C19" s="143" t="s">
        <v>2963</v>
      </c>
      <c r="D19" s="143" t="s">
        <v>2964</v>
      </c>
      <c r="E19" s="143" t="s">
        <v>313</v>
      </c>
      <c r="F19" s="143" t="s">
        <v>2963</v>
      </c>
      <c r="G19" s="143" t="s">
        <v>2965</v>
      </c>
      <c r="H19" s="143" t="s">
        <v>321</v>
      </c>
      <c r="I19" s="143" t="s">
        <v>917</v>
      </c>
      <c r="J19" s="143" t="s">
        <v>205</v>
      </c>
      <c r="K19" s="143" t="s">
        <v>220</v>
      </c>
      <c r="L19" s="143" t="s">
        <v>325</v>
      </c>
      <c r="M19" s="143" t="s">
        <v>314</v>
      </c>
      <c r="N19" s="143" t="s">
        <v>599</v>
      </c>
      <c r="O19" s="143" t="s">
        <v>339</v>
      </c>
      <c r="P19" s="143" t="s">
        <v>1211</v>
      </c>
      <c r="Q19" s="144">
        <v>1474.56</v>
      </c>
      <c r="R19" s="143" t="s">
        <v>1212</v>
      </c>
      <c r="S19" s="143" t="s">
        <v>2966</v>
      </c>
      <c r="T19" s="144">
        <v>1243.2771</v>
      </c>
      <c r="U19" s="145" t="s">
        <v>3853</v>
      </c>
      <c r="V19" s="146">
        <v>5.2476411383522596E-2</v>
      </c>
      <c r="W19" s="147">
        <v>1.8772226034994024E-3</v>
      </c>
      <c r="X19" s="183"/>
    </row>
    <row r="20" spans="1:24" x14ac:dyDescent="0.2">
      <c r="A20" s="142" t="s">
        <v>1205</v>
      </c>
      <c r="B20" s="143" t="s">
        <v>1205</v>
      </c>
      <c r="C20" s="143" t="s">
        <v>2999</v>
      </c>
      <c r="D20" s="143" t="s">
        <v>3000</v>
      </c>
      <c r="E20" s="143" t="s">
        <v>313</v>
      </c>
      <c r="F20" s="143" t="s">
        <v>2999</v>
      </c>
      <c r="G20" s="143" t="s">
        <v>3001</v>
      </c>
      <c r="H20" s="143" t="s">
        <v>321</v>
      </c>
      <c r="I20" s="143" t="s">
        <v>917</v>
      </c>
      <c r="J20" s="143" t="s">
        <v>205</v>
      </c>
      <c r="K20" s="143" t="s">
        <v>268</v>
      </c>
      <c r="L20" s="143" t="s">
        <v>325</v>
      </c>
      <c r="M20" s="143" t="s">
        <v>314</v>
      </c>
      <c r="N20" s="143" t="s">
        <v>588</v>
      </c>
      <c r="O20" s="143" t="s">
        <v>339</v>
      </c>
      <c r="P20" s="143" t="s">
        <v>1211</v>
      </c>
      <c r="Q20" s="144">
        <v>2683</v>
      </c>
      <c r="R20" s="143" t="s">
        <v>1212</v>
      </c>
      <c r="S20" s="143" t="s">
        <v>3002</v>
      </c>
      <c r="T20" s="144">
        <v>965.60410000000002</v>
      </c>
      <c r="U20" s="146">
        <v>1.0910939406262709E-3</v>
      </c>
      <c r="V20" s="146">
        <v>4.0756354418556989E-2</v>
      </c>
      <c r="W20" s="147">
        <v>1.4579645927307332E-3</v>
      </c>
      <c r="X20" s="183"/>
    </row>
    <row r="21" spans="1:24" x14ac:dyDescent="0.2">
      <c r="A21" s="142" t="s">
        <v>1205</v>
      </c>
      <c r="B21" s="143" t="s">
        <v>1205</v>
      </c>
      <c r="C21" s="143" t="s">
        <v>3003</v>
      </c>
      <c r="D21" s="143" t="s">
        <v>3004</v>
      </c>
      <c r="E21" s="143" t="s">
        <v>313</v>
      </c>
      <c r="F21" s="143" t="s">
        <v>3003</v>
      </c>
      <c r="G21" s="143" t="s">
        <v>3005</v>
      </c>
      <c r="H21" s="143" t="s">
        <v>321</v>
      </c>
      <c r="I21" s="143" t="s">
        <v>917</v>
      </c>
      <c r="J21" s="143" t="s">
        <v>205</v>
      </c>
      <c r="K21" s="143" t="s">
        <v>296</v>
      </c>
      <c r="L21" s="143" t="s">
        <v>325</v>
      </c>
      <c r="M21" s="143" t="s">
        <v>380</v>
      </c>
      <c r="N21" s="143" t="s">
        <v>595</v>
      </c>
      <c r="O21" s="143" t="s">
        <v>339</v>
      </c>
      <c r="P21" s="143" t="s">
        <v>1216</v>
      </c>
      <c r="Q21" s="144">
        <v>5936</v>
      </c>
      <c r="R21" s="143" t="s">
        <v>1217</v>
      </c>
      <c r="S21" s="143" t="s">
        <v>2918</v>
      </c>
      <c r="T21" s="144">
        <v>696.5145</v>
      </c>
      <c r="U21" s="146">
        <v>7.5573549257759788E-5</v>
      </c>
      <c r="V21" s="146">
        <v>2.9398581471412465E-2</v>
      </c>
      <c r="W21" s="147">
        <v>1.0516664572509801E-3</v>
      </c>
      <c r="X21" s="183"/>
    </row>
    <row r="22" spans="1:24" x14ac:dyDescent="0.2">
      <c r="A22" s="142" t="s">
        <v>1218</v>
      </c>
      <c r="B22" s="143" t="s">
        <v>1219</v>
      </c>
      <c r="C22" s="143" t="s">
        <v>2951</v>
      </c>
      <c r="D22" s="143" t="s">
        <v>2952</v>
      </c>
      <c r="E22" s="143" t="s">
        <v>313</v>
      </c>
      <c r="F22" s="143" t="s">
        <v>2951</v>
      </c>
      <c r="G22" s="143" t="s">
        <v>2953</v>
      </c>
      <c r="H22" s="143" t="s">
        <v>321</v>
      </c>
      <c r="I22" s="143" t="s">
        <v>969</v>
      </c>
      <c r="J22" s="143" t="s">
        <v>205</v>
      </c>
      <c r="K22" s="143" t="s">
        <v>224</v>
      </c>
      <c r="L22" s="143" t="s">
        <v>325</v>
      </c>
      <c r="M22" s="143" t="s">
        <v>314</v>
      </c>
      <c r="N22" s="143" t="s">
        <v>677</v>
      </c>
      <c r="O22" s="143" t="s">
        <v>339</v>
      </c>
      <c r="P22" s="143" t="s">
        <v>1211</v>
      </c>
      <c r="Q22" s="144">
        <v>229.5</v>
      </c>
      <c r="R22" s="143" t="s">
        <v>1212</v>
      </c>
      <c r="S22" s="143" t="s">
        <v>2954</v>
      </c>
      <c r="T22" s="144">
        <v>199.4282</v>
      </c>
      <c r="U22" s="146">
        <v>6.367924528301887E-5</v>
      </c>
      <c r="V22" s="146">
        <v>0.14171177077804814</v>
      </c>
      <c r="W22" s="147">
        <v>7.0293489719694467E-4</v>
      </c>
      <c r="X22" s="183"/>
    </row>
    <row r="23" spans="1:24" ht="15" x14ac:dyDescent="0.2">
      <c r="A23" s="142" t="s">
        <v>1218</v>
      </c>
      <c r="B23" s="143" t="s">
        <v>1219</v>
      </c>
      <c r="C23" s="143" t="s">
        <v>2955</v>
      </c>
      <c r="D23" s="143" t="s">
        <v>2956</v>
      </c>
      <c r="E23" s="143" t="s">
        <v>313</v>
      </c>
      <c r="F23" s="143" t="s">
        <v>2955</v>
      </c>
      <c r="G23" s="143" t="s">
        <v>2957</v>
      </c>
      <c r="H23" s="143" t="s">
        <v>321</v>
      </c>
      <c r="I23" s="143" t="s">
        <v>917</v>
      </c>
      <c r="J23" s="143" t="s">
        <v>205</v>
      </c>
      <c r="K23" s="143" t="s">
        <v>244</v>
      </c>
      <c r="L23" s="143" t="s">
        <v>325</v>
      </c>
      <c r="M23" s="143" t="s">
        <v>314</v>
      </c>
      <c r="N23" s="143" t="s">
        <v>580</v>
      </c>
      <c r="O23" s="143" t="s">
        <v>339</v>
      </c>
      <c r="P23" s="143" t="s">
        <v>1211</v>
      </c>
      <c r="Q23" s="144">
        <v>8835.2000000000007</v>
      </c>
      <c r="R23" s="143" t="s">
        <v>1212</v>
      </c>
      <c r="S23" s="143" t="s">
        <v>2958</v>
      </c>
      <c r="T23" s="144">
        <v>500.57729999999998</v>
      </c>
      <c r="U23" s="145" t="s">
        <v>3853</v>
      </c>
      <c r="V23" s="146">
        <v>0.35570548173264044</v>
      </c>
      <c r="W23" s="147">
        <v>1.7644109226871323E-3</v>
      </c>
      <c r="X23" s="183"/>
    </row>
    <row r="24" spans="1:24" x14ac:dyDescent="0.2">
      <c r="A24" s="142" t="s">
        <v>1218</v>
      </c>
      <c r="B24" s="143" t="s">
        <v>1219</v>
      </c>
      <c r="C24" s="143" t="s">
        <v>2959</v>
      </c>
      <c r="D24" s="143" t="s">
        <v>2960</v>
      </c>
      <c r="E24" s="143" t="s">
        <v>313</v>
      </c>
      <c r="F24" s="143" t="s">
        <v>2959</v>
      </c>
      <c r="G24" s="143" t="s">
        <v>2961</v>
      </c>
      <c r="H24" s="143" t="s">
        <v>321</v>
      </c>
      <c r="I24" s="143" t="s">
        <v>917</v>
      </c>
      <c r="J24" s="143" t="s">
        <v>205</v>
      </c>
      <c r="K24" s="143" t="s">
        <v>238</v>
      </c>
      <c r="L24" s="143" t="s">
        <v>325</v>
      </c>
      <c r="M24" s="143" t="s">
        <v>314</v>
      </c>
      <c r="N24" s="143" t="s">
        <v>706</v>
      </c>
      <c r="O24" s="143" t="s">
        <v>339</v>
      </c>
      <c r="P24" s="143" t="s">
        <v>1214</v>
      </c>
      <c r="Q24" s="144">
        <v>530.15</v>
      </c>
      <c r="R24" s="143" t="s">
        <v>1215</v>
      </c>
      <c r="S24" s="143" t="s">
        <v>2962</v>
      </c>
      <c r="T24" s="144">
        <v>423.87470000000002</v>
      </c>
      <c r="U24" s="146">
        <v>9.6390909090909097E-3</v>
      </c>
      <c r="V24" s="146">
        <v>0.30120139055798478</v>
      </c>
      <c r="W24" s="147">
        <v>1.4940535097755698E-3</v>
      </c>
      <c r="X24" s="183"/>
    </row>
    <row r="25" spans="1:24" ht="15" x14ac:dyDescent="0.2">
      <c r="A25" s="142" t="s">
        <v>1218</v>
      </c>
      <c r="B25" s="143" t="s">
        <v>1219</v>
      </c>
      <c r="C25" s="143" t="s">
        <v>2963</v>
      </c>
      <c r="D25" s="143" t="s">
        <v>2964</v>
      </c>
      <c r="E25" s="143" t="s">
        <v>313</v>
      </c>
      <c r="F25" s="143" t="s">
        <v>2963</v>
      </c>
      <c r="G25" s="143" t="s">
        <v>2965</v>
      </c>
      <c r="H25" s="143" t="s">
        <v>321</v>
      </c>
      <c r="I25" s="143" t="s">
        <v>917</v>
      </c>
      <c r="J25" s="143" t="s">
        <v>205</v>
      </c>
      <c r="K25" s="143" t="s">
        <v>220</v>
      </c>
      <c r="L25" s="143" t="s">
        <v>325</v>
      </c>
      <c r="M25" s="143" t="s">
        <v>314</v>
      </c>
      <c r="N25" s="143" t="s">
        <v>599</v>
      </c>
      <c r="O25" s="143" t="s">
        <v>339</v>
      </c>
      <c r="P25" s="143" t="s">
        <v>1211</v>
      </c>
      <c r="Q25" s="144">
        <v>336.12</v>
      </c>
      <c r="R25" s="143" t="s">
        <v>1212</v>
      </c>
      <c r="S25" s="143" t="s">
        <v>2966</v>
      </c>
      <c r="T25" s="144">
        <v>283.39999999999998</v>
      </c>
      <c r="U25" s="145" t="s">
        <v>3853</v>
      </c>
      <c r="V25" s="146">
        <v>0.20138135693132664</v>
      </c>
      <c r="W25" s="147">
        <v>9.989147877745054E-4</v>
      </c>
      <c r="X25" s="183"/>
    </row>
    <row r="26" spans="1:24" ht="15" x14ac:dyDescent="0.2">
      <c r="A26" s="142" t="s">
        <v>1218</v>
      </c>
      <c r="B26" s="143" t="s">
        <v>1220</v>
      </c>
      <c r="C26" s="143" t="s">
        <v>2967</v>
      </c>
      <c r="D26" s="143" t="s">
        <v>2968</v>
      </c>
      <c r="E26" s="143" t="s">
        <v>314</v>
      </c>
      <c r="F26" s="143" t="s">
        <v>2969</v>
      </c>
      <c r="G26" s="143" t="s">
        <v>2970</v>
      </c>
      <c r="H26" s="143" t="s">
        <v>321</v>
      </c>
      <c r="I26" s="143" t="s">
        <v>969</v>
      </c>
      <c r="J26" s="143" t="s">
        <v>205</v>
      </c>
      <c r="K26" s="143" t="s">
        <v>291</v>
      </c>
      <c r="L26" s="143" t="s">
        <v>325</v>
      </c>
      <c r="M26" s="143" t="s">
        <v>314</v>
      </c>
      <c r="N26" s="143" t="s">
        <v>678</v>
      </c>
      <c r="O26" s="143" t="s">
        <v>339</v>
      </c>
      <c r="P26" s="143" t="s">
        <v>1211</v>
      </c>
      <c r="Q26" s="144">
        <v>17.55</v>
      </c>
      <c r="R26" s="143" t="s">
        <v>1212</v>
      </c>
      <c r="S26" s="143" t="s">
        <v>2971</v>
      </c>
      <c r="T26" s="144">
        <v>87.531600000000012</v>
      </c>
      <c r="U26" s="145" t="s">
        <v>3853</v>
      </c>
      <c r="V26" s="146">
        <v>0.83090062047251168</v>
      </c>
      <c r="W26" s="147">
        <v>1.126533541265123E-2</v>
      </c>
      <c r="X26" s="183"/>
    </row>
    <row r="27" spans="1:24" x14ac:dyDescent="0.2">
      <c r="A27" s="142" t="s">
        <v>1218</v>
      </c>
      <c r="B27" s="143" t="s">
        <v>1220</v>
      </c>
      <c r="C27" s="143" t="s">
        <v>2951</v>
      </c>
      <c r="D27" s="143" t="s">
        <v>2952</v>
      </c>
      <c r="E27" s="143" t="s">
        <v>313</v>
      </c>
      <c r="F27" s="143" t="s">
        <v>2951</v>
      </c>
      <c r="G27" s="143" t="s">
        <v>2953</v>
      </c>
      <c r="H27" s="143" t="s">
        <v>321</v>
      </c>
      <c r="I27" s="143" t="s">
        <v>969</v>
      </c>
      <c r="J27" s="143" t="s">
        <v>205</v>
      </c>
      <c r="K27" s="143" t="s">
        <v>224</v>
      </c>
      <c r="L27" s="143" t="s">
        <v>325</v>
      </c>
      <c r="M27" s="143" t="s">
        <v>314</v>
      </c>
      <c r="N27" s="143" t="s">
        <v>677</v>
      </c>
      <c r="O27" s="143" t="s">
        <v>339</v>
      </c>
      <c r="P27" s="143" t="s">
        <v>1211</v>
      </c>
      <c r="Q27" s="144">
        <v>20.5</v>
      </c>
      <c r="R27" s="143" t="s">
        <v>1212</v>
      </c>
      <c r="S27" s="143" t="s">
        <v>2954</v>
      </c>
      <c r="T27" s="144">
        <v>17.813800000000001</v>
      </c>
      <c r="U27" s="146">
        <v>5.6881243063263039E-6</v>
      </c>
      <c r="V27" s="146">
        <v>0.1690993795274883</v>
      </c>
      <c r="W27" s="147">
        <v>2.2926462942885546E-3</v>
      </c>
      <c r="X27" s="183"/>
    </row>
    <row r="28" spans="1:24" ht="15" x14ac:dyDescent="0.2">
      <c r="A28" s="142" t="s">
        <v>1218</v>
      </c>
      <c r="B28" s="143" t="s">
        <v>1218</v>
      </c>
      <c r="C28" s="143" t="s">
        <v>2967</v>
      </c>
      <c r="D28" s="143" t="s">
        <v>2968</v>
      </c>
      <c r="E28" s="143" t="s">
        <v>314</v>
      </c>
      <c r="F28" s="143" t="s">
        <v>2969</v>
      </c>
      <c r="G28" s="143" t="s">
        <v>2970</v>
      </c>
      <c r="H28" s="143" t="s">
        <v>321</v>
      </c>
      <c r="I28" s="143" t="s">
        <v>969</v>
      </c>
      <c r="J28" s="143" t="s">
        <v>205</v>
      </c>
      <c r="K28" s="143" t="s">
        <v>291</v>
      </c>
      <c r="L28" s="143" t="s">
        <v>325</v>
      </c>
      <c r="M28" s="143" t="s">
        <v>314</v>
      </c>
      <c r="N28" s="143" t="s">
        <v>678</v>
      </c>
      <c r="O28" s="143" t="s">
        <v>339</v>
      </c>
      <c r="P28" s="143" t="s">
        <v>1211</v>
      </c>
      <c r="Q28" s="144">
        <v>11268.32</v>
      </c>
      <c r="R28" s="143" t="s">
        <v>1212</v>
      </c>
      <c r="S28" s="143" t="s">
        <v>2971</v>
      </c>
      <c r="T28" s="144">
        <v>56201.354200000002</v>
      </c>
      <c r="U28" s="145" t="s">
        <v>3853</v>
      </c>
      <c r="V28" s="146">
        <v>0.22533435379657446</v>
      </c>
      <c r="W28" s="147">
        <v>7.4874873060876215E-3</v>
      </c>
      <c r="X28" s="183"/>
    </row>
    <row r="29" spans="1:24" ht="15" x14ac:dyDescent="0.2">
      <c r="A29" s="142" t="s">
        <v>1218</v>
      </c>
      <c r="B29" s="143" t="s">
        <v>1218</v>
      </c>
      <c r="C29" s="143" t="s">
        <v>2972</v>
      </c>
      <c r="D29" s="143" t="s">
        <v>2973</v>
      </c>
      <c r="E29" s="143" t="s">
        <v>313</v>
      </c>
      <c r="F29" s="143" t="s">
        <v>2972</v>
      </c>
      <c r="G29" s="143" t="s">
        <v>2974</v>
      </c>
      <c r="H29" s="143" t="s">
        <v>321</v>
      </c>
      <c r="I29" s="143" t="s">
        <v>969</v>
      </c>
      <c r="J29" s="143" t="s">
        <v>205</v>
      </c>
      <c r="K29" s="143" t="s">
        <v>2975</v>
      </c>
      <c r="L29" s="143" t="s">
        <v>325</v>
      </c>
      <c r="M29" s="143" t="s">
        <v>314</v>
      </c>
      <c r="N29" s="143" t="s">
        <v>596</v>
      </c>
      <c r="O29" s="143" t="s">
        <v>339</v>
      </c>
      <c r="P29" s="143" t="s">
        <v>1211</v>
      </c>
      <c r="Q29" s="144">
        <v>418439.78</v>
      </c>
      <c r="R29" s="143" t="s">
        <v>1212</v>
      </c>
      <c r="S29" s="143" t="s">
        <v>2976</v>
      </c>
      <c r="T29" s="144">
        <v>17634.266100000001</v>
      </c>
      <c r="U29" s="145" t="s">
        <v>3853</v>
      </c>
      <c r="V29" s="146">
        <v>7.0703028871628992E-2</v>
      </c>
      <c r="W29" s="147">
        <v>2.3493445285142156E-3</v>
      </c>
      <c r="X29" s="183"/>
    </row>
    <row r="30" spans="1:24" x14ac:dyDescent="0.2">
      <c r="A30" s="142" t="s">
        <v>1218</v>
      </c>
      <c r="B30" s="143" t="s">
        <v>1218</v>
      </c>
      <c r="C30" s="143" t="s">
        <v>2977</v>
      </c>
      <c r="D30" s="143" t="s">
        <v>2978</v>
      </c>
      <c r="E30" s="143" t="s">
        <v>313</v>
      </c>
      <c r="F30" s="143" t="s">
        <v>2979</v>
      </c>
      <c r="G30" s="143" t="s">
        <v>2980</v>
      </c>
      <c r="H30" s="143" t="s">
        <v>321</v>
      </c>
      <c r="I30" s="143" t="s">
        <v>969</v>
      </c>
      <c r="J30" s="143" t="s">
        <v>205</v>
      </c>
      <c r="K30" s="143" t="s">
        <v>2975</v>
      </c>
      <c r="L30" s="143" t="s">
        <v>325</v>
      </c>
      <c r="M30" s="143" t="s">
        <v>314</v>
      </c>
      <c r="N30" s="143" t="s">
        <v>678</v>
      </c>
      <c r="O30" s="143" t="s">
        <v>339</v>
      </c>
      <c r="P30" s="143" t="s">
        <v>1211</v>
      </c>
      <c r="Q30" s="144">
        <v>134587.89000000001</v>
      </c>
      <c r="R30" s="143" t="s">
        <v>1212</v>
      </c>
      <c r="S30" s="143" t="s">
        <v>2981</v>
      </c>
      <c r="T30" s="144">
        <v>16938.063600000001</v>
      </c>
      <c r="U30" s="146">
        <v>2.7614569740243753E-3</v>
      </c>
      <c r="V30" s="146">
        <v>6.7911666477305607E-2</v>
      </c>
      <c r="W30" s="147">
        <v>2.2565921800948761E-3</v>
      </c>
      <c r="X30" s="183"/>
    </row>
    <row r="31" spans="1:24" x14ac:dyDescent="0.2">
      <c r="A31" s="142" t="s">
        <v>1218</v>
      </c>
      <c r="B31" s="143" t="s">
        <v>1218</v>
      </c>
      <c r="C31" s="143" t="s">
        <v>2951</v>
      </c>
      <c r="D31" s="143" t="s">
        <v>2952</v>
      </c>
      <c r="E31" s="143" t="s">
        <v>313</v>
      </c>
      <c r="F31" s="143" t="s">
        <v>2951</v>
      </c>
      <c r="G31" s="143" t="s">
        <v>2953</v>
      </c>
      <c r="H31" s="143" t="s">
        <v>321</v>
      </c>
      <c r="I31" s="143" t="s">
        <v>969</v>
      </c>
      <c r="J31" s="143" t="s">
        <v>205</v>
      </c>
      <c r="K31" s="143" t="s">
        <v>224</v>
      </c>
      <c r="L31" s="143" t="s">
        <v>325</v>
      </c>
      <c r="M31" s="143" t="s">
        <v>314</v>
      </c>
      <c r="N31" s="143" t="s">
        <v>677</v>
      </c>
      <c r="O31" s="143" t="s">
        <v>339</v>
      </c>
      <c r="P31" s="143" t="s">
        <v>1211</v>
      </c>
      <c r="Q31" s="144">
        <v>9444.2099999999991</v>
      </c>
      <c r="R31" s="143" t="s">
        <v>1212</v>
      </c>
      <c r="S31" s="143" t="s">
        <v>2954</v>
      </c>
      <c r="T31" s="144">
        <v>8206.7165999999997</v>
      </c>
      <c r="U31" s="146">
        <v>2.6204800221975581E-3</v>
      </c>
      <c r="V31" s="146">
        <v>3.2904103476743586E-2</v>
      </c>
      <c r="W31" s="147">
        <v>1.0933488522692208E-3</v>
      </c>
      <c r="X31" s="183"/>
    </row>
    <row r="32" spans="1:24" ht="15" x14ac:dyDescent="0.2">
      <c r="A32" s="142" t="s">
        <v>1218</v>
      </c>
      <c r="B32" s="143" t="s">
        <v>1218</v>
      </c>
      <c r="C32" s="143" t="s">
        <v>2982</v>
      </c>
      <c r="D32" s="143" t="s">
        <v>2983</v>
      </c>
      <c r="E32" s="143" t="s">
        <v>309</v>
      </c>
      <c r="F32" s="143" t="s">
        <v>2984</v>
      </c>
      <c r="G32" s="143" t="s">
        <v>2985</v>
      </c>
      <c r="H32" s="143" t="s">
        <v>321</v>
      </c>
      <c r="I32" s="143" t="s">
        <v>917</v>
      </c>
      <c r="J32" s="143" t="s">
        <v>204</v>
      </c>
      <c r="K32" s="143" t="s">
        <v>291</v>
      </c>
      <c r="L32" s="143" t="s">
        <v>325</v>
      </c>
      <c r="M32" s="143" t="s">
        <v>340</v>
      </c>
      <c r="N32" s="143" t="s">
        <v>698</v>
      </c>
      <c r="O32" s="143" t="s">
        <v>339</v>
      </c>
      <c r="P32" s="143" t="s">
        <v>1210</v>
      </c>
      <c r="Q32" s="144">
        <v>11426378.57</v>
      </c>
      <c r="R32" s="145" t="s">
        <v>3853</v>
      </c>
      <c r="S32" s="143" t="s">
        <v>2986</v>
      </c>
      <c r="T32" s="144">
        <v>7370.0142000000005</v>
      </c>
      <c r="U32" s="146">
        <v>3.1199716002976639E-2</v>
      </c>
      <c r="V32" s="146">
        <v>2.9549419356045839E-2</v>
      </c>
      <c r="W32" s="147">
        <v>9.8187825603543877E-4</v>
      </c>
      <c r="X32" s="183"/>
    </row>
    <row r="33" spans="1:24" ht="15" x14ac:dyDescent="0.2">
      <c r="A33" s="142" t="s">
        <v>1218</v>
      </c>
      <c r="B33" s="143" t="s">
        <v>1218</v>
      </c>
      <c r="C33" s="143" t="s">
        <v>2955</v>
      </c>
      <c r="D33" s="143" t="s">
        <v>2956</v>
      </c>
      <c r="E33" s="143" t="s">
        <v>313</v>
      </c>
      <c r="F33" s="143" t="s">
        <v>2955</v>
      </c>
      <c r="G33" s="143" t="s">
        <v>2957</v>
      </c>
      <c r="H33" s="143" t="s">
        <v>321</v>
      </c>
      <c r="I33" s="143" t="s">
        <v>917</v>
      </c>
      <c r="J33" s="143" t="s">
        <v>205</v>
      </c>
      <c r="K33" s="143" t="s">
        <v>244</v>
      </c>
      <c r="L33" s="143" t="s">
        <v>325</v>
      </c>
      <c r="M33" s="143" t="s">
        <v>314</v>
      </c>
      <c r="N33" s="143" t="s">
        <v>580</v>
      </c>
      <c r="O33" s="143" t="s">
        <v>339</v>
      </c>
      <c r="P33" s="143" t="s">
        <v>1211</v>
      </c>
      <c r="Q33" s="144">
        <v>765717.74</v>
      </c>
      <c r="R33" s="143" t="s">
        <v>1212</v>
      </c>
      <c r="S33" s="143" t="s">
        <v>2958</v>
      </c>
      <c r="T33" s="144">
        <v>43383.386100000003</v>
      </c>
      <c r="U33" s="145" t="s">
        <v>3853</v>
      </c>
      <c r="V33" s="146">
        <v>0.17394184561969364</v>
      </c>
      <c r="W33" s="147">
        <v>5.7797993920211017E-3</v>
      </c>
      <c r="X33" s="183"/>
    </row>
    <row r="34" spans="1:24" x14ac:dyDescent="0.2">
      <c r="A34" s="142" t="s">
        <v>1218</v>
      </c>
      <c r="B34" s="143" t="s">
        <v>1218</v>
      </c>
      <c r="C34" s="143" t="s">
        <v>2987</v>
      </c>
      <c r="D34" s="143" t="s">
        <v>2988</v>
      </c>
      <c r="E34" s="143" t="s">
        <v>313</v>
      </c>
      <c r="F34" s="143" t="s">
        <v>2987</v>
      </c>
      <c r="G34" s="143" t="s">
        <v>2989</v>
      </c>
      <c r="H34" s="143" t="s">
        <v>321</v>
      </c>
      <c r="I34" s="143" t="s">
        <v>917</v>
      </c>
      <c r="J34" s="143" t="s">
        <v>205</v>
      </c>
      <c r="K34" s="143" t="s">
        <v>281</v>
      </c>
      <c r="L34" s="143" t="s">
        <v>325</v>
      </c>
      <c r="M34" s="143" t="s">
        <v>314</v>
      </c>
      <c r="N34" s="143" t="s">
        <v>708</v>
      </c>
      <c r="O34" s="143" t="s">
        <v>339</v>
      </c>
      <c r="P34" s="143" t="s">
        <v>1211</v>
      </c>
      <c r="Q34" s="144">
        <v>579322.51</v>
      </c>
      <c r="R34" s="143" t="s">
        <v>1212</v>
      </c>
      <c r="S34" s="143" t="s">
        <v>2990</v>
      </c>
      <c r="T34" s="144">
        <v>21700.514600000002</v>
      </c>
      <c r="U34" s="146">
        <v>0.14209529310767721</v>
      </c>
      <c r="V34" s="146">
        <v>8.7006292017043796E-2</v>
      </c>
      <c r="W34" s="147">
        <v>2.8910749561759531E-3</v>
      </c>
      <c r="X34" s="183"/>
    </row>
    <row r="35" spans="1:24" x14ac:dyDescent="0.2">
      <c r="A35" s="142" t="s">
        <v>1218</v>
      </c>
      <c r="B35" s="143" t="s">
        <v>1218</v>
      </c>
      <c r="C35" s="143" t="s">
        <v>2991</v>
      </c>
      <c r="D35" s="143" t="s">
        <v>2992</v>
      </c>
      <c r="E35" s="143" t="s">
        <v>313</v>
      </c>
      <c r="F35" s="143" t="s">
        <v>2991</v>
      </c>
      <c r="G35" s="143" t="s">
        <v>2993</v>
      </c>
      <c r="H35" s="143" t="s">
        <v>321</v>
      </c>
      <c r="I35" s="143" t="s">
        <v>917</v>
      </c>
      <c r="J35" s="143" t="s">
        <v>205</v>
      </c>
      <c r="K35" s="143" t="s">
        <v>220</v>
      </c>
      <c r="L35" s="143" t="s">
        <v>325</v>
      </c>
      <c r="M35" s="143" t="s">
        <v>314</v>
      </c>
      <c r="N35" s="143" t="s">
        <v>706</v>
      </c>
      <c r="O35" s="143" t="s">
        <v>339</v>
      </c>
      <c r="P35" s="143" t="s">
        <v>1214</v>
      </c>
      <c r="Q35" s="144">
        <v>86145.61</v>
      </c>
      <c r="R35" s="143" t="s">
        <v>1215</v>
      </c>
      <c r="S35" s="143" t="s">
        <v>2994</v>
      </c>
      <c r="T35" s="144">
        <v>17011.3652</v>
      </c>
      <c r="U35" s="146">
        <v>2.0762981441311158E-3</v>
      </c>
      <c r="V35" s="146">
        <v>6.8205562680815277E-2</v>
      </c>
      <c r="W35" s="147">
        <v>2.2663578640929427E-3</v>
      </c>
      <c r="X35" s="183"/>
    </row>
    <row r="36" spans="1:24" x14ac:dyDescent="0.2">
      <c r="A36" s="142" t="s">
        <v>1218</v>
      </c>
      <c r="B36" s="143" t="s">
        <v>1218</v>
      </c>
      <c r="C36" s="143" t="s">
        <v>2959</v>
      </c>
      <c r="D36" s="143" t="s">
        <v>2960</v>
      </c>
      <c r="E36" s="143" t="s">
        <v>313</v>
      </c>
      <c r="F36" s="143" t="s">
        <v>2959</v>
      </c>
      <c r="G36" s="143" t="s">
        <v>2961</v>
      </c>
      <c r="H36" s="143" t="s">
        <v>321</v>
      </c>
      <c r="I36" s="143" t="s">
        <v>917</v>
      </c>
      <c r="J36" s="143" t="s">
        <v>205</v>
      </c>
      <c r="K36" s="143" t="s">
        <v>238</v>
      </c>
      <c r="L36" s="143" t="s">
        <v>325</v>
      </c>
      <c r="M36" s="143" t="s">
        <v>314</v>
      </c>
      <c r="N36" s="143" t="s">
        <v>706</v>
      </c>
      <c r="O36" s="143" t="s">
        <v>339</v>
      </c>
      <c r="P36" s="143" t="s">
        <v>1214</v>
      </c>
      <c r="Q36" s="144">
        <v>20354.07</v>
      </c>
      <c r="R36" s="143" t="s">
        <v>1215</v>
      </c>
      <c r="S36" s="143" t="s">
        <v>2962</v>
      </c>
      <c r="T36" s="144">
        <v>16273.839699999999</v>
      </c>
      <c r="U36" s="146">
        <v>0.37007400000000001</v>
      </c>
      <c r="V36" s="146">
        <v>6.5248519580850414E-2</v>
      </c>
      <c r="W36" s="147">
        <v>2.1681002202783252E-3</v>
      </c>
      <c r="X36" s="183"/>
    </row>
    <row r="37" spans="1:24" ht="15" x14ac:dyDescent="0.2">
      <c r="A37" s="142" t="s">
        <v>1218</v>
      </c>
      <c r="B37" s="143" t="s">
        <v>1218</v>
      </c>
      <c r="C37" s="143" t="s">
        <v>2995</v>
      </c>
      <c r="D37" s="143" t="s">
        <v>2996</v>
      </c>
      <c r="E37" s="143" t="s">
        <v>313</v>
      </c>
      <c r="F37" s="143" t="s">
        <v>2995</v>
      </c>
      <c r="G37" s="143" t="s">
        <v>2997</v>
      </c>
      <c r="H37" s="143" t="s">
        <v>321</v>
      </c>
      <c r="I37" s="143" t="s">
        <v>917</v>
      </c>
      <c r="J37" s="143" t="s">
        <v>205</v>
      </c>
      <c r="K37" s="145" t="s">
        <v>3853</v>
      </c>
      <c r="L37" s="143" t="s">
        <v>325</v>
      </c>
      <c r="M37" s="143" t="s">
        <v>380</v>
      </c>
      <c r="N37" s="143" t="s">
        <v>587</v>
      </c>
      <c r="O37" s="143" t="s">
        <v>339</v>
      </c>
      <c r="P37" s="143" t="s">
        <v>1216</v>
      </c>
      <c r="Q37" s="144">
        <v>320503.8</v>
      </c>
      <c r="R37" s="143" t="s">
        <v>1217</v>
      </c>
      <c r="S37" s="143" t="s">
        <v>2998</v>
      </c>
      <c r="T37" s="144">
        <v>14918.738499999999</v>
      </c>
      <c r="U37" s="146">
        <v>2.303677934549009E-3</v>
      </c>
      <c r="V37" s="146">
        <v>5.9815361330464709E-2</v>
      </c>
      <c r="W37" s="147">
        <v>1.9875653717462915E-3</v>
      </c>
      <c r="X37" s="183"/>
    </row>
    <row r="38" spans="1:24" ht="15" x14ac:dyDescent="0.2">
      <c r="A38" s="142" t="s">
        <v>1218</v>
      </c>
      <c r="B38" s="143" t="s">
        <v>1218</v>
      </c>
      <c r="C38" s="143" t="s">
        <v>2963</v>
      </c>
      <c r="D38" s="143" t="s">
        <v>2964</v>
      </c>
      <c r="E38" s="143" t="s">
        <v>313</v>
      </c>
      <c r="F38" s="143" t="s">
        <v>2963</v>
      </c>
      <c r="G38" s="143" t="s">
        <v>2965</v>
      </c>
      <c r="H38" s="143" t="s">
        <v>321</v>
      </c>
      <c r="I38" s="143" t="s">
        <v>917</v>
      </c>
      <c r="J38" s="143" t="s">
        <v>205</v>
      </c>
      <c r="K38" s="143" t="s">
        <v>220</v>
      </c>
      <c r="L38" s="143" t="s">
        <v>325</v>
      </c>
      <c r="M38" s="143" t="s">
        <v>314</v>
      </c>
      <c r="N38" s="143" t="s">
        <v>599</v>
      </c>
      <c r="O38" s="143" t="s">
        <v>339</v>
      </c>
      <c r="P38" s="143" t="s">
        <v>1211</v>
      </c>
      <c r="Q38" s="144">
        <v>14505.78</v>
      </c>
      <c r="R38" s="143" t="s">
        <v>1212</v>
      </c>
      <c r="S38" s="143" t="s">
        <v>2966</v>
      </c>
      <c r="T38" s="144">
        <v>12230.5661</v>
      </c>
      <c r="U38" s="145" t="s">
        <v>3853</v>
      </c>
      <c r="V38" s="146">
        <v>4.9037371869537216E-2</v>
      </c>
      <c r="W38" s="147">
        <v>1.6294306359008442E-3</v>
      </c>
      <c r="X38" s="183"/>
    </row>
    <row r="39" spans="1:24" x14ac:dyDescent="0.2">
      <c r="A39" s="142" t="s">
        <v>1218</v>
      </c>
      <c r="B39" s="143" t="s">
        <v>1218</v>
      </c>
      <c r="C39" s="143" t="s">
        <v>2999</v>
      </c>
      <c r="D39" s="143" t="s">
        <v>3000</v>
      </c>
      <c r="E39" s="143" t="s">
        <v>313</v>
      </c>
      <c r="F39" s="143" t="s">
        <v>2999</v>
      </c>
      <c r="G39" s="143" t="s">
        <v>3001</v>
      </c>
      <c r="H39" s="143" t="s">
        <v>321</v>
      </c>
      <c r="I39" s="143" t="s">
        <v>917</v>
      </c>
      <c r="J39" s="143" t="s">
        <v>205</v>
      </c>
      <c r="K39" s="143" t="s">
        <v>268</v>
      </c>
      <c r="L39" s="143" t="s">
        <v>325</v>
      </c>
      <c r="M39" s="143" t="s">
        <v>314</v>
      </c>
      <c r="N39" s="143" t="s">
        <v>588</v>
      </c>
      <c r="O39" s="143" t="s">
        <v>339</v>
      </c>
      <c r="P39" s="143" t="s">
        <v>1211</v>
      </c>
      <c r="Q39" s="144">
        <v>27284</v>
      </c>
      <c r="R39" s="143" t="s">
        <v>1212</v>
      </c>
      <c r="S39" s="143" t="s">
        <v>3002</v>
      </c>
      <c r="T39" s="144">
        <v>9819.4348000000009</v>
      </c>
      <c r="U39" s="146">
        <v>1.1095567303782024E-2</v>
      </c>
      <c r="V39" s="146">
        <v>3.937015449087302E-2</v>
      </c>
      <c r="W39" s="147">
        <v>1.308205016334272E-3</v>
      </c>
      <c r="X39" s="183"/>
    </row>
    <row r="40" spans="1:24" x14ac:dyDescent="0.2">
      <c r="A40" s="148" t="s">
        <v>1218</v>
      </c>
      <c r="B40" s="149" t="s">
        <v>1218</v>
      </c>
      <c r="C40" s="149" t="s">
        <v>3003</v>
      </c>
      <c r="D40" s="149" t="s">
        <v>3004</v>
      </c>
      <c r="E40" s="149" t="s">
        <v>313</v>
      </c>
      <c r="F40" s="149" t="s">
        <v>3003</v>
      </c>
      <c r="G40" s="149" t="s">
        <v>3005</v>
      </c>
      <c r="H40" s="149" t="s">
        <v>321</v>
      </c>
      <c r="I40" s="149" t="s">
        <v>917</v>
      </c>
      <c r="J40" s="149" t="s">
        <v>205</v>
      </c>
      <c r="K40" s="149" t="s">
        <v>296</v>
      </c>
      <c r="L40" s="149" t="s">
        <v>325</v>
      </c>
      <c r="M40" s="149" t="s">
        <v>380</v>
      </c>
      <c r="N40" s="149" t="s">
        <v>595</v>
      </c>
      <c r="O40" s="149" t="s">
        <v>339</v>
      </c>
      <c r="P40" s="149" t="s">
        <v>1216</v>
      </c>
      <c r="Q40" s="150">
        <v>65835</v>
      </c>
      <c r="R40" s="149" t="s">
        <v>1217</v>
      </c>
      <c r="S40" s="149" t="s">
        <v>2918</v>
      </c>
      <c r="T40" s="150">
        <v>7724.9044000000004</v>
      </c>
      <c r="U40" s="152">
        <v>8.3817126269956454E-4</v>
      </c>
      <c r="V40" s="152">
        <v>3.0972320432423442E-2</v>
      </c>
      <c r="W40" s="153">
        <v>1.0291589017412143E-3</v>
      </c>
      <c r="X40" s="183"/>
    </row>
    <row r="41" spans="1:24" x14ac:dyDescent="0.2">
      <c r="A41" s="183" t="s">
        <v>3870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</row>
    <row r="42" spans="1:24" x14ac:dyDescent="0.2">
      <c r="A42" s="4" t="s">
        <v>3869</v>
      </c>
    </row>
    <row r="43" spans="1:24" x14ac:dyDescent="0.2">
      <c r="A43" s="177"/>
    </row>
    <row r="1048575" spans="14:14" x14ac:dyDescent="0.2">
      <c r="N1048575" s="10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41:W41"/>
    <mergeCell ref="X2:X40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17 K19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1.625" style="2" bestFit="1" customWidth="1"/>
    <col min="4" max="4" width="11.25" style="2" customWidth="1"/>
    <col min="5" max="5" width="18.125" style="4" customWidth="1"/>
    <col min="6" max="6" width="12.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2" customWidth="1"/>
    <col min="12" max="12" width="10.25" style="2" customWidth="1"/>
    <col min="13" max="13" width="18.625" style="2" customWidth="1"/>
    <col min="14" max="14" width="14.12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9.625" style="2" customWidth="1"/>
    <col min="20" max="20" width="14.875" style="2" customWidth="1"/>
    <col min="21" max="21" width="10.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3881</v>
      </c>
    </row>
    <row r="2" spans="1:26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89</v>
      </c>
      <c r="L2" s="140" t="s">
        <v>70</v>
      </c>
      <c r="M2" s="140" t="s">
        <v>92</v>
      </c>
      <c r="N2" s="140" t="s">
        <v>83</v>
      </c>
      <c r="O2" s="140" t="s">
        <v>93</v>
      </c>
      <c r="P2" s="140" t="s">
        <v>56</v>
      </c>
      <c r="Q2" s="140" t="s">
        <v>59</v>
      </c>
      <c r="R2" s="140" t="s">
        <v>94</v>
      </c>
      <c r="S2" s="140" t="s">
        <v>95</v>
      </c>
      <c r="T2" s="140" t="s">
        <v>76</v>
      </c>
      <c r="U2" s="140" t="s">
        <v>61</v>
      </c>
      <c r="V2" s="140" t="s">
        <v>77</v>
      </c>
      <c r="W2" s="140" t="s">
        <v>63</v>
      </c>
      <c r="X2" s="140" t="s">
        <v>64</v>
      </c>
      <c r="Y2" s="141" t="s">
        <v>65</v>
      </c>
      <c r="Z2" s="181" t="s">
        <v>3871</v>
      </c>
    </row>
    <row r="3" spans="1:26" ht="15" x14ac:dyDescent="0.2">
      <c r="A3" s="142" t="s">
        <v>1205</v>
      </c>
      <c r="B3" s="143" t="s">
        <v>1205</v>
      </c>
      <c r="C3" s="143" t="s">
        <v>2398</v>
      </c>
      <c r="D3" s="143" t="s">
        <v>2399</v>
      </c>
      <c r="E3" s="143" t="s">
        <v>309</v>
      </c>
      <c r="F3" s="143" t="s">
        <v>3006</v>
      </c>
      <c r="G3" s="143" t="s">
        <v>3007</v>
      </c>
      <c r="H3" s="143" t="s">
        <v>321</v>
      </c>
      <c r="I3" s="143" t="s">
        <v>204</v>
      </c>
      <c r="J3" s="143" t="s">
        <v>204</v>
      </c>
      <c r="K3" s="143" t="s">
        <v>325</v>
      </c>
      <c r="L3" s="143" t="s">
        <v>340</v>
      </c>
      <c r="M3" s="143" t="s">
        <v>2401</v>
      </c>
      <c r="N3" s="143" t="s">
        <v>480</v>
      </c>
      <c r="O3" s="143" t="s">
        <v>3008</v>
      </c>
      <c r="P3" s="143" t="s">
        <v>339</v>
      </c>
      <c r="Q3" s="143" t="s">
        <v>1210</v>
      </c>
      <c r="R3" s="143" t="s">
        <v>3009</v>
      </c>
      <c r="S3" s="143" t="s">
        <v>3010</v>
      </c>
      <c r="T3" s="144">
        <v>45000</v>
      </c>
      <c r="U3" s="145" t="s">
        <v>3853</v>
      </c>
      <c r="V3" s="143" t="s">
        <v>3011</v>
      </c>
      <c r="W3" s="144">
        <v>5.58</v>
      </c>
      <c r="X3" s="146">
        <v>0.81732629087503705</v>
      </c>
      <c r="Y3" s="147">
        <v>8.4252355845832454E-6</v>
      </c>
      <c r="Z3" s="181"/>
    </row>
    <row r="4" spans="1:26" ht="15" x14ac:dyDescent="0.2">
      <c r="A4" s="142" t="s">
        <v>1205</v>
      </c>
      <c r="B4" s="143" t="s">
        <v>1205</v>
      </c>
      <c r="C4" s="143" t="s">
        <v>2373</v>
      </c>
      <c r="D4" s="143" t="s">
        <v>2374</v>
      </c>
      <c r="E4" s="143" t="s">
        <v>309</v>
      </c>
      <c r="F4" s="143" t="s">
        <v>3012</v>
      </c>
      <c r="G4" s="143" t="s">
        <v>3013</v>
      </c>
      <c r="H4" s="143" t="s">
        <v>321</v>
      </c>
      <c r="I4" s="143" t="s">
        <v>204</v>
      </c>
      <c r="J4" s="143" t="s">
        <v>204</v>
      </c>
      <c r="K4" s="143" t="s">
        <v>325</v>
      </c>
      <c r="L4" s="143" t="s">
        <v>340</v>
      </c>
      <c r="M4" s="143" t="s">
        <v>2376</v>
      </c>
      <c r="N4" s="143" t="s">
        <v>464</v>
      </c>
      <c r="O4" s="143" t="s">
        <v>1710</v>
      </c>
      <c r="P4" s="143" t="s">
        <v>339</v>
      </c>
      <c r="Q4" s="143" t="s">
        <v>1210</v>
      </c>
      <c r="R4" s="143" t="s">
        <v>3014</v>
      </c>
      <c r="S4" s="143" t="s">
        <v>3010</v>
      </c>
      <c r="T4" s="144">
        <v>7843.64</v>
      </c>
      <c r="U4" s="145" t="s">
        <v>3853</v>
      </c>
      <c r="V4" s="143" t="s">
        <v>3015</v>
      </c>
      <c r="W4" s="144">
        <v>1.2470999999999999</v>
      </c>
      <c r="X4" s="146">
        <v>0.18267370912496292</v>
      </c>
      <c r="Y4" s="147">
        <v>1.8830533798682837E-6</v>
      </c>
      <c r="Z4" s="181"/>
    </row>
    <row r="5" spans="1:26" ht="15" x14ac:dyDescent="0.2">
      <c r="A5" s="142" t="s">
        <v>1218</v>
      </c>
      <c r="B5" s="143" t="s">
        <v>1218</v>
      </c>
      <c r="C5" s="143" t="s">
        <v>2398</v>
      </c>
      <c r="D5" s="143" t="s">
        <v>2399</v>
      </c>
      <c r="E5" s="143" t="s">
        <v>309</v>
      </c>
      <c r="F5" s="143" t="s">
        <v>3006</v>
      </c>
      <c r="G5" s="143" t="s">
        <v>3007</v>
      </c>
      <c r="H5" s="143" t="s">
        <v>321</v>
      </c>
      <c r="I5" s="143" t="s">
        <v>204</v>
      </c>
      <c r="J5" s="143" t="s">
        <v>204</v>
      </c>
      <c r="K5" s="143" t="s">
        <v>325</v>
      </c>
      <c r="L5" s="143" t="s">
        <v>340</v>
      </c>
      <c r="M5" s="143" t="s">
        <v>2401</v>
      </c>
      <c r="N5" s="143" t="s">
        <v>480</v>
      </c>
      <c r="O5" s="143" t="s">
        <v>3008</v>
      </c>
      <c r="P5" s="143" t="s">
        <v>339</v>
      </c>
      <c r="Q5" s="143" t="s">
        <v>1210</v>
      </c>
      <c r="R5" s="143" t="s">
        <v>3009</v>
      </c>
      <c r="S5" s="143" t="s">
        <v>3010</v>
      </c>
      <c r="T5" s="144">
        <v>450750</v>
      </c>
      <c r="U5" s="145" t="s">
        <v>3853</v>
      </c>
      <c r="V5" s="143" t="s">
        <v>3011</v>
      </c>
      <c r="W5" s="144">
        <v>55.893000000000001</v>
      </c>
      <c r="X5" s="146">
        <v>0.80121768987959807</v>
      </c>
      <c r="Y5" s="147">
        <v>7.4464064846735256E-6</v>
      </c>
      <c r="Z5" s="181"/>
    </row>
    <row r="6" spans="1:26" ht="15" x14ac:dyDescent="0.2">
      <c r="A6" s="142" t="s">
        <v>1218</v>
      </c>
      <c r="B6" s="143" t="s">
        <v>1218</v>
      </c>
      <c r="C6" s="143" t="s">
        <v>2373</v>
      </c>
      <c r="D6" s="143" t="s">
        <v>2374</v>
      </c>
      <c r="E6" s="143" t="s">
        <v>309</v>
      </c>
      <c r="F6" s="143" t="s">
        <v>3012</v>
      </c>
      <c r="G6" s="143" t="s">
        <v>3013</v>
      </c>
      <c r="H6" s="143" t="s">
        <v>321</v>
      </c>
      <c r="I6" s="143" t="s">
        <v>204</v>
      </c>
      <c r="J6" s="143" t="s">
        <v>204</v>
      </c>
      <c r="K6" s="143" t="s">
        <v>325</v>
      </c>
      <c r="L6" s="143" t="s">
        <v>340</v>
      </c>
      <c r="M6" s="143" t="s">
        <v>2376</v>
      </c>
      <c r="N6" s="143" t="s">
        <v>464</v>
      </c>
      <c r="O6" s="143" t="s">
        <v>1710</v>
      </c>
      <c r="P6" s="143" t="s">
        <v>339</v>
      </c>
      <c r="Q6" s="143" t="s">
        <v>1210</v>
      </c>
      <c r="R6" s="143" t="s">
        <v>3014</v>
      </c>
      <c r="S6" s="143" t="s">
        <v>3010</v>
      </c>
      <c r="T6" s="144">
        <v>87214.26</v>
      </c>
      <c r="U6" s="145" t="s">
        <v>3853</v>
      </c>
      <c r="V6" s="143" t="s">
        <v>3015</v>
      </c>
      <c r="W6" s="144">
        <v>13.867100000000001</v>
      </c>
      <c r="X6" s="146">
        <v>0.1987823101204019</v>
      </c>
      <c r="Y6" s="147">
        <v>1.8474553193419653E-6</v>
      </c>
      <c r="Z6" s="181"/>
    </row>
    <row r="7" spans="1:26" ht="15" x14ac:dyDescent="0.2">
      <c r="A7" s="154" t="s">
        <v>1205</v>
      </c>
      <c r="B7" s="155" t="s">
        <v>1206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45" t="s">
        <v>3853</v>
      </c>
      <c r="W7" s="145" t="s">
        <v>3853</v>
      </c>
      <c r="X7" s="145" t="s">
        <v>3853</v>
      </c>
      <c r="Y7" s="156" t="s">
        <v>3853</v>
      </c>
      <c r="Z7" s="181"/>
    </row>
    <row r="8" spans="1:26" ht="15" x14ac:dyDescent="0.2">
      <c r="A8" s="154" t="s">
        <v>1205</v>
      </c>
      <c r="B8" s="155" t="s">
        <v>1213</v>
      </c>
      <c r="C8" s="145" t="s">
        <v>3853</v>
      </c>
      <c r="D8" s="145" t="s">
        <v>3853</v>
      </c>
      <c r="E8" s="145" t="s">
        <v>3853</v>
      </c>
      <c r="F8" s="145" t="s">
        <v>3853</v>
      </c>
      <c r="G8" s="145" t="s">
        <v>3853</v>
      </c>
      <c r="H8" s="145" t="s">
        <v>3853</v>
      </c>
      <c r="I8" s="145" t="s">
        <v>3853</v>
      </c>
      <c r="J8" s="145" t="s">
        <v>3853</v>
      </c>
      <c r="K8" s="145" t="s">
        <v>3853</v>
      </c>
      <c r="L8" s="145" t="s">
        <v>3853</v>
      </c>
      <c r="M8" s="145" t="s">
        <v>3853</v>
      </c>
      <c r="N8" s="145" t="s">
        <v>3853</v>
      </c>
      <c r="O8" s="145" t="s">
        <v>3853</v>
      </c>
      <c r="P8" s="145" t="s">
        <v>3853</v>
      </c>
      <c r="Q8" s="145" t="s">
        <v>3853</v>
      </c>
      <c r="R8" s="145" t="s">
        <v>3853</v>
      </c>
      <c r="S8" s="145" t="s">
        <v>3853</v>
      </c>
      <c r="T8" s="145" t="s">
        <v>3853</v>
      </c>
      <c r="U8" s="145" t="s">
        <v>3853</v>
      </c>
      <c r="V8" s="145" t="s">
        <v>3853</v>
      </c>
      <c r="W8" s="145" t="s">
        <v>3853</v>
      </c>
      <c r="X8" s="145" t="s">
        <v>3853</v>
      </c>
      <c r="Y8" s="156" t="s">
        <v>3853</v>
      </c>
      <c r="Z8" s="181"/>
    </row>
    <row r="9" spans="1:26" ht="15" x14ac:dyDescent="0.2">
      <c r="A9" s="154" t="s">
        <v>1218</v>
      </c>
      <c r="B9" s="155" t="s">
        <v>1219</v>
      </c>
      <c r="C9" s="145" t="s">
        <v>3853</v>
      </c>
      <c r="D9" s="145" t="s">
        <v>3853</v>
      </c>
      <c r="E9" s="145" t="s">
        <v>3853</v>
      </c>
      <c r="F9" s="145" t="s">
        <v>3853</v>
      </c>
      <c r="G9" s="145" t="s">
        <v>3853</v>
      </c>
      <c r="H9" s="145" t="s">
        <v>3853</v>
      </c>
      <c r="I9" s="145" t="s">
        <v>3853</v>
      </c>
      <c r="J9" s="145" t="s">
        <v>3853</v>
      </c>
      <c r="K9" s="145" t="s">
        <v>3853</v>
      </c>
      <c r="L9" s="145" t="s">
        <v>3853</v>
      </c>
      <c r="M9" s="145" t="s">
        <v>3853</v>
      </c>
      <c r="N9" s="145" t="s">
        <v>3853</v>
      </c>
      <c r="O9" s="145" t="s">
        <v>3853</v>
      </c>
      <c r="P9" s="145" t="s">
        <v>3853</v>
      </c>
      <c r="Q9" s="145" t="s">
        <v>3853</v>
      </c>
      <c r="R9" s="145" t="s">
        <v>3853</v>
      </c>
      <c r="S9" s="145" t="s">
        <v>3853</v>
      </c>
      <c r="T9" s="145" t="s">
        <v>3853</v>
      </c>
      <c r="U9" s="145" t="s">
        <v>3853</v>
      </c>
      <c r="V9" s="145" t="s">
        <v>3853</v>
      </c>
      <c r="W9" s="145" t="s">
        <v>3853</v>
      </c>
      <c r="X9" s="145" t="s">
        <v>3853</v>
      </c>
      <c r="Y9" s="156" t="s">
        <v>3853</v>
      </c>
      <c r="Z9" s="181"/>
    </row>
    <row r="10" spans="1:26" ht="15" x14ac:dyDescent="0.2">
      <c r="A10" s="157" t="s">
        <v>1218</v>
      </c>
      <c r="B10" s="158" t="s">
        <v>1220</v>
      </c>
      <c r="C10" s="151" t="s">
        <v>3853</v>
      </c>
      <c r="D10" s="151" t="s">
        <v>3853</v>
      </c>
      <c r="E10" s="151" t="s">
        <v>3853</v>
      </c>
      <c r="F10" s="151" t="s">
        <v>3853</v>
      </c>
      <c r="G10" s="151" t="s">
        <v>3853</v>
      </c>
      <c r="H10" s="151" t="s">
        <v>3853</v>
      </c>
      <c r="I10" s="151" t="s">
        <v>3853</v>
      </c>
      <c r="J10" s="151" t="s">
        <v>3853</v>
      </c>
      <c r="K10" s="151" t="s">
        <v>3853</v>
      </c>
      <c r="L10" s="151" t="s">
        <v>3853</v>
      </c>
      <c r="M10" s="151" t="s">
        <v>3853</v>
      </c>
      <c r="N10" s="151" t="s">
        <v>3853</v>
      </c>
      <c r="O10" s="151" t="s">
        <v>3853</v>
      </c>
      <c r="P10" s="151" t="s">
        <v>3853</v>
      </c>
      <c r="Q10" s="151" t="s">
        <v>3853</v>
      </c>
      <c r="R10" s="151" t="s">
        <v>3853</v>
      </c>
      <c r="S10" s="151" t="s">
        <v>3853</v>
      </c>
      <c r="T10" s="151" t="s">
        <v>3853</v>
      </c>
      <c r="U10" s="151" t="s">
        <v>3853</v>
      </c>
      <c r="V10" s="151" t="s">
        <v>3853</v>
      </c>
      <c r="W10" s="151" t="s">
        <v>3853</v>
      </c>
      <c r="X10" s="151" t="s">
        <v>3853</v>
      </c>
      <c r="Y10" s="159" t="s">
        <v>3853</v>
      </c>
      <c r="Z10" s="181"/>
    </row>
    <row r="11" spans="1:26" x14ac:dyDescent="0.2">
      <c r="A11" s="185" t="s">
        <v>3870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</row>
    <row r="12" spans="1:26" x14ac:dyDescent="0.2">
      <c r="A12" s="99" t="s">
        <v>3869</v>
      </c>
      <c r="B12" s="99"/>
      <c r="C12" s="99"/>
      <c r="D12" s="99"/>
      <c r="E12" s="16"/>
      <c r="F12" s="99"/>
      <c r="G12" s="99"/>
      <c r="H12" s="16"/>
      <c r="I12" s="16"/>
      <c r="J12" s="16"/>
      <c r="K12" s="99"/>
      <c r="L12" s="16"/>
      <c r="M12" s="99"/>
      <c r="N12" s="99"/>
      <c r="O12" s="99"/>
      <c r="P12" s="99"/>
      <c r="Q12" s="16"/>
      <c r="R12" s="16"/>
      <c r="S12" s="16"/>
      <c r="T12" s="99"/>
      <c r="U12" s="99"/>
      <c r="V12" s="99"/>
      <c r="W12" s="99"/>
      <c r="X12" s="99"/>
      <c r="Y12" s="99"/>
    </row>
    <row r="13" spans="1:26" x14ac:dyDescent="0.2">
      <c r="A13" s="179"/>
      <c r="B13" s="99"/>
      <c r="C13" s="99"/>
      <c r="D13" s="99"/>
      <c r="E13" s="16"/>
      <c r="F13" s="99"/>
      <c r="G13" s="99"/>
      <c r="H13" s="16"/>
      <c r="I13" s="16"/>
      <c r="J13" s="16"/>
      <c r="K13" s="99"/>
      <c r="L13" s="16"/>
      <c r="M13" s="99"/>
      <c r="N13" s="99"/>
      <c r="O13" s="99"/>
      <c r="P13" s="99"/>
      <c r="Q13" s="16"/>
      <c r="R13" s="16"/>
      <c r="S13" s="16"/>
      <c r="T13" s="99"/>
      <c r="U13" s="99"/>
      <c r="V13" s="99"/>
      <c r="W13" s="99"/>
      <c r="X13" s="99"/>
      <c r="Y13" s="99"/>
    </row>
    <row r="14" spans="1:26" x14ac:dyDescent="0.2">
      <c r="A14" s="99"/>
      <c r="B14" s="99"/>
      <c r="C14" s="99"/>
      <c r="D14" s="99"/>
      <c r="E14" s="16"/>
      <c r="F14" s="99"/>
      <c r="G14" s="99"/>
      <c r="H14" s="16"/>
      <c r="I14" s="16"/>
      <c r="J14" s="16"/>
      <c r="K14" s="99"/>
      <c r="L14" s="16"/>
      <c r="M14" s="99"/>
      <c r="N14" s="99"/>
      <c r="O14" s="99"/>
      <c r="P14" s="99"/>
      <c r="Q14" s="16"/>
      <c r="R14" s="16"/>
      <c r="S14" s="16"/>
      <c r="T14" s="99"/>
      <c r="U14" s="99"/>
      <c r="V14" s="99"/>
      <c r="W14" s="99"/>
      <c r="X14" s="99"/>
      <c r="Y14" s="99"/>
    </row>
    <row r="15" spans="1:26" x14ac:dyDescent="0.2">
      <c r="A15" s="99"/>
      <c r="B15" s="99"/>
      <c r="C15" s="99"/>
      <c r="D15" s="99"/>
      <c r="E15" s="16"/>
      <c r="F15" s="99"/>
      <c r="G15" s="99"/>
      <c r="H15" s="16"/>
      <c r="I15" s="16"/>
      <c r="J15" s="16"/>
      <c r="K15" s="99"/>
      <c r="L15" s="16"/>
      <c r="M15" s="99"/>
      <c r="N15" s="99"/>
      <c r="O15" s="99"/>
      <c r="P15" s="99"/>
      <c r="Q15" s="16"/>
      <c r="R15" s="16"/>
      <c r="S15" s="16"/>
      <c r="T15" s="99"/>
      <c r="U15" s="99"/>
      <c r="V15" s="99"/>
      <c r="W15" s="99"/>
      <c r="X15" s="99"/>
      <c r="Y15" s="99"/>
    </row>
    <row r="16" spans="1:26" x14ac:dyDescent="0.2">
      <c r="A16" s="99"/>
      <c r="B16" s="99"/>
      <c r="C16" s="99"/>
      <c r="D16" s="99"/>
      <c r="E16" s="16"/>
      <c r="F16" s="99"/>
      <c r="G16" s="99"/>
      <c r="H16" s="16"/>
      <c r="I16" s="16"/>
      <c r="J16" s="16"/>
      <c r="K16" s="99"/>
      <c r="L16" s="16"/>
      <c r="M16" s="99"/>
      <c r="N16" s="99"/>
      <c r="O16" s="99"/>
      <c r="P16" s="99"/>
      <c r="Q16" s="16"/>
      <c r="R16" s="16"/>
      <c r="S16" s="16"/>
      <c r="T16" s="99"/>
      <c r="U16" s="99"/>
      <c r="V16" s="99"/>
      <c r="W16" s="99"/>
      <c r="X16" s="99"/>
      <c r="Y16" s="99"/>
    </row>
    <row r="17" spans="1:25" x14ac:dyDescent="0.2">
      <c r="A17" s="99"/>
      <c r="B17" s="99"/>
      <c r="C17" s="99"/>
      <c r="D17" s="99"/>
      <c r="E17" s="16"/>
      <c r="F17" s="99"/>
      <c r="G17" s="99"/>
      <c r="H17" s="16"/>
      <c r="I17" s="16"/>
      <c r="J17" s="16"/>
      <c r="K17" s="99"/>
      <c r="L17" s="16"/>
      <c r="M17" s="99"/>
      <c r="N17" s="99"/>
      <c r="O17" s="99"/>
      <c r="P17" s="99"/>
      <c r="Q17" s="16"/>
      <c r="R17" s="16"/>
      <c r="S17" s="16"/>
      <c r="T17" s="99"/>
      <c r="U17" s="99"/>
      <c r="V17" s="99"/>
      <c r="W17" s="99"/>
      <c r="X17" s="99"/>
      <c r="Y17" s="99"/>
    </row>
    <row r="18" spans="1:25" x14ac:dyDescent="0.2">
      <c r="A18" s="99"/>
      <c r="B18" s="99"/>
      <c r="C18" s="99"/>
      <c r="D18" s="99"/>
      <c r="E18" s="16"/>
      <c r="F18" s="99"/>
      <c r="G18" s="99"/>
      <c r="H18" s="16"/>
      <c r="I18" s="16"/>
      <c r="J18" s="16"/>
      <c r="K18" s="99"/>
      <c r="L18" s="16"/>
      <c r="M18" s="99"/>
      <c r="N18" s="99"/>
      <c r="O18" s="99"/>
      <c r="P18" s="99"/>
      <c r="Q18" s="16"/>
      <c r="R18" s="16"/>
      <c r="S18" s="16"/>
      <c r="T18" s="99"/>
      <c r="U18" s="99"/>
      <c r="V18" s="99"/>
      <c r="W18" s="99"/>
      <c r="X18" s="99"/>
      <c r="Y18" s="99"/>
    </row>
    <row r="19" spans="1:25" x14ac:dyDescent="0.2">
      <c r="A19" s="99"/>
      <c r="B19" s="99"/>
      <c r="C19" s="99"/>
      <c r="D19" s="99"/>
      <c r="E19" s="16"/>
      <c r="F19" s="99"/>
      <c r="G19" s="99"/>
      <c r="H19" s="16"/>
      <c r="I19" s="16"/>
      <c r="J19" s="16"/>
      <c r="K19" s="99"/>
      <c r="L19" s="16"/>
      <c r="M19" s="99"/>
      <c r="N19" s="99"/>
      <c r="O19" s="99"/>
      <c r="P19" s="99"/>
      <c r="Q19" s="16"/>
      <c r="R19" s="16"/>
      <c r="S19" s="16"/>
      <c r="T19" s="99"/>
      <c r="U19" s="99"/>
      <c r="V19" s="99"/>
      <c r="W19" s="99"/>
      <c r="X19" s="99"/>
      <c r="Y19" s="99"/>
    </row>
    <row r="20" spans="1:25" x14ac:dyDescent="0.2">
      <c r="A20" s="99"/>
      <c r="B20" s="99"/>
      <c r="C20" s="99"/>
      <c r="D20" s="99"/>
      <c r="E20" s="16"/>
      <c r="F20" s="99"/>
      <c r="G20" s="99"/>
      <c r="H20" s="16"/>
      <c r="I20" s="16"/>
      <c r="J20" s="16"/>
      <c r="K20" s="99"/>
      <c r="L20" s="16"/>
      <c r="M20" s="99"/>
      <c r="N20" s="99"/>
      <c r="O20" s="99"/>
      <c r="P20" s="99"/>
      <c r="Q20" s="16"/>
      <c r="R20" s="16"/>
      <c r="S20" s="16"/>
      <c r="T20" s="99"/>
      <c r="U20" s="99"/>
      <c r="V20" s="99"/>
      <c r="W20" s="99"/>
      <c r="X20" s="99"/>
      <c r="Y20" s="99"/>
    </row>
    <row r="21" spans="1:25" x14ac:dyDescent="0.2">
      <c r="A21" s="98"/>
      <c r="B21" s="98"/>
      <c r="C21" s="98"/>
      <c r="D21" s="98"/>
      <c r="E21" s="16"/>
      <c r="F21" s="98"/>
      <c r="G21" s="98"/>
      <c r="H21" s="16"/>
      <c r="I21" s="16"/>
      <c r="J21" s="16"/>
      <c r="K21" s="99"/>
      <c r="L21" s="16"/>
      <c r="M21" s="98"/>
      <c r="N21" s="99"/>
      <c r="O21" s="98"/>
      <c r="P21" s="99"/>
      <c r="Q21" s="98"/>
      <c r="R21" s="98"/>
      <c r="S21" s="98"/>
      <c r="T21" s="98"/>
      <c r="U21" s="98"/>
      <c r="V21" s="98"/>
      <c r="W21" s="98"/>
      <c r="X21" s="98"/>
      <c r="Y21" s="98"/>
    </row>
    <row r="22" spans="1:25" customFormat="1" x14ac:dyDescent="0.2">
      <c r="H22" s="4"/>
      <c r="L22" s="4"/>
    </row>
    <row r="23" spans="1:25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Y11"/>
    <mergeCell ref="Z2:Z10"/>
  </mergeCells>
  <dataValidations count="8">
    <dataValidation type="list" allowBlank="1" showInputMessage="1" showErrorMessage="1" sqref="I3:I6 I12:I21">
      <formula1>israel_abroad</formula1>
    </dataValidation>
    <dataValidation type="list" allowBlank="1" showInputMessage="1" showErrorMessage="1" sqref="N3:N6 N12:N21">
      <formula1>Industry_sectors</formula1>
    </dataValidation>
    <dataValidation type="list" allowBlank="1" showInputMessage="1" showErrorMessage="1" sqref="P3:P6 P12:P21">
      <formula1>Holding_interest</formula1>
    </dataValidation>
    <dataValidation type="list" allowBlank="1" showInputMessage="1" showErrorMessage="1" sqref="J3:J6 J12:J21">
      <formula1>Country_list</formula1>
    </dataValidation>
    <dataValidation type="list" allowBlank="1" showInputMessage="1" showErrorMessage="1" sqref="E3:E6 E12:E21">
      <formula1>Issuer_Type_TFunds</formula1>
    </dataValidation>
    <dataValidation type="list" allowBlank="1" showInputMessage="1" showErrorMessage="1" sqref="H3:H6 H12:H21">
      <formula1>Security_ID_Number_Type</formula1>
    </dataValidation>
    <dataValidation type="list" allowBlank="1" showInputMessage="1" showErrorMessage="1" sqref="K3:K6 K12:K21">
      <formula1>tradeable_status_warrants</formula1>
    </dataValidation>
    <dataValidation type="list" allowBlank="1" showInputMessage="1" showErrorMessage="1" sqref="L3:L6 L12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7.75" style="2" bestFit="1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0.25" style="2" customWidth="1"/>
    <col min="13" max="13" width="9.625" style="2" customWidth="1"/>
    <col min="14" max="14" width="18.12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14.875" style="2" customWidth="1"/>
    <col min="20" max="20" width="10.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3882</v>
      </c>
    </row>
    <row r="2" spans="1:25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83</v>
      </c>
      <c r="N2" s="140" t="s">
        <v>96</v>
      </c>
      <c r="O2" s="140" t="s">
        <v>93</v>
      </c>
      <c r="P2" s="140" t="s">
        <v>56</v>
      </c>
      <c r="Q2" s="140" t="s">
        <v>59</v>
      </c>
      <c r="R2" s="140" t="s">
        <v>94</v>
      </c>
      <c r="S2" s="140" t="s">
        <v>76</v>
      </c>
      <c r="T2" s="140" t="s">
        <v>61</v>
      </c>
      <c r="U2" s="140" t="s">
        <v>77</v>
      </c>
      <c r="V2" s="140" t="s">
        <v>63</v>
      </c>
      <c r="W2" s="140" t="s">
        <v>64</v>
      </c>
      <c r="X2" s="141" t="s">
        <v>65</v>
      </c>
      <c r="Y2" s="181" t="s">
        <v>3871</v>
      </c>
    </row>
    <row r="3" spans="1:25" ht="15" x14ac:dyDescent="0.2">
      <c r="A3" s="142" t="s">
        <v>1205</v>
      </c>
      <c r="B3" s="143" t="s">
        <v>1205</v>
      </c>
      <c r="C3" s="143" t="s">
        <v>3016</v>
      </c>
      <c r="D3" s="143" t="s">
        <v>3017</v>
      </c>
      <c r="E3" s="143" t="s">
        <v>309</v>
      </c>
      <c r="F3" s="143" t="s">
        <v>3018</v>
      </c>
      <c r="G3" s="143" t="s">
        <v>3019</v>
      </c>
      <c r="H3" s="143" t="s">
        <v>312</v>
      </c>
      <c r="I3" s="143" t="s">
        <v>971</v>
      </c>
      <c r="J3" s="143" t="s">
        <v>204</v>
      </c>
      <c r="K3" s="143" t="s">
        <v>204</v>
      </c>
      <c r="L3" s="143" t="s">
        <v>340</v>
      </c>
      <c r="M3" s="143" t="s">
        <v>314</v>
      </c>
      <c r="N3" s="143" t="s">
        <v>747</v>
      </c>
      <c r="O3" s="143" t="s">
        <v>3020</v>
      </c>
      <c r="P3" s="143" t="s">
        <v>339</v>
      </c>
      <c r="Q3" s="143" t="s">
        <v>1210</v>
      </c>
      <c r="R3" s="143" t="s">
        <v>3021</v>
      </c>
      <c r="S3" s="144">
        <v>75</v>
      </c>
      <c r="T3" s="145" t="s">
        <v>3853</v>
      </c>
      <c r="U3" s="143" t="s">
        <v>3022</v>
      </c>
      <c r="V3" s="144">
        <v>112.5</v>
      </c>
      <c r="W3" s="146">
        <v>-1.5957446808510638</v>
      </c>
      <c r="X3" s="147">
        <v>1.6986362065692025E-4</v>
      </c>
      <c r="Y3" s="181"/>
    </row>
    <row r="4" spans="1:25" ht="15" x14ac:dyDescent="0.2">
      <c r="A4" s="142" t="s">
        <v>1205</v>
      </c>
      <c r="B4" s="143" t="s">
        <v>1205</v>
      </c>
      <c r="C4" s="143" t="s">
        <v>3016</v>
      </c>
      <c r="D4" s="143" t="s">
        <v>3017</v>
      </c>
      <c r="E4" s="143" t="s">
        <v>309</v>
      </c>
      <c r="F4" s="143" t="s">
        <v>3023</v>
      </c>
      <c r="G4" s="143" t="s">
        <v>3024</v>
      </c>
      <c r="H4" s="143" t="s">
        <v>312</v>
      </c>
      <c r="I4" s="143" t="s">
        <v>971</v>
      </c>
      <c r="J4" s="143" t="s">
        <v>204</v>
      </c>
      <c r="K4" s="143" t="s">
        <v>204</v>
      </c>
      <c r="L4" s="143" t="s">
        <v>340</v>
      </c>
      <c r="M4" s="143" t="s">
        <v>314</v>
      </c>
      <c r="N4" s="143" t="s">
        <v>747</v>
      </c>
      <c r="O4" s="143" t="s">
        <v>3020</v>
      </c>
      <c r="P4" s="143" t="s">
        <v>339</v>
      </c>
      <c r="Q4" s="143" t="s">
        <v>1210</v>
      </c>
      <c r="R4" s="143" t="s">
        <v>3021</v>
      </c>
      <c r="S4" s="144">
        <v>-75</v>
      </c>
      <c r="T4" s="145" t="s">
        <v>3853</v>
      </c>
      <c r="U4" s="143" t="s">
        <v>3025</v>
      </c>
      <c r="V4" s="144">
        <v>-183</v>
      </c>
      <c r="W4" s="146">
        <v>2.5957446808510638</v>
      </c>
      <c r="X4" s="147">
        <v>-2.7631148960192362E-4</v>
      </c>
      <c r="Y4" s="181"/>
    </row>
    <row r="5" spans="1:25" ht="15" x14ac:dyDescent="0.2">
      <c r="A5" s="142" t="s">
        <v>1218</v>
      </c>
      <c r="B5" s="143" t="s">
        <v>1218</v>
      </c>
      <c r="C5" s="143" t="s">
        <v>3016</v>
      </c>
      <c r="D5" s="143" t="s">
        <v>3017</v>
      </c>
      <c r="E5" s="143" t="s">
        <v>309</v>
      </c>
      <c r="F5" s="143" t="s">
        <v>3018</v>
      </c>
      <c r="G5" s="143" t="s">
        <v>3019</v>
      </c>
      <c r="H5" s="143" t="s">
        <v>312</v>
      </c>
      <c r="I5" s="143" t="s">
        <v>971</v>
      </c>
      <c r="J5" s="143" t="s">
        <v>204</v>
      </c>
      <c r="K5" s="143" t="s">
        <v>204</v>
      </c>
      <c r="L5" s="143" t="s">
        <v>340</v>
      </c>
      <c r="M5" s="143" t="s">
        <v>314</v>
      </c>
      <c r="N5" s="143" t="s">
        <v>747</v>
      </c>
      <c r="O5" s="143" t="s">
        <v>3020</v>
      </c>
      <c r="P5" s="143" t="s">
        <v>339</v>
      </c>
      <c r="Q5" s="143" t="s">
        <v>1210</v>
      </c>
      <c r="R5" s="143" t="s">
        <v>3021</v>
      </c>
      <c r="S5" s="144">
        <v>693</v>
      </c>
      <c r="T5" s="145" t="s">
        <v>3853</v>
      </c>
      <c r="U5" s="143" t="s">
        <v>3022</v>
      </c>
      <c r="V5" s="144">
        <v>1039.5</v>
      </c>
      <c r="W5" s="146">
        <v>-1.5957446808510638</v>
      </c>
      <c r="X5" s="147">
        <v>1.3848853238899558E-4</v>
      </c>
      <c r="Y5" s="181"/>
    </row>
    <row r="6" spans="1:25" ht="15" x14ac:dyDescent="0.2">
      <c r="A6" s="142" t="s">
        <v>1218</v>
      </c>
      <c r="B6" s="143" t="s">
        <v>1218</v>
      </c>
      <c r="C6" s="143" t="s">
        <v>3016</v>
      </c>
      <c r="D6" s="143" t="s">
        <v>3017</v>
      </c>
      <c r="E6" s="143" t="s">
        <v>309</v>
      </c>
      <c r="F6" s="143" t="s">
        <v>3023</v>
      </c>
      <c r="G6" s="143" t="s">
        <v>3024</v>
      </c>
      <c r="H6" s="143" t="s">
        <v>312</v>
      </c>
      <c r="I6" s="143" t="s">
        <v>971</v>
      </c>
      <c r="J6" s="143" t="s">
        <v>204</v>
      </c>
      <c r="K6" s="143" t="s">
        <v>204</v>
      </c>
      <c r="L6" s="143" t="s">
        <v>340</v>
      </c>
      <c r="M6" s="143" t="s">
        <v>314</v>
      </c>
      <c r="N6" s="143" t="s">
        <v>747</v>
      </c>
      <c r="O6" s="143" t="s">
        <v>3020</v>
      </c>
      <c r="P6" s="143" t="s">
        <v>339</v>
      </c>
      <c r="Q6" s="143" t="s">
        <v>1210</v>
      </c>
      <c r="R6" s="143" t="s">
        <v>3021</v>
      </c>
      <c r="S6" s="144">
        <v>-693</v>
      </c>
      <c r="T6" s="145" t="s">
        <v>3853</v>
      </c>
      <c r="U6" s="143" t="s">
        <v>3025</v>
      </c>
      <c r="V6" s="144">
        <v>-1690.92</v>
      </c>
      <c r="W6" s="146">
        <v>2.5957446808510638</v>
      </c>
      <c r="X6" s="147">
        <v>-2.2527467935276615E-4</v>
      </c>
      <c r="Y6" s="181"/>
    </row>
    <row r="7" spans="1:25" ht="15" x14ac:dyDescent="0.2">
      <c r="A7" s="154" t="s">
        <v>1205</v>
      </c>
      <c r="B7" s="155" t="s">
        <v>1206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45" t="s">
        <v>3853</v>
      </c>
      <c r="W7" s="145" t="s">
        <v>3853</v>
      </c>
      <c r="X7" s="156" t="s">
        <v>3853</v>
      </c>
      <c r="Y7" s="181"/>
    </row>
    <row r="8" spans="1:25" ht="15" x14ac:dyDescent="0.2">
      <c r="A8" s="154" t="s">
        <v>1205</v>
      </c>
      <c r="B8" s="155" t="s">
        <v>1213</v>
      </c>
      <c r="C8" s="145" t="s">
        <v>3853</v>
      </c>
      <c r="D8" s="145" t="s">
        <v>3853</v>
      </c>
      <c r="E8" s="145" t="s">
        <v>3853</v>
      </c>
      <c r="F8" s="145" t="s">
        <v>3853</v>
      </c>
      <c r="G8" s="145" t="s">
        <v>3853</v>
      </c>
      <c r="H8" s="145" t="s">
        <v>3853</v>
      </c>
      <c r="I8" s="145" t="s">
        <v>3853</v>
      </c>
      <c r="J8" s="145" t="s">
        <v>3853</v>
      </c>
      <c r="K8" s="145" t="s">
        <v>3853</v>
      </c>
      <c r="L8" s="145" t="s">
        <v>3853</v>
      </c>
      <c r="M8" s="145" t="s">
        <v>3853</v>
      </c>
      <c r="N8" s="145" t="s">
        <v>3853</v>
      </c>
      <c r="O8" s="145" t="s">
        <v>3853</v>
      </c>
      <c r="P8" s="145" t="s">
        <v>3853</v>
      </c>
      <c r="Q8" s="145" t="s">
        <v>3853</v>
      </c>
      <c r="R8" s="145" t="s">
        <v>3853</v>
      </c>
      <c r="S8" s="145" t="s">
        <v>3853</v>
      </c>
      <c r="T8" s="145" t="s">
        <v>3853</v>
      </c>
      <c r="U8" s="145" t="s">
        <v>3853</v>
      </c>
      <c r="V8" s="145" t="s">
        <v>3853</v>
      </c>
      <c r="W8" s="145" t="s">
        <v>3853</v>
      </c>
      <c r="X8" s="156" t="s">
        <v>3853</v>
      </c>
      <c r="Y8" s="181"/>
    </row>
    <row r="9" spans="1:25" ht="15" x14ac:dyDescent="0.2">
      <c r="A9" s="154" t="s">
        <v>1218</v>
      </c>
      <c r="B9" s="155" t="s">
        <v>1219</v>
      </c>
      <c r="C9" s="145" t="s">
        <v>3853</v>
      </c>
      <c r="D9" s="145" t="s">
        <v>3853</v>
      </c>
      <c r="E9" s="145" t="s">
        <v>3853</v>
      </c>
      <c r="F9" s="145" t="s">
        <v>3853</v>
      </c>
      <c r="G9" s="145" t="s">
        <v>3853</v>
      </c>
      <c r="H9" s="145" t="s">
        <v>3853</v>
      </c>
      <c r="I9" s="145" t="s">
        <v>3853</v>
      </c>
      <c r="J9" s="145" t="s">
        <v>3853</v>
      </c>
      <c r="K9" s="145" t="s">
        <v>3853</v>
      </c>
      <c r="L9" s="145" t="s">
        <v>3853</v>
      </c>
      <c r="M9" s="145" t="s">
        <v>3853</v>
      </c>
      <c r="N9" s="145" t="s">
        <v>3853</v>
      </c>
      <c r="O9" s="145" t="s">
        <v>3853</v>
      </c>
      <c r="P9" s="145" t="s">
        <v>3853</v>
      </c>
      <c r="Q9" s="145" t="s">
        <v>3853</v>
      </c>
      <c r="R9" s="145" t="s">
        <v>3853</v>
      </c>
      <c r="S9" s="145" t="s">
        <v>3853</v>
      </c>
      <c r="T9" s="145" t="s">
        <v>3853</v>
      </c>
      <c r="U9" s="145" t="s">
        <v>3853</v>
      </c>
      <c r="V9" s="145" t="s">
        <v>3853</v>
      </c>
      <c r="W9" s="145" t="s">
        <v>3853</v>
      </c>
      <c r="X9" s="156" t="s">
        <v>3853</v>
      </c>
      <c r="Y9" s="181"/>
    </row>
    <row r="10" spans="1:25" ht="15" x14ac:dyDescent="0.2">
      <c r="A10" s="157" t="s">
        <v>1218</v>
      </c>
      <c r="B10" s="158" t="s">
        <v>1220</v>
      </c>
      <c r="C10" s="151" t="s">
        <v>3853</v>
      </c>
      <c r="D10" s="151" t="s">
        <v>3853</v>
      </c>
      <c r="E10" s="151" t="s">
        <v>3853</v>
      </c>
      <c r="F10" s="151" t="s">
        <v>3853</v>
      </c>
      <c r="G10" s="151" t="s">
        <v>3853</v>
      </c>
      <c r="H10" s="151" t="s">
        <v>3853</v>
      </c>
      <c r="I10" s="151" t="s">
        <v>3853</v>
      </c>
      <c r="J10" s="151" t="s">
        <v>3853</v>
      </c>
      <c r="K10" s="151" t="s">
        <v>3853</v>
      </c>
      <c r="L10" s="151" t="s">
        <v>3853</v>
      </c>
      <c r="M10" s="151" t="s">
        <v>3853</v>
      </c>
      <c r="N10" s="151" t="s">
        <v>3853</v>
      </c>
      <c r="O10" s="151" t="s">
        <v>3853</v>
      </c>
      <c r="P10" s="151" t="s">
        <v>3853</v>
      </c>
      <c r="Q10" s="151" t="s">
        <v>3853</v>
      </c>
      <c r="R10" s="151" t="s">
        <v>3853</v>
      </c>
      <c r="S10" s="151" t="s">
        <v>3853</v>
      </c>
      <c r="T10" s="151" t="s">
        <v>3853</v>
      </c>
      <c r="U10" s="151" t="s">
        <v>3853</v>
      </c>
      <c r="V10" s="151" t="s">
        <v>3853</v>
      </c>
      <c r="W10" s="151" t="s">
        <v>3853</v>
      </c>
      <c r="X10" s="159" t="s">
        <v>3853</v>
      </c>
      <c r="Y10" s="181"/>
    </row>
    <row r="11" spans="1:25" x14ac:dyDescent="0.2">
      <c r="A11" s="185" t="s">
        <v>3870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</row>
    <row r="12" spans="1:25" x14ac:dyDescent="0.2">
      <c r="A12" s="99" t="s">
        <v>3869</v>
      </c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16"/>
      <c r="M12" s="99"/>
      <c r="N12" s="99"/>
      <c r="O12" s="99"/>
      <c r="P12" s="99"/>
      <c r="Q12" s="16"/>
      <c r="R12" s="16"/>
      <c r="S12" s="99"/>
      <c r="T12" s="99"/>
      <c r="U12" s="99"/>
      <c r="V12" s="99"/>
      <c r="W12" s="99"/>
      <c r="X12" s="99"/>
    </row>
    <row r="13" spans="1:25" x14ac:dyDescent="0.2">
      <c r="A13" s="17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16"/>
      <c r="M13" s="99"/>
      <c r="N13" s="99"/>
      <c r="O13" s="99"/>
      <c r="P13" s="99"/>
      <c r="Q13" s="16"/>
      <c r="R13" s="16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16"/>
      <c r="M14" s="99"/>
      <c r="N14" s="99"/>
      <c r="O14" s="99"/>
      <c r="P14" s="99"/>
      <c r="Q14" s="16"/>
      <c r="R14" s="16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16"/>
      <c r="M15" s="99"/>
      <c r="N15" s="99"/>
      <c r="O15" s="99"/>
      <c r="P15" s="99"/>
      <c r="Q15" s="16"/>
      <c r="R15" s="16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16"/>
      <c r="M16" s="99"/>
      <c r="N16" s="99"/>
      <c r="O16" s="99"/>
      <c r="P16" s="99"/>
      <c r="Q16" s="16"/>
      <c r="R16" s="16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16"/>
      <c r="M17" s="99"/>
      <c r="N17" s="99"/>
      <c r="O17" s="99"/>
      <c r="P17" s="99"/>
      <c r="Q17" s="16"/>
      <c r="R17" s="16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16"/>
      <c r="M18" s="99"/>
      <c r="N18" s="99"/>
      <c r="O18" s="99"/>
      <c r="P18" s="99"/>
      <c r="Q18" s="16"/>
      <c r="R18" s="16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16"/>
      <c r="M19" s="99"/>
      <c r="N19" s="99"/>
      <c r="O19" s="99"/>
      <c r="P19" s="99"/>
      <c r="Q19" s="16"/>
      <c r="R19" s="16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16"/>
      <c r="M20" s="99"/>
      <c r="N20" s="99"/>
      <c r="O20" s="99"/>
      <c r="P20" s="99"/>
      <c r="Q20" s="16"/>
      <c r="R20" s="16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16"/>
      <c r="M21" s="99"/>
      <c r="N21" s="98"/>
      <c r="O21" s="98"/>
      <c r="P21" s="99"/>
      <c r="Q21" s="98"/>
      <c r="R21" s="98"/>
      <c r="S21" s="98"/>
      <c r="T21" s="98"/>
      <c r="U21" s="98"/>
      <c r="V21" s="98"/>
      <c r="W21" s="98"/>
      <c r="X21" s="98"/>
    </row>
    <row r="22" spans="1:24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4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  <row r="31" spans="1:24" x14ac:dyDescent="0.2">
      <c r="A31" s="98"/>
      <c r="B31" s="98"/>
      <c r="C31" s="98"/>
      <c r="D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6 J12:J21">
      <formula1>israel_abroad</formula1>
    </dataValidation>
    <dataValidation type="list" allowBlank="1" showInputMessage="1" showErrorMessage="1" sqref="P3:P6 P12:P21">
      <formula1>Holding_interest</formula1>
    </dataValidation>
    <dataValidation type="list" allowBlank="1" showInputMessage="1" showErrorMessage="1" sqref="N3:N6 N12:N20">
      <formula1>Underlying_Asset</formula1>
    </dataValidation>
    <dataValidation type="list" allowBlank="1" showInputMessage="1" showErrorMessage="1" sqref="K3:K6 K12:K21">
      <formula1>Country_list</formula1>
    </dataValidation>
    <dataValidation type="list" allowBlank="1" showInputMessage="1" showErrorMessage="1" sqref="E3:E6 E12:E21">
      <formula1>Issuer_Type_TFunds</formula1>
    </dataValidation>
    <dataValidation type="list" allowBlank="1" showInputMessage="1" showErrorMessage="1" sqref="H3:H6 H12:H21">
      <formula1>Security_ID_Number_Type</formula1>
    </dataValidation>
    <dataValidation type="list" allowBlank="1" showInputMessage="1" showErrorMessage="1" sqref="M3:M6 M12:M21">
      <formula1>Industry_Sector</formula1>
    </dataValidation>
    <dataValidation type="list" allowBlank="1" showInputMessage="1" showErrorMessage="1" sqref="L3:L6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I3:I6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8.25" style="2" bestFit="1" customWidth="1"/>
    <col min="4" max="4" width="11.25" style="2" customWidth="1"/>
    <col min="5" max="5" width="18.125" style="4" customWidth="1"/>
    <col min="6" max="6" width="23.87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0.25" style="2" customWidth="1"/>
    <col min="12" max="12" width="18.125" style="2" bestFit="1" customWidth="1"/>
    <col min="13" max="13" width="15.125" style="2" customWidth="1"/>
    <col min="14" max="14" width="11.75" style="2" customWidth="1"/>
    <col min="15" max="15" width="14.875" style="2" customWidth="1"/>
    <col min="16" max="16" width="10.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3883</v>
      </c>
    </row>
    <row r="2" spans="1:2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70</v>
      </c>
      <c r="L2" s="140" t="s">
        <v>96</v>
      </c>
      <c r="M2" s="140" t="s">
        <v>56</v>
      </c>
      <c r="N2" s="140" t="s">
        <v>59</v>
      </c>
      <c r="O2" s="140" t="s">
        <v>76</v>
      </c>
      <c r="P2" s="140" t="s">
        <v>61</v>
      </c>
      <c r="Q2" s="140" t="s">
        <v>77</v>
      </c>
      <c r="R2" s="140" t="s">
        <v>63</v>
      </c>
      <c r="S2" s="140" t="s">
        <v>64</v>
      </c>
      <c r="T2" s="141" t="s">
        <v>65</v>
      </c>
      <c r="U2" s="181" t="s">
        <v>3871</v>
      </c>
    </row>
    <row r="3" spans="1:21" x14ac:dyDescent="0.2">
      <c r="A3" s="142" t="s">
        <v>1205</v>
      </c>
      <c r="B3" s="143" t="s">
        <v>1205</v>
      </c>
      <c r="C3" s="143" t="s">
        <v>2078</v>
      </c>
      <c r="D3" s="143" t="s">
        <v>2079</v>
      </c>
      <c r="E3" s="143" t="s">
        <v>309</v>
      </c>
      <c r="F3" s="143" t="s">
        <v>3026</v>
      </c>
      <c r="G3" s="143" t="s">
        <v>3027</v>
      </c>
      <c r="H3" s="143" t="s">
        <v>312</v>
      </c>
      <c r="I3" s="143" t="s">
        <v>204</v>
      </c>
      <c r="J3" s="143" t="s">
        <v>204</v>
      </c>
      <c r="K3" s="143" t="s">
        <v>344</v>
      </c>
      <c r="L3" s="143" t="s">
        <v>314</v>
      </c>
      <c r="M3" s="143" t="s">
        <v>339</v>
      </c>
      <c r="N3" s="143" t="s">
        <v>1211</v>
      </c>
      <c r="O3" s="144">
        <v>-4402080</v>
      </c>
      <c r="P3" s="143" t="s">
        <v>1212</v>
      </c>
      <c r="Q3" s="143" t="s">
        <v>1532</v>
      </c>
      <c r="R3" s="144">
        <v>-16547.418699999998</v>
      </c>
      <c r="S3" s="146">
        <v>-466.37143765229365</v>
      </c>
      <c r="T3" s="147">
        <v>-2.4984928500491565E-2</v>
      </c>
      <c r="U3" s="181"/>
    </row>
    <row r="4" spans="1:21" x14ac:dyDescent="0.2">
      <c r="A4" s="142" t="s">
        <v>1205</v>
      </c>
      <c r="B4" s="143" t="s">
        <v>1205</v>
      </c>
      <c r="C4" s="143" t="s">
        <v>2078</v>
      </c>
      <c r="D4" s="143" t="s">
        <v>2079</v>
      </c>
      <c r="E4" s="143" t="s">
        <v>309</v>
      </c>
      <c r="F4" s="143" t="s">
        <v>3028</v>
      </c>
      <c r="G4" s="143" t="s">
        <v>3029</v>
      </c>
      <c r="H4" s="143" t="s">
        <v>312</v>
      </c>
      <c r="I4" s="143" t="s">
        <v>204</v>
      </c>
      <c r="J4" s="143" t="s">
        <v>204</v>
      </c>
      <c r="K4" s="143" t="s">
        <v>344</v>
      </c>
      <c r="L4" s="143" t="s">
        <v>314</v>
      </c>
      <c r="M4" s="143" t="s">
        <v>339</v>
      </c>
      <c r="N4" s="143" t="s">
        <v>1211</v>
      </c>
      <c r="O4" s="144">
        <v>-5186766</v>
      </c>
      <c r="P4" s="143" t="s">
        <v>1212</v>
      </c>
      <c r="Q4" s="143" t="s">
        <v>1532</v>
      </c>
      <c r="R4" s="144">
        <v>-19497.053399999997</v>
      </c>
      <c r="S4" s="146">
        <v>-549.50376099163043</v>
      </c>
      <c r="T4" s="147">
        <v>-2.9438578503521207E-2</v>
      </c>
      <c r="U4" s="181"/>
    </row>
    <row r="5" spans="1:21" x14ac:dyDescent="0.2">
      <c r="A5" s="142" t="s">
        <v>1205</v>
      </c>
      <c r="B5" s="143" t="s">
        <v>1205</v>
      </c>
      <c r="C5" s="143" t="s">
        <v>3030</v>
      </c>
      <c r="D5" s="143" t="s">
        <v>3031</v>
      </c>
      <c r="E5" s="143" t="s">
        <v>314</v>
      </c>
      <c r="F5" s="143" t="s">
        <v>3032</v>
      </c>
      <c r="G5" s="143" t="s">
        <v>3033</v>
      </c>
      <c r="H5" s="143" t="s">
        <v>312</v>
      </c>
      <c r="I5" s="143" t="s">
        <v>205</v>
      </c>
      <c r="J5" s="143" t="s">
        <v>224</v>
      </c>
      <c r="K5" s="143" t="s">
        <v>344</v>
      </c>
      <c r="L5" s="143" t="s">
        <v>747</v>
      </c>
      <c r="M5" s="143" t="s">
        <v>339</v>
      </c>
      <c r="N5" s="143" t="s">
        <v>1211</v>
      </c>
      <c r="O5" s="144">
        <v>13</v>
      </c>
      <c r="P5" s="143" t="s">
        <v>1212</v>
      </c>
      <c r="Q5" s="143" t="s">
        <v>3034</v>
      </c>
      <c r="R5" s="144">
        <v>19475.698499999999</v>
      </c>
      <c r="S5" s="146">
        <v>548.9018963873292</v>
      </c>
      <c r="T5" s="147">
        <v>2.9406334796271159E-2</v>
      </c>
      <c r="U5" s="181"/>
    </row>
    <row r="6" spans="1:21" x14ac:dyDescent="0.2">
      <c r="A6" s="142" t="s">
        <v>1205</v>
      </c>
      <c r="B6" s="143" t="s">
        <v>1205</v>
      </c>
      <c r="C6" s="143" t="s">
        <v>3035</v>
      </c>
      <c r="D6" s="143" t="s">
        <v>3036</v>
      </c>
      <c r="E6" s="143" t="s">
        <v>314</v>
      </c>
      <c r="F6" s="143" t="s">
        <v>3037</v>
      </c>
      <c r="G6" s="143" t="s">
        <v>3038</v>
      </c>
      <c r="H6" s="143" t="s">
        <v>312</v>
      </c>
      <c r="I6" s="143" t="s">
        <v>205</v>
      </c>
      <c r="J6" s="143" t="s">
        <v>224</v>
      </c>
      <c r="K6" s="143" t="s">
        <v>344</v>
      </c>
      <c r="L6" s="143" t="s">
        <v>747</v>
      </c>
      <c r="M6" s="143" t="s">
        <v>339</v>
      </c>
      <c r="N6" s="143" t="s">
        <v>1211</v>
      </c>
      <c r="O6" s="144">
        <v>16</v>
      </c>
      <c r="P6" s="143" t="s">
        <v>1212</v>
      </c>
      <c r="Q6" s="143" t="s">
        <v>3039</v>
      </c>
      <c r="R6" s="144">
        <v>16604.254800000002</v>
      </c>
      <c r="S6" s="146">
        <v>467.97330225659499</v>
      </c>
      <c r="T6" s="147">
        <v>2.5070745232338199E-2</v>
      </c>
      <c r="U6" s="181"/>
    </row>
    <row r="7" spans="1:21" x14ac:dyDescent="0.2">
      <c r="A7" s="142" t="s">
        <v>1218</v>
      </c>
      <c r="B7" s="143" t="s">
        <v>1218</v>
      </c>
      <c r="C7" s="143" t="s">
        <v>2078</v>
      </c>
      <c r="D7" s="143" t="s">
        <v>2079</v>
      </c>
      <c r="E7" s="143" t="s">
        <v>309</v>
      </c>
      <c r="F7" s="143" t="s">
        <v>3028</v>
      </c>
      <c r="G7" s="143" t="s">
        <v>3029</v>
      </c>
      <c r="H7" s="143" t="s">
        <v>312</v>
      </c>
      <c r="I7" s="143" t="s">
        <v>204</v>
      </c>
      <c r="J7" s="143" t="s">
        <v>204</v>
      </c>
      <c r="K7" s="143" t="s">
        <v>344</v>
      </c>
      <c r="L7" s="143" t="s">
        <v>314</v>
      </c>
      <c r="M7" s="143" t="s">
        <v>339</v>
      </c>
      <c r="N7" s="143" t="s">
        <v>1211</v>
      </c>
      <c r="O7" s="144">
        <v>-58251372</v>
      </c>
      <c r="P7" s="143" t="s">
        <v>1212</v>
      </c>
      <c r="Q7" s="143" t="s">
        <v>1532</v>
      </c>
      <c r="R7" s="144">
        <v>-218966.90730000002</v>
      </c>
      <c r="S7" s="146">
        <v>-352.74359626494203</v>
      </c>
      <c r="T7" s="147">
        <v>-2.9172107398154588E-2</v>
      </c>
      <c r="U7" s="181"/>
    </row>
    <row r="8" spans="1:21" x14ac:dyDescent="0.2">
      <c r="A8" s="142" t="s">
        <v>1218</v>
      </c>
      <c r="B8" s="143" t="s">
        <v>1218</v>
      </c>
      <c r="C8" s="143" t="s">
        <v>2078</v>
      </c>
      <c r="D8" s="143" t="s">
        <v>2079</v>
      </c>
      <c r="E8" s="143" t="s">
        <v>309</v>
      </c>
      <c r="F8" s="143" t="s">
        <v>3026</v>
      </c>
      <c r="G8" s="143" t="s">
        <v>3027</v>
      </c>
      <c r="H8" s="143" t="s">
        <v>312</v>
      </c>
      <c r="I8" s="143" t="s">
        <v>204</v>
      </c>
      <c r="J8" s="143" t="s">
        <v>204</v>
      </c>
      <c r="K8" s="143" t="s">
        <v>344</v>
      </c>
      <c r="L8" s="143" t="s">
        <v>314</v>
      </c>
      <c r="M8" s="143" t="s">
        <v>339</v>
      </c>
      <c r="N8" s="143" t="s">
        <v>1211</v>
      </c>
      <c r="O8" s="144">
        <v>-66581210</v>
      </c>
      <c r="P8" s="143" t="s">
        <v>1212</v>
      </c>
      <c r="Q8" s="143" t="s">
        <v>1532</v>
      </c>
      <c r="R8" s="144">
        <v>-250278.7684</v>
      </c>
      <c r="S8" s="146">
        <v>-403.18527534546865</v>
      </c>
      <c r="T8" s="147">
        <v>-3.3343664571867666E-2</v>
      </c>
      <c r="U8" s="181"/>
    </row>
    <row r="9" spans="1:21" x14ac:dyDescent="0.2">
      <c r="A9" s="142" t="s">
        <v>1218</v>
      </c>
      <c r="B9" s="143" t="s">
        <v>1218</v>
      </c>
      <c r="C9" s="143" t="s">
        <v>3035</v>
      </c>
      <c r="D9" s="143" t="s">
        <v>3036</v>
      </c>
      <c r="E9" s="143" t="s">
        <v>314</v>
      </c>
      <c r="F9" s="143" t="s">
        <v>3037</v>
      </c>
      <c r="G9" s="143" t="s">
        <v>3038</v>
      </c>
      <c r="H9" s="143" t="s">
        <v>312</v>
      </c>
      <c r="I9" s="143" t="s">
        <v>205</v>
      </c>
      <c r="J9" s="143" t="s">
        <v>224</v>
      </c>
      <c r="K9" s="143" t="s">
        <v>344</v>
      </c>
      <c r="L9" s="143" t="s">
        <v>747</v>
      </c>
      <c r="M9" s="143" t="s">
        <v>339</v>
      </c>
      <c r="N9" s="143" t="s">
        <v>1211</v>
      </c>
      <c r="O9" s="144">
        <v>242</v>
      </c>
      <c r="P9" s="143" t="s">
        <v>1212</v>
      </c>
      <c r="Q9" s="143" t="s">
        <v>3039</v>
      </c>
      <c r="R9" s="144">
        <v>251139.35390000002</v>
      </c>
      <c r="S9" s="146">
        <v>404.57163099952766</v>
      </c>
      <c r="T9" s="147">
        <v>3.3458317017611497E-2</v>
      </c>
      <c r="U9" s="181"/>
    </row>
    <row r="10" spans="1:21" x14ac:dyDescent="0.2">
      <c r="A10" s="142" t="s">
        <v>1218</v>
      </c>
      <c r="B10" s="143" t="s">
        <v>1218</v>
      </c>
      <c r="C10" s="143" t="s">
        <v>3030</v>
      </c>
      <c r="D10" s="143" t="s">
        <v>3031</v>
      </c>
      <c r="E10" s="143" t="s">
        <v>314</v>
      </c>
      <c r="F10" s="143" t="s">
        <v>3032</v>
      </c>
      <c r="G10" s="143" t="s">
        <v>3033</v>
      </c>
      <c r="H10" s="143" t="s">
        <v>312</v>
      </c>
      <c r="I10" s="143" t="s">
        <v>205</v>
      </c>
      <c r="J10" s="143" t="s">
        <v>224</v>
      </c>
      <c r="K10" s="143" t="s">
        <v>344</v>
      </c>
      <c r="L10" s="143" t="s">
        <v>747</v>
      </c>
      <c r="M10" s="143" t="s">
        <v>339</v>
      </c>
      <c r="N10" s="143" t="s">
        <v>1211</v>
      </c>
      <c r="O10" s="144">
        <v>146</v>
      </c>
      <c r="P10" s="143" t="s">
        <v>1212</v>
      </c>
      <c r="Q10" s="143" t="s">
        <v>3034</v>
      </c>
      <c r="R10" s="144">
        <v>218727.07559999998</v>
      </c>
      <c r="S10" s="146">
        <v>352.35724061088303</v>
      </c>
      <c r="T10" s="147">
        <v>2.9140155553377144E-2</v>
      </c>
      <c r="U10" s="181"/>
    </row>
    <row r="11" spans="1:21" ht="15" x14ac:dyDescent="0.2">
      <c r="A11" s="154" t="s">
        <v>1205</v>
      </c>
      <c r="B11" s="155" t="s">
        <v>1206</v>
      </c>
      <c r="C11" s="145" t="s">
        <v>3853</v>
      </c>
      <c r="D11" s="145" t="s">
        <v>3853</v>
      </c>
      <c r="E11" s="145" t="s">
        <v>3853</v>
      </c>
      <c r="F11" s="145" t="s">
        <v>3853</v>
      </c>
      <c r="G11" s="145" t="s">
        <v>3853</v>
      </c>
      <c r="H11" s="145" t="s">
        <v>3853</v>
      </c>
      <c r="I11" s="145" t="s">
        <v>3853</v>
      </c>
      <c r="J11" s="145" t="s">
        <v>3853</v>
      </c>
      <c r="K11" s="145" t="s">
        <v>3853</v>
      </c>
      <c r="L11" s="145" t="s">
        <v>3853</v>
      </c>
      <c r="M11" s="145" t="s">
        <v>3853</v>
      </c>
      <c r="N11" s="145" t="s">
        <v>3853</v>
      </c>
      <c r="O11" s="145" t="s">
        <v>3853</v>
      </c>
      <c r="P11" s="145" t="s">
        <v>3853</v>
      </c>
      <c r="Q11" s="145" t="s">
        <v>3853</v>
      </c>
      <c r="R11" s="145" t="s">
        <v>3853</v>
      </c>
      <c r="S11" s="145" t="s">
        <v>3853</v>
      </c>
      <c r="T11" s="156" t="s">
        <v>3853</v>
      </c>
      <c r="U11" s="181"/>
    </row>
    <row r="12" spans="1:21" ht="15" x14ac:dyDescent="0.2">
      <c r="A12" s="154" t="s">
        <v>1205</v>
      </c>
      <c r="B12" s="155" t="s">
        <v>1213</v>
      </c>
      <c r="C12" s="145" t="s">
        <v>3853</v>
      </c>
      <c r="D12" s="145" t="s">
        <v>3853</v>
      </c>
      <c r="E12" s="145" t="s">
        <v>3853</v>
      </c>
      <c r="F12" s="145" t="s">
        <v>3853</v>
      </c>
      <c r="G12" s="145" t="s">
        <v>3853</v>
      </c>
      <c r="H12" s="145" t="s">
        <v>3853</v>
      </c>
      <c r="I12" s="145" t="s">
        <v>3853</v>
      </c>
      <c r="J12" s="145" t="s">
        <v>3853</v>
      </c>
      <c r="K12" s="145" t="s">
        <v>3853</v>
      </c>
      <c r="L12" s="145" t="s">
        <v>3853</v>
      </c>
      <c r="M12" s="145" t="s">
        <v>3853</v>
      </c>
      <c r="N12" s="145" t="s">
        <v>3853</v>
      </c>
      <c r="O12" s="145" t="s">
        <v>3853</v>
      </c>
      <c r="P12" s="145" t="s">
        <v>3853</v>
      </c>
      <c r="Q12" s="145" t="s">
        <v>3853</v>
      </c>
      <c r="R12" s="145" t="s">
        <v>3853</v>
      </c>
      <c r="S12" s="145" t="s">
        <v>3853</v>
      </c>
      <c r="T12" s="156" t="s">
        <v>3853</v>
      </c>
      <c r="U12" s="181"/>
    </row>
    <row r="13" spans="1:21" ht="15" x14ac:dyDescent="0.2">
      <c r="A13" s="154" t="s">
        <v>1218</v>
      </c>
      <c r="B13" s="155" t="s">
        <v>1219</v>
      </c>
      <c r="C13" s="145" t="s">
        <v>3853</v>
      </c>
      <c r="D13" s="145" t="s">
        <v>3853</v>
      </c>
      <c r="E13" s="145" t="s">
        <v>3853</v>
      </c>
      <c r="F13" s="145" t="s">
        <v>3853</v>
      </c>
      <c r="G13" s="145" t="s">
        <v>3853</v>
      </c>
      <c r="H13" s="145" t="s">
        <v>3853</v>
      </c>
      <c r="I13" s="145" t="s">
        <v>3853</v>
      </c>
      <c r="J13" s="145" t="s">
        <v>3853</v>
      </c>
      <c r="K13" s="145" t="s">
        <v>3853</v>
      </c>
      <c r="L13" s="145" t="s">
        <v>3853</v>
      </c>
      <c r="M13" s="145" t="s">
        <v>3853</v>
      </c>
      <c r="N13" s="145" t="s">
        <v>3853</v>
      </c>
      <c r="O13" s="145" t="s">
        <v>3853</v>
      </c>
      <c r="P13" s="145" t="s">
        <v>3853</v>
      </c>
      <c r="Q13" s="145" t="s">
        <v>3853</v>
      </c>
      <c r="R13" s="145" t="s">
        <v>3853</v>
      </c>
      <c r="S13" s="145" t="s">
        <v>3853</v>
      </c>
      <c r="T13" s="156" t="s">
        <v>3853</v>
      </c>
      <c r="U13" s="181"/>
    </row>
    <row r="14" spans="1:21" ht="15" x14ac:dyDescent="0.2">
      <c r="A14" s="157" t="s">
        <v>1218</v>
      </c>
      <c r="B14" s="158" t="s">
        <v>1220</v>
      </c>
      <c r="C14" s="151" t="s">
        <v>3853</v>
      </c>
      <c r="D14" s="151" t="s">
        <v>3853</v>
      </c>
      <c r="E14" s="151" t="s">
        <v>3853</v>
      </c>
      <c r="F14" s="151" t="s">
        <v>3853</v>
      </c>
      <c r="G14" s="151" t="s">
        <v>3853</v>
      </c>
      <c r="H14" s="151" t="s">
        <v>3853</v>
      </c>
      <c r="I14" s="151" t="s">
        <v>3853</v>
      </c>
      <c r="J14" s="151" t="s">
        <v>3853</v>
      </c>
      <c r="K14" s="151" t="s">
        <v>3853</v>
      </c>
      <c r="L14" s="151" t="s">
        <v>3853</v>
      </c>
      <c r="M14" s="151" t="s">
        <v>3853</v>
      </c>
      <c r="N14" s="151" t="s">
        <v>3853</v>
      </c>
      <c r="O14" s="151" t="s">
        <v>3853</v>
      </c>
      <c r="P14" s="151" t="s">
        <v>3853</v>
      </c>
      <c r="Q14" s="151" t="s">
        <v>3853</v>
      </c>
      <c r="R14" s="151" t="s">
        <v>3853</v>
      </c>
      <c r="S14" s="151" t="s">
        <v>3853</v>
      </c>
      <c r="T14" s="159" t="s">
        <v>3853</v>
      </c>
      <c r="U14" s="181"/>
    </row>
    <row r="15" spans="1:21" x14ac:dyDescent="0.2">
      <c r="A15" s="185" t="s">
        <v>3870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</row>
    <row r="16" spans="1:21" x14ac:dyDescent="0.2">
      <c r="A16" s="99" t="s">
        <v>3869</v>
      </c>
      <c r="B16" s="99"/>
      <c r="C16" s="98"/>
      <c r="D16" s="98"/>
      <c r="E16" s="16"/>
      <c r="F16" s="99"/>
      <c r="G16" s="99"/>
      <c r="H16" s="16"/>
      <c r="I16" s="16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</row>
    <row r="17" spans="1:20" x14ac:dyDescent="0.2">
      <c r="A17" s="179"/>
      <c r="B17" s="99"/>
      <c r="C17" s="98"/>
      <c r="D17" s="98"/>
      <c r="E17" s="16"/>
      <c r="F17" s="99"/>
      <c r="G17" s="99"/>
      <c r="H17" s="16"/>
      <c r="I17" s="16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</row>
    <row r="18" spans="1:20" x14ac:dyDescent="0.2">
      <c r="A18" s="99"/>
      <c r="B18" s="99"/>
      <c r="C18" s="98"/>
      <c r="D18" s="98"/>
      <c r="E18" s="16"/>
      <c r="F18" s="99"/>
      <c r="G18" s="99"/>
      <c r="H18" s="16"/>
      <c r="I18" s="16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</row>
    <row r="19" spans="1:20" x14ac:dyDescent="0.2">
      <c r="A19" s="99"/>
      <c r="B19" s="99"/>
      <c r="C19" s="98"/>
      <c r="D19" s="98"/>
      <c r="E19" s="16"/>
      <c r="F19" s="99"/>
      <c r="G19" s="99"/>
      <c r="H19" s="16"/>
      <c r="I19" s="16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</row>
    <row r="20" spans="1:20" x14ac:dyDescent="0.2">
      <c r="A20" s="99"/>
      <c r="B20" s="99"/>
      <c r="C20" s="98"/>
      <c r="D20" s="98"/>
      <c r="E20" s="16"/>
      <c r="F20" s="99"/>
      <c r="G20" s="99"/>
      <c r="H20" s="16"/>
      <c r="I20" s="16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</row>
    <row r="21" spans="1:20" x14ac:dyDescent="0.2">
      <c r="A21" s="98"/>
      <c r="B21" s="98"/>
      <c r="C21" s="98"/>
      <c r="D21" s="98"/>
      <c r="E21" s="16"/>
      <c r="F21" s="98"/>
      <c r="G21" s="98"/>
      <c r="H21" s="16"/>
      <c r="I21" s="98"/>
      <c r="J21" s="16"/>
      <c r="K21" s="16"/>
      <c r="L21" s="99"/>
      <c r="M21" s="99"/>
      <c r="N21" s="98"/>
      <c r="O21" s="98"/>
      <c r="P21" s="98"/>
      <c r="Q21" s="98"/>
      <c r="R21" s="98"/>
      <c r="S21" s="98"/>
      <c r="T21" s="98"/>
    </row>
    <row r="22" spans="1:20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4"/>
      <c r="L22" s="98"/>
      <c r="M22" s="98"/>
      <c r="N22" s="98"/>
      <c r="O22" s="98"/>
      <c r="P22" s="98"/>
      <c r="Q22" s="98"/>
      <c r="R22" s="98"/>
      <c r="S22" s="98"/>
      <c r="T22" s="98"/>
    </row>
    <row r="23" spans="1:20" x14ac:dyDescent="0.2">
      <c r="A23" s="98"/>
      <c r="B23" s="98"/>
      <c r="C23" s="98"/>
      <c r="D23" s="98"/>
      <c r="F23" s="98"/>
      <c r="G23" s="98"/>
      <c r="H23" s="98"/>
      <c r="I23" s="98"/>
      <c r="J23" s="98"/>
      <c r="K23" s="4"/>
      <c r="L23" s="98"/>
      <c r="M23" s="98"/>
      <c r="N23" s="98"/>
      <c r="O23" s="98"/>
      <c r="P23" s="98"/>
      <c r="Q23" s="98"/>
      <c r="R23" s="98"/>
      <c r="S23" s="98"/>
      <c r="T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5:T15"/>
    <mergeCell ref="U2:U14"/>
  </mergeCells>
  <dataValidations count="7">
    <dataValidation type="list" allowBlank="1" showInputMessage="1" showErrorMessage="1" sqref="I3:I10 I16:I20">
      <formula1>israel_abroad</formula1>
    </dataValidation>
    <dataValidation type="list" allowBlank="1" showInputMessage="1" showErrorMessage="1" sqref="M3:M10 M16:M21">
      <formula1>Holding_interest</formula1>
    </dataValidation>
    <dataValidation type="list" allowBlank="1" showInputMessage="1" showErrorMessage="1" sqref="L3:L10 L16:L21">
      <formula1>Underlying_Asset</formula1>
    </dataValidation>
    <dataValidation type="list" allowBlank="1" showInputMessage="1" showErrorMessage="1" sqref="J3:J10 J16:J21">
      <formula1>Country_list</formula1>
    </dataValidation>
    <dataValidation type="list" allowBlank="1" showInputMessage="1" showErrorMessage="1" sqref="E3:E10 E16:E21">
      <formula1>Issuer_Type_TFunds</formula1>
    </dataValidation>
    <dataValidation type="list" allowBlank="1" showInputMessage="1" showErrorMessage="1" sqref="H3:H10 H16:H21">
      <formula1>Security_ID_Number_Type</formula1>
    </dataValidation>
    <dataValidation type="list" allowBlank="1" showInputMessage="1" showErrorMessage="1" sqref="K3:K10 K16: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.375" style="2" bestFit="1" customWidth="1"/>
    <col min="4" max="4" width="11.25" style="2" customWidth="1"/>
    <col min="5" max="5" width="18.125" style="4" customWidth="1"/>
    <col min="6" max="6" width="13.25" style="2" bestFit="1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3.75" style="2" customWidth="1"/>
    <col min="13" max="13" width="10.25" style="2" customWidth="1"/>
    <col min="14" max="14" width="9" style="2" customWidth="1"/>
    <col min="15" max="15" width="15.125" style="2" customWidth="1"/>
    <col min="16" max="16" width="6.5" style="2" customWidth="1"/>
    <col min="17" max="17" width="11.125" style="2" customWidth="1"/>
    <col min="18" max="18" width="12.25" style="2" customWidth="1"/>
    <col min="19" max="19" width="6.25" style="2" customWidth="1"/>
    <col min="20" max="20" width="9.75" style="2" bestFit="1" customWidth="1"/>
    <col min="21" max="21" width="19" style="2" customWidth="1"/>
    <col min="22" max="22" width="11.75" style="2" customWidth="1"/>
    <col min="23" max="23" width="14.875" style="2" customWidth="1"/>
    <col min="24" max="24" width="10.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3884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96</v>
      </c>
      <c r="O2" s="140" t="s">
        <v>56</v>
      </c>
      <c r="P2" s="140" t="s">
        <v>72</v>
      </c>
      <c r="Q2" s="140" t="s">
        <v>62</v>
      </c>
      <c r="R2" s="140" t="s">
        <v>74</v>
      </c>
      <c r="S2" s="140" t="s">
        <v>71</v>
      </c>
      <c r="T2" s="140" t="s">
        <v>58</v>
      </c>
      <c r="U2" s="140" t="s">
        <v>84</v>
      </c>
      <c r="V2" s="140" t="s">
        <v>59</v>
      </c>
      <c r="W2" s="140" t="s">
        <v>76</v>
      </c>
      <c r="X2" s="140" t="s">
        <v>61</v>
      </c>
      <c r="Y2" s="140" t="s">
        <v>77</v>
      </c>
      <c r="Z2" s="140" t="s">
        <v>63</v>
      </c>
      <c r="AA2" s="140" t="s">
        <v>64</v>
      </c>
      <c r="AB2" s="141" t="s">
        <v>65</v>
      </c>
      <c r="AC2" s="181" t="s">
        <v>3871</v>
      </c>
    </row>
    <row r="3" spans="1:29" ht="15" x14ac:dyDescent="0.2">
      <c r="A3" s="142" t="s">
        <v>1205</v>
      </c>
      <c r="B3" s="143" t="s">
        <v>1206</v>
      </c>
      <c r="C3" s="143" t="s">
        <v>3040</v>
      </c>
      <c r="D3" s="143" t="s">
        <v>3041</v>
      </c>
      <c r="E3" s="143" t="s">
        <v>309</v>
      </c>
      <c r="F3" s="143" t="s">
        <v>3042</v>
      </c>
      <c r="G3" s="143" t="s">
        <v>3043</v>
      </c>
      <c r="H3" s="143" t="s">
        <v>321</v>
      </c>
      <c r="I3" s="143" t="s">
        <v>975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314</v>
      </c>
      <c r="O3" s="143" t="s">
        <v>339</v>
      </c>
      <c r="P3" s="144">
        <v>3.51</v>
      </c>
      <c r="Q3" s="146">
        <v>5.0000000000000001E-4</v>
      </c>
      <c r="R3" s="146">
        <v>2.6027999999999999E-2</v>
      </c>
      <c r="S3" s="143" t="s">
        <v>1222</v>
      </c>
      <c r="T3" s="143" t="s">
        <v>413</v>
      </c>
      <c r="U3" s="143" t="s">
        <v>407</v>
      </c>
      <c r="V3" s="143" t="s">
        <v>1210</v>
      </c>
      <c r="W3" s="144">
        <v>52144.35</v>
      </c>
      <c r="X3" s="145" t="s">
        <v>3853</v>
      </c>
      <c r="Y3" s="143" t="s">
        <v>3044</v>
      </c>
      <c r="Z3" s="144">
        <v>53.813000000000002</v>
      </c>
      <c r="AA3" s="146">
        <v>1</v>
      </c>
      <c r="AB3" s="147">
        <v>3.6442133861967025E-3</v>
      </c>
      <c r="AC3" s="181"/>
    </row>
    <row r="4" spans="1:29" ht="15" x14ac:dyDescent="0.2">
      <c r="A4" s="142" t="s">
        <v>1205</v>
      </c>
      <c r="B4" s="143" t="s">
        <v>1213</v>
      </c>
      <c r="C4" s="143" t="s">
        <v>3040</v>
      </c>
      <c r="D4" s="143" t="s">
        <v>3041</v>
      </c>
      <c r="E4" s="143" t="s">
        <v>309</v>
      </c>
      <c r="F4" s="143" t="s">
        <v>3042</v>
      </c>
      <c r="G4" s="143" t="s">
        <v>3043</v>
      </c>
      <c r="H4" s="143" t="s">
        <v>321</v>
      </c>
      <c r="I4" s="143" t="s">
        <v>975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314</v>
      </c>
      <c r="O4" s="143" t="s">
        <v>339</v>
      </c>
      <c r="P4" s="144">
        <v>3.51</v>
      </c>
      <c r="Q4" s="146">
        <v>5.0000000000000001E-4</v>
      </c>
      <c r="R4" s="146">
        <v>2.6027999999999999E-2</v>
      </c>
      <c r="S4" s="143" t="s">
        <v>1222</v>
      </c>
      <c r="T4" s="143" t="s">
        <v>413</v>
      </c>
      <c r="U4" s="143" t="s">
        <v>407</v>
      </c>
      <c r="V4" s="143" t="s">
        <v>1210</v>
      </c>
      <c r="W4" s="144">
        <v>11357.6</v>
      </c>
      <c r="X4" s="145" t="s">
        <v>3853</v>
      </c>
      <c r="Y4" s="143" t="s">
        <v>3044</v>
      </c>
      <c r="Z4" s="144">
        <v>11.721</v>
      </c>
      <c r="AA4" s="146">
        <v>1</v>
      </c>
      <c r="AB4" s="147">
        <v>3.4594711482459845E-3</v>
      </c>
      <c r="AC4" s="181"/>
    </row>
    <row r="5" spans="1:29" ht="15" x14ac:dyDescent="0.2">
      <c r="A5" s="142" t="s">
        <v>1205</v>
      </c>
      <c r="B5" s="143" t="s">
        <v>1205</v>
      </c>
      <c r="C5" s="143" t="s">
        <v>3040</v>
      </c>
      <c r="D5" s="143" t="s">
        <v>3041</v>
      </c>
      <c r="E5" s="143" t="s">
        <v>309</v>
      </c>
      <c r="F5" s="143" t="s">
        <v>3042</v>
      </c>
      <c r="G5" s="143" t="s">
        <v>3043</v>
      </c>
      <c r="H5" s="143" t="s">
        <v>321</v>
      </c>
      <c r="I5" s="143" t="s">
        <v>975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314</v>
      </c>
      <c r="O5" s="143" t="s">
        <v>339</v>
      </c>
      <c r="P5" s="144">
        <v>3.51</v>
      </c>
      <c r="Q5" s="146">
        <v>5.0000000000000001E-4</v>
      </c>
      <c r="R5" s="146">
        <v>2.6027999999999999E-2</v>
      </c>
      <c r="S5" s="143" t="s">
        <v>1222</v>
      </c>
      <c r="T5" s="143" t="s">
        <v>413</v>
      </c>
      <c r="U5" s="143" t="s">
        <v>407</v>
      </c>
      <c r="V5" s="143" t="s">
        <v>1210</v>
      </c>
      <c r="W5" s="144">
        <v>2079883.66</v>
      </c>
      <c r="X5" s="145" t="s">
        <v>3853</v>
      </c>
      <c r="Y5" s="143" t="s">
        <v>3044</v>
      </c>
      <c r="Z5" s="144">
        <v>2146.4398999999999</v>
      </c>
      <c r="AA5" s="146">
        <v>0.93086956257798792</v>
      </c>
      <c r="AB5" s="147">
        <v>3.2409071932605819E-3</v>
      </c>
      <c r="AC5" s="181"/>
    </row>
    <row r="6" spans="1:29" ht="15" x14ac:dyDescent="0.2">
      <c r="A6" s="142" t="s">
        <v>1205</v>
      </c>
      <c r="B6" s="143" t="s">
        <v>1205</v>
      </c>
      <c r="C6" s="143" t="s">
        <v>3040</v>
      </c>
      <c r="D6" s="143" t="s">
        <v>3041</v>
      </c>
      <c r="E6" s="143" t="s">
        <v>309</v>
      </c>
      <c r="F6" s="143" t="s">
        <v>3045</v>
      </c>
      <c r="G6" s="143" t="s">
        <v>3046</v>
      </c>
      <c r="H6" s="143" t="s">
        <v>321</v>
      </c>
      <c r="I6" s="143" t="s">
        <v>975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314</v>
      </c>
      <c r="O6" s="143" t="s">
        <v>339</v>
      </c>
      <c r="P6" s="144">
        <v>1.68</v>
      </c>
      <c r="Q6" s="146">
        <v>6.2262100000000001E-2</v>
      </c>
      <c r="R6" s="146">
        <v>5.6474999999999997E-2</v>
      </c>
      <c r="S6" s="143" t="s">
        <v>1222</v>
      </c>
      <c r="T6" s="143" t="s">
        <v>413</v>
      </c>
      <c r="U6" s="143" t="s">
        <v>407</v>
      </c>
      <c r="V6" s="143" t="s">
        <v>1210</v>
      </c>
      <c r="W6" s="144">
        <v>142325</v>
      </c>
      <c r="X6" s="145" t="s">
        <v>3853</v>
      </c>
      <c r="Y6" s="143" t="s">
        <v>3047</v>
      </c>
      <c r="Z6" s="144">
        <v>159.404</v>
      </c>
      <c r="AA6" s="146">
        <v>6.9130437422012025E-2</v>
      </c>
      <c r="AB6" s="147">
        <v>2.4068391633062859E-4</v>
      </c>
      <c r="AC6" s="181"/>
    </row>
    <row r="7" spans="1:29" ht="15" x14ac:dyDescent="0.2">
      <c r="A7" s="142" t="s">
        <v>1218</v>
      </c>
      <c r="B7" s="143" t="s">
        <v>1219</v>
      </c>
      <c r="C7" s="143" t="s">
        <v>3040</v>
      </c>
      <c r="D7" s="143" t="s">
        <v>3041</v>
      </c>
      <c r="E7" s="143" t="s">
        <v>309</v>
      </c>
      <c r="F7" s="143" t="s">
        <v>3042</v>
      </c>
      <c r="G7" s="143" t="s">
        <v>3043</v>
      </c>
      <c r="H7" s="143" t="s">
        <v>321</v>
      </c>
      <c r="I7" s="143" t="s">
        <v>975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314</v>
      </c>
      <c r="O7" s="143" t="s">
        <v>339</v>
      </c>
      <c r="P7" s="144">
        <v>3.51</v>
      </c>
      <c r="Q7" s="146">
        <v>5.0000000000000001E-4</v>
      </c>
      <c r="R7" s="146">
        <v>2.6027999999999999E-2</v>
      </c>
      <c r="S7" s="143" t="s">
        <v>1222</v>
      </c>
      <c r="T7" s="143" t="s">
        <v>413</v>
      </c>
      <c r="U7" s="143" t="s">
        <v>407</v>
      </c>
      <c r="V7" s="143" t="s">
        <v>1210</v>
      </c>
      <c r="W7" s="144">
        <v>1159677.01</v>
      </c>
      <c r="X7" s="145" t="s">
        <v>3853</v>
      </c>
      <c r="Y7" s="143" t="s">
        <v>3044</v>
      </c>
      <c r="Z7" s="144">
        <v>1196.7866999999999</v>
      </c>
      <c r="AA7" s="146">
        <v>1</v>
      </c>
      <c r="AB7" s="147">
        <v>4.2183767112417107E-3</v>
      </c>
      <c r="AC7" s="181"/>
    </row>
    <row r="8" spans="1:29" ht="15" x14ac:dyDescent="0.2">
      <c r="A8" s="142" t="s">
        <v>1218</v>
      </c>
      <c r="B8" s="143" t="s">
        <v>1220</v>
      </c>
      <c r="C8" s="143" t="s">
        <v>3040</v>
      </c>
      <c r="D8" s="143" t="s">
        <v>3041</v>
      </c>
      <c r="E8" s="143" t="s">
        <v>309</v>
      </c>
      <c r="F8" s="143" t="s">
        <v>3042</v>
      </c>
      <c r="G8" s="143" t="s">
        <v>3043</v>
      </c>
      <c r="H8" s="143" t="s">
        <v>321</v>
      </c>
      <c r="I8" s="143" t="s">
        <v>975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314</v>
      </c>
      <c r="O8" s="143" t="s">
        <v>339</v>
      </c>
      <c r="P8" s="144">
        <v>3.51</v>
      </c>
      <c r="Q8" s="146">
        <v>5.0000000000000001E-4</v>
      </c>
      <c r="R8" s="146">
        <v>2.6027999999999999E-2</v>
      </c>
      <c r="S8" s="143" t="s">
        <v>1222</v>
      </c>
      <c r="T8" s="143" t="s">
        <v>413</v>
      </c>
      <c r="U8" s="143" t="s">
        <v>407</v>
      </c>
      <c r="V8" s="143" t="s">
        <v>1210</v>
      </c>
      <c r="W8" s="144">
        <v>31123.69</v>
      </c>
      <c r="X8" s="145" t="s">
        <v>3853</v>
      </c>
      <c r="Y8" s="143" t="s">
        <v>3044</v>
      </c>
      <c r="Z8" s="144">
        <v>32.119599999999998</v>
      </c>
      <c r="AA8" s="146">
        <v>1</v>
      </c>
      <c r="AB8" s="147">
        <v>4.1338068079058788E-3</v>
      </c>
      <c r="AC8" s="181"/>
    </row>
    <row r="9" spans="1:29" ht="15" x14ac:dyDescent="0.2">
      <c r="A9" s="142" t="s">
        <v>1218</v>
      </c>
      <c r="B9" s="143" t="s">
        <v>1218</v>
      </c>
      <c r="C9" s="143" t="s">
        <v>3040</v>
      </c>
      <c r="D9" s="143" t="s">
        <v>3041</v>
      </c>
      <c r="E9" s="143" t="s">
        <v>309</v>
      </c>
      <c r="F9" s="143" t="s">
        <v>3042</v>
      </c>
      <c r="G9" s="143" t="s">
        <v>3043</v>
      </c>
      <c r="H9" s="143" t="s">
        <v>321</v>
      </c>
      <c r="I9" s="143" t="s">
        <v>975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314</v>
      </c>
      <c r="O9" s="143" t="s">
        <v>339</v>
      </c>
      <c r="P9" s="144">
        <v>3.51</v>
      </c>
      <c r="Q9" s="146">
        <v>5.0000000000000001E-4</v>
      </c>
      <c r="R9" s="146">
        <v>2.6027999999999999E-2</v>
      </c>
      <c r="S9" s="143" t="s">
        <v>1222</v>
      </c>
      <c r="T9" s="143" t="s">
        <v>413</v>
      </c>
      <c r="U9" s="143" t="s">
        <v>407</v>
      </c>
      <c r="V9" s="143" t="s">
        <v>1210</v>
      </c>
      <c r="W9" s="144">
        <v>41588818.68</v>
      </c>
      <c r="X9" s="145" t="s">
        <v>3853</v>
      </c>
      <c r="Y9" s="143" t="s">
        <v>3044</v>
      </c>
      <c r="Z9" s="144">
        <v>42919.660899999995</v>
      </c>
      <c r="AA9" s="146">
        <v>0.94642960754835181</v>
      </c>
      <c r="AB9" s="147">
        <v>5.718019091480878E-3</v>
      </c>
      <c r="AC9" s="181"/>
    </row>
    <row r="10" spans="1:29" ht="15" x14ac:dyDescent="0.2">
      <c r="A10" s="148" t="s">
        <v>1218</v>
      </c>
      <c r="B10" s="149" t="s">
        <v>1218</v>
      </c>
      <c r="C10" s="149" t="s">
        <v>3040</v>
      </c>
      <c r="D10" s="149" t="s">
        <v>3041</v>
      </c>
      <c r="E10" s="149" t="s">
        <v>309</v>
      </c>
      <c r="F10" s="149" t="s">
        <v>3045</v>
      </c>
      <c r="G10" s="149" t="s">
        <v>3046</v>
      </c>
      <c r="H10" s="149" t="s">
        <v>321</v>
      </c>
      <c r="I10" s="149" t="s">
        <v>975</v>
      </c>
      <c r="J10" s="149" t="s">
        <v>204</v>
      </c>
      <c r="K10" s="149" t="s">
        <v>204</v>
      </c>
      <c r="L10" s="149" t="s">
        <v>325</v>
      </c>
      <c r="M10" s="149" t="s">
        <v>340</v>
      </c>
      <c r="N10" s="149" t="s">
        <v>314</v>
      </c>
      <c r="O10" s="149" t="s">
        <v>339</v>
      </c>
      <c r="P10" s="150">
        <v>1.68</v>
      </c>
      <c r="Q10" s="152">
        <v>6.2262100000000001E-2</v>
      </c>
      <c r="R10" s="152">
        <v>5.6474999999999997E-2</v>
      </c>
      <c r="S10" s="149" t="s">
        <v>1222</v>
      </c>
      <c r="T10" s="149" t="s">
        <v>413</v>
      </c>
      <c r="U10" s="149" t="s">
        <v>407</v>
      </c>
      <c r="V10" s="149" t="s">
        <v>1210</v>
      </c>
      <c r="W10" s="150">
        <v>2169076</v>
      </c>
      <c r="X10" s="151" t="s">
        <v>3853</v>
      </c>
      <c r="Y10" s="149" t="s">
        <v>3047</v>
      </c>
      <c r="Z10" s="150">
        <v>2429.3651</v>
      </c>
      <c r="AA10" s="152">
        <v>5.3570392451648192E-2</v>
      </c>
      <c r="AB10" s="153">
        <v>3.2365484377663893E-4</v>
      </c>
      <c r="AC10" s="181"/>
    </row>
    <row r="11" spans="1:29" x14ac:dyDescent="0.2">
      <c r="A11" s="185" t="s">
        <v>3870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</row>
    <row r="12" spans="1:29" x14ac:dyDescent="0.2">
      <c r="A12" s="99" t="s">
        <v>3869</v>
      </c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16"/>
      <c r="W12" s="99"/>
      <c r="X12" s="99"/>
      <c r="Y12" s="99"/>
      <c r="Z12" s="99"/>
      <c r="AA12" s="99"/>
      <c r="AB12" s="99"/>
    </row>
    <row r="13" spans="1:29" x14ac:dyDescent="0.2">
      <c r="A13" s="17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16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16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16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16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16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16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16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16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99"/>
      <c r="M21" s="16"/>
      <c r="N21" s="99"/>
      <c r="O21" s="99"/>
      <c r="P21" s="98"/>
      <c r="Q21" s="98"/>
      <c r="R21" s="98"/>
      <c r="S21" s="98"/>
      <c r="T21" s="99"/>
      <c r="U21" s="99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98"/>
      <c r="M22" s="4"/>
      <c r="N22" s="99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3" spans="1:28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4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B11"/>
    <mergeCell ref="AC2:AC10"/>
  </mergeCells>
  <dataValidations count="10">
    <dataValidation type="list" allowBlank="1" showInputMessage="1" showErrorMessage="1" sqref="J3:J10 J12:J21">
      <formula1>israel_abroad</formula1>
    </dataValidation>
    <dataValidation type="list" allowBlank="1" showInputMessage="1" showErrorMessage="1" sqref="O3:O10 O12:O21">
      <formula1>Holding_interest</formula1>
    </dataValidation>
    <dataValidation type="list" allowBlank="1" showInputMessage="1" showErrorMessage="1" sqref="U3:U10 U12:U21">
      <formula1>What_is_rated</formula1>
    </dataValidation>
    <dataValidation type="list" allowBlank="1" showInputMessage="1" showErrorMessage="1" sqref="T3:T10 T12:T21">
      <formula1>Rating_Agency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N3:N10 N12:N22">
      <formula1>Underlying_Asset_Structured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L3:L10 L12:L21">
      <formula1>Tradeable_Status</formula1>
    </dataValidation>
    <dataValidation type="list" allowBlank="1" showInputMessage="1" showErrorMessage="1" sqref="M3:M10 M12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I3:I10 I12:I21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125" customWidth="1"/>
    <col min="5" max="5" width="12.75" customWidth="1"/>
    <col min="6" max="6" width="15.5" customWidth="1"/>
    <col min="7" max="7" width="11.5" customWidth="1"/>
    <col min="8" max="8" width="10.625" customWidth="1"/>
    <col min="9" max="9" width="19.875" style="2" customWidth="1"/>
    <col min="10" max="10" width="12" customWidth="1"/>
    <col min="11" max="11" width="6.25" customWidth="1"/>
    <col min="12" max="12" width="9" customWidth="1"/>
    <col min="13" max="13" width="11.75" customWidth="1"/>
    <col min="14" max="14" width="6.5" customWidth="1"/>
    <col min="15" max="15" width="9.875" customWidth="1"/>
    <col min="16" max="16" width="11.125" customWidth="1"/>
    <col min="17" max="17" width="12.25" customWidth="1"/>
    <col min="18" max="18" width="14.875" customWidth="1"/>
    <col min="19" max="19" width="10.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3885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67</v>
      </c>
      <c r="E2" s="140" t="s">
        <v>68</v>
      </c>
      <c r="F2" s="140" t="s">
        <v>82</v>
      </c>
      <c r="G2" s="140" t="s">
        <v>54</v>
      </c>
      <c r="H2" s="140" t="s">
        <v>55</v>
      </c>
      <c r="I2" s="140" t="s">
        <v>69</v>
      </c>
      <c r="J2" s="140" t="s">
        <v>97</v>
      </c>
      <c r="K2" s="140" t="s">
        <v>71</v>
      </c>
      <c r="L2" s="140" t="s">
        <v>58</v>
      </c>
      <c r="M2" s="140" t="s">
        <v>59</v>
      </c>
      <c r="N2" s="140" t="s">
        <v>72</v>
      </c>
      <c r="O2" s="140" t="s">
        <v>73</v>
      </c>
      <c r="P2" s="140" t="s">
        <v>62</v>
      </c>
      <c r="Q2" s="140" t="s">
        <v>74</v>
      </c>
      <c r="R2" s="140" t="s">
        <v>76</v>
      </c>
      <c r="S2" s="140" t="s">
        <v>61</v>
      </c>
      <c r="T2" s="140" t="s">
        <v>77</v>
      </c>
      <c r="U2" s="140" t="s">
        <v>63</v>
      </c>
      <c r="V2" s="140" t="s">
        <v>78</v>
      </c>
      <c r="W2" s="140" t="s">
        <v>17</v>
      </c>
      <c r="X2" s="140" t="s">
        <v>64</v>
      </c>
      <c r="Y2" s="141" t="s">
        <v>65</v>
      </c>
      <c r="Z2" s="186" t="s">
        <v>3871</v>
      </c>
    </row>
    <row r="3" spans="1:27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45" t="s">
        <v>3853</v>
      </c>
      <c r="S3" s="145" t="s">
        <v>3853</v>
      </c>
      <c r="T3" s="145" t="s">
        <v>3853</v>
      </c>
      <c r="U3" s="145" t="s">
        <v>3853</v>
      </c>
      <c r="V3" s="145" t="s">
        <v>3853</v>
      </c>
      <c r="W3" s="145" t="s">
        <v>3853</v>
      </c>
      <c r="X3" s="145" t="s">
        <v>3853</v>
      </c>
      <c r="Y3" s="156" t="s">
        <v>3853</v>
      </c>
      <c r="Z3" s="186"/>
    </row>
    <row r="4" spans="1:27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45" t="s">
        <v>3853</v>
      </c>
      <c r="S4" s="145" t="s">
        <v>3853</v>
      </c>
      <c r="T4" s="145" t="s">
        <v>3853</v>
      </c>
      <c r="U4" s="145" t="s">
        <v>3853</v>
      </c>
      <c r="V4" s="145" t="s">
        <v>3853</v>
      </c>
      <c r="W4" s="145" t="s">
        <v>3853</v>
      </c>
      <c r="X4" s="145" t="s">
        <v>3853</v>
      </c>
      <c r="Y4" s="156" t="s">
        <v>3853</v>
      </c>
      <c r="Z4" s="186"/>
    </row>
    <row r="5" spans="1:27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45" t="s">
        <v>3853</v>
      </c>
      <c r="S5" s="145" t="s">
        <v>3853</v>
      </c>
      <c r="T5" s="145" t="s">
        <v>3853</v>
      </c>
      <c r="U5" s="145" t="s">
        <v>3853</v>
      </c>
      <c r="V5" s="145" t="s">
        <v>3853</v>
      </c>
      <c r="W5" s="145" t="s">
        <v>3853</v>
      </c>
      <c r="X5" s="145" t="s">
        <v>3853</v>
      </c>
      <c r="Y5" s="156" t="s">
        <v>3853</v>
      </c>
      <c r="Z5" s="186"/>
    </row>
    <row r="6" spans="1:27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45" t="s">
        <v>3853</v>
      </c>
      <c r="S6" s="145" t="s">
        <v>3853</v>
      </c>
      <c r="T6" s="145" t="s">
        <v>3853</v>
      </c>
      <c r="U6" s="145" t="s">
        <v>3853</v>
      </c>
      <c r="V6" s="145" t="s">
        <v>3853</v>
      </c>
      <c r="W6" s="145" t="s">
        <v>3853</v>
      </c>
      <c r="X6" s="145" t="s">
        <v>3853</v>
      </c>
      <c r="Y6" s="156" t="s">
        <v>3853</v>
      </c>
      <c r="Z6" s="186"/>
      <c r="AA6" s="99"/>
    </row>
    <row r="7" spans="1:27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45" t="s">
        <v>3853</v>
      </c>
      <c r="W7" s="145" t="s">
        <v>3853</v>
      </c>
      <c r="X7" s="145" t="s">
        <v>3853</v>
      </c>
      <c r="Y7" s="156" t="s">
        <v>3853</v>
      </c>
      <c r="Z7" s="186"/>
    </row>
    <row r="8" spans="1:27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1" t="s">
        <v>3853</v>
      </c>
      <c r="S8" s="151" t="s">
        <v>3853</v>
      </c>
      <c r="T8" s="151" t="s">
        <v>3853</v>
      </c>
      <c r="U8" s="151" t="s">
        <v>3853</v>
      </c>
      <c r="V8" s="151" t="s">
        <v>3853</v>
      </c>
      <c r="W8" s="151" t="s">
        <v>3853</v>
      </c>
      <c r="X8" s="151" t="s">
        <v>3853</v>
      </c>
      <c r="Y8" s="159" t="s">
        <v>3853</v>
      </c>
      <c r="Z8" s="186"/>
    </row>
    <row r="9" spans="1:27" x14ac:dyDescent="0.2">
      <c r="A9" s="185" t="s">
        <v>3870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</row>
    <row r="10" spans="1:27" x14ac:dyDescent="0.2">
      <c r="A10" s="99" t="s">
        <v>3869</v>
      </c>
      <c r="B10" s="99"/>
      <c r="C10" s="99"/>
      <c r="D10" s="99"/>
      <c r="E10" s="99"/>
      <c r="F10" s="99"/>
      <c r="G10" s="99"/>
      <c r="H10" s="16"/>
      <c r="I10" s="16"/>
      <c r="J10" s="99"/>
      <c r="K10" s="99"/>
      <c r="L10" s="99"/>
      <c r="M10" s="16"/>
      <c r="N10" s="99"/>
      <c r="O10" s="99"/>
      <c r="P10" s="99"/>
      <c r="Q10" s="99"/>
      <c r="R10" s="99"/>
      <c r="S10" s="99"/>
      <c r="T10" s="99"/>
      <c r="U10" s="99"/>
      <c r="V10" s="99"/>
      <c r="W10" s="16"/>
      <c r="X10" s="99"/>
      <c r="Y10" s="99"/>
    </row>
    <row r="11" spans="1:27" x14ac:dyDescent="0.2">
      <c r="A11" s="179"/>
      <c r="B11" s="99"/>
      <c r="C11" s="99"/>
      <c r="D11" s="99"/>
      <c r="E11" s="99"/>
      <c r="F11" s="99"/>
      <c r="G11" s="99"/>
      <c r="H11" s="16"/>
      <c r="I11" s="16"/>
      <c r="J11" s="99"/>
      <c r="K11" s="99"/>
      <c r="L11" s="99"/>
      <c r="M11" s="16"/>
      <c r="N11" s="99"/>
      <c r="O11" s="99"/>
      <c r="P11" s="99"/>
      <c r="Q11" s="99"/>
      <c r="R11" s="99"/>
      <c r="S11" s="99"/>
      <c r="T11" s="99"/>
      <c r="U11" s="99"/>
      <c r="V11" s="99"/>
      <c r="W11" s="16"/>
      <c r="X11" s="99"/>
      <c r="Y11" s="99"/>
    </row>
    <row r="12" spans="1:27" x14ac:dyDescent="0.2">
      <c r="A12" s="99"/>
      <c r="B12" s="99"/>
      <c r="C12" s="99"/>
      <c r="D12" s="99"/>
      <c r="E12" s="99"/>
      <c r="F12" s="99"/>
      <c r="G12" s="99"/>
      <c r="H12" s="16"/>
      <c r="I12" s="16"/>
      <c r="J12" s="99"/>
      <c r="K12" s="99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99"/>
      <c r="W12" s="16"/>
      <c r="X12" s="99"/>
      <c r="Y12" s="99"/>
    </row>
    <row r="13" spans="1:27" x14ac:dyDescent="0.2">
      <c r="A13" s="99"/>
      <c r="B13" s="99"/>
      <c r="C13" s="99"/>
      <c r="D13" s="99"/>
      <c r="E13" s="99"/>
      <c r="F13" s="99"/>
      <c r="G13" s="99"/>
      <c r="H13" s="16"/>
      <c r="I13" s="16"/>
      <c r="J13" s="99"/>
      <c r="K13" s="99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99"/>
      <c r="W13" s="16"/>
      <c r="X13" s="99"/>
      <c r="Y13" s="99"/>
    </row>
    <row r="14" spans="1:27" x14ac:dyDescent="0.2">
      <c r="A14" s="99"/>
      <c r="B14" s="99"/>
      <c r="C14" s="99"/>
      <c r="D14" s="99"/>
      <c r="E14" s="99"/>
      <c r="F14" s="99"/>
      <c r="G14" s="99"/>
      <c r="H14" s="16"/>
      <c r="I14" s="16"/>
      <c r="J14" s="99"/>
      <c r="K14" s="99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99"/>
      <c r="W14" s="16"/>
      <c r="X14" s="99"/>
      <c r="Y14" s="99"/>
    </row>
    <row r="15" spans="1:27" x14ac:dyDescent="0.2">
      <c r="A15" s="99"/>
      <c r="B15" s="99"/>
      <c r="C15" s="99"/>
      <c r="D15" s="99"/>
      <c r="E15" s="99"/>
      <c r="F15" s="99"/>
      <c r="G15" s="99"/>
      <c r="H15" s="16"/>
      <c r="I15" s="16"/>
      <c r="J15" s="99"/>
      <c r="K15" s="99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99"/>
      <c r="W15" s="16"/>
      <c r="X15" s="99"/>
      <c r="Y15" s="99"/>
    </row>
    <row r="16" spans="1:27" x14ac:dyDescent="0.2">
      <c r="A16" s="99"/>
      <c r="B16" s="99"/>
      <c r="C16" s="99"/>
      <c r="D16" s="99"/>
      <c r="E16" s="99"/>
      <c r="F16" s="99"/>
      <c r="G16" s="99"/>
      <c r="H16" s="16"/>
      <c r="I16" s="16"/>
      <c r="J16" s="99"/>
      <c r="K16" s="99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99"/>
      <c r="W16" s="16"/>
      <c r="X16" s="99"/>
      <c r="Y16" s="99"/>
    </row>
    <row r="17" spans="1:25" x14ac:dyDescent="0.2">
      <c r="A17" s="99"/>
      <c r="B17" s="99"/>
      <c r="C17" s="99"/>
      <c r="D17" s="99"/>
      <c r="E17" s="99"/>
      <c r="F17" s="99"/>
      <c r="G17" s="99"/>
      <c r="H17" s="16"/>
      <c r="I17" s="16"/>
      <c r="J17" s="99"/>
      <c r="K17" s="99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99"/>
      <c r="W17" s="16"/>
      <c r="X17" s="99"/>
      <c r="Y17" s="99"/>
    </row>
    <row r="18" spans="1:25" x14ac:dyDescent="0.2">
      <c r="A18" s="99"/>
      <c r="B18" s="99"/>
      <c r="C18" s="99"/>
      <c r="D18" s="99"/>
      <c r="E18" s="99"/>
      <c r="F18" s="99"/>
      <c r="G18" s="99"/>
      <c r="H18" s="16"/>
      <c r="I18" s="16"/>
      <c r="J18" s="99"/>
      <c r="K18" s="99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99"/>
      <c r="W18" s="16"/>
      <c r="X18" s="99"/>
      <c r="Y18" s="99"/>
    </row>
    <row r="19" spans="1:25" x14ac:dyDescent="0.2">
      <c r="A19" s="99"/>
      <c r="B19" s="99"/>
      <c r="C19" s="99"/>
      <c r="D19" s="99"/>
      <c r="E19" s="99"/>
      <c r="F19" s="99"/>
      <c r="G19" s="99"/>
      <c r="H19" s="16"/>
      <c r="I19" s="16"/>
      <c r="J19" s="99"/>
      <c r="K19" s="99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99"/>
      <c r="W19" s="16"/>
      <c r="X19" s="99"/>
      <c r="Y19" s="99"/>
    </row>
    <row r="20" spans="1:25" x14ac:dyDescent="0.2">
      <c r="A20" s="99"/>
      <c r="B20" s="99"/>
      <c r="C20" s="99"/>
      <c r="D20" s="99"/>
      <c r="E20" s="99"/>
      <c r="F20" s="99"/>
      <c r="G20" s="99"/>
      <c r="H20" s="16"/>
      <c r="I20" s="16"/>
      <c r="J20" s="99"/>
      <c r="K20" s="99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99"/>
      <c r="W20" s="16"/>
      <c r="X20" s="99"/>
      <c r="Y20" s="99"/>
    </row>
    <row r="21" spans="1:25" x14ac:dyDescent="0.2">
      <c r="F21" s="99"/>
      <c r="G21" s="99"/>
      <c r="H21" s="16"/>
      <c r="I21" s="16"/>
      <c r="L21" s="99"/>
      <c r="W21" s="16"/>
      <c r="X21" s="98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5">
    <dataValidation type="list" allowBlank="1" showInputMessage="1" showErrorMessage="1" sqref="W10:W21">
      <formula1>In_the_books</formula1>
    </dataValidation>
    <dataValidation type="list" allowBlank="1" showInputMessage="1" showErrorMessage="1" sqref="H10:H21">
      <formula1>israel_abroad</formula1>
    </dataValidation>
    <dataValidation type="list" allowBlank="1" showInputMessage="1" showErrorMessage="1" sqref="L10:L21">
      <formula1>Rating_Agency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1.5" style="2" customWidth="1"/>
    <col min="4" max="4" width="11.125" style="2" customWidth="1"/>
    <col min="5" max="5" width="12.75" style="2" customWidth="1"/>
    <col min="6" max="6" width="12" style="2" customWidth="1"/>
    <col min="7" max="7" width="6.5" style="2" customWidth="1"/>
    <col min="8" max="8" width="10.25" customWidth="1"/>
    <col min="9" max="9" width="9.875" style="2" customWidth="1"/>
    <col min="10" max="10" width="11.1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3886</v>
      </c>
    </row>
    <row r="2" spans="1:19" ht="66.75" customHeight="1" x14ac:dyDescent="0.2">
      <c r="A2" s="139" t="s">
        <v>49</v>
      </c>
      <c r="B2" s="140" t="s">
        <v>50</v>
      </c>
      <c r="C2" s="140" t="s">
        <v>54</v>
      </c>
      <c r="D2" s="140" t="s">
        <v>67</v>
      </c>
      <c r="E2" s="140" t="s">
        <v>68</v>
      </c>
      <c r="F2" s="140" t="s">
        <v>97</v>
      </c>
      <c r="G2" s="140" t="s">
        <v>72</v>
      </c>
      <c r="H2" s="140" t="s">
        <v>98</v>
      </c>
      <c r="I2" s="140" t="s">
        <v>73</v>
      </c>
      <c r="J2" s="140" t="s">
        <v>62</v>
      </c>
      <c r="K2" s="140" t="s">
        <v>74</v>
      </c>
      <c r="L2" s="140" t="s">
        <v>76</v>
      </c>
      <c r="M2" s="140" t="s">
        <v>77</v>
      </c>
      <c r="N2" s="140" t="s">
        <v>63</v>
      </c>
      <c r="O2" s="140" t="s">
        <v>78</v>
      </c>
      <c r="P2" s="140" t="s">
        <v>17</v>
      </c>
      <c r="Q2" s="140" t="s">
        <v>64</v>
      </c>
      <c r="R2" s="141" t="s">
        <v>65</v>
      </c>
      <c r="S2" s="181" t="s">
        <v>3871</v>
      </c>
    </row>
    <row r="3" spans="1:19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56" t="s">
        <v>3853</v>
      </c>
      <c r="S3" s="181"/>
    </row>
    <row r="4" spans="1:19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56" t="s">
        <v>3853</v>
      </c>
      <c r="S4" s="181"/>
    </row>
    <row r="5" spans="1:19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56" t="s">
        <v>3853</v>
      </c>
      <c r="S5" s="181"/>
    </row>
    <row r="6" spans="1:19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56" t="s">
        <v>3853</v>
      </c>
      <c r="S6" s="181"/>
    </row>
    <row r="7" spans="1:19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56" t="s">
        <v>3853</v>
      </c>
      <c r="S7" s="181"/>
    </row>
    <row r="8" spans="1:19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9" t="s">
        <v>3853</v>
      </c>
      <c r="S8" s="181"/>
    </row>
    <row r="9" spans="1:19" x14ac:dyDescent="0.2">
      <c r="A9" s="185" t="s">
        <v>3870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98"/>
    </row>
    <row r="10" spans="1:19" x14ac:dyDescent="0.2">
      <c r="A10" s="99" t="s">
        <v>3869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16"/>
      <c r="Q10" s="99"/>
      <c r="R10" s="99"/>
      <c r="S10" s="98"/>
    </row>
    <row r="11" spans="1:19" x14ac:dyDescent="0.2">
      <c r="A11" s="17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6"/>
      <c r="Q11" s="99"/>
      <c r="R11" s="99"/>
      <c r="S11" s="98"/>
    </row>
    <row r="12" spans="1:19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16"/>
      <c r="Q12" s="99"/>
      <c r="R12" s="99"/>
      <c r="S12" s="98"/>
    </row>
    <row r="13" spans="1:19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6"/>
      <c r="Q13" s="99"/>
      <c r="R13" s="99"/>
      <c r="S13" s="98"/>
    </row>
    <row r="14" spans="1:19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16"/>
      <c r="Q14" s="99"/>
      <c r="R14" s="99"/>
      <c r="S14" s="98"/>
    </row>
    <row r="15" spans="1:19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16"/>
      <c r="Q15" s="99"/>
      <c r="R15" s="99"/>
      <c r="S15" s="98"/>
    </row>
    <row r="16" spans="1:19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6"/>
      <c r="Q16" s="99"/>
      <c r="R16" s="99"/>
      <c r="S16" s="98"/>
    </row>
    <row r="17" spans="1:19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16"/>
      <c r="Q17" s="99"/>
      <c r="R17" s="99"/>
      <c r="S17" s="98"/>
    </row>
    <row r="18" spans="1:19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16"/>
      <c r="Q18" s="99"/>
      <c r="R18" s="99"/>
    </row>
    <row r="19" spans="1:19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6"/>
      <c r="Q19" s="99"/>
      <c r="R19" s="99"/>
    </row>
    <row r="20" spans="1:19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6"/>
      <c r="Q20" s="99"/>
      <c r="R20" s="99"/>
    </row>
    <row r="21" spans="1:19" x14ac:dyDescent="0.2">
      <c r="A21" s="98"/>
      <c r="B21" s="98"/>
      <c r="C21" s="99"/>
      <c r="D21" s="98"/>
      <c r="E21" s="98"/>
      <c r="F21" s="98"/>
      <c r="G21" s="98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  <row r="22" spans="1:19" x14ac:dyDescent="0.2">
      <c r="A22" s="98"/>
      <c r="B22" s="98"/>
      <c r="C22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Q22" s="98"/>
      <c r="R22" s="98"/>
    </row>
    <row r="23" spans="1:19" x14ac:dyDescent="0.2">
      <c r="A23" s="98"/>
      <c r="B23" s="98"/>
      <c r="C23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Q23" s="98"/>
      <c r="R23" s="98"/>
    </row>
    <row r="24" spans="1:19" x14ac:dyDescent="0.2">
      <c r="A24" s="98"/>
      <c r="B24" s="98"/>
      <c r="C24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Q24" s="98"/>
      <c r="R24" s="98"/>
    </row>
    <row r="25" spans="1:19" x14ac:dyDescent="0.2">
      <c r="A25" s="98"/>
      <c r="B25" s="98"/>
      <c r="C25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Q25" s="98"/>
      <c r="R25" s="98"/>
    </row>
    <row r="26" spans="1:19" x14ac:dyDescent="0.2">
      <c r="A26" s="98"/>
      <c r="B26" s="98"/>
      <c r="C26"/>
      <c r="D26" s="98"/>
      <c r="E26" s="98"/>
      <c r="F26" s="98"/>
      <c r="G26" s="98"/>
      <c r="I26" s="98"/>
      <c r="J26" s="98"/>
      <c r="K26" s="98"/>
      <c r="L26" s="98"/>
      <c r="M26" s="98"/>
      <c r="N26" s="98"/>
      <c r="O26" s="98"/>
      <c r="Q26" s="98"/>
      <c r="R26" s="98"/>
    </row>
    <row r="27" spans="1:19" x14ac:dyDescent="0.2">
      <c r="A27" s="98"/>
      <c r="B27" s="98"/>
      <c r="C27"/>
      <c r="D27" s="98"/>
      <c r="E27" s="98"/>
      <c r="F27" s="98"/>
      <c r="G27" s="98"/>
      <c r="I27" s="98"/>
      <c r="J27" s="98"/>
      <c r="K27" s="98"/>
      <c r="L27" s="98"/>
      <c r="M27" s="98"/>
      <c r="N27" s="98"/>
      <c r="O27" s="98"/>
      <c r="Q27" s="98"/>
      <c r="R27" s="98"/>
    </row>
    <row r="28" spans="1:19" x14ac:dyDescent="0.2">
      <c r="A28" s="98"/>
      <c r="B28" s="98"/>
      <c r="C28"/>
      <c r="D28" s="98"/>
      <c r="E28" s="98"/>
      <c r="F28" s="98"/>
      <c r="G28" s="98"/>
      <c r="I28" s="98"/>
      <c r="J28" s="98"/>
      <c r="K28" s="98"/>
      <c r="L28" s="98"/>
      <c r="M28" s="98"/>
      <c r="N28" s="98"/>
      <c r="O28" s="98"/>
      <c r="Q28" s="98"/>
      <c r="R28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10:P21">
      <formula1>In_the_books</formula1>
    </dataValidation>
    <dataValidation type="list" allowBlank="1" showInputMessage="1" showErrorMessage="1" sqref="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1" width="9.5" style="2" customWidth="1"/>
    <col min="2" max="2" width="11.125" style="2" customWidth="1"/>
    <col min="3" max="3" width="11.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3887</v>
      </c>
    </row>
    <row r="2" spans="1:8" ht="66.75" customHeight="1" x14ac:dyDescent="0.2">
      <c r="A2" s="139" t="s">
        <v>99</v>
      </c>
      <c r="B2" s="140" t="s">
        <v>50</v>
      </c>
      <c r="C2" s="140" t="s">
        <v>54</v>
      </c>
      <c r="D2" s="140" t="s">
        <v>100</v>
      </c>
      <c r="E2" s="140" t="s">
        <v>101</v>
      </c>
      <c r="F2" s="140" t="s">
        <v>102</v>
      </c>
      <c r="G2" s="141" t="s">
        <v>65</v>
      </c>
      <c r="H2" s="181" t="s">
        <v>3871</v>
      </c>
    </row>
    <row r="3" spans="1:8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56" t="s">
        <v>3853</v>
      </c>
      <c r="H3" s="181"/>
    </row>
    <row r="4" spans="1:8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56" t="s">
        <v>3853</v>
      </c>
      <c r="H4" s="181"/>
    </row>
    <row r="5" spans="1:8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56" t="s">
        <v>3853</v>
      </c>
      <c r="H5" s="181"/>
    </row>
    <row r="6" spans="1:8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56" t="s">
        <v>3853</v>
      </c>
      <c r="H6" s="181"/>
    </row>
    <row r="7" spans="1:8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56" t="s">
        <v>3853</v>
      </c>
      <c r="H7" s="181"/>
    </row>
    <row r="8" spans="1:8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9" t="s">
        <v>3853</v>
      </c>
      <c r="H8" s="181"/>
    </row>
    <row r="9" spans="1:8" x14ac:dyDescent="0.2">
      <c r="A9" s="185" t="s">
        <v>3870</v>
      </c>
      <c r="B9" s="185"/>
      <c r="C9" s="185"/>
      <c r="D9" s="185"/>
      <c r="E9" s="185"/>
      <c r="F9" s="185"/>
      <c r="G9" s="185"/>
      <c r="H9" s="98"/>
    </row>
    <row r="10" spans="1:8" x14ac:dyDescent="0.2">
      <c r="A10" s="99" t="s">
        <v>3869</v>
      </c>
      <c r="B10" s="99"/>
      <c r="C10" s="99"/>
      <c r="G10" s="99"/>
      <c r="H10" s="98"/>
    </row>
    <row r="11" spans="1:8" x14ac:dyDescent="0.2">
      <c r="A11" s="179"/>
      <c r="B11" s="99"/>
      <c r="C11" s="99"/>
      <c r="G11" s="99"/>
      <c r="H11" s="98"/>
    </row>
    <row r="12" spans="1:8" x14ac:dyDescent="0.2">
      <c r="A12" s="99"/>
      <c r="B12" s="99"/>
      <c r="C12" s="99"/>
      <c r="G12" s="99"/>
      <c r="H12" s="98"/>
    </row>
    <row r="13" spans="1:8" x14ac:dyDescent="0.2">
      <c r="A13" s="99"/>
      <c r="B13" s="99"/>
      <c r="C13" s="99"/>
      <c r="G13" s="99"/>
      <c r="H13" s="98"/>
    </row>
    <row r="14" spans="1:8" x14ac:dyDescent="0.2">
      <c r="A14" s="99"/>
      <c r="B14" s="99"/>
      <c r="C14" s="99"/>
      <c r="G14" s="99"/>
      <c r="H14" s="98"/>
    </row>
    <row r="15" spans="1:8" x14ac:dyDescent="0.2">
      <c r="A15" s="99"/>
      <c r="B15" s="99"/>
      <c r="C15" s="99"/>
      <c r="G15" s="99"/>
      <c r="H15" s="98"/>
    </row>
    <row r="16" spans="1:8" x14ac:dyDescent="0.2">
      <c r="A16" s="99"/>
      <c r="B16" s="99"/>
      <c r="C16" s="99"/>
      <c r="G16" s="99"/>
      <c r="H16" s="98"/>
    </row>
    <row r="17" spans="1:8" x14ac:dyDescent="0.2">
      <c r="A17" s="99"/>
      <c r="B17" s="99"/>
      <c r="C17" s="99"/>
      <c r="G17" s="99"/>
      <c r="H17" s="98"/>
    </row>
    <row r="18" spans="1:8" x14ac:dyDescent="0.2">
      <c r="A18" s="99"/>
      <c r="B18" s="99"/>
      <c r="C18" s="99"/>
      <c r="G18" s="99"/>
    </row>
    <row r="19" spans="1:8" x14ac:dyDescent="0.2">
      <c r="A19" s="99"/>
      <c r="B19" s="99"/>
      <c r="C19" s="99"/>
      <c r="G19" s="99"/>
    </row>
    <row r="20" spans="1:8" x14ac:dyDescent="0.2">
      <c r="A20" s="99"/>
      <c r="B20" s="99"/>
      <c r="C20" s="99"/>
      <c r="G20" s="99"/>
    </row>
    <row r="21" spans="1:8" x14ac:dyDescent="0.2">
      <c r="A21" s="98"/>
      <c r="B21" s="98"/>
      <c r="C21" s="99"/>
      <c r="G21" s="98"/>
    </row>
    <row r="22" spans="1:8" x14ac:dyDescent="0.2">
      <c r="A22" s="98"/>
      <c r="B22" s="98"/>
      <c r="C22"/>
      <c r="G22" s="98"/>
    </row>
    <row r="23" spans="1:8" x14ac:dyDescent="0.2">
      <c r="A23" s="98"/>
      <c r="B23" s="98"/>
      <c r="C23"/>
      <c r="G23" s="98"/>
    </row>
    <row r="24" spans="1:8" x14ac:dyDescent="0.2">
      <c r="A24" s="98"/>
      <c r="B24" s="98"/>
      <c r="C24"/>
      <c r="G24" s="98"/>
    </row>
    <row r="25" spans="1:8" x14ac:dyDescent="0.2">
      <c r="A25" s="98"/>
      <c r="B25" s="98"/>
      <c r="C25"/>
      <c r="G25" s="98"/>
    </row>
    <row r="26" spans="1:8" x14ac:dyDescent="0.2">
      <c r="A26" s="98"/>
      <c r="B26" s="98"/>
      <c r="C26"/>
      <c r="G26" s="98"/>
    </row>
    <row r="27" spans="1:8" x14ac:dyDescent="0.2">
      <c r="A27" s="98"/>
      <c r="B27" s="98"/>
      <c r="C27"/>
      <c r="G27" s="98"/>
    </row>
    <row r="28" spans="1:8" x14ac:dyDescent="0.2">
      <c r="A28" s="98"/>
      <c r="B28" s="98"/>
      <c r="C28"/>
      <c r="G28" s="98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25" customWidth="1"/>
    <col min="5" max="5" width="18.125" style="4" customWidth="1"/>
    <col min="6" max="6" width="11.125" customWidth="1"/>
    <col min="7" max="7" width="12.75" customWidth="1"/>
    <col min="8" max="8" width="15.5" customWidth="1"/>
    <col min="9" max="9" width="11.5" customWidth="1"/>
    <col min="10" max="10" width="10.625" customWidth="1"/>
    <col min="11" max="11" width="19.875" customWidth="1"/>
    <col min="12" max="12" width="9.625" style="2" customWidth="1"/>
    <col min="13" max="13" width="15.125" customWidth="1"/>
    <col min="14" max="14" width="12" customWidth="1"/>
    <col min="15" max="15" width="6.25" customWidth="1"/>
    <col min="16" max="16" width="9" customWidth="1"/>
    <col min="17" max="17" width="19" customWidth="1"/>
    <col min="18" max="18" width="11.75" customWidth="1"/>
    <col min="19" max="19" width="6.5" customWidth="1"/>
    <col min="20" max="20" width="10.25" customWidth="1"/>
    <col min="21" max="21" width="9.75" customWidth="1"/>
    <col min="22" max="22" width="9.875" customWidth="1"/>
    <col min="23" max="23" width="11.1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0.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3888</v>
      </c>
    </row>
    <row r="2" spans="1:4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56</v>
      </c>
      <c r="N2" s="140" t="s">
        <v>97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98</v>
      </c>
      <c r="U2" s="140" t="s">
        <v>85</v>
      </c>
      <c r="V2" s="140" t="s">
        <v>73</v>
      </c>
      <c r="W2" s="140" t="s">
        <v>62</v>
      </c>
      <c r="X2" s="140" t="s">
        <v>74</v>
      </c>
      <c r="Y2" s="140" t="s">
        <v>86</v>
      </c>
      <c r="Z2" s="140" t="s">
        <v>87</v>
      </c>
      <c r="AA2" s="140" t="s">
        <v>103</v>
      </c>
      <c r="AB2" s="140" t="s">
        <v>104</v>
      </c>
      <c r="AC2" s="140" t="s">
        <v>105</v>
      </c>
      <c r="AD2" s="140" t="s">
        <v>106</v>
      </c>
      <c r="AE2" s="140" t="s">
        <v>107</v>
      </c>
      <c r="AF2" s="140" t="s">
        <v>76</v>
      </c>
      <c r="AG2" s="140" t="s">
        <v>61</v>
      </c>
      <c r="AH2" s="140" t="s">
        <v>77</v>
      </c>
      <c r="AI2" s="140" t="s">
        <v>63</v>
      </c>
      <c r="AJ2" s="140" t="s">
        <v>78</v>
      </c>
      <c r="AK2" s="140" t="s">
        <v>88</v>
      </c>
      <c r="AL2" s="140" t="s">
        <v>17</v>
      </c>
      <c r="AM2" s="140" t="s">
        <v>64</v>
      </c>
      <c r="AN2" s="141" t="s">
        <v>65</v>
      </c>
      <c r="AO2" s="186" t="s">
        <v>3871</v>
      </c>
    </row>
    <row r="3" spans="1:41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45" t="s">
        <v>3853</v>
      </c>
      <c r="S3" s="145" t="s">
        <v>3853</v>
      </c>
      <c r="T3" s="145" t="s">
        <v>3853</v>
      </c>
      <c r="U3" s="145" t="s">
        <v>3853</v>
      </c>
      <c r="V3" s="145" t="s">
        <v>3853</v>
      </c>
      <c r="W3" s="145" t="s">
        <v>3853</v>
      </c>
      <c r="X3" s="145" t="s">
        <v>3853</v>
      </c>
      <c r="Y3" s="145" t="s">
        <v>3853</v>
      </c>
      <c r="Z3" s="145" t="s">
        <v>3853</v>
      </c>
      <c r="AA3" s="145" t="s">
        <v>3853</v>
      </c>
      <c r="AB3" s="145" t="s">
        <v>3853</v>
      </c>
      <c r="AC3" s="145" t="s">
        <v>3853</v>
      </c>
      <c r="AD3" s="145" t="s">
        <v>3853</v>
      </c>
      <c r="AE3" s="145" t="s">
        <v>3853</v>
      </c>
      <c r="AF3" s="145" t="s">
        <v>3853</v>
      </c>
      <c r="AG3" s="145" t="s">
        <v>3853</v>
      </c>
      <c r="AH3" s="145" t="s">
        <v>3853</v>
      </c>
      <c r="AI3" s="145" t="s">
        <v>3853</v>
      </c>
      <c r="AJ3" s="145" t="s">
        <v>3853</v>
      </c>
      <c r="AK3" s="145" t="s">
        <v>3853</v>
      </c>
      <c r="AL3" s="145" t="s">
        <v>3853</v>
      </c>
      <c r="AM3" s="145" t="s">
        <v>3853</v>
      </c>
      <c r="AN3" s="156" t="s">
        <v>3853</v>
      </c>
      <c r="AO3" s="186"/>
    </row>
    <row r="4" spans="1:41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45" t="s">
        <v>3853</v>
      </c>
      <c r="S4" s="145" t="s">
        <v>3853</v>
      </c>
      <c r="T4" s="145" t="s">
        <v>3853</v>
      </c>
      <c r="U4" s="145" t="s">
        <v>3853</v>
      </c>
      <c r="V4" s="145" t="s">
        <v>3853</v>
      </c>
      <c r="W4" s="145" t="s">
        <v>3853</v>
      </c>
      <c r="X4" s="145" t="s">
        <v>3853</v>
      </c>
      <c r="Y4" s="145" t="s">
        <v>3853</v>
      </c>
      <c r="Z4" s="145" t="s">
        <v>3853</v>
      </c>
      <c r="AA4" s="145" t="s">
        <v>3853</v>
      </c>
      <c r="AB4" s="145" t="s">
        <v>3853</v>
      </c>
      <c r="AC4" s="145" t="s">
        <v>3853</v>
      </c>
      <c r="AD4" s="145" t="s">
        <v>3853</v>
      </c>
      <c r="AE4" s="145" t="s">
        <v>3853</v>
      </c>
      <c r="AF4" s="145" t="s">
        <v>3853</v>
      </c>
      <c r="AG4" s="145" t="s">
        <v>3853</v>
      </c>
      <c r="AH4" s="145" t="s">
        <v>3853</v>
      </c>
      <c r="AI4" s="145" t="s">
        <v>3853</v>
      </c>
      <c r="AJ4" s="145" t="s">
        <v>3853</v>
      </c>
      <c r="AK4" s="145" t="s">
        <v>3853</v>
      </c>
      <c r="AL4" s="145" t="s">
        <v>3853</v>
      </c>
      <c r="AM4" s="145" t="s">
        <v>3853</v>
      </c>
      <c r="AN4" s="156" t="s">
        <v>3853</v>
      </c>
      <c r="AO4" s="186"/>
    </row>
    <row r="5" spans="1:41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45" t="s">
        <v>3853</v>
      </c>
      <c r="S5" s="145" t="s">
        <v>3853</v>
      </c>
      <c r="T5" s="145" t="s">
        <v>3853</v>
      </c>
      <c r="U5" s="145" t="s">
        <v>3853</v>
      </c>
      <c r="V5" s="145" t="s">
        <v>3853</v>
      </c>
      <c r="W5" s="145" t="s">
        <v>3853</v>
      </c>
      <c r="X5" s="145" t="s">
        <v>3853</v>
      </c>
      <c r="Y5" s="145" t="s">
        <v>3853</v>
      </c>
      <c r="Z5" s="145" t="s">
        <v>3853</v>
      </c>
      <c r="AA5" s="145" t="s">
        <v>3853</v>
      </c>
      <c r="AB5" s="145" t="s">
        <v>3853</v>
      </c>
      <c r="AC5" s="145" t="s">
        <v>3853</v>
      </c>
      <c r="AD5" s="145" t="s">
        <v>3853</v>
      </c>
      <c r="AE5" s="145" t="s">
        <v>3853</v>
      </c>
      <c r="AF5" s="145" t="s">
        <v>3853</v>
      </c>
      <c r="AG5" s="145" t="s">
        <v>3853</v>
      </c>
      <c r="AH5" s="145" t="s">
        <v>3853</v>
      </c>
      <c r="AI5" s="145" t="s">
        <v>3853</v>
      </c>
      <c r="AJ5" s="145" t="s">
        <v>3853</v>
      </c>
      <c r="AK5" s="145" t="s">
        <v>3853</v>
      </c>
      <c r="AL5" s="145" t="s">
        <v>3853</v>
      </c>
      <c r="AM5" s="145" t="s">
        <v>3853</v>
      </c>
      <c r="AN5" s="156" t="s">
        <v>3853</v>
      </c>
      <c r="AO5" s="186"/>
    </row>
    <row r="6" spans="1:41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45" t="s">
        <v>3853</v>
      </c>
      <c r="S6" s="145" t="s">
        <v>3853</v>
      </c>
      <c r="T6" s="145" t="s">
        <v>3853</v>
      </c>
      <c r="U6" s="145" t="s">
        <v>3853</v>
      </c>
      <c r="V6" s="145" t="s">
        <v>3853</v>
      </c>
      <c r="W6" s="145" t="s">
        <v>3853</v>
      </c>
      <c r="X6" s="145" t="s">
        <v>3853</v>
      </c>
      <c r="Y6" s="145" t="s">
        <v>3853</v>
      </c>
      <c r="Z6" s="145" t="s">
        <v>3853</v>
      </c>
      <c r="AA6" s="145" t="s">
        <v>3853</v>
      </c>
      <c r="AB6" s="145" t="s">
        <v>3853</v>
      </c>
      <c r="AC6" s="145" t="s">
        <v>3853</v>
      </c>
      <c r="AD6" s="145" t="s">
        <v>3853</v>
      </c>
      <c r="AE6" s="145" t="s">
        <v>3853</v>
      </c>
      <c r="AF6" s="145" t="s">
        <v>3853</v>
      </c>
      <c r="AG6" s="145" t="s">
        <v>3853</v>
      </c>
      <c r="AH6" s="145" t="s">
        <v>3853</v>
      </c>
      <c r="AI6" s="145" t="s">
        <v>3853</v>
      </c>
      <c r="AJ6" s="145" t="s">
        <v>3853</v>
      </c>
      <c r="AK6" s="145" t="s">
        <v>3853</v>
      </c>
      <c r="AL6" s="145" t="s">
        <v>3853</v>
      </c>
      <c r="AM6" s="145" t="s">
        <v>3853</v>
      </c>
      <c r="AN6" s="156" t="s">
        <v>3853</v>
      </c>
      <c r="AO6" s="186"/>
    </row>
    <row r="7" spans="1:41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45" t="s">
        <v>3853</v>
      </c>
      <c r="W7" s="145" t="s">
        <v>3853</v>
      </c>
      <c r="X7" s="145" t="s">
        <v>3853</v>
      </c>
      <c r="Y7" s="145" t="s">
        <v>3853</v>
      </c>
      <c r="Z7" s="145" t="s">
        <v>3853</v>
      </c>
      <c r="AA7" s="145" t="s">
        <v>3853</v>
      </c>
      <c r="AB7" s="145" t="s">
        <v>3853</v>
      </c>
      <c r="AC7" s="145" t="s">
        <v>3853</v>
      </c>
      <c r="AD7" s="145" t="s">
        <v>3853</v>
      </c>
      <c r="AE7" s="145" t="s">
        <v>3853</v>
      </c>
      <c r="AF7" s="145" t="s">
        <v>3853</v>
      </c>
      <c r="AG7" s="145" t="s">
        <v>3853</v>
      </c>
      <c r="AH7" s="145" t="s">
        <v>3853</v>
      </c>
      <c r="AI7" s="145" t="s">
        <v>3853</v>
      </c>
      <c r="AJ7" s="145" t="s">
        <v>3853</v>
      </c>
      <c r="AK7" s="145" t="s">
        <v>3853</v>
      </c>
      <c r="AL7" s="145" t="s">
        <v>3853</v>
      </c>
      <c r="AM7" s="145" t="s">
        <v>3853</v>
      </c>
      <c r="AN7" s="156" t="s">
        <v>3853</v>
      </c>
      <c r="AO7" s="186"/>
    </row>
    <row r="8" spans="1:41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1" t="s">
        <v>3853</v>
      </c>
      <c r="S8" s="151" t="s">
        <v>3853</v>
      </c>
      <c r="T8" s="151" t="s">
        <v>3853</v>
      </c>
      <c r="U8" s="151" t="s">
        <v>3853</v>
      </c>
      <c r="V8" s="151" t="s">
        <v>3853</v>
      </c>
      <c r="W8" s="151" t="s">
        <v>3853</v>
      </c>
      <c r="X8" s="151" t="s">
        <v>3853</v>
      </c>
      <c r="Y8" s="151" t="s">
        <v>3853</v>
      </c>
      <c r="Z8" s="151" t="s">
        <v>3853</v>
      </c>
      <c r="AA8" s="151" t="s">
        <v>3853</v>
      </c>
      <c r="AB8" s="151" t="s">
        <v>3853</v>
      </c>
      <c r="AC8" s="151" t="s">
        <v>3853</v>
      </c>
      <c r="AD8" s="151" t="s">
        <v>3853</v>
      </c>
      <c r="AE8" s="151" t="s">
        <v>3853</v>
      </c>
      <c r="AF8" s="151" t="s">
        <v>3853</v>
      </c>
      <c r="AG8" s="151" t="s">
        <v>3853</v>
      </c>
      <c r="AH8" s="151" t="s">
        <v>3853</v>
      </c>
      <c r="AI8" s="151" t="s">
        <v>3853</v>
      </c>
      <c r="AJ8" s="151" t="s">
        <v>3853</v>
      </c>
      <c r="AK8" s="151" t="s">
        <v>3853</v>
      </c>
      <c r="AL8" s="151" t="s">
        <v>3853</v>
      </c>
      <c r="AM8" s="151" t="s">
        <v>3853</v>
      </c>
      <c r="AN8" s="159" t="s">
        <v>3853</v>
      </c>
      <c r="AO8" s="186"/>
    </row>
    <row r="9" spans="1:41" x14ac:dyDescent="0.2">
      <c r="A9" s="185" t="s">
        <v>3870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</row>
    <row r="10" spans="1:41" x14ac:dyDescent="0.2">
      <c r="A10" s="99" t="s">
        <v>3869</v>
      </c>
      <c r="B10" s="99"/>
      <c r="C10" s="99"/>
      <c r="D10" s="99"/>
      <c r="E10" s="16"/>
      <c r="F10" s="99"/>
      <c r="G10" s="99"/>
      <c r="H10" s="16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9"/>
      <c r="Y10" s="16"/>
      <c r="Z10" s="16"/>
      <c r="AA10" s="99"/>
      <c r="AB10" s="99"/>
      <c r="AD10" s="99"/>
      <c r="AE10" s="99"/>
      <c r="AF10" s="99"/>
      <c r="AG10" s="99"/>
      <c r="AH10" s="99"/>
      <c r="AL10" s="99"/>
    </row>
    <row r="11" spans="1:41" x14ac:dyDescent="0.2">
      <c r="A11" s="179"/>
      <c r="B11" s="99"/>
      <c r="C11" s="99"/>
      <c r="D11" s="99"/>
      <c r="E11" s="16"/>
      <c r="F11" s="99"/>
      <c r="G11" s="99"/>
      <c r="H11" s="16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9"/>
      <c r="Y11" s="16"/>
      <c r="Z11" s="16"/>
      <c r="AA11" s="99"/>
      <c r="AB11" s="99"/>
      <c r="AD11" s="99"/>
      <c r="AE11" s="99"/>
      <c r="AF11" s="99"/>
      <c r="AG11" s="99"/>
      <c r="AH11" s="99"/>
      <c r="AL11" s="99"/>
    </row>
    <row r="12" spans="1:41" x14ac:dyDescent="0.2">
      <c r="A12" s="99"/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9"/>
      <c r="Y12" s="16"/>
      <c r="Z12" s="16"/>
      <c r="AA12" s="99"/>
      <c r="AB12" s="99"/>
      <c r="AD12" s="99"/>
      <c r="AE12" s="99"/>
      <c r="AF12" s="99"/>
      <c r="AG12" s="99"/>
      <c r="AH12" s="99"/>
      <c r="AI12" s="99"/>
      <c r="AK12" s="99"/>
      <c r="AL12" s="99"/>
    </row>
    <row r="13" spans="1:41" x14ac:dyDescent="0.2">
      <c r="A13" s="9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9"/>
      <c r="Y13" s="16"/>
      <c r="Z13" s="16"/>
      <c r="AA13" s="99"/>
      <c r="AB13" s="99"/>
      <c r="AD13" s="99"/>
      <c r="AE13" s="99"/>
      <c r="AF13" s="99"/>
      <c r="AG13" s="99"/>
      <c r="AH13" s="99"/>
      <c r="AI13" s="99"/>
      <c r="AK13" s="99"/>
      <c r="AL13" s="99"/>
    </row>
    <row r="14" spans="1:41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9"/>
      <c r="Y14" s="16"/>
      <c r="Z14" s="16"/>
      <c r="AA14" s="99"/>
      <c r="AB14" s="99"/>
      <c r="AD14" s="99"/>
      <c r="AE14" s="99"/>
      <c r="AF14" s="99"/>
      <c r="AG14" s="99"/>
      <c r="AH14" s="99"/>
      <c r="AI14" s="99"/>
      <c r="AK14" s="99"/>
      <c r="AL14" s="99"/>
    </row>
    <row r="15" spans="1:41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9"/>
      <c r="Y15" s="16"/>
      <c r="Z15" s="16"/>
      <c r="AA15" s="99"/>
      <c r="AB15" s="99"/>
      <c r="AD15" s="99"/>
      <c r="AE15" s="99"/>
      <c r="AF15" s="99"/>
      <c r="AG15" s="99"/>
      <c r="AH15" s="99"/>
      <c r="AI15" s="99"/>
      <c r="AK15" s="99"/>
      <c r="AL15" s="99"/>
    </row>
    <row r="16" spans="1:41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9"/>
      <c r="Y16" s="16"/>
      <c r="Z16" s="16"/>
      <c r="AA16" s="99"/>
      <c r="AB16" s="99"/>
      <c r="AD16" s="99"/>
      <c r="AE16" s="99"/>
      <c r="AF16" s="99"/>
      <c r="AG16" s="99"/>
      <c r="AH16" s="99"/>
      <c r="AI16" s="99"/>
      <c r="AK16" s="99"/>
      <c r="AL16" s="99"/>
    </row>
    <row r="17" spans="1:3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9"/>
      <c r="Y17" s="16"/>
      <c r="Z17" s="16"/>
      <c r="AA17" s="99"/>
      <c r="AB17" s="99"/>
      <c r="AD17" s="99"/>
      <c r="AE17" s="99"/>
      <c r="AF17" s="99"/>
      <c r="AG17" s="99"/>
      <c r="AH17" s="99"/>
      <c r="AI17" s="99"/>
      <c r="AK17" s="99"/>
      <c r="AL17" s="99"/>
    </row>
    <row r="18" spans="1:3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9"/>
      <c r="Y18" s="16"/>
      <c r="Z18" s="16"/>
      <c r="AA18" s="99"/>
      <c r="AB18" s="99"/>
      <c r="AD18" s="99"/>
      <c r="AE18" s="99"/>
      <c r="AF18" s="99"/>
      <c r="AG18" s="99"/>
      <c r="AH18" s="99"/>
      <c r="AI18" s="99"/>
      <c r="AK18" s="99"/>
      <c r="AL18" s="99"/>
    </row>
    <row r="19" spans="1:3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9"/>
      <c r="Y19" s="16"/>
      <c r="Z19" s="16"/>
      <c r="AA19" s="99"/>
      <c r="AB19" s="99"/>
      <c r="AD19" s="99"/>
      <c r="AE19" s="99"/>
      <c r="AF19" s="99"/>
      <c r="AG19" s="99"/>
      <c r="AH19" s="99"/>
      <c r="AI19" s="99"/>
      <c r="AK19" s="99"/>
      <c r="AL19" s="99"/>
    </row>
    <row r="20" spans="1:3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9"/>
      <c r="Y20" s="16"/>
      <c r="Z20" s="16"/>
      <c r="AA20" s="99"/>
      <c r="AB20" s="99"/>
      <c r="AD20" s="99"/>
      <c r="AE20" s="99"/>
      <c r="AF20" s="99"/>
      <c r="AG20" s="99"/>
      <c r="AH20" s="99"/>
      <c r="AI20" s="99"/>
      <c r="AK20" s="99"/>
      <c r="AL20" s="99"/>
    </row>
    <row r="21" spans="1:38" x14ac:dyDescent="0.2">
      <c r="E21" s="16"/>
      <c r="H21" s="16"/>
      <c r="I21" s="99"/>
      <c r="J21" s="16"/>
      <c r="K21" s="16"/>
      <c r="L21" s="99"/>
      <c r="M21" s="99"/>
      <c r="P21" s="99"/>
      <c r="Q21" s="99"/>
      <c r="T21" s="99"/>
      <c r="U21" s="99"/>
      <c r="Y21" s="16"/>
      <c r="Z21" s="16"/>
      <c r="AA21" s="99"/>
      <c r="AB21" s="99"/>
      <c r="AL21" s="99"/>
    </row>
    <row r="22" spans="1:38" x14ac:dyDescent="0.2">
      <c r="E22"/>
      <c r="L22"/>
      <c r="Z22"/>
      <c r="AL22" s="98"/>
    </row>
    <row r="23" spans="1:38" x14ac:dyDescent="0.2">
      <c r="L23" s="98"/>
      <c r="T23" s="98"/>
      <c r="U23" s="98"/>
      <c r="AL23" s="98"/>
    </row>
    <row r="24" spans="1:38" x14ac:dyDescent="0.2">
      <c r="L24" s="98"/>
      <c r="T24" s="98"/>
      <c r="U24" s="98"/>
    </row>
    <row r="25" spans="1:38" x14ac:dyDescent="0.2">
      <c r="L25" s="98"/>
      <c r="T25" s="98"/>
      <c r="U25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5">
    <dataValidation type="list" allowBlank="1" showInputMessage="1" showErrorMessage="1" sqref="J10:J21">
      <formula1>israel_abroad</formula1>
    </dataValidation>
    <dataValidation type="list" allowBlank="1" showInputMessage="1" showErrorMessage="1" sqref="Q10:Q21">
      <formula1>What_is_rated</formula1>
    </dataValidation>
    <dataValidation type="list" allowBlank="1" showInputMessage="1" showErrorMessage="1" sqref="P10:P21">
      <formula1>Rating_Agency</formula1>
    </dataValidation>
    <dataValidation type="list" allowBlank="1" showInputMessage="1" showErrorMessage="1" sqref="M10:M21">
      <formula1>Holding_interest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AA10:AA21">
      <formula1>Valuation</formula1>
    </dataValidation>
    <dataValidation type="list" allowBlank="1" showInputMessage="1" showErrorMessage="1" sqref="AB10:AB21">
      <formula1>Dependence_Independence</formula1>
    </dataValidation>
    <dataValidation type="list" allowBlank="1" showInputMessage="1" showErrorMessage="1" sqref="U10:U21">
      <formula1>Underlying_Interest_Rates</formula1>
    </dataValidation>
    <dataValidation type="list" allowBlank="1" showInputMessage="1" showErrorMessage="1" sqref="T10:T21">
      <formula1>Linked_Type</formula1>
    </dataValidation>
    <dataValidation type="list" allowBlank="1" showInputMessage="1" showErrorMessage="1" sqref="Z10:Z21">
      <formula1>Yes_No_Bad_Debt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Y10:Y21">
      <formula1>Subordination_Risk</formula1>
    </dataValidation>
    <dataValidation type="list" allowBlank="1" showInputMessage="1" showErrorMessage="1" sqref="AL10:AL21">
      <formula1>In_the_books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9.5" style="2" bestFit="1" customWidth="1"/>
    <col min="4" max="4" width="22.25" style="2" bestFit="1" customWidth="1"/>
    <col min="5" max="5" width="18.125" style="4" customWidth="1"/>
    <col min="6" max="6" width="23.5" style="2" bestFit="1" customWidth="1"/>
    <col min="7" max="7" width="14.25" style="2" bestFit="1" customWidth="1"/>
    <col min="8" max="8" width="15.5" style="2" customWidth="1"/>
    <col min="9" max="9" width="2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16.625" style="2" bestFit="1" customWidth="1"/>
    <col min="14" max="14" width="15.125" style="2" customWidth="1"/>
    <col min="15" max="15" width="12" style="2" customWidth="1"/>
    <col min="16" max="16" width="6.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2.25" style="2" customWidth="1"/>
    <col min="23" max="23" width="11.1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0.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3889</v>
      </c>
    </row>
    <row r="2" spans="1:3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83</v>
      </c>
      <c r="N2" s="140" t="s">
        <v>56</v>
      </c>
      <c r="O2" s="140" t="s">
        <v>97</v>
      </c>
      <c r="P2" s="140" t="s">
        <v>71</v>
      </c>
      <c r="Q2" s="140" t="s">
        <v>58</v>
      </c>
      <c r="R2" s="140" t="s">
        <v>84</v>
      </c>
      <c r="S2" s="140" t="s">
        <v>59</v>
      </c>
      <c r="T2" s="140" t="s">
        <v>72</v>
      </c>
      <c r="U2" s="140" t="s">
        <v>73</v>
      </c>
      <c r="V2" s="140" t="s">
        <v>74</v>
      </c>
      <c r="W2" s="140" t="s">
        <v>62</v>
      </c>
      <c r="X2" s="140" t="s">
        <v>86</v>
      </c>
      <c r="Y2" s="140" t="s">
        <v>87</v>
      </c>
      <c r="Z2" s="140" t="s">
        <v>103</v>
      </c>
      <c r="AA2" s="140" t="s">
        <v>104</v>
      </c>
      <c r="AB2" s="140" t="s">
        <v>106</v>
      </c>
      <c r="AC2" s="140" t="s">
        <v>107</v>
      </c>
      <c r="AD2" s="140" t="s">
        <v>76</v>
      </c>
      <c r="AE2" s="140" t="s">
        <v>61</v>
      </c>
      <c r="AF2" s="140" t="s">
        <v>77</v>
      </c>
      <c r="AG2" s="140" t="s">
        <v>63</v>
      </c>
      <c r="AH2" s="140" t="s">
        <v>78</v>
      </c>
      <c r="AI2" s="140" t="s">
        <v>88</v>
      </c>
      <c r="AJ2" s="140" t="s">
        <v>17</v>
      </c>
      <c r="AK2" s="140" t="s">
        <v>64</v>
      </c>
      <c r="AL2" s="141" t="s">
        <v>65</v>
      </c>
      <c r="AM2" s="181" t="s">
        <v>3871</v>
      </c>
    </row>
    <row r="3" spans="1:39" ht="15" x14ac:dyDescent="0.2">
      <c r="A3" s="142" t="s">
        <v>1205</v>
      </c>
      <c r="B3" s="143" t="s">
        <v>1213</v>
      </c>
      <c r="C3" s="143" t="s">
        <v>3048</v>
      </c>
      <c r="D3" s="143" t="s">
        <v>3049</v>
      </c>
      <c r="E3" s="143" t="s">
        <v>309</v>
      </c>
      <c r="F3" s="143" t="s">
        <v>3050</v>
      </c>
      <c r="G3" s="143" t="s">
        <v>3051</v>
      </c>
      <c r="H3" s="143" t="s">
        <v>321</v>
      </c>
      <c r="I3" s="143" t="s">
        <v>951</v>
      </c>
      <c r="J3" s="143" t="s">
        <v>204</v>
      </c>
      <c r="K3" s="143" t="s">
        <v>204</v>
      </c>
      <c r="L3" s="143" t="s">
        <v>314</v>
      </c>
      <c r="M3" s="143" t="s">
        <v>465</v>
      </c>
      <c r="N3" s="143" t="s">
        <v>339</v>
      </c>
      <c r="O3" s="143" t="s">
        <v>3052</v>
      </c>
      <c r="P3" s="143" t="s">
        <v>3053</v>
      </c>
      <c r="Q3" s="143" t="s">
        <v>415</v>
      </c>
      <c r="R3" s="143" t="s">
        <v>407</v>
      </c>
      <c r="S3" s="143" t="s">
        <v>1210</v>
      </c>
      <c r="T3" s="144">
        <v>0.08</v>
      </c>
      <c r="U3" s="143" t="s">
        <v>3054</v>
      </c>
      <c r="V3" s="146">
        <v>0.46870000000000001</v>
      </c>
      <c r="W3" s="146">
        <v>0.23910000000000001</v>
      </c>
      <c r="X3" s="143" t="s">
        <v>412</v>
      </c>
      <c r="Y3" s="145" t="s">
        <v>3853</v>
      </c>
      <c r="Z3" s="143" t="s">
        <v>884</v>
      </c>
      <c r="AA3" s="143" t="s">
        <v>888</v>
      </c>
      <c r="AB3" s="160">
        <v>45473</v>
      </c>
      <c r="AC3" s="161">
        <v>45473</v>
      </c>
      <c r="AD3" s="144">
        <v>248.9</v>
      </c>
      <c r="AE3" s="145" t="s">
        <v>3853</v>
      </c>
      <c r="AF3" s="143" t="s">
        <v>3055</v>
      </c>
      <c r="AG3" s="144">
        <v>0</v>
      </c>
      <c r="AH3" s="145" t="s">
        <v>3853</v>
      </c>
      <c r="AI3" s="145" t="s">
        <v>3853</v>
      </c>
      <c r="AJ3" s="145" t="s">
        <v>3853</v>
      </c>
      <c r="AK3" s="146">
        <v>1</v>
      </c>
      <c r="AL3" s="147">
        <v>7.3462946437943807E-9</v>
      </c>
      <c r="AM3" s="181"/>
    </row>
    <row r="4" spans="1:39" ht="15" x14ac:dyDescent="0.2">
      <c r="A4" s="142" t="s">
        <v>1205</v>
      </c>
      <c r="B4" s="143" t="s">
        <v>1205</v>
      </c>
      <c r="C4" s="143" t="s">
        <v>3056</v>
      </c>
      <c r="D4" s="143" t="s">
        <v>3057</v>
      </c>
      <c r="E4" s="143" t="s">
        <v>309</v>
      </c>
      <c r="F4" s="143" t="s">
        <v>3058</v>
      </c>
      <c r="G4" s="143" t="s">
        <v>3059</v>
      </c>
      <c r="H4" s="143" t="s">
        <v>321</v>
      </c>
      <c r="I4" s="143" t="s">
        <v>951</v>
      </c>
      <c r="J4" s="143" t="s">
        <v>204</v>
      </c>
      <c r="K4" s="143" t="s">
        <v>204</v>
      </c>
      <c r="L4" s="143" t="s">
        <v>314</v>
      </c>
      <c r="M4" s="143" t="s">
        <v>464</v>
      </c>
      <c r="N4" s="143" t="s">
        <v>339</v>
      </c>
      <c r="O4" s="143" t="s">
        <v>3060</v>
      </c>
      <c r="P4" s="143" t="s">
        <v>1377</v>
      </c>
      <c r="Q4" s="143" t="s">
        <v>415</v>
      </c>
      <c r="R4" s="143" t="s">
        <v>407</v>
      </c>
      <c r="S4" s="143" t="s">
        <v>1210</v>
      </c>
      <c r="T4" s="144">
        <v>1.92</v>
      </c>
      <c r="U4" s="143" t="s">
        <v>1520</v>
      </c>
      <c r="V4" s="146">
        <v>5.3100000000000001E-2</v>
      </c>
      <c r="W4" s="146">
        <v>3.1E-2</v>
      </c>
      <c r="X4" s="143" t="s">
        <v>412</v>
      </c>
      <c r="Y4" s="145" t="s">
        <v>3853</v>
      </c>
      <c r="Z4" s="143" t="s">
        <v>886</v>
      </c>
      <c r="AA4" s="143" t="s">
        <v>889</v>
      </c>
      <c r="AB4" s="160">
        <v>45473</v>
      </c>
      <c r="AC4" s="161">
        <v>45473</v>
      </c>
      <c r="AD4" s="144">
        <v>420760.13</v>
      </c>
      <c r="AE4" s="145" t="s">
        <v>3853</v>
      </c>
      <c r="AF4" s="143" t="s">
        <v>3061</v>
      </c>
      <c r="AG4" s="144">
        <v>404.14009999999996</v>
      </c>
      <c r="AH4" s="145" t="s">
        <v>3853</v>
      </c>
      <c r="AI4" s="145" t="s">
        <v>3853</v>
      </c>
      <c r="AJ4" s="145" t="s">
        <v>3853</v>
      </c>
      <c r="AK4" s="146">
        <v>0.41906413460086372</v>
      </c>
      <c r="AL4" s="147">
        <v>6.1021067968921184E-4</v>
      </c>
      <c r="AM4" s="181"/>
    </row>
    <row r="5" spans="1:39" ht="15" x14ac:dyDescent="0.2">
      <c r="A5" s="142" t="s">
        <v>1205</v>
      </c>
      <c r="B5" s="143" t="s">
        <v>1205</v>
      </c>
      <c r="C5" s="143" t="s">
        <v>3048</v>
      </c>
      <c r="D5" s="143" t="s">
        <v>3049</v>
      </c>
      <c r="E5" s="143" t="s">
        <v>309</v>
      </c>
      <c r="F5" s="143" t="s">
        <v>3050</v>
      </c>
      <c r="G5" s="143" t="s">
        <v>3051</v>
      </c>
      <c r="H5" s="143" t="s">
        <v>321</v>
      </c>
      <c r="I5" s="143" t="s">
        <v>951</v>
      </c>
      <c r="J5" s="143" t="s">
        <v>204</v>
      </c>
      <c r="K5" s="143" t="s">
        <v>204</v>
      </c>
      <c r="L5" s="143" t="s">
        <v>314</v>
      </c>
      <c r="M5" s="143" t="s">
        <v>465</v>
      </c>
      <c r="N5" s="143" t="s">
        <v>339</v>
      </c>
      <c r="O5" s="143" t="s">
        <v>3052</v>
      </c>
      <c r="P5" s="143" t="s">
        <v>3053</v>
      </c>
      <c r="Q5" s="143" t="s">
        <v>415</v>
      </c>
      <c r="R5" s="143" t="s">
        <v>407</v>
      </c>
      <c r="S5" s="143" t="s">
        <v>1210</v>
      </c>
      <c r="T5" s="144">
        <v>0.08</v>
      </c>
      <c r="U5" s="143" t="s">
        <v>3054</v>
      </c>
      <c r="V5" s="146">
        <v>0.46870000000000001</v>
      </c>
      <c r="W5" s="146">
        <v>0.23910000000000001</v>
      </c>
      <c r="X5" s="143" t="s">
        <v>412</v>
      </c>
      <c r="Y5" s="145" t="s">
        <v>3853</v>
      </c>
      <c r="Z5" s="143" t="s">
        <v>884</v>
      </c>
      <c r="AA5" s="143" t="s">
        <v>888</v>
      </c>
      <c r="AB5" s="160">
        <v>45473</v>
      </c>
      <c r="AC5" s="160">
        <v>45473</v>
      </c>
      <c r="AD5" s="144">
        <v>58392.6</v>
      </c>
      <c r="AE5" s="145" t="s">
        <v>3853</v>
      </c>
      <c r="AF5" s="143" t="s">
        <v>3055</v>
      </c>
      <c r="AG5" s="144">
        <v>5.7999999999999996E-3</v>
      </c>
      <c r="AH5" s="145" t="s">
        <v>3853</v>
      </c>
      <c r="AI5" s="145" t="s">
        <v>3853</v>
      </c>
      <c r="AJ5" s="145" t="s">
        <v>3853</v>
      </c>
      <c r="AK5" s="146">
        <v>6.0548913833405623E-6</v>
      </c>
      <c r="AL5" s="147">
        <v>8.8166919605078067E-9</v>
      </c>
      <c r="AM5" s="181"/>
    </row>
    <row r="6" spans="1:39" ht="15" x14ac:dyDescent="0.2">
      <c r="A6" s="142" t="s">
        <v>1205</v>
      </c>
      <c r="B6" s="143" t="s">
        <v>1205</v>
      </c>
      <c r="C6" s="143" t="s">
        <v>1926</v>
      </c>
      <c r="D6" s="143" t="s">
        <v>1927</v>
      </c>
      <c r="E6" s="143" t="s">
        <v>309</v>
      </c>
      <c r="F6" s="143" t="s">
        <v>3062</v>
      </c>
      <c r="G6" s="143" t="s">
        <v>3063</v>
      </c>
      <c r="H6" s="143" t="s">
        <v>321</v>
      </c>
      <c r="I6" s="143" t="s">
        <v>754</v>
      </c>
      <c r="J6" s="143" t="s">
        <v>204</v>
      </c>
      <c r="K6" s="143" t="s">
        <v>204</v>
      </c>
      <c r="L6" s="143" t="s">
        <v>314</v>
      </c>
      <c r="M6" s="143" t="s">
        <v>477</v>
      </c>
      <c r="N6" s="143" t="s">
        <v>339</v>
      </c>
      <c r="O6" s="143" t="s">
        <v>3064</v>
      </c>
      <c r="P6" s="143" t="s">
        <v>1222</v>
      </c>
      <c r="Q6" s="143" t="s">
        <v>413</v>
      </c>
      <c r="R6" s="143" t="s">
        <v>407</v>
      </c>
      <c r="S6" s="143" t="s">
        <v>1210</v>
      </c>
      <c r="T6" s="144">
        <v>9.0299999999999994</v>
      </c>
      <c r="U6" s="143" t="s">
        <v>3065</v>
      </c>
      <c r="V6" s="146">
        <v>3.4099999999999998E-2</v>
      </c>
      <c r="W6" s="146">
        <v>4.1000000000000002E-2</v>
      </c>
      <c r="X6" s="143" t="s">
        <v>412</v>
      </c>
      <c r="Y6" s="145" t="s">
        <v>3853</v>
      </c>
      <c r="Z6" s="143" t="s">
        <v>886</v>
      </c>
      <c r="AA6" s="143" t="s">
        <v>889</v>
      </c>
      <c r="AB6" s="160">
        <v>45473</v>
      </c>
      <c r="AC6" s="161">
        <v>45473</v>
      </c>
      <c r="AD6" s="144">
        <v>431818.48</v>
      </c>
      <c r="AE6" s="145" t="s">
        <v>3853</v>
      </c>
      <c r="AF6" s="143" t="s">
        <v>3066</v>
      </c>
      <c r="AG6" s="144">
        <v>560.24130000000002</v>
      </c>
      <c r="AH6" s="145" t="s">
        <v>3853</v>
      </c>
      <c r="AI6" s="145" t="s">
        <v>3853</v>
      </c>
      <c r="AJ6" s="145" t="s">
        <v>3853</v>
      </c>
      <c r="AK6" s="146">
        <v>0.58092980882017831</v>
      </c>
      <c r="AL6" s="147">
        <v>8.4590768863939487E-4</v>
      </c>
      <c r="AM6" s="181"/>
    </row>
    <row r="7" spans="1:39" ht="15" x14ac:dyDescent="0.2">
      <c r="A7" s="142" t="s">
        <v>1205</v>
      </c>
      <c r="B7" s="143" t="s">
        <v>1205</v>
      </c>
      <c r="C7" s="143" t="s">
        <v>3067</v>
      </c>
      <c r="D7" s="143" t="s">
        <v>3068</v>
      </c>
      <c r="E7" s="143" t="s">
        <v>309</v>
      </c>
      <c r="F7" s="143" t="s">
        <v>3069</v>
      </c>
      <c r="G7" s="143" t="s">
        <v>3070</v>
      </c>
      <c r="H7" s="143" t="s">
        <v>321</v>
      </c>
      <c r="I7" s="143" t="s">
        <v>754</v>
      </c>
      <c r="J7" s="143" t="s">
        <v>204</v>
      </c>
      <c r="K7" s="143" t="s">
        <v>204</v>
      </c>
      <c r="L7" s="143" t="s">
        <v>314</v>
      </c>
      <c r="M7" s="143" t="s">
        <v>451</v>
      </c>
      <c r="N7" s="143" t="s">
        <v>339</v>
      </c>
      <c r="O7" s="143" t="s">
        <v>3071</v>
      </c>
      <c r="P7" s="145" t="s">
        <v>3853</v>
      </c>
      <c r="Q7" s="143" t="s">
        <v>410</v>
      </c>
      <c r="R7" s="143" t="s">
        <v>410</v>
      </c>
      <c r="S7" s="143" t="s">
        <v>1210</v>
      </c>
      <c r="T7" s="144">
        <v>0.25</v>
      </c>
      <c r="U7" s="143" t="s">
        <v>3072</v>
      </c>
      <c r="V7" s="146">
        <v>1E-4</v>
      </c>
      <c r="W7" s="146">
        <v>5.1473999999999999E-2</v>
      </c>
      <c r="X7" s="143" t="s">
        <v>412</v>
      </c>
      <c r="Y7" s="145" t="s">
        <v>3853</v>
      </c>
      <c r="Z7" s="143" t="s">
        <v>884</v>
      </c>
      <c r="AA7" s="143" t="s">
        <v>888</v>
      </c>
      <c r="AB7" s="160">
        <v>45382</v>
      </c>
      <c r="AC7" s="161">
        <v>45382</v>
      </c>
      <c r="AD7" s="144">
        <v>112564.89</v>
      </c>
      <c r="AE7" s="145" t="s">
        <v>3853</v>
      </c>
      <c r="AF7" s="145" t="s">
        <v>3853</v>
      </c>
      <c r="AG7" s="144">
        <v>0</v>
      </c>
      <c r="AH7" s="145" t="s">
        <v>3853</v>
      </c>
      <c r="AI7" s="145" t="s">
        <v>3853</v>
      </c>
      <c r="AJ7" s="145" t="s">
        <v>3853</v>
      </c>
      <c r="AK7" s="146">
        <v>1.1672167064451287E-9</v>
      </c>
      <c r="AL7" s="147">
        <v>1.6996159799331518E-12</v>
      </c>
      <c r="AM7" s="181"/>
    </row>
    <row r="8" spans="1:39" ht="15" x14ac:dyDescent="0.2">
      <c r="A8" s="142" t="s">
        <v>1205</v>
      </c>
      <c r="B8" s="143" t="s">
        <v>1205</v>
      </c>
      <c r="C8" s="143" t="s">
        <v>3073</v>
      </c>
      <c r="D8" s="143" t="s">
        <v>3074</v>
      </c>
      <c r="E8" s="143" t="s">
        <v>309</v>
      </c>
      <c r="F8" s="143" t="s">
        <v>3075</v>
      </c>
      <c r="G8" s="143" t="s">
        <v>3076</v>
      </c>
      <c r="H8" s="143" t="s">
        <v>321</v>
      </c>
      <c r="I8" s="143" t="s">
        <v>754</v>
      </c>
      <c r="J8" s="143" t="s">
        <v>204</v>
      </c>
      <c r="K8" s="143" t="s">
        <v>204</v>
      </c>
      <c r="L8" s="143" t="s">
        <v>314</v>
      </c>
      <c r="M8" s="145" t="s">
        <v>3853</v>
      </c>
      <c r="N8" s="143" t="s">
        <v>339</v>
      </c>
      <c r="O8" s="143" t="s">
        <v>3077</v>
      </c>
      <c r="P8" s="145" t="s">
        <v>3853</v>
      </c>
      <c r="Q8" s="143" t="s">
        <v>410</v>
      </c>
      <c r="R8" s="143" t="s">
        <v>410</v>
      </c>
      <c r="S8" s="143" t="s">
        <v>1210</v>
      </c>
      <c r="T8" s="144">
        <v>0.01</v>
      </c>
      <c r="U8" s="143" t="s">
        <v>3078</v>
      </c>
      <c r="V8" s="146">
        <v>1E-4</v>
      </c>
      <c r="W8" s="146">
        <v>0.03</v>
      </c>
      <c r="X8" s="143" t="s">
        <v>412</v>
      </c>
      <c r="Y8" s="145" t="s">
        <v>3853</v>
      </c>
      <c r="Z8" s="143" t="s">
        <v>884</v>
      </c>
      <c r="AA8" s="143" t="s">
        <v>888</v>
      </c>
      <c r="AB8" s="160">
        <v>42915</v>
      </c>
      <c r="AC8" s="161">
        <v>42915</v>
      </c>
      <c r="AD8" s="144">
        <v>6709.67</v>
      </c>
      <c r="AE8" s="145" t="s">
        <v>3853</v>
      </c>
      <c r="AF8" s="145" t="s">
        <v>3853</v>
      </c>
      <c r="AG8" s="144">
        <v>0</v>
      </c>
      <c r="AH8" s="145" t="s">
        <v>3853</v>
      </c>
      <c r="AI8" s="145" t="s">
        <v>3853</v>
      </c>
      <c r="AJ8" s="145" t="s">
        <v>3853</v>
      </c>
      <c r="AK8" s="145" t="s">
        <v>3853</v>
      </c>
      <c r="AL8" s="156" t="s">
        <v>3853</v>
      </c>
      <c r="AM8" s="181"/>
    </row>
    <row r="9" spans="1:39" ht="15" x14ac:dyDescent="0.2">
      <c r="A9" s="142" t="s">
        <v>1205</v>
      </c>
      <c r="B9" s="143" t="s">
        <v>1205</v>
      </c>
      <c r="C9" s="143" t="s">
        <v>3073</v>
      </c>
      <c r="D9" s="143" t="s">
        <v>3074</v>
      </c>
      <c r="E9" s="143" t="s">
        <v>309</v>
      </c>
      <c r="F9" s="143" t="s">
        <v>3079</v>
      </c>
      <c r="G9" s="143" t="s">
        <v>3080</v>
      </c>
      <c r="H9" s="143" t="s">
        <v>312</v>
      </c>
      <c r="I9" s="143" t="s">
        <v>754</v>
      </c>
      <c r="J9" s="143" t="s">
        <v>204</v>
      </c>
      <c r="K9" s="143" t="s">
        <v>204</v>
      </c>
      <c r="L9" s="143" t="s">
        <v>314</v>
      </c>
      <c r="M9" s="145" t="s">
        <v>3853</v>
      </c>
      <c r="N9" s="143" t="s">
        <v>339</v>
      </c>
      <c r="O9" s="143" t="s">
        <v>3077</v>
      </c>
      <c r="P9" s="145" t="s">
        <v>3853</v>
      </c>
      <c r="Q9" s="143" t="s">
        <v>410</v>
      </c>
      <c r="R9" s="143" t="s">
        <v>410</v>
      </c>
      <c r="S9" s="143" t="s">
        <v>1210</v>
      </c>
      <c r="T9" s="144">
        <v>0.01</v>
      </c>
      <c r="U9" s="143" t="s">
        <v>3078</v>
      </c>
      <c r="V9" s="146">
        <v>1E-4</v>
      </c>
      <c r="W9" s="146">
        <v>0.03</v>
      </c>
      <c r="X9" s="143" t="s">
        <v>412</v>
      </c>
      <c r="Y9" s="145" t="s">
        <v>3853</v>
      </c>
      <c r="Z9" s="143" t="s">
        <v>884</v>
      </c>
      <c r="AA9" s="143" t="s">
        <v>888</v>
      </c>
      <c r="AB9" s="160" t="s">
        <v>3855</v>
      </c>
      <c r="AC9" s="161" t="s">
        <v>3855</v>
      </c>
      <c r="AD9" s="144">
        <v>6623.67</v>
      </c>
      <c r="AE9" s="145" t="s">
        <v>3853</v>
      </c>
      <c r="AF9" s="145" t="s">
        <v>3853</v>
      </c>
      <c r="AG9" s="144">
        <v>0</v>
      </c>
      <c r="AH9" s="145" t="s">
        <v>3853</v>
      </c>
      <c r="AI9" s="145" t="s">
        <v>3853</v>
      </c>
      <c r="AJ9" s="145" t="s">
        <v>3853</v>
      </c>
      <c r="AK9" s="145" t="s">
        <v>3853</v>
      </c>
      <c r="AL9" s="156" t="s">
        <v>3853</v>
      </c>
      <c r="AM9" s="181"/>
    </row>
    <row r="10" spans="1:39" ht="15" x14ac:dyDescent="0.2">
      <c r="A10" s="142" t="s">
        <v>1205</v>
      </c>
      <c r="B10" s="143" t="s">
        <v>1205</v>
      </c>
      <c r="C10" s="143" t="s">
        <v>3081</v>
      </c>
      <c r="D10" s="143" t="s">
        <v>3082</v>
      </c>
      <c r="E10" s="143" t="s">
        <v>313</v>
      </c>
      <c r="F10" s="143" t="s">
        <v>3083</v>
      </c>
      <c r="G10" s="143" t="s">
        <v>3084</v>
      </c>
      <c r="H10" s="143" t="s">
        <v>321</v>
      </c>
      <c r="I10" s="143" t="s">
        <v>755</v>
      </c>
      <c r="J10" s="143" t="s">
        <v>205</v>
      </c>
      <c r="K10" s="143" t="s">
        <v>224</v>
      </c>
      <c r="L10" s="143" t="s">
        <v>314</v>
      </c>
      <c r="M10" s="143" t="s">
        <v>539</v>
      </c>
      <c r="N10" s="143" t="s">
        <v>339</v>
      </c>
      <c r="O10" s="143" t="s">
        <v>3085</v>
      </c>
      <c r="P10" s="145" t="s">
        <v>3853</v>
      </c>
      <c r="Q10" s="143" t="s">
        <v>410</v>
      </c>
      <c r="R10" s="143" t="s">
        <v>410</v>
      </c>
      <c r="S10" s="143" t="s">
        <v>1211</v>
      </c>
      <c r="T10" s="144">
        <v>1.1349</v>
      </c>
      <c r="U10" s="143" t="s">
        <v>3086</v>
      </c>
      <c r="V10" s="146">
        <v>0.78749999999999998</v>
      </c>
      <c r="W10" s="143" t="s">
        <v>1266</v>
      </c>
      <c r="X10" s="143" t="s">
        <v>412</v>
      </c>
      <c r="Y10" s="145" t="s">
        <v>3853</v>
      </c>
      <c r="Z10" s="143" t="s">
        <v>884</v>
      </c>
      <c r="AA10" s="143" t="s">
        <v>888</v>
      </c>
      <c r="AB10" s="160">
        <v>45463</v>
      </c>
      <c r="AC10" s="161">
        <v>45463</v>
      </c>
      <c r="AD10" s="144">
        <v>133500</v>
      </c>
      <c r="AE10" s="143" t="s">
        <v>1212</v>
      </c>
      <c r="AF10" s="145" t="s">
        <v>3853</v>
      </c>
      <c r="AG10" s="144">
        <v>0</v>
      </c>
      <c r="AH10" s="145" t="s">
        <v>3853</v>
      </c>
      <c r="AI10" s="145" t="s">
        <v>3853</v>
      </c>
      <c r="AJ10" s="145" t="s">
        <v>3853</v>
      </c>
      <c r="AK10" s="146">
        <v>5.20357879385736E-10</v>
      </c>
      <c r="AL10" s="147">
        <v>7.5770725539191113E-13</v>
      </c>
      <c r="AM10" s="181"/>
    </row>
    <row r="11" spans="1:39" ht="15" x14ac:dyDescent="0.2">
      <c r="A11" s="142" t="s">
        <v>1218</v>
      </c>
      <c r="B11" s="143" t="s">
        <v>1220</v>
      </c>
      <c r="C11" s="143" t="s">
        <v>3048</v>
      </c>
      <c r="D11" s="143" t="s">
        <v>3049</v>
      </c>
      <c r="E11" s="143" t="s">
        <v>309</v>
      </c>
      <c r="F11" s="143" t="s">
        <v>3050</v>
      </c>
      <c r="G11" s="143" t="s">
        <v>3051</v>
      </c>
      <c r="H11" s="143" t="s">
        <v>321</v>
      </c>
      <c r="I11" s="143" t="s">
        <v>951</v>
      </c>
      <c r="J11" s="143" t="s">
        <v>204</v>
      </c>
      <c r="K11" s="143" t="s">
        <v>204</v>
      </c>
      <c r="L11" s="143" t="s">
        <v>314</v>
      </c>
      <c r="M11" s="143" t="s">
        <v>465</v>
      </c>
      <c r="N11" s="143" t="s">
        <v>339</v>
      </c>
      <c r="O11" s="143" t="s">
        <v>3052</v>
      </c>
      <c r="P11" s="143" t="s">
        <v>3053</v>
      </c>
      <c r="Q11" s="143" t="s">
        <v>415</v>
      </c>
      <c r="R11" s="143" t="s">
        <v>407</v>
      </c>
      <c r="S11" s="143" t="s">
        <v>1210</v>
      </c>
      <c r="T11" s="144">
        <v>0.08</v>
      </c>
      <c r="U11" s="143" t="s">
        <v>3054</v>
      </c>
      <c r="V11" s="146">
        <v>0.46870000000000001</v>
      </c>
      <c r="W11" s="146">
        <v>0.23910000000000001</v>
      </c>
      <c r="X11" s="143" t="s">
        <v>412</v>
      </c>
      <c r="Y11" s="145" t="s">
        <v>3853</v>
      </c>
      <c r="Z11" s="143" t="s">
        <v>884</v>
      </c>
      <c r="AA11" s="143" t="s">
        <v>888</v>
      </c>
      <c r="AB11" s="160">
        <v>45473</v>
      </c>
      <c r="AC11" s="161">
        <v>45473</v>
      </c>
      <c r="AD11" s="144">
        <v>859.6</v>
      </c>
      <c r="AE11" s="145" t="s">
        <v>3853</v>
      </c>
      <c r="AF11" s="143" t="s">
        <v>3055</v>
      </c>
      <c r="AG11" s="144">
        <v>1E-4</v>
      </c>
      <c r="AH11" s="145" t="s">
        <v>3853</v>
      </c>
      <c r="AI11" s="145" t="s">
        <v>3853</v>
      </c>
      <c r="AJ11" s="145" t="s">
        <v>3853</v>
      </c>
      <c r="AK11" s="146">
        <v>1</v>
      </c>
      <c r="AL11" s="147">
        <v>1.1063073677598941E-8</v>
      </c>
      <c r="AM11" s="181"/>
    </row>
    <row r="12" spans="1:39" ht="15" x14ac:dyDescent="0.2">
      <c r="A12" s="142" t="s">
        <v>1218</v>
      </c>
      <c r="B12" s="143" t="s">
        <v>1218</v>
      </c>
      <c r="C12" s="143" t="s">
        <v>3056</v>
      </c>
      <c r="D12" s="143" t="s">
        <v>3057</v>
      </c>
      <c r="E12" s="143" t="s">
        <v>309</v>
      </c>
      <c r="F12" s="143" t="s">
        <v>3058</v>
      </c>
      <c r="G12" s="143" t="s">
        <v>3059</v>
      </c>
      <c r="H12" s="143" t="s">
        <v>321</v>
      </c>
      <c r="I12" s="143" t="s">
        <v>951</v>
      </c>
      <c r="J12" s="143" t="s">
        <v>204</v>
      </c>
      <c r="K12" s="143" t="s">
        <v>204</v>
      </c>
      <c r="L12" s="143" t="s">
        <v>314</v>
      </c>
      <c r="M12" s="143" t="s">
        <v>464</v>
      </c>
      <c r="N12" s="143" t="s">
        <v>339</v>
      </c>
      <c r="O12" s="143" t="s">
        <v>3060</v>
      </c>
      <c r="P12" s="143" t="s">
        <v>1377</v>
      </c>
      <c r="Q12" s="143" t="s">
        <v>415</v>
      </c>
      <c r="R12" s="143" t="s">
        <v>407</v>
      </c>
      <c r="S12" s="143" t="s">
        <v>1210</v>
      </c>
      <c r="T12" s="144">
        <v>1.92</v>
      </c>
      <c r="U12" s="143" t="s">
        <v>1520</v>
      </c>
      <c r="V12" s="146">
        <v>5.3100000000000001E-2</v>
      </c>
      <c r="W12" s="146">
        <v>3.1E-2</v>
      </c>
      <c r="X12" s="143" t="s">
        <v>412</v>
      </c>
      <c r="Y12" s="145" t="s">
        <v>3853</v>
      </c>
      <c r="Z12" s="143" t="s">
        <v>886</v>
      </c>
      <c r="AA12" s="143" t="s">
        <v>889</v>
      </c>
      <c r="AB12" s="160">
        <v>45473</v>
      </c>
      <c r="AC12" s="161">
        <v>45473</v>
      </c>
      <c r="AD12" s="144">
        <v>4195506.68</v>
      </c>
      <c r="AE12" s="145" t="s">
        <v>3853</v>
      </c>
      <c r="AF12" s="143" t="s">
        <v>3061</v>
      </c>
      <c r="AG12" s="144">
        <v>4029.7842000000001</v>
      </c>
      <c r="AH12" s="145" t="s">
        <v>3853</v>
      </c>
      <c r="AI12" s="145" t="s">
        <v>3853</v>
      </c>
      <c r="AJ12" s="145" t="s">
        <v>3853</v>
      </c>
      <c r="AK12" s="146">
        <v>0.40360511056835746</v>
      </c>
      <c r="AL12" s="147">
        <v>5.3687243387507549E-4</v>
      </c>
      <c r="AM12" s="181"/>
    </row>
    <row r="13" spans="1:39" ht="15" x14ac:dyDescent="0.2">
      <c r="A13" s="142" t="s">
        <v>1218</v>
      </c>
      <c r="B13" s="143" t="s">
        <v>1218</v>
      </c>
      <c r="C13" s="143" t="s">
        <v>3048</v>
      </c>
      <c r="D13" s="143" t="s">
        <v>3049</v>
      </c>
      <c r="E13" s="143" t="s">
        <v>309</v>
      </c>
      <c r="F13" s="143" t="s">
        <v>3050</v>
      </c>
      <c r="G13" s="143" t="s">
        <v>3051</v>
      </c>
      <c r="H13" s="143" t="s">
        <v>321</v>
      </c>
      <c r="I13" s="143" t="s">
        <v>951</v>
      </c>
      <c r="J13" s="143" t="s">
        <v>204</v>
      </c>
      <c r="K13" s="143" t="s">
        <v>204</v>
      </c>
      <c r="L13" s="143" t="s">
        <v>314</v>
      </c>
      <c r="M13" s="143" t="s">
        <v>465</v>
      </c>
      <c r="N13" s="143" t="s">
        <v>339</v>
      </c>
      <c r="O13" s="143" t="s">
        <v>3052</v>
      </c>
      <c r="P13" s="143" t="s">
        <v>3053</v>
      </c>
      <c r="Q13" s="143" t="s">
        <v>415</v>
      </c>
      <c r="R13" s="143" t="s">
        <v>407</v>
      </c>
      <c r="S13" s="143" t="s">
        <v>1210</v>
      </c>
      <c r="T13" s="144">
        <v>0.08</v>
      </c>
      <c r="U13" s="143" t="s">
        <v>3054</v>
      </c>
      <c r="V13" s="146">
        <v>0.46870000000000001</v>
      </c>
      <c r="W13" s="146">
        <v>0.23910000000000001</v>
      </c>
      <c r="X13" s="143" t="s">
        <v>412</v>
      </c>
      <c r="Y13" s="145" t="s">
        <v>3853</v>
      </c>
      <c r="Z13" s="143" t="s">
        <v>884</v>
      </c>
      <c r="AA13" s="143" t="s">
        <v>888</v>
      </c>
      <c r="AB13" s="160">
        <v>45473</v>
      </c>
      <c r="AC13" s="161">
        <v>45473</v>
      </c>
      <c r="AD13" s="144">
        <v>752453.4</v>
      </c>
      <c r="AE13" s="145" t="s">
        <v>3853</v>
      </c>
      <c r="AF13" s="143" t="s">
        <v>3055</v>
      </c>
      <c r="AG13" s="144">
        <v>7.5200000000000003E-2</v>
      </c>
      <c r="AH13" s="145" t="s">
        <v>3853</v>
      </c>
      <c r="AI13" s="145" t="s">
        <v>3853</v>
      </c>
      <c r="AJ13" s="145" t="s">
        <v>3853</v>
      </c>
      <c r="AK13" s="146">
        <v>7.536235817697284E-6</v>
      </c>
      <c r="AL13" s="147">
        <v>1.0024643295537264E-8</v>
      </c>
      <c r="AM13" s="181"/>
    </row>
    <row r="14" spans="1:39" ht="15" x14ac:dyDescent="0.2">
      <c r="A14" s="142" t="s">
        <v>1218</v>
      </c>
      <c r="B14" s="143" t="s">
        <v>1218</v>
      </c>
      <c r="C14" s="143" t="s">
        <v>1926</v>
      </c>
      <c r="D14" s="143" t="s">
        <v>1927</v>
      </c>
      <c r="E14" s="143" t="s">
        <v>309</v>
      </c>
      <c r="F14" s="143" t="s">
        <v>3062</v>
      </c>
      <c r="G14" s="143" t="s">
        <v>3063</v>
      </c>
      <c r="H14" s="143" t="s">
        <v>321</v>
      </c>
      <c r="I14" s="143" t="s">
        <v>754</v>
      </c>
      <c r="J14" s="143" t="s">
        <v>204</v>
      </c>
      <c r="K14" s="143" t="s">
        <v>204</v>
      </c>
      <c r="L14" s="143" t="s">
        <v>314</v>
      </c>
      <c r="M14" s="143" t="s">
        <v>477</v>
      </c>
      <c r="N14" s="143" t="s">
        <v>339</v>
      </c>
      <c r="O14" s="143" t="s">
        <v>3064</v>
      </c>
      <c r="P14" s="143" t="s">
        <v>1222</v>
      </c>
      <c r="Q14" s="143" t="s">
        <v>413</v>
      </c>
      <c r="R14" s="143" t="s">
        <v>407</v>
      </c>
      <c r="S14" s="143" t="s">
        <v>1210</v>
      </c>
      <c r="T14" s="144">
        <v>9.0299999999999994</v>
      </c>
      <c r="U14" s="143" t="s">
        <v>3065</v>
      </c>
      <c r="V14" s="146">
        <v>3.4099999999999998E-2</v>
      </c>
      <c r="W14" s="146">
        <v>4.1000000000000002E-2</v>
      </c>
      <c r="X14" s="143" t="s">
        <v>412</v>
      </c>
      <c r="Y14" s="145" t="s">
        <v>3853</v>
      </c>
      <c r="Z14" s="143" t="s">
        <v>886</v>
      </c>
      <c r="AA14" s="143" t="s">
        <v>889</v>
      </c>
      <c r="AB14" s="160">
        <v>45473</v>
      </c>
      <c r="AC14" s="161">
        <v>45473</v>
      </c>
      <c r="AD14" s="144">
        <v>4254548.3</v>
      </c>
      <c r="AE14" s="145" t="s">
        <v>3853</v>
      </c>
      <c r="AF14" s="143" t="s">
        <v>3066</v>
      </c>
      <c r="AG14" s="144">
        <v>5519.8509999999997</v>
      </c>
      <c r="AH14" s="145" t="s">
        <v>3853</v>
      </c>
      <c r="AI14" s="145" t="s">
        <v>3853</v>
      </c>
      <c r="AJ14" s="145" t="s">
        <v>3853</v>
      </c>
      <c r="AK14" s="146">
        <v>0.55284351889981365</v>
      </c>
      <c r="AL14" s="147">
        <v>7.3538822421212859E-4</v>
      </c>
      <c r="AM14" s="181"/>
    </row>
    <row r="15" spans="1:39" ht="15" x14ac:dyDescent="0.2">
      <c r="A15" s="142" t="s">
        <v>1218</v>
      </c>
      <c r="B15" s="143" t="s">
        <v>1218</v>
      </c>
      <c r="C15" s="143" t="s">
        <v>3067</v>
      </c>
      <c r="D15" s="143" t="s">
        <v>3068</v>
      </c>
      <c r="E15" s="143" t="s">
        <v>309</v>
      </c>
      <c r="F15" s="143" t="s">
        <v>3069</v>
      </c>
      <c r="G15" s="143" t="s">
        <v>3070</v>
      </c>
      <c r="H15" s="143" t="s">
        <v>321</v>
      </c>
      <c r="I15" s="143" t="s">
        <v>754</v>
      </c>
      <c r="J15" s="143" t="s">
        <v>204</v>
      </c>
      <c r="K15" s="143" t="s">
        <v>204</v>
      </c>
      <c r="L15" s="143" t="s">
        <v>314</v>
      </c>
      <c r="M15" s="143" t="s">
        <v>451</v>
      </c>
      <c r="N15" s="143" t="s">
        <v>339</v>
      </c>
      <c r="O15" s="143" t="s">
        <v>3071</v>
      </c>
      <c r="P15" s="145" t="s">
        <v>3853</v>
      </c>
      <c r="Q15" s="143" t="s">
        <v>410</v>
      </c>
      <c r="R15" s="143" t="s">
        <v>410</v>
      </c>
      <c r="S15" s="143" t="s">
        <v>1210</v>
      </c>
      <c r="T15" s="144">
        <v>0.25</v>
      </c>
      <c r="U15" s="143" t="s">
        <v>3072</v>
      </c>
      <c r="V15" s="146">
        <v>1E-4</v>
      </c>
      <c r="W15" s="146">
        <v>5.1473999999999999E-2</v>
      </c>
      <c r="X15" s="143" t="s">
        <v>412</v>
      </c>
      <c r="Y15" s="145" t="s">
        <v>3853</v>
      </c>
      <c r="Z15" s="143" t="s">
        <v>884</v>
      </c>
      <c r="AA15" s="143" t="s">
        <v>888</v>
      </c>
      <c r="AB15" s="160">
        <v>45382</v>
      </c>
      <c r="AC15" s="161">
        <v>45382</v>
      </c>
      <c r="AD15" s="144">
        <v>1988638.2</v>
      </c>
      <c r="AE15" s="145" t="s">
        <v>3853</v>
      </c>
      <c r="AF15" s="145" t="s">
        <v>3853</v>
      </c>
      <c r="AG15" s="144">
        <v>0</v>
      </c>
      <c r="AH15" s="145" t="s">
        <v>3853</v>
      </c>
      <c r="AI15" s="145" t="s">
        <v>3853</v>
      </c>
      <c r="AJ15" s="145" t="s">
        <v>3853</v>
      </c>
      <c r="AK15" s="146">
        <v>1.9917308409106871E-9</v>
      </c>
      <c r="AL15" s="147">
        <v>2.6493851444992198E-12</v>
      </c>
      <c r="AM15" s="181"/>
    </row>
    <row r="16" spans="1:39" ht="15" x14ac:dyDescent="0.2">
      <c r="A16" s="142" t="s">
        <v>1218</v>
      </c>
      <c r="B16" s="143" t="s">
        <v>1218</v>
      </c>
      <c r="C16" s="143" t="s">
        <v>3087</v>
      </c>
      <c r="D16" s="143" t="s">
        <v>3088</v>
      </c>
      <c r="E16" s="143" t="s">
        <v>309</v>
      </c>
      <c r="F16" s="143" t="s">
        <v>3089</v>
      </c>
      <c r="G16" s="143" t="s">
        <v>3090</v>
      </c>
      <c r="H16" s="143" t="s">
        <v>321</v>
      </c>
      <c r="I16" s="143" t="s">
        <v>755</v>
      </c>
      <c r="J16" s="143" t="s">
        <v>204</v>
      </c>
      <c r="K16" s="143" t="s">
        <v>204</v>
      </c>
      <c r="L16" s="143" t="s">
        <v>314</v>
      </c>
      <c r="M16" s="143" t="s">
        <v>451</v>
      </c>
      <c r="N16" s="143" t="s">
        <v>339</v>
      </c>
      <c r="O16" s="143" t="s">
        <v>3091</v>
      </c>
      <c r="P16" s="143" t="s">
        <v>1530</v>
      </c>
      <c r="Q16" s="143" t="s">
        <v>415</v>
      </c>
      <c r="R16" s="143" t="s">
        <v>407</v>
      </c>
      <c r="S16" s="143" t="s">
        <v>1211</v>
      </c>
      <c r="T16" s="144">
        <v>1.45</v>
      </c>
      <c r="U16" s="143" t="s">
        <v>3092</v>
      </c>
      <c r="V16" s="146">
        <v>6.4600000000000005E-2</v>
      </c>
      <c r="W16" s="146">
        <v>7.9699999999999993E-2</v>
      </c>
      <c r="X16" s="143" t="s">
        <v>412</v>
      </c>
      <c r="Y16" s="145" t="s">
        <v>3853</v>
      </c>
      <c r="Z16" s="143" t="s">
        <v>886</v>
      </c>
      <c r="AA16" s="143" t="s">
        <v>889</v>
      </c>
      <c r="AB16" s="160">
        <v>45473</v>
      </c>
      <c r="AC16" s="161">
        <v>45473</v>
      </c>
      <c r="AD16" s="144">
        <v>108845.29</v>
      </c>
      <c r="AE16" s="143" t="s">
        <v>1212</v>
      </c>
      <c r="AF16" s="143" t="s">
        <v>3093</v>
      </c>
      <c r="AG16" s="144">
        <v>434.76220000000001</v>
      </c>
      <c r="AH16" s="145" t="s">
        <v>3853</v>
      </c>
      <c r="AI16" s="145" t="s">
        <v>3853</v>
      </c>
      <c r="AJ16" s="145" t="s">
        <v>3853</v>
      </c>
      <c r="AK16" s="146">
        <v>4.3543832304280411E-2</v>
      </c>
      <c r="AL16" s="147">
        <v>5.7921672985079268E-5</v>
      </c>
      <c r="AM16" s="181"/>
    </row>
    <row r="17" spans="1:39" ht="15" x14ac:dyDescent="0.2">
      <c r="A17" s="154" t="s">
        <v>1205</v>
      </c>
      <c r="B17" s="155" t="s">
        <v>1206</v>
      </c>
      <c r="C17" s="145" t="s">
        <v>3853</v>
      </c>
      <c r="D17" s="145" t="s">
        <v>3853</v>
      </c>
      <c r="E17" s="145" t="s">
        <v>3853</v>
      </c>
      <c r="F17" s="145" t="s">
        <v>3853</v>
      </c>
      <c r="G17" s="145" t="s">
        <v>3853</v>
      </c>
      <c r="H17" s="145" t="s">
        <v>3853</v>
      </c>
      <c r="I17" s="145" t="s">
        <v>3853</v>
      </c>
      <c r="J17" s="145" t="s">
        <v>3853</v>
      </c>
      <c r="K17" s="145" t="s">
        <v>3853</v>
      </c>
      <c r="L17" s="145" t="s">
        <v>3853</v>
      </c>
      <c r="M17" s="145" t="s">
        <v>3853</v>
      </c>
      <c r="N17" s="145" t="s">
        <v>3853</v>
      </c>
      <c r="O17" s="145" t="s">
        <v>3853</v>
      </c>
      <c r="P17" s="145" t="s">
        <v>3853</v>
      </c>
      <c r="Q17" s="145" t="s">
        <v>3853</v>
      </c>
      <c r="R17" s="145" t="s">
        <v>3853</v>
      </c>
      <c r="S17" s="145" t="s">
        <v>3853</v>
      </c>
      <c r="T17" s="145" t="s">
        <v>3853</v>
      </c>
      <c r="U17" s="145" t="s">
        <v>3853</v>
      </c>
      <c r="V17" s="145" t="s">
        <v>3853</v>
      </c>
      <c r="W17" s="145" t="s">
        <v>3853</v>
      </c>
      <c r="X17" s="145" t="s">
        <v>3853</v>
      </c>
      <c r="Y17" s="145" t="s">
        <v>3853</v>
      </c>
      <c r="Z17" s="145" t="s">
        <v>3853</v>
      </c>
      <c r="AA17" s="145" t="s">
        <v>3853</v>
      </c>
      <c r="AB17" s="145" t="s">
        <v>3853</v>
      </c>
      <c r="AC17" s="145" t="s">
        <v>3853</v>
      </c>
      <c r="AD17" s="145" t="s">
        <v>3853</v>
      </c>
      <c r="AE17" s="145" t="s">
        <v>3853</v>
      </c>
      <c r="AF17" s="145" t="s">
        <v>3853</v>
      </c>
      <c r="AG17" s="145" t="s">
        <v>3853</v>
      </c>
      <c r="AH17" s="145" t="s">
        <v>3853</v>
      </c>
      <c r="AI17" s="145" t="s">
        <v>3853</v>
      </c>
      <c r="AJ17" s="145" t="s">
        <v>3853</v>
      </c>
      <c r="AK17" s="145" t="s">
        <v>3853</v>
      </c>
      <c r="AL17" s="156" t="s">
        <v>3853</v>
      </c>
      <c r="AM17" s="181"/>
    </row>
    <row r="18" spans="1:39" ht="15" x14ac:dyDescent="0.2">
      <c r="A18" s="157" t="s">
        <v>1218</v>
      </c>
      <c r="B18" s="158" t="s">
        <v>1219</v>
      </c>
      <c r="C18" s="151" t="s">
        <v>3853</v>
      </c>
      <c r="D18" s="151" t="s">
        <v>3853</v>
      </c>
      <c r="E18" s="151" t="s">
        <v>3853</v>
      </c>
      <c r="F18" s="151" t="s">
        <v>3853</v>
      </c>
      <c r="G18" s="151" t="s">
        <v>3853</v>
      </c>
      <c r="H18" s="151" t="s">
        <v>3853</v>
      </c>
      <c r="I18" s="151" t="s">
        <v>3853</v>
      </c>
      <c r="J18" s="151" t="s">
        <v>3853</v>
      </c>
      <c r="K18" s="151" t="s">
        <v>3853</v>
      </c>
      <c r="L18" s="151" t="s">
        <v>3853</v>
      </c>
      <c r="M18" s="151" t="s">
        <v>3853</v>
      </c>
      <c r="N18" s="151" t="s">
        <v>3853</v>
      </c>
      <c r="O18" s="151" t="s">
        <v>3853</v>
      </c>
      <c r="P18" s="151" t="s">
        <v>3853</v>
      </c>
      <c r="Q18" s="151" t="s">
        <v>3853</v>
      </c>
      <c r="R18" s="151" t="s">
        <v>3853</v>
      </c>
      <c r="S18" s="151" t="s">
        <v>3853</v>
      </c>
      <c r="T18" s="151" t="s">
        <v>3853</v>
      </c>
      <c r="U18" s="151" t="s">
        <v>3853</v>
      </c>
      <c r="V18" s="151" t="s">
        <v>3853</v>
      </c>
      <c r="W18" s="151" t="s">
        <v>3853</v>
      </c>
      <c r="X18" s="151" t="s">
        <v>3853</v>
      </c>
      <c r="Y18" s="151" t="s">
        <v>3853</v>
      </c>
      <c r="Z18" s="151" t="s">
        <v>3853</v>
      </c>
      <c r="AA18" s="151" t="s">
        <v>3853</v>
      </c>
      <c r="AB18" s="151" t="s">
        <v>3853</v>
      </c>
      <c r="AC18" s="151" t="s">
        <v>3853</v>
      </c>
      <c r="AD18" s="151" t="s">
        <v>3853</v>
      </c>
      <c r="AE18" s="151" t="s">
        <v>3853</v>
      </c>
      <c r="AF18" s="151" t="s">
        <v>3853</v>
      </c>
      <c r="AG18" s="151" t="s">
        <v>3853</v>
      </c>
      <c r="AH18" s="151" t="s">
        <v>3853</v>
      </c>
      <c r="AI18" s="151" t="s">
        <v>3853</v>
      </c>
      <c r="AJ18" s="151" t="s">
        <v>3853</v>
      </c>
      <c r="AK18" s="151" t="s">
        <v>3853</v>
      </c>
      <c r="AL18" s="159" t="s">
        <v>3853</v>
      </c>
      <c r="AM18" s="181"/>
    </row>
    <row r="19" spans="1:39" x14ac:dyDescent="0.2">
      <c r="A19" s="185" t="s">
        <v>3870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</row>
    <row r="20" spans="1:39" x14ac:dyDescent="0.2">
      <c r="A20" s="99" t="s">
        <v>3869</v>
      </c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99"/>
      <c r="S20" s="16"/>
      <c r="T20" s="99"/>
      <c r="U20" s="99"/>
      <c r="V20" s="99"/>
      <c r="W20"/>
      <c r="X20" s="16"/>
      <c r="Y20" s="16"/>
      <c r="Z20" s="99"/>
      <c r="AA20" s="99"/>
      <c r="AB20" s="98"/>
      <c r="AC20" s="99"/>
      <c r="AD20" s="99"/>
      <c r="AE20" s="99"/>
      <c r="AF20" s="99"/>
      <c r="AG20" s="99"/>
      <c r="AH20" s="99"/>
      <c r="AI20" s="99"/>
      <c r="AJ20" s="99"/>
    </row>
    <row r="21" spans="1:39" x14ac:dyDescent="0.2">
      <c r="A21" s="101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9"/>
      <c r="O21" s="98"/>
      <c r="P21" s="98"/>
      <c r="Q21" s="99"/>
      <c r="R21" s="99"/>
      <c r="S21" s="98"/>
      <c r="T21" s="98"/>
      <c r="U21" s="98"/>
      <c r="V21" s="98"/>
      <c r="W21"/>
      <c r="X21" s="16"/>
      <c r="Y21" s="16"/>
      <c r="Z21" s="98"/>
      <c r="AA21" s="99"/>
      <c r="AB21" s="98"/>
      <c r="AC21" s="98"/>
      <c r="AD21" s="98"/>
      <c r="AE21" s="98"/>
      <c r="AF21" s="98"/>
      <c r="AG21" s="98"/>
      <c r="AH21" s="98"/>
      <c r="AI21" s="98"/>
      <c r="AJ21" s="99"/>
    </row>
    <row r="22" spans="1:39" customFormat="1" x14ac:dyDescent="0.2">
      <c r="L22" s="98"/>
      <c r="X22" s="4"/>
    </row>
    <row r="23" spans="1:39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</row>
    <row r="24" spans="1:39" x14ac:dyDescent="0.2">
      <c r="A24" s="98"/>
      <c r="B24" s="98"/>
      <c r="C24" s="98"/>
      <c r="D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</row>
    <row r="25" spans="1:39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</row>
    <row r="26" spans="1:39" x14ac:dyDescent="0.2">
      <c r="A26" s="98"/>
      <c r="B26" s="98"/>
      <c r="C26" s="98"/>
      <c r="D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5">
    <dataValidation type="list" allowBlank="1" showInputMessage="1" showErrorMessage="1" sqref="J3:J16 J20:J21">
      <formula1>israel_abroad</formula1>
    </dataValidation>
    <dataValidation type="list" allowBlank="1" showInputMessage="1" showErrorMessage="1" sqref="N3:N16 N20:N21">
      <formula1>Holding_interest</formula1>
    </dataValidation>
    <dataValidation type="list" allowBlank="1" showInputMessage="1" showErrorMessage="1" sqref="K3:K16 K20:K21">
      <formula1>Country_list</formula1>
    </dataValidation>
    <dataValidation type="list" allowBlank="1" showInputMessage="1" showErrorMessage="1" sqref="E4:E16 E20:E21">
      <formula1>Issuer_Number_Type_2</formula1>
    </dataValidation>
    <dataValidation type="list" allowBlank="1" showInputMessage="1" showErrorMessage="1" sqref="Q3:Q16 Q20:Q21">
      <formula1>Rating_Agency</formula1>
    </dataValidation>
    <dataValidation type="list" allowBlank="1" showInputMessage="1" showErrorMessage="1" sqref="P5 R3:R16 R20:R21">
      <formula1>What_is_rated</formula1>
    </dataValidation>
    <dataValidation type="list" allowBlank="1" showInputMessage="1" showErrorMessage="1" sqref="V5 X3:X16 X20:X21">
      <formula1>Subordination_Risk</formula1>
    </dataValidation>
    <dataValidation type="list" allowBlank="1" showInputMessage="1" showErrorMessage="1" sqref="Z3:Z16 Z20">
      <formula1>Valuation</formula1>
    </dataValidation>
    <dataValidation type="list" allowBlank="1" showInputMessage="1" showErrorMessage="1" sqref="AA3:AA16 AA20:AA21">
      <formula1>Dependence_Independence</formula1>
    </dataValidation>
    <dataValidation type="list" allowBlank="1" showInputMessage="1" showErrorMessage="1" sqref="Y20:Y21">
      <formula1>Yes_No_Bad_Debt</formula1>
    </dataValidation>
    <dataValidation type="list" allowBlank="1" showInputMessage="1" showErrorMessage="1" sqref="H3:H16 H2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20:AJ21">
      <formula1>In_the_books</formula1>
    </dataValidation>
    <dataValidation type="list" allowBlank="1" showInputMessage="1" showErrorMessage="1" sqref="M3:M7 M10:M16 M20:M21">
      <formula1>Industry_Sector</formula1>
    </dataValidation>
    <dataValidation type="list" allowBlank="1" showInputMessage="1" showErrorMessage="1" sqref="L3:L16 L20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I3:I16 I20:I21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59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3.625" style="2" bestFit="1" customWidth="1"/>
    <col min="4" max="4" width="11.25" style="2" customWidth="1"/>
    <col min="5" max="5" width="18.125" style="4" customWidth="1"/>
    <col min="6" max="6" width="47.125" style="2" bestFit="1" customWidth="1"/>
    <col min="7" max="7" width="12.75" style="2" customWidth="1"/>
    <col min="8" max="8" width="15.5" style="2" customWidth="1"/>
    <col min="9" max="9" width="1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38.375" style="2" bestFit="1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0.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3890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83</v>
      </c>
      <c r="N2" s="140" t="s">
        <v>56</v>
      </c>
      <c r="O2" s="140" t="s">
        <v>97</v>
      </c>
      <c r="P2" s="140" t="s">
        <v>59</v>
      </c>
      <c r="Q2" s="140" t="s">
        <v>103</v>
      </c>
      <c r="R2" s="140" t="s">
        <v>104</v>
      </c>
      <c r="S2" s="140" t="s">
        <v>106</v>
      </c>
      <c r="T2" s="140" t="s">
        <v>107</v>
      </c>
      <c r="U2" s="140" t="s">
        <v>76</v>
      </c>
      <c r="V2" s="140" t="s">
        <v>61</v>
      </c>
      <c r="W2" s="140" t="s">
        <v>77</v>
      </c>
      <c r="X2" s="140" t="s">
        <v>63</v>
      </c>
      <c r="Y2" s="140" t="s">
        <v>64</v>
      </c>
      <c r="Z2" s="141" t="s">
        <v>65</v>
      </c>
      <c r="AA2" s="181" t="s">
        <v>3871</v>
      </c>
    </row>
    <row r="3" spans="1:27" ht="15" x14ac:dyDescent="0.2">
      <c r="A3" s="142" t="s">
        <v>1205</v>
      </c>
      <c r="B3" s="143" t="s">
        <v>1205</v>
      </c>
      <c r="C3" s="143" t="s">
        <v>3094</v>
      </c>
      <c r="D3" s="143" t="s">
        <v>3095</v>
      </c>
      <c r="E3" s="143" t="s">
        <v>309</v>
      </c>
      <c r="F3" s="143" t="s">
        <v>3096</v>
      </c>
      <c r="G3" s="143" t="s">
        <v>3097</v>
      </c>
      <c r="H3" s="143" t="s">
        <v>321</v>
      </c>
      <c r="I3" s="143" t="s">
        <v>765</v>
      </c>
      <c r="J3" s="143" t="s">
        <v>204</v>
      </c>
      <c r="K3" s="143" t="s">
        <v>204</v>
      </c>
      <c r="L3" s="143" t="s">
        <v>314</v>
      </c>
      <c r="M3" s="143" t="s">
        <v>483</v>
      </c>
      <c r="N3" s="143" t="s">
        <v>339</v>
      </c>
      <c r="O3" s="143" t="s">
        <v>3077</v>
      </c>
      <c r="P3" s="143" t="s">
        <v>1210</v>
      </c>
      <c r="Q3" s="143" t="s">
        <v>884</v>
      </c>
      <c r="R3" s="143" t="s">
        <v>888</v>
      </c>
      <c r="S3" s="161">
        <v>40291</v>
      </c>
      <c r="T3" s="161">
        <v>40291</v>
      </c>
      <c r="U3" s="144">
        <v>750</v>
      </c>
      <c r="V3" s="145" t="s">
        <v>3853</v>
      </c>
      <c r="W3" s="145" t="s">
        <v>3853</v>
      </c>
      <c r="X3" s="144">
        <v>0</v>
      </c>
      <c r="Y3" s="145" t="s">
        <v>3853</v>
      </c>
      <c r="Z3" s="156" t="s">
        <v>3853</v>
      </c>
      <c r="AA3" s="181"/>
    </row>
    <row r="4" spans="1:27" ht="15" x14ac:dyDescent="0.2">
      <c r="A4" s="142" t="s">
        <v>1205</v>
      </c>
      <c r="B4" s="143" t="s">
        <v>1205</v>
      </c>
      <c r="C4" s="143" t="s">
        <v>3098</v>
      </c>
      <c r="D4" s="143" t="s">
        <v>3099</v>
      </c>
      <c r="E4" s="143" t="s">
        <v>309</v>
      </c>
      <c r="F4" s="143" t="s">
        <v>3100</v>
      </c>
      <c r="G4" s="143" t="s">
        <v>3101</v>
      </c>
      <c r="H4" s="143" t="s">
        <v>312</v>
      </c>
      <c r="I4" s="143" t="s">
        <v>765</v>
      </c>
      <c r="J4" s="143" t="s">
        <v>204</v>
      </c>
      <c r="K4" s="143" t="s">
        <v>204</v>
      </c>
      <c r="L4" s="143" t="s">
        <v>314</v>
      </c>
      <c r="M4" s="143" t="s">
        <v>463</v>
      </c>
      <c r="N4" s="143" t="s">
        <v>339</v>
      </c>
      <c r="O4" s="143" t="s">
        <v>3102</v>
      </c>
      <c r="P4" s="143" t="s">
        <v>1210</v>
      </c>
      <c r="Q4" s="143" t="s">
        <v>885</v>
      </c>
      <c r="R4" s="143" t="s">
        <v>889</v>
      </c>
      <c r="S4" s="161">
        <v>45382</v>
      </c>
      <c r="T4" s="161">
        <v>45382</v>
      </c>
      <c r="U4" s="144">
        <v>2702309</v>
      </c>
      <c r="V4" s="145" t="s">
        <v>3853</v>
      </c>
      <c r="W4" s="143" t="s">
        <v>3103</v>
      </c>
      <c r="X4" s="144">
        <v>8473.7303000000011</v>
      </c>
      <c r="Y4" s="146">
        <v>0.3045812186319673</v>
      </c>
      <c r="Z4" s="147">
        <v>1.2794475662849593E-2</v>
      </c>
      <c r="AA4" s="181"/>
    </row>
    <row r="5" spans="1:27" ht="15" x14ac:dyDescent="0.2">
      <c r="A5" s="142" t="s">
        <v>1205</v>
      </c>
      <c r="B5" s="143" t="s">
        <v>1205</v>
      </c>
      <c r="C5" s="143" t="s">
        <v>3104</v>
      </c>
      <c r="D5" s="143" t="s">
        <v>3105</v>
      </c>
      <c r="E5" s="143" t="s">
        <v>309</v>
      </c>
      <c r="F5" s="143" t="s">
        <v>3104</v>
      </c>
      <c r="G5" s="143" t="s">
        <v>3106</v>
      </c>
      <c r="H5" s="143" t="s">
        <v>312</v>
      </c>
      <c r="I5" s="143" t="s">
        <v>765</v>
      </c>
      <c r="J5" s="143" t="s">
        <v>204</v>
      </c>
      <c r="K5" s="143" t="s">
        <v>204</v>
      </c>
      <c r="L5" s="143" t="s">
        <v>314</v>
      </c>
      <c r="M5" s="143" t="s">
        <v>485</v>
      </c>
      <c r="N5" s="143" t="s">
        <v>339</v>
      </c>
      <c r="O5" s="143" t="s">
        <v>3107</v>
      </c>
      <c r="P5" s="143" t="s">
        <v>1210</v>
      </c>
      <c r="Q5" s="143" t="s">
        <v>885</v>
      </c>
      <c r="R5" s="143" t="s">
        <v>889</v>
      </c>
      <c r="S5" s="161">
        <v>45473</v>
      </c>
      <c r="T5" s="161">
        <v>45473</v>
      </c>
      <c r="U5" s="144">
        <v>5542646</v>
      </c>
      <c r="V5" s="145" t="s">
        <v>3853</v>
      </c>
      <c r="W5" s="143" t="s">
        <v>3108</v>
      </c>
      <c r="X5" s="144">
        <v>6766.8834999999999</v>
      </c>
      <c r="Y5" s="146">
        <v>0.24323002255194751</v>
      </c>
      <c r="Z5" s="147">
        <v>1.0217309583279178E-2</v>
      </c>
      <c r="AA5" s="181"/>
    </row>
    <row r="6" spans="1:27" x14ac:dyDescent="0.2">
      <c r="A6" s="142" t="s">
        <v>1205</v>
      </c>
      <c r="B6" s="143" t="s">
        <v>1205</v>
      </c>
      <c r="C6" s="143" t="s">
        <v>3109</v>
      </c>
      <c r="D6" s="143" t="s">
        <v>3110</v>
      </c>
      <c r="E6" s="143" t="s">
        <v>309</v>
      </c>
      <c r="F6" s="143" t="s">
        <v>3111</v>
      </c>
      <c r="G6" s="143" t="s">
        <v>3112</v>
      </c>
      <c r="H6" s="143" t="s">
        <v>312</v>
      </c>
      <c r="I6" s="143" t="s">
        <v>765</v>
      </c>
      <c r="J6" s="143" t="s">
        <v>204</v>
      </c>
      <c r="K6" s="143" t="s">
        <v>204</v>
      </c>
      <c r="L6" s="143" t="s">
        <v>314</v>
      </c>
      <c r="M6" s="143" t="s">
        <v>455</v>
      </c>
      <c r="N6" s="143" t="s">
        <v>339</v>
      </c>
      <c r="O6" s="143" t="s">
        <v>3113</v>
      </c>
      <c r="P6" s="143" t="s">
        <v>1211</v>
      </c>
      <c r="Q6" s="143" t="s">
        <v>884</v>
      </c>
      <c r="R6" s="143" t="s">
        <v>888</v>
      </c>
      <c r="S6" s="161">
        <v>45439</v>
      </c>
      <c r="T6" s="161">
        <v>45439</v>
      </c>
      <c r="U6" s="144">
        <v>59115</v>
      </c>
      <c r="V6" s="143" t="s">
        <v>1212</v>
      </c>
      <c r="W6" s="143" t="s">
        <v>3114</v>
      </c>
      <c r="X6" s="144">
        <v>1802.3275000000001</v>
      </c>
      <c r="Y6" s="146">
        <v>6.4783169802815663E-2</v>
      </c>
      <c r="Z6" s="147">
        <v>2.721332238170328E-3</v>
      </c>
      <c r="AA6" s="181"/>
    </row>
    <row r="7" spans="1:27" x14ac:dyDescent="0.2">
      <c r="A7" s="142" t="s">
        <v>1205</v>
      </c>
      <c r="B7" s="143" t="s">
        <v>1205</v>
      </c>
      <c r="C7" s="143" t="s">
        <v>3115</v>
      </c>
      <c r="D7" s="143" t="s">
        <v>3116</v>
      </c>
      <c r="E7" s="143" t="s">
        <v>309</v>
      </c>
      <c r="F7" s="143" t="s">
        <v>3117</v>
      </c>
      <c r="G7" s="143" t="s">
        <v>3118</v>
      </c>
      <c r="H7" s="143" t="s">
        <v>312</v>
      </c>
      <c r="I7" s="143" t="s">
        <v>765</v>
      </c>
      <c r="J7" s="143" t="s">
        <v>204</v>
      </c>
      <c r="K7" s="143" t="s">
        <v>224</v>
      </c>
      <c r="L7" s="143" t="s">
        <v>314</v>
      </c>
      <c r="M7" s="143" t="s">
        <v>472</v>
      </c>
      <c r="N7" s="143" t="s">
        <v>339</v>
      </c>
      <c r="O7" s="143" t="s">
        <v>3119</v>
      </c>
      <c r="P7" s="143" t="s">
        <v>1211</v>
      </c>
      <c r="Q7" s="143" t="s">
        <v>884</v>
      </c>
      <c r="R7" s="143" t="s">
        <v>888</v>
      </c>
      <c r="S7" s="161">
        <v>45291</v>
      </c>
      <c r="T7" s="161">
        <v>45291</v>
      </c>
      <c r="U7" s="144">
        <v>27975</v>
      </c>
      <c r="V7" s="143" t="s">
        <v>1212</v>
      </c>
      <c r="W7" s="143" t="s">
        <v>3120</v>
      </c>
      <c r="X7" s="144">
        <v>872.86419999999998</v>
      </c>
      <c r="Y7" s="146">
        <v>3.1374380313141492E-2</v>
      </c>
      <c r="Z7" s="147">
        <v>1.3179366316690719E-3</v>
      </c>
      <c r="AA7" s="181"/>
    </row>
    <row r="8" spans="1:27" ht="15" x14ac:dyDescent="0.2">
      <c r="A8" s="142" t="s">
        <v>1205</v>
      </c>
      <c r="B8" s="143" t="s">
        <v>1205</v>
      </c>
      <c r="C8" s="143" t="s">
        <v>3098</v>
      </c>
      <c r="D8" s="143" t="s">
        <v>3099</v>
      </c>
      <c r="E8" s="143" t="s">
        <v>309</v>
      </c>
      <c r="F8" s="143" t="s">
        <v>3121</v>
      </c>
      <c r="G8" s="143" t="s">
        <v>3122</v>
      </c>
      <c r="H8" s="143" t="s">
        <v>312</v>
      </c>
      <c r="I8" s="143" t="s">
        <v>765</v>
      </c>
      <c r="J8" s="143" t="s">
        <v>204</v>
      </c>
      <c r="K8" s="143" t="s">
        <v>204</v>
      </c>
      <c r="L8" s="143" t="s">
        <v>314</v>
      </c>
      <c r="M8" s="143" t="s">
        <v>463</v>
      </c>
      <c r="N8" s="143" t="s">
        <v>339</v>
      </c>
      <c r="O8" s="143" t="s">
        <v>3123</v>
      </c>
      <c r="P8" s="143" t="s">
        <v>1210</v>
      </c>
      <c r="Q8" s="143" t="s">
        <v>885</v>
      </c>
      <c r="R8" s="143" t="s">
        <v>889</v>
      </c>
      <c r="S8" s="161">
        <v>45382</v>
      </c>
      <c r="T8" s="161">
        <v>45382</v>
      </c>
      <c r="U8" s="144">
        <v>600690.96</v>
      </c>
      <c r="V8" s="145" t="s">
        <v>3853</v>
      </c>
      <c r="W8" s="143" t="s">
        <v>3124</v>
      </c>
      <c r="X8" s="144">
        <v>796.27650000000006</v>
      </c>
      <c r="Y8" s="146">
        <v>2.8621500687824611E-2</v>
      </c>
      <c r="Z8" s="147">
        <v>1.2022970281272971E-3</v>
      </c>
      <c r="AA8" s="181"/>
    </row>
    <row r="9" spans="1:27" x14ac:dyDescent="0.2">
      <c r="A9" s="142" t="s">
        <v>1205</v>
      </c>
      <c r="B9" s="143" t="s">
        <v>1205</v>
      </c>
      <c r="C9" s="143" t="s">
        <v>3125</v>
      </c>
      <c r="D9" s="143" t="s">
        <v>3126</v>
      </c>
      <c r="E9" s="143" t="s">
        <v>309</v>
      </c>
      <c r="F9" s="143" t="s">
        <v>3127</v>
      </c>
      <c r="G9" s="143" t="s">
        <v>3128</v>
      </c>
      <c r="H9" s="143" t="s">
        <v>312</v>
      </c>
      <c r="I9" s="143" t="s">
        <v>765</v>
      </c>
      <c r="J9" s="143" t="s">
        <v>204</v>
      </c>
      <c r="K9" s="143" t="s">
        <v>224</v>
      </c>
      <c r="L9" s="143" t="s">
        <v>314</v>
      </c>
      <c r="M9" s="143" t="s">
        <v>444</v>
      </c>
      <c r="N9" s="143" t="s">
        <v>339</v>
      </c>
      <c r="O9" s="143" t="s">
        <v>3129</v>
      </c>
      <c r="P9" s="143" t="s">
        <v>1211</v>
      </c>
      <c r="Q9" s="143" t="s">
        <v>884</v>
      </c>
      <c r="R9" s="143" t="s">
        <v>888</v>
      </c>
      <c r="S9" s="161">
        <v>45351</v>
      </c>
      <c r="T9" s="161">
        <v>45351</v>
      </c>
      <c r="U9" s="144">
        <v>208795.65</v>
      </c>
      <c r="V9" s="143" t="s">
        <v>1212</v>
      </c>
      <c r="W9" s="143" t="s">
        <v>1532</v>
      </c>
      <c r="X9" s="144">
        <v>784.86279999999999</v>
      </c>
      <c r="Y9" s="146">
        <v>2.8211245092063075E-2</v>
      </c>
      <c r="Z9" s="147">
        <v>1.1850635123540831E-3</v>
      </c>
      <c r="AA9" s="181"/>
    </row>
    <row r="10" spans="1:27" x14ac:dyDescent="0.2">
      <c r="A10" s="142" t="s">
        <v>1205</v>
      </c>
      <c r="B10" s="143" t="s">
        <v>1205</v>
      </c>
      <c r="C10" s="143" t="s">
        <v>3130</v>
      </c>
      <c r="D10" s="143" t="s">
        <v>3131</v>
      </c>
      <c r="E10" s="143" t="s">
        <v>309</v>
      </c>
      <c r="F10" s="143" t="s">
        <v>3132</v>
      </c>
      <c r="G10" s="143" t="s">
        <v>3133</v>
      </c>
      <c r="H10" s="143" t="s">
        <v>312</v>
      </c>
      <c r="I10" s="143" t="s">
        <v>765</v>
      </c>
      <c r="J10" s="143" t="s">
        <v>204</v>
      </c>
      <c r="K10" s="143" t="s">
        <v>296</v>
      </c>
      <c r="L10" s="143" t="s">
        <v>314</v>
      </c>
      <c r="M10" s="143" t="s">
        <v>449</v>
      </c>
      <c r="N10" s="143" t="s">
        <v>339</v>
      </c>
      <c r="O10" s="143" t="s">
        <v>3134</v>
      </c>
      <c r="P10" s="143" t="s">
        <v>1211</v>
      </c>
      <c r="Q10" s="143" t="s">
        <v>885</v>
      </c>
      <c r="R10" s="143" t="s">
        <v>889</v>
      </c>
      <c r="S10" s="161">
        <v>45351</v>
      </c>
      <c r="T10" s="161">
        <v>45351</v>
      </c>
      <c r="U10" s="144">
        <v>116150</v>
      </c>
      <c r="V10" s="143" t="s">
        <v>1212</v>
      </c>
      <c r="W10" s="143" t="s">
        <v>3135</v>
      </c>
      <c r="X10" s="144">
        <v>761.98719999999992</v>
      </c>
      <c r="Y10" s="146">
        <v>2.7388999955463209E-2</v>
      </c>
      <c r="Z10" s="147">
        <v>1.1505236433615852E-3</v>
      </c>
      <c r="AA10" s="181"/>
    </row>
    <row r="11" spans="1:27" x14ac:dyDescent="0.2">
      <c r="A11" s="142" t="s">
        <v>1205</v>
      </c>
      <c r="B11" s="143" t="s">
        <v>1205</v>
      </c>
      <c r="C11" s="143" t="s">
        <v>3136</v>
      </c>
      <c r="D11" s="143" t="s">
        <v>3137</v>
      </c>
      <c r="E11" s="143" t="s">
        <v>314</v>
      </c>
      <c r="F11" s="143" t="s">
        <v>3138</v>
      </c>
      <c r="G11" s="143" t="s">
        <v>3139</v>
      </c>
      <c r="H11" s="143" t="s">
        <v>312</v>
      </c>
      <c r="I11" s="143" t="s">
        <v>765</v>
      </c>
      <c r="J11" s="143" t="s">
        <v>204</v>
      </c>
      <c r="K11" s="143" t="s">
        <v>204</v>
      </c>
      <c r="L11" s="143" t="s">
        <v>314</v>
      </c>
      <c r="M11" s="143" t="s">
        <v>444</v>
      </c>
      <c r="N11" s="143" t="s">
        <v>339</v>
      </c>
      <c r="O11" s="143" t="s">
        <v>3113</v>
      </c>
      <c r="P11" s="143" t="s">
        <v>1211</v>
      </c>
      <c r="Q11" s="143" t="s">
        <v>884</v>
      </c>
      <c r="R11" s="143" t="s">
        <v>888</v>
      </c>
      <c r="S11" s="161">
        <v>45250</v>
      </c>
      <c r="T11" s="161">
        <v>45250</v>
      </c>
      <c r="U11" s="144">
        <v>265.56</v>
      </c>
      <c r="V11" s="143" t="s">
        <v>1212</v>
      </c>
      <c r="W11" s="143" t="s">
        <v>3140</v>
      </c>
      <c r="X11" s="144">
        <v>358.8673</v>
      </c>
      <c r="Y11" s="146">
        <v>1.2899187697014059E-2</v>
      </c>
      <c r="Z11" s="147">
        <v>5.4185331518879695E-4</v>
      </c>
      <c r="AA11" s="181"/>
    </row>
    <row r="12" spans="1:27" x14ac:dyDescent="0.2">
      <c r="A12" s="142" t="s">
        <v>1205</v>
      </c>
      <c r="B12" s="143" t="s">
        <v>1205</v>
      </c>
      <c r="C12" s="143" t="s">
        <v>3141</v>
      </c>
      <c r="D12" s="143" t="s">
        <v>3142</v>
      </c>
      <c r="E12" s="143" t="s">
        <v>309</v>
      </c>
      <c r="F12" s="143" t="s">
        <v>3143</v>
      </c>
      <c r="G12" s="143" t="s">
        <v>3144</v>
      </c>
      <c r="H12" s="143" t="s">
        <v>312</v>
      </c>
      <c r="I12" s="143" t="s">
        <v>765</v>
      </c>
      <c r="J12" s="143" t="s">
        <v>204</v>
      </c>
      <c r="K12" s="143" t="s">
        <v>204</v>
      </c>
      <c r="L12" s="143" t="s">
        <v>314</v>
      </c>
      <c r="M12" s="143" t="s">
        <v>480</v>
      </c>
      <c r="N12" s="143" t="s">
        <v>339</v>
      </c>
      <c r="O12" s="143" t="s">
        <v>3145</v>
      </c>
      <c r="P12" s="143" t="s">
        <v>1211</v>
      </c>
      <c r="Q12" s="143" t="s">
        <v>884</v>
      </c>
      <c r="R12" s="143" t="s">
        <v>888</v>
      </c>
      <c r="S12" s="161">
        <v>45291</v>
      </c>
      <c r="T12" s="161">
        <v>45291</v>
      </c>
      <c r="U12" s="144">
        <v>100000</v>
      </c>
      <c r="V12" s="143" t="s">
        <v>1212</v>
      </c>
      <c r="W12" s="143" t="s">
        <v>3146</v>
      </c>
      <c r="X12" s="144">
        <v>352.91750000000002</v>
      </c>
      <c r="Y12" s="146">
        <v>1.2685326330857151E-2</v>
      </c>
      <c r="Z12" s="147">
        <v>5.3286968823764022E-4</v>
      </c>
      <c r="AA12" s="181"/>
    </row>
    <row r="13" spans="1:27" x14ac:dyDescent="0.2">
      <c r="A13" s="142" t="s">
        <v>1205</v>
      </c>
      <c r="B13" s="143" t="s">
        <v>1205</v>
      </c>
      <c r="C13" s="143" t="s">
        <v>3136</v>
      </c>
      <c r="D13" s="143" t="s">
        <v>3137</v>
      </c>
      <c r="E13" s="143" t="s">
        <v>314</v>
      </c>
      <c r="F13" s="143" t="s">
        <v>3147</v>
      </c>
      <c r="G13" s="143" t="s">
        <v>3148</v>
      </c>
      <c r="H13" s="143" t="s">
        <v>312</v>
      </c>
      <c r="I13" s="143" t="s">
        <v>765</v>
      </c>
      <c r="J13" s="143" t="s">
        <v>204</v>
      </c>
      <c r="K13" s="143" t="s">
        <v>204</v>
      </c>
      <c r="L13" s="143" t="s">
        <v>314</v>
      </c>
      <c r="M13" s="143" t="s">
        <v>444</v>
      </c>
      <c r="N13" s="143" t="s">
        <v>339</v>
      </c>
      <c r="O13" s="143" t="s">
        <v>3113</v>
      </c>
      <c r="P13" s="143" t="s">
        <v>1211</v>
      </c>
      <c r="Q13" s="143" t="s">
        <v>884</v>
      </c>
      <c r="R13" s="143" t="s">
        <v>888</v>
      </c>
      <c r="S13" s="161">
        <v>45250</v>
      </c>
      <c r="T13" s="161">
        <v>45250</v>
      </c>
      <c r="U13" s="144">
        <v>210.43</v>
      </c>
      <c r="V13" s="143" t="s">
        <v>1212</v>
      </c>
      <c r="W13" s="143" t="s">
        <v>3149</v>
      </c>
      <c r="X13" s="144">
        <v>305.72399999999999</v>
      </c>
      <c r="Y13" s="146">
        <v>1.0988994625967424E-2</v>
      </c>
      <c r="Z13" s="147">
        <v>4.6161225873553801E-4</v>
      </c>
      <c r="AA13" s="181"/>
    </row>
    <row r="14" spans="1:27" x14ac:dyDescent="0.2">
      <c r="A14" s="142" t="s">
        <v>1205</v>
      </c>
      <c r="B14" s="143" t="s">
        <v>1205</v>
      </c>
      <c r="C14" s="143" t="s">
        <v>3130</v>
      </c>
      <c r="D14" s="143" t="s">
        <v>3131</v>
      </c>
      <c r="E14" s="143" t="s">
        <v>309</v>
      </c>
      <c r="F14" s="143" t="s">
        <v>3130</v>
      </c>
      <c r="G14" s="143" t="s">
        <v>3150</v>
      </c>
      <c r="H14" s="143" t="s">
        <v>312</v>
      </c>
      <c r="I14" s="143" t="s">
        <v>765</v>
      </c>
      <c r="J14" s="143" t="s">
        <v>204</v>
      </c>
      <c r="K14" s="143" t="s">
        <v>296</v>
      </c>
      <c r="L14" s="143" t="s">
        <v>314</v>
      </c>
      <c r="M14" s="143" t="s">
        <v>449</v>
      </c>
      <c r="N14" s="143" t="s">
        <v>339</v>
      </c>
      <c r="O14" s="143" t="s">
        <v>3134</v>
      </c>
      <c r="P14" s="143" t="s">
        <v>1211</v>
      </c>
      <c r="Q14" s="143" t="s">
        <v>884</v>
      </c>
      <c r="R14" s="143" t="s">
        <v>888</v>
      </c>
      <c r="S14" s="161">
        <v>45302</v>
      </c>
      <c r="T14" s="161">
        <v>45302</v>
      </c>
      <c r="U14" s="144">
        <v>68400</v>
      </c>
      <c r="V14" s="143" t="s">
        <v>1212</v>
      </c>
      <c r="W14" s="143" t="s">
        <v>3151</v>
      </c>
      <c r="X14" s="144">
        <v>172.26750000000001</v>
      </c>
      <c r="Y14" s="146">
        <v>6.1920108971574199E-3</v>
      </c>
      <c r="Z14" s="147">
        <v>2.6010642771610864E-4</v>
      </c>
      <c r="AA14" s="181"/>
    </row>
    <row r="15" spans="1:27" ht="15" x14ac:dyDescent="0.2">
      <c r="A15" s="142" t="s">
        <v>1205</v>
      </c>
      <c r="B15" s="143" t="s">
        <v>1205</v>
      </c>
      <c r="C15" s="143" t="s">
        <v>2248</v>
      </c>
      <c r="D15" s="143" t="s">
        <v>2249</v>
      </c>
      <c r="E15" s="143" t="s">
        <v>309</v>
      </c>
      <c r="F15" s="143" t="s">
        <v>3152</v>
      </c>
      <c r="G15" s="143" t="s">
        <v>3153</v>
      </c>
      <c r="H15" s="143" t="s">
        <v>312</v>
      </c>
      <c r="I15" s="143" t="s">
        <v>765</v>
      </c>
      <c r="J15" s="143" t="s">
        <v>204</v>
      </c>
      <c r="K15" s="143" t="s">
        <v>204</v>
      </c>
      <c r="L15" s="143" t="s">
        <v>314</v>
      </c>
      <c r="M15" s="143" t="s">
        <v>451</v>
      </c>
      <c r="N15" s="143" t="s">
        <v>339</v>
      </c>
      <c r="O15" s="143" t="s">
        <v>3123</v>
      </c>
      <c r="P15" s="143" t="s">
        <v>1210</v>
      </c>
      <c r="Q15" s="143" t="s">
        <v>885</v>
      </c>
      <c r="R15" s="143" t="s">
        <v>889</v>
      </c>
      <c r="S15" s="161">
        <v>45259</v>
      </c>
      <c r="T15" s="161">
        <v>45259</v>
      </c>
      <c r="U15" s="144">
        <v>3375</v>
      </c>
      <c r="V15" s="145" t="s">
        <v>3853</v>
      </c>
      <c r="W15" s="143" t="s">
        <v>3154</v>
      </c>
      <c r="X15" s="144">
        <v>118.79810000000001</v>
      </c>
      <c r="Y15" s="146">
        <v>4.2700987096355942E-3</v>
      </c>
      <c r="Z15" s="147">
        <v>1.7937308893761181E-4</v>
      </c>
      <c r="AA15" s="181"/>
    </row>
    <row r="16" spans="1:27" x14ac:dyDescent="0.2">
      <c r="A16" s="142" t="s">
        <v>1205</v>
      </c>
      <c r="B16" s="143" t="s">
        <v>1205</v>
      </c>
      <c r="C16" s="143" t="s">
        <v>3136</v>
      </c>
      <c r="D16" s="143" t="s">
        <v>3137</v>
      </c>
      <c r="E16" s="143" t="s">
        <v>314</v>
      </c>
      <c r="F16" s="143" t="s">
        <v>3155</v>
      </c>
      <c r="G16" s="143" t="s">
        <v>3156</v>
      </c>
      <c r="H16" s="143" t="s">
        <v>312</v>
      </c>
      <c r="I16" s="143" t="s">
        <v>765</v>
      </c>
      <c r="J16" s="143" t="s">
        <v>204</v>
      </c>
      <c r="K16" s="143" t="s">
        <v>204</v>
      </c>
      <c r="L16" s="143" t="s">
        <v>314</v>
      </c>
      <c r="M16" s="143" t="s">
        <v>444</v>
      </c>
      <c r="N16" s="143" t="s">
        <v>339</v>
      </c>
      <c r="O16" s="143" t="s">
        <v>3157</v>
      </c>
      <c r="P16" s="143" t="s">
        <v>1211</v>
      </c>
      <c r="Q16" s="143" t="s">
        <v>884</v>
      </c>
      <c r="R16" s="143" t="s">
        <v>888</v>
      </c>
      <c r="S16" s="161">
        <v>45250</v>
      </c>
      <c r="T16" s="161">
        <v>45250</v>
      </c>
      <c r="U16" s="144">
        <v>58</v>
      </c>
      <c r="V16" s="143" t="s">
        <v>1212</v>
      </c>
      <c r="W16" s="143" t="s">
        <v>3158</v>
      </c>
      <c r="X16" s="144">
        <v>79.141999999999996</v>
      </c>
      <c r="Y16" s="146">
        <v>2.8446931445568718E-3</v>
      </c>
      <c r="Z16" s="147">
        <v>1.1949639367057151E-4</v>
      </c>
      <c r="AA16" s="181"/>
    </row>
    <row r="17" spans="1:27" ht="15" x14ac:dyDescent="0.2">
      <c r="A17" s="142" t="s">
        <v>1205</v>
      </c>
      <c r="B17" s="143" t="s">
        <v>1205</v>
      </c>
      <c r="C17" s="143" t="s">
        <v>3159</v>
      </c>
      <c r="D17" s="143" t="s">
        <v>3160</v>
      </c>
      <c r="E17" s="143" t="s">
        <v>309</v>
      </c>
      <c r="F17" s="143" t="s">
        <v>3159</v>
      </c>
      <c r="G17" s="143" t="s">
        <v>3161</v>
      </c>
      <c r="H17" s="143" t="s">
        <v>312</v>
      </c>
      <c r="I17" s="143" t="s">
        <v>765</v>
      </c>
      <c r="J17" s="143" t="s">
        <v>204</v>
      </c>
      <c r="K17" s="143" t="s">
        <v>204</v>
      </c>
      <c r="L17" s="143" t="s">
        <v>314</v>
      </c>
      <c r="M17" s="143" t="s">
        <v>447</v>
      </c>
      <c r="N17" s="143" t="s">
        <v>339</v>
      </c>
      <c r="O17" s="143" t="s">
        <v>3162</v>
      </c>
      <c r="P17" s="143" t="s">
        <v>1210</v>
      </c>
      <c r="Q17" s="143" t="s">
        <v>887</v>
      </c>
      <c r="R17" s="143" t="s">
        <v>889</v>
      </c>
      <c r="S17" s="161">
        <v>45473</v>
      </c>
      <c r="T17" s="161">
        <v>45473</v>
      </c>
      <c r="U17" s="144">
        <v>462000</v>
      </c>
      <c r="V17" s="145" t="s">
        <v>3853</v>
      </c>
      <c r="W17" s="143" t="s">
        <v>3163</v>
      </c>
      <c r="X17" s="144">
        <v>23.1</v>
      </c>
      <c r="Y17" s="146">
        <v>8.303103695080856E-4</v>
      </c>
      <c r="Z17" s="147">
        <v>3.4878663441554292E-5</v>
      </c>
      <c r="AA17" s="181"/>
    </row>
    <row r="18" spans="1:27" x14ac:dyDescent="0.2">
      <c r="A18" s="142" t="s">
        <v>1205</v>
      </c>
      <c r="B18" s="143" t="s">
        <v>1205</v>
      </c>
      <c r="C18" s="143" t="s">
        <v>3164</v>
      </c>
      <c r="D18" s="143" t="s">
        <v>3165</v>
      </c>
      <c r="E18" s="143" t="s">
        <v>309</v>
      </c>
      <c r="F18" s="143" t="s">
        <v>3166</v>
      </c>
      <c r="G18" s="143" t="s">
        <v>3167</v>
      </c>
      <c r="H18" s="143" t="s">
        <v>312</v>
      </c>
      <c r="I18" s="143" t="s">
        <v>765</v>
      </c>
      <c r="J18" s="143" t="s">
        <v>204</v>
      </c>
      <c r="K18" s="143" t="s">
        <v>204</v>
      </c>
      <c r="L18" s="143" t="s">
        <v>314</v>
      </c>
      <c r="M18" s="143" t="s">
        <v>449</v>
      </c>
      <c r="N18" s="143" t="s">
        <v>339</v>
      </c>
      <c r="O18" s="143" t="s">
        <v>3168</v>
      </c>
      <c r="P18" s="143" t="s">
        <v>1211</v>
      </c>
      <c r="Q18" s="143" t="s">
        <v>887</v>
      </c>
      <c r="R18" s="143" t="s">
        <v>889</v>
      </c>
      <c r="S18" s="161">
        <v>45396</v>
      </c>
      <c r="T18" s="161">
        <v>45396</v>
      </c>
      <c r="U18" s="144">
        <v>100234</v>
      </c>
      <c r="V18" s="143" t="s">
        <v>1212</v>
      </c>
      <c r="W18" s="143" t="s">
        <v>3169</v>
      </c>
      <c r="X18" s="144">
        <v>16.577900000000003</v>
      </c>
      <c r="Y18" s="146">
        <v>5.9587981674237404E-4</v>
      </c>
      <c r="Z18" s="147">
        <v>2.5030991232935484E-5</v>
      </c>
      <c r="AA18" s="181"/>
    </row>
    <row r="19" spans="1:27" x14ac:dyDescent="0.2">
      <c r="A19" s="142" t="s">
        <v>1205</v>
      </c>
      <c r="B19" s="143" t="s">
        <v>1205</v>
      </c>
      <c r="C19" s="143" t="s">
        <v>3170</v>
      </c>
      <c r="D19" s="143" t="s">
        <v>3171</v>
      </c>
      <c r="E19" s="143" t="s">
        <v>309</v>
      </c>
      <c r="F19" s="143" t="s">
        <v>3172</v>
      </c>
      <c r="G19" s="143" t="s">
        <v>3173</v>
      </c>
      <c r="H19" s="143" t="s">
        <v>312</v>
      </c>
      <c r="I19" s="143" t="s">
        <v>765</v>
      </c>
      <c r="J19" s="143" t="s">
        <v>204</v>
      </c>
      <c r="K19" s="143" t="s">
        <v>224</v>
      </c>
      <c r="L19" s="143" t="s">
        <v>314</v>
      </c>
      <c r="M19" s="143" t="s">
        <v>546</v>
      </c>
      <c r="N19" s="143" t="s">
        <v>339</v>
      </c>
      <c r="O19" s="143" t="s">
        <v>3119</v>
      </c>
      <c r="P19" s="143" t="s">
        <v>1211</v>
      </c>
      <c r="Q19" s="143" t="s">
        <v>884</v>
      </c>
      <c r="R19" s="143" t="s">
        <v>888</v>
      </c>
      <c r="S19" s="161">
        <v>45235</v>
      </c>
      <c r="T19" s="161">
        <v>45235</v>
      </c>
      <c r="U19" s="144">
        <v>100000</v>
      </c>
      <c r="V19" s="143" t="s">
        <v>1212</v>
      </c>
      <c r="W19" s="143" t="s">
        <v>3055</v>
      </c>
      <c r="X19" s="144">
        <v>3.7600000000000001E-2</v>
      </c>
      <c r="Y19" s="146">
        <v>1.3511414194722485E-6</v>
      </c>
      <c r="Z19" s="147">
        <v>5.6757097782165627E-8</v>
      </c>
      <c r="AA19" s="181"/>
    </row>
    <row r="20" spans="1:27" ht="15" x14ac:dyDescent="0.2">
      <c r="A20" s="142" t="s">
        <v>1205</v>
      </c>
      <c r="B20" s="143" t="s">
        <v>1205</v>
      </c>
      <c r="C20" s="143" t="s">
        <v>3109</v>
      </c>
      <c r="D20" s="143" t="s">
        <v>3110</v>
      </c>
      <c r="E20" s="143" t="s">
        <v>309</v>
      </c>
      <c r="F20" s="143" t="s">
        <v>3174</v>
      </c>
      <c r="G20" s="143" t="s">
        <v>3175</v>
      </c>
      <c r="H20" s="143" t="s">
        <v>312</v>
      </c>
      <c r="I20" s="143" t="s">
        <v>765</v>
      </c>
      <c r="J20" s="143" t="s">
        <v>204</v>
      </c>
      <c r="K20" s="143" t="s">
        <v>204</v>
      </c>
      <c r="L20" s="143" t="s">
        <v>314</v>
      </c>
      <c r="M20" s="143" t="s">
        <v>455</v>
      </c>
      <c r="N20" s="143" t="s">
        <v>339</v>
      </c>
      <c r="O20" s="143" t="s">
        <v>3113</v>
      </c>
      <c r="P20" s="143" t="s">
        <v>1211</v>
      </c>
      <c r="Q20" s="143" t="s">
        <v>884</v>
      </c>
      <c r="R20" s="143" t="s">
        <v>888</v>
      </c>
      <c r="S20" s="161">
        <v>45137</v>
      </c>
      <c r="T20" s="161">
        <v>45137</v>
      </c>
      <c r="U20" s="144">
        <v>59115</v>
      </c>
      <c r="V20" s="143" t="s">
        <v>1212</v>
      </c>
      <c r="W20" s="145" t="s">
        <v>3853</v>
      </c>
      <c r="X20" s="144">
        <v>2.0000000000000001E-4</v>
      </c>
      <c r="Y20" s="146">
        <v>7.9872725012101965E-9</v>
      </c>
      <c r="Z20" s="147">
        <v>3.355195835392721E-10</v>
      </c>
      <c r="AA20" s="181"/>
    </row>
    <row r="21" spans="1:27" ht="15" x14ac:dyDescent="0.2">
      <c r="A21" s="142" t="s">
        <v>1205</v>
      </c>
      <c r="B21" s="143" t="s">
        <v>1205</v>
      </c>
      <c r="C21" s="143" t="s">
        <v>3176</v>
      </c>
      <c r="D21" s="143" t="s">
        <v>3177</v>
      </c>
      <c r="E21" s="143" t="s">
        <v>309</v>
      </c>
      <c r="F21" s="143" t="s">
        <v>3178</v>
      </c>
      <c r="G21" s="143" t="s">
        <v>3179</v>
      </c>
      <c r="H21" s="143" t="s">
        <v>312</v>
      </c>
      <c r="I21" s="143" t="s">
        <v>765</v>
      </c>
      <c r="J21" s="143" t="s">
        <v>204</v>
      </c>
      <c r="K21" s="143" t="s">
        <v>204</v>
      </c>
      <c r="L21" s="143" t="s">
        <v>314</v>
      </c>
      <c r="M21" s="143" t="s">
        <v>455</v>
      </c>
      <c r="N21" s="143" t="s">
        <v>339</v>
      </c>
      <c r="O21" s="143" t="s">
        <v>3123</v>
      </c>
      <c r="P21" s="143" t="s">
        <v>1210</v>
      </c>
      <c r="Q21" s="143" t="s">
        <v>885</v>
      </c>
      <c r="R21" s="143" t="s">
        <v>889</v>
      </c>
      <c r="S21" s="160">
        <v>45123</v>
      </c>
      <c r="T21" s="160">
        <v>45123</v>
      </c>
      <c r="U21" s="144">
        <v>404632.58</v>
      </c>
      <c r="V21" s="145" t="s">
        <v>3853</v>
      </c>
      <c r="W21" s="145" t="s">
        <v>3853</v>
      </c>
      <c r="X21" s="144">
        <v>0</v>
      </c>
      <c r="Y21" s="146">
        <v>1.4544182987654113E-9</v>
      </c>
      <c r="Z21" s="147">
        <v>6.1095426732934171E-11</v>
      </c>
      <c r="AA21" s="181"/>
    </row>
    <row r="22" spans="1:27" customFormat="1" ht="15" x14ac:dyDescent="0.2">
      <c r="A22" s="142" t="s">
        <v>1205</v>
      </c>
      <c r="B22" s="143" t="s">
        <v>1205</v>
      </c>
      <c r="C22" s="143" t="s">
        <v>3180</v>
      </c>
      <c r="D22" s="143" t="s">
        <v>3181</v>
      </c>
      <c r="E22" s="143" t="s">
        <v>314</v>
      </c>
      <c r="F22" s="143" t="s">
        <v>3182</v>
      </c>
      <c r="G22" s="143" t="s">
        <v>3183</v>
      </c>
      <c r="H22" s="143" t="s">
        <v>312</v>
      </c>
      <c r="I22" s="143" t="s">
        <v>765</v>
      </c>
      <c r="J22" s="143" t="s">
        <v>204</v>
      </c>
      <c r="K22" s="143" t="s">
        <v>204</v>
      </c>
      <c r="L22" s="143" t="s">
        <v>314</v>
      </c>
      <c r="M22" s="143" t="s">
        <v>455</v>
      </c>
      <c r="N22" s="143" t="s">
        <v>339</v>
      </c>
      <c r="O22" s="143" t="s">
        <v>3077</v>
      </c>
      <c r="P22" s="143" t="s">
        <v>1210</v>
      </c>
      <c r="Q22" s="143" t="s">
        <v>884</v>
      </c>
      <c r="R22" s="143" t="s">
        <v>888</v>
      </c>
      <c r="S22" s="162" t="s">
        <v>3855</v>
      </c>
      <c r="T22" s="162" t="s">
        <v>3855</v>
      </c>
      <c r="U22" s="144">
        <v>3097.76</v>
      </c>
      <c r="V22" s="145" t="s">
        <v>3853</v>
      </c>
      <c r="W22" s="145" t="s">
        <v>3853</v>
      </c>
      <c r="X22" s="144">
        <v>0</v>
      </c>
      <c r="Y22" s="145" t="s">
        <v>3853</v>
      </c>
      <c r="Z22" s="156" t="s">
        <v>3853</v>
      </c>
      <c r="AA22" s="181"/>
    </row>
    <row r="23" spans="1:27" ht="15" x14ac:dyDescent="0.2">
      <c r="A23" s="142" t="s">
        <v>1205</v>
      </c>
      <c r="B23" s="143" t="s">
        <v>1205</v>
      </c>
      <c r="C23" s="143" t="s">
        <v>3067</v>
      </c>
      <c r="D23" s="143" t="s">
        <v>3068</v>
      </c>
      <c r="E23" s="143" t="s">
        <v>309</v>
      </c>
      <c r="F23" s="143" t="s">
        <v>3184</v>
      </c>
      <c r="G23" s="143" t="s">
        <v>3185</v>
      </c>
      <c r="H23" s="143" t="s">
        <v>312</v>
      </c>
      <c r="I23" s="143" t="s">
        <v>765</v>
      </c>
      <c r="J23" s="143" t="s">
        <v>204</v>
      </c>
      <c r="K23" s="143" t="s">
        <v>204</v>
      </c>
      <c r="L23" s="143" t="s">
        <v>314</v>
      </c>
      <c r="M23" s="143" t="s">
        <v>451</v>
      </c>
      <c r="N23" s="143" t="s">
        <v>339</v>
      </c>
      <c r="O23" s="143" t="s">
        <v>3113</v>
      </c>
      <c r="P23" s="143" t="s">
        <v>1210</v>
      </c>
      <c r="Q23" s="143" t="s">
        <v>884</v>
      </c>
      <c r="R23" s="143" t="s">
        <v>888</v>
      </c>
      <c r="S23" s="163" t="s">
        <v>3855</v>
      </c>
      <c r="T23" s="163" t="s">
        <v>3855</v>
      </c>
      <c r="U23" s="144">
        <v>9102.73</v>
      </c>
      <c r="V23" s="145" t="s">
        <v>3853</v>
      </c>
      <c r="W23" s="145" t="s">
        <v>3853</v>
      </c>
      <c r="X23" s="144">
        <v>0</v>
      </c>
      <c r="Y23" s="145" t="s">
        <v>3853</v>
      </c>
      <c r="Z23" s="156" t="s">
        <v>3853</v>
      </c>
      <c r="AA23" s="181"/>
    </row>
    <row r="24" spans="1:27" x14ac:dyDescent="0.2">
      <c r="A24" s="142" t="s">
        <v>1205</v>
      </c>
      <c r="B24" s="143" t="s">
        <v>1205</v>
      </c>
      <c r="C24" s="143" t="s">
        <v>3186</v>
      </c>
      <c r="D24" s="143" t="s">
        <v>3187</v>
      </c>
      <c r="E24" s="143" t="s">
        <v>314</v>
      </c>
      <c r="F24" s="143" t="s">
        <v>3188</v>
      </c>
      <c r="G24" s="143" t="s">
        <v>3189</v>
      </c>
      <c r="H24" s="143" t="s">
        <v>312</v>
      </c>
      <c r="I24" s="143" t="s">
        <v>765</v>
      </c>
      <c r="J24" s="143" t="s">
        <v>205</v>
      </c>
      <c r="K24" s="143" t="s">
        <v>238</v>
      </c>
      <c r="L24" s="143" t="s">
        <v>314</v>
      </c>
      <c r="M24" s="143" t="s">
        <v>568</v>
      </c>
      <c r="N24" s="143" t="s">
        <v>339</v>
      </c>
      <c r="O24" s="143" t="s">
        <v>3077</v>
      </c>
      <c r="P24" s="143" t="s">
        <v>1214</v>
      </c>
      <c r="Q24" s="143" t="s">
        <v>884</v>
      </c>
      <c r="R24" s="143" t="s">
        <v>888</v>
      </c>
      <c r="S24" s="163">
        <v>45168</v>
      </c>
      <c r="T24" s="163">
        <v>45168</v>
      </c>
      <c r="U24" s="144">
        <v>788293.69</v>
      </c>
      <c r="V24" s="143" t="s">
        <v>1215</v>
      </c>
      <c r="W24" s="143" t="s">
        <v>3190</v>
      </c>
      <c r="X24" s="144">
        <v>4744.4094999999998</v>
      </c>
      <c r="Y24" s="146">
        <v>0.17053387096943567</v>
      </c>
      <c r="Z24" s="147">
        <v>7.1635784754227024E-3</v>
      </c>
      <c r="AA24" s="181"/>
    </row>
    <row r="25" spans="1:27" x14ac:dyDescent="0.2">
      <c r="A25" s="142" t="s">
        <v>1205</v>
      </c>
      <c r="B25" s="143" t="s">
        <v>1205</v>
      </c>
      <c r="C25" s="143" t="s">
        <v>3191</v>
      </c>
      <c r="D25" s="143" t="s">
        <v>3192</v>
      </c>
      <c r="E25" s="143" t="s">
        <v>314</v>
      </c>
      <c r="F25" s="143" t="s">
        <v>3193</v>
      </c>
      <c r="G25" s="143" t="s">
        <v>3194</v>
      </c>
      <c r="H25" s="143" t="s">
        <v>312</v>
      </c>
      <c r="I25" s="143" t="s">
        <v>765</v>
      </c>
      <c r="J25" s="143" t="s">
        <v>205</v>
      </c>
      <c r="K25" s="143" t="s">
        <v>224</v>
      </c>
      <c r="L25" s="143" t="s">
        <v>314</v>
      </c>
      <c r="M25" s="143" t="s">
        <v>444</v>
      </c>
      <c r="N25" s="143" t="s">
        <v>339</v>
      </c>
      <c r="O25" s="143" t="s">
        <v>3077</v>
      </c>
      <c r="P25" s="143" t="s">
        <v>1211</v>
      </c>
      <c r="Q25" s="143" t="s">
        <v>884</v>
      </c>
      <c r="R25" s="143" t="s">
        <v>888</v>
      </c>
      <c r="S25" s="163">
        <v>45291</v>
      </c>
      <c r="T25" s="163">
        <v>45291</v>
      </c>
      <c r="U25" s="144">
        <v>6669.82</v>
      </c>
      <c r="V25" s="143" t="s">
        <v>1212</v>
      </c>
      <c r="W25" s="143" t="s">
        <v>3195</v>
      </c>
      <c r="X25" s="144">
        <v>678.10590000000002</v>
      </c>
      <c r="Y25" s="146">
        <v>2.437395436433613E-2</v>
      </c>
      <c r="Z25" s="147">
        <v>1.0238712922700705E-3</v>
      </c>
      <c r="AA25" s="181"/>
    </row>
    <row r="26" spans="1:27" x14ac:dyDescent="0.2">
      <c r="A26" s="142" t="s">
        <v>1205</v>
      </c>
      <c r="B26" s="143" t="s">
        <v>1205</v>
      </c>
      <c r="C26" s="143" t="s">
        <v>3196</v>
      </c>
      <c r="D26" s="143" t="s">
        <v>3197</v>
      </c>
      <c r="E26" s="143" t="s">
        <v>314</v>
      </c>
      <c r="F26" s="143" t="s">
        <v>3198</v>
      </c>
      <c r="G26" s="143" t="s">
        <v>3199</v>
      </c>
      <c r="H26" s="143" t="s">
        <v>312</v>
      </c>
      <c r="I26" s="143" t="s">
        <v>765</v>
      </c>
      <c r="J26" s="143" t="s">
        <v>205</v>
      </c>
      <c r="K26" s="143" t="s">
        <v>224</v>
      </c>
      <c r="L26" s="143" t="s">
        <v>314</v>
      </c>
      <c r="M26" s="143" t="s">
        <v>546</v>
      </c>
      <c r="N26" s="143" t="s">
        <v>339</v>
      </c>
      <c r="O26" s="143" t="s">
        <v>3200</v>
      </c>
      <c r="P26" s="143" t="s">
        <v>1211</v>
      </c>
      <c r="Q26" s="143" t="s">
        <v>884</v>
      </c>
      <c r="R26" s="143" t="s">
        <v>888</v>
      </c>
      <c r="S26" s="163">
        <v>45439</v>
      </c>
      <c r="T26" s="163">
        <v>45439</v>
      </c>
      <c r="U26" s="144">
        <v>24632</v>
      </c>
      <c r="V26" s="143" t="s">
        <v>1212</v>
      </c>
      <c r="W26" s="143" t="s">
        <v>3201</v>
      </c>
      <c r="X26" s="144">
        <v>372.21859999999998</v>
      </c>
      <c r="Y26" s="146">
        <v>1.3379088808665051E-2</v>
      </c>
      <c r="Z26" s="147">
        <v>5.6201241469326201E-4</v>
      </c>
      <c r="AA26" s="181"/>
    </row>
    <row r="27" spans="1:27" x14ac:dyDescent="0.2">
      <c r="A27" s="142" t="s">
        <v>1205</v>
      </c>
      <c r="B27" s="143" t="s">
        <v>1205</v>
      </c>
      <c r="C27" s="143" t="s">
        <v>3202</v>
      </c>
      <c r="D27" s="143" t="s">
        <v>3203</v>
      </c>
      <c r="E27" s="143" t="s">
        <v>314</v>
      </c>
      <c r="F27" s="143" t="s">
        <v>3204</v>
      </c>
      <c r="G27" s="143" t="s">
        <v>3205</v>
      </c>
      <c r="H27" s="143" t="s">
        <v>312</v>
      </c>
      <c r="I27" s="143" t="s">
        <v>765</v>
      </c>
      <c r="J27" s="143" t="s">
        <v>205</v>
      </c>
      <c r="K27" s="143" t="s">
        <v>296</v>
      </c>
      <c r="L27" s="143" t="s">
        <v>314</v>
      </c>
      <c r="M27" s="143" t="s">
        <v>546</v>
      </c>
      <c r="N27" s="143" t="s">
        <v>339</v>
      </c>
      <c r="O27" s="143" t="s">
        <v>3206</v>
      </c>
      <c r="P27" s="143" t="s">
        <v>1211</v>
      </c>
      <c r="Q27" s="143" t="s">
        <v>884</v>
      </c>
      <c r="R27" s="143" t="s">
        <v>888</v>
      </c>
      <c r="S27" s="163">
        <v>44782</v>
      </c>
      <c r="T27" s="163">
        <v>44782</v>
      </c>
      <c r="U27" s="144">
        <v>14809</v>
      </c>
      <c r="V27" s="143" t="s">
        <v>1212</v>
      </c>
      <c r="W27" s="143" t="s">
        <v>3207</v>
      </c>
      <c r="X27" s="144">
        <v>339.82380000000001</v>
      </c>
      <c r="Y27" s="146">
        <v>1.2214686647791044E-2</v>
      </c>
      <c r="Z27" s="147">
        <v>5.1309963150857898E-4</v>
      </c>
      <c r="AA27" s="181"/>
    </row>
    <row r="28" spans="1:27" ht="15" x14ac:dyDescent="0.2">
      <c r="A28" s="142" t="s">
        <v>1218</v>
      </c>
      <c r="B28" s="143" t="s">
        <v>1218</v>
      </c>
      <c r="C28" s="143" t="s">
        <v>3098</v>
      </c>
      <c r="D28" s="143" t="s">
        <v>3099</v>
      </c>
      <c r="E28" s="143" t="s">
        <v>309</v>
      </c>
      <c r="F28" s="143" t="s">
        <v>3100</v>
      </c>
      <c r="G28" s="143" t="s">
        <v>3101</v>
      </c>
      <c r="H28" s="143" t="s">
        <v>312</v>
      </c>
      <c r="I28" s="143" t="s">
        <v>765</v>
      </c>
      <c r="J28" s="143" t="s">
        <v>204</v>
      </c>
      <c r="K28" s="143" t="s">
        <v>204</v>
      </c>
      <c r="L28" s="143" t="s">
        <v>314</v>
      </c>
      <c r="M28" s="143" t="s">
        <v>463</v>
      </c>
      <c r="N28" s="143" t="s">
        <v>339</v>
      </c>
      <c r="O28" s="143" t="s">
        <v>3102</v>
      </c>
      <c r="P28" s="143" t="s">
        <v>1210</v>
      </c>
      <c r="Q28" s="143" t="s">
        <v>885</v>
      </c>
      <c r="R28" s="143" t="s">
        <v>889</v>
      </c>
      <c r="S28" s="163">
        <v>45382</v>
      </c>
      <c r="T28" s="163">
        <v>45382</v>
      </c>
      <c r="U28" s="144">
        <v>26848752</v>
      </c>
      <c r="V28" s="145" t="s">
        <v>3853</v>
      </c>
      <c r="W28" s="143" t="s">
        <v>3103</v>
      </c>
      <c r="X28" s="144">
        <v>84190.62509999999</v>
      </c>
      <c r="Y28" s="146">
        <v>0.31489033463065308</v>
      </c>
      <c r="Z28" s="147">
        <v>1.1216388748550004E-2</v>
      </c>
      <c r="AA28" s="181"/>
    </row>
    <row r="29" spans="1:27" ht="15" x14ac:dyDescent="0.2">
      <c r="A29" s="142" t="s">
        <v>1218</v>
      </c>
      <c r="B29" s="143" t="s">
        <v>1218</v>
      </c>
      <c r="C29" s="143" t="s">
        <v>3104</v>
      </c>
      <c r="D29" s="143" t="s">
        <v>3105</v>
      </c>
      <c r="E29" s="143" t="s">
        <v>309</v>
      </c>
      <c r="F29" s="143" t="s">
        <v>3104</v>
      </c>
      <c r="G29" s="143" t="s">
        <v>3106</v>
      </c>
      <c r="H29" s="143" t="s">
        <v>312</v>
      </c>
      <c r="I29" s="143" t="s">
        <v>765</v>
      </c>
      <c r="J29" s="143" t="s">
        <v>204</v>
      </c>
      <c r="K29" s="143" t="s">
        <v>204</v>
      </c>
      <c r="L29" s="143" t="s">
        <v>314</v>
      </c>
      <c r="M29" s="143" t="s">
        <v>485</v>
      </c>
      <c r="N29" s="143" t="s">
        <v>339</v>
      </c>
      <c r="O29" s="143" t="s">
        <v>3107</v>
      </c>
      <c r="P29" s="143" t="s">
        <v>1210</v>
      </c>
      <c r="Q29" s="143" t="s">
        <v>885</v>
      </c>
      <c r="R29" s="143" t="s">
        <v>889</v>
      </c>
      <c r="S29" s="163">
        <v>45473</v>
      </c>
      <c r="T29" s="163">
        <v>45473</v>
      </c>
      <c r="U29" s="144">
        <v>46772154</v>
      </c>
      <c r="V29" s="145" t="s">
        <v>3853</v>
      </c>
      <c r="W29" s="143" t="s">
        <v>3108</v>
      </c>
      <c r="X29" s="144">
        <v>57103.0003</v>
      </c>
      <c r="Y29" s="146">
        <v>0.21357702069595977</v>
      </c>
      <c r="Z29" s="147">
        <v>7.6076101055716485E-3</v>
      </c>
      <c r="AA29" s="181"/>
    </row>
    <row r="30" spans="1:27" x14ac:dyDescent="0.2">
      <c r="A30" s="142" t="s">
        <v>1218</v>
      </c>
      <c r="B30" s="143" t="s">
        <v>1218</v>
      </c>
      <c r="C30" s="143" t="s">
        <v>3109</v>
      </c>
      <c r="D30" s="143" t="s">
        <v>3110</v>
      </c>
      <c r="E30" s="143" t="s">
        <v>309</v>
      </c>
      <c r="F30" s="143" t="s">
        <v>3111</v>
      </c>
      <c r="G30" s="143" t="s">
        <v>3112</v>
      </c>
      <c r="H30" s="143" t="s">
        <v>312</v>
      </c>
      <c r="I30" s="143" t="s">
        <v>765</v>
      </c>
      <c r="J30" s="143" t="s">
        <v>204</v>
      </c>
      <c r="K30" s="143" t="s">
        <v>204</v>
      </c>
      <c r="L30" s="143" t="s">
        <v>314</v>
      </c>
      <c r="M30" s="143" t="s">
        <v>455</v>
      </c>
      <c r="N30" s="143" t="s">
        <v>339</v>
      </c>
      <c r="O30" s="143" t="s">
        <v>3113</v>
      </c>
      <c r="P30" s="143" t="s">
        <v>1211</v>
      </c>
      <c r="Q30" s="143" t="s">
        <v>884</v>
      </c>
      <c r="R30" s="143" t="s">
        <v>888</v>
      </c>
      <c r="S30" s="163">
        <v>45439</v>
      </c>
      <c r="T30" s="163">
        <v>45439</v>
      </c>
      <c r="U30" s="144">
        <v>585247</v>
      </c>
      <c r="V30" s="143" t="s">
        <v>1212</v>
      </c>
      <c r="W30" s="143" t="s">
        <v>3114</v>
      </c>
      <c r="X30" s="144">
        <v>17843.301500000001</v>
      </c>
      <c r="Y30" s="146">
        <v>6.6737634783577957E-2</v>
      </c>
      <c r="Z30" s="147">
        <v>2.3771934974421245E-3</v>
      </c>
      <c r="AA30" s="181"/>
    </row>
    <row r="31" spans="1:27" x14ac:dyDescent="0.2">
      <c r="A31" s="142" t="s">
        <v>1218</v>
      </c>
      <c r="B31" s="143" t="s">
        <v>1218</v>
      </c>
      <c r="C31" s="143" t="s">
        <v>3115</v>
      </c>
      <c r="D31" s="143" t="s">
        <v>3116</v>
      </c>
      <c r="E31" s="143" t="s">
        <v>309</v>
      </c>
      <c r="F31" s="143" t="s">
        <v>3117</v>
      </c>
      <c r="G31" s="143" t="s">
        <v>3118</v>
      </c>
      <c r="H31" s="143" t="s">
        <v>312</v>
      </c>
      <c r="I31" s="143" t="s">
        <v>765</v>
      </c>
      <c r="J31" s="143" t="s">
        <v>204</v>
      </c>
      <c r="K31" s="143" t="s">
        <v>224</v>
      </c>
      <c r="L31" s="143" t="s">
        <v>314</v>
      </c>
      <c r="M31" s="143" t="s">
        <v>472</v>
      </c>
      <c r="N31" s="143" t="s">
        <v>339</v>
      </c>
      <c r="O31" s="143" t="s">
        <v>3119</v>
      </c>
      <c r="P31" s="143" t="s">
        <v>1211</v>
      </c>
      <c r="Q31" s="143" t="s">
        <v>884</v>
      </c>
      <c r="R31" s="143" t="s">
        <v>888</v>
      </c>
      <c r="S31" s="163">
        <v>45291</v>
      </c>
      <c r="T31" s="163">
        <v>45291</v>
      </c>
      <c r="U31" s="144">
        <v>279752</v>
      </c>
      <c r="V31" s="143" t="s">
        <v>1212</v>
      </c>
      <c r="W31" s="143" t="s">
        <v>3120</v>
      </c>
      <c r="X31" s="144">
        <v>8728.7043000000012</v>
      </c>
      <c r="Y31" s="146">
        <v>3.2647157641272864E-2</v>
      </c>
      <c r="Z31" s="147">
        <v>1.1628912398001085E-3</v>
      </c>
      <c r="AA31" s="181"/>
    </row>
    <row r="32" spans="1:27" x14ac:dyDescent="0.2">
      <c r="A32" s="142" t="s">
        <v>1218</v>
      </c>
      <c r="B32" s="143" t="s">
        <v>1218</v>
      </c>
      <c r="C32" s="143" t="s">
        <v>3125</v>
      </c>
      <c r="D32" s="143" t="s">
        <v>3126</v>
      </c>
      <c r="E32" s="143" t="s">
        <v>309</v>
      </c>
      <c r="F32" s="143" t="s">
        <v>3127</v>
      </c>
      <c r="G32" s="143" t="s">
        <v>3128</v>
      </c>
      <c r="H32" s="143" t="s">
        <v>312</v>
      </c>
      <c r="I32" s="143" t="s">
        <v>765</v>
      </c>
      <c r="J32" s="143" t="s">
        <v>204</v>
      </c>
      <c r="K32" s="143" t="s">
        <v>224</v>
      </c>
      <c r="L32" s="143" t="s">
        <v>314</v>
      </c>
      <c r="M32" s="143" t="s">
        <v>444</v>
      </c>
      <c r="N32" s="143" t="s">
        <v>339</v>
      </c>
      <c r="O32" s="143" t="s">
        <v>3129</v>
      </c>
      <c r="P32" s="143" t="s">
        <v>1211</v>
      </c>
      <c r="Q32" s="143" t="s">
        <v>884</v>
      </c>
      <c r="R32" s="143" t="s">
        <v>888</v>
      </c>
      <c r="S32" s="163">
        <v>45351</v>
      </c>
      <c r="T32" s="163">
        <v>45351</v>
      </c>
      <c r="U32" s="144">
        <v>2192402.84</v>
      </c>
      <c r="V32" s="143" t="s">
        <v>1212</v>
      </c>
      <c r="W32" s="143" t="s">
        <v>1532</v>
      </c>
      <c r="X32" s="144">
        <v>8241.2422999999999</v>
      </c>
      <c r="Y32" s="146">
        <v>3.0823949060542921E-2</v>
      </c>
      <c r="Z32" s="147">
        <v>1.0979485789364605E-3</v>
      </c>
      <c r="AA32" s="181"/>
    </row>
    <row r="33" spans="1:27" x14ac:dyDescent="0.2">
      <c r="A33" s="142" t="s">
        <v>1218</v>
      </c>
      <c r="B33" s="143" t="s">
        <v>1218</v>
      </c>
      <c r="C33" s="143" t="s">
        <v>3130</v>
      </c>
      <c r="D33" s="143" t="s">
        <v>3131</v>
      </c>
      <c r="E33" s="143" t="s">
        <v>309</v>
      </c>
      <c r="F33" s="143" t="s">
        <v>3132</v>
      </c>
      <c r="G33" s="143" t="s">
        <v>3133</v>
      </c>
      <c r="H33" s="143" t="s">
        <v>312</v>
      </c>
      <c r="I33" s="143" t="s">
        <v>765</v>
      </c>
      <c r="J33" s="143" t="s">
        <v>204</v>
      </c>
      <c r="K33" s="143" t="s">
        <v>296</v>
      </c>
      <c r="L33" s="143" t="s">
        <v>314</v>
      </c>
      <c r="M33" s="143" t="s">
        <v>449</v>
      </c>
      <c r="N33" s="143" t="s">
        <v>339</v>
      </c>
      <c r="O33" s="143" t="s">
        <v>3134</v>
      </c>
      <c r="P33" s="143" t="s">
        <v>1211</v>
      </c>
      <c r="Q33" s="143" t="s">
        <v>885</v>
      </c>
      <c r="R33" s="143" t="s">
        <v>889</v>
      </c>
      <c r="S33" s="163">
        <v>45351</v>
      </c>
      <c r="T33" s="163">
        <v>45351</v>
      </c>
      <c r="U33" s="144">
        <v>1227150</v>
      </c>
      <c r="V33" s="143" t="s">
        <v>1212</v>
      </c>
      <c r="W33" s="143" t="s">
        <v>3135</v>
      </c>
      <c r="X33" s="144">
        <v>8050.5607</v>
      </c>
      <c r="Y33" s="146">
        <v>3.0110760716789087E-2</v>
      </c>
      <c r="Z33" s="147">
        <v>1.072544821390646E-3</v>
      </c>
      <c r="AA33" s="181"/>
    </row>
    <row r="34" spans="1:27" ht="15" x14ac:dyDescent="0.2">
      <c r="A34" s="142" t="s">
        <v>1218</v>
      </c>
      <c r="B34" s="143" t="s">
        <v>1218</v>
      </c>
      <c r="C34" s="143" t="s">
        <v>3098</v>
      </c>
      <c r="D34" s="143" t="s">
        <v>3099</v>
      </c>
      <c r="E34" s="143" t="s">
        <v>309</v>
      </c>
      <c r="F34" s="143" t="s">
        <v>3121</v>
      </c>
      <c r="G34" s="143" t="s">
        <v>3122</v>
      </c>
      <c r="H34" s="143" t="s">
        <v>312</v>
      </c>
      <c r="I34" s="143" t="s">
        <v>765</v>
      </c>
      <c r="J34" s="143" t="s">
        <v>204</v>
      </c>
      <c r="K34" s="143" t="s">
        <v>204</v>
      </c>
      <c r="L34" s="143" t="s">
        <v>314</v>
      </c>
      <c r="M34" s="143" t="s">
        <v>463</v>
      </c>
      <c r="N34" s="143" t="s">
        <v>339</v>
      </c>
      <c r="O34" s="143" t="s">
        <v>3123</v>
      </c>
      <c r="P34" s="143" t="s">
        <v>1210</v>
      </c>
      <c r="Q34" s="143" t="s">
        <v>885</v>
      </c>
      <c r="R34" s="143" t="s">
        <v>889</v>
      </c>
      <c r="S34" s="163">
        <v>45382</v>
      </c>
      <c r="T34" s="163">
        <v>45382</v>
      </c>
      <c r="U34" s="144">
        <v>5968155.2999999998</v>
      </c>
      <c r="V34" s="145" t="s">
        <v>3853</v>
      </c>
      <c r="W34" s="143" t="s">
        <v>3124</v>
      </c>
      <c r="X34" s="144">
        <v>7911.3925999999992</v>
      </c>
      <c r="Y34" s="146">
        <v>2.9590243241177285E-2</v>
      </c>
      <c r="Z34" s="147">
        <v>1.0540039971264656E-3</v>
      </c>
      <c r="AA34" s="181"/>
    </row>
    <row r="35" spans="1:27" x14ac:dyDescent="0.2">
      <c r="A35" s="142" t="s">
        <v>1218</v>
      </c>
      <c r="B35" s="143" t="s">
        <v>1218</v>
      </c>
      <c r="C35" s="143" t="s">
        <v>3141</v>
      </c>
      <c r="D35" s="143" t="s">
        <v>3142</v>
      </c>
      <c r="E35" s="143" t="s">
        <v>309</v>
      </c>
      <c r="F35" s="143" t="s">
        <v>3143</v>
      </c>
      <c r="G35" s="143" t="s">
        <v>3144</v>
      </c>
      <c r="H35" s="143" t="s">
        <v>312</v>
      </c>
      <c r="I35" s="143" t="s">
        <v>765</v>
      </c>
      <c r="J35" s="143" t="s">
        <v>204</v>
      </c>
      <c r="K35" s="143" t="s">
        <v>204</v>
      </c>
      <c r="L35" s="143" t="s">
        <v>314</v>
      </c>
      <c r="M35" s="143" t="s">
        <v>480</v>
      </c>
      <c r="N35" s="143" t="s">
        <v>339</v>
      </c>
      <c r="O35" s="143" t="s">
        <v>3145</v>
      </c>
      <c r="P35" s="143" t="s">
        <v>1211</v>
      </c>
      <c r="Q35" s="143" t="s">
        <v>884</v>
      </c>
      <c r="R35" s="143" t="s">
        <v>888</v>
      </c>
      <c r="S35" s="163">
        <v>45291</v>
      </c>
      <c r="T35" s="163">
        <v>45291</v>
      </c>
      <c r="U35" s="144">
        <v>1000000</v>
      </c>
      <c r="V35" s="143" t="s">
        <v>1212</v>
      </c>
      <c r="W35" s="143" t="s">
        <v>3146</v>
      </c>
      <c r="X35" s="144">
        <v>3529.1747</v>
      </c>
      <c r="Y35" s="146">
        <v>1.3199842787551456E-2</v>
      </c>
      <c r="Z35" s="147">
        <v>4.70178191714204E-4</v>
      </c>
      <c r="AA35" s="181"/>
    </row>
    <row r="36" spans="1:27" x14ac:dyDescent="0.2">
      <c r="A36" s="142" t="s">
        <v>1218</v>
      </c>
      <c r="B36" s="143" t="s">
        <v>1218</v>
      </c>
      <c r="C36" s="143" t="s">
        <v>3136</v>
      </c>
      <c r="D36" s="143" t="s">
        <v>3137</v>
      </c>
      <c r="E36" s="143" t="s">
        <v>314</v>
      </c>
      <c r="F36" s="143" t="s">
        <v>3138</v>
      </c>
      <c r="G36" s="143" t="s">
        <v>3139</v>
      </c>
      <c r="H36" s="143" t="s">
        <v>312</v>
      </c>
      <c r="I36" s="143" t="s">
        <v>765</v>
      </c>
      <c r="J36" s="143" t="s">
        <v>204</v>
      </c>
      <c r="K36" s="143" t="s">
        <v>204</v>
      </c>
      <c r="L36" s="143" t="s">
        <v>314</v>
      </c>
      <c r="M36" s="143" t="s">
        <v>444</v>
      </c>
      <c r="N36" s="143" t="s">
        <v>339</v>
      </c>
      <c r="O36" s="143" t="s">
        <v>3113</v>
      </c>
      <c r="P36" s="143" t="s">
        <v>1211</v>
      </c>
      <c r="Q36" s="143" t="s">
        <v>884</v>
      </c>
      <c r="R36" s="143" t="s">
        <v>888</v>
      </c>
      <c r="S36" s="163">
        <v>45250</v>
      </c>
      <c r="T36" s="163">
        <v>45250</v>
      </c>
      <c r="U36" s="144">
        <v>2567.9699999999998</v>
      </c>
      <c r="V36" s="143" t="s">
        <v>1212</v>
      </c>
      <c r="W36" s="143" t="s">
        <v>3140</v>
      </c>
      <c r="X36" s="144">
        <v>3470.2532000000001</v>
      </c>
      <c r="Y36" s="146">
        <v>1.2979464139266653E-2</v>
      </c>
      <c r="Z36" s="147">
        <v>4.6232830774129119E-4</v>
      </c>
      <c r="AA36" s="181"/>
    </row>
    <row r="37" spans="1:27" x14ac:dyDescent="0.2">
      <c r="A37" s="142" t="s">
        <v>1218</v>
      </c>
      <c r="B37" s="143" t="s">
        <v>1218</v>
      </c>
      <c r="C37" s="143" t="s">
        <v>3136</v>
      </c>
      <c r="D37" s="143" t="s">
        <v>3137</v>
      </c>
      <c r="E37" s="143" t="s">
        <v>314</v>
      </c>
      <c r="F37" s="143" t="s">
        <v>3147</v>
      </c>
      <c r="G37" s="143" t="s">
        <v>3148</v>
      </c>
      <c r="H37" s="143" t="s">
        <v>312</v>
      </c>
      <c r="I37" s="143" t="s">
        <v>765</v>
      </c>
      <c r="J37" s="143" t="s">
        <v>204</v>
      </c>
      <c r="K37" s="143" t="s">
        <v>204</v>
      </c>
      <c r="L37" s="143" t="s">
        <v>314</v>
      </c>
      <c r="M37" s="143" t="s">
        <v>444</v>
      </c>
      <c r="N37" s="143" t="s">
        <v>339</v>
      </c>
      <c r="O37" s="143" t="s">
        <v>3113</v>
      </c>
      <c r="P37" s="143" t="s">
        <v>1211</v>
      </c>
      <c r="Q37" s="143" t="s">
        <v>884</v>
      </c>
      <c r="R37" s="143" t="s">
        <v>888</v>
      </c>
      <c r="S37" s="163">
        <v>45250</v>
      </c>
      <c r="T37" s="163">
        <v>45250</v>
      </c>
      <c r="U37" s="144">
        <v>2039.99</v>
      </c>
      <c r="V37" s="143" t="s">
        <v>1212</v>
      </c>
      <c r="W37" s="143" t="s">
        <v>3149</v>
      </c>
      <c r="X37" s="144">
        <v>2963.8065999999999</v>
      </c>
      <c r="Y37" s="146">
        <v>1.1085249160556896E-2</v>
      </c>
      <c r="Z37" s="147">
        <v>3.948564001025396E-4</v>
      </c>
      <c r="AA37" s="181"/>
    </row>
    <row r="38" spans="1:27" x14ac:dyDescent="0.2">
      <c r="A38" s="142" t="s">
        <v>1218</v>
      </c>
      <c r="B38" s="143" t="s">
        <v>1218</v>
      </c>
      <c r="C38" s="143" t="s">
        <v>3130</v>
      </c>
      <c r="D38" s="143" t="s">
        <v>3131</v>
      </c>
      <c r="E38" s="143" t="s">
        <v>309</v>
      </c>
      <c r="F38" s="143" t="s">
        <v>3130</v>
      </c>
      <c r="G38" s="143" t="s">
        <v>3150</v>
      </c>
      <c r="H38" s="143" t="s">
        <v>312</v>
      </c>
      <c r="I38" s="143" t="s">
        <v>765</v>
      </c>
      <c r="J38" s="143" t="s">
        <v>204</v>
      </c>
      <c r="K38" s="143" t="s">
        <v>296</v>
      </c>
      <c r="L38" s="143" t="s">
        <v>314</v>
      </c>
      <c r="M38" s="143" t="s">
        <v>449</v>
      </c>
      <c r="N38" s="143" t="s">
        <v>339</v>
      </c>
      <c r="O38" s="143" t="s">
        <v>3134</v>
      </c>
      <c r="P38" s="143" t="s">
        <v>1211</v>
      </c>
      <c r="Q38" s="143" t="s">
        <v>884</v>
      </c>
      <c r="R38" s="143" t="s">
        <v>888</v>
      </c>
      <c r="S38" s="163">
        <v>45302</v>
      </c>
      <c r="T38" s="163">
        <v>45302</v>
      </c>
      <c r="U38" s="144">
        <v>577200</v>
      </c>
      <c r="V38" s="143" t="s">
        <v>1212</v>
      </c>
      <c r="W38" s="143" t="s">
        <v>3151</v>
      </c>
      <c r="X38" s="144">
        <v>1453.6955</v>
      </c>
      <c r="Y38" s="146">
        <v>5.4371216178908987E-3</v>
      </c>
      <c r="Z38" s="147">
        <v>1.9367018619654032E-4</v>
      </c>
      <c r="AA38" s="181"/>
    </row>
    <row r="39" spans="1:27" ht="15" x14ac:dyDescent="0.2">
      <c r="A39" s="142" t="s">
        <v>1218</v>
      </c>
      <c r="B39" s="143" t="s">
        <v>1218</v>
      </c>
      <c r="C39" s="143" t="s">
        <v>2248</v>
      </c>
      <c r="D39" s="143" t="s">
        <v>2249</v>
      </c>
      <c r="E39" s="143" t="s">
        <v>309</v>
      </c>
      <c r="F39" s="143" t="s">
        <v>3152</v>
      </c>
      <c r="G39" s="143" t="s">
        <v>3153</v>
      </c>
      <c r="H39" s="143" t="s">
        <v>312</v>
      </c>
      <c r="I39" s="143" t="s">
        <v>765</v>
      </c>
      <c r="J39" s="143" t="s">
        <v>204</v>
      </c>
      <c r="K39" s="143" t="s">
        <v>204</v>
      </c>
      <c r="L39" s="143" t="s">
        <v>314</v>
      </c>
      <c r="M39" s="143" t="s">
        <v>451</v>
      </c>
      <c r="N39" s="143" t="s">
        <v>339</v>
      </c>
      <c r="O39" s="143" t="s">
        <v>3123</v>
      </c>
      <c r="P39" s="143" t="s">
        <v>1210</v>
      </c>
      <c r="Q39" s="143" t="s">
        <v>885</v>
      </c>
      <c r="R39" s="143" t="s">
        <v>889</v>
      </c>
      <c r="S39" s="163">
        <v>45259</v>
      </c>
      <c r="T39" s="163">
        <v>45259</v>
      </c>
      <c r="U39" s="144">
        <v>32912</v>
      </c>
      <c r="V39" s="145" t="s">
        <v>3853</v>
      </c>
      <c r="W39" s="143" t="s">
        <v>3154</v>
      </c>
      <c r="X39" s="144">
        <v>1158.4837</v>
      </c>
      <c r="Y39" s="146">
        <v>4.33296844659179E-3</v>
      </c>
      <c r="Z39" s="147">
        <v>1.5434026766550151E-4</v>
      </c>
      <c r="AA39" s="181"/>
    </row>
    <row r="40" spans="1:27" x14ac:dyDescent="0.2">
      <c r="A40" s="142" t="s">
        <v>1218</v>
      </c>
      <c r="B40" s="143" t="s">
        <v>1218</v>
      </c>
      <c r="C40" s="143" t="s">
        <v>3136</v>
      </c>
      <c r="D40" s="143" t="s">
        <v>3137</v>
      </c>
      <c r="E40" s="143" t="s">
        <v>314</v>
      </c>
      <c r="F40" s="143" t="s">
        <v>3155</v>
      </c>
      <c r="G40" s="143" t="s">
        <v>3156</v>
      </c>
      <c r="H40" s="143" t="s">
        <v>312</v>
      </c>
      <c r="I40" s="143" t="s">
        <v>765</v>
      </c>
      <c r="J40" s="143" t="s">
        <v>204</v>
      </c>
      <c r="K40" s="143" t="s">
        <v>204</v>
      </c>
      <c r="L40" s="143" t="s">
        <v>314</v>
      </c>
      <c r="M40" s="143" t="s">
        <v>444</v>
      </c>
      <c r="N40" s="143" t="s">
        <v>339</v>
      </c>
      <c r="O40" s="143" t="s">
        <v>3157</v>
      </c>
      <c r="P40" s="143" t="s">
        <v>1211</v>
      </c>
      <c r="Q40" s="143" t="s">
        <v>884</v>
      </c>
      <c r="R40" s="143" t="s">
        <v>888</v>
      </c>
      <c r="S40" s="163">
        <v>45250</v>
      </c>
      <c r="T40" s="163">
        <v>45250</v>
      </c>
      <c r="U40" s="144">
        <v>590</v>
      </c>
      <c r="V40" s="143" t="s">
        <v>1212</v>
      </c>
      <c r="W40" s="143" t="s">
        <v>3158</v>
      </c>
      <c r="X40" s="144">
        <v>805.06500000000005</v>
      </c>
      <c r="Y40" s="146">
        <v>3.011109568849344E-3</v>
      </c>
      <c r="Z40" s="147">
        <v>1.0725567530774671E-4</v>
      </c>
      <c r="AA40" s="181"/>
    </row>
    <row r="41" spans="1:27" ht="15" x14ac:dyDescent="0.2">
      <c r="A41" s="142" t="s">
        <v>1218</v>
      </c>
      <c r="B41" s="143" t="s">
        <v>1218</v>
      </c>
      <c r="C41" s="143" t="s">
        <v>3159</v>
      </c>
      <c r="D41" s="143" t="s">
        <v>3160</v>
      </c>
      <c r="E41" s="143" t="s">
        <v>309</v>
      </c>
      <c r="F41" s="143" t="s">
        <v>3159</v>
      </c>
      <c r="G41" s="143" t="s">
        <v>3161</v>
      </c>
      <c r="H41" s="143" t="s">
        <v>312</v>
      </c>
      <c r="I41" s="143" t="s">
        <v>765</v>
      </c>
      <c r="J41" s="143" t="s">
        <v>204</v>
      </c>
      <c r="K41" s="143" t="s">
        <v>204</v>
      </c>
      <c r="L41" s="143" t="s">
        <v>314</v>
      </c>
      <c r="M41" s="143" t="s">
        <v>447</v>
      </c>
      <c r="N41" s="143" t="s">
        <v>339</v>
      </c>
      <c r="O41" s="143" t="s">
        <v>3162</v>
      </c>
      <c r="P41" s="143" t="s">
        <v>1210</v>
      </c>
      <c r="Q41" s="143" t="s">
        <v>887</v>
      </c>
      <c r="R41" s="143" t="s">
        <v>889</v>
      </c>
      <c r="S41" s="163">
        <v>45473</v>
      </c>
      <c r="T41" s="163">
        <v>45473</v>
      </c>
      <c r="U41" s="144">
        <v>4871000</v>
      </c>
      <c r="V41" s="145" t="s">
        <v>3853</v>
      </c>
      <c r="W41" s="143" t="s">
        <v>3163</v>
      </c>
      <c r="X41" s="144">
        <v>243.55</v>
      </c>
      <c r="Y41" s="146">
        <v>9.1092732657044827E-4</v>
      </c>
      <c r="Z41" s="147">
        <v>3.2447216992149953E-5</v>
      </c>
      <c r="AA41" s="181"/>
    </row>
    <row r="42" spans="1:27" x14ac:dyDescent="0.2">
      <c r="A42" s="142" t="s">
        <v>1218</v>
      </c>
      <c r="B42" s="143" t="s">
        <v>1218</v>
      </c>
      <c r="C42" s="143" t="s">
        <v>3164</v>
      </c>
      <c r="D42" s="143" t="s">
        <v>3165</v>
      </c>
      <c r="E42" s="143" t="s">
        <v>309</v>
      </c>
      <c r="F42" s="143" t="s">
        <v>3166</v>
      </c>
      <c r="G42" s="143" t="s">
        <v>3167</v>
      </c>
      <c r="H42" s="143" t="s">
        <v>312</v>
      </c>
      <c r="I42" s="143" t="s">
        <v>765</v>
      </c>
      <c r="J42" s="143" t="s">
        <v>204</v>
      </c>
      <c r="K42" s="143" t="s">
        <v>204</v>
      </c>
      <c r="L42" s="143" t="s">
        <v>314</v>
      </c>
      <c r="M42" s="143" t="s">
        <v>449</v>
      </c>
      <c r="N42" s="143" t="s">
        <v>339</v>
      </c>
      <c r="O42" s="143" t="s">
        <v>3168</v>
      </c>
      <c r="P42" s="143" t="s">
        <v>1211</v>
      </c>
      <c r="Q42" s="143" t="s">
        <v>887</v>
      </c>
      <c r="R42" s="143" t="s">
        <v>889</v>
      </c>
      <c r="S42" s="163">
        <v>45396</v>
      </c>
      <c r="T42" s="163">
        <v>45396</v>
      </c>
      <c r="U42" s="144">
        <v>1002340</v>
      </c>
      <c r="V42" s="143" t="s">
        <v>1212</v>
      </c>
      <c r="W42" s="143" t="s">
        <v>3169</v>
      </c>
      <c r="X42" s="144">
        <v>165.77929999999998</v>
      </c>
      <c r="Y42" s="146">
        <v>6.2004868429291974E-4</v>
      </c>
      <c r="Z42" s="147">
        <v>2.2086124346159371E-5</v>
      </c>
      <c r="AA42" s="181"/>
    </row>
    <row r="43" spans="1:27" x14ac:dyDescent="0.2">
      <c r="A43" s="142" t="s">
        <v>1218</v>
      </c>
      <c r="B43" s="143" t="s">
        <v>1218</v>
      </c>
      <c r="C43" s="143" t="s">
        <v>3170</v>
      </c>
      <c r="D43" s="143" t="s">
        <v>3171</v>
      </c>
      <c r="E43" s="143" t="s">
        <v>309</v>
      </c>
      <c r="F43" s="143" t="s">
        <v>3172</v>
      </c>
      <c r="G43" s="143" t="s">
        <v>3173</v>
      </c>
      <c r="H43" s="143" t="s">
        <v>312</v>
      </c>
      <c r="I43" s="143" t="s">
        <v>765</v>
      </c>
      <c r="J43" s="143" t="s">
        <v>204</v>
      </c>
      <c r="K43" s="143" t="s">
        <v>224</v>
      </c>
      <c r="L43" s="143" t="s">
        <v>314</v>
      </c>
      <c r="M43" s="143" t="s">
        <v>546</v>
      </c>
      <c r="N43" s="143" t="s">
        <v>339</v>
      </c>
      <c r="O43" s="143" t="s">
        <v>3119</v>
      </c>
      <c r="P43" s="143" t="s">
        <v>1211</v>
      </c>
      <c r="Q43" s="143" t="s">
        <v>884</v>
      </c>
      <c r="R43" s="143" t="s">
        <v>888</v>
      </c>
      <c r="S43" s="163">
        <v>45235</v>
      </c>
      <c r="T43" s="163">
        <v>45235</v>
      </c>
      <c r="U43" s="144">
        <v>1000000</v>
      </c>
      <c r="V43" s="143" t="s">
        <v>1212</v>
      </c>
      <c r="W43" s="143" t="s">
        <v>3055</v>
      </c>
      <c r="X43" s="144">
        <v>0.37589999999999996</v>
      </c>
      <c r="Y43" s="146">
        <v>1.405943675047553E-6</v>
      </c>
      <c r="Z43" s="147">
        <v>5.0079691510364059E-8</v>
      </c>
      <c r="AA43" s="181"/>
    </row>
    <row r="44" spans="1:27" ht="15" x14ac:dyDescent="0.2">
      <c r="A44" s="142" t="s">
        <v>1218</v>
      </c>
      <c r="B44" s="143" t="s">
        <v>1218</v>
      </c>
      <c r="C44" s="143" t="s">
        <v>3109</v>
      </c>
      <c r="D44" s="143" t="s">
        <v>3110</v>
      </c>
      <c r="E44" s="143" t="s">
        <v>309</v>
      </c>
      <c r="F44" s="143" t="s">
        <v>3174</v>
      </c>
      <c r="G44" s="143" t="s">
        <v>3175</v>
      </c>
      <c r="H44" s="143" t="s">
        <v>312</v>
      </c>
      <c r="I44" s="143" t="s">
        <v>765</v>
      </c>
      <c r="J44" s="143" t="s">
        <v>204</v>
      </c>
      <c r="K44" s="143" t="s">
        <v>204</v>
      </c>
      <c r="L44" s="143" t="s">
        <v>314</v>
      </c>
      <c r="M44" s="143" t="s">
        <v>455</v>
      </c>
      <c r="N44" s="143" t="s">
        <v>339</v>
      </c>
      <c r="O44" s="143" t="s">
        <v>3113</v>
      </c>
      <c r="P44" s="143" t="s">
        <v>1211</v>
      </c>
      <c r="Q44" s="143" t="s">
        <v>884</v>
      </c>
      <c r="R44" s="143" t="s">
        <v>888</v>
      </c>
      <c r="S44" s="163">
        <v>45137</v>
      </c>
      <c r="T44" s="163">
        <v>45137</v>
      </c>
      <c r="U44" s="144">
        <v>585247</v>
      </c>
      <c r="V44" s="143" t="s">
        <v>1212</v>
      </c>
      <c r="W44" s="145" t="s">
        <v>3853</v>
      </c>
      <c r="X44" s="144">
        <v>2.2000000000000001E-3</v>
      </c>
      <c r="Y44" s="146">
        <v>8.2282431799055519E-9</v>
      </c>
      <c r="Z44" s="147">
        <v>2.9308989217366035E-10</v>
      </c>
      <c r="AA44" s="181"/>
    </row>
    <row r="45" spans="1:27" ht="15" x14ac:dyDescent="0.2">
      <c r="A45" s="142" t="s">
        <v>1218</v>
      </c>
      <c r="B45" s="143" t="s">
        <v>1218</v>
      </c>
      <c r="C45" s="143" t="s">
        <v>3176</v>
      </c>
      <c r="D45" s="143" t="s">
        <v>3177</v>
      </c>
      <c r="E45" s="143" t="s">
        <v>309</v>
      </c>
      <c r="F45" s="143" t="s">
        <v>3178</v>
      </c>
      <c r="G45" s="143" t="s">
        <v>3179</v>
      </c>
      <c r="H45" s="143" t="s">
        <v>312</v>
      </c>
      <c r="I45" s="143" t="s">
        <v>765</v>
      </c>
      <c r="J45" s="143" t="s">
        <v>204</v>
      </c>
      <c r="K45" s="143" t="s">
        <v>204</v>
      </c>
      <c r="L45" s="143" t="s">
        <v>314</v>
      </c>
      <c r="M45" s="143" t="s">
        <v>455</v>
      </c>
      <c r="N45" s="143" t="s">
        <v>339</v>
      </c>
      <c r="O45" s="143" t="s">
        <v>3123</v>
      </c>
      <c r="P45" s="143" t="s">
        <v>1210</v>
      </c>
      <c r="Q45" s="143" t="s">
        <v>885</v>
      </c>
      <c r="R45" s="143" t="s">
        <v>889</v>
      </c>
      <c r="S45" s="163">
        <v>45123</v>
      </c>
      <c r="T45" s="163">
        <v>45123</v>
      </c>
      <c r="U45" s="144">
        <v>3895745.71</v>
      </c>
      <c r="V45" s="145" t="s">
        <v>3853</v>
      </c>
      <c r="W45" s="145" t="s">
        <v>3853</v>
      </c>
      <c r="X45" s="144">
        <v>4.0000000000000002E-4</v>
      </c>
      <c r="Y45" s="146">
        <v>1.4570893962671291E-9</v>
      </c>
      <c r="Z45" s="147">
        <v>5.1901501292797073E-11</v>
      </c>
      <c r="AA45" s="181"/>
    </row>
    <row r="46" spans="1:27" ht="15" x14ac:dyDescent="0.2">
      <c r="A46" s="142" t="s">
        <v>1218</v>
      </c>
      <c r="B46" s="143" t="s">
        <v>1218</v>
      </c>
      <c r="C46" s="143" t="s">
        <v>3180</v>
      </c>
      <c r="D46" s="143" t="s">
        <v>3181</v>
      </c>
      <c r="E46" s="143" t="s">
        <v>314</v>
      </c>
      <c r="F46" s="143" t="s">
        <v>3182</v>
      </c>
      <c r="G46" s="143" t="s">
        <v>3183</v>
      </c>
      <c r="H46" s="143" t="s">
        <v>312</v>
      </c>
      <c r="I46" s="143" t="s">
        <v>765</v>
      </c>
      <c r="J46" s="143" t="s">
        <v>204</v>
      </c>
      <c r="K46" s="143" t="s">
        <v>204</v>
      </c>
      <c r="L46" s="143" t="s">
        <v>314</v>
      </c>
      <c r="M46" s="143" t="s">
        <v>455</v>
      </c>
      <c r="N46" s="143" t="s">
        <v>339</v>
      </c>
      <c r="O46" s="143" t="s">
        <v>3077</v>
      </c>
      <c r="P46" s="143" t="s">
        <v>1210</v>
      </c>
      <c r="Q46" s="143" t="s">
        <v>884</v>
      </c>
      <c r="R46" s="143" t="s">
        <v>888</v>
      </c>
      <c r="S46" s="163" t="s">
        <v>3855</v>
      </c>
      <c r="T46" s="163" t="s">
        <v>3855</v>
      </c>
      <c r="U46" s="144">
        <v>11254.8</v>
      </c>
      <c r="V46" s="145" t="s">
        <v>3853</v>
      </c>
      <c r="W46" s="145" t="s">
        <v>3853</v>
      </c>
      <c r="X46" s="144">
        <v>0</v>
      </c>
      <c r="Y46" s="145" t="s">
        <v>3853</v>
      </c>
      <c r="Z46" s="156" t="s">
        <v>3853</v>
      </c>
      <c r="AA46" s="181"/>
    </row>
    <row r="47" spans="1:27" ht="15" x14ac:dyDescent="0.2">
      <c r="A47" s="142" t="s">
        <v>1218</v>
      </c>
      <c r="B47" s="143" t="s">
        <v>1218</v>
      </c>
      <c r="C47" s="143" t="s">
        <v>3208</v>
      </c>
      <c r="D47" s="143" t="s">
        <v>3209</v>
      </c>
      <c r="E47" s="143" t="s">
        <v>314</v>
      </c>
      <c r="F47" s="143" t="s">
        <v>3210</v>
      </c>
      <c r="G47" s="143" t="s">
        <v>3211</v>
      </c>
      <c r="H47" s="143" t="s">
        <v>312</v>
      </c>
      <c r="I47" s="143" t="s">
        <v>765</v>
      </c>
      <c r="J47" s="143" t="s">
        <v>204</v>
      </c>
      <c r="K47" s="143" t="s">
        <v>204</v>
      </c>
      <c r="L47" s="143" t="s">
        <v>314</v>
      </c>
      <c r="M47" s="143" t="s">
        <v>455</v>
      </c>
      <c r="N47" s="143" t="s">
        <v>339</v>
      </c>
      <c r="O47" s="143" t="s">
        <v>3077</v>
      </c>
      <c r="P47" s="143" t="s">
        <v>1210</v>
      </c>
      <c r="Q47" s="143" t="s">
        <v>884</v>
      </c>
      <c r="R47" s="143" t="s">
        <v>888</v>
      </c>
      <c r="S47" s="163" t="s">
        <v>3855</v>
      </c>
      <c r="T47" s="163" t="s">
        <v>3855</v>
      </c>
      <c r="U47" s="144">
        <v>28625</v>
      </c>
      <c r="V47" s="145" t="s">
        <v>3853</v>
      </c>
      <c r="W47" s="145" t="s">
        <v>3853</v>
      </c>
      <c r="X47" s="144">
        <v>0</v>
      </c>
      <c r="Y47" s="145" t="s">
        <v>3853</v>
      </c>
      <c r="Z47" s="156" t="s">
        <v>3853</v>
      </c>
      <c r="AA47" s="181"/>
    </row>
    <row r="48" spans="1:27" ht="15" x14ac:dyDescent="0.2">
      <c r="A48" s="142" t="s">
        <v>1218</v>
      </c>
      <c r="B48" s="143" t="s">
        <v>1218</v>
      </c>
      <c r="C48" s="143" t="s">
        <v>3067</v>
      </c>
      <c r="D48" s="143" t="s">
        <v>3068</v>
      </c>
      <c r="E48" s="143" t="s">
        <v>309</v>
      </c>
      <c r="F48" s="143" t="s">
        <v>3184</v>
      </c>
      <c r="G48" s="143" t="s">
        <v>3185</v>
      </c>
      <c r="H48" s="143" t="s">
        <v>312</v>
      </c>
      <c r="I48" s="143" t="s">
        <v>765</v>
      </c>
      <c r="J48" s="143" t="s">
        <v>204</v>
      </c>
      <c r="K48" s="143" t="s">
        <v>204</v>
      </c>
      <c r="L48" s="143" t="s">
        <v>314</v>
      </c>
      <c r="M48" s="143" t="s">
        <v>451</v>
      </c>
      <c r="N48" s="143" t="s">
        <v>339</v>
      </c>
      <c r="O48" s="143" t="s">
        <v>3113</v>
      </c>
      <c r="P48" s="143" t="s">
        <v>1210</v>
      </c>
      <c r="Q48" s="143" t="s">
        <v>884</v>
      </c>
      <c r="R48" s="143" t="s">
        <v>888</v>
      </c>
      <c r="S48" s="163" t="s">
        <v>3855</v>
      </c>
      <c r="T48" s="163" t="s">
        <v>3855</v>
      </c>
      <c r="U48" s="144">
        <v>160815.03</v>
      </c>
      <c r="V48" s="145" t="s">
        <v>3853</v>
      </c>
      <c r="W48" s="145" t="s">
        <v>3853</v>
      </c>
      <c r="X48" s="144">
        <v>0</v>
      </c>
      <c r="Y48" s="145" t="s">
        <v>3853</v>
      </c>
      <c r="Z48" s="156" t="s">
        <v>3853</v>
      </c>
      <c r="AA48" s="181"/>
    </row>
    <row r="49" spans="1:27" x14ac:dyDescent="0.2">
      <c r="A49" s="142" t="s">
        <v>1218</v>
      </c>
      <c r="B49" s="143" t="s">
        <v>1218</v>
      </c>
      <c r="C49" s="143" t="s">
        <v>3186</v>
      </c>
      <c r="D49" s="143" t="s">
        <v>3187</v>
      </c>
      <c r="E49" s="143" t="s">
        <v>314</v>
      </c>
      <c r="F49" s="143" t="s">
        <v>3188</v>
      </c>
      <c r="G49" s="143" t="s">
        <v>3189</v>
      </c>
      <c r="H49" s="143" t="s">
        <v>312</v>
      </c>
      <c r="I49" s="143" t="s">
        <v>765</v>
      </c>
      <c r="J49" s="143" t="s">
        <v>205</v>
      </c>
      <c r="K49" s="143" t="s">
        <v>238</v>
      </c>
      <c r="L49" s="143" t="s">
        <v>314</v>
      </c>
      <c r="M49" s="143" t="s">
        <v>568</v>
      </c>
      <c r="N49" s="143" t="s">
        <v>339</v>
      </c>
      <c r="O49" s="143" t="s">
        <v>3077</v>
      </c>
      <c r="P49" s="143" t="s">
        <v>1214</v>
      </c>
      <c r="Q49" s="143" t="s">
        <v>884</v>
      </c>
      <c r="R49" s="143" t="s">
        <v>888</v>
      </c>
      <c r="S49" s="163">
        <v>45168</v>
      </c>
      <c r="T49" s="163">
        <v>45168</v>
      </c>
      <c r="U49" s="144">
        <v>7883855.6200000001</v>
      </c>
      <c r="V49" s="143" t="s">
        <v>1215</v>
      </c>
      <c r="W49" s="143" t="s">
        <v>3190</v>
      </c>
      <c r="X49" s="144">
        <v>47449.624600000003</v>
      </c>
      <c r="Y49" s="146">
        <v>0.1774714007414093</v>
      </c>
      <c r="Z49" s="147">
        <v>6.3215284927693608E-3</v>
      </c>
      <c r="AA49" s="181"/>
    </row>
    <row r="50" spans="1:27" x14ac:dyDescent="0.2">
      <c r="A50" s="142" t="s">
        <v>1218</v>
      </c>
      <c r="B50" s="143" t="s">
        <v>1218</v>
      </c>
      <c r="C50" s="143" t="s">
        <v>3191</v>
      </c>
      <c r="D50" s="143" t="s">
        <v>3192</v>
      </c>
      <c r="E50" s="143" t="s">
        <v>314</v>
      </c>
      <c r="F50" s="143" t="s">
        <v>3193</v>
      </c>
      <c r="G50" s="143" t="s">
        <v>3194</v>
      </c>
      <c r="H50" s="143" t="s">
        <v>312</v>
      </c>
      <c r="I50" s="143" t="s">
        <v>765</v>
      </c>
      <c r="J50" s="143" t="s">
        <v>205</v>
      </c>
      <c r="K50" s="143" t="s">
        <v>224</v>
      </c>
      <c r="L50" s="143" t="s">
        <v>314</v>
      </c>
      <c r="M50" s="143" t="s">
        <v>444</v>
      </c>
      <c r="N50" s="143" t="s">
        <v>339</v>
      </c>
      <c r="O50" s="143" t="s">
        <v>3077</v>
      </c>
      <c r="P50" s="143" t="s">
        <v>1211</v>
      </c>
      <c r="Q50" s="143" t="s">
        <v>884</v>
      </c>
      <c r="R50" s="143" t="s">
        <v>888</v>
      </c>
      <c r="S50" s="163">
        <v>45291</v>
      </c>
      <c r="T50" s="163">
        <v>45291</v>
      </c>
      <c r="U50" s="144">
        <v>65796.5</v>
      </c>
      <c r="V50" s="143" t="s">
        <v>1212</v>
      </c>
      <c r="W50" s="143" t="s">
        <v>3195</v>
      </c>
      <c r="X50" s="144">
        <v>6689.3850000000002</v>
      </c>
      <c r="Y50" s="146">
        <v>2.5019682084574005E-2</v>
      </c>
      <c r="Z50" s="147">
        <v>8.912006808810953E-4</v>
      </c>
      <c r="AA50" s="181"/>
    </row>
    <row r="51" spans="1:27" x14ac:dyDescent="0.2">
      <c r="A51" s="142" t="s">
        <v>1218</v>
      </c>
      <c r="B51" s="143" t="s">
        <v>1218</v>
      </c>
      <c r="C51" s="143" t="s">
        <v>3196</v>
      </c>
      <c r="D51" s="143" t="s">
        <v>3197</v>
      </c>
      <c r="E51" s="143" t="s">
        <v>314</v>
      </c>
      <c r="F51" s="143" t="s">
        <v>3198</v>
      </c>
      <c r="G51" s="143" t="s">
        <v>3199</v>
      </c>
      <c r="H51" s="143" t="s">
        <v>312</v>
      </c>
      <c r="I51" s="143" t="s">
        <v>765</v>
      </c>
      <c r="J51" s="143" t="s">
        <v>205</v>
      </c>
      <c r="K51" s="143" t="s">
        <v>224</v>
      </c>
      <c r="L51" s="143" t="s">
        <v>314</v>
      </c>
      <c r="M51" s="143" t="s">
        <v>546</v>
      </c>
      <c r="N51" s="143" t="s">
        <v>339</v>
      </c>
      <c r="O51" s="143" t="s">
        <v>3200</v>
      </c>
      <c r="P51" s="143" t="s">
        <v>1211</v>
      </c>
      <c r="Q51" s="143" t="s">
        <v>884</v>
      </c>
      <c r="R51" s="143" t="s">
        <v>888</v>
      </c>
      <c r="S51" s="163">
        <v>45439</v>
      </c>
      <c r="T51" s="163">
        <v>45439</v>
      </c>
      <c r="U51" s="144">
        <v>246319</v>
      </c>
      <c r="V51" s="143" t="s">
        <v>1212</v>
      </c>
      <c r="W51" s="143" t="s">
        <v>3201</v>
      </c>
      <c r="X51" s="144">
        <v>3722.1707000000001</v>
      </c>
      <c r="Y51" s="146">
        <v>1.3921687731780335E-2</v>
      </c>
      <c r="Z51" s="147">
        <v>4.9589029723228286E-4</v>
      </c>
      <c r="AA51" s="181"/>
    </row>
    <row r="52" spans="1:27" x14ac:dyDescent="0.2">
      <c r="A52" s="142" t="s">
        <v>1218</v>
      </c>
      <c r="B52" s="143" t="s">
        <v>1218</v>
      </c>
      <c r="C52" s="143" t="s">
        <v>3202</v>
      </c>
      <c r="D52" s="143" t="s">
        <v>3203</v>
      </c>
      <c r="E52" s="143" t="s">
        <v>314</v>
      </c>
      <c r="F52" s="143" t="s">
        <v>3204</v>
      </c>
      <c r="G52" s="143" t="s">
        <v>3205</v>
      </c>
      <c r="H52" s="143" t="s">
        <v>312</v>
      </c>
      <c r="I52" s="143" t="s">
        <v>765</v>
      </c>
      <c r="J52" s="143" t="s">
        <v>205</v>
      </c>
      <c r="K52" s="143" t="s">
        <v>296</v>
      </c>
      <c r="L52" s="143" t="s">
        <v>314</v>
      </c>
      <c r="M52" s="143" t="s">
        <v>546</v>
      </c>
      <c r="N52" s="143" t="s">
        <v>339</v>
      </c>
      <c r="O52" s="143" t="s">
        <v>3206</v>
      </c>
      <c r="P52" s="143" t="s">
        <v>1211</v>
      </c>
      <c r="Q52" s="143" t="s">
        <v>884</v>
      </c>
      <c r="R52" s="143" t="s">
        <v>888</v>
      </c>
      <c r="S52" s="163">
        <v>44782</v>
      </c>
      <c r="T52" s="163">
        <v>44782</v>
      </c>
      <c r="U52" s="144">
        <v>158831</v>
      </c>
      <c r="V52" s="143" t="s">
        <v>1212</v>
      </c>
      <c r="W52" s="143" t="s">
        <v>3207</v>
      </c>
      <c r="X52" s="144">
        <v>3644.7134000000001</v>
      </c>
      <c r="Y52" s="146">
        <v>1.3631981311685349E-2</v>
      </c>
      <c r="Z52" s="147">
        <v>4.8557095912192923E-4</v>
      </c>
      <c r="AA52" s="181"/>
    </row>
    <row r="53" spans="1:27" ht="15" x14ac:dyDescent="0.2">
      <c r="A53" s="154" t="s">
        <v>1205</v>
      </c>
      <c r="B53" s="155" t="s">
        <v>1206</v>
      </c>
      <c r="C53" s="145" t="s">
        <v>3853</v>
      </c>
      <c r="D53" s="145" t="s">
        <v>3853</v>
      </c>
      <c r="E53" s="145" t="s">
        <v>3853</v>
      </c>
      <c r="F53" s="145" t="s">
        <v>3853</v>
      </c>
      <c r="G53" s="145" t="s">
        <v>3853</v>
      </c>
      <c r="H53" s="145" t="s">
        <v>3853</v>
      </c>
      <c r="I53" s="145" t="s">
        <v>3853</v>
      </c>
      <c r="J53" s="145" t="s">
        <v>3853</v>
      </c>
      <c r="K53" s="145" t="s">
        <v>3853</v>
      </c>
      <c r="L53" s="145" t="s">
        <v>3853</v>
      </c>
      <c r="M53" s="145" t="s">
        <v>3853</v>
      </c>
      <c r="N53" s="145" t="s">
        <v>3853</v>
      </c>
      <c r="O53" s="145" t="s">
        <v>3853</v>
      </c>
      <c r="P53" s="145" t="s">
        <v>3853</v>
      </c>
      <c r="Q53" s="145" t="s">
        <v>3853</v>
      </c>
      <c r="R53" s="145" t="s">
        <v>3853</v>
      </c>
      <c r="S53" s="145" t="s">
        <v>3853</v>
      </c>
      <c r="T53" s="145" t="s">
        <v>3853</v>
      </c>
      <c r="U53" s="145" t="s">
        <v>3853</v>
      </c>
      <c r="V53" s="145" t="s">
        <v>3853</v>
      </c>
      <c r="W53" s="145" t="s">
        <v>3853</v>
      </c>
      <c r="X53" s="145" t="s">
        <v>3853</v>
      </c>
      <c r="Y53" s="145" t="s">
        <v>3853</v>
      </c>
      <c r="Z53" s="156" t="s">
        <v>3853</v>
      </c>
      <c r="AA53" s="181"/>
    </row>
    <row r="54" spans="1:27" ht="15" x14ac:dyDescent="0.2">
      <c r="A54" s="154" t="s">
        <v>1205</v>
      </c>
      <c r="B54" s="155" t="s">
        <v>1213</v>
      </c>
      <c r="C54" s="145" t="s">
        <v>3853</v>
      </c>
      <c r="D54" s="145" t="s">
        <v>3853</v>
      </c>
      <c r="E54" s="145" t="s">
        <v>3853</v>
      </c>
      <c r="F54" s="145" t="s">
        <v>3853</v>
      </c>
      <c r="G54" s="145" t="s">
        <v>3853</v>
      </c>
      <c r="H54" s="145" t="s">
        <v>3853</v>
      </c>
      <c r="I54" s="145" t="s">
        <v>3853</v>
      </c>
      <c r="J54" s="145" t="s">
        <v>3853</v>
      </c>
      <c r="K54" s="145" t="s">
        <v>3853</v>
      </c>
      <c r="L54" s="145" t="s">
        <v>3853</v>
      </c>
      <c r="M54" s="145" t="s">
        <v>3853</v>
      </c>
      <c r="N54" s="145" t="s">
        <v>3853</v>
      </c>
      <c r="O54" s="145" t="s">
        <v>3853</v>
      </c>
      <c r="P54" s="145" t="s">
        <v>3853</v>
      </c>
      <c r="Q54" s="145" t="s">
        <v>3853</v>
      </c>
      <c r="R54" s="145" t="s">
        <v>3853</v>
      </c>
      <c r="S54" s="145" t="s">
        <v>3853</v>
      </c>
      <c r="T54" s="145" t="s">
        <v>3853</v>
      </c>
      <c r="U54" s="145" t="s">
        <v>3853</v>
      </c>
      <c r="V54" s="145" t="s">
        <v>3853</v>
      </c>
      <c r="W54" s="145" t="s">
        <v>3853</v>
      </c>
      <c r="X54" s="145" t="s">
        <v>3853</v>
      </c>
      <c r="Y54" s="145" t="s">
        <v>3853</v>
      </c>
      <c r="Z54" s="156" t="s">
        <v>3853</v>
      </c>
      <c r="AA54" s="181"/>
    </row>
    <row r="55" spans="1:27" ht="15" x14ac:dyDescent="0.2">
      <c r="A55" s="154" t="s">
        <v>1218</v>
      </c>
      <c r="B55" s="155" t="s">
        <v>1219</v>
      </c>
      <c r="C55" s="145" t="s">
        <v>3853</v>
      </c>
      <c r="D55" s="145" t="s">
        <v>3853</v>
      </c>
      <c r="E55" s="145" t="s">
        <v>3853</v>
      </c>
      <c r="F55" s="145" t="s">
        <v>3853</v>
      </c>
      <c r="G55" s="145" t="s">
        <v>3853</v>
      </c>
      <c r="H55" s="145" t="s">
        <v>3853</v>
      </c>
      <c r="I55" s="145" t="s">
        <v>3853</v>
      </c>
      <c r="J55" s="145" t="s">
        <v>3853</v>
      </c>
      <c r="K55" s="145" t="s">
        <v>3853</v>
      </c>
      <c r="L55" s="145" t="s">
        <v>3853</v>
      </c>
      <c r="M55" s="145" t="s">
        <v>3853</v>
      </c>
      <c r="N55" s="145" t="s">
        <v>3853</v>
      </c>
      <c r="O55" s="145" t="s">
        <v>3853</v>
      </c>
      <c r="P55" s="145" t="s">
        <v>3853</v>
      </c>
      <c r="Q55" s="145" t="s">
        <v>3853</v>
      </c>
      <c r="R55" s="145" t="s">
        <v>3853</v>
      </c>
      <c r="S55" s="145" t="s">
        <v>3853</v>
      </c>
      <c r="T55" s="145" t="s">
        <v>3853</v>
      </c>
      <c r="U55" s="145" t="s">
        <v>3853</v>
      </c>
      <c r="V55" s="145" t="s">
        <v>3853</v>
      </c>
      <c r="W55" s="145" t="s">
        <v>3853</v>
      </c>
      <c r="X55" s="145" t="s">
        <v>3853</v>
      </c>
      <c r="Y55" s="145" t="s">
        <v>3853</v>
      </c>
      <c r="Z55" s="156" t="s">
        <v>3853</v>
      </c>
      <c r="AA55" s="181"/>
    </row>
    <row r="56" spans="1:27" ht="15" x14ac:dyDescent="0.2">
      <c r="A56" s="157" t="s">
        <v>1218</v>
      </c>
      <c r="B56" s="158" t="s">
        <v>1220</v>
      </c>
      <c r="C56" s="151" t="s">
        <v>3853</v>
      </c>
      <c r="D56" s="151" t="s">
        <v>3853</v>
      </c>
      <c r="E56" s="151" t="s">
        <v>3853</v>
      </c>
      <c r="F56" s="151" t="s">
        <v>3853</v>
      </c>
      <c r="G56" s="151" t="s">
        <v>3853</v>
      </c>
      <c r="H56" s="151" t="s">
        <v>3853</v>
      </c>
      <c r="I56" s="151" t="s">
        <v>3853</v>
      </c>
      <c r="J56" s="151" t="s">
        <v>3853</v>
      </c>
      <c r="K56" s="151" t="s">
        <v>3853</v>
      </c>
      <c r="L56" s="151" t="s">
        <v>3853</v>
      </c>
      <c r="M56" s="151" t="s">
        <v>3853</v>
      </c>
      <c r="N56" s="151" t="s">
        <v>3853</v>
      </c>
      <c r="O56" s="151" t="s">
        <v>3853</v>
      </c>
      <c r="P56" s="151" t="s">
        <v>3853</v>
      </c>
      <c r="Q56" s="151" t="s">
        <v>3853</v>
      </c>
      <c r="R56" s="151" t="s">
        <v>3853</v>
      </c>
      <c r="S56" s="151" t="s">
        <v>3853</v>
      </c>
      <c r="T56" s="151" t="s">
        <v>3853</v>
      </c>
      <c r="U56" s="151" t="s">
        <v>3853</v>
      </c>
      <c r="V56" s="151" t="s">
        <v>3853</v>
      </c>
      <c r="W56" s="151" t="s">
        <v>3853</v>
      </c>
      <c r="X56" s="151" t="s">
        <v>3853</v>
      </c>
      <c r="Y56" s="151" t="s">
        <v>3853</v>
      </c>
      <c r="Z56" s="159" t="s">
        <v>3853</v>
      </c>
      <c r="AA56" s="181"/>
    </row>
    <row r="57" spans="1:27" x14ac:dyDescent="0.2">
      <c r="A57" s="181" t="s">
        <v>3870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 spans="1:27" x14ac:dyDescent="0.2">
      <c r="A58" s="2" t="s">
        <v>3869</v>
      </c>
    </row>
    <row r="59" spans="1:27" x14ac:dyDescent="0.2">
      <c r="A59" s="17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7:Z57"/>
    <mergeCell ref="AA2:AA56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5"/>
  <sheetViews>
    <sheetView rightToLeft="1" topLeftCell="U230" workbookViewId="0">
      <selection activeCell="Z265" sqref="Z265"/>
    </sheetView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58" style="2" bestFit="1" customWidth="1"/>
    <col min="4" max="4" width="27.5" style="2" customWidth="1"/>
    <col min="5" max="5" width="30.25" style="2" customWidth="1"/>
    <col min="6" max="6" width="48.125" style="2" bestFit="1" customWidth="1"/>
    <col min="7" max="7" width="19.25" style="2" customWidth="1"/>
    <col min="8" max="8" width="22.625" style="2" customWidth="1"/>
    <col min="9" max="9" width="19.125" style="2" bestFit="1" customWidth="1"/>
    <col min="10" max="10" width="20" style="2" customWidth="1"/>
    <col min="11" max="11" width="10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11.25" style="2" bestFit="1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3891</v>
      </c>
    </row>
    <row r="2" spans="1:27" ht="66.75" customHeight="1" x14ac:dyDescent="0.2">
      <c r="A2" s="139" t="s">
        <v>49</v>
      </c>
      <c r="B2" s="140" t="s">
        <v>50</v>
      </c>
      <c r="C2" s="140" t="s">
        <v>108</v>
      </c>
      <c r="D2" s="140" t="s">
        <v>109</v>
      </c>
      <c r="E2" s="140" t="s">
        <v>110</v>
      </c>
      <c r="F2" s="140" t="s">
        <v>111</v>
      </c>
      <c r="G2" s="140" t="s">
        <v>112</v>
      </c>
      <c r="H2" s="140" t="s">
        <v>113</v>
      </c>
      <c r="I2" s="140" t="s">
        <v>54</v>
      </c>
      <c r="J2" s="140" t="s">
        <v>114</v>
      </c>
      <c r="K2" s="140" t="s">
        <v>55</v>
      </c>
      <c r="L2" s="140" t="s">
        <v>115</v>
      </c>
      <c r="M2" s="140" t="s">
        <v>116</v>
      </c>
      <c r="N2" s="140" t="s">
        <v>69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61</v>
      </c>
      <c r="V2" s="164" t="s">
        <v>117</v>
      </c>
      <c r="W2" s="140" t="s">
        <v>63</v>
      </c>
      <c r="X2" s="140" t="s">
        <v>118</v>
      </c>
      <c r="Y2" s="140" t="s">
        <v>64</v>
      </c>
      <c r="Z2" s="141" t="s">
        <v>65</v>
      </c>
      <c r="AA2" s="181" t="s">
        <v>3871</v>
      </c>
    </row>
    <row r="3" spans="1:27" ht="15" x14ac:dyDescent="0.2">
      <c r="A3" s="142" t="s">
        <v>1205</v>
      </c>
      <c r="B3" s="143" t="s">
        <v>1205</v>
      </c>
      <c r="C3" s="143" t="s">
        <v>3212</v>
      </c>
      <c r="D3" s="145" t="s">
        <v>3853</v>
      </c>
      <c r="E3" s="145" t="s">
        <v>3853</v>
      </c>
      <c r="F3" s="143" t="s">
        <v>3213</v>
      </c>
      <c r="G3" s="143" t="s">
        <v>3214</v>
      </c>
      <c r="H3" s="143" t="s">
        <v>312</v>
      </c>
      <c r="I3" s="143" t="s">
        <v>1000</v>
      </c>
      <c r="J3" s="145" t="s">
        <v>3853</v>
      </c>
      <c r="K3" s="143" t="s">
        <v>204</v>
      </c>
      <c r="L3" s="145" t="s">
        <v>3853</v>
      </c>
      <c r="M3" s="145" t="s">
        <v>3853</v>
      </c>
      <c r="N3" s="143" t="s">
        <v>204</v>
      </c>
      <c r="O3" s="143" t="s">
        <v>339</v>
      </c>
      <c r="P3" s="162">
        <v>45169</v>
      </c>
      <c r="Q3" s="143" t="s">
        <v>1211</v>
      </c>
      <c r="R3" s="143" t="s">
        <v>885</v>
      </c>
      <c r="S3" s="143" t="s">
        <v>889</v>
      </c>
      <c r="T3" s="161">
        <v>45397</v>
      </c>
      <c r="U3" s="143" t="s">
        <v>1212</v>
      </c>
      <c r="V3" s="144">
        <v>439.08451715881881</v>
      </c>
      <c r="W3" s="144">
        <v>1650.5186999999999</v>
      </c>
      <c r="X3" s="145" t="s">
        <v>3853</v>
      </c>
      <c r="Y3" s="146">
        <v>1.2942035683889559E-2</v>
      </c>
      <c r="Z3" s="147">
        <v>2.4921162217837909E-3</v>
      </c>
      <c r="AA3" s="181"/>
    </row>
    <row r="4" spans="1:27" ht="15" x14ac:dyDescent="0.2">
      <c r="A4" s="142" t="s">
        <v>1205</v>
      </c>
      <c r="B4" s="143" t="s">
        <v>1205</v>
      </c>
      <c r="C4" s="143" t="s">
        <v>3215</v>
      </c>
      <c r="D4" s="145" t="s">
        <v>3853</v>
      </c>
      <c r="E4" s="145" t="s">
        <v>3853</v>
      </c>
      <c r="F4" s="143" t="s">
        <v>3216</v>
      </c>
      <c r="G4" s="143" t="s">
        <v>3217</v>
      </c>
      <c r="H4" s="143" t="s">
        <v>312</v>
      </c>
      <c r="I4" s="143" t="s">
        <v>1000</v>
      </c>
      <c r="J4" s="145" t="s">
        <v>3853</v>
      </c>
      <c r="K4" s="143" t="s">
        <v>204</v>
      </c>
      <c r="L4" s="145" t="s">
        <v>3853</v>
      </c>
      <c r="M4" s="145" t="s">
        <v>3853</v>
      </c>
      <c r="N4" s="143" t="s">
        <v>204</v>
      </c>
      <c r="O4" s="143" t="s">
        <v>339</v>
      </c>
      <c r="P4" s="162">
        <v>44496</v>
      </c>
      <c r="Q4" s="143" t="s">
        <v>1211</v>
      </c>
      <c r="R4" s="143" t="s">
        <v>885</v>
      </c>
      <c r="S4" s="143" t="s">
        <v>889</v>
      </c>
      <c r="T4" s="161">
        <v>45441</v>
      </c>
      <c r="U4" s="143" t="s">
        <v>1212</v>
      </c>
      <c r="V4" s="144">
        <v>342.12561851556268</v>
      </c>
      <c r="W4" s="144">
        <v>1286.0501999999999</v>
      </c>
      <c r="X4" s="145" t="s">
        <v>3853</v>
      </c>
      <c r="Y4" s="146">
        <v>1.0084167802119575E-2</v>
      </c>
      <c r="Z4" s="147">
        <v>1.9418056615417415E-3</v>
      </c>
      <c r="AA4" s="181"/>
    </row>
    <row r="5" spans="1:27" ht="15" x14ac:dyDescent="0.2">
      <c r="A5" s="142" t="s">
        <v>1205</v>
      </c>
      <c r="B5" s="143" t="s">
        <v>1205</v>
      </c>
      <c r="C5" s="143" t="s">
        <v>3218</v>
      </c>
      <c r="D5" s="145" t="s">
        <v>3853</v>
      </c>
      <c r="E5" s="145" t="s">
        <v>3853</v>
      </c>
      <c r="F5" s="143" t="s">
        <v>3219</v>
      </c>
      <c r="G5" s="143" t="s">
        <v>3220</v>
      </c>
      <c r="H5" s="143" t="s">
        <v>312</v>
      </c>
      <c r="I5" s="143" t="s">
        <v>1000</v>
      </c>
      <c r="J5" s="145" t="s">
        <v>3853</v>
      </c>
      <c r="K5" s="143" t="s">
        <v>204</v>
      </c>
      <c r="L5" s="145" t="s">
        <v>3853</v>
      </c>
      <c r="M5" s="145" t="s">
        <v>3853</v>
      </c>
      <c r="N5" s="143" t="s">
        <v>204</v>
      </c>
      <c r="O5" s="143" t="s">
        <v>339</v>
      </c>
      <c r="P5" s="162">
        <v>45216</v>
      </c>
      <c r="Q5" s="143" t="s">
        <v>1211</v>
      </c>
      <c r="R5" s="143" t="s">
        <v>885</v>
      </c>
      <c r="S5" s="143" t="s">
        <v>889</v>
      </c>
      <c r="T5" s="161">
        <v>45466</v>
      </c>
      <c r="U5" s="143" t="s">
        <v>1212</v>
      </c>
      <c r="V5" s="144">
        <v>273.30811386006911</v>
      </c>
      <c r="W5" s="144">
        <v>1027.3652</v>
      </c>
      <c r="X5" s="145" t="s">
        <v>3853</v>
      </c>
      <c r="Y5" s="146">
        <v>8.055768936465299E-3</v>
      </c>
      <c r="Z5" s="147">
        <v>1.551217515996956E-3</v>
      </c>
      <c r="AA5" s="181"/>
    </row>
    <row r="6" spans="1:27" ht="15" x14ac:dyDescent="0.2">
      <c r="A6" s="142" t="s">
        <v>1205</v>
      </c>
      <c r="B6" s="143" t="s">
        <v>1205</v>
      </c>
      <c r="C6" s="143" t="s">
        <v>3221</v>
      </c>
      <c r="D6" s="145" t="s">
        <v>3853</v>
      </c>
      <c r="E6" s="145" t="s">
        <v>3853</v>
      </c>
      <c r="F6" s="143" t="s">
        <v>3222</v>
      </c>
      <c r="G6" s="143" t="s">
        <v>3223</v>
      </c>
      <c r="H6" s="143" t="s">
        <v>312</v>
      </c>
      <c r="I6" s="143" t="s">
        <v>1000</v>
      </c>
      <c r="J6" s="145" t="s">
        <v>3853</v>
      </c>
      <c r="K6" s="143" t="s">
        <v>204</v>
      </c>
      <c r="L6" s="145" t="s">
        <v>3853</v>
      </c>
      <c r="M6" s="145" t="s">
        <v>3853</v>
      </c>
      <c r="N6" s="143" t="s">
        <v>204</v>
      </c>
      <c r="O6" s="143" t="s">
        <v>339</v>
      </c>
      <c r="P6" s="162">
        <v>44601</v>
      </c>
      <c r="Q6" s="143" t="s">
        <v>1211</v>
      </c>
      <c r="R6" s="143" t="s">
        <v>885</v>
      </c>
      <c r="S6" s="143" t="s">
        <v>889</v>
      </c>
      <c r="T6" s="161">
        <v>45397</v>
      </c>
      <c r="U6" s="143" t="s">
        <v>1212</v>
      </c>
      <c r="V6" s="144">
        <v>228.14990689013038</v>
      </c>
      <c r="W6" s="144">
        <v>857.6155</v>
      </c>
      <c r="X6" s="145" t="s">
        <v>3853</v>
      </c>
      <c r="Y6" s="146">
        <v>6.7247290248815808E-3</v>
      </c>
      <c r="Z6" s="147">
        <v>1.2949126937479623E-3</v>
      </c>
      <c r="AA6" s="181"/>
    </row>
    <row r="7" spans="1:27" ht="15" x14ac:dyDescent="0.2">
      <c r="A7" s="142" t="s">
        <v>1205</v>
      </c>
      <c r="B7" s="143" t="s">
        <v>1205</v>
      </c>
      <c r="C7" s="143" t="s">
        <v>3224</v>
      </c>
      <c r="D7" s="145" t="s">
        <v>3853</v>
      </c>
      <c r="E7" s="145" t="s">
        <v>3853</v>
      </c>
      <c r="F7" s="143" t="s">
        <v>3225</v>
      </c>
      <c r="G7" s="143" t="s">
        <v>3226</v>
      </c>
      <c r="H7" s="143" t="s">
        <v>312</v>
      </c>
      <c r="I7" s="143" t="s">
        <v>1000</v>
      </c>
      <c r="J7" s="145" t="s">
        <v>3853</v>
      </c>
      <c r="K7" s="143" t="s">
        <v>204</v>
      </c>
      <c r="L7" s="145" t="s">
        <v>3853</v>
      </c>
      <c r="M7" s="145" t="s">
        <v>3853</v>
      </c>
      <c r="N7" s="143" t="s">
        <v>224</v>
      </c>
      <c r="O7" s="143" t="s">
        <v>339</v>
      </c>
      <c r="P7" s="162">
        <v>44934</v>
      </c>
      <c r="Q7" s="143" t="s">
        <v>1211</v>
      </c>
      <c r="R7" s="143" t="s">
        <v>885</v>
      </c>
      <c r="S7" s="143" t="s">
        <v>889</v>
      </c>
      <c r="T7" s="161">
        <v>45421</v>
      </c>
      <c r="U7" s="143" t="s">
        <v>1212</v>
      </c>
      <c r="V7" s="144">
        <v>212.43812184091516</v>
      </c>
      <c r="W7" s="144">
        <v>798.55489999999998</v>
      </c>
      <c r="X7" s="145" t="s">
        <v>3853</v>
      </c>
      <c r="Y7" s="146">
        <v>6.2616236356360403E-3</v>
      </c>
      <c r="Z7" s="147">
        <v>1.205737197626362E-3</v>
      </c>
      <c r="AA7" s="181"/>
    </row>
    <row r="8" spans="1:27" ht="15" x14ac:dyDescent="0.2">
      <c r="A8" s="142" t="s">
        <v>1205</v>
      </c>
      <c r="B8" s="143" t="s">
        <v>1205</v>
      </c>
      <c r="C8" s="143" t="s">
        <v>3227</v>
      </c>
      <c r="D8" s="145" t="s">
        <v>3853</v>
      </c>
      <c r="E8" s="145" t="s">
        <v>3853</v>
      </c>
      <c r="F8" s="143" t="s">
        <v>3228</v>
      </c>
      <c r="G8" s="143" t="s">
        <v>3229</v>
      </c>
      <c r="H8" s="143" t="s">
        <v>312</v>
      </c>
      <c r="I8" s="143" t="s">
        <v>1000</v>
      </c>
      <c r="J8" s="145" t="s">
        <v>3853</v>
      </c>
      <c r="K8" s="143" t="s">
        <v>204</v>
      </c>
      <c r="L8" s="145" t="s">
        <v>3853</v>
      </c>
      <c r="M8" s="145" t="s">
        <v>3853</v>
      </c>
      <c r="N8" s="143" t="s">
        <v>204</v>
      </c>
      <c r="O8" s="143" t="s">
        <v>339</v>
      </c>
      <c r="P8" s="162">
        <v>45159</v>
      </c>
      <c r="Q8" s="143" t="s">
        <v>1211</v>
      </c>
      <c r="R8" s="143" t="s">
        <v>885</v>
      </c>
      <c r="S8" s="143" t="s">
        <v>889</v>
      </c>
      <c r="T8" s="161">
        <v>45469</v>
      </c>
      <c r="U8" s="143" t="s">
        <v>1212</v>
      </c>
      <c r="V8" s="144">
        <v>144.50351157222664</v>
      </c>
      <c r="W8" s="144">
        <v>543.18869999999993</v>
      </c>
      <c r="X8" s="146">
        <v>1.0507084166666667E-4</v>
      </c>
      <c r="Y8" s="146">
        <v>4.2592474491627503E-3</v>
      </c>
      <c r="Z8" s="147">
        <v>8.2015997482242004E-4</v>
      </c>
      <c r="AA8" s="181"/>
    </row>
    <row r="9" spans="1:27" ht="15" x14ac:dyDescent="0.2">
      <c r="A9" s="142" t="s">
        <v>1205</v>
      </c>
      <c r="B9" s="143" t="s">
        <v>1205</v>
      </c>
      <c r="C9" s="143" t="s">
        <v>3230</v>
      </c>
      <c r="D9" s="145" t="s">
        <v>3853</v>
      </c>
      <c r="E9" s="145" t="s">
        <v>3853</v>
      </c>
      <c r="F9" s="143" t="s">
        <v>3231</v>
      </c>
      <c r="G9" s="143" t="s">
        <v>3232</v>
      </c>
      <c r="H9" s="143" t="s">
        <v>312</v>
      </c>
      <c r="I9" s="143" t="s">
        <v>1000</v>
      </c>
      <c r="J9" s="145" t="s">
        <v>3853</v>
      </c>
      <c r="K9" s="143" t="s">
        <v>204</v>
      </c>
      <c r="L9" s="145" t="s">
        <v>3853</v>
      </c>
      <c r="M9" s="145" t="s">
        <v>3853</v>
      </c>
      <c r="N9" s="143" t="s">
        <v>204</v>
      </c>
      <c r="O9" s="143" t="s">
        <v>339</v>
      </c>
      <c r="P9" s="162">
        <v>45341</v>
      </c>
      <c r="Q9" s="143" t="s">
        <v>1210</v>
      </c>
      <c r="R9" s="143" t="s">
        <v>885</v>
      </c>
      <c r="S9" s="143" t="s">
        <v>889</v>
      </c>
      <c r="T9" s="161">
        <v>45469</v>
      </c>
      <c r="U9" s="145" t="s">
        <v>3853</v>
      </c>
      <c r="V9" s="144">
        <v>462.96029999999996</v>
      </c>
      <c r="W9" s="144">
        <v>462.96029999999996</v>
      </c>
      <c r="X9" s="146">
        <v>1.1155882352941176E-3</v>
      </c>
      <c r="Y9" s="146">
        <v>3.6301611966379679E-3</v>
      </c>
      <c r="Z9" s="147">
        <v>6.9902323149155813E-4</v>
      </c>
      <c r="AA9" s="181"/>
    </row>
    <row r="10" spans="1:27" ht="15" x14ac:dyDescent="0.2">
      <c r="A10" s="142" t="s">
        <v>1205</v>
      </c>
      <c r="B10" s="143" t="s">
        <v>1205</v>
      </c>
      <c r="C10" s="143" t="s">
        <v>3233</v>
      </c>
      <c r="D10" s="145" t="s">
        <v>3853</v>
      </c>
      <c r="E10" s="145" t="s">
        <v>3853</v>
      </c>
      <c r="F10" s="143" t="s">
        <v>3234</v>
      </c>
      <c r="G10" s="143" t="s">
        <v>3235</v>
      </c>
      <c r="H10" s="143" t="s">
        <v>312</v>
      </c>
      <c r="I10" s="143" t="s">
        <v>1000</v>
      </c>
      <c r="J10" s="145" t="s">
        <v>3853</v>
      </c>
      <c r="K10" s="143" t="s">
        <v>204</v>
      </c>
      <c r="L10" s="145" t="s">
        <v>3853</v>
      </c>
      <c r="M10" s="145" t="s">
        <v>3853</v>
      </c>
      <c r="N10" s="143" t="s">
        <v>204</v>
      </c>
      <c r="O10" s="143" t="s">
        <v>339</v>
      </c>
      <c r="P10" s="162">
        <v>45265</v>
      </c>
      <c r="Q10" s="143" t="s">
        <v>1211</v>
      </c>
      <c r="R10" s="143" t="s">
        <v>885</v>
      </c>
      <c r="S10" s="143" t="s">
        <v>889</v>
      </c>
      <c r="T10" s="161">
        <v>45473</v>
      </c>
      <c r="U10" s="143" t="s">
        <v>1212</v>
      </c>
      <c r="V10" s="144">
        <v>108.09457302474063</v>
      </c>
      <c r="W10" s="144">
        <v>406.32749999999999</v>
      </c>
      <c r="X10" s="146">
        <v>1.7882288571428572E-4</v>
      </c>
      <c r="Y10" s="146">
        <v>3.1860921360067364E-3</v>
      </c>
      <c r="Z10" s="147">
        <v>6.1351336761682152E-4</v>
      </c>
      <c r="AA10" s="181"/>
    </row>
    <row r="11" spans="1:27" ht="15" x14ac:dyDescent="0.2">
      <c r="A11" s="142" t="s">
        <v>1205</v>
      </c>
      <c r="B11" s="143" t="s">
        <v>1205</v>
      </c>
      <c r="C11" s="143" t="s">
        <v>3236</v>
      </c>
      <c r="D11" s="145" t="s">
        <v>3853</v>
      </c>
      <c r="E11" s="145" t="s">
        <v>3853</v>
      </c>
      <c r="F11" s="143" t="s">
        <v>3237</v>
      </c>
      <c r="G11" s="143" t="s">
        <v>3238</v>
      </c>
      <c r="H11" s="143" t="s">
        <v>312</v>
      </c>
      <c r="I11" s="143" t="s">
        <v>1000</v>
      </c>
      <c r="J11" s="145" t="s">
        <v>3853</v>
      </c>
      <c r="K11" s="143" t="s">
        <v>204</v>
      </c>
      <c r="L11" s="145" t="s">
        <v>3853</v>
      </c>
      <c r="M11" s="145" t="s">
        <v>3853</v>
      </c>
      <c r="N11" s="143" t="s">
        <v>204</v>
      </c>
      <c r="O11" s="143" t="s">
        <v>339</v>
      </c>
      <c r="P11" s="162">
        <v>45215</v>
      </c>
      <c r="Q11" s="143" t="s">
        <v>1211</v>
      </c>
      <c r="R11" s="143" t="s">
        <v>885</v>
      </c>
      <c r="S11" s="143" t="s">
        <v>889</v>
      </c>
      <c r="T11" s="161">
        <v>45442</v>
      </c>
      <c r="U11" s="143" t="s">
        <v>1212</v>
      </c>
      <c r="V11" s="144">
        <v>77.8</v>
      </c>
      <c r="W11" s="144">
        <v>292.4502</v>
      </c>
      <c r="X11" s="146">
        <v>7.695E-5</v>
      </c>
      <c r="Y11" s="146">
        <v>2.2931582192216239E-3</v>
      </c>
      <c r="Z11" s="147">
        <v>4.4157016228543782E-4</v>
      </c>
      <c r="AA11" s="181"/>
    </row>
    <row r="12" spans="1:27" ht="15" x14ac:dyDescent="0.2">
      <c r="A12" s="142" t="s">
        <v>1205</v>
      </c>
      <c r="B12" s="143" t="s">
        <v>1205</v>
      </c>
      <c r="C12" s="143" t="s">
        <v>3239</v>
      </c>
      <c r="D12" s="145" t="s">
        <v>3853</v>
      </c>
      <c r="E12" s="145" t="s">
        <v>3853</v>
      </c>
      <c r="F12" s="143" t="s">
        <v>3240</v>
      </c>
      <c r="G12" s="143" t="s">
        <v>3241</v>
      </c>
      <c r="H12" s="143" t="s">
        <v>312</v>
      </c>
      <c r="I12" s="143" t="s">
        <v>1000</v>
      </c>
      <c r="J12" s="145" t="s">
        <v>3853</v>
      </c>
      <c r="K12" s="143" t="s">
        <v>204</v>
      </c>
      <c r="L12" s="145" t="s">
        <v>3853</v>
      </c>
      <c r="M12" s="145" t="s">
        <v>3853</v>
      </c>
      <c r="N12" s="143" t="s">
        <v>204</v>
      </c>
      <c r="O12" s="143" t="s">
        <v>339</v>
      </c>
      <c r="P12" s="162">
        <v>43038</v>
      </c>
      <c r="Q12" s="143" t="s">
        <v>1211</v>
      </c>
      <c r="R12" s="143" t="s">
        <v>885</v>
      </c>
      <c r="S12" s="143" t="s">
        <v>889</v>
      </c>
      <c r="T12" s="161">
        <v>45425</v>
      </c>
      <c r="U12" s="143" t="s">
        <v>1212</v>
      </c>
      <c r="V12" s="144">
        <v>77.731045490822027</v>
      </c>
      <c r="W12" s="144">
        <v>292.19099999999997</v>
      </c>
      <c r="X12" s="145" t="s">
        <v>3853</v>
      </c>
      <c r="Y12" s="146">
        <v>2.2911257305126076E-3</v>
      </c>
      <c r="Z12" s="147">
        <v>4.4117878660034088E-4</v>
      </c>
      <c r="AA12" s="181"/>
    </row>
    <row r="13" spans="1:27" ht="15" x14ac:dyDescent="0.2">
      <c r="A13" s="142" t="s">
        <v>1205</v>
      </c>
      <c r="B13" s="143" t="s">
        <v>1205</v>
      </c>
      <c r="C13" s="143" t="s">
        <v>3242</v>
      </c>
      <c r="D13" s="145" t="s">
        <v>3853</v>
      </c>
      <c r="E13" s="145" t="s">
        <v>3853</v>
      </c>
      <c r="F13" s="143" t="s">
        <v>3243</v>
      </c>
      <c r="G13" s="143" t="s">
        <v>3244</v>
      </c>
      <c r="H13" s="143" t="s">
        <v>312</v>
      </c>
      <c r="I13" s="143" t="s">
        <v>1000</v>
      </c>
      <c r="J13" s="145" t="s">
        <v>3853</v>
      </c>
      <c r="K13" s="143" t="s">
        <v>204</v>
      </c>
      <c r="L13" s="145" t="s">
        <v>3853</v>
      </c>
      <c r="M13" s="145" t="s">
        <v>3853</v>
      </c>
      <c r="N13" s="143" t="s">
        <v>224</v>
      </c>
      <c r="O13" s="143" t="s">
        <v>339</v>
      </c>
      <c r="P13" s="162">
        <v>45316</v>
      </c>
      <c r="Q13" s="143" t="s">
        <v>1211</v>
      </c>
      <c r="R13" s="143" t="s">
        <v>885</v>
      </c>
      <c r="S13" s="143" t="s">
        <v>889</v>
      </c>
      <c r="T13" s="161">
        <v>45400</v>
      </c>
      <c r="U13" s="143" t="s">
        <v>1212</v>
      </c>
      <c r="V13" s="144">
        <v>54.764964086193139</v>
      </c>
      <c r="W13" s="144">
        <v>205.86150000000001</v>
      </c>
      <c r="X13" s="146">
        <v>1.7100000000000001E-4</v>
      </c>
      <c r="Y13" s="146">
        <v>1.6141998069428736E-3</v>
      </c>
      <c r="Z13" s="147">
        <v>3.1083004423254742E-4</v>
      </c>
      <c r="AA13" s="181"/>
    </row>
    <row r="14" spans="1:27" ht="15" x14ac:dyDescent="0.2">
      <c r="A14" s="142" t="s">
        <v>1205</v>
      </c>
      <c r="B14" s="143" t="s">
        <v>1205</v>
      </c>
      <c r="C14" s="143" t="s">
        <v>3245</v>
      </c>
      <c r="D14" s="145" t="s">
        <v>3853</v>
      </c>
      <c r="E14" s="145" t="s">
        <v>3853</v>
      </c>
      <c r="F14" s="143" t="s">
        <v>3246</v>
      </c>
      <c r="G14" s="143" t="s">
        <v>3247</v>
      </c>
      <c r="H14" s="143" t="s">
        <v>312</v>
      </c>
      <c r="I14" s="143" t="s">
        <v>1000</v>
      </c>
      <c r="J14" s="145" t="s">
        <v>3853</v>
      </c>
      <c r="K14" s="143" t="s">
        <v>205</v>
      </c>
      <c r="L14" s="145" t="s">
        <v>3853</v>
      </c>
      <c r="M14" s="145" t="s">
        <v>3853</v>
      </c>
      <c r="N14" s="143" t="s">
        <v>224</v>
      </c>
      <c r="O14" s="143" t="s">
        <v>339</v>
      </c>
      <c r="P14" s="162">
        <v>45250</v>
      </c>
      <c r="Q14" s="143" t="s">
        <v>1211</v>
      </c>
      <c r="R14" s="143" t="s">
        <v>885</v>
      </c>
      <c r="S14" s="143" t="s">
        <v>889</v>
      </c>
      <c r="T14" s="161">
        <v>45432</v>
      </c>
      <c r="U14" s="143" t="s">
        <v>1212</v>
      </c>
      <c r="V14" s="144">
        <v>767.71936685288654</v>
      </c>
      <c r="W14" s="144">
        <v>2885.8571000000002</v>
      </c>
      <c r="X14" s="146">
        <v>1.9933893570026623E-4</v>
      </c>
      <c r="Y14" s="146">
        <v>2.2628563244966267E-2</v>
      </c>
      <c r="Z14" s="147">
        <v>4.3573523451677513E-3</v>
      </c>
      <c r="AA14" s="181"/>
    </row>
    <row r="15" spans="1:27" ht="15" x14ac:dyDescent="0.2">
      <c r="A15" s="142" t="s">
        <v>1205</v>
      </c>
      <c r="B15" s="143" t="s">
        <v>1205</v>
      </c>
      <c r="C15" s="143" t="s">
        <v>3248</v>
      </c>
      <c r="D15" s="145" t="s">
        <v>3853</v>
      </c>
      <c r="E15" s="145" t="s">
        <v>3853</v>
      </c>
      <c r="F15" s="143" t="s">
        <v>3249</v>
      </c>
      <c r="G15" s="143" t="s">
        <v>3250</v>
      </c>
      <c r="H15" s="143" t="s">
        <v>312</v>
      </c>
      <c r="I15" s="143" t="s">
        <v>1000</v>
      </c>
      <c r="J15" s="145" t="s">
        <v>3853</v>
      </c>
      <c r="K15" s="143" t="s">
        <v>205</v>
      </c>
      <c r="L15" s="145" t="s">
        <v>3853</v>
      </c>
      <c r="M15" s="145" t="s">
        <v>3853</v>
      </c>
      <c r="N15" s="143" t="s">
        <v>291</v>
      </c>
      <c r="O15" s="143" t="s">
        <v>339</v>
      </c>
      <c r="P15" s="162">
        <v>44993</v>
      </c>
      <c r="Q15" s="143" t="s">
        <v>1211</v>
      </c>
      <c r="R15" s="143" t="s">
        <v>885</v>
      </c>
      <c r="S15" s="143" t="s">
        <v>889</v>
      </c>
      <c r="T15" s="161">
        <v>45428</v>
      </c>
      <c r="U15" s="143" t="s">
        <v>1212</v>
      </c>
      <c r="V15" s="144">
        <v>593.74684756584202</v>
      </c>
      <c r="W15" s="144">
        <v>2231.8944000000001</v>
      </c>
      <c r="X15" s="145" t="s">
        <v>3853</v>
      </c>
      <c r="Y15" s="146">
        <v>1.7500715309815233E-2</v>
      </c>
      <c r="Z15" s="147">
        <v>3.369934806369111E-3</v>
      </c>
      <c r="AA15" s="181"/>
    </row>
    <row r="16" spans="1:27" ht="15" x14ac:dyDescent="0.2">
      <c r="A16" s="142" t="s">
        <v>1205</v>
      </c>
      <c r="B16" s="143" t="s">
        <v>1205</v>
      </c>
      <c r="C16" s="143" t="s">
        <v>3251</v>
      </c>
      <c r="D16" s="145" t="s">
        <v>3853</v>
      </c>
      <c r="E16" s="145" t="s">
        <v>3853</v>
      </c>
      <c r="F16" s="143" t="s">
        <v>3252</v>
      </c>
      <c r="G16" s="143" t="s">
        <v>3253</v>
      </c>
      <c r="H16" s="143" t="s">
        <v>312</v>
      </c>
      <c r="I16" s="143" t="s">
        <v>1000</v>
      </c>
      <c r="J16" s="145" t="s">
        <v>3853</v>
      </c>
      <c r="K16" s="143" t="s">
        <v>205</v>
      </c>
      <c r="L16" s="145" t="s">
        <v>3853</v>
      </c>
      <c r="M16" s="145" t="s">
        <v>3853</v>
      </c>
      <c r="N16" s="143" t="s">
        <v>224</v>
      </c>
      <c r="O16" s="143" t="s">
        <v>339</v>
      </c>
      <c r="P16" s="162">
        <v>45362</v>
      </c>
      <c r="Q16" s="143" t="s">
        <v>1211</v>
      </c>
      <c r="R16" s="143" t="s">
        <v>885</v>
      </c>
      <c r="S16" s="143" t="s">
        <v>889</v>
      </c>
      <c r="T16" s="161">
        <v>45461</v>
      </c>
      <c r="U16" s="143" t="s">
        <v>1212</v>
      </c>
      <c r="V16" s="144">
        <v>550.47241287576492</v>
      </c>
      <c r="W16" s="144">
        <v>2069.2258000000002</v>
      </c>
      <c r="X16" s="146">
        <v>6.8120142857142855E-5</v>
      </c>
      <c r="Y16" s="146">
        <v>1.6225199004474014E-2</v>
      </c>
      <c r="Z16" s="147">
        <v>3.1243216004306113E-3</v>
      </c>
      <c r="AA16" s="181"/>
    </row>
    <row r="17" spans="1:27" ht="15" x14ac:dyDescent="0.2">
      <c r="A17" s="142" t="s">
        <v>1205</v>
      </c>
      <c r="B17" s="143" t="s">
        <v>1205</v>
      </c>
      <c r="C17" s="143" t="s">
        <v>3254</v>
      </c>
      <c r="D17" s="145" t="s">
        <v>3853</v>
      </c>
      <c r="E17" s="145" t="s">
        <v>3853</v>
      </c>
      <c r="F17" s="143" t="s">
        <v>3255</v>
      </c>
      <c r="G17" s="143" t="s">
        <v>3256</v>
      </c>
      <c r="H17" s="143" t="s">
        <v>312</v>
      </c>
      <c r="I17" s="143" t="s">
        <v>1000</v>
      </c>
      <c r="J17" s="145" t="s">
        <v>3853</v>
      </c>
      <c r="K17" s="143" t="s">
        <v>205</v>
      </c>
      <c r="L17" s="145" t="s">
        <v>3853</v>
      </c>
      <c r="M17" s="145" t="s">
        <v>3853</v>
      </c>
      <c r="N17" s="143" t="s">
        <v>224</v>
      </c>
      <c r="O17" s="143" t="s">
        <v>339</v>
      </c>
      <c r="P17" s="162">
        <v>45320</v>
      </c>
      <c r="Q17" s="143" t="s">
        <v>1211</v>
      </c>
      <c r="R17" s="143" t="s">
        <v>885</v>
      </c>
      <c r="S17" s="143" t="s">
        <v>889</v>
      </c>
      <c r="T17" s="161">
        <v>45473</v>
      </c>
      <c r="U17" s="143" t="s">
        <v>1212</v>
      </c>
      <c r="V17" s="144">
        <v>539.0382814578345</v>
      </c>
      <c r="W17" s="144">
        <v>2026.2448999999999</v>
      </c>
      <c r="X17" s="146">
        <v>3.1790133333333331E-4</v>
      </c>
      <c r="Y17" s="146">
        <v>1.5888177396071783E-2</v>
      </c>
      <c r="Z17" s="147">
        <v>3.0594247760124568E-3</v>
      </c>
      <c r="AA17" s="181"/>
    </row>
    <row r="18" spans="1:27" ht="15" x14ac:dyDescent="0.2">
      <c r="A18" s="142" t="s">
        <v>1205</v>
      </c>
      <c r="B18" s="143" t="s">
        <v>1205</v>
      </c>
      <c r="C18" s="143" t="s">
        <v>3257</v>
      </c>
      <c r="D18" s="145" t="s">
        <v>3853</v>
      </c>
      <c r="E18" s="145" t="s">
        <v>3853</v>
      </c>
      <c r="F18" s="143" t="s">
        <v>3258</v>
      </c>
      <c r="G18" s="143" t="s">
        <v>3259</v>
      </c>
      <c r="H18" s="143" t="s">
        <v>312</v>
      </c>
      <c r="I18" s="143" t="s">
        <v>1000</v>
      </c>
      <c r="J18" s="145" t="s">
        <v>3853</v>
      </c>
      <c r="K18" s="143" t="s">
        <v>205</v>
      </c>
      <c r="L18" s="145" t="s">
        <v>3853</v>
      </c>
      <c r="M18" s="145" t="s">
        <v>3853</v>
      </c>
      <c r="N18" s="143" t="s">
        <v>291</v>
      </c>
      <c r="O18" s="143" t="s">
        <v>339</v>
      </c>
      <c r="P18" s="162">
        <v>44706</v>
      </c>
      <c r="Q18" s="143" t="s">
        <v>1211</v>
      </c>
      <c r="R18" s="143" t="s">
        <v>885</v>
      </c>
      <c r="S18" s="143" t="s">
        <v>889</v>
      </c>
      <c r="T18" s="161">
        <v>45428</v>
      </c>
      <c r="U18" s="143" t="s">
        <v>1212</v>
      </c>
      <c r="V18" s="144">
        <v>452.26012237297158</v>
      </c>
      <c r="W18" s="144">
        <v>1700.0458000000001</v>
      </c>
      <c r="X18" s="146">
        <v>3.9780132000000003E-5</v>
      </c>
      <c r="Y18" s="146">
        <v>1.333038756878748E-2</v>
      </c>
      <c r="Z18" s="147">
        <v>2.5668971956393314E-3</v>
      </c>
      <c r="AA18" s="181"/>
    </row>
    <row r="19" spans="1:27" ht="15" x14ac:dyDescent="0.2">
      <c r="A19" s="142" t="s">
        <v>1205</v>
      </c>
      <c r="B19" s="143" t="s">
        <v>1205</v>
      </c>
      <c r="C19" s="143" t="s">
        <v>3260</v>
      </c>
      <c r="D19" s="145" t="s">
        <v>3853</v>
      </c>
      <c r="E19" s="145" t="s">
        <v>3853</v>
      </c>
      <c r="F19" s="143" t="s">
        <v>3261</v>
      </c>
      <c r="G19" s="143" t="s">
        <v>3262</v>
      </c>
      <c r="H19" s="143" t="s">
        <v>312</v>
      </c>
      <c r="I19" s="143" t="s">
        <v>1000</v>
      </c>
      <c r="J19" s="145" t="s">
        <v>3853</v>
      </c>
      <c r="K19" s="143" t="s">
        <v>205</v>
      </c>
      <c r="L19" s="145" t="s">
        <v>3853</v>
      </c>
      <c r="M19" s="145" t="s">
        <v>3853</v>
      </c>
      <c r="N19" s="143" t="s">
        <v>224</v>
      </c>
      <c r="O19" s="143" t="s">
        <v>339</v>
      </c>
      <c r="P19" s="162">
        <v>45294</v>
      </c>
      <c r="Q19" s="143" t="s">
        <v>1211</v>
      </c>
      <c r="R19" s="143" t="s">
        <v>885</v>
      </c>
      <c r="S19" s="143" t="s">
        <v>889</v>
      </c>
      <c r="T19" s="161">
        <v>45461</v>
      </c>
      <c r="U19" s="143" t="s">
        <v>1212</v>
      </c>
      <c r="V19" s="144">
        <v>443.61010907156162</v>
      </c>
      <c r="W19" s="144">
        <v>1667.5303999999999</v>
      </c>
      <c r="X19" s="145" t="s">
        <v>3853</v>
      </c>
      <c r="Y19" s="146">
        <v>1.3075427874139607E-2</v>
      </c>
      <c r="Z19" s="147">
        <v>2.5178021995774717E-3</v>
      </c>
      <c r="AA19" s="181"/>
    </row>
    <row r="20" spans="1:27" ht="15" x14ac:dyDescent="0.2">
      <c r="A20" s="142" t="s">
        <v>1205</v>
      </c>
      <c r="B20" s="143" t="s">
        <v>1205</v>
      </c>
      <c r="C20" s="143" t="s">
        <v>3263</v>
      </c>
      <c r="D20" s="145" t="s">
        <v>3853</v>
      </c>
      <c r="E20" s="145" t="s">
        <v>3853</v>
      </c>
      <c r="F20" s="143" t="s">
        <v>3264</v>
      </c>
      <c r="G20" s="143" t="s">
        <v>3265</v>
      </c>
      <c r="H20" s="143" t="s">
        <v>312</v>
      </c>
      <c r="I20" s="143" t="s">
        <v>1000</v>
      </c>
      <c r="J20" s="145" t="s">
        <v>3853</v>
      </c>
      <c r="K20" s="143" t="s">
        <v>205</v>
      </c>
      <c r="L20" s="145" t="s">
        <v>3853</v>
      </c>
      <c r="M20" s="145" t="s">
        <v>3853</v>
      </c>
      <c r="N20" s="143" t="s">
        <v>2975</v>
      </c>
      <c r="O20" s="143" t="s">
        <v>339</v>
      </c>
      <c r="P20" s="162">
        <v>45378</v>
      </c>
      <c r="Q20" s="143" t="s">
        <v>1214</v>
      </c>
      <c r="R20" s="143" t="s">
        <v>885</v>
      </c>
      <c r="S20" s="143" t="s">
        <v>889</v>
      </c>
      <c r="T20" s="161">
        <v>45434</v>
      </c>
      <c r="U20" s="143" t="s">
        <v>1215</v>
      </c>
      <c r="V20" s="144">
        <v>388.01761106412613</v>
      </c>
      <c r="W20" s="144">
        <v>1559.9083999999998</v>
      </c>
      <c r="X20" s="146">
        <v>6.1882072727272733E-5</v>
      </c>
      <c r="Y20" s="146">
        <v>1.2231543234956252E-2</v>
      </c>
      <c r="Z20" s="147">
        <v>2.3553039149188286E-3</v>
      </c>
      <c r="AA20" s="181"/>
    </row>
    <row r="21" spans="1:27" ht="15" x14ac:dyDescent="0.2">
      <c r="A21" s="142" t="s">
        <v>1205</v>
      </c>
      <c r="B21" s="143" t="s">
        <v>1205</v>
      </c>
      <c r="C21" s="143" t="s">
        <v>3266</v>
      </c>
      <c r="D21" s="145" t="s">
        <v>3853</v>
      </c>
      <c r="E21" s="145" t="s">
        <v>3853</v>
      </c>
      <c r="F21" s="143" t="s">
        <v>3267</v>
      </c>
      <c r="G21" s="143" t="s">
        <v>3268</v>
      </c>
      <c r="H21" s="143" t="s">
        <v>312</v>
      </c>
      <c r="I21" s="143" t="s">
        <v>1000</v>
      </c>
      <c r="J21" s="145" t="s">
        <v>3853</v>
      </c>
      <c r="K21" s="143" t="s">
        <v>205</v>
      </c>
      <c r="L21" s="145" t="s">
        <v>3853</v>
      </c>
      <c r="M21" s="145" t="s">
        <v>3853</v>
      </c>
      <c r="N21" s="143" t="s">
        <v>291</v>
      </c>
      <c r="O21" s="143" t="s">
        <v>339</v>
      </c>
      <c r="P21" s="162">
        <v>43718</v>
      </c>
      <c r="Q21" s="143" t="s">
        <v>1211</v>
      </c>
      <c r="R21" s="143" t="s">
        <v>885</v>
      </c>
      <c r="S21" s="143" t="s">
        <v>889</v>
      </c>
      <c r="T21" s="160">
        <v>45442</v>
      </c>
      <c r="U21" s="143" t="s">
        <v>1212</v>
      </c>
      <c r="V21" s="144">
        <v>406.8299015695664</v>
      </c>
      <c r="W21" s="144">
        <v>1529.2736</v>
      </c>
      <c r="X21" s="145" t="s">
        <v>3853</v>
      </c>
      <c r="Y21" s="146">
        <v>1.1991329407503264E-2</v>
      </c>
      <c r="Z21" s="147">
        <v>2.3090483805721291E-3</v>
      </c>
      <c r="AA21" s="181"/>
    </row>
    <row r="22" spans="1:27" ht="15" x14ac:dyDescent="0.2">
      <c r="A22" s="142" t="s">
        <v>1205</v>
      </c>
      <c r="B22" s="143" t="s">
        <v>1205</v>
      </c>
      <c r="C22" s="143" t="s">
        <v>3269</v>
      </c>
      <c r="D22" s="145" t="s">
        <v>3853</v>
      </c>
      <c r="E22" s="145" t="s">
        <v>3853</v>
      </c>
      <c r="F22" s="143" t="s">
        <v>3270</v>
      </c>
      <c r="G22" s="143" t="s">
        <v>3271</v>
      </c>
      <c r="H22" s="143" t="s">
        <v>312</v>
      </c>
      <c r="I22" s="143" t="s">
        <v>1000</v>
      </c>
      <c r="J22" s="145" t="s">
        <v>3853</v>
      </c>
      <c r="K22" s="143" t="s">
        <v>205</v>
      </c>
      <c r="L22" s="145" t="s">
        <v>3853</v>
      </c>
      <c r="M22" s="145" t="s">
        <v>3853</v>
      </c>
      <c r="N22" s="143" t="s">
        <v>224</v>
      </c>
      <c r="O22" s="143" t="s">
        <v>339</v>
      </c>
      <c r="P22" s="162">
        <v>44754</v>
      </c>
      <c r="Q22" s="143" t="s">
        <v>1211</v>
      </c>
      <c r="R22" s="143" t="s">
        <v>885</v>
      </c>
      <c r="S22" s="143" t="s">
        <v>889</v>
      </c>
      <c r="T22" s="160">
        <v>45431</v>
      </c>
      <c r="U22" s="143" t="s">
        <v>1212</v>
      </c>
      <c r="V22" s="144">
        <v>385.64852354349563</v>
      </c>
      <c r="W22" s="144">
        <v>1449.6528000000001</v>
      </c>
      <c r="X22" s="145" t="s">
        <v>3853</v>
      </c>
      <c r="Y22" s="146">
        <v>1.1367007486016585E-2</v>
      </c>
      <c r="Z22" s="147">
        <v>2.188829056027308E-3</v>
      </c>
      <c r="AA22" s="181"/>
    </row>
    <row r="23" spans="1:27" ht="15" x14ac:dyDescent="0.2">
      <c r="A23" s="142" t="s">
        <v>1205</v>
      </c>
      <c r="B23" s="143" t="s">
        <v>1205</v>
      </c>
      <c r="C23" s="143" t="s">
        <v>3254</v>
      </c>
      <c r="D23" s="145" t="s">
        <v>3853</v>
      </c>
      <c r="E23" s="145" t="s">
        <v>3853</v>
      </c>
      <c r="F23" s="143" t="s">
        <v>3272</v>
      </c>
      <c r="G23" s="143" t="s">
        <v>3273</v>
      </c>
      <c r="H23" s="143" t="s">
        <v>312</v>
      </c>
      <c r="I23" s="143" t="s">
        <v>1000</v>
      </c>
      <c r="J23" s="145" t="s">
        <v>3853</v>
      </c>
      <c r="K23" s="143" t="s">
        <v>205</v>
      </c>
      <c r="L23" s="145" t="s">
        <v>3853</v>
      </c>
      <c r="M23" s="145" t="s">
        <v>3853</v>
      </c>
      <c r="N23" s="143" t="s">
        <v>224</v>
      </c>
      <c r="O23" s="143" t="s">
        <v>339</v>
      </c>
      <c r="P23" s="162">
        <v>45316</v>
      </c>
      <c r="Q23" s="143" t="s">
        <v>1211</v>
      </c>
      <c r="R23" s="143" t="s">
        <v>885</v>
      </c>
      <c r="S23" s="143" t="s">
        <v>889</v>
      </c>
      <c r="T23" s="160">
        <v>45449</v>
      </c>
      <c r="U23" s="143" t="s">
        <v>1212</v>
      </c>
      <c r="V23" s="144">
        <v>381.92378292098959</v>
      </c>
      <c r="W23" s="144">
        <v>1435.6514999999999</v>
      </c>
      <c r="X23" s="146">
        <v>3.6744210526315789E-4</v>
      </c>
      <c r="Y23" s="146">
        <v>1.1257220422071987E-2</v>
      </c>
      <c r="Z23" s="147">
        <v>2.1676884773980179E-3</v>
      </c>
      <c r="AA23" s="181"/>
    </row>
    <row r="24" spans="1:27" ht="15" x14ac:dyDescent="0.2">
      <c r="A24" s="142" t="s">
        <v>1205</v>
      </c>
      <c r="B24" s="143" t="s">
        <v>1205</v>
      </c>
      <c r="C24" s="143" t="s">
        <v>3274</v>
      </c>
      <c r="D24" s="145" t="s">
        <v>3853</v>
      </c>
      <c r="E24" s="145" t="s">
        <v>3853</v>
      </c>
      <c r="F24" s="143" t="s">
        <v>3275</v>
      </c>
      <c r="G24" s="143" t="s">
        <v>3276</v>
      </c>
      <c r="H24" s="143" t="s">
        <v>312</v>
      </c>
      <c r="I24" s="143" t="s">
        <v>1000</v>
      </c>
      <c r="J24" s="145" t="s">
        <v>3853</v>
      </c>
      <c r="K24" s="143" t="s">
        <v>205</v>
      </c>
      <c r="L24" s="145" t="s">
        <v>3853</v>
      </c>
      <c r="M24" s="145" t="s">
        <v>3853</v>
      </c>
      <c r="N24" s="143" t="s">
        <v>291</v>
      </c>
      <c r="O24" s="143" t="s">
        <v>339</v>
      </c>
      <c r="P24" s="162">
        <v>44524</v>
      </c>
      <c r="Q24" s="143" t="s">
        <v>1211</v>
      </c>
      <c r="R24" s="143" t="s">
        <v>885</v>
      </c>
      <c r="S24" s="143" t="s">
        <v>889</v>
      </c>
      <c r="T24" s="160">
        <v>45442</v>
      </c>
      <c r="U24" s="143" t="s">
        <v>1212</v>
      </c>
      <c r="V24" s="144">
        <v>379.36773077946265</v>
      </c>
      <c r="W24" s="144">
        <v>1426.0433</v>
      </c>
      <c r="X24" s="146">
        <v>1.5924775313003272E-3</v>
      </c>
      <c r="Y24" s="146">
        <v>1.1181880944685432E-2</v>
      </c>
      <c r="Z24" s="147">
        <v>2.1531811202618089E-3</v>
      </c>
      <c r="AA24" s="181"/>
    </row>
    <row r="25" spans="1:27" ht="15" x14ac:dyDescent="0.2">
      <c r="A25" s="142" t="s">
        <v>1205</v>
      </c>
      <c r="B25" s="143" t="s">
        <v>1205</v>
      </c>
      <c r="C25" s="143" t="s">
        <v>3254</v>
      </c>
      <c r="D25" s="145" t="s">
        <v>3853</v>
      </c>
      <c r="E25" s="145" t="s">
        <v>3853</v>
      </c>
      <c r="F25" s="143" t="s">
        <v>3277</v>
      </c>
      <c r="G25" s="143" t="s">
        <v>3278</v>
      </c>
      <c r="H25" s="143" t="s">
        <v>312</v>
      </c>
      <c r="I25" s="143" t="s">
        <v>1000</v>
      </c>
      <c r="J25" s="145" t="s">
        <v>3853</v>
      </c>
      <c r="K25" s="143" t="s">
        <v>205</v>
      </c>
      <c r="L25" s="145" t="s">
        <v>3853</v>
      </c>
      <c r="M25" s="145" t="s">
        <v>3853</v>
      </c>
      <c r="N25" s="143" t="s">
        <v>224</v>
      </c>
      <c r="O25" s="143" t="s">
        <v>339</v>
      </c>
      <c r="P25" s="162">
        <v>45298</v>
      </c>
      <c r="Q25" s="143" t="s">
        <v>1211</v>
      </c>
      <c r="R25" s="143" t="s">
        <v>885</v>
      </c>
      <c r="S25" s="143" t="s">
        <v>889</v>
      </c>
      <c r="T25" s="160">
        <v>45470</v>
      </c>
      <c r="U25" s="143" t="s">
        <v>1212</v>
      </c>
      <c r="V25" s="144">
        <v>367.65764831072096</v>
      </c>
      <c r="W25" s="144">
        <v>1382.0251000000001</v>
      </c>
      <c r="X25" s="146">
        <v>2.1048089808917196E-4</v>
      </c>
      <c r="Y25" s="146">
        <v>1.0836725440067713E-2</v>
      </c>
      <c r="Z25" s="147">
        <v>2.0867180341519057E-3</v>
      </c>
      <c r="AA25" s="181"/>
    </row>
    <row r="26" spans="1:27" ht="15" x14ac:dyDescent="0.2">
      <c r="A26" s="142" t="s">
        <v>1205</v>
      </c>
      <c r="B26" s="143" t="s">
        <v>1205</v>
      </c>
      <c r="C26" s="143" t="s">
        <v>3279</v>
      </c>
      <c r="D26" s="145" t="s">
        <v>3853</v>
      </c>
      <c r="E26" s="145" t="s">
        <v>3853</v>
      </c>
      <c r="F26" s="143" t="s">
        <v>3280</v>
      </c>
      <c r="G26" s="143" t="s">
        <v>3281</v>
      </c>
      <c r="H26" s="143" t="s">
        <v>312</v>
      </c>
      <c r="I26" s="143" t="s">
        <v>1000</v>
      </c>
      <c r="J26" s="145" t="s">
        <v>3853</v>
      </c>
      <c r="K26" s="143" t="s">
        <v>205</v>
      </c>
      <c r="L26" s="145" t="s">
        <v>3853</v>
      </c>
      <c r="M26" s="145" t="s">
        <v>3853</v>
      </c>
      <c r="N26" s="143" t="s">
        <v>293</v>
      </c>
      <c r="O26" s="143" t="s">
        <v>339</v>
      </c>
      <c r="P26" s="162">
        <v>45217</v>
      </c>
      <c r="Q26" s="143" t="s">
        <v>1214</v>
      </c>
      <c r="R26" s="143" t="s">
        <v>885</v>
      </c>
      <c r="S26" s="143" t="s">
        <v>889</v>
      </c>
      <c r="T26" s="160">
        <v>45469</v>
      </c>
      <c r="U26" s="143" t="s">
        <v>1215</v>
      </c>
      <c r="V26" s="144">
        <v>303.72255111685985</v>
      </c>
      <c r="W26" s="144">
        <v>1221.0254</v>
      </c>
      <c r="X26" s="146">
        <v>1.42081125E-5</v>
      </c>
      <c r="Y26" s="146">
        <v>9.5742963090879509E-3</v>
      </c>
      <c r="Z26" s="147">
        <v>1.8436248923146125E-3</v>
      </c>
      <c r="AA26" s="181"/>
    </row>
    <row r="27" spans="1:27" ht="15" x14ac:dyDescent="0.2">
      <c r="A27" s="142" t="s">
        <v>1205</v>
      </c>
      <c r="B27" s="143" t="s">
        <v>1205</v>
      </c>
      <c r="C27" s="143" t="s">
        <v>3282</v>
      </c>
      <c r="D27" s="145" t="s">
        <v>3853</v>
      </c>
      <c r="E27" s="145" t="s">
        <v>3853</v>
      </c>
      <c r="F27" s="143" t="s">
        <v>3283</v>
      </c>
      <c r="G27" s="143" t="s">
        <v>3284</v>
      </c>
      <c r="H27" s="143" t="s">
        <v>312</v>
      </c>
      <c r="I27" s="143" t="s">
        <v>1000</v>
      </c>
      <c r="J27" s="145" t="s">
        <v>3853</v>
      </c>
      <c r="K27" s="143" t="s">
        <v>205</v>
      </c>
      <c r="L27" s="145" t="s">
        <v>3853</v>
      </c>
      <c r="M27" s="145" t="s">
        <v>3853</v>
      </c>
      <c r="N27" s="143" t="s">
        <v>296</v>
      </c>
      <c r="O27" s="143" t="s">
        <v>339</v>
      </c>
      <c r="P27" s="162">
        <v>45350</v>
      </c>
      <c r="Q27" s="143" t="s">
        <v>1211</v>
      </c>
      <c r="R27" s="143" t="s">
        <v>885</v>
      </c>
      <c r="S27" s="143" t="s">
        <v>889</v>
      </c>
      <c r="T27" s="160">
        <v>45412</v>
      </c>
      <c r="U27" s="143" t="s">
        <v>1212</v>
      </c>
      <c r="V27" s="144">
        <v>314.74485235434958</v>
      </c>
      <c r="W27" s="144">
        <v>1183.1259</v>
      </c>
      <c r="X27" s="146">
        <v>1.8534867333333335E-4</v>
      </c>
      <c r="Y27" s="146">
        <v>9.2771185642413941E-3</v>
      </c>
      <c r="Z27" s="147">
        <v>1.7864003955836121E-3</v>
      </c>
      <c r="AA27" s="181"/>
    </row>
    <row r="28" spans="1:27" ht="15" x14ac:dyDescent="0.2">
      <c r="A28" s="142" t="s">
        <v>1205</v>
      </c>
      <c r="B28" s="143" t="s">
        <v>1205</v>
      </c>
      <c r="C28" s="143" t="s">
        <v>3285</v>
      </c>
      <c r="D28" s="145" t="s">
        <v>3853</v>
      </c>
      <c r="E28" s="145" t="s">
        <v>3853</v>
      </c>
      <c r="F28" s="143" t="s">
        <v>3286</v>
      </c>
      <c r="G28" s="143" t="s">
        <v>3287</v>
      </c>
      <c r="H28" s="143" t="s">
        <v>312</v>
      </c>
      <c r="I28" s="143" t="s">
        <v>1000</v>
      </c>
      <c r="J28" s="145" t="s">
        <v>3853</v>
      </c>
      <c r="K28" s="143" t="s">
        <v>205</v>
      </c>
      <c r="L28" s="145" t="s">
        <v>3853</v>
      </c>
      <c r="M28" s="145" t="s">
        <v>3853</v>
      </c>
      <c r="N28" s="143" t="s">
        <v>291</v>
      </c>
      <c r="O28" s="143" t="s">
        <v>339</v>
      </c>
      <c r="P28" s="162">
        <v>45251</v>
      </c>
      <c r="Q28" s="143" t="s">
        <v>1211</v>
      </c>
      <c r="R28" s="143" t="s">
        <v>885</v>
      </c>
      <c r="S28" s="143" t="s">
        <v>889</v>
      </c>
      <c r="T28" s="160">
        <v>45470</v>
      </c>
      <c r="U28" s="143" t="s">
        <v>1212</v>
      </c>
      <c r="V28" s="144">
        <v>313.42684224527801</v>
      </c>
      <c r="W28" s="144">
        <v>1178.1714999999999</v>
      </c>
      <c r="X28" s="146">
        <v>1.7163333333333332E-4</v>
      </c>
      <c r="Y28" s="146">
        <v>9.2382702598254891E-3</v>
      </c>
      <c r="Z28" s="147">
        <v>1.7789197725975243E-3</v>
      </c>
      <c r="AA28" s="181"/>
    </row>
    <row r="29" spans="1:27" ht="15" x14ac:dyDescent="0.2">
      <c r="A29" s="142" t="s">
        <v>1205</v>
      </c>
      <c r="B29" s="143" t="s">
        <v>1205</v>
      </c>
      <c r="C29" s="143" t="s">
        <v>3288</v>
      </c>
      <c r="D29" s="145" t="s">
        <v>3853</v>
      </c>
      <c r="E29" s="145" t="s">
        <v>3853</v>
      </c>
      <c r="F29" s="143" t="s">
        <v>3289</v>
      </c>
      <c r="G29" s="143" t="s">
        <v>3290</v>
      </c>
      <c r="H29" s="143" t="s">
        <v>312</v>
      </c>
      <c r="I29" s="143" t="s">
        <v>1000</v>
      </c>
      <c r="J29" s="145" t="s">
        <v>3853</v>
      </c>
      <c r="K29" s="143" t="s">
        <v>205</v>
      </c>
      <c r="L29" s="145" t="s">
        <v>3853</v>
      </c>
      <c r="M29" s="145" t="s">
        <v>3853</v>
      </c>
      <c r="N29" s="143" t="s">
        <v>293</v>
      </c>
      <c r="O29" s="143" t="s">
        <v>339</v>
      </c>
      <c r="P29" s="162">
        <v>45279</v>
      </c>
      <c r="Q29" s="143" t="s">
        <v>1211</v>
      </c>
      <c r="R29" s="143" t="s">
        <v>885</v>
      </c>
      <c r="S29" s="143" t="s">
        <v>889</v>
      </c>
      <c r="T29" s="160">
        <v>45442</v>
      </c>
      <c r="U29" s="143" t="s">
        <v>1212</v>
      </c>
      <c r="V29" s="144">
        <v>307.01572226656032</v>
      </c>
      <c r="W29" s="144">
        <v>1154.0721000000001</v>
      </c>
      <c r="X29" s="146">
        <v>2.2889518000000001E-5</v>
      </c>
      <c r="Y29" s="146">
        <v>9.0493025896101389E-3</v>
      </c>
      <c r="Z29" s="147">
        <v>1.7425321896979819E-3</v>
      </c>
      <c r="AA29" s="181"/>
    </row>
    <row r="30" spans="1:27" ht="15" x14ac:dyDescent="0.2">
      <c r="A30" s="142" t="s">
        <v>1205</v>
      </c>
      <c r="B30" s="143" t="s">
        <v>1205</v>
      </c>
      <c r="C30" s="143" t="s">
        <v>3291</v>
      </c>
      <c r="D30" s="145" t="s">
        <v>3853</v>
      </c>
      <c r="E30" s="145" t="s">
        <v>3853</v>
      </c>
      <c r="F30" s="143" t="s">
        <v>3292</v>
      </c>
      <c r="G30" s="143" t="s">
        <v>3293</v>
      </c>
      <c r="H30" s="143" t="s">
        <v>312</v>
      </c>
      <c r="I30" s="143" t="s">
        <v>1000</v>
      </c>
      <c r="J30" s="145" t="s">
        <v>3853</v>
      </c>
      <c r="K30" s="143" t="s">
        <v>205</v>
      </c>
      <c r="L30" s="145" t="s">
        <v>3853</v>
      </c>
      <c r="M30" s="145" t="s">
        <v>3853</v>
      </c>
      <c r="N30" s="143" t="s">
        <v>204</v>
      </c>
      <c r="O30" s="143" t="s">
        <v>339</v>
      </c>
      <c r="P30" s="162">
        <v>45316</v>
      </c>
      <c r="Q30" s="143" t="s">
        <v>1211</v>
      </c>
      <c r="R30" s="143" t="s">
        <v>885</v>
      </c>
      <c r="S30" s="143" t="s">
        <v>889</v>
      </c>
      <c r="T30" s="160">
        <v>45442</v>
      </c>
      <c r="U30" s="143" t="s">
        <v>1212</v>
      </c>
      <c r="V30" s="144">
        <v>306.75775472200053</v>
      </c>
      <c r="W30" s="144">
        <v>1153.1024</v>
      </c>
      <c r="X30" s="146">
        <v>4.7814800000000002E-4</v>
      </c>
      <c r="Y30" s="146">
        <v>9.0416989248262945E-3</v>
      </c>
      <c r="Z30" s="147">
        <v>1.7410680292818264E-3</v>
      </c>
      <c r="AA30" s="181"/>
    </row>
    <row r="31" spans="1:27" ht="15" x14ac:dyDescent="0.2">
      <c r="A31" s="142" t="s">
        <v>1205</v>
      </c>
      <c r="B31" s="143" t="s">
        <v>1205</v>
      </c>
      <c r="C31" s="143" t="s">
        <v>3294</v>
      </c>
      <c r="D31" s="145" t="s">
        <v>3853</v>
      </c>
      <c r="E31" s="145" t="s">
        <v>3853</v>
      </c>
      <c r="F31" s="143" t="s">
        <v>3295</v>
      </c>
      <c r="G31" s="143" t="s">
        <v>3296</v>
      </c>
      <c r="H31" s="143" t="s">
        <v>312</v>
      </c>
      <c r="I31" s="143" t="s">
        <v>1000</v>
      </c>
      <c r="J31" s="145" t="s">
        <v>3853</v>
      </c>
      <c r="K31" s="143" t="s">
        <v>205</v>
      </c>
      <c r="L31" s="145" t="s">
        <v>3853</v>
      </c>
      <c r="M31" s="145" t="s">
        <v>3853</v>
      </c>
      <c r="N31" s="143" t="s">
        <v>268</v>
      </c>
      <c r="O31" s="143" t="s">
        <v>339</v>
      </c>
      <c r="P31" s="162">
        <v>45316</v>
      </c>
      <c r="Q31" s="143" t="s">
        <v>1211</v>
      </c>
      <c r="R31" s="143" t="s">
        <v>885</v>
      </c>
      <c r="S31" s="143" t="s">
        <v>889</v>
      </c>
      <c r="T31" s="160">
        <v>45442</v>
      </c>
      <c r="U31" s="143" t="s">
        <v>1212</v>
      </c>
      <c r="V31" s="144">
        <v>292.65645118382548</v>
      </c>
      <c r="W31" s="144">
        <v>1100.0956000000001</v>
      </c>
      <c r="X31" s="146">
        <v>1.3474093214285715E-4</v>
      </c>
      <c r="Y31" s="146">
        <v>8.6260618875754012E-3</v>
      </c>
      <c r="Z31" s="147">
        <v>1.6610330310630763E-3</v>
      </c>
      <c r="AA31" s="181"/>
    </row>
    <row r="32" spans="1:27" ht="15" x14ac:dyDescent="0.2">
      <c r="A32" s="142" t="s">
        <v>1205</v>
      </c>
      <c r="B32" s="143" t="s">
        <v>1205</v>
      </c>
      <c r="C32" s="143" t="s">
        <v>3297</v>
      </c>
      <c r="D32" s="145" t="s">
        <v>3853</v>
      </c>
      <c r="E32" s="145" t="s">
        <v>3853</v>
      </c>
      <c r="F32" s="143" t="s">
        <v>3298</v>
      </c>
      <c r="G32" s="143" t="s">
        <v>3299</v>
      </c>
      <c r="H32" s="143" t="s">
        <v>312</v>
      </c>
      <c r="I32" s="143" t="s">
        <v>1000</v>
      </c>
      <c r="J32" s="145" t="s">
        <v>3853</v>
      </c>
      <c r="K32" s="143" t="s">
        <v>205</v>
      </c>
      <c r="L32" s="145" t="s">
        <v>3853</v>
      </c>
      <c r="M32" s="145" t="s">
        <v>3853</v>
      </c>
      <c r="N32" s="143" t="s">
        <v>293</v>
      </c>
      <c r="O32" s="143" t="s">
        <v>339</v>
      </c>
      <c r="P32" s="162">
        <v>44893</v>
      </c>
      <c r="Q32" s="143" t="s">
        <v>1214</v>
      </c>
      <c r="R32" s="143" t="s">
        <v>885</v>
      </c>
      <c r="S32" s="143" t="s">
        <v>889</v>
      </c>
      <c r="T32" s="160">
        <v>45446</v>
      </c>
      <c r="U32" s="143" t="s">
        <v>1215</v>
      </c>
      <c r="V32" s="144">
        <v>225.57382717277747</v>
      </c>
      <c r="W32" s="144">
        <v>906.8519</v>
      </c>
      <c r="X32" s="146">
        <v>6.6228671711070138E-5</v>
      </c>
      <c r="Y32" s="146">
        <v>7.1108012267013842E-3</v>
      </c>
      <c r="Z32" s="147">
        <v>1.3692546922121299E-3</v>
      </c>
      <c r="AA32" s="181"/>
    </row>
    <row r="33" spans="1:27" ht="15" x14ac:dyDescent="0.2">
      <c r="A33" s="142" t="s">
        <v>1205</v>
      </c>
      <c r="B33" s="143" t="s">
        <v>1205</v>
      </c>
      <c r="C33" s="143" t="s">
        <v>3300</v>
      </c>
      <c r="D33" s="145" t="s">
        <v>3853</v>
      </c>
      <c r="E33" s="145" t="s">
        <v>3853</v>
      </c>
      <c r="F33" s="143" t="s">
        <v>3301</v>
      </c>
      <c r="G33" s="143" t="s">
        <v>3302</v>
      </c>
      <c r="H33" s="143" t="s">
        <v>312</v>
      </c>
      <c r="I33" s="143" t="s">
        <v>1000</v>
      </c>
      <c r="J33" s="145" t="s">
        <v>3853</v>
      </c>
      <c r="K33" s="143" t="s">
        <v>205</v>
      </c>
      <c r="L33" s="145" t="s">
        <v>3853</v>
      </c>
      <c r="M33" s="145" t="s">
        <v>3853</v>
      </c>
      <c r="N33" s="143" t="s">
        <v>2975</v>
      </c>
      <c r="O33" s="143" t="s">
        <v>339</v>
      </c>
      <c r="P33" s="162">
        <v>45299</v>
      </c>
      <c r="Q33" s="143" t="s">
        <v>1214</v>
      </c>
      <c r="R33" s="143" t="s">
        <v>885</v>
      </c>
      <c r="S33" s="143" t="s">
        <v>889</v>
      </c>
      <c r="T33" s="160">
        <v>45470</v>
      </c>
      <c r="U33" s="143" t="s">
        <v>1215</v>
      </c>
      <c r="V33" s="144">
        <v>225.39343813740606</v>
      </c>
      <c r="W33" s="144">
        <v>906.12669999999991</v>
      </c>
      <c r="X33" s="146">
        <v>1.4030604E-5</v>
      </c>
      <c r="Y33" s="146">
        <v>7.1051147559784335E-3</v>
      </c>
      <c r="Z33" s="147">
        <v>1.3681597063629558E-3</v>
      </c>
      <c r="AA33" s="181"/>
    </row>
    <row r="34" spans="1:27" ht="15" x14ac:dyDescent="0.2">
      <c r="A34" s="142" t="s">
        <v>1205</v>
      </c>
      <c r="B34" s="143" t="s">
        <v>1205</v>
      </c>
      <c r="C34" s="143" t="s">
        <v>3303</v>
      </c>
      <c r="D34" s="145" t="s">
        <v>3853</v>
      </c>
      <c r="E34" s="145" t="s">
        <v>3853</v>
      </c>
      <c r="F34" s="143" t="s">
        <v>3304</v>
      </c>
      <c r="G34" s="143" t="s">
        <v>3305</v>
      </c>
      <c r="H34" s="143" t="s">
        <v>312</v>
      </c>
      <c r="I34" s="143" t="s">
        <v>1000</v>
      </c>
      <c r="J34" s="145" t="s">
        <v>3853</v>
      </c>
      <c r="K34" s="143" t="s">
        <v>205</v>
      </c>
      <c r="L34" s="145" t="s">
        <v>3853</v>
      </c>
      <c r="M34" s="145" t="s">
        <v>3853</v>
      </c>
      <c r="N34" s="143" t="s">
        <v>296</v>
      </c>
      <c r="O34" s="143" t="s">
        <v>339</v>
      </c>
      <c r="P34" s="162">
        <v>45356</v>
      </c>
      <c r="Q34" s="143" t="s">
        <v>1214</v>
      </c>
      <c r="R34" s="143" t="s">
        <v>885</v>
      </c>
      <c r="S34" s="143" t="s">
        <v>889</v>
      </c>
      <c r="T34" s="163">
        <v>45460</v>
      </c>
      <c r="U34" s="143" t="s">
        <v>1215</v>
      </c>
      <c r="V34" s="144">
        <v>201.12340182080496</v>
      </c>
      <c r="W34" s="144">
        <v>808.55630000000008</v>
      </c>
      <c r="X34" s="146">
        <v>4.5737142857142854E-4</v>
      </c>
      <c r="Y34" s="146">
        <v>6.3400458430879787E-3</v>
      </c>
      <c r="Z34" s="147">
        <v>1.2208381647471954E-3</v>
      </c>
      <c r="AA34" s="181"/>
    </row>
    <row r="35" spans="1:27" ht="15" x14ac:dyDescent="0.2">
      <c r="A35" s="142" t="s">
        <v>1205</v>
      </c>
      <c r="B35" s="143" t="s">
        <v>1205</v>
      </c>
      <c r="C35" s="143" t="s">
        <v>3306</v>
      </c>
      <c r="D35" s="145" t="s">
        <v>3853</v>
      </c>
      <c r="E35" s="145" t="s">
        <v>3853</v>
      </c>
      <c r="F35" s="143" t="s">
        <v>3307</v>
      </c>
      <c r="G35" s="143" t="s">
        <v>3308</v>
      </c>
      <c r="H35" s="143" t="s">
        <v>312</v>
      </c>
      <c r="I35" s="143" t="s">
        <v>1000</v>
      </c>
      <c r="J35" s="145" t="s">
        <v>3853</v>
      </c>
      <c r="K35" s="143" t="s">
        <v>205</v>
      </c>
      <c r="L35" s="145" t="s">
        <v>3853</v>
      </c>
      <c r="M35" s="145" t="s">
        <v>3853</v>
      </c>
      <c r="N35" s="143" t="s">
        <v>268</v>
      </c>
      <c r="O35" s="143" t="s">
        <v>339</v>
      </c>
      <c r="P35" s="162">
        <v>44711</v>
      </c>
      <c r="Q35" s="143" t="s">
        <v>1211</v>
      </c>
      <c r="R35" s="143" t="s">
        <v>885</v>
      </c>
      <c r="S35" s="143" t="s">
        <v>889</v>
      </c>
      <c r="T35" s="163">
        <v>45412</v>
      </c>
      <c r="U35" s="143" t="s">
        <v>1212</v>
      </c>
      <c r="V35" s="144">
        <v>195.3604948124501</v>
      </c>
      <c r="W35" s="144">
        <v>734.36009999999999</v>
      </c>
      <c r="X35" s="146">
        <v>6.1022500000000005E-4</v>
      </c>
      <c r="Y35" s="146">
        <v>5.7582590713713428E-3</v>
      </c>
      <c r="Z35" s="147">
        <v>1.1088094015118193E-3</v>
      </c>
      <c r="AA35" s="181"/>
    </row>
    <row r="36" spans="1:27" ht="15" x14ac:dyDescent="0.2">
      <c r="A36" s="142" t="s">
        <v>1205</v>
      </c>
      <c r="B36" s="143" t="s">
        <v>1205</v>
      </c>
      <c r="C36" s="143" t="s">
        <v>3309</v>
      </c>
      <c r="D36" s="145" t="s">
        <v>3853</v>
      </c>
      <c r="E36" s="145" t="s">
        <v>3853</v>
      </c>
      <c r="F36" s="143" t="s">
        <v>3310</v>
      </c>
      <c r="G36" s="143" t="s">
        <v>3311</v>
      </c>
      <c r="H36" s="143" t="s">
        <v>312</v>
      </c>
      <c r="I36" s="143" t="s">
        <v>1000</v>
      </c>
      <c r="J36" s="145" t="s">
        <v>3853</v>
      </c>
      <c r="K36" s="143" t="s">
        <v>205</v>
      </c>
      <c r="L36" s="145" t="s">
        <v>3853</v>
      </c>
      <c r="M36" s="145" t="s">
        <v>3853</v>
      </c>
      <c r="N36" s="143" t="s">
        <v>224</v>
      </c>
      <c r="O36" s="143" t="s">
        <v>339</v>
      </c>
      <c r="P36" s="162">
        <v>44616</v>
      </c>
      <c r="Q36" s="143" t="s">
        <v>1211</v>
      </c>
      <c r="R36" s="143" t="s">
        <v>885</v>
      </c>
      <c r="S36" s="143" t="s">
        <v>889</v>
      </c>
      <c r="T36" s="163">
        <v>45442</v>
      </c>
      <c r="U36" s="143" t="s">
        <v>1212</v>
      </c>
      <c r="V36" s="144">
        <v>178.78770949720669</v>
      </c>
      <c r="W36" s="144">
        <v>672.06299999999999</v>
      </c>
      <c r="X36" s="146">
        <v>1.8580230769230769E-3</v>
      </c>
      <c r="Y36" s="146">
        <v>5.2697759412637006E-3</v>
      </c>
      <c r="Z36" s="147">
        <v>1.014747171863947E-3</v>
      </c>
      <c r="AA36" s="181"/>
    </row>
    <row r="37" spans="1:27" ht="15" x14ac:dyDescent="0.2">
      <c r="A37" s="142" t="s">
        <v>1205</v>
      </c>
      <c r="B37" s="143" t="s">
        <v>1205</v>
      </c>
      <c r="C37" s="143" t="s">
        <v>3312</v>
      </c>
      <c r="D37" s="145" t="s">
        <v>3853</v>
      </c>
      <c r="E37" s="145" t="s">
        <v>3853</v>
      </c>
      <c r="F37" s="143" t="s">
        <v>3313</v>
      </c>
      <c r="G37" s="143" t="s">
        <v>3314</v>
      </c>
      <c r="H37" s="143" t="s">
        <v>312</v>
      </c>
      <c r="I37" s="143" t="s">
        <v>1000</v>
      </c>
      <c r="J37" s="145" t="s">
        <v>3853</v>
      </c>
      <c r="K37" s="143" t="s">
        <v>205</v>
      </c>
      <c r="L37" s="145" t="s">
        <v>3853</v>
      </c>
      <c r="M37" s="145" t="s">
        <v>3853</v>
      </c>
      <c r="N37" s="143" t="s">
        <v>224</v>
      </c>
      <c r="O37" s="143" t="s">
        <v>339</v>
      </c>
      <c r="P37" s="162">
        <v>44991</v>
      </c>
      <c r="Q37" s="143" t="s">
        <v>1211</v>
      </c>
      <c r="R37" s="143" t="s">
        <v>885</v>
      </c>
      <c r="S37" s="143" t="s">
        <v>889</v>
      </c>
      <c r="T37" s="163">
        <v>45442</v>
      </c>
      <c r="U37" s="143" t="s">
        <v>1212</v>
      </c>
      <c r="V37" s="144">
        <v>166.27560521415271</v>
      </c>
      <c r="W37" s="144">
        <v>625.03</v>
      </c>
      <c r="X37" s="146">
        <v>2.052E-3</v>
      </c>
      <c r="Y37" s="146">
        <v>4.9009811927250898E-3</v>
      </c>
      <c r="Z37" s="147">
        <v>9.4373211690734315E-4</v>
      </c>
      <c r="AA37" s="181"/>
    </row>
    <row r="38" spans="1:27" ht="15" x14ac:dyDescent="0.2">
      <c r="A38" s="142" t="s">
        <v>1205</v>
      </c>
      <c r="B38" s="143" t="s">
        <v>1205</v>
      </c>
      <c r="C38" s="143" t="s">
        <v>3315</v>
      </c>
      <c r="D38" s="145" t="s">
        <v>3853</v>
      </c>
      <c r="E38" s="145" t="s">
        <v>3853</v>
      </c>
      <c r="F38" s="143" t="s">
        <v>3316</v>
      </c>
      <c r="G38" s="143" t="s">
        <v>3317</v>
      </c>
      <c r="H38" s="143" t="s">
        <v>312</v>
      </c>
      <c r="I38" s="143" t="s">
        <v>1000</v>
      </c>
      <c r="J38" s="145" t="s">
        <v>3853</v>
      </c>
      <c r="K38" s="143" t="s">
        <v>205</v>
      </c>
      <c r="L38" s="145" t="s">
        <v>3853</v>
      </c>
      <c r="M38" s="145" t="s">
        <v>3853</v>
      </c>
      <c r="N38" s="143" t="s">
        <v>224</v>
      </c>
      <c r="O38" s="143" t="s">
        <v>339</v>
      </c>
      <c r="P38" s="162">
        <v>45362</v>
      </c>
      <c r="Q38" s="143" t="s">
        <v>1211</v>
      </c>
      <c r="R38" s="143" t="s">
        <v>885</v>
      </c>
      <c r="S38" s="143" t="s">
        <v>889</v>
      </c>
      <c r="T38" s="163">
        <v>45428</v>
      </c>
      <c r="U38" s="143" t="s">
        <v>1212</v>
      </c>
      <c r="V38" s="144">
        <v>157.3805001330141</v>
      </c>
      <c r="W38" s="144">
        <v>591.5933</v>
      </c>
      <c r="X38" s="145" t="s">
        <v>3853</v>
      </c>
      <c r="Y38" s="146">
        <v>4.6387969817649434E-3</v>
      </c>
      <c r="Z38" s="147">
        <v>8.9324596919545586E-4</v>
      </c>
      <c r="AA38" s="181"/>
    </row>
    <row r="39" spans="1:27" ht="15" x14ac:dyDescent="0.2">
      <c r="A39" s="142" t="s">
        <v>1205</v>
      </c>
      <c r="B39" s="143" t="s">
        <v>1205</v>
      </c>
      <c r="C39" s="143" t="s">
        <v>3318</v>
      </c>
      <c r="D39" s="145" t="s">
        <v>3853</v>
      </c>
      <c r="E39" s="145" t="s">
        <v>3853</v>
      </c>
      <c r="F39" s="143" t="s">
        <v>3319</v>
      </c>
      <c r="G39" s="143" t="s">
        <v>3320</v>
      </c>
      <c r="H39" s="143" t="s">
        <v>312</v>
      </c>
      <c r="I39" s="143" t="s">
        <v>1000</v>
      </c>
      <c r="J39" s="145" t="s">
        <v>3853</v>
      </c>
      <c r="K39" s="143" t="s">
        <v>205</v>
      </c>
      <c r="L39" s="145" t="s">
        <v>3853</v>
      </c>
      <c r="M39" s="145" t="s">
        <v>3853</v>
      </c>
      <c r="N39" s="143" t="s">
        <v>224</v>
      </c>
      <c r="O39" s="143" t="s">
        <v>339</v>
      </c>
      <c r="P39" s="162">
        <v>45370</v>
      </c>
      <c r="Q39" s="143" t="s">
        <v>1211</v>
      </c>
      <c r="R39" s="143" t="s">
        <v>885</v>
      </c>
      <c r="S39" s="143" t="s">
        <v>889</v>
      </c>
      <c r="T39" s="163">
        <v>45460</v>
      </c>
      <c r="U39" s="143" t="s">
        <v>1212</v>
      </c>
      <c r="V39" s="144">
        <v>151.21529662144189</v>
      </c>
      <c r="W39" s="144">
        <v>568.41830000000004</v>
      </c>
      <c r="X39" s="145" t="s">
        <v>3853</v>
      </c>
      <c r="Y39" s="146">
        <v>4.4570776005994125E-3</v>
      </c>
      <c r="Z39" s="147">
        <v>8.5825411562029798E-4</v>
      </c>
      <c r="AA39" s="181"/>
    </row>
    <row r="40" spans="1:27" ht="15" x14ac:dyDescent="0.2">
      <c r="A40" s="142" t="s">
        <v>1205</v>
      </c>
      <c r="B40" s="143" t="s">
        <v>1205</v>
      </c>
      <c r="C40" s="143" t="s">
        <v>3321</v>
      </c>
      <c r="D40" s="145" t="s">
        <v>3853</v>
      </c>
      <c r="E40" s="145" t="s">
        <v>3853</v>
      </c>
      <c r="F40" s="143" t="s">
        <v>3322</v>
      </c>
      <c r="G40" s="143" t="s">
        <v>3323</v>
      </c>
      <c r="H40" s="143" t="s">
        <v>312</v>
      </c>
      <c r="I40" s="143" t="s">
        <v>1000</v>
      </c>
      <c r="J40" s="145" t="s">
        <v>3853</v>
      </c>
      <c r="K40" s="143" t="s">
        <v>205</v>
      </c>
      <c r="L40" s="145" t="s">
        <v>3853</v>
      </c>
      <c r="M40" s="145" t="s">
        <v>3853</v>
      </c>
      <c r="N40" s="143" t="s">
        <v>296</v>
      </c>
      <c r="O40" s="143" t="s">
        <v>339</v>
      </c>
      <c r="P40" s="162">
        <v>45365</v>
      </c>
      <c r="Q40" s="143" t="s">
        <v>1211</v>
      </c>
      <c r="R40" s="143" t="s">
        <v>885</v>
      </c>
      <c r="S40" s="143" t="s">
        <v>889</v>
      </c>
      <c r="T40" s="163">
        <v>45470</v>
      </c>
      <c r="U40" s="143" t="s">
        <v>1212</v>
      </c>
      <c r="V40" s="144">
        <v>135.39928172386274</v>
      </c>
      <c r="W40" s="144">
        <v>508.96590000000003</v>
      </c>
      <c r="X40" s="146">
        <v>1.6790307692307693E-3</v>
      </c>
      <c r="Y40" s="146">
        <v>3.990900237048841E-3</v>
      </c>
      <c r="Z40" s="147">
        <v>7.684870806414835E-4</v>
      </c>
      <c r="AA40" s="181"/>
    </row>
    <row r="41" spans="1:27" ht="15" x14ac:dyDescent="0.2">
      <c r="A41" s="142" t="s">
        <v>1205</v>
      </c>
      <c r="B41" s="143" t="s">
        <v>1205</v>
      </c>
      <c r="C41" s="143" t="s">
        <v>3324</v>
      </c>
      <c r="D41" s="145" t="s">
        <v>3853</v>
      </c>
      <c r="E41" s="145" t="s">
        <v>3853</v>
      </c>
      <c r="F41" s="143" t="s">
        <v>3325</v>
      </c>
      <c r="G41" s="143" t="s">
        <v>3326</v>
      </c>
      <c r="H41" s="143" t="s">
        <v>312</v>
      </c>
      <c r="I41" s="143" t="s">
        <v>1000</v>
      </c>
      <c r="J41" s="145" t="s">
        <v>3853</v>
      </c>
      <c r="K41" s="143" t="s">
        <v>205</v>
      </c>
      <c r="L41" s="145" t="s">
        <v>3853</v>
      </c>
      <c r="M41" s="145" t="s">
        <v>3853</v>
      </c>
      <c r="N41" s="143" t="s">
        <v>291</v>
      </c>
      <c r="O41" s="143" t="s">
        <v>339</v>
      </c>
      <c r="P41" s="162">
        <v>45362</v>
      </c>
      <c r="Q41" s="143" t="s">
        <v>1211</v>
      </c>
      <c r="R41" s="143" t="s">
        <v>885</v>
      </c>
      <c r="S41" s="143" t="s">
        <v>889</v>
      </c>
      <c r="T41" s="163">
        <v>45433</v>
      </c>
      <c r="U41" s="143" t="s">
        <v>1212</v>
      </c>
      <c r="V41" s="144">
        <v>131.00220803405162</v>
      </c>
      <c r="W41" s="144">
        <v>492.43729999999999</v>
      </c>
      <c r="X41" s="146">
        <v>1.838368E-5</v>
      </c>
      <c r="Y41" s="146">
        <v>3.861295647093769E-3</v>
      </c>
      <c r="Z41" s="147">
        <v>7.4353044252567816E-4</v>
      </c>
      <c r="AA41" s="181"/>
    </row>
    <row r="42" spans="1:27" ht="15" x14ac:dyDescent="0.2">
      <c r="A42" s="142" t="s">
        <v>1205</v>
      </c>
      <c r="B42" s="143" t="s">
        <v>1205</v>
      </c>
      <c r="C42" s="143" t="s">
        <v>3327</v>
      </c>
      <c r="D42" s="145" t="s">
        <v>3853</v>
      </c>
      <c r="E42" s="145" t="s">
        <v>3853</v>
      </c>
      <c r="F42" s="143" t="s">
        <v>3328</v>
      </c>
      <c r="G42" s="143" t="s">
        <v>3329</v>
      </c>
      <c r="H42" s="143" t="s">
        <v>312</v>
      </c>
      <c r="I42" s="143" t="s">
        <v>1000</v>
      </c>
      <c r="J42" s="145" t="s">
        <v>3853</v>
      </c>
      <c r="K42" s="143" t="s">
        <v>205</v>
      </c>
      <c r="L42" s="145" t="s">
        <v>3853</v>
      </c>
      <c r="M42" s="145" t="s">
        <v>3853</v>
      </c>
      <c r="N42" s="143" t="s">
        <v>289</v>
      </c>
      <c r="O42" s="143" t="s">
        <v>339</v>
      </c>
      <c r="P42" s="162">
        <v>45291</v>
      </c>
      <c r="Q42" s="143" t="s">
        <v>1211</v>
      </c>
      <c r="R42" s="143" t="s">
        <v>885</v>
      </c>
      <c r="S42" s="143" t="s">
        <v>889</v>
      </c>
      <c r="T42" s="163">
        <v>45470</v>
      </c>
      <c r="U42" s="143" t="s">
        <v>1212</v>
      </c>
      <c r="V42" s="144">
        <v>128.42886405959032</v>
      </c>
      <c r="W42" s="144">
        <v>482.76409999999998</v>
      </c>
      <c r="X42" s="146">
        <v>2.4312444444444443E-4</v>
      </c>
      <c r="Y42" s="146">
        <v>3.7854464297361261E-3</v>
      </c>
      <c r="Z42" s="147">
        <v>7.2892492994608546E-4</v>
      </c>
      <c r="AA42" s="181"/>
    </row>
    <row r="43" spans="1:27" ht="15" x14ac:dyDescent="0.2">
      <c r="A43" s="142" t="s">
        <v>1205</v>
      </c>
      <c r="B43" s="143" t="s">
        <v>1205</v>
      </c>
      <c r="C43" s="143" t="s">
        <v>3330</v>
      </c>
      <c r="D43" s="145" t="s">
        <v>3853</v>
      </c>
      <c r="E43" s="145" t="s">
        <v>3853</v>
      </c>
      <c r="F43" s="143" t="s">
        <v>3331</v>
      </c>
      <c r="G43" s="143" t="s">
        <v>3332</v>
      </c>
      <c r="H43" s="143" t="s">
        <v>312</v>
      </c>
      <c r="I43" s="143" t="s">
        <v>1000</v>
      </c>
      <c r="J43" s="145" t="s">
        <v>3853</v>
      </c>
      <c r="K43" s="143" t="s">
        <v>205</v>
      </c>
      <c r="L43" s="145" t="s">
        <v>3853</v>
      </c>
      <c r="M43" s="145" t="s">
        <v>3853</v>
      </c>
      <c r="N43" s="143" t="s">
        <v>291</v>
      </c>
      <c r="O43" s="143" t="s">
        <v>339</v>
      </c>
      <c r="P43" s="162">
        <v>45362</v>
      </c>
      <c r="Q43" s="143" t="s">
        <v>1211</v>
      </c>
      <c r="R43" s="143" t="s">
        <v>885</v>
      </c>
      <c r="S43" s="143" t="s">
        <v>889</v>
      </c>
      <c r="T43" s="163">
        <v>45428</v>
      </c>
      <c r="U43" s="143" t="s">
        <v>1212</v>
      </c>
      <c r="V43" s="144">
        <v>126.89888268156426</v>
      </c>
      <c r="W43" s="144">
        <v>477.0129</v>
      </c>
      <c r="X43" s="146">
        <v>1.3997333333333334E-5</v>
      </c>
      <c r="Y43" s="146">
        <v>3.7403502098616453E-3</v>
      </c>
      <c r="Z43" s="147">
        <v>7.202412094066481E-4</v>
      </c>
      <c r="AA43" s="181"/>
    </row>
    <row r="44" spans="1:27" ht="15" x14ac:dyDescent="0.2">
      <c r="A44" s="142" t="s">
        <v>1205</v>
      </c>
      <c r="B44" s="143" t="s">
        <v>1205</v>
      </c>
      <c r="C44" s="143" t="s">
        <v>3333</v>
      </c>
      <c r="D44" s="145" t="s">
        <v>3853</v>
      </c>
      <c r="E44" s="145" t="s">
        <v>3853</v>
      </c>
      <c r="F44" s="143" t="s">
        <v>3334</v>
      </c>
      <c r="G44" s="143" t="s">
        <v>3335</v>
      </c>
      <c r="H44" s="143" t="s">
        <v>312</v>
      </c>
      <c r="I44" s="143" t="s">
        <v>1000</v>
      </c>
      <c r="J44" s="145" t="s">
        <v>3853</v>
      </c>
      <c r="K44" s="143" t="s">
        <v>205</v>
      </c>
      <c r="L44" s="145" t="s">
        <v>3853</v>
      </c>
      <c r="M44" s="145" t="s">
        <v>3853</v>
      </c>
      <c r="N44" s="143" t="s">
        <v>217</v>
      </c>
      <c r="O44" s="143" t="s">
        <v>339</v>
      </c>
      <c r="P44" s="162">
        <v>45257</v>
      </c>
      <c r="Q44" s="143" t="s">
        <v>1211</v>
      </c>
      <c r="R44" s="143" t="s">
        <v>885</v>
      </c>
      <c r="S44" s="143" t="s">
        <v>889</v>
      </c>
      <c r="T44" s="163">
        <v>45442</v>
      </c>
      <c r="U44" s="143" t="s">
        <v>1212</v>
      </c>
      <c r="V44" s="144">
        <v>112.91018888002129</v>
      </c>
      <c r="W44" s="144">
        <v>424.42940000000004</v>
      </c>
      <c r="X44" s="145" t="s">
        <v>3853</v>
      </c>
      <c r="Y44" s="146">
        <v>3.3280327303686417E-3</v>
      </c>
      <c r="Z44" s="147">
        <v>6.4084542467329124E-4</v>
      </c>
      <c r="AA44" s="181"/>
    </row>
    <row r="45" spans="1:27" ht="15" x14ac:dyDescent="0.2">
      <c r="A45" s="142" t="s">
        <v>1205</v>
      </c>
      <c r="B45" s="143" t="s">
        <v>1205</v>
      </c>
      <c r="C45" s="143" t="s">
        <v>3336</v>
      </c>
      <c r="D45" s="145" t="s">
        <v>3853</v>
      </c>
      <c r="E45" s="145" t="s">
        <v>3853</v>
      </c>
      <c r="F45" s="143" t="s">
        <v>3337</v>
      </c>
      <c r="G45" s="143" t="s">
        <v>3338</v>
      </c>
      <c r="H45" s="143" t="s">
        <v>312</v>
      </c>
      <c r="I45" s="143" t="s">
        <v>1000</v>
      </c>
      <c r="J45" s="145" t="s">
        <v>3853</v>
      </c>
      <c r="K45" s="143" t="s">
        <v>205</v>
      </c>
      <c r="L45" s="145" t="s">
        <v>3853</v>
      </c>
      <c r="M45" s="145" t="s">
        <v>3853</v>
      </c>
      <c r="N45" s="143" t="s">
        <v>296</v>
      </c>
      <c r="O45" s="143" t="s">
        <v>339</v>
      </c>
      <c r="P45" s="162">
        <v>45342</v>
      </c>
      <c r="Q45" s="143" t="s">
        <v>1211</v>
      </c>
      <c r="R45" s="143" t="s">
        <v>885</v>
      </c>
      <c r="S45" s="143" t="s">
        <v>889</v>
      </c>
      <c r="T45" s="163">
        <v>45460</v>
      </c>
      <c r="U45" s="143" t="s">
        <v>1212</v>
      </c>
      <c r="V45" s="144">
        <v>110.20867251928705</v>
      </c>
      <c r="W45" s="144">
        <v>414.27440000000001</v>
      </c>
      <c r="X45" s="146">
        <v>5.4586315789473681E-5</v>
      </c>
      <c r="Y45" s="146">
        <v>3.2484056680552598E-3</v>
      </c>
      <c r="Z45" s="147">
        <v>6.2551245090231109E-4</v>
      </c>
      <c r="AA45" s="181"/>
    </row>
    <row r="46" spans="1:27" ht="15" x14ac:dyDescent="0.2">
      <c r="A46" s="142" t="s">
        <v>1205</v>
      </c>
      <c r="B46" s="143" t="s">
        <v>1205</v>
      </c>
      <c r="C46" s="143" t="s">
        <v>3339</v>
      </c>
      <c r="D46" s="145" t="s">
        <v>3853</v>
      </c>
      <c r="E46" s="145" t="s">
        <v>3853</v>
      </c>
      <c r="F46" s="143" t="s">
        <v>3340</v>
      </c>
      <c r="G46" s="143" t="s">
        <v>3341</v>
      </c>
      <c r="H46" s="143" t="s">
        <v>312</v>
      </c>
      <c r="I46" s="143" t="s">
        <v>1000</v>
      </c>
      <c r="J46" s="145" t="s">
        <v>3853</v>
      </c>
      <c r="K46" s="143" t="s">
        <v>205</v>
      </c>
      <c r="L46" s="145" t="s">
        <v>3853</v>
      </c>
      <c r="M46" s="145" t="s">
        <v>3853</v>
      </c>
      <c r="N46" s="143" t="s">
        <v>291</v>
      </c>
      <c r="O46" s="143" t="s">
        <v>339</v>
      </c>
      <c r="P46" s="162">
        <v>45365</v>
      </c>
      <c r="Q46" s="143" t="s">
        <v>1211</v>
      </c>
      <c r="R46" s="143" t="s">
        <v>885</v>
      </c>
      <c r="S46" s="143" t="s">
        <v>889</v>
      </c>
      <c r="T46" s="163">
        <v>45365</v>
      </c>
      <c r="U46" s="143" t="s">
        <v>1212</v>
      </c>
      <c r="V46" s="144">
        <v>97.996328810853953</v>
      </c>
      <c r="W46" s="144">
        <v>368.3682</v>
      </c>
      <c r="X46" s="146">
        <v>5.5700521592821092E-4</v>
      </c>
      <c r="Y46" s="146">
        <v>2.8884463067999936E-3</v>
      </c>
      <c r="Z46" s="147">
        <v>5.5619873663988976E-4</v>
      </c>
      <c r="AA46" s="181"/>
    </row>
    <row r="47" spans="1:27" ht="15" x14ac:dyDescent="0.2">
      <c r="A47" s="142" t="s">
        <v>1205</v>
      </c>
      <c r="B47" s="143" t="s">
        <v>1205</v>
      </c>
      <c r="C47" s="143" t="s">
        <v>3342</v>
      </c>
      <c r="D47" s="145" t="s">
        <v>3853</v>
      </c>
      <c r="E47" s="145" t="s">
        <v>3853</v>
      </c>
      <c r="F47" s="143" t="s">
        <v>3343</v>
      </c>
      <c r="G47" s="143" t="s">
        <v>3344</v>
      </c>
      <c r="H47" s="143" t="s">
        <v>312</v>
      </c>
      <c r="I47" s="143" t="s">
        <v>1000</v>
      </c>
      <c r="J47" s="145" t="s">
        <v>3853</v>
      </c>
      <c r="K47" s="143" t="s">
        <v>205</v>
      </c>
      <c r="L47" s="145" t="s">
        <v>3853</v>
      </c>
      <c r="M47" s="145" t="s">
        <v>3853</v>
      </c>
      <c r="N47" s="143" t="s">
        <v>293</v>
      </c>
      <c r="O47" s="143" t="s">
        <v>339</v>
      </c>
      <c r="P47" s="162">
        <v>45369</v>
      </c>
      <c r="Q47" s="143" t="s">
        <v>1214</v>
      </c>
      <c r="R47" s="143" t="s">
        <v>885</v>
      </c>
      <c r="S47" s="143" t="s">
        <v>889</v>
      </c>
      <c r="T47" s="163">
        <v>45463</v>
      </c>
      <c r="U47" s="143" t="s">
        <v>1215</v>
      </c>
      <c r="V47" s="144">
        <v>50.951246206656393</v>
      </c>
      <c r="W47" s="144">
        <v>204.83420000000001</v>
      </c>
      <c r="X47" s="146">
        <v>6.9937317647058824E-4</v>
      </c>
      <c r="Y47" s="146">
        <v>1.6061446167646906E-3</v>
      </c>
      <c r="Z47" s="147">
        <v>3.092789381621483E-4</v>
      </c>
      <c r="AA47" s="181"/>
    </row>
    <row r="48" spans="1:27" ht="15" x14ac:dyDescent="0.2">
      <c r="A48" s="142" t="s">
        <v>1205</v>
      </c>
      <c r="B48" s="143" t="s">
        <v>1205</v>
      </c>
      <c r="C48" s="143" t="s">
        <v>3345</v>
      </c>
      <c r="D48" s="145" t="s">
        <v>3853</v>
      </c>
      <c r="E48" s="145" t="s">
        <v>3853</v>
      </c>
      <c r="F48" s="143" t="s">
        <v>3346</v>
      </c>
      <c r="G48" s="143" t="s">
        <v>3347</v>
      </c>
      <c r="H48" s="143" t="s">
        <v>312</v>
      </c>
      <c r="I48" s="143" t="s">
        <v>1000</v>
      </c>
      <c r="J48" s="145" t="s">
        <v>3853</v>
      </c>
      <c r="K48" s="143" t="s">
        <v>205</v>
      </c>
      <c r="L48" s="145" t="s">
        <v>3853</v>
      </c>
      <c r="M48" s="145" t="s">
        <v>3853</v>
      </c>
      <c r="N48" s="143" t="s">
        <v>291</v>
      </c>
      <c r="O48" s="143" t="s">
        <v>339</v>
      </c>
      <c r="P48" s="162">
        <v>45230</v>
      </c>
      <c r="Q48" s="143" t="s">
        <v>1211</v>
      </c>
      <c r="R48" s="143" t="s">
        <v>885</v>
      </c>
      <c r="S48" s="143" t="s">
        <v>889</v>
      </c>
      <c r="T48" s="163">
        <v>45470</v>
      </c>
      <c r="U48" s="143" t="s">
        <v>1212</v>
      </c>
      <c r="V48" s="144">
        <v>51.299973397180104</v>
      </c>
      <c r="W48" s="144">
        <v>192.8366</v>
      </c>
      <c r="X48" s="146">
        <v>2.4794563636363639E-4</v>
      </c>
      <c r="Y48" s="146">
        <v>1.512069143726074E-3</v>
      </c>
      <c r="Z48" s="147">
        <v>2.9116378084394039E-4</v>
      </c>
      <c r="AA48" s="181"/>
    </row>
    <row r="49" spans="1:27" ht="15" x14ac:dyDescent="0.2">
      <c r="A49" s="142" t="s">
        <v>1205</v>
      </c>
      <c r="B49" s="143" t="s">
        <v>1205</v>
      </c>
      <c r="C49" s="143" t="s">
        <v>3348</v>
      </c>
      <c r="D49" s="145" t="s">
        <v>3853</v>
      </c>
      <c r="E49" s="145" t="s">
        <v>3853</v>
      </c>
      <c r="F49" s="143" t="s">
        <v>3349</v>
      </c>
      <c r="G49" s="143" t="s">
        <v>3350</v>
      </c>
      <c r="H49" s="143" t="s">
        <v>312</v>
      </c>
      <c r="I49" s="143" t="s">
        <v>1000</v>
      </c>
      <c r="J49" s="145" t="s">
        <v>3853</v>
      </c>
      <c r="K49" s="143" t="s">
        <v>205</v>
      </c>
      <c r="L49" s="145" t="s">
        <v>3853</v>
      </c>
      <c r="M49" s="145" t="s">
        <v>3853</v>
      </c>
      <c r="N49" s="143" t="s">
        <v>217</v>
      </c>
      <c r="O49" s="143" t="s">
        <v>339</v>
      </c>
      <c r="P49" s="162">
        <v>45356</v>
      </c>
      <c r="Q49" s="143" t="s">
        <v>1211</v>
      </c>
      <c r="R49" s="143" t="s">
        <v>885</v>
      </c>
      <c r="S49" s="143" t="s">
        <v>889</v>
      </c>
      <c r="T49" s="163">
        <v>45460</v>
      </c>
      <c r="U49" s="143" t="s">
        <v>1212</v>
      </c>
      <c r="V49" s="144">
        <v>34.181803671189144</v>
      </c>
      <c r="W49" s="144">
        <v>128.48939999999999</v>
      </c>
      <c r="X49" s="145" t="s">
        <v>3853</v>
      </c>
      <c r="Y49" s="146">
        <v>1.0075098937863869E-3</v>
      </c>
      <c r="Z49" s="147">
        <v>1.9400593625608993E-4</v>
      </c>
      <c r="AA49" s="181"/>
    </row>
    <row r="50" spans="1:27" ht="15" x14ac:dyDescent="0.2">
      <c r="A50" s="142" t="s">
        <v>1205</v>
      </c>
      <c r="B50" s="143" t="s">
        <v>1205</v>
      </c>
      <c r="C50" s="143" t="s">
        <v>3300</v>
      </c>
      <c r="D50" s="145" t="s">
        <v>3853</v>
      </c>
      <c r="E50" s="145" t="s">
        <v>3853</v>
      </c>
      <c r="F50" s="143" t="s">
        <v>3351</v>
      </c>
      <c r="G50" s="143" t="s">
        <v>3352</v>
      </c>
      <c r="H50" s="143" t="s">
        <v>312</v>
      </c>
      <c r="I50" s="143" t="s">
        <v>1000</v>
      </c>
      <c r="J50" s="145" t="s">
        <v>3853</v>
      </c>
      <c r="K50" s="143" t="s">
        <v>205</v>
      </c>
      <c r="L50" s="145" t="s">
        <v>3853</v>
      </c>
      <c r="M50" s="145" t="s">
        <v>3853</v>
      </c>
      <c r="N50" s="143" t="s">
        <v>224</v>
      </c>
      <c r="O50" s="143" t="s">
        <v>339</v>
      </c>
      <c r="P50" s="162">
        <v>45306</v>
      </c>
      <c r="Q50" s="143" t="s">
        <v>1214</v>
      </c>
      <c r="R50" s="143" t="s">
        <v>885</v>
      </c>
      <c r="S50" s="143" t="s">
        <v>889</v>
      </c>
      <c r="T50" s="163">
        <v>45470</v>
      </c>
      <c r="U50" s="143" t="s">
        <v>1215</v>
      </c>
      <c r="V50" s="144">
        <v>27.697029998507539</v>
      </c>
      <c r="W50" s="144">
        <v>111.3476</v>
      </c>
      <c r="X50" s="145" t="s">
        <v>3853</v>
      </c>
      <c r="Y50" s="146">
        <v>8.7309766566593761E-4</v>
      </c>
      <c r="Z50" s="147">
        <v>1.6812354014107597E-4</v>
      </c>
      <c r="AA50" s="181"/>
    </row>
    <row r="51" spans="1:27" ht="15" x14ac:dyDescent="0.2">
      <c r="A51" s="142" t="s">
        <v>1205</v>
      </c>
      <c r="B51" s="143" t="s">
        <v>1205</v>
      </c>
      <c r="C51" s="143" t="s">
        <v>3353</v>
      </c>
      <c r="D51" s="145" t="s">
        <v>3853</v>
      </c>
      <c r="E51" s="145" t="s">
        <v>3853</v>
      </c>
      <c r="F51" s="143" t="s">
        <v>3354</v>
      </c>
      <c r="G51" s="143" t="s">
        <v>3355</v>
      </c>
      <c r="H51" s="143" t="s">
        <v>312</v>
      </c>
      <c r="I51" s="143" t="s">
        <v>1000</v>
      </c>
      <c r="J51" s="145" t="s">
        <v>3853</v>
      </c>
      <c r="K51" s="143" t="s">
        <v>205</v>
      </c>
      <c r="L51" s="145" t="s">
        <v>3853</v>
      </c>
      <c r="M51" s="145" t="s">
        <v>3853</v>
      </c>
      <c r="N51" s="143" t="s">
        <v>204</v>
      </c>
      <c r="O51" s="143" t="s">
        <v>339</v>
      </c>
      <c r="P51" s="162">
        <v>45342</v>
      </c>
      <c r="Q51" s="143" t="s">
        <v>1211</v>
      </c>
      <c r="R51" s="143" t="s">
        <v>885</v>
      </c>
      <c r="S51" s="143" t="s">
        <v>889</v>
      </c>
      <c r="T51" s="163">
        <v>45460</v>
      </c>
      <c r="U51" s="143" t="s">
        <v>1212</v>
      </c>
      <c r="V51" s="144">
        <v>16.406517690875233</v>
      </c>
      <c r="W51" s="144">
        <v>61.6721</v>
      </c>
      <c r="X51" s="146">
        <v>6.6402760000000005E-5</v>
      </c>
      <c r="Y51" s="146">
        <v>4.8358316541372942E-4</v>
      </c>
      <c r="Z51" s="147">
        <v>9.3118693267805818E-5</v>
      </c>
      <c r="AA51" s="181"/>
    </row>
    <row r="52" spans="1:27" ht="15" x14ac:dyDescent="0.2">
      <c r="A52" s="142" t="s">
        <v>1205</v>
      </c>
      <c r="B52" s="143" t="s">
        <v>1205</v>
      </c>
      <c r="C52" s="143" t="s">
        <v>3251</v>
      </c>
      <c r="D52" s="145" t="s">
        <v>3853</v>
      </c>
      <c r="E52" s="145" t="s">
        <v>3853</v>
      </c>
      <c r="F52" s="143" t="s">
        <v>3356</v>
      </c>
      <c r="G52" s="143" t="s">
        <v>3357</v>
      </c>
      <c r="H52" s="143" t="s">
        <v>312</v>
      </c>
      <c r="I52" s="143" t="s">
        <v>1000</v>
      </c>
      <c r="J52" s="145" t="s">
        <v>3853</v>
      </c>
      <c r="K52" s="143" t="s">
        <v>205</v>
      </c>
      <c r="L52" s="145" t="s">
        <v>3853</v>
      </c>
      <c r="M52" s="145" t="s">
        <v>3853</v>
      </c>
      <c r="N52" s="143" t="s">
        <v>296</v>
      </c>
      <c r="O52" s="143" t="s">
        <v>339</v>
      </c>
      <c r="P52" s="162">
        <v>45371</v>
      </c>
      <c r="Q52" s="143" t="s">
        <v>1211</v>
      </c>
      <c r="R52" s="143" t="s">
        <v>885</v>
      </c>
      <c r="S52" s="143" t="s">
        <v>889</v>
      </c>
      <c r="T52" s="163">
        <v>45371</v>
      </c>
      <c r="U52" s="143" t="s">
        <v>1212</v>
      </c>
      <c r="V52" s="144">
        <v>14.25001330140995</v>
      </c>
      <c r="W52" s="144">
        <v>53.565800000000003</v>
      </c>
      <c r="X52" s="146">
        <v>1.1399999999999999E-5</v>
      </c>
      <c r="Y52" s="146">
        <v>4.20019395245603E-4</v>
      </c>
      <c r="Z52" s="147">
        <v>8.0878864339586009E-5</v>
      </c>
      <c r="AA52" s="181"/>
    </row>
    <row r="53" spans="1:27" ht="15" x14ac:dyDescent="0.2">
      <c r="A53" s="142" t="s">
        <v>1205</v>
      </c>
      <c r="B53" s="143" t="s">
        <v>1205</v>
      </c>
      <c r="C53" s="143" t="s">
        <v>3348</v>
      </c>
      <c r="D53" s="145" t="s">
        <v>3853</v>
      </c>
      <c r="E53" s="145" t="s">
        <v>3853</v>
      </c>
      <c r="F53" s="143" t="s">
        <v>3358</v>
      </c>
      <c r="G53" s="143" t="s">
        <v>3359</v>
      </c>
      <c r="H53" s="143" t="s">
        <v>312</v>
      </c>
      <c r="I53" s="143" t="s">
        <v>1000</v>
      </c>
      <c r="J53" s="145" t="s">
        <v>3853</v>
      </c>
      <c r="K53" s="143" t="s">
        <v>205</v>
      </c>
      <c r="L53" s="145" t="s">
        <v>3853</v>
      </c>
      <c r="M53" s="145" t="s">
        <v>3853</v>
      </c>
      <c r="N53" s="143" t="s">
        <v>217</v>
      </c>
      <c r="O53" s="143" t="s">
        <v>339</v>
      </c>
      <c r="P53" s="162">
        <v>45379</v>
      </c>
      <c r="Q53" s="143" t="s">
        <v>1211</v>
      </c>
      <c r="R53" s="143" t="s">
        <v>885</v>
      </c>
      <c r="S53" s="143" t="s">
        <v>889</v>
      </c>
      <c r="T53" s="163">
        <v>45379</v>
      </c>
      <c r="U53" s="143" t="s">
        <v>1212</v>
      </c>
      <c r="V53" s="144">
        <v>4.4009044958765635</v>
      </c>
      <c r="W53" s="144">
        <v>16.542999999999999</v>
      </c>
      <c r="X53" s="146">
        <v>3.8908416666666665E-5</v>
      </c>
      <c r="Y53" s="146">
        <v>1.2971663156301184E-4</v>
      </c>
      <c r="Z53" s="147">
        <v>2.4978212829048456E-5</v>
      </c>
      <c r="AA53" s="181"/>
    </row>
    <row r="54" spans="1:27" ht="15" x14ac:dyDescent="0.2">
      <c r="A54" s="142" t="s">
        <v>1205</v>
      </c>
      <c r="B54" s="143" t="s">
        <v>1205</v>
      </c>
      <c r="C54" s="143" t="s">
        <v>3360</v>
      </c>
      <c r="D54" s="145" t="s">
        <v>3853</v>
      </c>
      <c r="E54" s="145" t="s">
        <v>3853</v>
      </c>
      <c r="F54" s="143" t="s">
        <v>3361</v>
      </c>
      <c r="G54" s="143" t="s">
        <v>3362</v>
      </c>
      <c r="H54" s="143" t="s">
        <v>312</v>
      </c>
      <c r="I54" s="143" t="s">
        <v>1001</v>
      </c>
      <c r="J54" s="145" t="s">
        <v>3853</v>
      </c>
      <c r="K54" s="143" t="s">
        <v>204</v>
      </c>
      <c r="L54" s="145" t="s">
        <v>3853</v>
      </c>
      <c r="M54" s="145" t="s">
        <v>3853</v>
      </c>
      <c r="N54" s="143" t="s">
        <v>204</v>
      </c>
      <c r="O54" s="143" t="s">
        <v>339</v>
      </c>
      <c r="P54" s="162">
        <v>45138</v>
      </c>
      <c r="Q54" s="143" t="s">
        <v>1210</v>
      </c>
      <c r="R54" s="143" t="s">
        <v>885</v>
      </c>
      <c r="S54" s="143" t="s">
        <v>889</v>
      </c>
      <c r="T54" s="163">
        <v>45412</v>
      </c>
      <c r="U54" s="145" t="s">
        <v>3853</v>
      </c>
      <c r="V54" s="144">
        <v>12388.627199999999</v>
      </c>
      <c r="W54" s="144">
        <v>12388.627199999999</v>
      </c>
      <c r="X54" s="146">
        <v>1.3222492063492063E-2</v>
      </c>
      <c r="Y54" s="146">
        <v>9.7141619165458021E-2</v>
      </c>
      <c r="Z54" s="147">
        <v>1.8705573902406725E-2</v>
      </c>
      <c r="AA54" s="181"/>
    </row>
    <row r="55" spans="1:27" ht="15" x14ac:dyDescent="0.2">
      <c r="A55" s="142" t="s">
        <v>1205</v>
      </c>
      <c r="B55" s="143" t="s">
        <v>1205</v>
      </c>
      <c r="C55" s="143" t="s">
        <v>3363</v>
      </c>
      <c r="D55" s="145" t="s">
        <v>3853</v>
      </c>
      <c r="E55" s="145" t="s">
        <v>3853</v>
      </c>
      <c r="F55" s="143" t="s">
        <v>3364</v>
      </c>
      <c r="G55" s="143" t="s">
        <v>3365</v>
      </c>
      <c r="H55" s="143" t="s">
        <v>312</v>
      </c>
      <c r="I55" s="143" t="s">
        <v>1001</v>
      </c>
      <c r="J55" s="145" t="s">
        <v>3853</v>
      </c>
      <c r="K55" s="143" t="s">
        <v>204</v>
      </c>
      <c r="L55" s="145" t="s">
        <v>3853</v>
      </c>
      <c r="M55" s="145" t="s">
        <v>3853</v>
      </c>
      <c r="N55" s="143" t="s">
        <v>204</v>
      </c>
      <c r="O55" s="143" t="s">
        <v>339</v>
      </c>
      <c r="P55" s="162">
        <v>44907</v>
      </c>
      <c r="Q55" s="143" t="s">
        <v>1211</v>
      </c>
      <c r="R55" s="143" t="s">
        <v>885</v>
      </c>
      <c r="S55" s="143" t="s">
        <v>889</v>
      </c>
      <c r="T55" s="163">
        <v>45442</v>
      </c>
      <c r="U55" s="143" t="s">
        <v>1212</v>
      </c>
      <c r="V55" s="144">
        <v>556.03530194200584</v>
      </c>
      <c r="W55" s="144">
        <v>2090.1367</v>
      </c>
      <c r="X55" s="145" t="s">
        <v>3853</v>
      </c>
      <c r="Y55" s="146">
        <v>1.6389165957904062E-2</v>
      </c>
      <c r="Z55" s="147">
        <v>3.1558950494969089E-3</v>
      </c>
      <c r="AA55" s="181"/>
    </row>
    <row r="56" spans="1:27" ht="15" x14ac:dyDescent="0.2">
      <c r="A56" s="142" t="s">
        <v>1205</v>
      </c>
      <c r="B56" s="143" t="s">
        <v>1205</v>
      </c>
      <c r="C56" s="143" t="s">
        <v>3366</v>
      </c>
      <c r="D56" s="145" t="s">
        <v>3853</v>
      </c>
      <c r="E56" s="145" t="s">
        <v>3853</v>
      </c>
      <c r="F56" s="143" t="s">
        <v>3367</v>
      </c>
      <c r="G56" s="143" t="s">
        <v>3368</v>
      </c>
      <c r="H56" s="143" t="s">
        <v>312</v>
      </c>
      <c r="I56" s="143" t="s">
        <v>1001</v>
      </c>
      <c r="J56" s="145" t="s">
        <v>3853</v>
      </c>
      <c r="K56" s="143" t="s">
        <v>204</v>
      </c>
      <c r="L56" s="145" t="s">
        <v>3853</v>
      </c>
      <c r="M56" s="145" t="s">
        <v>3853</v>
      </c>
      <c r="N56" s="143" t="s">
        <v>204</v>
      </c>
      <c r="O56" s="143" t="s">
        <v>339</v>
      </c>
      <c r="P56" s="162">
        <v>45147</v>
      </c>
      <c r="Q56" s="143" t="s">
        <v>1211</v>
      </c>
      <c r="R56" s="143" t="s">
        <v>885</v>
      </c>
      <c r="S56" s="143" t="s">
        <v>889</v>
      </c>
      <c r="T56" s="163">
        <v>45442</v>
      </c>
      <c r="U56" s="143" t="s">
        <v>1212</v>
      </c>
      <c r="V56" s="144">
        <v>434.09143389199255</v>
      </c>
      <c r="W56" s="144">
        <v>1631.7496999999998</v>
      </c>
      <c r="X56" s="146">
        <v>1.2642136645962733E-3</v>
      </c>
      <c r="Y56" s="146">
        <v>1.2794864677107319E-2</v>
      </c>
      <c r="Z56" s="147">
        <v>2.4637769973884487E-3</v>
      </c>
      <c r="AA56" s="181"/>
    </row>
    <row r="57" spans="1:27" ht="15" x14ac:dyDescent="0.2">
      <c r="A57" s="142" t="s">
        <v>1205</v>
      </c>
      <c r="B57" s="143" t="s">
        <v>1205</v>
      </c>
      <c r="C57" s="143" t="s">
        <v>3369</v>
      </c>
      <c r="D57" s="145" t="s">
        <v>3853</v>
      </c>
      <c r="E57" s="145" t="s">
        <v>3853</v>
      </c>
      <c r="F57" s="143" t="s">
        <v>3370</v>
      </c>
      <c r="G57" s="143" t="s">
        <v>3371</v>
      </c>
      <c r="H57" s="143" t="s">
        <v>312</v>
      </c>
      <c r="I57" s="143" t="s">
        <v>1001</v>
      </c>
      <c r="J57" s="145" t="s">
        <v>3853</v>
      </c>
      <c r="K57" s="143" t="s">
        <v>204</v>
      </c>
      <c r="L57" s="145" t="s">
        <v>3853</v>
      </c>
      <c r="M57" s="145" t="s">
        <v>3853</v>
      </c>
      <c r="N57" s="143" t="s">
        <v>204</v>
      </c>
      <c r="O57" s="143" t="s">
        <v>339</v>
      </c>
      <c r="P57" s="162">
        <v>44418</v>
      </c>
      <c r="Q57" s="143" t="s">
        <v>1210</v>
      </c>
      <c r="R57" s="143" t="s">
        <v>885</v>
      </c>
      <c r="S57" s="143" t="s">
        <v>889</v>
      </c>
      <c r="T57" s="163">
        <v>45406</v>
      </c>
      <c r="U57" s="145" t="s">
        <v>3853</v>
      </c>
      <c r="V57" s="144">
        <v>1335.9712</v>
      </c>
      <c r="W57" s="144">
        <v>1335.9712</v>
      </c>
      <c r="X57" s="146">
        <v>2.0728015384615384E-3</v>
      </c>
      <c r="Y57" s="146">
        <v>1.0475608051884645E-2</v>
      </c>
      <c r="Z57" s="147">
        <v>2.01718133041839E-3</v>
      </c>
      <c r="AA57" s="181"/>
    </row>
    <row r="58" spans="1:27" ht="15" x14ac:dyDescent="0.2">
      <c r="A58" s="142" t="s">
        <v>1205</v>
      </c>
      <c r="B58" s="143" t="s">
        <v>1205</v>
      </c>
      <c r="C58" s="143" t="s">
        <v>3372</v>
      </c>
      <c r="D58" s="145" t="s">
        <v>3853</v>
      </c>
      <c r="E58" s="145" t="s">
        <v>3853</v>
      </c>
      <c r="F58" s="143" t="s">
        <v>3373</v>
      </c>
      <c r="G58" s="143" t="s">
        <v>3374</v>
      </c>
      <c r="H58" s="143" t="s">
        <v>312</v>
      </c>
      <c r="I58" s="143" t="s">
        <v>1001</v>
      </c>
      <c r="J58" s="145" t="s">
        <v>3853</v>
      </c>
      <c r="K58" s="143" t="s">
        <v>204</v>
      </c>
      <c r="L58" s="145" t="s">
        <v>3853</v>
      </c>
      <c r="M58" s="145" t="s">
        <v>3853</v>
      </c>
      <c r="N58" s="143" t="s">
        <v>204</v>
      </c>
      <c r="O58" s="143" t="s">
        <v>339</v>
      </c>
      <c r="P58" s="162">
        <v>45172</v>
      </c>
      <c r="Q58" s="143" t="s">
        <v>1210</v>
      </c>
      <c r="R58" s="143" t="s">
        <v>885</v>
      </c>
      <c r="S58" s="143" t="s">
        <v>889</v>
      </c>
      <c r="T58" s="163">
        <v>45427</v>
      </c>
      <c r="U58" s="145" t="s">
        <v>3853</v>
      </c>
      <c r="V58" s="144">
        <v>1096.0072</v>
      </c>
      <c r="W58" s="144">
        <v>1096.0072</v>
      </c>
      <c r="X58" s="146">
        <v>6.6932687500000001E-4</v>
      </c>
      <c r="Y58" s="146">
        <v>8.5940044466767933E-3</v>
      </c>
      <c r="Z58" s="147">
        <v>1.6548600556175097E-3</v>
      </c>
      <c r="AA58" s="181"/>
    </row>
    <row r="59" spans="1:27" ht="15" x14ac:dyDescent="0.2">
      <c r="A59" s="142" t="s">
        <v>1205</v>
      </c>
      <c r="B59" s="143" t="s">
        <v>1205</v>
      </c>
      <c r="C59" s="143" t="s">
        <v>3372</v>
      </c>
      <c r="D59" s="145" t="s">
        <v>3853</v>
      </c>
      <c r="E59" s="145" t="s">
        <v>3853</v>
      </c>
      <c r="F59" s="143" t="s">
        <v>3375</v>
      </c>
      <c r="G59" s="143" t="s">
        <v>3376</v>
      </c>
      <c r="H59" s="143" t="s">
        <v>312</v>
      </c>
      <c r="I59" s="143" t="s">
        <v>1001</v>
      </c>
      <c r="J59" s="145" t="s">
        <v>3853</v>
      </c>
      <c r="K59" s="143" t="s">
        <v>204</v>
      </c>
      <c r="L59" s="145" t="s">
        <v>3853</v>
      </c>
      <c r="M59" s="145" t="s">
        <v>3853</v>
      </c>
      <c r="N59" s="143" t="s">
        <v>204</v>
      </c>
      <c r="O59" s="143" t="s">
        <v>339</v>
      </c>
      <c r="P59" s="162">
        <v>45279</v>
      </c>
      <c r="Q59" s="143" t="s">
        <v>1210</v>
      </c>
      <c r="R59" s="143" t="s">
        <v>885</v>
      </c>
      <c r="S59" s="143" t="s">
        <v>889</v>
      </c>
      <c r="T59" s="163">
        <v>45463</v>
      </c>
      <c r="U59" s="145" t="s">
        <v>3853</v>
      </c>
      <c r="V59" s="144">
        <v>1032.6523999999999</v>
      </c>
      <c r="W59" s="144">
        <v>1032.6523999999999</v>
      </c>
      <c r="X59" s="146">
        <v>4.6379318636363638E-4</v>
      </c>
      <c r="Y59" s="146">
        <v>8.0972270785269352E-3</v>
      </c>
      <c r="Z59" s="147">
        <v>1.5592006888826121E-3</v>
      </c>
      <c r="AA59" s="181"/>
    </row>
    <row r="60" spans="1:27" ht="15" x14ac:dyDescent="0.2">
      <c r="A60" s="142" t="s">
        <v>1205</v>
      </c>
      <c r="B60" s="143" t="s">
        <v>1205</v>
      </c>
      <c r="C60" s="143" t="s">
        <v>3377</v>
      </c>
      <c r="D60" s="145" t="s">
        <v>3853</v>
      </c>
      <c r="E60" s="145" t="s">
        <v>3853</v>
      </c>
      <c r="F60" s="143" t="s">
        <v>3378</v>
      </c>
      <c r="G60" s="143" t="s">
        <v>3379</v>
      </c>
      <c r="H60" s="143" t="s">
        <v>312</v>
      </c>
      <c r="I60" s="143" t="s">
        <v>1001</v>
      </c>
      <c r="J60" s="145" t="s">
        <v>3853</v>
      </c>
      <c r="K60" s="143" t="s">
        <v>204</v>
      </c>
      <c r="L60" s="145" t="s">
        <v>3853</v>
      </c>
      <c r="M60" s="145" t="s">
        <v>3853</v>
      </c>
      <c r="N60" s="143" t="s">
        <v>204</v>
      </c>
      <c r="O60" s="143" t="s">
        <v>339</v>
      </c>
      <c r="P60" s="162">
        <v>42801</v>
      </c>
      <c r="Q60" s="143" t="s">
        <v>1210</v>
      </c>
      <c r="R60" s="143" t="s">
        <v>885</v>
      </c>
      <c r="S60" s="143" t="s">
        <v>889</v>
      </c>
      <c r="T60" s="163">
        <v>45355</v>
      </c>
      <c r="U60" s="145" t="s">
        <v>3853</v>
      </c>
      <c r="V60" s="144">
        <v>769.73109999999997</v>
      </c>
      <c r="W60" s="144">
        <v>769.73109999999997</v>
      </c>
      <c r="X60" s="146">
        <v>1.2818425925925926E-2</v>
      </c>
      <c r="Y60" s="146">
        <v>6.035610154017294E-3</v>
      </c>
      <c r="Z60" s="147">
        <v>1.1622160794930645E-3</v>
      </c>
      <c r="AA60" s="181"/>
    </row>
    <row r="61" spans="1:27" ht="15" x14ac:dyDescent="0.2">
      <c r="A61" s="142" t="s">
        <v>1205</v>
      </c>
      <c r="B61" s="143" t="s">
        <v>1205</v>
      </c>
      <c r="C61" s="143" t="s">
        <v>3380</v>
      </c>
      <c r="D61" s="145" t="s">
        <v>3853</v>
      </c>
      <c r="E61" s="145" t="s">
        <v>3853</v>
      </c>
      <c r="F61" s="143" t="s">
        <v>3381</v>
      </c>
      <c r="G61" s="143" t="s">
        <v>3382</v>
      </c>
      <c r="H61" s="143" t="s">
        <v>312</v>
      </c>
      <c r="I61" s="143" t="s">
        <v>1001</v>
      </c>
      <c r="J61" s="145" t="s">
        <v>3853</v>
      </c>
      <c r="K61" s="143" t="s">
        <v>204</v>
      </c>
      <c r="L61" s="145" t="s">
        <v>3853</v>
      </c>
      <c r="M61" s="145" t="s">
        <v>3853</v>
      </c>
      <c r="N61" s="143" t="s">
        <v>204</v>
      </c>
      <c r="O61" s="143" t="s">
        <v>339</v>
      </c>
      <c r="P61" s="162">
        <v>45237</v>
      </c>
      <c r="Q61" s="143" t="s">
        <v>1210</v>
      </c>
      <c r="R61" s="143" t="s">
        <v>885</v>
      </c>
      <c r="S61" s="143" t="s">
        <v>889</v>
      </c>
      <c r="T61" s="163">
        <v>45432</v>
      </c>
      <c r="U61" s="145" t="s">
        <v>3853</v>
      </c>
      <c r="V61" s="144">
        <v>297.35379999999998</v>
      </c>
      <c r="W61" s="144">
        <v>297.35379999999998</v>
      </c>
      <c r="X61" s="145" t="s">
        <v>3853</v>
      </c>
      <c r="Y61" s="146">
        <v>2.3316086077242722E-3</v>
      </c>
      <c r="Z61" s="147">
        <v>4.4897416264997242E-4</v>
      </c>
      <c r="AA61" s="181"/>
    </row>
    <row r="62" spans="1:27" ht="15" x14ac:dyDescent="0.2">
      <c r="A62" s="142" t="s">
        <v>1205</v>
      </c>
      <c r="B62" s="143" t="s">
        <v>1205</v>
      </c>
      <c r="C62" s="143" t="s">
        <v>3383</v>
      </c>
      <c r="D62" s="145" t="s">
        <v>3853</v>
      </c>
      <c r="E62" s="145" t="s">
        <v>3853</v>
      </c>
      <c r="F62" s="143" t="s">
        <v>3384</v>
      </c>
      <c r="G62" s="143" t="s">
        <v>3385</v>
      </c>
      <c r="H62" s="143" t="s">
        <v>312</v>
      </c>
      <c r="I62" s="143" t="s">
        <v>1001</v>
      </c>
      <c r="J62" s="145" t="s">
        <v>3853</v>
      </c>
      <c r="K62" s="143" t="s">
        <v>204</v>
      </c>
      <c r="L62" s="145" t="s">
        <v>3853</v>
      </c>
      <c r="M62" s="145" t="s">
        <v>3853</v>
      </c>
      <c r="N62" s="143" t="s">
        <v>204</v>
      </c>
      <c r="O62" s="143" t="s">
        <v>339</v>
      </c>
      <c r="P62" s="162">
        <v>42543</v>
      </c>
      <c r="Q62" s="143" t="s">
        <v>1210</v>
      </c>
      <c r="R62" s="143" t="s">
        <v>885</v>
      </c>
      <c r="S62" s="143" t="s">
        <v>889</v>
      </c>
      <c r="T62" s="163">
        <v>45256</v>
      </c>
      <c r="U62" s="145" t="s">
        <v>3853</v>
      </c>
      <c r="V62" s="145" t="s">
        <v>3853</v>
      </c>
      <c r="W62" s="144">
        <v>0</v>
      </c>
      <c r="X62" s="146">
        <v>1.0495626822157435E-2</v>
      </c>
      <c r="Y62" s="146">
        <v>1.4114147779916931E-10</v>
      </c>
      <c r="Z62" s="147">
        <v>2.7178179305107242E-11</v>
      </c>
      <c r="AA62" s="181"/>
    </row>
    <row r="63" spans="1:27" ht="15" x14ac:dyDescent="0.2">
      <c r="A63" s="142" t="s">
        <v>1205</v>
      </c>
      <c r="B63" s="143" t="s">
        <v>1205</v>
      </c>
      <c r="C63" s="143" t="s">
        <v>3386</v>
      </c>
      <c r="D63" s="145" t="s">
        <v>3853</v>
      </c>
      <c r="E63" s="145" t="s">
        <v>3853</v>
      </c>
      <c r="F63" s="143" t="s">
        <v>3387</v>
      </c>
      <c r="G63" s="143" t="s">
        <v>3388</v>
      </c>
      <c r="H63" s="143" t="s">
        <v>312</v>
      </c>
      <c r="I63" s="143" t="s">
        <v>1001</v>
      </c>
      <c r="J63" s="145" t="s">
        <v>3853</v>
      </c>
      <c r="K63" s="143" t="s">
        <v>204</v>
      </c>
      <c r="L63" s="145" t="s">
        <v>3853</v>
      </c>
      <c r="M63" s="145" t="s">
        <v>3853</v>
      </c>
      <c r="N63" s="143" t="s">
        <v>204</v>
      </c>
      <c r="O63" s="143" t="s">
        <v>339</v>
      </c>
      <c r="P63" s="162">
        <v>44438</v>
      </c>
      <c r="Q63" s="143" t="s">
        <v>1211</v>
      </c>
      <c r="R63" s="143" t="s">
        <v>885</v>
      </c>
      <c r="S63" s="143" t="s">
        <v>889</v>
      </c>
      <c r="T63" s="163">
        <v>45466</v>
      </c>
      <c r="U63" s="143" t="s">
        <v>1212</v>
      </c>
      <c r="V63" s="145" t="s">
        <v>3853</v>
      </c>
      <c r="W63" s="144">
        <v>0</v>
      </c>
      <c r="X63" s="145" t="s">
        <v>3853</v>
      </c>
      <c r="Y63" s="146">
        <v>1.5433133708813876E-11</v>
      </c>
      <c r="Z63" s="147">
        <v>2.9718016398741922E-12</v>
      </c>
      <c r="AA63" s="181"/>
    </row>
    <row r="64" spans="1:27" ht="15" x14ac:dyDescent="0.2">
      <c r="A64" s="142" t="s">
        <v>1205</v>
      </c>
      <c r="B64" s="143" t="s">
        <v>1205</v>
      </c>
      <c r="C64" s="143" t="s">
        <v>3389</v>
      </c>
      <c r="D64" s="145" t="s">
        <v>3853</v>
      </c>
      <c r="E64" s="145" t="s">
        <v>3853</v>
      </c>
      <c r="F64" s="143" t="s">
        <v>3390</v>
      </c>
      <c r="G64" s="143" t="s">
        <v>3391</v>
      </c>
      <c r="H64" s="143" t="s">
        <v>312</v>
      </c>
      <c r="I64" s="143" t="s">
        <v>1001</v>
      </c>
      <c r="J64" s="145" t="s">
        <v>3853</v>
      </c>
      <c r="K64" s="143" t="s">
        <v>205</v>
      </c>
      <c r="L64" s="145" t="s">
        <v>3853</v>
      </c>
      <c r="M64" s="145" t="s">
        <v>3853</v>
      </c>
      <c r="N64" s="143" t="s">
        <v>224</v>
      </c>
      <c r="O64" s="143" t="s">
        <v>339</v>
      </c>
      <c r="P64" s="162">
        <v>45281</v>
      </c>
      <c r="Q64" s="143" t="s">
        <v>1211</v>
      </c>
      <c r="R64" s="143" t="s">
        <v>885</v>
      </c>
      <c r="S64" s="143" t="s">
        <v>889</v>
      </c>
      <c r="T64" s="163">
        <v>45470</v>
      </c>
      <c r="U64" s="143" t="s">
        <v>1212</v>
      </c>
      <c r="V64" s="144">
        <v>378.1903165735568</v>
      </c>
      <c r="W64" s="144">
        <v>1421.6173999999999</v>
      </c>
      <c r="X64" s="146">
        <v>5.3483949044585987E-4</v>
      </c>
      <c r="Y64" s="146">
        <v>1.1147176885393212E-2</v>
      </c>
      <c r="Z64" s="147">
        <v>2.1464985124220277E-3</v>
      </c>
      <c r="AA64" s="181"/>
    </row>
    <row r="65" spans="1:27" ht="15" x14ac:dyDescent="0.2">
      <c r="A65" s="142" t="s">
        <v>1205</v>
      </c>
      <c r="B65" s="143" t="s">
        <v>1205</v>
      </c>
      <c r="C65" s="143" t="s">
        <v>3321</v>
      </c>
      <c r="D65" s="145" t="s">
        <v>3853</v>
      </c>
      <c r="E65" s="145" t="s">
        <v>3853</v>
      </c>
      <c r="F65" s="143" t="s">
        <v>3392</v>
      </c>
      <c r="G65" s="143" t="s">
        <v>3393</v>
      </c>
      <c r="H65" s="143" t="s">
        <v>312</v>
      </c>
      <c r="I65" s="143" t="s">
        <v>1001</v>
      </c>
      <c r="J65" s="145" t="s">
        <v>3853</v>
      </c>
      <c r="K65" s="143" t="s">
        <v>205</v>
      </c>
      <c r="L65" s="145" t="s">
        <v>3853</v>
      </c>
      <c r="M65" s="145" t="s">
        <v>3853</v>
      </c>
      <c r="N65" s="143" t="s">
        <v>291</v>
      </c>
      <c r="O65" s="143" t="s">
        <v>339</v>
      </c>
      <c r="P65" s="162">
        <v>45337</v>
      </c>
      <c r="Q65" s="143" t="s">
        <v>1211</v>
      </c>
      <c r="R65" s="143" t="s">
        <v>885</v>
      </c>
      <c r="S65" s="143" t="s">
        <v>889</v>
      </c>
      <c r="T65" s="163">
        <v>45470</v>
      </c>
      <c r="U65" s="143" t="s">
        <v>1212</v>
      </c>
      <c r="V65" s="144">
        <v>239.37674913540835</v>
      </c>
      <c r="W65" s="144">
        <v>899.81719999999996</v>
      </c>
      <c r="X65" s="146">
        <v>8.7765203999999995E-5</v>
      </c>
      <c r="Y65" s="146">
        <v>7.0556402959901189E-3</v>
      </c>
      <c r="Z65" s="147">
        <v>1.3586329126411341E-3</v>
      </c>
      <c r="AA65" s="181"/>
    </row>
    <row r="66" spans="1:27" ht="15" x14ac:dyDescent="0.2">
      <c r="A66" s="142" t="s">
        <v>1205</v>
      </c>
      <c r="B66" s="143" t="s">
        <v>1205</v>
      </c>
      <c r="C66" s="143" t="s">
        <v>3394</v>
      </c>
      <c r="D66" s="145" t="s">
        <v>3853</v>
      </c>
      <c r="E66" s="145" t="s">
        <v>3853</v>
      </c>
      <c r="F66" s="143" t="s">
        <v>3395</v>
      </c>
      <c r="G66" s="143" t="s">
        <v>3396</v>
      </c>
      <c r="H66" s="143" t="s">
        <v>321</v>
      </c>
      <c r="I66" s="143" t="s">
        <v>1002</v>
      </c>
      <c r="J66" s="145" t="s">
        <v>3853</v>
      </c>
      <c r="K66" s="143" t="s">
        <v>204</v>
      </c>
      <c r="L66" s="145" t="s">
        <v>3853</v>
      </c>
      <c r="M66" s="145" t="s">
        <v>3853</v>
      </c>
      <c r="N66" s="143" t="s">
        <v>204</v>
      </c>
      <c r="O66" s="143" t="s">
        <v>339</v>
      </c>
      <c r="P66" s="162">
        <v>43523</v>
      </c>
      <c r="Q66" s="143" t="s">
        <v>1210</v>
      </c>
      <c r="R66" s="143" t="s">
        <v>885</v>
      </c>
      <c r="S66" s="143" t="s">
        <v>889</v>
      </c>
      <c r="T66" s="163">
        <v>45456</v>
      </c>
      <c r="U66" s="145" t="s">
        <v>3853</v>
      </c>
      <c r="V66" s="144">
        <v>1290.2306999999998</v>
      </c>
      <c r="W66" s="144">
        <v>1290.2306999999998</v>
      </c>
      <c r="X66" s="145" t="s">
        <v>3853</v>
      </c>
      <c r="Y66" s="146">
        <v>1.0116947819760889E-2</v>
      </c>
      <c r="Z66" s="147">
        <v>1.948117776243756E-3</v>
      </c>
      <c r="AA66" s="181"/>
    </row>
    <row r="67" spans="1:27" ht="15" x14ac:dyDescent="0.2">
      <c r="A67" s="142" t="s">
        <v>1205</v>
      </c>
      <c r="B67" s="143" t="s">
        <v>1205</v>
      </c>
      <c r="C67" s="143" t="s">
        <v>3397</v>
      </c>
      <c r="D67" s="145" t="s">
        <v>3853</v>
      </c>
      <c r="E67" s="145" t="s">
        <v>3853</v>
      </c>
      <c r="F67" s="143" t="s">
        <v>3398</v>
      </c>
      <c r="G67" s="143" t="s">
        <v>3399</v>
      </c>
      <c r="H67" s="143" t="s">
        <v>312</v>
      </c>
      <c r="I67" s="143" t="s">
        <v>1002</v>
      </c>
      <c r="J67" s="145" t="s">
        <v>3853</v>
      </c>
      <c r="K67" s="143" t="s">
        <v>204</v>
      </c>
      <c r="L67" s="145" t="s">
        <v>3853</v>
      </c>
      <c r="M67" s="145" t="s">
        <v>3853</v>
      </c>
      <c r="N67" s="143" t="s">
        <v>204</v>
      </c>
      <c r="O67" s="143" t="s">
        <v>339</v>
      </c>
      <c r="P67" s="162">
        <v>44420</v>
      </c>
      <c r="Q67" s="143" t="s">
        <v>1210</v>
      </c>
      <c r="R67" s="143" t="s">
        <v>885</v>
      </c>
      <c r="S67" s="143" t="s">
        <v>889</v>
      </c>
      <c r="T67" s="163">
        <v>45447</v>
      </c>
      <c r="U67" s="145" t="s">
        <v>3853</v>
      </c>
      <c r="V67" s="144">
        <v>1390.2016000000001</v>
      </c>
      <c r="W67" s="144">
        <v>1390.2016000000001</v>
      </c>
      <c r="X67" s="145" t="s">
        <v>3853</v>
      </c>
      <c r="Y67" s="146">
        <v>1.0900839612124971E-2</v>
      </c>
      <c r="Z67" s="147">
        <v>2.0990638483756319E-3</v>
      </c>
      <c r="AA67" s="181"/>
    </row>
    <row r="68" spans="1:27" ht="15" x14ac:dyDescent="0.2">
      <c r="A68" s="142" t="s">
        <v>1205</v>
      </c>
      <c r="B68" s="143" t="s">
        <v>1205</v>
      </c>
      <c r="C68" s="143" t="s">
        <v>3400</v>
      </c>
      <c r="D68" s="145" t="s">
        <v>3853</v>
      </c>
      <c r="E68" s="145" t="s">
        <v>3853</v>
      </c>
      <c r="F68" s="143" t="s">
        <v>3401</v>
      </c>
      <c r="G68" s="143" t="s">
        <v>3402</v>
      </c>
      <c r="H68" s="143" t="s">
        <v>312</v>
      </c>
      <c r="I68" s="143" t="s">
        <v>1002</v>
      </c>
      <c r="J68" s="145" t="s">
        <v>3853</v>
      </c>
      <c r="K68" s="143" t="s">
        <v>204</v>
      </c>
      <c r="L68" s="145" t="s">
        <v>3853</v>
      </c>
      <c r="M68" s="145" t="s">
        <v>3853</v>
      </c>
      <c r="N68" s="143" t="s">
        <v>204</v>
      </c>
      <c r="O68" s="143" t="s">
        <v>339</v>
      </c>
      <c r="P68" s="162">
        <v>44406</v>
      </c>
      <c r="Q68" s="143" t="s">
        <v>1210</v>
      </c>
      <c r="R68" s="143" t="s">
        <v>885</v>
      </c>
      <c r="S68" s="143" t="s">
        <v>889</v>
      </c>
      <c r="T68" s="163">
        <v>45448</v>
      </c>
      <c r="U68" s="145" t="s">
        <v>3853</v>
      </c>
      <c r="V68" s="144">
        <v>930.6019</v>
      </c>
      <c r="W68" s="144">
        <v>930.6019</v>
      </c>
      <c r="X68" s="145" t="s">
        <v>3853</v>
      </c>
      <c r="Y68" s="146">
        <v>7.2970292984846511E-3</v>
      </c>
      <c r="Z68" s="147">
        <v>1.4051147384968358E-3</v>
      </c>
      <c r="AA68" s="181"/>
    </row>
    <row r="69" spans="1:27" ht="15" x14ac:dyDescent="0.2">
      <c r="A69" s="142" t="s">
        <v>1205</v>
      </c>
      <c r="B69" s="143" t="s">
        <v>1205</v>
      </c>
      <c r="C69" s="143" t="s">
        <v>3403</v>
      </c>
      <c r="D69" s="145" t="s">
        <v>3853</v>
      </c>
      <c r="E69" s="145" t="s">
        <v>3853</v>
      </c>
      <c r="F69" s="143" t="s">
        <v>3404</v>
      </c>
      <c r="G69" s="143" t="s">
        <v>3405</v>
      </c>
      <c r="H69" s="143" t="s">
        <v>312</v>
      </c>
      <c r="I69" s="143" t="s">
        <v>1002</v>
      </c>
      <c r="J69" s="145" t="s">
        <v>3853</v>
      </c>
      <c r="K69" s="143" t="s">
        <v>204</v>
      </c>
      <c r="L69" s="145" t="s">
        <v>3853</v>
      </c>
      <c r="M69" s="145" t="s">
        <v>3853</v>
      </c>
      <c r="N69" s="143" t="s">
        <v>204</v>
      </c>
      <c r="O69" s="143" t="s">
        <v>339</v>
      </c>
      <c r="P69" s="162">
        <v>45378</v>
      </c>
      <c r="Q69" s="143" t="s">
        <v>1210</v>
      </c>
      <c r="R69" s="143" t="s">
        <v>885</v>
      </c>
      <c r="S69" s="143" t="s">
        <v>889</v>
      </c>
      <c r="T69" s="163">
        <v>45448</v>
      </c>
      <c r="U69" s="145" t="s">
        <v>3853</v>
      </c>
      <c r="V69" s="144">
        <v>103.71130000000001</v>
      </c>
      <c r="W69" s="144">
        <v>103.71130000000001</v>
      </c>
      <c r="X69" s="146">
        <v>8.8495575221238937E-4</v>
      </c>
      <c r="Y69" s="146">
        <v>8.1322034147072162E-4</v>
      </c>
      <c r="Z69" s="147">
        <v>1.5659357263143159E-4</v>
      </c>
      <c r="AA69" s="181"/>
    </row>
    <row r="70" spans="1:27" ht="15" x14ac:dyDescent="0.2">
      <c r="A70" s="142" t="s">
        <v>1205</v>
      </c>
      <c r="B70" s="143" t="s">
        <v>1205</v>
      </c>
      <c r="C70" s="143" t="s">
        <v>3406</v>
      </c>
      <c r="D70" s="145" t="s">
        <v>3853</v>
      </c>
      <c r="E70" s="145" t="s">
        <v>3853</v>
      </c>
      <c r="F70" s="143" t="s">
        <v>3407</v>
      </c>
      <c r="G70" s="143" t="s">
        <v>3408</v>
      </c>
      <c r="H70" s="143" t="s">
        <v>312</v>
      </c>
      <c r="I70" s="143" t="s">
        <v>1002</v>
      </c>
      <c r="J70" s="145" t="s">
        <v>3853</v>
      </c>
      <c r="K70" s="143" t="s">
        <v>205</v>
      </c>
      <c r="L70" s="145" t="s">
        <v>3853</v>
      </c>
      <c r="M70" s="145" t="s">
        <v>3853</v>
      </c>
      <c r="N70" s="143" t="s">
        <v>204</v>
      </c>
      <c r="O70" s="143" t="s">
        <v>339</v>
      </c>
      <c r="P70" s="162">
        <v>44612</v>
      </c>
      <c r="Q70" s="143" t="s">
        <v>1211</v>
      </c>
      <c r="R70" s="143" t="s">
        <v>885</v>
      </c>
      <c r="S70" s="143" t="s">
        <v>889</v>
      </c>
      <c r="T70" s="163">
        <v>45453</v>
      </c>
      <c r="U70" s="143" t="s">
        <v>1212</v>
      </c>
      <c r="V70" s="144">
        <v>479.14844373503593</v>
      </c>
      <c r="W70" s="144">
        <v>1801.1189999999999</v>
      </c>
      <c r="X70" s="146">
        <v>7.3880358334918404E-7</v>
      </c>
      <c r="Y70" s="146">
        <v>1.4122922300750526E-2</v>
      </c>
      <c r="Z70" s="147">
        <v>2.7195075507715463E-3</v>
      </c>
      <c r="AA70" s="181"/>
    </row>
    <row r="71" spans="1:27" ht="15" x14ac:dyDescent="0.2">
      <c r="A71" s="142" t="s">
        <v>1205</v>
      </c>
      <c r="B71" s="143" t="s">
        <v>1205</v>
      </c>
      <c r="C71" s="143" t="s">
        <v>3403</v>
      </c>
      <c r="D71" s="145" t="s">
        <v>3853</v>
      </c>
      <c r="E71" s="145" t="s">
        <v>3853</v>
      </c>
      <c r="F71" s="143" t="s">
        <v>3409</v>
      </c>
      <c r="G71" s="143" t="s">
        <v>3410</v>
      </c>
      <c r="H71" s="143" t="s">
        <v>312</v>
      </c>
      <c r="I71" s="143" t="s">
        <v>1002</v>
      </c>
      <c r="J71" s="145" t="s">
        <v>3853</v>
      </c>
      <c r="K71" s="143" t="s">
        <v>205</v>
      </c>
      <c r="L71" s="145" t="s">
        <v>3853</v>
      </c>
      <c r="M71" s="145" t="s">
        <v>3853</v>
      </c>
      <c r="N71" s="143" t="s">
        <v>217</v>
      </c>
      <c r="O71" s="143" t="s">
        <v>339</v>
      </c>
      <c r="P71" s="162">
        <v>44286</v>
      </c>
      <c r="Q71" s="143" t="s">
        <v>1210</v>
      </c>
      <c r="R71" s="143" t="s">
        <v>885</v>
      </c>
      <c r="S71" s="143" t="s">
        <v>889</v>
      </c>
      <c r="T71" s="163">
        <v>45453</v>
      </c>
      <c r="U71" s="145" t="s">
        <v>3853</v>
      </c>
      <c r="V71" s="144">
        <v>1252.8876</v>
      </c>
      <c r="W71" s="144">
        <v>1252.8876</v>
      </c>
      <c r="X71" s="145" t="s">
        <v>3853</v>
      </c>
      <c r="Y71" s="146">
        <v>9.8241339406961933E-3</v>
      </c>
      <c r="Z71" s="147">
        <v>1.8917335847761852E-3</v>
      </c>
      <c r="AA71" s="181"/>
    </row>
    <row r="72" spans="1:27" ht="15" x14ac:dyDescent="0.2">
      <c r="A72" s="142" t="s">
        <v>1205</v>
      </c>
      <c r="B72" s="143" t="s">
        <v>1205</v>
      </c>
      <c r="C72" s="143" t="s">
        <v>3411</v>
      </c>
      <c r="D72" s="145" t="s">
        <v>3853</v>
      </c>
      <c r="E72" s="145" t="s">
        <v>3853</v>
      </c>
      <c r="F72" s="143" t="s">
        <v>3412</v>
      </c>
      <c r="G72" s="143" t="s">
        <v>3413</v>
      </c>
      <c r="H72" s="143" t="s">
        <v>312</v>
      </c>
      <c r="I72" s="143" t="s">
        <v>1003</v>
      </c>
      <c r="J72" s="145" t="s">
        <v>3853</v>
      </c>
      <c r="K72" s="143" t="s">
        <v>204</v>
      </c>
      <c r="L72" s="145" t="s">
        <v>3853</v>
      </c>
      <c r="M72" s="145" t="s">
        <v>3853</v>
      </c>
      <c r="N72" s="143" t="s">
        <v>204</v>
      </c>
      <c r="O72" s="143" t="s">
        <v>339</v>
      </c>
      <c r="P72" s="162">
        <v>45271</v>
      </c>
      <c r="Q72" s="143" t="s">
        <v>1210</v>
      </c>
      <c r="R72" s="143" t="s">
        <v>885</v>
      </c>
      <c r="S72" s="143" t="s">
        <v>889</v>
      </c>
      <c r="T72" s="163">
        <v>45442</v>
      </c>
      <c r="U72" s="145" t="s">
        <v>3853</v>
      </c>
      <c r="V72" s="144">
        <v>1222.1716000000001</v>
      </c>
      <c r="W72" s="144">
        <v>1222.1716000000001</v>
      </c>
      <c r="X72" s="145" t="s">
        <v>3853</v>
      </c>
      <c r="Y72" s="146">
        <v>9.5832836953638582E-3</v>
      </c>
      <c r="Z72" s="147">
        <v>1.845355501909323E-3</v>
      </c>
      <c r="AA72" s="181"/>
    </row>
    <row r="73" spans="1:27" ht="15" x14ac:dyDescent="0.2">
      <c r="A73" s="142" t="s">
        <v>1205</v>
      </c>
      <c r="B73" s="143" t="s">
        <v>1205</v>
      </c>
      <c r="C73" s="143" t="s">
        <v>3414</v>
      </c>
      <c r="D73" s="145" t="s">
        <v>3853</v>
      </c>
      <c r="E73" s="145" t="s">
        <v>3853</v>
      </c>
      <c r="F73" s="143" t="s">
        <v>3415</v>
      </c>
      <c r="G73" s="143" t="s">
        <v>3416</v>
      </c>
      <c r="H73" s="143" t="s">
        <v>312</v>
      </c>
      <c r="I73" s="143" t="s">
        <v>1003</v>
      </c>
      <c r="J73" s="145" t="s">
        <v>3853</v>
      </c>
      <c r="K73" s="143" t="s">
        <v>204</v>
      </c>
      <c r="L73" s="145" t="s">
        <v>3853</v>
      </c>
      <c r="M73" s="145" t="s">
        <v>3853</v>
      </c>
      <c r="N73" s="143" t="s">
        <v>204</v>
      </c>
      <c r="O73" s="143" t="s">
        <v>339</v>
      </c>
      <c r="P73" s="162">
        <v>45250</v>
      </c>
      <c r="Q73" s="143" t="s">
        <v>1210</v>
      </c>
      <c r="R73" s="143" t="s">
        <v>885</v>
      </c>
      <c r="S73" s="143" t="s">
        <v>889</v>
      </c>
      <c r="T73" s="163">
        <v>45466</v>
      </c>
      <c r="U73" s="145" t="s">
        <v>3853</v>
      </c>
      <c r="V73" s="144">
        <v>998.11249999999995</v>
      </c>
      <c r="W73" s="144">
        <v>998.11249999999995</v>
      </c>
      <c r="X73" s="145" t="s">
        <v>3853</v>
      </c>
      <c r="Y73" s="146">
        <v>7.8263930413370649E-3</v>
      </c>
      <c r="Z73" s="147">
        <v>1.5070489320819214E-3</v>
      </c>
      <c r="AA73" s="181"/>
    </row>
    <row r="74" spans="1:27" ht="15" x14ac:dyDescent="0.2">
      <c r="A74" s="142" t="s">
        <v>1205</v>
      </c>
      <c r="B74" s="143" t="s">
        <v>1205</v>
      </c>
      <c r="C74" s="143" t="s">
        <v>3411</v>
      </c>
      <c r="D74" s="145" t="s">
        <v>3853</v>
      </c>
      <c r="E74" s="145" t="s">
        <v>3853</v>
      </c>
      <c r="F74" s="143" t="s">
        <v>3417</v>
      </c>
      <c r="G74" s="143" t="s">
        <v>3418</v>
      </c>
      <c r="H74" s="143" t="s">
        <v>312</v>
      </c>
      <c r="I74" s="143" t="s">
        <v>1003</v>
      </c>
      <c r="J74" s="145" t="s">
        <v>3853</v>
      </c>
      <c r="K74" s="143" t="s">
        <v>204</v>
      </c>
      <c r="L74" s="145" t="s">
        <v>3853</v>
      </c>
      <c r="M74" s="145" t="s">
        <v>3853</v>
      </c>
      <c r="N74" s="143" t="s">
        <v>204</v>
      </c>
      <c r="O74" s="143" t="s">
        <v>339</v>
      </c>
      <c r="P74" s="162">
        <v>45271</v>
      </c>
      <c r="Q74" s="143" t="s">
        <v>1210</v>
      </c>
      <c r="R74" s="143" t="s">
        <v>885</v>
      </c>
      <c r="S74" s="143" t="s">
        <v>889</v>
      </c>
      <c r="T74" s="163">
        <v>45442</v>
      </c>
      <c r="U74" s="145" t="s">
        <v>3853</v>
      </c>
      <c r="V74" s="144">
        <v>819.28780000000006</v>
      </c>
      <c r="W74" s="144">
        <v>819.28780000000006</v>
      </c>
      <c r="X74" s="145" t="s">
        <v>3853</v>
      </c>
      <c r="Y74" s="146">
        <v>6.4241941529085073E-3</v>
      </c>
      <c r="Z74" s="147">
        <v>1.2370417491802436E-3</v>
      </c>
      <c r="AA74" s="181"/>
    </row>
    <row r="75" spans="1:27" ht="15" x14ac:dyDescent="0.2">
      <c r="A75" s="142" t="s">
        <v>1205</v>
      </c>
      <c r="B75" s="143" t="s">
        <v>1205</v>
      </c>
      <c r="C75" s="143" t="s">
        <v>3419</v>
      </c>
      <c r="D75" s="145" t="s">
        <v>3853</v>
      </c>
      <c r="E75" s="145" t="s">
        <v>3853</v>
      </c>
      <c r="F75" s="143" t="s">
        <v>3420</v>
      </c>
      <c r="G75" s="143" t="s">
        <v>3421</v>
      </c>
      <c r="H75" s="143" t="s">
        <v>312</v>
      </c>
      <c r="I75" s="143" t="s">
        <v>1003</v>
      </c>
      <c r="J75" s="145" t="s">
        <v>3853</v>
      </c>
      <c r="K75" s="143" t="s">
        <v>204</v>
      </c>
      <c r="L75" s="145" t="s">
        <v>3853</v>
      </c>
      <c r="M75" s="145" t="s">
        <v>3853</v>
      </c>
      <c r="N75" s="143" t="s">
        <v>204</v>
      </c>
      <c r="O75" s="143" t="s">
        <v>339</v>
      </c>
      <c r="P75" s="162">
        <v>45243</v>
      </c>
      <c r="Q75" s="143" t="s">
        <v>1210</v>
      </c>
      <c r="R75" s="143" t="s">
        <v>885</v>
      </c>
      <c r="S75" s="143" t="s">
        <v>889</v>
      </c>
      <c r="T75" s="163">
        <v>45442</v>
      </c>
      <c r="U75" s="145" t="s">
        <v>3853</v>
      </c>
      <c r="V75" s="144">
        <v>599.14909999999998</v>
      </c>
      <c r="W75" s="144">
        <v>599.14909999999998</v>
      </c>
      <c r="X75" s="146">
        <v>3.0904650499999999E-3</v>
      </c>
      <c r="Y75" s="146">
        <v>4.6980436776268781E-3</v>
      </c>
      <c r="Z75" s="147">
        <v>9.046545030189575E-4</v>
      </c>
      <c r="AA75" s="181"/>
    </row>
    <row r="76" spans="1:27" ht="15" x14ac:dyDescent="0.2">
      <c r="A76" s="142" t="s">
        <v>1205</v>
      </c>
      <c r="B76" s="143" t="s">
        <v>1205</v>
      </c>
      <c r="C76" s="143" t="s">
        <v>3422</v>
      </c>
      <c r="D76" s="145" t="s">
        <v>3853</v>
      </c>
      <c r="E76" s="145" t="s">
        <v>3853</v>
      </c>
      <c r="F76" s="143" t="s">
        <v>3423</v>
      </c>
      <c r="G76" s="143" t="s">
        <v>3424</v>
      </c>
      <c r="H76" s="143" t="s">
        <v>312</v>
      </c>
      <c r="I76" s="143" t="s">
        <v>1003</v>
      </c>
      <c r="J76" s="145" t="s">
        <v>3853</v>
      </c>
      <c r="K76" s="143" t="s">
        <v>204</v>
      </c>
      <c r="L76" s="145" t="s">
        <v>3853</v>
      </c>
      <c r="M76" s="145" t="s">
        <v>3853</v>
      </c>
      <c r="N76" s="143" t="s">
        <v>204</v>
      </c>
      <c r="O76" s="143" t="s">
        <v>339</v>
      </c>
      <c r="P76" s="162">
        <v>45316</v>
      </c>
      <c r="Q76" s="143" t="s">
        <v>1210</v>
      </c>
      <c r="R76" s="143" t="s">
        <v>885</v>
      </c>
      <c r="S76" s="143" t="s">
        <v>889</v>
      </c>
      <c r="T76" s="163">
        <v>45449</v>
      </c>
      <c r="U76" s="145" t="s">
        <v>3853</v>
      </c>
      <c r="V76" s="144">
        <v>502.2851</v>
      </c>
      <c r="W76" s="144">
        <v>502.2851</v>
      </c>
      <c r="X76" s="145" t="s">
        <v>3853</v>
      </c>
      <c r="Y76" s="146">
        <v>3.9385146798318355E-3</v>
      </c>
      <c r="Z76" s="147">
        <v>7.5839972652529954E-4</v>
      </c>
      <c r="AA76" s="181"/>
    </row>
    <row r="77" spans="1:27" ht="15" x14ac:dyDescent="0.2">
      <c r="A77" s="142" t="s">
        <v>1205</v>
      </c>
      <c r="B77" s="143" t="s">
        <v>1205</v>
      </c>
      <c r="C77" s="143" t="s">
        <v>3425</v>
      </c>
      <c r="D77" s="145" t="s">
        <v>3853</v>
      </c>
      <c r="E77" s="145" t="s">
        <v>3853</v>
      </c>
      <c r="F77" s="143" t="s">
        <v>3426</v>
      </c>
      <c r="G77" s="143" t="s">
        <v>3427</v>
      </c>
      <c r="H77" s="143" t="s">
        <v>312</v>
      </c>
      <c r="I77" s="143" t="s">
        <v>1003</v>
      </c>
      <c r="J77" s="145" t="s">
        <v>3853</v>
      </c>
      <c r="K77" s="143" t="s">
        <v>204</v>
      </c>
      <c r="L77" s="145" t="s">
        <v>3853</v>
      </c>
      <c r="M77" s="145" t="s">
        <v>3853</v>
      </c>
      <c r="N77" s="143" t="s">
        <v>204</v>
      </c>
      <c r="O77" s="143" t="s">
        <v>339</v>
      </c>
      <c r="P77" s="162">
        <v>45382</v>
      </c>
      <c r="Q77" s="143" t="s">
        <v>1210</v>
      </c>
      <c r="R77" s="143" t="s">
        <v>885</v>
      </c>
      <c r="S77" s="143" t="s">
        <v>889</v>
      </c>
      <c r="T77" s="163">
        <v>45440</v>
      </c>
      <c r="U77" s="145" t="s">
        <v>3853</v>
      </c>
      <c r="V77" s="144">
        <v>491.67190000000005</v>
      </c>
      <c r="W77" s="144">
        <v>491.67190000000005</v>
      </c>
      <c r="X77" s="145" t="s">
        <v>3853</v>
      </c>
      <c r="Y77" s="146">
        <v>3.8552940692873107E-3</v>
      </c>
      <c r="Z77" s="147">
        <v>7.4237477970932615E-4</v>
      </c>
      <c r="AA77" s="181"/>
    </row>
    <row r="78" spans="1:27" ht="15" x14ac:dyDescent="0.2">
      <c r="A78" s="142" t="s">
        <v>1205</v>
      </c>
      <c r="B78" s="143" t="s">
        <v>1205</v>
      </c>
      <c r="C78" s="143" t="s">
        <v>3428</v>
      </c>
      <c r="D78" s="145" t="s">
        <v>3853</v>
      </c>
      <c r="E78" s="145" t="s">
        <v>3853</v>
      </c>
      <c r="F78" s="143" t="s">
        <v>3429</v>
      </c>
      <c r="G78" s="143" t="s">
        <v>3430</v>
      </c>
      <c r="H78" s="143" t="s">
        <v>312</v>
      </c>
      <c r="I78" s="143" t="s">
        <v>1003</v>
      </c>
      <c r="J78" s="145" t="s">
        <v>3853</v>
      </c>
      <c r="K78" s="143" t="s">
        <v>204</v>
      </c>
      <c r="L78" s="145" t="s">
        <v>3853</v>
      </c>
      <c r="M78" s="145" t="s">
        <v>3853</v>
      </c>
      <c r="N78" s="143" t="s">
        <v>204</v>
      </c>
      <c r="O78" s="143" t="s">
        <v>339</v>
      </c>
      <c r="P78" s="162">
        <v>45350</v>
      </c>
      <c r="Q78" s="143" t="s">
        <v>1210</v>
      </c>
      <c r="R78" s="143" t="s">
        <v>885</v>
      </c>
      <c r="S78" s="143" t="s">
        <v>889</v>
      </c>
      <c r="T78" s="163">
        <v>45452</v>
      </c>
      <c r="U78" s="145" t="s">
        <v>3853</v>
      </c>
      <c r="V78" s="144">
        <v>385.54859999999996</v>
      </c>
      <c r="W78" s="144">
        <v>385.54859999999996</v>
      </c>
      <c r="X78" s="146">
        <v>9.771428571428572E-5</v>
      </c>
      <c r="Y78" s="146">
        <v>3.0231608296198043E-3</v>
      </c>
      <c r="Z78" s="147">
        <v>5.8213934257153837E-4</v>
      </c>
      <c r="AA78" s="181"/>
    </row>
    <row r="79" spans="1:27" ht="15" x14ac:dyDescent="0.2">
      <c r="A79" s="142" t="s">
        <v>1205</v>
      </c>
      <c r="B79" s="143" t="s">
        <v>1205</v>
      </c>
      <c r="C79" s="143" t="s">
        <v>3431</v>
      </c>
      <c r="D79" s="145" t="s">
        <v>3853</v>
      </c>
      <c r="E79" s="145" t="s">
        <v>3853</v>
      </c>
      <c r="F79" s="143" t="s">
        <v>3432</v>
      </c>
      <c r="G79" s="143" t="s">
        <v>3433</v>
      </c>
      <c r="H79" s="143" t="s">
        <v>312</v>
      </c>
      <c r="I79" s="143" t="s">
        <v>1003</v>
      </c>
      <c r="J79" s="145" t="s">
        <v>3853</v>
      </c>
      <c r="K79" s="143" t="s">
        <v>204</v>
      </c>
      <c r="L79" s="145" t="s">
        <v>3853</v>
      </c>
      <c r="M79" s="145" t="s">
        <v>3853</v>
      </c>
      <c r="N79" s="143" t="s">
        <v>204</v>
      </c>
      <c r="O79" s="143" t="s">
        <v>339</v>
      </c>
      <c r="P79" s="162">
        <v>44938</v>
      </c>
      <c r="Q79" s="143" t="s">
        <v>1210</v>
      </c>
      <c r="R79" s="143" t="s">
        <v>885</v>
      </c>
      <c r="S79" s="143" t="s">
        <v>889</v>
      </c>
      <c r="T79" s="163">
        <v>45447</v>
      </c>
      <c r="U79" s="145" t="s">
        <v>3853</v>
      </c>
      <c r="V79" s="144">
        <v>305.26170000000002</v>
      </c>
      <c r="W79" s="144">
        <v>305.26170000000002</v>
      </c>
      <c r="X79" s="145" t="s">
        <v>3853</v>
      </c>
      <c r="Y79" s="146">
        <v>2.3936162985918868E-3</v>
      </c>
      <c r="Z79" s="147">
        <v>4.6091435320893518E-4</v>
      </c>
      <c r="AA79" s="181"/>
    </row>
    <row r="80" spans="1:27" ht="15" x14ac:dyDescent="0.2">
      <c r="A80" s="142" t="s">
        <v>1205</v>
      </c>
      <c r="B80" s="143" t="s">
        <v>1205</v>
      </c>
      <c r="C80" s="143" t="s">
        <v>3434</v>
      </c>
      <c r="D80" s="145" t="s">
        <v>3853</v>
      </c>
      <c r="E80" s="145" t="s">
        <v>3853</v>
      </c>
      <c r="F80" s="143" t="s">
        <v>3435</v>
      </c>
      <c r="G80" s="143" t="s">
        <v>3436</v>
      </c>
      <c r="H80" s="143" t="s">
        <v>312</v>
      </c>
      <c r="I80" s="143" t="s">
        <v>1003</v>
      </c>
      <c r="J80" s="145" t="s">
        <v>3853</v>
      </c>
      <c r="K80" s="143" t="s">
        <v>204</v>
      </c>
      <c r="L80" s="145" t="s">
        <v>3853</v>
      </c>
      <c r="M80" s="145" t="s">
        <v>3853</v>
      </c>
      <c r="N80" s="143" t="s">
        <v>204</v>
      </c>
      <c r="O80" s="143" t="s">
        <v>339</v>
      </c>
      <c r="P80" s="162">
        <v>45131</v>
      </c>
      <c r="Q80" s="143" t="s">
        <v>1210</v>
      </c>
      <c r="R80" s="143" t="s">
        <v>885</v>
      </c>
      <c r="S80" s="143" t="s">
        <v>889</v>
      </c>
      <c r="T80" s="163">
        <v>45448</v>
      </c>
      <c r="U80" s="145" t="s">
        <v>3853</v>
      </c>
      <c r="V80" s="144">
        <v>226.85410000000002</v>
      </c>
      <c r="W80" s="144">
        <v>226.85410000000002</v>
      </c>
      <c r="X80" s="145" t="s">
        <v>3853</v>
      </c>
      <c r="Y80" s="146">
        <v>1.7788067521745884E-3</v>
      </c>
      <c r="Z80" s="147">
        <v>3.4252673001289031E-4</v>
      </c>
      <c r="AA80" s="181"/>
    </row>
    <row r="81" spans="1:27" ht="15" x14ac:dyDescent="0.2">
      <c r="A81" s="142" t="s">
        <v>1205</v>
      </c>
      <c r="B81" s="143" t="s">
        <v>1205</v>
      </c>
      <c r="C81" s="143" t="s">
        <v>3437</v>
      </c>
      <c r="D81" s="145" t="s">
        <v>3853</v>
      </c>
      <c r="E81" s="145" t="s">
        <v>3853</v>
      </c>
      <c r="F81" s="143" t="s">
        <v>3423</v>
      </c>
      <c r="G81" s="143" t="s">
        <v>3438</v>
      </c>
      <c r="H81" s="143" t="s">
        <v>312</v>
      </c>
      <c r="I81" s="143" t="s">
        <v>1003</v>
      </c>
      <c r="J81" s="145" t="s">
        <v>3853</v>
      </c>
      <c r="K81" s="143" t="s">
        <v>204</v>
      </c>
      <c r="L81" s="145" t="s">
        <v>3853</v>
      </c>
      <c r="M81" s="145" t="s">
        <v>3853</v>
      </c>
      <c r="N81" s="143" t="s">
        <v>204</v>
      </c>
      <c r="O81" s="143" t="s">
        <v>339</v>
      </c>
      <c r="P81" s="162">
        <v>45369</v>
      </c>
      <c r="Q81" s="143" t="s">
        <v>1210</v>
      </c>
      <c r="R81" s="143" t="s">
        <v>885</v>
      </c>
      <c r="S81" s="143" t="s">
        <v>889</v>
      </c>
      <c r="T81" s="163">
        <v>45442</v>
      </c>
      <c r="U81" s="145" t="s">
        <v>3853</v>
      </c>
      <c r="V81" s="144">
        <v>169.5986</v>
      </c>
      <c r="W81" s="144">
        <v>169.5986</v>
      </c>
      <c r="X81" s="145" t="s">
        <v>3853</v>
      </c>
      <c r="Y81" s="146">
        <v>1.3298555645771871E-3</v>
      </c>
      <c r="Z81" s="147">
        <v>2.560767645879511E-4</v>
      </c>
      <c r="AA81" s="181"/>
    </row>
    <row r="82" spans="1:27" ht="15" x14ac:dyDescent="0.2">
      <c r="A82" s="142" t="s">
        <v>1205</v>
      </c>
      <c r="B82" s="143" t="s">
        <v>1205</v>
      </c>
      <c r="C82" s="143" t="s">
        <v>3411</v>
      </c>
      <c r="D82" s="145" t="s">
        <v>3853</v>
      </c>
      <c r="E82" s="145" t="s">
        <v>3853</v>
      </c>
      <c r="F82" s="143" t="s">
        <v>3439</v>
      </c>
      <c r="G82" s="143" t="s">
        <v>3440</v>
      </c>
      <c r="H82" s="143" t="s">
        <v>312</v>
      </c>
      <c r="I82" s="143" t="s">
        <v>1003</v>
      </c>
      <c r="J82" s="145" t="s">
        <v>3853</v>
      </c>
      <c r="K82" s="143" t="s">
        <v>204</v>
      </c>
      <c r="L82" s="145" t="s">
        <v>3853</v>
      </c>
      <c r="M82" s="145" t="s">
        <v>3853</v>
      </c>
      <c r="N82" s="143" t="s">
        <v>204</v>
      </c>
      <c r="O82" s="143" t="s">
        <v>339</v>
      </c>
      <c r="P82" s="162">
        <v>44174</v>
      </c>
      <c r="Q82" s="143" t="s">
        <v>1210</v>
      </c>
      <c r="R82" s="143" t="s">
        <v>885</v>
      </c>
      <c r="S82" s="143" t="s">
        <v>889</v>
      </c>
      <c r="T82" s="163">
        <v>45442</v>
      </c>
      <c r="U82" s="145" t="s">
        <v>3853</v>
      </c>
      <c r="V82" s="144">
        <v>5.5688999999999993</v>
      </c>
      <c r="W82" s="144">
        <v>5.5688999999999993</v>
      </c>
      <c r="X82" s="145" t="s">
        <v>3853</v>
      </c>
      <c r="Y82" s="146">
        <v>4.3666488046910399E-5</v>
      </c>
      <c r="Z82" s="147">
        <v>8.4084116183898819E-6</v>
      </c>
      <c r="AA82" s="181"/>
    </row>
    <row r="83" spans="1:27" ht="15" x14ac:dyDescent="0.2">
      <c r="A83" s="142" t="s">
        <v>1205</v>
      </c>
      <c r="B83" s="143" t="s">
        <v>1205</v>
      </c>
      <c r="C83" s="143" t="s">
        <v>3441</v>
      </c>
      <c r="D83" s="145" t="s">
        <v>3853</v>
      </c>
      <c r="E83" s="145" t="s">
        <v>3853</v>
      </c>
      <c r="F83" s="143" t="s">
        <v>3442</v>
      </c>
      <c r="G83" s="143" t="s">
        <v>3443</v>
      </c>
      <c r="H83" s="143" t="s">
        <v>312</v>
      </c>
      <c r="I83" s="143" t="s">
        <v>1003</v>
      </c>
      <c r="J83" s="145" t="s">
        <v>3853</v>
      </c>
      <c r="K83" s="143" t="s">
        <v>205</v>
      </c>
      <c r="L83" s="145" t="s">
        <v>3853</v>
      </c>
      <c r="M83" s="145" t="s">
        <v>3853</v>
      </c>
      <c r="N83" s="143" t="s">
        <v>293</v>
      </c>
      <c r="O83" s="143" t="s">
        <v>339</v>
      </c>
      <c r="P83" s="162">
        <v>45046</v>
      </c>
      <c r="Q83" s="143" t="s">
        <v>1214</v>
      </c>
      <c r="R83" s="143" t="s">
        <v>885</v>
      </c>
      <c r="S83" s="143" t="s">
        <v>889</v>
      </c>
      <c r="T83" s="163">
        <v>45461</v>
      </c>
      <c r="U83" s="143" t="s">
        <v>1215</v>
      </c>
      <c r="V83" s="144">
        <v>487.0112432217303</v>
      </c>
      <c r="W83" s="144">
        <v>1957.8826000000001</v>
      </c>
      <c r="X83" s="145" t="s">
        <v>3853</v>
      </c>
      <c r="Y83" s="146">
        <v>1.5352135365596559E-2</v>
      </c>
      <c r="Z83" s="147">
        <v>2.9562046124822217E-3</v>
      </c>
      <c r="AA83" s="181"/>
    </row>
    <row r="84" spans="1:27" ht="15" x14ac:dyDescent="0.2">
      <c r="A84" s="142" t="s">
        <v>1205</v>
      </c>
      <c r="B84" s="143" t="s">
        <v>1205</v>
      </c>
      <c r="C84" s="143" t="s">
        <v>3251</v>
      </c>
      <c r="D84" s="145" t="s">
        <v>3853</v>
      </c>
      <c r="E84" s="145" t="s">
        <v>3853</v>
      </c>
      <c r="F84" s="143" t="s">
        <v>3444</v>
      </c>
      <c r="G84" s="143" t="s">
        <v>3445</v>
      </c>
      <c r="H84" s="143" t="s">
        <v>312</v>
      </c>
      <c r="I84" s="143" t="s">
        <v>1003</v>
      </c>
      <c r="J84" s="145" t="s">
        <v>3853</v>
      </c>
      <c r="K84" s="143" t="s">
        <v>205</v>
      </c>
      <c r="L84" s="145" t="s">
        <v>3853</v>
      </c>
      <c r="M84" s="145" t="s">
        <v>3853</v>
      </c>
      <c r="N84" s="143" t="s">
        <v>224</v>
      </c>
      <c r="O84" s="143" t="s">
        <v>339</v>
      </c>
      <c r="P84" s="162">
        <v>45271</v>
      </c>
      <c r="Q84" s="143" t="s">
        <v>1211</v>
      </c>
      <c r="R84" s="143" t="s">
        <v>885</v>
      </c>
      <c r="S84" s="143" t="s">
        <v>889</v>
      </c>
      <c r="T84" s="163">
        <v>45461</v>
      </c>
      <c r="U84" s="143" t="s">
        <v>1212</v>
      </c>
      <c r="V84" s="144">
        <v>466.2916467145518</v>
      </c>
      <c r="W84" s="144">
        <v>1752.7903000000001</v>
      </c>
      <c r="X84" s="146">
        <v>8.7000000000000001E-4</v>
      </c>
      <c r="Y84" s="146">
        <v>1.3743967143918711E-2</v>
      </c>
      <c r="Z84" s="147">
        <v>2.6465360092972176E-3</v>
      </c>
      <c r="AA84" s="181"/>
    </row>
    <row r="85" spans="1:27" ht="15" x14ac:dyDescent="0.2">
      <c r="A85" s="142" t="s">
        <v>1205</v>
      </c>
      <c r="B85" s="143" t="s">
        <v>1205</v>
      </c>
      <c r="C85" s="143" t="s">
        <v>3446</v>
      </c>
      <c r="D85" s="145" t="s">
        <v>3853</v>
      </c>
      <c r="E85" s="145" t="s">
        <v>3853</v>
      </c>
      <c r="F85" s="143" t="s">
        <v>3447</v>
      </c>
      <c r="G85" s="143" t="s">
        <v>3448</v>
      </c>
      <c r="H85" s="143" t="s">
        <v>312</v>
      </c>
      <c r="I85" s="143" t="s">
        <v>1003</v>
      </c>
      <c r="J85" s="145" t="s">
        <v>3853</v>
      </c>
      <c r="K85" s="143" t="s">
        <v>205</v>
      </c>
      <c r="L85" s="145" t="s">
        <v>3853</v>
      </c>
      <c r="M85" s="145" t="s">
        <v>3853</v>
      </c>
      <c r="N85" s="143" t="s">
        <v>293</v>
      </c>
      <c r="O85" s="143" t="s">
        <v>339</v>
      </c>
      <c r="P85" s="162">
        <v>44816</v>
      </c>
      <c r="Q85" s="143" t="s">
        <v>1214</v>
      </c>
      <c r="R85" s="143" t="s">
        <v>885</v>
      </c>
      <c r="S85" s="143" t="s">
        <v>889</v>
      </c>
      <c r="T85" s="163">
        <v>45442</v>
      </c>
      <c r="U85" s="143" t="s">
        <v>1215</v>
      </c>
      <c r="V85" s="144">
        <v>312.26804636585246</v>
      </c>
      <c r="W85" s="144">
        <v>1255.3800000000001</v>
      </c>
      <c r="X85" s="146">
        <v>4.5775090000000002E-4</v>
      </c>
      <c r="Y85" s="146">
        <v>9.8436772860442372E-3</v>
      </c>
      <c r="Z85" s="147">
        <v>1.8954968480803043E-3</v>
      </c>
      <c r="AA85" s="181"/>
    </row>
    <row r="86" spans="1:27" ht="15" x14ac:dyDescent="0.2">
      <c r="A86" s="142" t="s">
        <v>1205</v>
      </c>
      <c r="B86" s="143" t="s">
        <v>1205</v>
      </c>
      <c r="C86" s="143" t="s">
        <v>3449</v>
      </c>
      <c r="D86" s="145" t="s">
        <v>3853</v>
      </c>
      <c r="E86" s="145" t="s">
        <v>3853</v>
      </c>
      <c r="F86" s="143" t="s">
        <v>3450</v>
      </c>
      <c r="G86" s="143" t="s">
        <v>3451</v>
      </c>
      <c r="H86" s="143" t="s">
        <v>312</v>
      </c>
      <c r="I86" s="143" t="s">
        <v>1003</v>
      </c>
      <c r="J86" s="145" t="s">
        <v>3853</v>
      </c>
      <c r="K86" s="143" t="s">
        <v>205</v>
      </c>
      <c r="L86" s="145" t="s">
        <v>3853</v>
      </c>
      <c r="M86" s="145" t="s">
        <v>3853</v>
      </c>
      <c r="N86" s="143" t="s">
        <v>293</v>
      </c>
      <c r="O86" s="143" t="s">
        <v>339</v>
      </c>
      <c r="P86" s="162">
        <v>45203</v>
      </c>
      <c r="Q86" s="143" t="s">
        <v>1214</v>
      </c>
      <c r="R86" s="143" t="s">
        <v>885</v>
      </c>
      <c r="S86" s="143" t="s">
        <v>889</v>
      </c>
      <c r="T86" s="163">
        <v>45438</v>
      </c>
      <c r="U86" s="143" t="s">
        <v>1215</v>
      </c>
      <c r="V86" s="144">
        <v>294.76354410228345</v>
      </c>
      <c r="W86" s="144">
        <v>1185.0083999999999</v>
      </c>
      <c r="X86" s="146">
        <v>3.0015126000000001E-4</v>
      </c>
      <c r="Y86" s="146">
        <v>9.2918798457456361E-3</v>
      </c>
      <c r="Z86" s="147">
        <v>1.7892428254755982E-3</v>
      </c>
      <c r="AA86" s="181"/>
    </row>
    <row r="87" spans="1:27" ht="15" x14ac:dyDescent="0.2">
      <c r="A87" s="142" t="s">
        <v>1205</v>
      </c>
      <c r="B87" s="143" t="s">
        <v>1205</v>
      </c>
      <c r="C87" s="143" t="s">
        <v>3452</v>
      </c>
      <c r="D87" s="145" t="s">
        <v>3853</v>
      </c>
      <c r="E87" s="145" t="s">
        <v>3853</v>
      </c>
      <c r="F87" s="143" t="s">
        <v>3453</v>
      </c>
      <c r="G87" s="143" t="s">
        <v>3454</v>
      </c>
      <c r="H87" s="143" t="s">
        <v>312</v>
      </c>
      <c r="I87" s="143" t="s">
        <v>1003</v>
      </c>
      <c r="J87" s="145" t="s">
        <v>3853</v>
      </c>
      <c r="K87" s="143" t="s">
        <v>205</v>
      </c>
      <c r="L87" s="145" t="s">
        <v>3853</v>
      </c>
      <c r="M87" s="145" t="s">
        <v>3853</v>
      </c>
      <c r="N87" s="143" t="s">
        <v>224</v>
      </c>
      <c r="O87" s="143" t="s">
        <v>339</v>
      </c>
      <c r="P87" s="162">
        <v>44616</v>
      </c>
      <c r="Q87" s="143" t="s">
        <v>1211</v>
      </c>
      <c r="R87" s="143" t="s">
        <v>885</v>
      </c>
      <c r="S87" s="143" t="s">
        <v>889</v>
      </c>
      <c r="T87" s="163">
        <v>45434</v>
      </c>
      <c r="U87" s="143" t="s">
        <v>1212</v>
      </c>
      <c r="V87" s="144">
        <v>292.67188081936689</v>
      </c>
      <c r="W87" s="144">
        <v>1100.1536000000001</v>
      </c>
      <c r="X87" s="146">
        <v>3.6584615384615386E-7</v>
      </c>
      <c r="Y87" s="146">
        <v>8.6265167432283858E-3</v>
      </c>
      <c r="Z87" s="147">
        <v>1.6611206179913661E-3</v>
      </c>
      <c r="AA87" s="181"/>
    </row>
    <row r="88" spans="1:27" ht="15" x14ac:dyDescent="0.2">
      <c r="A88" s="142" t="s">
        <v>1205</v>
      </c>
      <c r="B88" s="143" t="s">
        <v>1205</v>
      </c>
      <c r="C88" s="143" t="s">
        <v>3455</v>
      </c>
      <c r="D88" s="145" t="s">
        <v>3853</v>
      </c>
      <c r="E88" s="145" t="s">
        <v>3853</v>
      </c>
      <c r="F88" s="143" t="s">
        <v>3456</v>
      </c>
      <c r="G88" s="143" t="s">
        <v>3457</v>
      </c>
      <c r="H88" s="143" t="s">
        <v>312</v>
      </c>
      <c r="I88" s="143" t="s">
        <v>1003</v>
      </c>
      <c r="J88" s="145" t="s">
        <v>3853</v>
      </c>
      <c r="K88" s="143" t="s">
        <v>205</v>
      </c>
      <c r="L88" s="145" t="s">
        <v>3853</v>
      </c>
      <c r="M88" s="145" t="s">
        <v>3853</v>
      </c>
      <c r="N88" s="143" t="s">
        <v>272</v>
      </c>
      <c r="O88" s="143" t="s">
        <v>339</v>
      </c>
      <c r="P88" s="162">
        <v>45222</v>
      </c>
      <c r="Q88" s="143" t="s">
        <v>1214</v>
      </c>
      <c r="R88" s="143" t="s">
        <v>885</v>
      </c>
      <c r="S88" s="143" t="s">
        <v>889</v>
      </c>
      <c r="T88" s="163">
        <v>45442</v>
      </c>
      <c r="U88" s="143" t="s">
        <v>1215</v>
      </c>
      <c r="V88" s="144">
        <v>252.89231879010995</v>
      </c>
      <c r="W88" s="144">
        <v>1016.6777</v>
      </c>
      <c r="X88" s="146">
        <v>1.2568500499999999E-3</v>
      </c>
      <c r="Y88" s="146">
        <v>7.9719659005021374E-3</v>
      </c>
      <c r="Z88" s="147">
        <v>1.5350804174400034E-3</v>
      </c>
      <c r="AA88" s="181"/>
    </row>
    <row r="89" spans="1:27" ht="15" x14ac:dyDescent="0.2">
      <c r="A89" s="142" t="s">
        <v>1205</v>
      </c>
      <c r="B89" s="143" t="s">
        <v>1205</v>
      </c>
      <c r="C89" s="143" t="s">
        <v>3458</v>
      </c>
      <c r="D89" s="145" t="s">
        <v>3853</v>
      </c>
      <c r="E89" s="145" t="s">
        <v>3853</v>
      </c>
      <c r="F89" s="143" t="s">
        <v>3459</v>
      </c>
      <c r="G89" s="143" t="s">
        <v>3460</v>
      </c>
      <c r="H89" s="143" t="s">
        <v>312</v>
      </c>
      <c r="I89" s="143" t="s">
        <v>1003</v>
      </c>
      <c r="J89" s="145" t="s">
        <v>3853</v>
      </c>
      <c r="K89" s="143" t="s">
        <v>205</v>
      </c>
      <c r="L89" s="145" t="s">
        <v>3853</v>
      </c>
      <c r="M89" s="145" t="s">
        <v>3853</v>
      </c>
      <c r="N89" s="143" t="s">
        <v>291</v>
      </c>
      <c r="O89" s="143" t="s">
        <v>339</v>
      </c>
      <c r="P89" s="162">
        <v>45342</v>
      </c>
      <c r="Q89" s="143" t="s">
        <v>1211</v>
      </c>
      <c r="R89" s="143" t="s">
        <v>885</v>
      </c>
      <c r="S89" s="143" t="s">
        <v>889</v>
      </c>
      <c r="T89" s="163">
        <v>45470</v>
      </c>
      <c r="U89" s="143" t="s">
        <v>1212</v>
      </c>
      <c r="V89" s="144">
        <v>217.48653897313116</v>
      </c>
      <c r="W89" s="144">
        <v>817.53190000000006</v>
      </c>
      <c r="X89" s="145" t="s">
        <v>3853</v>
      </c>
      <c r="Y89" s="146">
        <v>6.4104259704345929E-3</v>
      </c>
      <c r="Z89" s="147">
        <v>1.2343905502710617E-3</v>
      </c>
      <c r="AA89" s="181"/>
    </row>
    <row r="90" spans="1:27" ht="15" x14ac:dyDescent="0.2">
      <c r="A90" s="142" t="s">
        <v>1205</v>
      </c>
      <c r="B90" s="143" t="s">
        <v>1205</v>
      </c>
      <c r="C90" s="143" t="s">
        <v>3461</v>
      </c>
      <c r="D90" s="145" t="s">
        <v>3853</v>
      </c>
      <c r="E90" s="145" t="s">
        <v>3853</v>
      </c>
      <c r="F90" s="143" t="s">
        <v>3462</v>
      </c>
      <c r="G90" s="143" t="s">
        <v>3463</v>
      </c>
      <c r="H90" s="143" t="s">
        <v>312</v>
      </c>
      <c r="I90" s="143" t="s">
        <v>1003</v>
      </c>
      <c r="J90" s="145" t="s">
        <v>3853</v>
      </c>
      <c r="K90" s="143" t="s">
        <v>205</v>
      </c>
      <c r="L90" s="145" t="s">
        <v>3853</v>
      </c>
      <c r="M90" s="145" t="s">
        <v>3853</v>
      </c>
      <c r="N90" s="143" t="s">
        <v>289</v>
      </c>
      <c r="O90" s="143" t="s">
        <v>339</v>
      </c>
      <c r="P90" s="162">
        <v>45054</v>
      </c>
      <c r="Q90" s="143" t="s">
        <v>1211</v>
      </c>
      <c r="R90" s="143" t="s">
        <v>885</v>
      </c>
      <c r="S90" s="143" t="s">
        <v>889</v>
      </c>
      <c r="T90" s="163">
        <v>45448</v>
      </c>
      <c r="U90" s="143" t="s">
        <v>1212</v>
      </c>
      <c r="V90" s="144">
        <v>210.47994147379623</v>
      </c>
      <c r="W90" s="144">
        <v>791.19409999999993</v>
      </c>
      <c r="X90" s="146">
        <v>2.0369978999999999E-4</v>
      </c>
      <c r="Y90" s="146">
        <v>6.2039056887260025E-3</v>
      </c>
      <c r="Z90" s="147">
        <v>1.1946230394447696E-3</v>
      </c>
      <c r="AA90" s="181"/>
    </row>
    <row r="91" spans="1:27" ht="15" x14ac:dyDescent="0.2">
      <c r="A91" s="142" t="s">
        <v>1205</v>
      </c>
      <c r="B91" s="143" t="s">
        <v>1205</v>
      </c>
      <c r="C91" s="143" t="s">
        <v>3464</v>
      </c>
      <c r="D91" s="145" t="s">
        <v>3853</v>
      </c>
      <c r="E91" s="145" t="s">
        <v>3853</v>
      </c>
      <c r="F91" s="143" t="s">
        <v>3465</v>
      </c>
      <c r="G91" s="143" t="s">
        <v>3466</v>
      </c>
      <c r="H91" s="143" t="s">
        <v>312</v>
      </c>
      <c r="I91" s="143" t="s">
        <v>1003</v>
      </c>
      <c r="J91" s="145" t="s">
        <v>3853</v>
      </c>
      <c r="K91" s="143" t="s">
        <v>205</v>
      </c>
      <c r="L91" s="145" t="s">
        <v>3853</v>
      </c>
      <c r="M91" s="145" t="s">
        <v>3853</v>
      </c>
      <c r="N91" s="143" t="s">
        <v>293</v>
      </c>
      <c r="O91" s="143" t="s">
        <v>339</v>
      </c>
      <c r="P91" s="162">
        <v>45369</v>
      </c>
      <c r="Q91" s="143" t="s">
        <v>1214</v>
      </c>
      <c r="R91" s="143" t="s">
        <v>885</v>
      </c>
      <c r="S91" s="143" t="s">
        <v>889</v>
      </c>
      <c r="T91" s="163">
        <v>45468</v>
      </c>
      <c r="U91" s="143" t="s">
        <v>1215</v>
      </c>
      <c r="V91" s="144">
        <v>158.77866772797373</v>
      </c>
      <c r="W91" s="144">
        <v>638.322</v>
      </c>
      <c r="X91" s="146">
        <v>7.6767795E-5</v>
      </c>
      <c r="Y91" s="146">
        <v>5.005206420835513E-3</v>
      </c>
      <c r="Z91" s="147">
        <v>9.6380170936074931E-4</v>
      </c>
      <c r="AA91" s="181"/>
    </row>
    <row r="92" spans="1:27" ht="15" x14ac:dyDescent="0.2">
      <c r="A92" s="142" t="s">
        <v>1205</v>
      </c>
      <c r="B92" s="143" t="s">
        <v>1205</v>
      </c>
      <c r="C92" s="143" t="s">
        <v>3467</v>
      </c>
      <c r="D92" s="145" t="s">
        <v>3853</v>
      </c>
      <c r="E92" s="145" t="s">
        <v>3853</v>
      </c>
      <c r="F92" s="143" t="s">
        <v>3468</v>
      </c>
      <c r="G92" s="143" t="s">
        <v>3469</v>
      </c>
      <c r="H92" s="143" t="s">
        <v>312</v>
      </c>
      <c r="I92" s="143" t="s">
        <v>1003</v>
      </c>
      <c r="J92" s="145" t="s">
        <v>3853</v>
      </c>
      <c r="K92" s="143" t="s">
        <v>205</v>
      </c>
      <c r="L92" s="145" t="s">
        <v>3853</v>
      </c>
      <c r="M92" s="145" t="s">
        <v>3853</v>
      </c>
      <c r="N92" s="143" t="s">
        <v>296</v>
      </c>
      <c r="O92" s="143" t="s">
        <v>339</v>
      </c>
      <c r="P92" s="162">
        <v>45281</v>
      </c>
      <c r="Q92" s="143" t="s">
        <v>1211</v>
      </c>
      <c r="R92" s="143" t="s">
        <v>885</v>
      </c>
      <c r="S92" s="143" t="s">
        <v>889</v>
      </c>
      <c r="T92" s="163">
        <v>45442</v>
      </c>
      <c r="U92" s="143" t="s">
        <v>1212</v>
      </c>
      <c r="V92" s="144">
        <v>115.24570364458631</v>
      </c>
      <c r="W92" s="144">
        <v>433.20859999999999</v>
      </c>
      <c r="X92" s="146">
        <v>1.3376E-3</v>
      </c>
      <c r="Y92" s="146">
        <v>3.3968725182630592E-3</v>
      </c>
      <c r="Z92" s="147">
        <v>6.5410120269045343E-4</v>
      </c>
      <c r="AA92" s="181"/>
    </row>
    <row r="93" spans="1:27" ht="15" x14ac:dyDescent="0.2">
      <c r="A93" s="142" t="s">
        <v>1205</v>
      </c>
      <c r="B93" s="143" t="s">
        <v>1205</v>
      </c>
      <c r="C93" s="143" t="s">
        <v>3470</v>
      </c>
      <c r="D93" s="145" t="s">
        <v>3853</v>
      </c>
      <c r="E93" s="145" t="s">
        <v>3853</v>
      </c>
      <c r="F93" s="143" t="s">
        <v>3471</v>
      </c>
      <c r="G93" s="143" t="s">
        <v>3472</v>
      </c>
      <c r="H93" s="143" t="s">
        <v>312</v>
      </c>
      <c r="I93" s="143" t="s">
        <v>1003</v>
      </c>
      <c r="J93" s="145" t="s">
        <v>3853</v>
      </c>
      <c r="K93" s="143" t="s">
        <v>205</v>
      </c>
      <c r="L93" s="145" t="s">
        <v>3853</v>
      </c>
      <c r="M93" s="145" t="s">
        <v>3853</v>
      </c>
      <c r="N93" s="143" t="s">
        <v>291</v>
      </c>
      <c r="O93" s="143" t="s">
        <v>339</v>
      </c>
      <c r="P93" s="162">
        <v>45259</v>
      </c>
      <c r="Q93" s="143" t="s">
        <v>1211</v>
      </c>
      <c r="R93" s="143" t="s">
        <v>885</v>
      </c>
      <c r="S93" s="143" t="s">
        <v>889</v>
      </c>
      <c r="T93" s="163">
        <v>45471</v>
      </c>
      <c r="U93" s="143" t="s">
        <v>1212</v>
      </c>
      <c r="V93" s="144">
        <v>85.093296089385476</v>
      </c>
      <c r="W93" s="144">
        <v>319.8657</v>
      </c>
      <c r="X93" s="146">
        <v>5.388182424242424E-5</v>
      </c>
      <c r="Y93" s="146">
        <v>2.5081287703800641E-3</v>
      </c>
      <c r="Z93" s="147">
        <v>4.8296485558045306E-4</v>
      </c>
      <c r="AA93" s="181"/>
    </row>
    <row r="94" spans="1:27" ht="15" x14ac:dyDescent="0.2">
      <c r="A94" s="142" t="s">
        <v>1205</v>
      </c>
      <c r="B94" s="143" t="s">
        <v>1205</v>
      </c>
      <c r="C94" s="143" t="s">
        <v>3452</v>
      </c>
      <c r="D94" s="145" t="s">
        <v>3853</v>
      </c>
      <c r="E94" s="145" t="s">
        <v>3853</v>
      </c>
      <c r="F94" s="143" t="s">
        <v>3473</v>
      </c>
      <c r="G94" s="143" t="s">
        <v>3474</v>
      </c>
      <c r="H94" s="143" t="s">
        <v>312</v>
      </c>
      <c r="I94" s="143" t="s">
        <v>1003</v>
      </c>
      <c r="J94" s="145" t="s">
        <v>3853</v>
      </c>
      <c r="K94" s="143" t="s">
        <v>205</v>
      </c>
      <c r="L94" s="145" t="s">
        <v>3853</v>
      </c>
      <c r="M94" s="145" t="s">
        <v>3853</v>
      </c>
      <c r="N94" s="143" t="s">
        <v>224</v>
      </c>
      <c r="O94" s="143" t="s">
        <v>339</v>
      </c>
      <c r="P94" s="162">
        <v>44616</v>
      </c>
      <c r="Q94" s="143" t="s">
        <v>1211</v>
      </c>
      <c r="R94" s="143" t="s">
        <v>885</v>
      </c>
      <c r="S94" s="143" t="s">
        <v>889</v>
      </c>
      <c r="T94" s="163">
        <v>45431</v>
      </c>
      <c r="U94" s="143" t="s">
        <v>1212</v>
      </c>
      <c r="V94" s="144">
        <v>71.865629156690616</v>
      </c>
      <c r="W94" s="144">
        <v>270.1429</v>
      </c>
      <c r="X94" s="145" t="s">
        <v>3853</v>
      </c>
      <c r="Y94" s="146">
        <v>2.1182429729670839E-3</v>
      </c>
      <c r="Z94" s="147">
        <v>4.0788851178814606E-4</v>
      </c>
      <c r="AA94" s="181"/>
    </row>
    <row r="95" spans="1:27" ht="15" x14ac:dyDescent="0.2">
      <c r="A95" s="142" t="s">
        <v>1205</v>
      </c>
      <c r="B95" s="143" t="s">
        <v>1205</v>
      </c>
      <c r="C95" s="143" t="s">
        <v>3475</v>
      </c>
      <c r="D95" s="145" t="s">
        <v>3853</v>
      </c>
      <c r="E95" s="145" t="s">
        <v>3853</v>
      </c>
      <c r="F95" s="143" t="s">
        <v>3476</v>
      </c>
      <c r="G95" s="143" t="s">
        <v>3477</v>
      </c>
      <c r="H95" s="143" t="s">
        <v>312</v>
      </c>
      <c r="I95" s="143" t="s">
        <v>1003</v>
      </c>
      <c r="J95" s="145" t="s">
        <v>3853</v>
      </c>
      <c r="K95" s="143" t="s">
        <v>205</v>
      </c>
      <c r="L95" s="145" t="s">
        <v>3853</v>
      </c>
      <c r="M95" s="145" t="s">
        <v>3853</v>
      </c>
      <c r="N95" s="143" t="s">
        <v>204</v>
      </c>
      <c r="O95" s="143" t="s">
        <v>339</v>
      </c>
      <c r="P95" s="162">
        <v>45356</v>
      </c>
      <c r="Q95" s="143" t="s">
        <v>1210</v>
      </c>
      <c r="R95" s="143" t="s">
        <v>885</v>
      </c>
      <c r="S95" s="143" t="s">
        <v>889</v>
      </c>
      <c r="T95" s="163">
        <v>45442</v>
      </c>
      <c r="U95" s="145" t="s">
        <v>3853</v>
      </c>
      <c r="V95" s="144">
        <v>212.15120000000002</v>
      </c>
      <c r="W95" s="144">
        <v>212.15120000000002</v>
      </c>
      <c r="X95" s="146">
        <v>2.906267806267806E-4</v>
      </c>
      <c r="Y95" s="146">
        <v>1.663518523267665E-3</v>
      </c>
      <c r="Z95" s="147">
        <v>3.2032684798062887E-4</v>
      </c>
      <c r="AA95" s="181"/>
    </row>
    <row r="96" spans="1:27" ht="15" x14ac:dyDescent="0.2">
      <c r="A96" s="142" t="s">
        <v>1205</v>
      </c>
      <c r="B96" s="143" t="s">
        <v>1205</v>
      </c>
      <c r="C96" s="143" t="s">
        <v>3470</v>
      </c>
      <c r="D96" s="145" t="s">
        <v>3853</v>
      </c>
      <c r="E96" s="145" t="s">
        <v>3853</v>
      </c>
      <c r="F96" s="143" t="s">
        <v>3478</v>
      </c>
      <c r="G96" s="143" t="s">
        <v>3479</v>
      </c>
      <c r="H96" s="143" t="s">
        <v>312</v>
      </c>
      <c r="I96" s="143" t="s">
        <v>1003</v>
      </c>
      <c r="J96" s="145" t="s">
        <v>3853</v>
      </c>
      <c r="K96" s="143" t="s">
        <v>205</v>
      </c>
      <c r="L96" s="145" t="s">
        <v>3853</v>
      </c>
      <c r="M96" s="145" t="s">
        <v>3853</v>
      </c>
      <c r="N96" s="143" t="s">
        <v>291</v>
      </c>
      <c r="O96" s="143" t="s">
        <v>339</v>
      </c>
      <c r="P96" s="162">
        <v>44651</v>
      </c>
      <c r="Q96" s="143" t="s">
        <v>1211</v>
      </c>
      <c r="R96" s="143" t="s">
        <v>885</v>
      </c>
      <c r="S96" s="143" t="s">
        <v>889</v>
      </c>
      <c r="T96" s="163">
        <v>44651</v>
      </c>
      <c r="U96" s="143" t="s">
        <v>1212</v>
      </c>
      <c r="V96" s="145" t="s">
        <v>3853</v>
      </c>
      <c r="W96" s="144">
        <v>0</v>
      </c>
      <c r="X96" s="146">
        <v>6.0606060606060602E-12</v>
      </c>
      <c r="Y96" s="146">
        <v>2.9475045280393194E-10</v>
      </c>
      <c r="Z96" s="147">
        <v>5.6757097782165622E-11</v>
      </c>
      <c r="AA96" s="181"/>
    </row>
    <row r="97" spans="1:27" ht="15" x14ac:dyDescent="0.2">
      <c r="A97" s="142" t="s">
        <v>1205</v>
      </c>
      <c r="B97" s="143" t="s">
        <v>1205</v>
      </c>
      <c r="C97" s="143" t="s">
        <v>3480</v>
      </c>
      <c r="D97" s="145" t="s">
        <v>3853</v>
      </c>
      <c r="E97" s="145" t="s">
        <v>3853</v>
      </c>
      <c r="F97" s="143" t="s">
        <v>3481</v>
      </c>
      <c r="G97" s="143" t="s">
        <v>3482</v>
      </c>
      <c r="H97" s="143" t="s">
        <v>312</v>
      </c>
      <c r="I97" s="143" t="s">
        <v>1004</v>
      </c>
      <c r="J97" s="145" t="s">
        <v>3853</v>
      </c>
      <c r="K97" s="143" t="s">
        <v>204</v>
      </c>
      <c r="L97" s="145" t="s">
        <v>3853</v>
      </c>
      <c r="M97" s="145" t="s">
        <v>3853</v>
      </c>
      <c r="N97" s="143" t="s">
        <v>204</v>
      </c>
      <c r="O97" s="143" t="s">
        <v>339</v>
      </c>
      <c r="P97" s="162">
        <v>45306</v>
      </c>
      <c r="Q97" s="143" t="s">
        <v>1210</v>
      </c>
      <c r="R97" s="143" t="s">
        <v>885</v>
      </c>
      <c r="S97" s="143" t="s">
        <v>889</v>
      </c>
      <c r="T97" s="163">
        <v>45419</v>
      </c>
      <c r="U97" s="145" t="s">
        <v>3853</v>
      </c>
      <c r="V97" s="144">
        <v>1862.9793</v>
      </c>
      <c r="W97" s="144">
        <v>1862.9793</v>
      </c>
      <c r="X97" s="145" t="s">
        <v>3853</v>
      </c>
      <c r="Y97" s="146">
        <v>1.4607981005053733E-2</v>
      </c>
      <c r="Z97" s="147">
        <v>2.8129103735605615E-3</v>
      </c>
      <c r="AA97" s="181"/>
    </row>
    <row r="98" spans="1:27" ht="15" x14ac:dyDescent="0.2">
      <c r="A98" s="142" t="s">
        <v>1205</v>
      </c>
      <c r="B98" s="143" t="s">
        <v>1205</v>
      </c>
      <c r="C98" s="143" t="s">
        <v>3483</v>
      </c>
      <c r="D98" s="145" t="s">
        <v>3853</v>
      </c>
      <c r="E98" s="145" t="s">
        <v>3853</v>
      </c>
      <c r="F98" s="143" t="s">
        <v>3484</v>
      </c>
      <c r="G98" s="143" t="s">
        <v>3485</v>
      </c>
      <c r="H98" s="143" t="s">
        <v>312</v>
      </c>
      <c r="I98" s="143" t="s">
        <v>1004</v>
      </c>
      <c r="J98" s="145" t="s">
        <v>3853</v>
      </c>
      <c r="K98" s="143" t="s">
        <v>204</v>
      </c>
      <c r="L98" s="145" t="s">
        <v>3853</v>
      </c>
      <c r="M98" s="145" t="s">
        <v>3853</v>
      </c>
      <c r="N98" s="143" t="s">
        <v>204</v>
      </c>
      <c r="O98" s="143" t="s">
        <v>339</v>
      </c>
      <c r="P98" s="162">
        <v>45378</v>
      </c>
      <c r="Q98" s="143" t="s">
        <v>1210</v>
      </c>
      <c r="R98" s="143" t="s">
        <v>885</v>
      </c>
      <c r="S98" s="143" t="s">
        <v>889</v>
      </c>
      <c r="T98" s="163">
        <v>45441</v>
      </c>
      <c r="U98" s="145" t="s">
        <v>3853</v>
      </c>
      <c r="V98" s="144">
        <v>528.91690000000006</v>
      </c>
      <c r="W98" s="144">
        <v>528.91690000000006</v>
      </c>
      <c r="X98" s="146">
        <v>3.6567199999999999E-4</v>
      </c>
      <c r="Y98" s="146">
        <v>4.1473399172947322E-3</v>
      </c>
      <c r="Z98" s="147">
        <v>7.986110792452555E-4</v>
      </c>
      <c r="AA98" s="181"/>
    </row>
    <row r="99" spans="1:27" ht="15" x14ac:dyDescent="0.2">
      <c r="A99" s="142" t="s">
        <v>1205</v>
      </c>
      <c r="B99" s="143" t="s">
        <v>1205</v>
      </c>
      <c r="C99" s="143" t="s">
        <v>3486</v>
      </c>
      <c r="D99" s="145" t="s">
        <v>3853</v>
      </c>
      <c r="E99" s="145" t="s">
        <v>3853</v>
      </c>
      <c r="F99" s="143" t="s">
        <v>3486</v>
      </c>
      <c r="G99" s="143" t="s">
        <v>3487</v>
      </c>
      <c r="H99" s="143" t="s">
        <v>312</v>
      </c>
      <c r="I99" s="143" t="s">
        <v>1004</v>
      </c>
      <c r="J99" s="145" t="s">
        <v>3853</v>
      </c>
      <c r="K99" s="143" t="s">
        <v>204</v>
      </c>
      <c r="L99" s="145" t="s">
        <v>3853</v>
      </c>
      <c r="M99" s="145" t="s">
        <v>3853</v>
      </c>
      <c r="N99" s="143" t="s">
        <v>204</v>
      </c>
      <c r="O99" s="143" t="s">
        <v>339</v>
      </c>
      <c r="P99" s="162">
        <v>45362</v>
      </c>
      <c r="Q99" s="143" t="s">
        <v>1210</v>
      </c>
      <c r="R99" s="143" t="s">
        <v>885</v>
      </c>
      <c r="S99" s="143" t="s">
        <v>889</v>
      </c>
      <c r="T99" s="163">
        <v>45427</v>
      </c>
      <c r="U99" s="145" t="s">
        <v>3853</v>
      </c>
      <c r="V99" s="144">
        <v>330.7199</v>
      </c>
      <c r="W99" s="144">
        <v>330.7199</v>
      </c>
      <c r="X99" s="145" t="s">
        <v>3853</v>
      </c>
      <c r="Y99" s="146">
        <v>2.5932387826821256E-3</v>
      </c>
      <c r="Z99" s="147">
        <v>4.9935362528213262E-4</v>
      </c>
      <c r="AA99" s="181"/>
    </row>
    <row r="100" spans="1:27" ht="15" x14ac:dyDescent="0.2">
      <c r="A100" s="142" t="s">
        <v>1205</v>
      </c>
      <c r="B100" s="143" t="s">
        <v>1205</v>
      </c>
      <c r="C100" s="143" t="s">
        <v>3480</v>
      </c>
      <c r="D100" s="145" t="s">
        <v>3853</v>
      </c>
      <c r="E100" s="145" t="s">
        <v>3853</v>
      </c>
      <c r="F100" s="143" t="s">
        <v>3488</v>
      </c>
      <c r="G100" s="143" t="s">
        <v>3489</v>
      </c>
      <c r="H100" s="143" t="s">
        <v>312</v>
      </c>
      <c r="I100" s="143" t="s">
        <v>1004</v>
      </c>
      <c r="J100" s="145" t="s">
        <v>3853</v>
      </c>
      <c r="K100" s="143" t="s">
        <v>204</v>
      </c>
      <c r="L100" s="145" t="s">
        <v>3853</v>
      </c>
      <c r="M100" s="145" t="s">
        <v>3853</v>
      </c>
      <c r="N100" s="143" t="s">
        <v>204</v>
      </c>
      <c r="O100" s="143" t="s">
        <v>339</v>
      </c>
      <c r="P100" s="162">
        <v>45250</v>
      </c>
      <c r="Q100" s="143" t="s">
        <v>1210</v>
      </c>
      <c r="R100" s="143" t="s">
        <v>885</v>
      </c>
      <c r="S100" s="143" t="s">
        <v>889</v>
      </c>
      <c r="T100" s="163">
        <v>45250</v>
      </c>
      <c r="U100" s="145" t="s">
        <v>3853</v>
      </c>
      <c r="V100" s="144">
        <v>9.8859999999999992</v>
      </c>
      <c r="W100" s="144">
        <v>9.8859999999999992</v>
      </c>
      <c r="X100" s="146">
        <v>6.1401438455709726E-6</v>
      </c>
      <c r="Y100" s="146">
        <v>7.7518036084588224E-5</v>
      </c>
      <c r="Z100" s="147">
        <v>1.4926860033905011E-5</v>
      </c>
      <c r="AA100" s="181"/>
    </row>
    <row r="101" spans="1:27" ht="15" x14ac:dyDescent="0.2">
      <c r="A101" s="142" t="s">
        <v>1205</v>
      </c>
      <c r="B101" s="143" t="s">
        <v>1205</v>
      </c>
      <c r="C101" s="143" t="s">
        <v>3490</v>
      </c>
      <c r="D101" s="145" t="s">
        <v>3853</v>
      </c>
      <c r="E101" s="145" t="s">
        <v>3853</v>
      </c>
      <c r="F101" s="143" t="s">
        <v>3491</v>
      </c>
      <c r="G101" s="143" t="s">
        <v>3492</v>
      </c>
      <c r="H101" s="143" t="s">
        <v>312</v>
      </c>
      <c r="I101" s="143" t="s">
        <v>1004</v>
      </c>
      <c r="J101" s="145" t="s">
        <v>3853</v>
      </c>
      <c r="K101" s="143" t="s">
        <v>204</v>
      </c>
      <c r="L101" s="145" t="s">
        <v>3853</v>
      </c>
      <c r="M101" s="145" t="s">
        <v>3853</v>
      </c>
      <c r="N101" s="143" t="s">
        <v>204</v>
      </c>
      <c r="O101" s="143" t="s">
        <v>339</v>
      </c>
      <c r="P101" s="162">
        <v>42283</v>
      </c>
      <c r="Q101" s="143" t="s">
        <v>1211</v>
      </c>
      <c r="R101" s="143" t="s">
        <v>885</v>
      </c>
      <c r="S101" s="143" t="s">
        <v>889</v>
      </c>
      <c r="T101" s="163">
        <v>45382</v>
      </c>
      <c r="U101" s="143" t="s">
        <v>1212</v>
      </c>
      <c r="V101" s="144">
        <v>0.16206437882415536</v>
      </c>
      <c r="W101" s="144">
        <v>0.60920000000000007</v>
      </c>
      <c r="X101" s="145" t="s">
        <v>3853</v>
      </c>
      <c r="Y101" s="146">
        <v>4.7764941365780744E-6</v>
      </c>
      <c r="Z101" s="147">
        <v>9.1976091024375209E-7</v>
      </c>
      <c r="AA101" s="181"/>
    </row>
    <row r="102" spans="1:27" ht="15" x14ac:dyDescent="0.2">
      <c r="A102" s="142" t="s">
        <v>1205</v>
      </c>
      <c r="B102" s="143" t="s">
        <v>1205</v>
      </c>
      <c r="C102" s="143" t="s">
        <v>3490</v>
      </c>
      <c r="D102" s="145" t="s">
        <v>3853</v>
      </c>
      <c r="E102" s="145" t="s">
        <v>3853</v>
      </c>
      <c r="F102" s="143" t="s">
        <v>3493</v>
      </c>
      <c r="G102" s="143" t="s">
        <v>3494</v>
      </c>
      <c r="H102" s="143" t="s">
        <v>312</v>
      </c>
      <c r="I102" s="143" t="s">
        <v>1004</v>
      </c>
      <c r="J102" s="145" t="s">
        <v>3853</v>
      </c>
      <c r="K102" s="143" t="s">
        <v>204</v>
      </c>
      <c r="L102" s="145" t="s">
        <v>3853</v>
      </c>
      <c r="M102" s="145" t="s">
        <v>3853</v>
      </c>
      <c r="N102" s="143" t="s">
        <v>204</v>
      </c>
      <c r="O102" s="143" t="s">
        <v>339</v>
      </c>
      <c r="P102" s="162">
        <v>42528</v>
      </c>
      <c r="Q102" s="143" t="s">
        <v>1210</v>
      </c>
      <c r="R102" s="143" t="s">
        <v>885</v>
      </c>
      <c r="S102" s="143" t="s">
        <v>889</v>
      </c>
      <c r="T102" s="163">
        <v>45386</v>
      </c>
      <c r="U102" s="145" t="s">
        <v>3853</v>
      </c>
      <c r="V102" s="145" t="s">
        <v>3853</v>
      </c>
      <c r="W102" s="144">
        <v>0</v>
      </c>
      <c r="X102" s="145" t="s">
        <v>3853</v>
      </c>
      <c r="Y102" s="146">
        <v>3.6341120249639258E-11</v>
      </c>
      <c r="Z102" s="147">
        <v>6.9978400233171734E-12</v>
      </c>
      <c r="AA102" s="181"/>
    </row>
    <row r="103" spans="1:27" ht="15" x14ac:dyDescent="0.2">
      <c r="A103" s="142" t="s">
        <v>1205</v>
      </c>
      <c r="B103" s="143" t="s">
        <v>1205</v>
      </c>
      <c r="C103" s="143" t="s">
        <v>3495</v>
      </c>
      <c r="D103" s="145" t="s">
        <v>3853</v>
      </c>
      <c r="E103" s="145" t="s">
        <v>3853</v>
      </c>
      <c r="F103" s="143" t="s">
        <v>3496</v>
      </c>
      <c r="G103" s="143" t="s">
        <v>3497</v>
      </c>
      <c r="H103" s="143" t="s">
        <v>312</v>
      </c>
      <c r="I103" s="143" t="s">
        <v>1004</v>
      </c>
      <c r="J103" s="145" t="s">
        <v>3853</v>
      </c>
      <c r="K103" s="143" t="s">
        <v>205</v>
      </c>
      <c r="L103" s="145" t="s">
        <v>3853</v>
      </c>
      <c r="M103" s="145" t="s">
        <v>3853</v>
      </c>
      <c r="N103" s="143" t="s">
        <v>291</v>
      </c>
      <c r="O103" s="143" t="s">
        <v>339</v>
      </c>
      <c r="P103" s="162">
        <v>45362</v>
      </c>
      <c r="Q103" s="143" t="s">
        <v>1211</v>
      </c>
      <c r="R103" s="143" t="s">
        <v>885</v>
      </c>
      <c r="S103" s="143" t="s">
        <v>889</v>
      </c>
      <c r="T103" s="163">
        <v>45447</v>
      </c>
      <c r="U103" s="143" t="s">
        <v>1212</v>
      </c>
      <c r="V103" s="144">
        <v>698.18129821761102</v>
      </c>
      <c r="W103" s="144">
        <v>2624.4634999999998</v>
      </c>
      <c r="X103" s="146">
        <v>2.7511519499999999E-5</v>
      </c>
      <c r="Y103" s="146">
        <v>2.0578925117122806E-2</v>
      </c>
      <c r="Z103" s="147">
        <v>3.9626743708562071E-3</v>
      </c>
      <c r="AA103" s="181"/>
    </row>
    <row r="104" spans="1:27" ht="15" x14ac:dyDescent="0.2">
      <c r="A104" s="142" t="s">
        <v>1205</v>
      </c>
      <c r="B104" s="143" t="s">
        <v>1205</v>
      </c>
      <c r="C104" s="143" t="s">
        <v>3498</v>
      </c>
      <c r="D104" s="145" t="s">
        <v>3853</v>
      </c>
      <c r="E104" s="145" t="s">
        <v>3853</v>
      </c>
      <c r="F104" s="143" t="s">
        <v>3499</v>
      </c>
      <c r="G104" s="143" t="s">
        <v>3500</v>
      </c>
      <c r="H104" s="143" t="s">
        <v>312</v>
      </c>
      <c r="I104" s="143" t="s">
        <v>1004</v>
      </c>
      <c r="J104" s="145" t="s">
        <v>3853</v>
      </c>
      <c r="K104" s="143" t="s">
        <v>205</v>
      </c>
      <c r="L104" s="145" t="s">
        <v>3853</v>
      </c>
      <c r="M104" s="145" t="s">
        <v>3853</v>
      </c>
      <c r="N104" s="143" t="s">
        <v>224</v>
      </c>
      <c r="O104" s="143" t="s">
        <v>339</v>
      </c>
      <c r="P104" s="162">
        <v>45362</v>
      </c>
      <c r="Q104" s="143" t="s">
        <v>1211</v>
      </c>
      <c r="R104" s="143" t="s">
        <v>885</v>
      </c>
      <c r="S104" s="143" t="s">
        <v>889</v>
      </c>
      <c r="T104" s="163">
        <v>45449</v>
      </c>
      <c r="U104" s="143" t="s">
        <v>1212</v>
      </c>
      <c r="V104" s="144">
        <v>575.61729183293426</v>
      </c>
      <c r="W104" s="144">
        <v>2163.7453999999998</v>
      </c>
      <c r="X104" s="145" t="s">
        <v>3853</v>
      </c>
      <c r="Y104" s="146">
        <v>1.6966346026618846E-2</v>
      </c>
      <c r="Z104" s="147">
        <v>3.2670367467744809E-3</v>
      </c>
      <c r="AA104" s="181"/>
    </row>
    <row r="105" spans="1:27" ht="15" x14ac:dyDescent="0.2">
      <c r="A105" s="142" t="s">
        <v>1205</v>
      </c>
      <c r="B105" s="143" t="s">
        <v>1205</v>
      </c>
      <c r="C105" s="143" t="s">
        <v>3501</v>
      </c>
      <c r="D105" s="145" t="s">
        <v>3853</v>
      </c>
      <c r="E105" s="145" t="s">
        <v>3853</v>
      </c>
      <c r="F105" s="143" t="s">
        <v>3502</v>
      </c>
      <c r="G105" s="143" t="s">
        <v>3503</v>
      </c>
      <c r="H105" s="143" t="s">
        <v>312</v>
      </c>
      <c r="I105" s="143" t="s">
        <v>1004</v>
      </c>
      <c r="J105" s="145" t="s">
        <v>3853</v>
      </c>
      <c r="K105" s="143" t="s">
        <v>205</v>
      </c>
      <c r="L105" s="145" t="s">
        <v>3853</v>
      </c>
      <c r="M105" s="145" t="s">
        <v>3853</v>
      </c>
      <c r="N105" s="143" t="s">
        <v>224</v>
      </c>
      <c r="O105" s="143" t="s">
        <v>339</v>
      </c>
      <c r="P105" s="162">
        <v>44664</v>
      </c>
      <c r="Q105" s="143" t="s">
        <v>1211</v>
      </c>
      <c r="R105" s="143" t="s">
        <v>885</v>
      </c>
      <c r="S105" s="143" t="s">
        <v>889</v>
      </c>
      <c r="T105" s="163">
        <v>45447</v>
      </c>
      <c r="U105" s="143" t="s">
        <v>1212</v>
      </c>
      <c r="V105" s="144">
        <v>493.92447459430701</v>
      </c>
      <c r="W105" s="144">
        <v>1856.6621</v>
      </c>
      <c r="X105" s="146">
        <v>2.5045572142857143E-3</v>
      </c>
      <c r="Y105" s="146">
        <v>1.4558446401200043E-2</v>
      </c>
      <c r="Z105" s="147">
        <v>2.803371998546105E-3</v>
      </c>
      <c r="AA105" s="181"/>
    </row>
    <row r="106" spans="1:27" ht="15" x14ac:dyDescent="0.2">
      <c r="A106" s="142" t="s">
        <v>1205</v>
      </c>
      <c r="B106" s="143" t="s">
        <v>1205</v>
      </c>
      <c r="C106" s="143" t="s">
        <v>3504</v>
      </c>
      <c r="D106" s="145" t="s">
        <v>3853</v>
      </c>
      <c r="E106" s="145" t="s">
        <v>3853</v>
      </c>
      <c r="F106" s="143" t="s">
        <v>3505</v>
      </c>
      <c r="G106" s="143" t="s">
        <v>3506</v>
      </c>
      <c r="H106" s="143" t="s">
        <v>312</v>
      </c>
      <c r="I106" s="143" t="s">
        <v>1004</v>
      </c>
      <c r="J106" s="145" t="s">
        <v>3853</v>
      </c>
      <c r="K106" s="143" t="s">
        <v>205</v>
      </c>
      <c r="L106" s="145" t="s">
        <v>3853</v>
      </c>
      <c r="M106" s="145" t="s">
        <v>3853</v>
      </c>
      <c r="N106" s="143" t="s">
        <v>291</v>
      </c>
      <c r="O106" s="143" t="s">
        <v>339</v>
      </c>
      <c r="P106" s="162">
        <v>44633</v>
      </c>
      <c r="Q106" s="143" t="s">
        <v>1211</v>
      </c>
      <c r="R106" s="143" t="s">
        <v>885</v>
      </c>
      <c r="S106" s="143" t="s">
        <v>889</v>
      </c>
      <c r="T106" s="163">
        <v>45432</v>
      </c>
      <c r="U106" s="143" t="s">
        <v>1212</v>
      </c>
      <c r="V106" s="144">
        <v>423.24514498536848</v>
      </c>
      <c r="W106" s="144">
        <v>1590.9784999999999</v>
      </c>
      <c r="X106" s="146">
        <v>2.7468736842105263E-3</v>
      </c>
      <c r="Y106" s="146">
        <v>1.2475169981972541E-2</v>
      </c>
      <c r="Z106" s="147">
        <v>2.4022166404845213E-3</v>
      </c>
      <c r="AA106" s="181"/>
    </row>
    <row r="107" spans="1:27" ht="15" x14ac:dyDescent="0.2">
      <c r="A107" s="142" t="s">
        <v>1205</v>
      </c>
      <c r="B107" s="143" t="s">
        <v>1205</v>
      </c>
      <c r="C107" s="143" t="s">
        <v>3507</v>
      </c>
      <c r="D107" s="145" t="s">
        <v>3853</v>
      </c>
      <c r="E107" s="145" t="s">
        <v>3853</v>
      </c>
      <c r="F107" s="143" t="s">
        <v>3508</v>
      </c>
      <c r="G107" s="143" t="s">
        <v>3509</v>
      </c>
      <c r="H107" s="143" t="s">
        <v>312</v>
      </c>
      <c r="I107" s="143" t="s">
        <v>1004</v>
      </c>
      <c r="J107" s="145" t="s">
        <v>3853</v>
      </c>
      <c r="K107" s="143" t="s">
        <v>205</v>
      </c>
      <c r="L107" s="145" t="s">
        <v>3853</v>
      </c>
      <c r="M107" s="145" t="s">
        <v>3853</v>
      </c>
      <c r="N107" s="143" t="s">
        <v>291</v>
      </c>
      <c r="O107" s="143" t="s">
        <v>339</v>
      </c>
      <c r="P107" s="162">
        <v>45187</v>
      </c>
      <c r="Q107" s="143" t="s">
        <v>1211</v>
      </c>
      <c r="R107" s="143" t="s">
        <v>885</v>
      </c>
      <c r="S107" s="143" t="s">
        <v>889</v>
      </c>
      <c r="T107" s="163">
        <v>45454</v>
      </c>
      <c r="U107" s="143" t="s">
        <v>1212</v>
      </c>
      <c r="V107" s="144">
        <v>409.28544825751533</v>
      </c>
      <c r="W107" s="144">
        <v>1538.5039999999999</v>
      </c>
      <c r="X107" s="146">
        <v>2.1471297714285715E-4</v>
      </c>
      <c r="Y107" s="146">
        <v>1.2063707100726791E-2</v>
      </c>
      <c r="Z107" s="147">
        <v>2.3229854170463975E-3</v>
      </c>
      <c r="AA107" s="181"/>
    </row>
    <row r="108" spans="1:27" ht="15" x14ac:dyDescent="0.2">
      <c r="A108" s="142" t="s">
        <v>1205</v>
      </c>
      <c r="B108" s="143" t="s">
        <v>1205</v>
      </c>
      <c r="C108" s="143" t="s">
        <v>3510</v>
      </c>
      <c r="D108" s="145" t="s">
        <v>3853</v>
      </c>
      <c r="E108" s="145" t="s">
        <v>3853</v>
      </c>
      <c r="F108" s="143" t="s">
        <v>3511</v>
      </c>
      <c r="G108" s="143" t="s">
        <v>3512</v>
      </c>
      <c r="H108" s="143" t="s">
        <v>312</v>
      </c>
      <c r="I108" s="143" t="s">
        <v>1004</v>
      </c>
      <c r="J108" s="145" t="s">
        <v>3853</v>
      </c>
      <c r="K108" s="143" t="s">
        <v>205</v>
      </c>
      <c r="L108" s="145" t="s">
        <v>3853</v>
      </c>
      <c r="M108" s="145" t="s">
        <v>3853</v>
      </c>
      <c r="N108" s="143" t="s">
        <v>293</v>
      </c>
      <c r="O108" s="143" t="s">
        <v>339</v>
      </c>
      <c r="P108" s="162">
        <v>45341</v>
      </c>
      <c r="Q108" s="143" t="s">
        <v>1214</v>
      </c>
      <c r="R108" s="143" t="s">
        <v>885</v>
      </c>
      <c r="S108" s="143" t="s">
        <v>889</v>
      </c>
      <c r="T108" s="163">
        <v>45466</v>
      </c>
      <c r="U108" s="143" t="s">
        <v>1215</v>
      </c>
      <c r="V108" s="144">
        <v>351.97796129545799</v>
      </c>
      <c r="W108" s="144">
        <v>1415.0218</v>
      </c>
      <c r="X108" s="146">
        <v>9.0249140877598155E-4</v>
      </c>
      <c r="Y108" s="146">
        <v>1.1095459421811359E-2</v>
      </c>
      <c r="Z108" s="147">
        <v>2.1365398063042346E-3</v>
      </c>
      <c r="AA108" s="181"/>
    </row>
    <row r="109" spans="1:27" ht="15" x14ac:dyDescent="0.2">
      <c r="A109" s="142" t="s">
        <v>1205</v>
      </c>
      <c r="B109" s="143" t="s">
        <v>1205</v>
      </c>
      <c r="C109" s="143" t="s">
        <v>3513</v>
      </c>
      <c r="D109" s="145" t="s">
        <v>3853</v>
      </c>
      <c r="E109" s="145" t="s">
        <v>3853</v>
      </c>
      <c r="F109" s="143" t="s">
        <v>3514</v>
      </c>
      <c r="G109" s="143" t="s">
        <v>3515</v>
      </c>
      <c r="H109" s="143" t="s">
        <v>312</v>
      </c>
      <c r="I109" s="143" t="s">
        <v>1004</v>
      </c>
      <c r="J109" s="145" t="s">
        <v>3853</v>
      </c>
      <c r="K109" s="143" t="s">
        <v>205</v>
      </c>
      <c r="L109" s="145" t="s">
        <v>3853</v>
      </c>
      <c r="M109" s="145" t="s">
        <v>3853</v>
      </c>
      <c r="N109" s="143" t="s">
        <v>224</v>
      </c>
      <c r="O109" s="143" t="s">
        <v>339</v>
      </c>
      <c r="P109" s="162">
        <v>42716</v>
      </c>
      <c r="Q109" s="143" t="s">
        <v>1211</v>
      </c>
      <c r="R109" s="143" t="s">
        <v>885</v>
      </c>
      <c r="S109" s="143" t="s">
        <v>889</v>
      </c>
      <c r="T109" s="163">
        <v>45432</v>
      </c>
      <c r="U109" s="143" t="s">
        <v>1212</v>
      </c>
      <c r="V109" s="144">
        <v>340.05179569034317</v>
      </c>
      <c r="W109" s="144">
        <v>1278.2547</v>
      </c>
      <c r="X109" s="145" t="s">
        <v>3853</v>
      </c>
      <c r="Y109" s="146">
        <v>1.0023041740304198E-2</v>
      </c>
      <c r="Z109" s="147">
        <v>1.930035237325288E-3</v>
      </c>
      <c r="AA109" s="181"/>
    </row>
    <row r="110" spans="1:27" ht="15" x14ac:dyDescent="0.2">
      <c r="A110" s="142" t="s">
        <v>1205</v>
      </c>
      <c r="B110" s="143" t="s">
        <v>1205</v>
      </c>
      <c r="C110" s="143" t="s">
        <v>3516</v>
      </c>
      <c r="D110" s="145" t="s">
        <v>3853</v>
      </c>
      <c r="E110" s="145" t="s">
        <v>3853</v>
      </c>
      <c r="F110" s="143" t="s">
        <v>3517</v>
      </c>
      <c r="G110" s="143" t="s">
        <v>3518</v>
      </c>
      <c r="H110" s="143" t="s">
        <v>312</v>
      </c>
      <c r="I110" s="143" t="s">
        <v>1004</v>
      </c>
      <c r="J110" s="145" t="s">
        <v>3853</v>
      </c>
      <c r="K110" s="143" t="s">
        <v>205</v>
      </c>
      <c r="L110" s="145" t="s">
        <v>3853</v>
      </c>
      <c r="M110" s="145" t="s">
        <v>3853</v>
      </c>
      <c r="N110" s="143" t="s">
        <v>291</v>
      </c>
      <c r="O110" s="143" t="s">
        <v>339</v>
      </c>
      <c r="P110" s="162">
        <v>44776</v>
      </c>
      <c r="Q110" s="143" t="s">
        <v>1211</v>
      </c>
      <c r="R110" s="143" t="s">
        <v>885</v>
      </c>
      <c r="S110" s="143" t="s">
        <v>889</v>
      </c>
      <c r="T110" s="163">
        <v>45434</v>
      </c>
      <c r="U110" s="143" t="s">
        <v>1212</v>
      </c>
      <c r="V110" s="144">
        <v>332.57797286512368</v>
      </c>
      <c r="W110" s="144">
        <v>1250.1606000000002</v>
      </c>
      <c r="X110" s="145" t="s">
        <v>3853</v>
      </c>
      <c r="Y110" s="146">
        <v>9.8027510916808124E-3</v>
      </c>
      <c r="Z110" s="147">
        <v>1.8876161069542442E-3</v>
      </c>
      <c r="AA110" s="181"/>
    </row>
    <row r="111" spans="1:27" ht="15" x14ac:dyDescent="0.2">
      <c r="A111" s="142" t="s">
        <v>1205</v>
      </c>
      <c r="B111" s="143" t="s">
        <v>1205</v>
      </c>
      <c r="C111" s="143" t="s">
        <v>3519</v>
      </c>
      <c r="D111" s="145" t="s">
        <v>3853</v>
      </c>
      <c r="E111" s="145" t="s">
        <v>3853</v>
      </c>
      <c r="F111" s="143" t="s">
        <v>3520</v>
      </c>
      <c r="G111" s="143" t="s">
        <v>3521</v>
      </c>
      <c r="H111" s="143" t="s">
        <v>312</v>
      </c>
      <c r="I111" s="143" t="s">
        <v>1004</v>
      </c>
      <c r="J111" s="145" t="s">
        <v>3853</v>
      </c>
      <c r="K111" s="143" t="s">
        <v>205</v>
      </c>
      <c r="L111" s="145" t="s">
        <v>3853</v>
      </c>
      <c r="M111" s="145" t="s">
        <v>3853</v>
      </c>
      <c r="N111" s="143" t="s">
        <v>291</v>
      </c>
      <c r="O111" s="143" t="s">
        <v>339</v>
      </c>
      <c r="P111" s="162">
        <v>44767</v>
      </c>
      <c r="Q111" s="143" t="s">
        <v>1211</v>
      </c>
      <c r="R111" s="143" t="s">
        <v>885</v>
      </c>
      <c r="S111" s="143" t="s">
        <v>889</v>
      </c>
      <c r="T111" s="163">
        <v>45469</v>
      </c>
      <c r="U111" s="143" t="s">
        <v>1212</v>
      </c>
      <c r="V111" s="144">
        <v>240.50023942537911</v>
      </c>
      <c r="W111" s="144">
        <v>904.04039999999998</v>
      </c>
      <c r="X111" s="146">
        <v>4.333647190637409E-3</v>
      </c>
      <c r="Y111" s="146">
        <v>7.0887554004267078E-3</v>
      </c>
      <c r="Z111" s="147">
        <v>1.3650095516002754E-3</v>
      </c>
      <c r="AA111" s="181"/>
    </row>
    <row r="112" spans="1:27" ht="15" x14ac:dyDescent="0.2">
      <c r="A112" s="142" t="s">
        <v>1205</v>
      </c>
      <c r="B112" s="143" t="s">
        <v>1205</v>
      </c>
      <c r="C112" s="143" t="s">
        <v>3522</v>
      </c>
      <c r="D112" s="145" t="s">
        <v>3853</v>
      </c>
      <c r="E112" s="145" t="s">
        <v>3853</v>
      </c>
      <c r="F112" s="143" t="s">
        <v>3523</v>
      </c>
      <c r="G112" s="143" t="s">
        <v>3524</v>
      </c>
      <c r="H112" s="143" t="s">
        <v>312</v>
      </c>
      <c r="I112" s="143" t="s">
        <v>1004</v>
      </c>
      <c r="J112" s="145" t="s">
        <v>3853</v>
      </c>
      <c r="K112" s="143" t="s">
        <v>205</v>
      </c>
      <c r="L112" s="145" t="s">
        <v>3853</v>
      </c>
      <c r="M112" s="145" t="s">
        <v>3853</v>
      </c>
      <c r="N112" s="143" t="s">
        <v>293</v>
      </c>
      <c r="O112" s="143" t="s">
        <v>339</v>
      </c>
      <c r="P112" s="162">
        <v>44601</v>
      </c>
      <c r="Q112" s="143" t="s">
        <v>1214</v>
      </c>
      <c r="R112" s="143" t="s">
        <v>885</v>
      </c>
      <c r="S112" s="143" t="s">
        <v>889</v>
      </c>
      <c r="T112" s="163">
        <v>45432</v>
      </c>
      <c r="U112" s="143" t="s">
        <v>1215</v>
      </c>
      <c r="V112" s="144">
        <v>134.94246554897765</v>
      </c>
      <c r="W112" s="144">
        <v>542.49569999999994</v>
      </c>
      <c r="X112" s="145" t="s">
        <v>3853</v>
      </c>
      <c r="Y112" s="146">
        <v>4.253813783368982E-3</v>
      </c>
      <c r="Z112" s="147">
        <v>8.1911366904803106E-4</v>
      </c>
      <c r="AA112" s="181"/>
    </row>
    <row r="113" spans="1:27" ht="15" x14ac:dyDescent="0.2">
      <c r="A113" s="142" t="s">
        <v>1205</v>
      </c>
      <c r="B113" s="143" t="s">
        <v>1205</v>
      </c>
      <c r="C113" s="143" t="s">
        <v>3525</v>
      </c>
      <c r="D113" s="145" t="s">
        <v>3853</v>
      </c>
      <c r="E113" s="145" t="s">
        <v>3853</v>
      </c>
      <c r="F113" s="143" t="s">
        <v>3526</v>
      </c>
      <c r="G113" s="143" t="s">
        <v>3527</v>
      </c>
      <c r="H113" s="143" t="s">
        <v>312</v>
      </c>
      <c r="I113" s="143" t="s">
        <v>1004</v>
      </c>
      <c r="J113" s="145" t="s">
        <v>3853</v>
      </c>
      <c r="K113" s="143" t="s">
        <v>205</v>
      </c>
      <c r="L113" s="145" t="s">
        <v>3853</v>
      </c>
      <c r="M113" s="145" t="s">
        <v>3853</v>
      </c>
      <c r="N113" s="143" t="s">
        <v>224</v>
      </c>
      <c r="O113" s="143" t="s">
        <v>339</v>
      </c>
      <c r="P113" s="162">
        <v>45322</v>
      </c>
      <c r="Q113" s="143" t="s">
        <v>1211</v>
      </c>
      <c r="R113" s="143" t="s">
        <v>885</v>
      </c>
      <c r="S113" s="143" t="s">
        <v>889</v>
      </c>
      <c r="T113" s="163">
        <v>45442</v>
      </c>
      <c r="U113" s="143" t="s">
        <v>1212</v>
      </c>
      <c r="V113" s="144">
        <v>36.513141793030059</v>
      </c>
      <c r="W113" s="144">
        <v>137.25289999999998</v>
      </c>
      <c r="X113" s="145" t="s">
        <v>3853</v>
      </c>
      <c r="Y113" s="146">
        <v>1.0762268686589716E-3</v>
      </c>
      <c r="Z113" s="147">
        <v>2.0723806541835557E-4</v>
      </c>
      <c r="AA113" s="181"/>
    </row>
    <row r="114" spans="1:27" ht="15" x14ac:dyDescent="0.2">
      <c r="A114" s="142" t="s">
        <v>1205</v>
      </c>
      <c r="B114" s="143" t="s">
        <v>1205</v>
      </c>
      <c r="C114" s="143" t="s">
        <v>3528</v>
      </c>
      <c r="D114" s="145" t="s">
        <v>3853</v>
      </c>
      <c r="E114" s="145" t="s">
        <v>3853</v>
      </c>
      <c r="F114" s="143" t="s">
        <v>3529</v>
      </c>
      <c r="G114" s="143" t="s">
        <v>3530</v>
      </c>
      <c r="H114" s="143" t="s">
        <v>312</v>
      </c>
      <c r="I114" s="143" t="s">
        <v>1004</v>
      </c>
      <c r="J114" s="145" t="s">
        <v>3853</v>
      </c>
      <c r="K114" s="143" t="s">
        <v>205</v>
      </c>
      <c r="L114" s="145" t="s">
        <v>3853</v>
      </c>
      <c r="M114" s="145" t="s">
        <v>3853</v>
      </c>
      <c r="N114" s="143" t="s">
        <v>224</v>
      </c>
      <c r="O114" s="143" t="s">
        <v>339</v>
      </c>
      <c r="P114" s="162">
        <v>45449</v>
      </c>
      <c r="Q114" s="143" t="s">
        <v>1211</v>
      </c>
      <c r="R114" s="143" t="s">
        <v>885</v>
      </c>
      <c r="S114" s="143" t="s">
        <v>889</v>
      </c>
      <c r="T114" s="163">
        <v>45449</v>
      </c>
      <c r="U114" s="143" t="s">
        <v>1212</v>
      </c>
      <c r="V114" s="144">
        <v>33.961931364724663</v>
      </c>
      <c r="W114" s="144">
        <v>127.66289999999999</v>
      </c>
      <c r="X114" s="146">
        <v>4.091496974611244E-5</v>
      </c>
      <c r="Y114" s="146">
        <v>1.0010297806180911E-3</v>
      </c>
      <c r="Z114" s="147">
        <v>1.9275812675068055E-4</v>
      </c>
      <c r="AA114" s="181"/>
    </row>
    <row r="115" spans="1:27" ht="15" x14ac:dyDescent="0.2">
      <c r="A115" s="142" t="s">
        <v>1205</v>
      </c>
      <c r="B115" s="143" t="s">
        <v>1205</v>
      </c>
      <c r="C115" s="143" t="s">
        <v>3531</v>
      </c>
      <c r="D115" s="145" t="s">
        <v>3853</v>
      </c>
      <c r="E115" s="145" t="s">
        <v>3853</v>
      </c>
      <c r="F115" s="143" t="s">
        <v>3532</v>
      </c>
      <c r="G115" s="143" t="s">
        <v>3533</v>
      </c>
      <c r="H115" s="143" t="s">
        <v>312</v>
      </c>
      <c r="I115" s="143" t="s">
        <v>1004</v>
      </c>
      <c r="J115" s="145" t="s">
        <v>3853</v>
      </c>
      <c r="K115" s="143" t="s">
        <v>205</v>
      </c>
      <c r="L115" s="145" t="s">
        <v>3853</v>
      </c>
      <c r="M115" s="145" t="s">
        <v>3853</v>
      </c>
      <c r="N115" s="143" t="s">
        <v>224</v>
      </c>
      <c r="O115" s="143" t="s">
        <v>339</v>
      </c>
      <c r="P115" s="162">
        <v>45350</v>
      </c>
      <c r="Q115" s="143" t="s">
        <v>1211</v>
      </c>
      <c r="R115" s="143" t="s">
        <v>885</v>
      </c>
      <c r="S115" s="143" t="s">
        <v>889</v>
      </c>
      <c r="T115" s="163">
        <v>45351</v>
      </c>
      <c r="U115" s="143" t="s">
        <v>1212</v>
      </c>
      <c r="V115" s="144">
        <v>1.9321096036179837</v>
      </c>
      <c r="W115" s="144">
        <v>7.2628000000000004</v>
      </c>
      <c r="X115" s="146">
        <v>9.5000000000000001E-7</v>
      </c>
      <c r="Y115" s="146">
        <v>5.6949085739286527E-5</v>
      </c>
      <c r="Z115" s="147">
        <v>1.096610640343858E-5</v>
      </c>
      <c r="AA115" s="181"/>
    </row>
    <row r="116" spans="1:27" ht="15" x14ac:dyDescent="0.2">
      <c r="A116" s="142" t="s">
        <v>1205</v>
      </c>
      <c r="B116" s="143" t="s">
        <v>1205</v>
      </c>
      <c r="C116" s="143" t="s">
        <v>3534</v>
      </c>
      <c r="D116" s="145" t="s">
        <v>3853</v>
      </c>
      <c r="E116" s="145" t="s">
        <v>3853</v>
      </c>
      <c r="F116" s="143" t="s">
        <v>3535</v>
      </c>
      <c r="G116" s="143" t="s">
        <v>3536</v>
      </c>
      <c r="H116" s="143" t="s">
        <v>312</v>
      </c>
      <c r="I116" s="143" t="s">
        <v>1005</v>
      </c>
      <c r="J116" s="145" t="s">
        <v>3853</v>
      </c>
      <c r="K116" s="143" t="s">
        <v>204</v>
      </c>
      <c r="L116" s="145" t="s">
        <v>3853</v>
      </c>
      <c r="M116" s="145" t="s">
        <v>3853</v>
      </c>
      <c r="N116" s="143" t="s">
        <v>204</v>
      </c>
      <c r="O116" s="143" t="s">
        <v>339</v>
      </c>
      <c r="P116" s="162">
        <v>45250</v>
      </c>
      <c r="Q116" s="143" t="s">
        <v>1211</v>
      </c>
      <c r="R116" s="143" t="s">
        <v>885</v>
      </c>
      <c r="S116" s="143" t="s">
        <v>889</v>
      </c>
      <c r="T116" s="163">
        <v>45470</v>
      </c>
      <c r="U116" s="143" t="s">
        <v>1212</v>
      </c>
      <c r="V116" s="144">
        <v>380.63750997605746</v>
      </c>
      <c r="W116" s="144">
        <v>1430.8163999999999</v>
      </c>
      <c r="X116" s="146">
        <v>1.8643736842105262E-3</v>
      </c>
      <c r="Y116" s="146">
        <v>1.1219307669529669E-2</v>
      </c>
      <c r="Z116" s="147">
        <v>2.1603880041238793E-3</v>
      </c>
      <c r="AA116" s="181"/>
    </row>
    <row r="117" spans="1:27" ht="15" x14ac:dyDescent="0.2">
      <c r="A117" s="142" t="s">
        <v>1205</v>
      </c>
      <c r="B117" s="143" t="s">
        <v>1205</v>
      </c>
      <c r="C117" s="143" t="s">
        <v>3537</v>
      </c>
      <c r="D117" s="145" t="s">
        <v>3853</v>
      </c>
      <c r="E117" s="145" t="s">
        <v>3853</v>
      </c>
      <c r="F117" s="143" t="s">
        <v>3538</v>
      </c>
      <c r="G117" s="143" t="s">
        <v>3539</v>
      </c>
      <c r="H117" s="143" t="s">
        <v>312</v>
      </c>
      <c r="I117" s="143" t="s">
        <v>1005</v>
      </c>
      <c r="J117" s="145" t="s">
        <v>3853</v>
      </c>
      <c r="K117" s="143" t="s">
        <v>204</v>
      </c>
      <c r="L117" s="145" t="s">
        <v>3853</v>
      </c>
      <c r="M117" s="145" t="s">
        <v>3853</v>
      </c>
      <c r="N117" s="143" t="s">
        <v>204</v>
      </c>
      <c r="O117" s="143" t="s">
        <v>339</v>
      </c>
      <c r="P117" s="162">
        <v>45140</v>
      </c>
      <c r="Q117" s="143" t="s">
        <v>1211</v>
      </c>
      <c r="R117" s="143" t="s">
        <v>885</v>
      </c>
      <c r="S117" s="143" t="s">
        <v>889</v>
      </c>
      <c r="T117" s="163">
        <v>45440</v>
      </c>
      <c r="U117" s="143" t="s">
        <v>1212</v>
      </c>
      <c r="V117" s="144">
        <v>159.5736366054802</v>
      </c>
      <c r="W117" s="144">
        <v>599.83730000000003</v>
      </c>
      <c r="X117" s="146">
        <v>9.290298E-4</v>
      </c>
      <c r="Y117" s="146">
        <v>4.7034403326371467E-3</v>
      </c>
      <c r="Z117" s="147">
        <v>9.0569368200307983E-4</v>
      </c>
      <c r="AA117" s="181"/>
    </row>
    <row r="118" spans="1:27" ht="15" x14ac:dyDescent="0.2">
      <c r="A118" s="142" t="s">
        <v>1205</v>
      </c>
      <c r="B118" s="143" t="s">
        <v>1205</v>
      </c>
      <c r="C118" s="143" t="s">
        <v>3540</v>
      </c>
      <c r="D118" s="145" t="s">
        <v>3853</v>
      </c>
      <c r="E118" s="145" t="s">
        <v>3853</v>
      </c>
      <c r="F118" s="143" t="s">
        <v>3541</v>
      </c>
      <c r="G118" s="143" t="s">
        <v>3542</v>
      </c>
      <c r="H118" s="143" t="s">
        <v>312</v>
      </c>
      <c r="I118" s="143" t="s">
        <v>1005</v>
      </c>
      <c r="J118" s="145" t="s">
        <v>3853</v>
      </c>
      <c r="K118" s="143" t="s">
        <v>204</v>
      </c>
      <c r="L118" s="145" t="s">
        <v>3853</v>
      </c>
      <c r="M118" s="145" t="s">
        <v>3853</v>
      </c>
      <c r="N118" s="143" t="s">
        <v>224</v>
      </c>
      <c r="O118" s="143" t="s">
        <v>339</v>
      </c>
      <c r="P118" s="162">
        <v>45225</v>
      </c>
      <c r="Q118" s="143" t="s">
        <v>1211</v>
      </c>
      <c r="R118" s="143" t="s">
        <v>885</v>
      </c>
      <c r="S118" s="143" t="s">
        <v>889</v>
      </c>
      <c r="T118" s="163">
        <v>45463</v>
      </c>
      <c r="U118" s="143" t="s">
        <v>1212</v>
      </c>
      <c r="V118" s="144">
        <v>152.38347964884278</v>
      </c>
      <c r="W118" s="144">
        <v>572.80949999999996</v>
      </c>
      <c r="X118" s="146">
        <v>1.2991999999999999E-3</v>
      </c>
      <c r="Y118" s="146">
        <v>4.49151035026447E-3</v>
      </c>
      <c r="Z118" s="147">
        <v>8.6488448012375316E-4</v>
      </c>
      <c r="AA118" s="181"/>
    </row>
    <row r="119" spans="1:27" ht="15" x14ac:dyDescent="0.2">
      <c r="A119" s="142" t="s">
        <v>1205</v>
      </c>
      <c r="B119" s="143" t="s">
        <v>1205</v>
      </c>
      <c r="C119" s="143" t="s">
        <v>314</v>
      </c>
      <c r="D119" s="145" t="s">
        <v>3853</v>
      </c>
      <c r="E119" s="145" t="s">
        <v>3853</v>
      </c>
      <c r="F119" s="143" t="s">
        <v>3543</v>
      </c>
      <c r="G119" s="143" t="s">
        <v>3544</v>
      </c>
      <c r="H119" s="143" t="s">
        <v>312</v>
      </c>
      <c r="I119" s="143" t="s">
        <v>1005</v>
      </c>
      <c r="J119" s="145" t="s">
        <v>3853</v>
      </c>
      <c r="K119" s="143" t="s">
        <v>204</v>
      </c>
      <c r="L119" s="145" t="s">
        <v>3853</v>
      </c>
      <c r="M119" s="145" t="s">
        <v>3853</v>
      </c>
      <c r="N119" s="143" t="s">
        <v>293</v>
      </c>
      <c r="O119" s="143" t="s">
        <v>339</v>
      </c>
      <c r="P119" s="162">
        <v>45365</v>
      </c>
      <c r="Q119" s="143" t="s">
        <v>1214</v>
      </c>
      <c r="R119" s="143" t="s">
        <v>885</v>
      </c>
      <c r="S119" s="143" t="s">
        <v>889</v>
      </c>
      <c r="T119" s="163">
        <v>45447</v>
      </c>
      <c r="U119" s="143" t="s">
        <v>1215</v>
      </c>
      <c r="V119" s="144">
        <v>141.07402616785237</v>
      </c>
      <c r="W119" s="144">
        <v>567.14580000000001</v>
      </c>
      <c r="X119" s="146">
        <v>1.7244609874288925E-3</v>
      </c>
      <c r="Y119" s="146">
        <v>4.4471000584170202E-3</v>
      </c>
      <c r="Z119" s="147">
        <v>8.5633284177021702E-4</v>
      </c>
      <c r="AA119" s="181"/>
    </row>
    <row r="120" spans="1:27" ht="15" x14ac:dyDescent="0.2">
      <c r="A120" s="142" t="s">
        <v>1205</v>
      </c>
      <c r="B120" s="143" t="s">
        <v>1205</v>
      </c>
      <c r="C120" s="143" t="s">
        <v>3545</v>
      </c>
      <c r="D120" s="145" t="s">
        <v>3853</v>
      </c>
      <c r="E120" s="145" t="s">
        <v>3853</v>
      </c>
      <c r="F120" s="143" t="s">
        <v>3546</v>
      </c>
      <c r="G120" s="143" t="s">
        <v>3547</v>
      </c>
      <c r="H120" s="143" t="s">
        <v>312</v>
      </c>
      <c r="I120" s="143" t="s">
        <v>1005</v>
      </c>
      <c r="J120" s="145" t="s">
        <v>3853</v>
      </c>
      <c r="K120" s="143" t="s">
        <v>204</v>
      </c>
      <c r="L120" s="145" t="s">
        <v>3853</v>
      </c>
      <c r="M120" s="145" t="s">
        <v>3853</v>
      </c>
      <c r="N120" s="143" t="s">
        <v>204</v>
      </c>
      <c r="O120" s="143" t="s">
        <v>339</v>
      </c>
      <c r="P120" s="162">
        <v>45250</v>
      </c>
      <c r="Q120" s="143" t="s">
        <v>1211</v>
      </c>
      <c r="R120" s="143" t="s">
        <v>885</v>
      </c>
      <c r="S120" s="143" t="s">
        <v>889</v>
      </c>
      <c r="T120" s="163">
        <v>45470</v>
      </c>
      <c r="U120" s="143" t="s">
        <v>1212</v>
      </c>
      <c r="V120" s="144">
        <v>111.51000266028198</v>
      </c>
      <c r="W120" s="144">
        <v>419.16609999999997</v>
      </c>
      <c r="X120" s="145" t="s">
        <v>3853</v>
      </c>
      <c r="Y120" s="146">
        <v>3.2867624649253495E-3</v>
      </c>
      <c r="Z120" s="147">
        <v>6.3289842927776927E-4</v>
      </c>
      <c r="AA120" s="181"/>
    </row>
    <row r="121" spans="1:27" ht="15" x14ac:dyDescent="0.2">
      <c r="A121" s="142" t="s">
        <v>1205</v>
      </c>
      <c r="B121" s="143" t="s">
        <v>1205</v>
      </c>
      <c r="C121" s="143" t="s">
        <v>3548</v>
      </c>
      <c r="D121" s="145" t="s">
        <v>3853</v>
      </c>
      <c r="E121" s="145" t="s">
        <v>3853</v>
      </c>
      <c r="F121" s="143" t="s">
        <v>3549</v>
      </c>
      <c r="G121" s="143" t="s">
        <v>3550</v>
      </c>
      <c r="H121" s="143" t="s">
        <v>312</v>
      </c>
      <c r="I121" s="143" t="s">
        <v>1005</v>
      </c>
      <c r="J121" s="145" t="s">
        <v>3853</v>
      </c>
      <c r="K121" s="143" t="s">
        <v>204</v>
      </c>
      <c r="L121" s="145" t="s">
        <v>3853</v>
      </c>
      <c r="M121" s="145" t="s">
        <v>3853</v>
      </c>
      <c r="N121" s="143" t="s">
        <v>204</v>
      </c>
      <c r="O121" s="143" t="s">
        <v>339</v>
      </c>
      <c r="P121" s="162">
        <v>45369</v>
      </c>
      <c r="Q121" s="143" t="s">
        <v>1211</v>
      </c>
      <c r="R121" s="143" t="s">
        <v>885</v>
      </c>
      <c r="S121" s="143" t="s">
        <v>889</v>
      </c>
      <c r="T121" s="163">
        <v>45447</v>
      </c>
      <c r="U121" s="143" t="s">
        <v>1212</v>
      </c>
      <c r="V121" s="144">
        <v>81.213886671987225</v>
      </c>
      <c r="W121" s="144">
        <v>305.28300000000002</v>
      </c>
      <c r="X121" s="146">
        <v>9.2891999999999996E-4</v>
      </c>
      <c r="Y121" s="146">
        <v>2.3937832748482635E-3</v>
      </c>
      <c r="Z121" s="147">
        <v>4.6094650612887243E-4</v>
      </c>
      <c r="AA121" s="181"/>
    </row>
    <row r="122" spans="1:27" ht="15" x14ac:dyDescent="0.2">
      <c r="A122" s="142" t="s">
        <v>1205</v>
      </c>
      <c r="B122" s="143" t="s">
        <v>1205</v>
      </c>
      <c r="C122" s="143" t="s">
        <v>3551</v>
      </c>
      <c r="D122" s="145" t="s">
        <v>3853</v>
      </c>
      <c r="E122" s="145" t="s">
        <v>3853</v>
      </c>
      <c r="F122" s="143" t="s">
        <v>3552</v>
      </c>
      <c r="G122" s="143" t="s">
        <v>3553</v>
      </c>
      <c r="H122" s="143" t="s">
        <v>312</v>
      </c>
      <c r="I122" s="143" t="s">
        <v>1005</v>
      </c>
      <c r="J122" s="145" t="s">
        <v>3853</v>
      </c>
      <c r="K122" s="143" t="s">
        <v>204</v>
      </c>
      <c r="L122" s="145" t="s">
        <v>3853</v>
      </c>
      <c r="M122" s="145" t="s">
        <v>3853</v>
      </c>
      <c r="N122" s="143" t="s">
        <v>204</v>
      </c>
      <c r="O122" s="143" t="s">
        <v>339</v>
      </c>
      <c r="P122" s="162">
        <v>45365</v>
      </c>
      <c r="Q122" s="143" t="s">
        <v>1211</v>
      </c>
      <c r="R122" s="143" t="s">
        <v>885</v>
      </c>
      <c r="S122" s="143" t="s">
        <v>889</v>
      </c>
      <c r="T122" s="163">
        <v>45427</v>
      </c>
      <c r="U122" s="143" t="s">
        <v>1212</v>
      </c>
      <c r="V122" s="144">
        <v>78.152806597499335</v>
      </c>
      <c r="W122" s="144">
        <v>293.77640000000002</v>
      </c>
      <c r="X122" s="146">
        <v>2.7980764851485149E-4</v>
      </c>
      <c r="Y122" s="146">
        <v>2.3035574535526585E-3</v>
      </c>
      <c r="Z122" s="147">
        <v>4.4357263710497206E-4</v>
      </c>
      <c r="AA122" s="181"/>
    </row>
    <row r="123" spans="1:27" ht="15" x14ac:dyDescent="0.2">
      <c r="A123" s="142" t="s">
        <v>1205</v>
      </c>
      <c r="B123" s="143" t="s">
        <v>1205</v>
      </c>
      <c r="C123" s="143" t="s">
        <v>314</v>
      </c>
      <c r="D123" s="145" t="s">
        <v>3853</v>
      </c>
      <c r="E123" s="145" t="s">
        <v>3853</v>
      </c>
      <c r="F123" s="143" t="s">
        <v>3554</v>
      </c>
      <c r="G123" s="143" t="s">
        <v>3555</v>
      </c>
      <c r="H123" s="143" t="s">
        <v>312</v>
      </c>
      <c r="I123" s="143" t="s">
        <v>1005</v>
      </c>
      <c r="J123" s="145" t="s">
        <v>3853</v>
      </c>
      <c r="K123" s="143" t="s">
        <v>204</v>
      </c>
      <c r="L123" s="145" t="s">
        <v>3853</v>
      </c>
      <c r="M123" s="145" t="s">
        <v>3853</v>
      </c>
      <c r="N123" s="143" t="s">
        <v>224</v>
      </c>
      <c r="O123" s="143" t="s">
        <v>339</v>
      </c>
      <c r="P123" s="162">
        <v>44699</v>
      </c>
      <c r="Q123" s="143" t="s">
        <v>1211</v>
      </c>
      <c r="R123" s="143" t="s">
        <v>885</v>
      </c>
      <c r="S123" s="143" t="s">
        <v>889</v>
      </c>
      <c r="T123" s="163">
        <v>45131</v>
      </c>
      <c r="U123" s="143" t="s">
        <v>1212</v>
      </c>
      <c r="V123" s="144">
        <v>1.8557063048683162</v>
      </c>
      <c r="W123" s="144">
        <v>6.9756</v>
      </c>
      <c r="X123" s="145" t="s">
        <v>3853</v>
      </c>
      <c r="Y123" s="146">
        <v>5.4697160805232135E-5</v>
      </c>
      <c r="Z123" s="147">
        <v>1.0532476115632907E-5</v>
      </c>
      <c r="AA123" s="181"/>
    </row>
    <row r="124" spans="1:27" ht="15" x14ac:dyDescent="0.2">
      <c r="A124" s="142" t="s">
        <v>1205</v>
      </c>
      <c r="B124" s="143" t="s">
        <v>1205</v>
      </c>
      <c r="C124" s="143" t="s">
        <v>3534</v>
      </c>
      <c r="D124" s="145" t="s">
        <v>3853</v>
      </c>
      <c r="E124" s="145" t="s">
        <v>3853</v>
      </c>
      <c r="F124" s="143" t="s">
        <v>3556</v>
      </c>
      <c r="G124" s="143" t="s">
        <v>3557</v>
      </c>
      <c r="H124" s="143" t="s">
        <v>312</v>
      </c>
      <c r="I124" s="143" t="s">
        <v>1005</v>
      </c>
      <c r="J124" s="145" t="s">
        <v>3853</v>
      </c>
      <c r="K124" s="143" t="s">
        <v>204</v>
      </c>
      <c r="L124" s="145" t="s">
        <v>3853</v>
      </c>
      <c r="M124" s="145" t="s">
        <v>3853</v>
      </c>
      <c r="N124" s="143" t="s">
        <v>204</v>
      </c>
      <c r="O124" s="143" t="s">
        <v>339</v>
      </c>
      <c r="P124" s="162">
        <v>45197</v>
      </c>
      <c r="Q124" s="143" t="s">
        <v>1211</v>
      </c>
      <c r="R124" s="143" t="s">
        <v>885</v>
      </c>
      <c r="S124" s="143" t="s">
        <v>889</v>
      </c>
      <c r="T124" s="163">
        <v>45379</v>
      </c>
      <c r="U124" s="143" t="s">
        <v>1212</v>
      </c>
      <c r="V124" s="145" t="s">
        <v>3853</v>
      </c>
      <c r="W124" s="144">
        <v>0</v>
      </c>
      <c r="X124" s="145" t="s">
        <v>3853</v>
      </c>
      <c r="Y124" s="146">
        <v>5.076044922962914E-11</v>
      </c>
      <c r="Z124" s="147">
        <v>9.7744235945556522E-12</v>
      </c>
      <c r="AA124" s="181"/>
    </row>
    <row r="125" spans="1:27" ht="15" x14ac:dyDescent="0.2">
      <c r="A125" s="142" t="s">
        <v>1205</v>
      </c>
      <c r="B125" s="143" t="s">
        <v>1205</v>
      </c>
      <c r="C125" s="143" t="s">
        <v>314</v>
      </c>
      <c r="D125" s="145" t="s">
        <v>3853</v>
      </c>
      <c r="E125" s="145" t="s">
        <v>3853</v>
      </c>
      <c r="F125" s="143" t="s">
        <v>3558</v>
      </c>
      <c r="G125" s="143" t="s">
        <v>3559</v>
      </c>
      <c r="H125" s="143" t="s">
        <v>136</v>
      </c>
      <c r="I125" s="143" t="s">
        <v>1005</v>
      </c>
      <c r="J125" s="145" t="s">
        <v>3853</v>
      </c>
      <c r="K125" s="143" t="s">
        <v>205</v>
      </c>
      <c r="L125" s="145" t="s">
        <v>3853</v>
      </c>
      <c r="M125" s="145" t="s">
        <v>3853</v>
      </c>
      <c r="N125" s="143" t="s">
        <v>224</v>
      </c>
      <c r="O125" s="143" t="s">
        <v>339</v>
      </c>
      <c r="P125" s="162">
        <v>45313</v>
      </c>
      <c r="Q125" s="143" t="s">
        <v>1211</v>
      </c>
      <c r="R125" s="143" t="s">
        <v>885</v>
      </c>
      <c r="S125" s="143" t="s">
        <v>889</v>
      </c>
      <c r="T125" s="163">
        <v>45470</v>
      </c>
      <c r="U125" s="143" t="s">
        <v>1212</v>
      </c>
      <c r="V125" s="144">
        <v>306.17225325884544</v>
      </c>
      <c r="W125" s="144">
        <v>1150.9014999999999</v>
      </c>
      <c r="X125" s="146">
        <v>5.0908142000000003E-5</v>
      </c>
      <c r="Y125" s="146">
        <v>9.0244411297684488E-3</v>
      </c>
      <c r="Z125" s="147">
        <v>1.7377448711584553E-3</v>
      </c>
      <c r="AA125" s="181"/>
    </row>
    <row r="126" spans="1:27" ht="15" x14ac:dyDescent="0.2">
      <c r="A126" s="142" t="s">
        <v>1205</v>
      </c>
      <c r="B126" s="143" t="s">
        <v>1205</v>
      </c>
      <c r="C126" s="143" t="s">
        <v>314</v>
      </c>
      <c r="D126" s="145" t="s">
        <v>3853</v>
      </c>
      <c r="E126" s="145" t="s">
        <v>3853</v>
      </c>
      <c r="F126" s="143" t="s">
        <v>3560</v>
      </c>
      <c r="G126" s="143" t="s">
        <v>3561</v>
      </c>
      <c r="H126" s="143" t="s">
        <v>312</v>
      </c>
      <c r="I126" s="143" t="s">
        <v>1005</v>
      </c>
      <c r="J126" s="145" t="s">
        <v>3853</v>
      </c>
      <c r="K126" s="143" t="s">
        <v>205</v>
      </c>
      <c r="L126" s="145" t="s">
        <v>3853</v>
      </c>
      <c r="M126" s="145" t="s">
        <v>3853</v>
      </c>
      <c r="N126" s="143" t="s">
        <v>224</v>
      </c>
      <c r="O126" s="143" t="s">
        <v>339</v>
      </c>
      <c r="P126" s="162">
        <v>45316</v>
      </c>
      <c r="Q126" s="143" t="s">
        <v>1211</v>
      </c>
      <c r="R126" s="143" t="s">
        <v>885</v>
      </c>
      <c r="S126" s="143" t="s">
        <v>889</v>
      </c>
      <c r="T126" s="163">
        <v>45442</v>
      </c>
      <c r="U126" s="143" t="s">
        <v>1212</v>
      </c>
      <c r="V126" s="144">
        <v>692.51731843575431</v>
      </c>
      <c r="W126" s="144">
        <v>2603.1725999999999</v>
      </c>
      <c r="X126" s="146">
        <v>2.7093259545454545E-5</v>
      </c>
      <c r="Y126" s="146">
        <v>2.0411979211130634E-2</v>
      </c>
      <c r="Z126" s="147">
        <v>3.9305272951839169E-3</v>
      </c>
      <c r="AA126" s="181"/>
    </row>
    <row r="127" spans="1:27" ht="15" x14ac:dyDescent="0.2">
      <c r="A127" s="142" t="s">
        <v>1205</v>
      </c>
      <c r="B127" s="143" t="s">
        <v>1205</v>
      </c>
      <c r="C127" s="143" t="s">
        <v>3562</v>
      </c>
      <c r="D127" s="145" t="s">
        <v>3853</v>
      </c>
      <c r="E127" s="145" t="s">
        <v>3853</v>
      </c>
      <c r="F127" s="143" t="s">
        <v>3563</v>
      </c>
      <c r="G127" s="143" t="s">
        <v>3564</v>
      </c>
      <c r="H127" s="143" t="s">
        <v>312</v>
      </c>
      <c r="I127" s="143" t="s">
        <v>1005</v>
      </c>
      <c r="J127" s="145" t="s">
        <v>3853</v>
      </c>
      <c r="K127" s="143" t="s">
        <v>205</v>
      </c>
      <c r="L127" s="145" t="s">
        <v>3853</v>
      </c>
      <c r="M127" s="145" t="s">
        <v>3853</v>
      </c>
      <c r="N127" s="143" t="s">
        <v>291</v>
      </c>
      <c r="O127" s="143" t="s">
        <v>339</v>
      </c>
      <c r="P127" s="162">
        <v>45294</v>
      </c>
      <c r="Q127" s="143" t="s">
        <v>1211</v>
      </c>
      <c r="R127" s="143" t="s">
        <v>885</v>
      </c>
      <c r="S127" s="143" t="s">
        <v>889</v>
      </c>
      <c r="T127" s="163">
        <v>45473</v>
      </c>
      <c r="U127" s="143" t="s">
        <v>1212</v>
      </c>
      <c r="V127" s="144">
        <v>556.87744080872574</v>
      </c>
      <c r="W127" s="144">
        <v>2093.3022999999998</v>
      </c>
      <c r="X127" s="145" t="s">
        <v>3853</v>
      </c>
      <c r="Y127" s="146">
        <v>1.6413987733868225E-2</v>
      </c>
      <c r="Z127" s="147">
        <v>3.1606747265156307E-3</v>
      </c>
      <c r="AA127" s="181"/>
    </row>
    <row r="128" spans="1:27" ht="15" x14ac:dyDescent="0.2">
      <c r="A128" s="142" t="s">
        <v>1205</v>
      </c>
      <c r="B128" s="143" t="s">
        <v>1205</v>
      </c>
      <c r="C128" s="143" t="s">
        <v>314</v>
      </c>
      <c r="D128" s="145" t="s">
        <v>3853</v>
      </c>
      <c r="E128" s="145" t="s">
        <v>3853</v>
      </c>
      <c r="F128" s="143" t="s">
        <v>3565</v>
      </c>
      <c r="G128" s="143" t="s">
        <v>3566</v>
      </c>
      <c r="H128" s="143" t="s">
        <v>312</v>
      </c>
      <c r="I128" s="143" t="s">
        <v>1005</v>
      </c>
      <c r="J128" s="145" t="s">
        <v>3853</v>
      </c>
      <c r="K128" s="143" t="s">
        <v>205</v>
      </c>
      <c r="L128" s="145" t="s">
        <v>3853</v>
      </c>
      <c r="M128" s="145" t="s">
        <v>3853</v>
      </c>
      <c r="N128" s="143" t="s">
        <v>291</v>
      </c>
      <c r="O128" s="143" t="s">
        <v>339</v>
      </c>
      <c r="P128" s="162">
        <v>45378</v>
      </c>
      <c r="Q128" s="143" t="s">
        <v>1211</v>
      </c>
      <c r="R128" s="143" t="s">
        <v>885</v>
      </c>
      <c r="S128" s="143" t="s">
        <v>889</v>
      </c>
      <c r="T128" s="163">
        <v>45460</v>
      </c>
      <c r="U128" s="143" t="s">
        <v>1212</v>
      </c>
      <c r="V128" s="144">
        <v>379.60316573556798</v>
      </c>
      <c r="W128" s="144">
        <v>1426.9283</v>
      </c>
      <c r="X128" s="146">
        <v>8.9167249999999999E-5</v>
      </c>
      <c r="Y128" s="146">
        <v>1.1188820723632215E-2</v>
      </c>
      <c r="Z128" s="147">
        <v>2.1545174429324688E-3</v>
      </c>
      <c r="AA128" s="181"/>
    </row>
    <row r="129" spans="1:27" ht="15" x14ac:dyDescent="0.2">
      <c r="A129" s="142" t="s">
        <v>1205</v>
      </c>
      <c r="B129" s="143" t="s">
        <v>1205</v>
      </c>
      <c r="C129" s="143" t="s">
        <v>314</v>
      </c>
      <c r="D129" s="145" t="s">
        <v>3853</v>
      </c>
      <c r="E129" s="145" t="s">
        <v>3853</v>
      </c>
      <c r="F129" s="143" t="s">
        <v>3567</v>
      </c>
      <c r="G129" s="143" t="s">
        <v>3568</v>
      </c>
      <c r="H129" s="143" t="s">
        <v>312</v>
      </c>
      <c r="I129" s="143" t="s">
        <v>1005</v>
      </c>
      <c r="J129" s="145" t="s">
        <v>3853</v>
      </c>
      <c r="K129" s="143" t="s">
        <v>205</v>
      </c>
      <c r="L129" s="145" t="s">
        <v>3853</v>
      </c>
      <c r="M129" s="145" t="s">
        <v>3853</v>
      </c>
      <c r="N129" s="143" t="s">
        <v>224</v>
      </c>
      <c r="O129" s="143" t="s">
        <v>339</v>
      </c>
      <c r="P129" s="162">
        <v>45362</v>
      </c>
      <c r="Q129" s="143" t="s">
        <v>1211</v>
      </c>
      <c r="R129" s="143" t="s">
        <v>885</v>
      </c>
      <c r="S129" s="143" t="s">
        <v>889</v>
      </c>
      <c r="T129" s="163">
        <v>45442</v>
      </c>
      <c r="U129" s="143" t="s">
        <v>1212</v>
      </c>
      <c r="V129" s="144">
        <v>321.68302740090451</v>
      </c>
      <c r="W129" s="144">
        <v>1209.2065</v>
      </c>
      <c r="X129" s="146">
        <v>1.2515685714285713E-3</v>
      </c>
      <c r="Y129" s="146">
        <v>9.4816220327576424E-3</v>
      </c>
      <c r="Z129" s="147">
        <v>1.8257795491996701E-3</v>
      </c>
      <c r="AA129" s="181"/>
    </row>
    <row r="130" spans="1:27" ht="15" x14ac:dyDescent="0.2">
      <c r="A130" s="142" t="s">
        <v>1205</v>
      </c>
      <c r="B130" s="143" t="s">
        <v>1205</v>
      </c>
      <c r="C130" s="143" t="s">
        <v>314</v>
      </c>
      <c r="D130" s="145" t="s">
        <v>3853</v>
      </c>
      <c r="E130" s="145" t="s">
        <v>3853</v>
      </c>
      <c r="F130" s="143" t="s">
        <v>3569</v>
      </c>
      <c r="G130" s="143" t="s">
        <v>3570</v>
      </c>
      <c r="H130" s="143" t="s">
        <v>312</v>
      </c>
      <c r="I130" s="143" t="s">
        <v>1005</v>
      </c>
      <c r="J130" s="145" t="s">
        <v>3853</v>
      </c>
      <c r="K130" s="143" t="s">
        <v>205</v>
      </c>
      <c r="L130" s="145" t="s">
        <v>3853</v>
      </c>
      <c r="M130" s="145" t="s">
        <v>3853</v>
      </c>
      <c r="N130" s="143" t="s">
        <v>220</v>
      </c>
      <c r="O130" s="143" t="s">
        <v>339</v>
      </c>
      <c r="P130" s="162">
        <v>45350</v>
      </c>
      <c r="Q130" s="143" t="s">
        <v>1214</v>
      </c>
      <c r="R130" s="143" t="s">
        <v>885</v>
      </c>
      <c r="S130" s="143" t="s">
        <v>889</v>
      </c>
      <c r="T130" s="163">
        <v>45461</v>
      </c>
      <c r="U130" s="143" t="s">
        <v>1215</v>
      </c>
      <c r="V130" s="144">
        <v>213.75473857022038</v>
      </c>
      <c r="W130" s="144">
        <v>859.33680000000004</v>
      </c>
      <c r="X130" s="145" t="s">
        <v>3853</v>
      </c>
      <c r="Y130" s="146">
        <v>6.7382256076395633E-3</v>
      </c>
      <c r="Z130" s="147">
        <v>1.2975115934613732E-3</v>
      </c>
      <c r="AA130" s="181"/>
    </row>
    <row r="131" spans="1:27" ht="15" x14ac:dyDescent="0.2">
      <c r="A131" s="142" t="s">
        <v>1205</v>
      </c>
      <c r="B131" s="143" t="s">
        <v>1205</v>
      </c>
      <c r="C131" s="143" t="s">
        <v>314</v>
      </c>
      <c r="D131" s="145" t="s">
        <v>3853</v>
      </c>
      <c r="E131" s="145" t="s">
        <v>3853</v>
      </c>
      <c r="F131" s="143" t="s">
        <v>3571</v>
      </c>
      <c r="G131" s="143" t="s">
        <v>3572</v>
      </c>
      <c r="H131" s="143" t="s">
        <v>312</v>
      </c>
      <c r="I131" s="143" t="s">
        <v>1005</v>
      </c>
      <c r="J131" s="145" t="s">
        <v>3853</v>
      </c>
      <c r="K131" s="143" t="s">
        <v>205</v>
      </c>
      <c r="L131" s="145" t="s">
        <v>3853</v>
      </c>
      <c r="M131" s="145" t="s">
        <v>3853</v>
      </c>
      <c r="N131" s="143" t="s">
        <v>224</v>
      </c>
      <c r="O131" s="143" t="s">
        <v>339</v>
      </c>
      <c r="P131" s="162">
        <v>44630</v>
      </c>
      <c r="Q131" s="143" t="s">
        <v>1211</v>
      </c>
      <c r="R131" s="143" t="s">
        <v>885</v>
      </c>
      <c r="S131" s="143" t="s">
        <v>889</v>
      </c>
      <c r="T131" s="163">
        <v>45448</v>
      </c>
      <c r="U131" s="143" t="s">
        <v>1212</v>
      </c>
      <c r="V131" s="144">
        <v>226.64972067039108</v>
      </c>
      <c r="W131" s="144">
        <v>851.97630000000004</v>
      </c>
      <c r="X131" s="146">
        <v>5.7660000000000001E-7</v>
      </c>
      <c r="Y131" s="146">
        <v>6.6805106533186784E-3</v>
      </c>
      <c r="Z131" s="147">
        <v>1.2863980115322467E-3</v>
      </c>
      <c r="AA131" s="181"/>
    </row>
    <row r="132" spans="1:27" ht="15" x14ac:dyDescent="0.2">
      <c r="A132" s="142" t="s">
        <v>1205</v>
      </c>
      <c r="B132" s="143" t="s">
        <v>1205</v>
      </c>
      <c r="C132" s="143" t="s">
        <v>314</v>
      </c>
      <c r="D132" s="145" t="s">
        <v>3853</v>
      </c>
      <c r="E132" s="145" t="s">
        <v>3853</v>
      </c>
      <c r="F132" s="143" t="s">
        <v>3573</v>
      </c>
      <c r="G132" s="143" t="s">
        <v>3574</v>
      </c>
      <c r="H132" s="143" t="s">
        <v>312</v>
      </c>
      <c r="I132" s="143" t="s">
        <v>1005</v>
      </c>
      <c r="J132" s="145" t="s">
        <v>3853</v>
      </c>
      <c r="K132" s="143" t="s">
        <v>205</v>
      </c>
      <c r="L132" s="145" t="s">
        <v>3853</v>
      </c>
      <c r="M132" s="145" t="s">
        <v>3853</v>
      </c>
      <c r="N132" s="143" t="s">
        <v>224</v>
      </c>
      <c r="O132" s="143" t="s">
        <v>339</v>
      </c>
      <c r="P132" s="162">
        <v>45369</v>
      </c>
      <c r="Q132" s="143" t="s">
        <v>1211</v>
      </c>
      <c r="R132" s="143" t="s">
        <v>885</v>
      </c>
      <c r="S132" s="143" t="s">
        <v>889</v>
      </c>
      <c r="T132" s="163">
        <v>45460</v>
      </c>
      <c r="U132" s="143" t="s">
        <v>1212</v>
      </c>
      <c r="V132" s="144">
        <v>127.55794094173983</v>
      </c>
      <c r="W132" s="144">
        <v>479.49029999999999</v>
      </c>
      <c r="X132" s="145" t="s">
        <v>3853</v>
      </c>
      <c r="Y132" s="146">
        <v>3.7597763866936466E-3</v>
      </c>
      <c r="Z132" s="147">
        <v>7.2398191076095944E-4</v>
      </c>
      <c r="AA132" s="181"/>
    </row>
    <row r="133" spans="1:27" ht="15" x14ac:dyDescent="0.2">
      <c r="A133" s="142" t="s">
        <v>1205</v>
      </c>
      <c r="B133" s="143" t="s">
        <v>1205</v>
      </c>
      <c r="C133" s="143" t="s">
        <v>3575</v>
      </c>
      <c r="D133" s="145" t="s">
        <v>3853</v>
      </c>
      <c r="E133" s="145" t="s">
        <v>3853</v>
      </c>
      <c r="F133" s="143" t="s">
        <v>3576</v>
      </c>
      <c r="G133" s="143" t="s">
        <v>3577</v>
      </c>
      <c r="H133" s="143" t="s">
        <v>312</v>
      </c>
      <c r="I133" s="143" t="s">
        <v>1005</v>
      </c>
      <c r="J133" s="145" t="s">
        <v>3853</v>
      </c>
      <c r="K133" s="143" t="s">
        <v>205</v>
      </c>
      <c r="L133" s="145" t="s">
        <v>3853</v>
      </c>
      <c r="M133" s="145" t="s">
        <v>3853</v>
      </c>
      <c r="N133" s="143" t="s">
        <v>224</v>
      </c>
      <c r="O133" s="143" t="s">
        <v>339</v>
      </c>
      <c r="P133" s="162">
        <v>45362</v>
      </c>
      <c r="Q133" s="143" t="s">
        <v>1211</v>
      </c>
      <c r="R133" s="143" t="s">
        <v>885</v>
      </c>
      <c r="S133" s="143" t="s">
        <v>889</v>
      </c>
      <c r="T133" s="163">
        <v>45473</v>
      </c>
      <c r="U133" s="143" t="s">
        <v>1212</v>
      </c>
      <c r="V133" s="144">
        <v>120.21189146049483</v>
      </c>
      <c r="W133" s="144">
        <v>451.87650000000002</v>
      </c>
      <c r="X133" s="146">
        <v>1.1840490196078431E-3</v>
      </c>
      <c r="Y133" s="146">
        <v>3.5432508609645344E-3</v>
      </c>
      <c r="Z133" s="147">
        <v>6.8228779182327986E-4</v>
      </c>
      <c r="AA133" s="181"/>
    </row>
    <row r="134" spans="1:27" ht="15" x14ac:dyDescent="0.2">
      <c r="A134" s="142" t="s">
        <v>1205</v>
      </c>
      <c r="B134" s="143" t="s">
        <v>1205</v>
      </c>
      <c r="C134" s="143" t="s">
        <v>3578</v>
      </c>
      <c r="D134" s="145" t="s">
        <v>3853</v>
      </c>
      <c r="E134" s="145" t="s">
        <v>3853</v>
      </c>
      <c r="F134" s="143" t="s">
        <v>3576</v>
      </c>
      <c r="G134" s="143" t="s">
        <v>3579</v>
      </c>
      <c r="H134" s="143" t="s">
        <v>312</v>
      </c>
      <c r="I134" s="143" t="s">
        <v>1005</v>
      </c>
      <c r="J134" s="145" t="s">
        <v>3853</v>
      </c>
      <c r="K134" s="143" t="s">
        <v>205</v>
      </c>
      <c r="L134" s="145" t="s">
        <v>3853</v>
      </c>
      <c r="M134" s="145" t="s">
        <v>3853</v>
      </c>
      <c r="N134" s="143" t="s">
        <v>224</v>
      </c>
      <c r="O134" s="143" t="s">
        <v>339</v>
      </c>
      <c r="P134" s="162">
        <v>45362</v>
      </c>
      <c r="Q134" s="143" t="s">
        <v>1211</v>
      </c>
      <c r="R134" s="143" t="s">
        <v>885</v>
      </c>
      <c r="S134" s="143" t="s">
        <v>889</v>
      </c>
      <c r="T134" s="163">
        <v>45473</v>
      </c>
      <c r="U134" s="143" t="s">
        <v>1212</v>
      </c>
      <c r="V134" s="144">
        <v>73.681271614791171</v>
      </c>
      <c r="W134" s="144">
        <v>276.96790000000004</v>
      </c>
      <c r="X134" s="145" t="s">
        <v>3853</v>
      </c>
      <c r="Y134" s="146">
        <v>2.1717584845431888E-3</v>
      </c>
      <c r="Z134" s="147">
        <v>4.1819344972630109E-4</v>
      </c>
      <c r="AA134" s="181"/>
    </row>
    <row r="135" spans="1:27" ht="15" x14ac:dyDescent="0.2">
      <c r="A135" s="142" t="s">
        <v>1205</v>
      </c>
      <c r="B135" s="143" t="s">
        <v>1205</v>
      </c>
      <c r="C135" s="143" t="s">
        <v>3580</v>
      </c>
      <c r="D135" s="145" t="s">
        <v>3853</v>
      </c>
      <c r="E135" s="145" t="s">
        <v>3853</v>
      </c>
      <c r="F135" s="143" t="s">
        <v>3581</v>
      </c>
      <c r="G135" s="143" t="s">
        <v>3582</v>
      </c>
      <c r="H135" s="143" t="s">
        <v>312</v>
      </c>
      <c r="I135" s="143" t="s">
        <v>1005</v>
      </c>
      <c r="J135" s="145" t="s">
        <v>3853</v>
      </c>
      <c r="K135" s="143" t="s">
        <v>205</v>
      </c>
      <c r="L135" s="145" t="s">
        <v>3853</v>
      </c>
      <c r="M135" s="145" t="s">
        <v>3853</v>
      </c>
      <c r="N135" s="143" t="s">
        <v>291</v>
      </c>
      <c r="O135" s="143" t="s">
        <v>339</v>
      </c>
      <c r="P135" s="162">
        <v>45369</v>
      </c>
      <c r="Q135" s="143" t="s">
        <v>1211</v>
      </c>
      <c r="R135" s="143" t="s">
        <v>885</v>
      </c>
      <c r="S135" s="143" t="s">
        <v>889</v>
      </c>
      <c r="T135" s="163">
        <v>45473</v>
      </c>
      <c r="U135" s="143" t="s">
        <v>1212</v>
      </c>
      <c r="V135" s="144">
        <v>65.053258845437625</v>
      </c>
      <c r="W135" s="144">
        <v>244.5352</v>
      </c>
      <c r="X135" s="146">
        <v>1.82400025E-4</v>
      </c>
      <c r="Y135" s="146">
        <v>1.9174478064288725E-3</v>
      </c>
      <c r="Z135" s="147">
        <v>3.6922342817934675E-4</v>
      </c>
      <c r="AA135" s="181"/>
    </row>
    <row r="136" spans="1:27" ht="15" x14ac:dyDescent="0.2">
      <c r="A136" s="142" t="s">
        <v>1205</v>
      </c>
      <c r="B136" s="143" t="s">
        <v>1205</v>
      </c>
      <c r="C136" s="143" t="s">
        <v>3583</v>
      </c>
      <c r="D136" s="145" t="s">
        <v>3853</v>
      </c>
      <c r="E136" s="145" t="s">
        <v>3853</v>
      </c>
      <c r="F136" s="143" t="s">
        <v>3584</v>
      </c>
      <c r="G136" s="143" t="s">
        <v>3585</v>
      </c>
      <c r="H136" s="143" t="s">
        <v>312</v>
      </c>
      <c r="I136" s="143" t="s">
        <v>1005</v>
      </c>
      <c r="J136" s="145" t="s">
        <v>3853</v>
      </c>
      <c r="K136" s="143" t="s">
        <v>205</v>
      </c>
      <c r="L136" s="145" t="s">
        <v>3853</v>
      </c>
      <c r="M136" s="145" t="s">
        <v>3853</v>
      </c>
      <c r="N136" s="143" t="s">
        <v>224</v>
      </c>
      <c r="O136" s="143" t="s">
        <v>339</v>
      </c>
      <c r="P136" s="162">
        <v>45274</v>
      </c>
      <c r="Q136" s="143" t="s">
        <v>1211</v>
      </c>
      <c r="R136" s="143" t="s">
        <v>885</v>
      </c>
      <c r="S136" s="143" t="s">
        <v>889</v>
      </c>
      <c r="T136" s="163">
        <v>45433</v>
      </c>
      <c r="U136" s="143" t="s">
        <v>1212</v>
      </c>
      <c r="V136" s="144">
        <v>54.691992551210433</v>
      </c>
      <c r="W136" s="144">
        <v>205.58720000000002</v>
      </c>
      <c r="X136" s="146">
        <v>1.5977797253870874E-4</v>
      </c>
      <c r="Y136" s="146">
        <v>1.6120491764752645E-3</v>
      </c>
      <c r="Z136" s="147">
        <v>3.1041591919022022E-4</v>
      </c>
      <c r="AA136" s="181"/>
    </row>
    <row r="137" spans="1:27" ht="15" x14ac:dyDescent="0.2">
      <c r="A137" s="142" t="s">
        <v>1205</v>
      </c>
      <c r="B137" s="143" t="s">
        <v>1205</v>
      </c>
      <c r="C137" s="143" t="s">
        <v>314</v>
      </c>
      <c r="D137" s="145" t="s">
        <v>3853</v>
      </c>
      <c r="E137" s="145" t="s">
        <v>3853</v>
      </c>
      <c r="F137" s="143" t="s">
        <v>3586</v>
      </c>
      <c r="G137" s="143" t="s">
        <v>3587</v>
      </c>
      <c r="H137" s="143" t="s">
        <v>312</v>
      </c>
      <c r="I137" s="143" t="s">
        <v>1005</v>
      </c>
      <c r="J137" s="145" t="s">
        <v>3853</v>
      </c>
      <c r="K137" s="143" t="s">
        <v>205</v>
      </c>
      <c r="L137" s="145" t="s">
        <v>3853</v>
      </c>
      <c r="M137" s="145" t="s">
        <v>3853</v>
      </c>
      <c r="N137" s="143" t="s">
        <v>244</v>
      </c>
      <c r="O137" s="143" t="s">
        <v>339</v>
      </c>
      <c r="P137" s="162">
        <v>45225</v>
      </c>
      <c r="Q137" s="143" t="s">
        <v>1211</v>
      </c>
      <c r="R137" s="143" t="s">
        <v>885</v>
      </c>
      <c r="S137" s="143" t="s">
        <v>889</v>
      </c>
      <c r="T137" s="163">
        <v>45470</v>
      </c>
      <c r="U137" s="143" t="s">
        <v>1212</v>
      </c>
      <c r="V137" s="144">
        <v>47.325884543761639</v>
      </c>
      <c r="W137" s="144">
        <v>177.898</v>
      </c>
      <c r="X137" s="146">
        <v>2.7599999999999999E-3</v>
      </c>
      <c r="Y137" s="146">
        <v>1.3949326209947081E-3</v>
      </c>
      <c r="Z137" s="147">
        <v>2.6860799166267838E-4</v>
      </c>
      <c r="AA137" s="181"/>
    </row>
    <row r="138" spans="1:27" ht="15" x14ac:dyDescent="0.2">
      <c r="A138" s="142" t="s">
        <v>1205</v>
      </c>
      <c r="B138" s="143" t="s">
        <v>1205</v>
      </c>
      <c r="C138" s="143" t="s">
        <v>3588</v>
      </c>
      <c r="D138" s="145" t="s">
        <v>3853</v>
      </c>
      <c r="E138" s="145" t="s">
        <v>3853</v>
      </c>
      <c r="F138" s="143" t="s">
        <v>3589</v>
      </c>
      <c r="G138" s="143" t="s">
        <v>3590</v>
      </c>
      <c r="H138" s="143" t="s">
        <v>312</v>
      </c>
      <c r="I138" s="143" t="s">
        <v>1005</v>
      </c>
      <c r="J138" s="145" t="s">
        <v>3853</v>
      </c>
      <c r="K138" s="143" t="s">
        <v>205</v>
      </c>
      <c r="L138" s="145" t="s">
        <v>3853</v>
      </c>
      <c r="M138" s="145" t="s">
        <v>3853</v>
      </c>
      <c r="N138" s="143" t="s">
        <v>224</v>
      </c>
      <c r="O138" s="143" t="s">
        <v>339</v>
      </c>
      <c r="P138" s="162">
        <v>44462</v>
      </c>
      <c r="Q138" s="143" t="s">
        <v>1211</v>
      </c>
      <c r="R138" s="143" t="s">
        <v>885</v>
      </c>
      <c r="S138" s="143" t="s">
        <v>889</v>
      </c>
      <c r="T138" s="163">
        <v>45238</v>
      </c>
      <c r="U138" s="143" t="s">
        <v>1212</v>
      </c>
      <c r="V138" s="144">
        <v>5.3099228518222928E-2</v>
      </c>
      <c r="W138" s="144">
        <v>0.1996</v>
      </c>
      <c r="X138" s="145" t="s">
        <v>3853</v>
      </c>
      <c r="Y138" s="146">
        <v>1.5653459672284815E-6</v>
      </c>
      <c r="Z138" s="147">
        <v>3.014227570466361E-7</v>
      </c>
      <c r="AA138" s="181"/>
    </row>
    <row r="139" spans="1:27" ht="15" x14ac:dyDescent="0.2">
      <c r="A139" s="142" t="s">
        <v>1205</v>
      </c>
      <c r="B139" s="143" t="s">
        <v>1205</v>
      </c>
      <c r="C139" s="143" t="s">
        <v>314</v>
      </c>
      <c r="D139" s="145" t="s">
        <v>3853</v>
      </c>
      <c r="E139" s="145" t="s">
        <v>3853</v>
      </c>
      <c r="F139" s="143" t="s">
        <v>3591</v>
      </c>
      <c r="G139" s="143" t="s">
        <v>3592</v>
      </c>
      <c r="H139" s="143" t="s">
        <v>312</v>
      </c>
      <c r="I139" s="143" t="s">
        <v>1005</v>
      </c>
      <c r="J139" s="145" t="s">
        <v>3853</v>
      </c>
      <c r="K139" s="143" t="s">
        <v>205</v>
      </c>
      <c r="L139" s="145" t="s">
        <v>3853</v>
      </c>
      <c r="M139" s="145" t="s">
        <v>3853</v>
      </c>
      <c r="N139" s="143" t="s">
        <v>224</v>
      </c>
      <c r="O139" s="143" t="s">
        <v>339</v>
      </c>
      <c r="P139" s="162">
        <v>39136</v>
      </c>
      <c r="Q139" s="143" t="s">
        <v>1211</v>
      </c>
      <c r="R139" s="143" t="s">
        <v>885</v>
      </c>
      <c r="S139" s="143" t="s">
        <v>889</v>
      </c>
      <c r="T139" s="163">
        <v>44136</v>
      </c>
      <c r="U139" s="143" t="s">
        <v>1212</v>
      </c>
      <c r="V139" s="145" t="s">
        <v>3853</v>
      </c>
      <c r="W139" s="144">
        <v>0</v>
      </c>
      <c r="X139" s="145" t="s">
        <v>3853</v>
      </c>
      <c r="Y139" s="146">
        <v>8.8425135841179583E-12</v>
      </c>
      <c r="Z139" s="147">
        <v>1.7027129334649687E-12</v>
      </c>
      <c r="AA139" s="181"/>
    </row>
    <row r="140" spans="1:27" ht="15" x14ac:dyDescent="0.2">
      <c r="A140" s="142" t="s">
        <v>1218</v>
      </c>
      <c r="B140" s="143" t="s">
        <v>1218</v>
      </c>
      <c r="C140" s="143" t="s">
        <v>3212</v>
      </c>
      <c r="D140" s="145" t="s">
        <v>3853</v>
      </c>
      <c r="E140" s="145" t="s">
        <v>3853</v>
      </c>
      <c r="F140" s="143" t="s">
        <v>3213</v>
      </c>
      <c r="G140" s="143" t="s">
        <v>3214</v>
      </c>
      <c r="H140" s="143" t="s">
        <v>312</v>
      </c>
      <c r="I140" s="143" t="s">
        <v>1000</v>
      </c>
      <c r="J140" s="145" t="s">
        <v>3853</v>
      </c>
      <c r="K140" s="143" t="s">
        <v>204</v>
      </c>
      <c r="L140" s="145" t="s">
        <v>3853</v>
      </c>
      <c r="M140" s="145" t="s">
        <v>3853</v>
      </c>
      <c r="N140" s="143" t="s">
        <v>204</v>
      </c>
      <c r="O140" s="143" t="s">
        <v>339</v>
      </c>
      <c r="P140" s="162">
        <v>45169</v>
      </c>
      <c r="Q140" s="143" t="s">
        <v>1211</v>
      </c>
      <c r="R140" s="143" t="s">
        <v>885</v>
      </c>
      <c r="S140" s="143" t="s">
        <v>889</v>
      </c>
      <c r="T140" s="163">
        <v>45397</v>
      </c>
      <c r="U140" s="143" t="s">
        <v>1212</v>
      </c>
      <c r="V140" s="144">
        <v>4347.391726523012</v>
      </c>
      <c r="W140" s="144">
        <v>16341.845499999999</v>
      </c>
      <c r="X140" s="145" t="s">
        <v>3853</v>
      </c>
      <c r="Y140" s="146">
        <v>1.198819680920973E-2</v>
      </c>
      <c r="Z140" s="147">
        <v>2.1771603658214934E-3</v>
      </c>
      <c r="AA140" s="181"/>
    </row>
    <row r="141" spans="1:27" ht="15" x14ac:dyDescent="0.2">
      <c r="A141" s="142" t="s">
        <v>1218</v>
      </c>
      <c r="B141" s="143" t="s">
        <v>1218</v>
      </c>
      <c r="C141" s="143" t="s">
        <v>3215</v>
      </c>
      <c r="D141" s="145" t="s">
        <v>3853</v>
      </c>
      <c r="E141" s="145" t="s">
        <v>3853</v>
      </c>
      <c r="F141" s="143" t="s">
        <v>3216</v>
      </c>
      <c r="G141" s="143" t="s">
        <v>3217</v>
      </c>
      <c r="H141" s="143" t="s">
        <v>312</v>
      </c>
      <c r="I141" s="143" t="s">
        <v>1000</v>
      </c>
      <c r="J141" s="145" t="s">
        <v>3853</v>
      </c>
      <c r="K141" s="143" t="s">
        <v>204</v>
      </c>
      <c r="L141" s="145" t="s">
        <v>3853</v>
      </c>
      <c r="M141" s="145" t="s">
        <v>3853</v>
      </c>
      <c r="N141" s="143" t="s">
        <v>204</v>
      </c>
      <c r="O141" s="143" t="s">
        <v>339</v>
      </c>
      <c r="P141" s="162">
        <v>44496</v>
      </c>
      <c r="Q141" s="143" t="s">
        <v>1211</v>
      </c>
      <c r="R141" s="143" t="s">
        <v>885</v>
      </c>
      <c r="S141" s="143" t="s">
        <v>889</v>
      </c>
      <c r="T141" s="163">
        <v>45441</v>
      </c>
      <c r="U141" s="143" t="s">
        <v>1212</v>
      </c>
      <c r="V141" s="144">
        <v>3296.8519553072624</v>
      </c>
      <c r="W141" s="144">
        <v>12392.8665</v>
      </c>
      <c r="X141" s="145" t="s">
        <v>3853</v>
      </c>
      <c r="Y141" s="146">
        <v>9.0912695958417153E-3</v>
      </c>
      <c r="Z141" s="147">
        <v>1.6510532946755437E-3</v>
      </c>
      <c r="AA141" s="181"/>
    </row>
    <row r="142" spans="1:27" ht="15" x14ac:dyDescent="0.2">
      <c r="A142" s="142" t="s">
        <v>1218</v>
      </c>
      <c r="B142" s="143" t="s">
        <v>1218</v>
      </c>
      <c r="C142" s="143" t="s">
        <v>3218</v>
      </c>
      <c r="D142" s="145" t="s">
        <v>3853</v>
      </c>
      <c r="E142" s="145" t="s">
        <v>3853</v>
      </c>
      <c r="F142" s="143" t="s">
        <v>3219</v>
      </c>
      <c r="G142" s="143" t="s">
        <v>3220</v>
      </c>
      <c r="H142" s="143" t="s">
        <v>312</v>
      </c>
      <c r="I142" s="143" t="s">
        <v>1000</v>
      </c>
      <c r="J142" s="145" t="s">
        <v>3853</v>
      </c>
      <c r="K142" s="143" t="s">
        <v>204</v>
      </c>
      <c r="L142" s="145" t="s">
        <v>3853</v>
      </c>
      <c r="M142" s="145" t="s">
        <v>3853</v>
      </c>
      <c r="N142" s="143" t="s">
        <v>204</v>
      </c>
      <c r="O142" s="143" t="s">
        <v>339</v>
      </c>
      <c r="P142" s="162">
        <v>45216</v>
      </c>
      <c r="Q142" s="143" t="s">
        <v>1211</v>
      </c>
      <c r="R142" s="143" t="s">
        <v>885</v>
      </c>
      <c r="S142" s="143" t="s">
        <v>889</v>
      </c>
      <c r="T142" s="163">
        <v>45466</v>
      </c>
      <c r="U142" s="143" t="s">
        <v>1212</v>
      </c>
      <c r="V142" s="144">
        <v>2768.9642990156963</v>
      </c>
      <c r="W142" s="144">
        <v>10408.5368</v>
      </c>
      <c r="X142" s="145" t="s">
        <v>3853</v>
      </c>
      <c r="Y142" s="146">
        <v>7.6355872644603652E-3</v>
      </c>
      <c r="Z142" s="147">
        <v>1.3866887761788691E-3</v>
      </c>
      <c r="AA142" s="181"/>
    </row>
    <row r="143" spans="1:27" ht="15" x14ac:dyDescent="0.2">
      <c r="A143" s="142" t="s">
        <v>1218</v>
      </c>
      <c r="B143" s="143" t="s">
        <v>1218</v>
      </c>
      <c r="C143" s="143" t="s">
        <v>3221</v>
      </c>
      <c r="D143" s="145" t="s">
        <v>3853</v>
      </c>
      <c r="E143" s="145" t="s">
        <v>3853</v>
      </c>
      <c r="F143" s="143" t="s">
        <v>3222</v>
      </c>
      <c r="G143" s="143" t="s">
        <v>3223</v>
      </c>
      <c r="H143" s="143" t="s">
        <v>312</v>
      </c>
      <c r="I143" s="143" t="s">
        <v>1000</v>
      </c>
      <c r="J143" s="145" t="s">
        <v>3853</v>
      </c>
      <c r="K143" s="143" t="s">
        <v>204</v>
      </c>
      <c r="L143" s="145" t="s">
        <v>3853</v>
      </c>
      <c r="M143" s="145" t="s">
        <v>3853</v>
      </c>
      <c r="N143" s="143" t="s">
        <v>204</v>
      </c>
      <c r="O143" s="143" t="s">
        <v>339</v>
      </c>
      <c r="P143" s="162">
        <v>44601</v>
      </c>
      <c r="Q143" s="143" t="s">
        <v>1211</v>
      </c>
      <c r="R143" s="143" t="s">
        <v>885</v>
      </c>
      <c r="S143" s="143" t="s">
        <v>889</v>
      </c>
      <c r="T143" s="163">
        <v>45397</v>
      </c>
      <c r="U143" s="143" t="s">
        <v>1212</v>
      </c>
      <c r="V143" s="144">
        <v>2222.9857940941743</v>
      </c>
      <c r="W143" s="144">
        <v>8356.2035999999989</v>
      </c>
      <c r="X143" s="145" t="s">
        <v>3853</v>
      </c>
      <c r="Y143" s="146">
        <v>6.1300183660770472E-3</v>
      </c>
      <c r="Z143" s="147">
        <v>1.1132644250658207E-3</v>
      </c>
      <c r="AA143" s="181"/>
    </row>
    <row r="144" spans="1:27" ht="15" x14ac:dyDescent="0.2">
      <c r="A144" s="142" t="s">
        <v>1218</v>
      </c>
      <c r="B144" s="143" t="s">
        <v>1218</v>
      </c>
      <c r="C144" s="143" t="s">
        <v>3224</v>
      </c>
      <c r="D144" s="145" t="s">
        <v>3853</v>
      </c>
      <c r="E144" s="145" t="s">
        <v>3853</v>
      </c>
      <c r="F144" s="143" t="s">
        <v>3225</v>
      </c>
      <c r="G144" s="143" t="s">
        <v>3226</v>
      </c>
      <c r="H144" s="143" t="s">
        <v>312</v>
      </c>
      <c r="I144" s="143" t="s">
        <v>1000</v>
      </c>
      <c r="J144" s="145" t="s">
        <v>3853</v>
      </c>
      <c r="K144" s="143" t="s">
        <v>204</v>
      </c>
      <c r="L144" s="145" t="s">
        <v>3853</v>
      </c>
      <c r="M144" s="145" t="s">
        <v>3853</v>
      </c>
      <c r="N144" s="143" t="s">
        <v>224</v>
      </c>
      <c r="O144" s="143" t="s">
        <v>339</v>
      </c>
      <c r="P144" s="162">
        <v>44934</v>
      </c>
      <c r="Q144" s="143" t="s">
        <v>1211</v>
      </c>
      <c r="R144" s="143" t="s">
        <v>885</v>
      </c>
      <c r="S144" s="143" t="s">
        <v>889</v>
      </c>
      <c r="T144" s="163">
        <v>45421</v>
      </c>
      <c r="U144" s="143" t="s">
        <v>1212</v>
      </c>
      <c r="V144" s="144">
        <v>2039.0661878159085</v>
      </c>
      <c r="W144" s="144">
        <v>7664.8498</v>
      </c>
      <c r="X144" s="145" t="s">
        <v>3853</v>
      </c>
      <c r="Y144" s="146">
        <v>5.6228488698831566E-3</v>
      </c>
      <c r="Z144" s="147">
        <v>1.02115805215253E-3</v>
      </c>
      <c r="AA144" s="181"/>
    </row>
    <row r="145" spans="1:27" ht="15" x14ac:dyDescent="0.2">
      <c r="A145" s="142" t="s">
        <v>1218</v>
      </c>
      <c r="B145" s="143" t="s">
        <v>1218</v>
      </c>
      <c r="C145" s="143" t="s">
        <v>3227</v>
      </c>
      <c r="D145" s="145" t="s">
        <v>3853</v>
      </c>
      <c r="E145" s="145" t="s">
        <v>3853</v>
      </c>
      <c r="F145" s="143" t="s">
        <v>3228</v>
      </c>
      <c r="G145" s="143" t="s">
        <v>3229</v>
      </c>
      <c r="H145" s="143" t="s">
        <v>312</v>
      </c>
      <c r="I145" s="143" t="s">
        <v>1000</v>
      </c>
      <c r="J145" s="145" t="s">
        <v>3853</v>
      </c>
      <c r="K145" s="143" t="s">
        <v>204</v>
      </c>
      <c r="L145" s="145" t="s">
        <v>3853</v>
      </c>
      <c r="M145" s="145" t="s">
        <v>3853</v>
      </c>
      <c r="N145" s="143" t="s">
        <v>204</v>
      </c>
      <c r="O145" s="143" t="s">
        <v>339</v>
      </c>
      <c r="P145" s="162">
        <v>45159</v>
      </c>
      <c r="Q145" s="143" t="s">
        <v>1211</v>
      </c>
      <c r="R145" s="143" t="s">
        <v>885</v>
      </c>
      <c r="S145" s="143" t="s">
        <v>889</v>
      </c>
      <c r="T145" s="163">
        <v>45469</v>
      </c>
      <c r="U145" s="143" t="s">
        <v>1212</v>
      </c>
      <c r="V145" s="144">
        <v>1475.5195530726257</v>
      </c>
      <c r="W145" s="144">
        <v>5546.4780000000001</v>
      </c>
      <c r="X145" s="146">
        <v>1.0728741750000001E-3</v>
      </c>
      <c r="Y145" s="146">
        <v>4.0688348340562073E-3</v>
      </c>
      <c r="Z145" s="147">
        <v>7.3893564451458192E-4</v>
      </c>
      <c r="AA145" s="181"/>
    </row>
    <row r="146" spans="1:27" ht="15" x14ac:dyDescent="0.2">
      <c r="A146" s="142" t="s">
        <v>1218</v>
      </c>
      <c r="B146" s="143" t="s">
        <v>1218</v>
      </c>
      <c r="C146" s="143" t="s">
        <v>3230</v>
      </c>
      <c r="D146" s="145" t="s">
        <v>3853</v>
      </c>
      <c r="E146" s="145" t="s">
        <v>3853</v>
      </c>
      <c r="F146" s="143" t="s">
        <v>3231</v>
      </c>
      <c r="G146" s="143" t="s">
        <v>3232</v>
      </c>
      <c r="H146" s="143" t="s">
        <v>312</v>
      </c>
      <c r="I146" s="143" t="s">
        <v>1000</v>
      </c>
      <c r="J146" s="145" t="s">
        <v>3853</v>
      </c>
      <c r="K146" s="143" t="s">
        <v>204</v>
      </c>
      <c r="L146" s="145" t="s">
        <v>3853</v>
      </c>
      <c r="M146" s="145" t="s">
        <v>3853</v>
      </c>
      <c r="N146" s="143" t="s">
        <v>204</v>
      </c>
      <c r="O146" s="143" t="s">
        <v>339</v>
      </c>
      <c r="P146" s="162">
        <v>45341</v>
      </c>
      <c r="Q146" s="143" t="s">
        <v>1210</v>
      </c>
      <c r="R146" s="143" t="s">
        <v>885</v>
      </c>
      <c r="S146" s="143" t="s">
        <v>889</v>
      </c>
      <c r="T146" s="163">
        <v>45469</v>
      </c>
      <c r="U146" s="145" t="s">
        <v>3853</v>
      </c>
      <c r="V146" s="144">
        <v>4861.0869000000002</v>
      </c>
      <c r="W146" s="144">
        <v>4861.0869000000002</v>
      </c>
      <c r="X146" s="146">
        <v>1.1713685294117647E-2</v>
      </c>
      <c r="Y146" s="146">
        <v>3.5660394635441341E-3</v>
      </c>
      <c r="Z146" s="147">
        <v>6.4762365070776854E-4</v>
      </c>
      <c r="AA146" s="181"/>
    </row>
    <row r="147" spans="1:27" ht="15" x14ac:dyDescent="0.2">
      <c r="A147" s="142" t="s">
        <v>1218</v>
      </c>
      <c r="B147" s="143" t="s">
        <v>1218</v>
      </c>
      <c r="C147" s="143" t="s">
        <v>3233</v>
      </c>
      <c r="D147" s="145" t="s">
        <v>3853</v>
      </c>
      <c r="E147" s="145" t="s">
        <v>3853</v>
      </c>
      <c r="F147" s="143" t="s">
        <v>3234</v>
      </c>
      <c r="G147" s="143" t="s">
        <v>3235</v>
      </c>
      <c r="H147" s="143" t="s">
        <v>312</v>
      </c>
      <c r="I147" s="143" t="s">
        <v>1000</v>
      </c>
      <c r="J147" s="145" t="s">
        <v>3853</v>
      </c>
      <c r="K147" s="143" t="s">
        <v>204</v>
      </c>
      <c r="L147" s="145" t="s">
        <v>3853</v>
      </c>
      <c r="M147" s="145" t="s">
        <v>3853</v>
      </c>
      <c r="N147" s="143" t="s">
        <v>204</v>
      </c>
      <c r="O147" s="143" t="s">
        <v>339</v>
      </c>
      <c r="P147" s="162">
        <v>45265</v>
      </c>
      <c r="Q147" s="143" t="s">
        <v>1211</v>
      </c>
      <c r="R147" s="143" t="s">
        <v>885</v>
      </c>
      <c r="S147" s="143" t="s">
        <v>889</v>
      </c>
      <c r="T147" s="163">
        <v>45473</v>
      </c>
      <c r="U147" s="143" t="s">
        <v>1212</v>
      </c>
      <c r="V147" s="144">
        <v>1134.9961957967544</v>
      </c>
      <c r="W147" s="144">
        <v>4266.4507000000003</v>
      </c>
      <c r="X147" s="146">
        <v>1.8776457428571428E-3</v>
      </c>
      <c r="Y147" s="146">
        <v>3.1298209783835536E-3</v>
      </c>
      <c r="Z147" s="147">
        <v>5.6840259587817967E-4</v>
      </c>
      <c r="AA147" s="181"/>
    </row>
    <row r="148" spans="1:27" ht="15" x14ac:dyDescent="0.2">
      <c r="A148" s="142" t="s">
        <v>1218</v>
      </c>
      <c r="B148" s="143" t="s">
        <v>1218</v>
      </c>
      <c r="C148" s="143" t="s">
        <v>3239</v>
      </c>
      <c r="D148" s="145" t="s">
        <v>3853</v>
      </c>
      <c r="E148" s="145" t="s">
        <v>3853</v>
      </c>
      <c r="F148" s="143" t="s">
        <v>3240</v>
      </c>
      <c r="G148" s="143" t="s">
        <v>3241</v>
      </c>
      <c r="H148" s="143" t="s">
        <v>312</v>
      </c>
      <c r="I148" s="143" t="s">
        <v>1000</v>
      </c>
      <c r="J148" s="145" t="s">
        <v>3853</v>
      </c>
      <c r="K148" s="143" t="s">
        <v>204</v>
      </c>
      <c r="L148" s="145" t="s">
        <v>3853</v>
      </c>
      <c r="M148" s="145" t="s">
        <v>3853</v>
      </c>
      <c r="N148" s="143" t="s">
        <v>204</v>
      </c>
      <c r="O148" s="143" t="s">
        <v>339</v>
      </c>
      <c r="P148" s="162">
        <v>43038</v>
      </c>
      <c r="Q148" s="143" t="s">
        <v>1211</v>
      </c>
      <c r="R148" s="143" t="s">
        <v>885</v>
      </c>
      <c r="S148" s="143" t="s">
        <v>889</v>
      </c>
      <c r="T148" s="163">
        <v>45425</v>
      </c>
      <c r="U148" s="143" t="s">
        <v>1212</v>
      </c>
      <c r="V148" s="144">
        <v>984.5730779462624</v>
      </c>
      <c r="W148" s="144">
        <v>3701.0102000000002</v>
      </c>
      <c r="X148" s="145" t="s">
        <v>3853</v>
      </c>
      <c r="Y148" s="146">
        <v>2.7150200713748889E-3</v>
      </c>
      <c r="Z148" s="147">
        <v>4.9307115873057717E-4</v>
      </c>
      <c r="AA148" s="181"/>
    </row>
    <row r="149" spans="1:27" ht="15" x14ac:dyDescent="0.2">
      <c r="A149" s="142" t="s">
        <v>1218</v>
      </c>
      <c r="B149" s="143" t="s">
        <v>1218</v>
      </c>
      <c r="C149" s="143" t="s">
        <v>3236</v>
      </c>
      <c r="D149" s="145" t="s">
        <v>3853</v>
      </c>
      <c r="E149" s="145" t="s">
        <v>3853</v>
      </c>
      <c r="F149" s="143" t="s">
        <v>3237</v>
      </c>
      <c r="G149" s="143" t="s">
        <v>3238</v>
      </c>
      <c r="H149" s="143" t="s">
        <v>312</v>
      </c>
      <c r="I149" s="143" t="s">
        <v>1000</v>
      </c>
      <c r="J149" s="145" t="s">
        <v>3853</v>
      </c>
      <c r="K149" s="143" t="s">
        <v>204</v>
      </c>
      <c r="L149" s="145" t="s">
        <v>3853</v>
      </c>
      <c r="M149" s="145" t="s">
        <v>3853</v>
      </c>
      <c r="N149" s="143" t="s">
        <v>204</v>
      </c>
      <c r="O149" s="143" t="s">
        <v>339</v>
      </c>
      <c r="P149" s="162">
        <v>45215</v>
      </c>
      <c r="Q149" s="143" t="s">
        <v>1211</v>
      </c>
      <c r="R149" s="143" t="s">
        <v>885</v>
      </c>
      <c r="S149" s="143" t="s">
        <v>889</v>
      </c>
      <c r="T149" s="163">
        <v>45442</v>
      </c>
      <c r="U149" s="143" t="s">
        <v>1212</v>
      </c>
      <c r="V149" s="144">
        <v>656.52271880819364</v>
      </c>
      <c r="W149" s="144">
        <v>2467.8688999999999</v>
      </c>
      <c r="X149" s="146">
        <v>6.4935000000000004E-4</v>
      </c>
      <c r="Y149" s="146">
        <v>1.8104012869828779E-3</v>
      </c>
      <c r="Z149" s="147">
        <v>3.2878455292153092E-4</v>
      </c>
      <c r="AA149" s="181"/>
    </row>
    <row r="150" spans="1:27" ht="15" x14ac:dyDescent="0.2">
      <c r="A150" s="142" t="s">
        <v>1218</v>
      </c>
      <c r="B150" s="143" t="s">
        <v>1218</v>
      </c>
      <c r="C150" s="143" t="s">
        <v>3242</v>
      </c>
      <c r="D150" s="145" t="s">
        <v>3853</v>
      </c>
      <c r="E150" s="145" t="s">
        <v>3853</v>
      </c>
      <c r="F150" s="143" t="s">
        <v>3243</v>
      </c>
      <c r="G150" s="143" t="s">
        <v>3244</v>
      </c>
      <c r="H150" s="143" t="s">
        <v>312</v>
      </c>
      <c r="I150" s="143" t="s">
        <v>1000</v>
      </c>
      <c r="J150" s="145" t="s">
        <v>3853</v>
      </c>
      <c r="K150" s="143" t="s">
        <v>204</v>
      </c>
      <c r="L150" s="145" t="s">
        <v>3853</v>
      </c>
      <c r="M150" s="145" t="s">
        <v>3853</v>
      </c>
      <c r="N150" s="143" t="s">
        <v>224</v>
      </c>
      <c r="O150" s="143" t="s">
        <v>339</v>
      </c>
      <c r="P150" s="162">
        <v>45316</v>
      </c>
      <c r="Q150" s="143" t="s">
        <v>1211</v>
      </c>
      <c r="R150" s="143" t="s">
        <v>885</v>
      </c>
      <c r="S150" s="143" t="s">
        <v>889</v>
      </c>
      <c r="T150" s="163">
        <v>45400</v>
      </c>
      <c r="U150" s="143" t="s">
        <v>1212</v>
      </c>
      <c r="V150" s="144">
        <v>462.13942537909026</v>
      </c>
      <c r="W150" s="144">
        <v>1737.1821</v>
      </c>
      <c r="X150" s="146">
        <v>1.4430000000000001E-3</v>
      </c>
      <c r="Y150" s="146">
        <v>1.2743775738809841E-3</v>
      </c>
      <c r="Z150" s="147">
        <v>2.3143800432221372E-4</v>
      </c>
      <c r="AA150" s="181"/>
    </row>
    <row r="151" spans="1:27" ht="15" x14ac:dyDescent="0.2">
      <c r="A151" s="142" t="s">
        <v>1218</v>
      </c>
      <c r="B151" s="143" t="s">
        <v>1218</v>
      </c>
      <c r="C151" s="143" t="s">
        <v>3245</v>
      </c>
      <c r="D151" s="145" t="s">
        <v>3853</v>
      </c>
      <c r="E151" s="145" t="s">
        <v>3853</v>
      </c>
      <c r="F151" s="143" t="s">
        <v>3246</v>
      </c>
      <c r="G151" s="143" t="s">
        <v>3247</v>
      </c>
      <c r="H151" s="143" t="s">
        <v>312</v>
      </c>
      <c r="I151" s="143" t="s">
        <v>1000</v>
      </c>
      <c r="J151" s="145" t="s">
        <v>3853</v>
      </c>
      <c r="K151" s="143" t="s">
        <v>205</v>
      </c>
      <c r="L151" s="145" t="s">
        <v>3853</v>
      </c>
      <c r="M151" s="145" t="s">
        <v>3853</v>
      </c>
      <c r="N151" s="143" t="s">
        <v>224</v>
      </c>
      <c r="O151" s="143" t="s">
        <v>339</v>
      </c>
      <c r="P151" s="162">
        <v>45250</v>
      </c>
      <c r="Q151" s="143" t="s">
        <v>1211</v>
      </c>
      <c r="R151" s="143" t="s">
        <v>885</v>
      </c>
      <c r="S151" s="143" t="s">
        <v>889</v>
      </c>
      <c r="T151" s="163">
        <v>45432</v>
      </c>
      <c r="U151" s="143" t="s">
        <v>1212</v>
      </c>
      <c r="V151" s="144">
        <v>6478.5285182229318</v>
      </c>
      <c r="W151" s="144">
        <v>24352.788700000001</v>
      </c>
      <c r="X151" s="146">
        <v>1.6821550013988379E-3</v>
      </c>
      <c r="Y151" s="146">
        <v>1.7864936000471482E-2</v>
      </c>
      <c r="Z151" s="147">
        <v>3.2444270991850714E-3</v>
      </c>
      <c r="AA151" s="181"/>
    </row>
    <row r="152" spans="1:27" ht="15" x14ac:dyDescent="0.2">
      <c r="A152" s="142" t="s">
        <v>1218</v>
      </c>
      <c r="B152" s="143" t="s">
        <v>1218</v>
      </c>
      <c r="C152" s="143" t="s">
        <v>3248</v>
      </c>
      <c r="D152" s="145" t="s">
        <v>3853</v>
      </c>
      <c r="E152" s="145" t="s">
        <v>3853</v>
      </c>
      <c r="F152" s="143" t="s">
        <v>3249</v>
      </c>
      <c r="G152" s="143" t="s">
        <v>3250</v>
      </c>
      <c r="H152" s="143" t="s">
        <v>312</v>
      </c>
      <c r="I152" s="143" t="s">
        <v>1000</v>
      </c>
      <c r="J152" s="145" t="s">
        <v>3853</v>
      </c>
      <c r="K152" s="143" t="s">
        <v>205</v>
      </c>
      <c r="L152" s="145" t="s">
        <v>3853</v>
      </c>
      <c r="M152" s="145" t="s">
        <v>3853</v>
      </c>
      <c r="N152" s="143" t="s">
        <v>291</v>
      </c>
      <c r="O152" s="143" t="s">
        <v>339</v>
      </c>
      <c r="P152" s="162">
        <v>44993</v>
      </c>
      <c r="Q152" s="143" t="s">
        <v>1211</v>
      </c>
      <c r="R152" s="143" t="s">
        <v>885</v>
      </c>
      <c r="S152" s="143" t="s">
        <v>889</v>
      </c>
      <c r="T152" s="163">
        <v>45428</v>
      </c>
      <c r="U152" s="143" t="s">
        <v>1212</v>
      </c>
      <c r="V152" s="144">
        <v>5933.9989624900245</v>
      </c>
      <c r="W152" s="144">
        <v>22305.902100000003</v>
      </c>
      <c r="X152" s="145" t="s">
        <v>3853</v>
      </c>
      <c r="Y152" s="146">
        <v>1.6363362668014036E-2</v>
      </c>
      <c r="Z152" s="147">
        <v>2.971728377448257E-3</v>
      </c>
      <c r="AA152" s="181"/>
    </row>
    <row r="153" spans="1:27" ht="15" x14ac:dyDescent="0.2">
      <c r="A153" s="142" t="s">
        <v>1218</v>
      </c>
      <c r="B153" s="143" t="s">
        <v>1218</v>
      </c>
      <c r="C153" s="143" t="s">
        <v>3251</v>
      </c>
      <c r="D153" s="145" t="s">
        <v>3853</v>
      </c>
      <c r="E153" s="145" t="s">
        <v>3853</v>
      </c>
      <c r="F153" s="143" t="s">
        <v>3252</v>
      </c>
      <c r="G153" s="143" t="s">
        <v>3253</v>
      </c>
      <c r="H153" s="143" t="s">
        <v>312</v>
      </c>
      <c r="I153" s="143" t="s">
        <v>1000</v>
      </c>
      <c r="J153" s="145" t="s">
        <v>3853</v>
      </c>
      <c r="K153" s="143" t="s">
        <v>205</v>
      </c>
      <c r="L153" s="145" t="s">
        <v>3853</v>
      </c>
      <c r="M153" s="145" t="s">
        <v>3853</v>
      </c>
      <c r="N153" s="143" t="s">
        <v>224</v>
      </c>
      <c r="O153" s="143" t="s">
        <v>339</v>
      </c>
      <c r="P153" s="162">
        <v>45362</v>
      </c>
      <c r="Q153" s="143" t="s">
        <v>1211</v>
      </c>
      <c r="R153" s="143" t="s">
        <v>885</v>
      </c>
      <c r="S153" s="143" t="s">
        <v>889</v>
      </c>
      <c r="T153" s="163">
        <v>45461</v>
      </c>
      <c r="U153" s="143" t="s">
        <v>1212</v>
      </c>
      <c r="V153" s="144">
        <v>5574.2036445863268</v>
      </c>
      <c r="W153" s="144">
        <v>20953.431499999999</v>
      </c>
      <c r="X153" s="146">
        <v>6.8979942857142862E-4</v>
      </c>
      <c r="Y153" s="146">
        <v>1.537120522310864E-2</v>
      </c>
      <c r="Z153" s="147">
        <v>2.7915439927505268E-3</v>
      </c>
      <c r="AA153" s="181"/>
    </row>
    <row r="154" spans="1:27" ht="15" x14ac:dyDescent="0.2">
      <c r="A154" s="142" t="s">
        <v>1218</v>
      </c>
      <c r="B154" s="143" t="s">
        <v>1218</v>
      </c>
      <c r="C154" s="143" t="s">
        <v>3254</v>
      </c>
      <c r="D154" s="145" t="s">
        <v>3853</v>
      </c>
      <c r="E154" s="145" t="s">
        <v>3853</v>
      </c>
      <c r="F154" s="143" t="s">
        <v>3255</v>
      </c>
      <c r="G154" s="143" t="s">
        <v>3256</v>
      </c>
      <c r="H154" s="143" t="s">
        <v>312</v>
      </c>
      <c r="I154" s="143" t="s">
        <v>1000</v>
      </c>
      <c r="J154" s="145" t="s">
        <v>3853</v>
      </c>
      <c r="K154" s="143" t="s">
        <v>205</v>
      </c>
      <c r="L154" s="145" t="s">
        <v>3853</v>
      </c>
      <c r="M154" s="145" t="s">
        <v>3853</v>
      </c>
      <c r="N154" s="143" t="s">
        <v>224</v>
      </c>
      <c r="O154" s="143" t="s">
        <v>339</v>
      </c>
      <c r="P154" s="162">
        <v>45320</v>
      </c>
      <c r="Q154" s="143" t="s">
        <v>1211</v>
      </c>
      <c r="R154" s="143" t="s">
        <v>885</v>
      </c>
      <c r="S154" s="143" t="s">
        <v>889</v>
      </c>
      <c r="T154" s="163">
        <v>45473</v>
      </c>
      <c r="U154" s="143" t="s">
        <v>1212</v>
      </c>
      <c r="V154" s="144">
        <v>5452.1844639531782</v>
      </c>
      <c r="W154" s="144">
        <v>20494.761399999999</v>
      </c>
      <c r="X154" s="146">
        <v>3.2154613333333333E-3</v>
      </c>
      <c r="Y154" s="146">
        <v>1.5034729913894347E-2</v>
      </c>
      <c r="Z154" s="147">
        <v>2.7304371625109605E-3</v>
      </c>
      <c r="AA154" s="181"/>
    </row>
    <row r="155" spans="1:27" ht="15" x14ac:dyDescent="0.2">
      <c r="A155" s="142" t="s">
        <v>1218</v>
      </c>
      <c r="B155" s="143" t="s">
        <v>1218</v>
      </c>
      <c r="C155" s="143" t="s">
        <v>3257</v>
      </c>
      <c r="D155" s="145" t="s">
        <v>3853</v>
      </c>
      <c r="E155" s="145" t="s">
        <v>3853</v>
      </c>
      <c r="F155" s="143" t="s">
        <v>3258</v>
      </c>
      <c r="G155" s="143" t="s">
        <v>3259</v>
      </c>
      <c r="H155" s="143" t="s">
        <v>312</v>
      </c>
      <c r="I155" s="143" t="s">
        <v>1000</v>
      </c>
      <c r="J155" s="145" t="s">
        <v>3853</v>
      </c>
      <c r="K155" s="143" t="s">
        <v>205</v>
      </c>
      <c r="L155" s="145" t="s">
        <v>3853</v>
      </c>
      <c r="M155" s="145" t="s">
        <v>3853</v>
      </c>
      <c r="N155" s="143" t="s">
        <v>291</v>
      </c>
      <c r="O155" s="143" t="s">
        <v>339</v>
      </c>
      <c r="P155" s="162">
        <v>44706</v>
      </c>
      <c r="Q155" s="143" t="s">
        <v>1211</v>
      </c>
      <c r="R155" s="143" t="s">
        <v>885</v>
      </c>
      <c r="S155" s="143" t="s">
        <v>889</v>
      </c>
      <c r="T155" s="163">
        <v>45428</v>
      </c>
      <c r="U155" s="143" t="s">
        <v>1212</v>
      </c>
      <c r="V155" s="144">
        <v>4582.8170258047348</v>
      </c>
      <c r="W155" s="144">
        <v>17226.8092</v>
      </c>
      <c r="X155" s="146">
        <v>4.0309781333333335E-4</v>
      </c>
      <c r="Y155" s="146">
        <v>1.263739636844813E-2</v>
      </c>
      <c r="Z155" s="147">
        <v>2.2950606282526871E-3</v>
      </c>
      <c r="AA155" s="181"/>
    </row>
    <row r="156" spans="1:27" ht="15" x14ac:dyDescent="0.2">
      <c r="A156" s="142" t="s">
        <v>1218</v>
      </c>
      <c r="B156" s="143" t="s">
        <v>1218</v>
      </c>
      <c r="C156" s="143" t="s">
        <v>3260</v>
      </c>
      <c r="D156" s="145" t="s">
        <v>3853</v>
      </c>
      <c r="E156" s="145" t="s">
        <v>3853</v>
      </c>
      <c r="F156" s="143" t="s">
        <v>3261</v>
      </c>
      <c r="G156" s="143" t="s">
        <v>3262</v>
      </c>
      <c r="H156" s="143" t="s">
        <v>312</v>
      </c>
      <c r="I156" s="143" t="s">
        <v>1000</v>
      </c>
      <c r="J156" s="145" t="s">
        <v>3853</v>
      </c>
      <c r="K156" s="143" t="s">
        <v>205</v>
      </c>
      <c r="L156" s="145" t="s">
        <v>3853</v>
      </c>
      <c r="M156" s="145" t="s">
        <v>3853</v>
      </c>
      <c r="N156" s="143" t="s">
        <v>224</v>
      </c>
      <c r="O156" s="143" t="s">
        <v>339</v>
      </c>
      <c r="P156" s="162">
        <v>45294</v>
      </c>
      <c r="Q156" s="143" t="s">
        <v>1211</v>
      </c>
      <c r="R156" s="143" t="s">
        <v>885</v>
      </c>
      <c r="S156" s="143" t="s">
        <v>889</v>
      </c>
      <c r="T156" s="163">
        <v>45461</v>
      </c>
      <c r="U156" s="143" t="s">
        <v>1212</v>
      </c>
      <c r="V156" s="144">
        <v>4405.6782920989626</v>
      </c>
      <c r="W156" s="144">
        <v>16560.9447</v>
      </c>
      <c r="X156" s="145" t="s">
        <v>3853</v>
      </c>
      <c r="Y156" s="146">
        <v>1.2148925546028854E-2</v>
      </c>
      <c r="Z156" s="147">
        <v>2.2063500964390552E-3</v>
      </c>
      <c r="AA156" s="181"/>
    </row>
    <row r="157" spans="1:27" ht="15" x14ac:dyDescent="0.2">
      <c r="A157" s="142" t="s">
        <v>1218</v>
      </c>
      <c r="B157" s="143" t="s">
        <v>1218</v>
      </c>
      <c r="C157" s="143" t="s">
        <v>3263</v>
      </c>
      <c r="D157" s="145" t="s">
        <v>3853</v>
      </c>
      <c r="E157" s="145" t="s">
        <v>3853</v>
      </c>
      <c r="F157" s="143" t="s">
        <v>3264</v>
      </c>
      <c r="G157" s="143" t="s">
        <v>3265</v>
      </c>
      <c r="H157" s="143" t="s">
        <v>312</v>
      </c>
      <c r="I157" s="143" t="s">
        <v>1000</v>
      </c>
      <c r="J157" s="145" t="s">
        <v>3853</v>
      </c>
      <c r="K157" s="143" t="s">
        <v>205</v>
      </c>
      <c r="L157" s="145" t="s">
        <v>3853</v>
      </c>
      <c r="M157" s="145" t="s">
        <v>3853</v>
      </c>
      <c r="N157" s="143" t="s">
        <v>2975</v>
      </c>
      <c r="O157" s="143" t="s">
        <v>339</v>
      </c>
      <c r="P157" s="162">
        <v>45378</v>
      </c>
      <c r="Q157" s="143" t="s">
        <v>1214</v>
      </c>
      <c r="R157" s="143" t="s">
        <v>885</v>
      </c>
      <c r="S157" s="143" t="s">
        <v>889</v>
      </c>
      <c r="T157" s="163">
        <v>45434</v>
      </c>
      <c r="U157" s="143" t="s">
        <v>1215</v>
      </c>
      <c r="V157" s="144">
        <v>3961.0032336699664</v>
      </c>
      <c r="W157" s="144">
        <v>15924.0252</v>
      </c>
      <c r="X157" s="146">
        <v>6.3171124727272722E-4</v>
      </c>
      <c r="Y157" s="146">
        <v>1.168168848539769E-2</v>
      </c>
      <c r="Z157" s="147">
        <v>2.1214957996637789E-3</v>
      </c>
      <c r="AA157" s="181"/>
    </row>
    <row r="158" spans="1:27" ht="15" x14ac:dyDescent="0.2">
      <c r="A158" s="142" t="s">
        <v>1218</v>
      </c>
      <c r="B158" s="143" t="s">
        <v>1218</v>
      </c>
      <c r="C158" s="143" t="s">
        <v>3266</v>
      </c>
      <c r="D158" s="145" t="s">
        <v>3853</v>
      </c>
      <c r="E158" s="145" t="s">
        <v>3853</v>
      </c>
      <c r="F158" s="143" t="s">
        <v>3267</v>
      </c>
      <c r="G158" s="143" t="s">
        <v>3268</v>
      </c>
      <c r="H158" s="143" t="s">
        <v>312</v>
      </c>
      <c r="I158" s="143" t="s">
        <v>1000</v>
      </c>
      <c r="J158" s="145" t="s">
        <v>3853</v>
      </c>
      <c r="K158" s="143" t="s">
        <v>205</v>
      </c>
      <c r="L158" s="145" t="s">
        <v>3853</v>
      </c>
      <c r="M158" s="145" t="s">
        <v>3853</v>
      </c>
      <c r="N158" s="143" t="s">
        <v>291</v>
      </c>
      <c r="O158" s="143" t="s">
        <v>339</v>
      </c>
      <c r="P158" s="162">
        <v>43718</v>
      </c>
      <c r="Q158" s="143" t="s">
        <v>1211</v>
      </c>
      <c r="R158" s="143" t="s">
        <v>885</v>
      </c>
      <c r="S158" s="143" t="s">
        <v>889</v>
      </c>
      <c r="T158" s="163">
        <v>45442</v>
      </c>
      <c r="U158" s="143" t="s">
        <v>1212</v>
      </c>
      <c r="V158" s="144">
        <v>4074.8892258579408</v>
      </c>
      <c r="W158" s="144">
        <v>15317.508599999999</v>
      </c>
      <c r="X158" s="145" t="s">
        <v>3853</v>
      </c>
      <c r="Y158" s="146">
        <v>1.1236754610631958E-2</v>
      </c>
      <c r="Z158" s="147">
        <v>2.0406919546011792E-3</v>
      </c>
      <c r="AA158" s="181"/>
    </row>
    <row r="159" spans="1:27" ht="15" x14ac:dyDescent="0.2">
      <c r="A159" s="142" t="s">
        <v>1218</v>
      </c>
      <c r="B159" s="143" t="s">
        <v>1218</v>
      </c>
      <c r="C159" s="143" t="s">
        <v>3274</v>
      </c>
      <c r="D159" s="145" t="s">
        <v>3853</v>
      </c>
      <c r="E159" s="145" t="s">
        <v>3853</v>
      </c>
      <c r="F159" s="143" t="s">
        <v>3275</v>
      </c>
      <c r="G159" s="143" t="s">
        <v>3276</v>
      </c>
      <c r="H159" s="143" t="s">
        <v>312</v>
      </c>
      <c r="I159" s="143" t="s">
        <v>1000</v>
      </c>
      <c r="J159" s="145" t="s">
        <v>3853</v>
      </c>
      <c r="K159" s="143" t="s">
        <v>205</v>
      </c>
      <c r="L159" s="145" t="s">
        <v>3853</v>
      </c>
      <c r="M159" s="145" t="s">
        <v>3853</v>
      </c>
      <c r="N159" s="143" t="s">
        <v>291</v>
      </c>
      <c r="O159" s="143" t="s">
        <v>339</v>
      </c>
      <c r="P159" s="162">
        <v>44524</v>
      </c>
      <c r="Q159" s="143" t="s">
        <v>1211</v>
      </c>
      <c r="R159" s="143" t="s">
        <v>885</v>
      </c>
      <c r="S159" s="143" t="s">
        <v>889</v>
      </c>
      <c r="T159" s="163">
        <v>45442</v>
      </c>
      <c r="U159" s="143" t="s">
        <v>1212</v>
      </c>
      <c r="V159" s="144">
        <v>3866.5333067305137</v>
      </c>
      <c r="W159" s="144">
        <v>14534.298699999999</v>
      </c>
      <c r="X159" s="146">
        <v>1.6230604187230505E-2</v>
      </c>
      <c r="Y159" s="146">
        <v>1.0662200518860042E-2</v>
      </c>
      <c r="Z159" s="147">
        <v>1.9363479555382509E-3</v>
      </c>
      <c r="AA159" s="181"/>
    </row>
    <row r="160" spans="1:27" ht="15" x14ac:dyDescent="0.2">
      <c r="A160" s="142" t="s">
        <v>1218</v>
      </c>
      <c r="B160" s="143" t="s">
        <v>1218</v>
      </c>
      <c r="C160" s="143" t="s">
        <v>3254</v>
      </c>
      <c r="D160" s="145" t="s">
        <v>3853</v>
      </c>
      <c r="E160" s="145" t="s">
        <v>3853</v>
      </c>
      <c r="F160" s="143" t="s">
        <v>3277</v>
      </c>
      <c r="G160" s="143" t="s">
        <v>3278</v>
      </c>
      <c r="H160" s="143" t="s">
        <v>312</v>
      </c>
      <c r="I160" s="143" t="s">
        <v>1000</v>
      </c>
      <c r="J160" s="145" t="s">
        <v>3853</v>
      </c>
      <c r="K160" s="143" t="s">
        <v>205</v>
      </c>
      <c r="L160" s="145" t="s">
        <v>3853</v>
      </c>
      <c r="M160" s="145" t="s">
        <v>3853</v>
      </c>
      <c r="N160" s="143" t="s">
        <v>224</v>
      </c>
      <c r="O160" s="143" t="s">
        <v>339</v>
      </c>
      <c r="P160" s="162">
        <v>45298</v>
      </c>
      <c r="Q160" s="143" t="s">
        <v>1211</v>
      </c>
      <c r="R160" s="143" t="s">
        <v>885</v>
      </c>
      <c r="S160" s="143" t="s">
        <v>889</v>
      </c>
      <c r="T160" s="163">
        <v>45470</v>
      </c>
      <c r="U160" s="143" t="s">
        <v>1212</v>
      </c>
      <c r="V160" s="144">
        <v>3775.7360468209631</v>
      </c>
      <c r="W160" s="144">
        <v>14192.991800000002</v>
      </c>
      <c r="X160" s="146">
        <v>2.1615770764331211E-3</v>
      </c>
      <c r="Y160" s="146">
        <v>1.0411821562871505E-2</v>
      </c>
      <c r="Z160" s="147">
        <v>1.8908769686926535E-3</v>
      </c>
      <c r="AA160" s="181"/>
    </row>
    <row r="161" spans="1:27" ht="15" x14ac:dyDescent="0.2">
      <c r="A161" s="142" t="s">
        <v>1218</v>
      </c>
      <c r="B161" s="143" t="s">
        <v>1218</v>
      </c>
      <c r="C161" s="143" t="s">
        <v>3279</v>
      </c>
      <c r="D161" s="145" t="s">
        <v>3853</v>
      </c>
      <c r="E161" s="145" t="s">
        <v>3853</v>
      </c>
      <c r="F161" s="143" t="s">
        <v>3280</v>
      </c>
      <c r="G161" s="143" t="s">
        <v>3281</v>
      </c>
      <c r="H161" s="143" t="s">
        <v>312</v>
      </c>
      <c r="I161" s="143" t="s">
        <v>1000</v>
      </c>
      <c r="J161" s="145" t="s">
        <v>3853</v>
      </c>
      <c r="K161" s="143" t="s">
        <v>205</v>
      </c>
      <c r="L161" s="145" t="s">
        <v>3853</v>
      </c>
      <c r="M161" s="145" t="s">
        <v>3853</v>
      </c>
      <c r="N161" s="143" t="s">
        <v>293</v>
      </c>
      <c r="O161" s="143" t="s">
        <v>339</v>
      </c>
      <c r="P161" s="162">
        <v>45217</v>
      </c>
      <c r="Q161" s="143" t="s">
        <v>1214</v>
      </c>
      <c r="R161" s="143" t="s">
        <v>885</v>
      </c>
      <c r="S161" s="143" t="s">
        <v>889</v>
      </c>
      <c r="T161" s="163">
        <v>45469</v>
      </c>
      <c r="U161" s="143" t="s">
        <v>1215</v>
      </c>
      <c r="V161" s="144">
        <v>3086.6256405153972</v>
      </c>
      <c r="W161" s="144">
        <v>12408.8524</v>
      </c>
      <c r="X161" s="146">
        <v>1.4439205449999999E-4</v>
      </c>
      <c r="Y161" s="146">
        <v>9.1029966156684124E-3</v>
      </c>
      <c r="Z161" s="147">
        <v>1.6531830230393854E-3</v>
      </c>
      <c r="AA161" s="181"/>
    </row>
    <row r="162" spans="1:27" ht="15" x14ac:dyDescent="0.2">
      <c r="A162" s="142" t="s">
        <v>1218</v>
      </c>
      <c r="B162" s="143" t="s">
        <v>1218</v>
      </c>
      <c r="C162" s="143" t="s">
        <v>3269</v>
      </c>
      <c r="D162" s="145" t="s">
        <v>3853</v>
      </c>
      <c r="E162" s="145" t="s">
        <v>3853</v>
      </c>
      <c r="F162" s="143" t="s">
        <v>3270</v>
      </c>
      <c r="G162" s="143" t="s">
        <v>3271</v>
      </c>
      <c r="H162" s="143" t="s">
        <v>312</v>
      </c>
      <c r="I162" s="143" t="s">
        <v>1000</v>
      </c>
      <c r="J162" s="145" t="s">
        <v>3853</v>
      </c>
      <c r="K162" s="143" t="s">
        <v>205</v>
      </c>
      <c r="L162" s="145" t="s">
        <v>3853</v>
      </c>
      <c r="M162" s="145" t="s">
        <v>3853</v>
      </c>
      <c r="N162" s="143" t="s">
        <v>224</v>
      </c>
      <c r="O162" s="143" t="s">
        <v>339</v>
      </c>
      <c r="P162" s="162">
        <v>44754</v>
      </c>
      <c r="Q162" s="143" t="s">
        <v>1211</v>
      </c>
      <c r="R162" s="143" t="s">
        <v>885</v>
      </c>
      <c r="S162" s="143" t="s">
        <v>889</v>
      </c>
      <c r="T162" s="163">
        <v>45431</v>
      </c>
      <c r="U162" s="143" t="s">
        <v>1212</v>
      </c>
      <c r="V162" s="144">
        <v>3254.3321096036184</v>
      </c>
      <c r="W162" s="144">
        <v>12233.0344</v>
      </c>
      <c r="X162" s="145" t="s">
        <v>3853</v>
      </c>
      <c r="Y162" s="146">
        <v>8.9740185157372743E-3</v>
      </c>
      <c r="Z162" s="147">
        <v>1.6297594830610199E-3</v>
      </c>
      <c r="AA162" s="181"/>
    </row>
    <row r="163" spans="1:27" ht="15" x14ac:dyDescent="0.2">
      <c r="A163" s="142" t="s">
        <v>1218</v>
      </c>
      <c r="B163" s="143" t="s">
        <v>1218</v>
      </c>
      <c r="C163" s="143" t="s">
        <v>3282</v>
      </c>
      <c r="D163" s="145" t="s">
        <v>3853</v>
      </c>
      <c r="E163" s="145" t="s">
        <v>3853</v>
      </c>
      <c r="F163" s="143" t="s">
        <v>3283</v>
      </c>
      <c r="G163" s="143" t="s">
        <v>3284</v>
      </c>
      <c r="H163" s="143" t="s">
        <v>312</v>
      </c>
      <c r="I163" s="143" t="s">
        <v>1000</v>
      </c>
      <c r="J163" s="145" t="s">
        <v>3853</v>
      </c>
      <c r="K163" s="143" t="s">
        <v>205</v>
      </c>
      <c r="L163" s="145" t="s">
        <v>3853</v>
      </c>
      <c r="M163" s="145" t="s">
        <v>3853</v>
      </c>
      <c r="N163" s="143" t="s">
        <v>296</v>
      </c>
      <c r="O163" s="143" t="s">
        <v>339</v>
      </c>
      <c r="P163" s="162">
        <v>45350</v>
      </c>
      <c r="Q163" s="143" t="s">
        <v>1211</v>
      </c>
      <c r="R163" s="143" t="s">
        <v>885</v>
      </c>
      <c r="S163" s="143" t="s">
        <v>889</v>
      </c>
      <c r="T163" s="163">
        <v>45412</v>
      </c>
      <c r="U163" s="143" t="s">
        <v>1212</v>
      </c>
      <c r="V163" s="144">
        <v>3250.3308326682632</v>
      </c>
      <c r="W163" s="144">
        <v>12217.9936</v>
      </c>
      <c r="X163" s="146">
        <v>1.9140726733333333E-3</v>
      </c>
      <c r="Y163" s="146">
        <v>8.9629847346705573E-3</v>
      </c>
      <c r="Z163" s="147">
        <v>1.6277556528598715E-3</v>
      </c>
      <c r="AA163" s="181"/>
    </row>
    <row r="164" spans="1:27" ht="15" x14ac:dyDescent="0.2">
      <c r="A164" s="142" t="s">
        <v>1218</v>
      </c>
      <c r="B164" s="143" t="s">
        <v>1218</v>
      </c>
      <c r="C164" s="143" t="s">
        <v>3254</v>
      </c>
      <c r="D164" s="145" t="s">
        <v>3853</v>
      </c>
      <c r="E164" s="145" t="s">
        <v>3853</v>
      </c>
      <c r="F164" s="143" t="s">
        <v>3272</v>
      </c>
      <c r="G164" s="143" t="s">
        <v>3273</v>
      </c>
      <c r="H164" s="143" t="s">
        <v>312</v>
      </c>
      <c r="I164" s="143" t="s">
        <v>1000</v>
      </c>
      <c r="J164" s="145" t="s">
        <v>3853</v>
      </c>
      <c r="K164" s="143" t="s">
        <v>205</v>
      </c>
      <c r="L164" s="145" t="s">
        <v>3853</v>
      </c>
      <c r="M164" s="145" t="s">
        <v>3853</v>
      </c>
      <c r="N164" s="143" t="s">
        <v>224</v>
      </c>
      <c r="O164" s="143" t="s">
        <v>339</v>
      </c>
      <c r="P164" s="162">
        <v>45316</v>
      </c>
      <c r="Q164" s="143" t="s">
        <v>1211</v>
      </c>
      <c r="R164" s="143" t="s">
        <v>885</v>
      </c>
      <c r="S164" s="143" t="s">
        <v>889</v>
      </c>
      <c r="T164" s="163">
        <v>45449</v>
      </c>
      <c r="U164" s="143" t="s">
        <v>1212</v>
      </c>
      <c r="V164" s="144">
        <v>3222.8876030859274</v>
      </c>
      <c r="W164" s="144">
        <v>12114.834500000001</v>
      </c>
      <c r="X164" s="146">
        <v>3.1006831578947367E-3</v>
      </c>
      <c r="Y164" s="146">
        <v>8.8873083394933414E-3</v>
      </c>
      <c r="Z164" s="147">
        <v>1.6140121640908593E-3</v>
      </c>
      <c r="AA164" s="181"/>
    </row>
    <row r="165" spans="1:27" ht="15" x14ac:dyDescent="0.2">
      <c r="A165" s="142" t="s">
        <v>1218</v>
      </c>
      <c r="B165" s="143" t="s">
        <v>1218</v>
      </c>
      <c r="C165" s="143" t="s">
        <v>3285</v>
      </c>
      <c r="D165" s="145" t="s">
        <v>3853</v>
      </c>
      <c r="E165" s="145" t="s">
        <v>3853</v>
      </c>
      <c r="F165" s="143" t="s">
        <v>3286</v>
      </c>
      <c r="G165" s="143" t="s">
        <v>3287</v>
      </c>
      <c r="H165" s="143" t="s">
        <v>312</v>
      </c>
      <c r="I165" s="143" t="s">
        <v>1000</v>
      </c>
      <c r="J165" s="145" t="s">
        <v>3853</v>
      </c>
      <c r="K165" s="143" t="s">
        <v>205</v>
      </c>
      <c r="L165" s="145" t="s">
        <v>3853</v>
      </c>
      <c r="M165" s="145" t="s">
        <v>3853</v>
      </c>
      <c r="N165" s="143" t="s">
        <v>291</v>
      </c>
      <c r="O165" s="143" t="s">
        <v>339</v>
      </c>
      <c r="P165" s="162">
        <v>45251</v>
      </c>
      <c r="Q165" s="143" t="s">
        <v>1211</v>
      </c>
      <c r="R165" s="143" t="s">
        <v>885</v>
      </c>
      <c r="S165" s="143" t="s">
        <v>889</v>
      </c>
      <c r="T165" s="163">
        <v>45470</v>
      </c>
      <c r="U165" s="143" t="s">
        <v>1212</v>
      </c>
      <c r="V165" s="144">
        <v>3191.776030859271</v>
      </c>
      <c r="W165" s="144">
        <v>11997.8861</v>
      </c>
      <c r="X165" s="146">
        <v>1.7478246666666666E-3</v>
      </c>
      <c r="Y165" s="146">
        <v>8.8015163222425492E-3</v>
      </c>
      <c r="Z165" s="147">
        <v>1.598431590745683E-3</v>
      </c>
      <c r="AA165" s="181"/>
    </row>
    <row r="166" spans="1:27" ht="15" x14ac:dyDescent="0.2">
      <c r="A166" s="142" t="s">
        <v>1218</v>
      </c>
      <c r="B166" s="143" t="s">
        <v>1218</v>
      </c>
      <c r="C166" s="143" t="s">
        <v>3288</v>
      </c>
      <c r="D166" s="145" t="s">
        <v>3853</v>
      </c>
      <c r="E166" s="145" t="s">
        <v>3853</v>
      </c>
      <c r="F166" s="143" t="s">
        <v>3289</v>
      </c>
      <c r="G166" s="143" t="s">
        <v>3290</v>
      </c>
      <c r="H166" s="143" t="s">
        <v>312</v>
      </c>
      <c r="I166" s="143" t="s">
        <v>1000</v>
      </c>
      <c r="J166" s="145" t="s">
        <v>3853</v>
      </c>
      <c r="K166" s="143" t="s">
        <v>205</v>
      </c>
      <c r="L166" s="145" t="s">
        <v>3853</v>
      </c>
      <c r="M166" s="145" t="s">
        <v>3853</v>
      </c>
      <c r="N166" s="143" t="s">
        <v>293</v>
      </c>
      <c r="O166" s="143" t="s">
        <v>339</v>
      </c>
      <c r="P166" s="162">
        <v>45279</v>
      </c>
      <c r="Q166" s="143" t="s">
        <v>1211</v>
      </c>
      <c r="R166" s="143" t="s">
        <v>885</v>
      </c>
      <c r="S166" s="143" t="s">
        <v>889</v>
      </c>
      <c r="T166" s="163">
        <v>45442</v>
      </c>
      <c r="U166" s="143" t="s">
        <v>1212</v>
      </c>
      <c r="V166" s="144">
        <v>3137.0534982708168</v>
      </c>
      <c r="W166" s="144">
        <v>11792.1841</v>
      </c>
      <c r="X166" s="146">
        <v>2.3388261700000001E-4</v>
      </c>
      <c r="Y166" s="146">
        <v>8.6506156388867095E-3</v>
      </c>
      <c r="Z166" s="147">
        <v>1.5710267197541323E-3</v>
      </c>
      <c r="AA166" s="181"/>
    </row>
    <row r="167" spans="1:27" ht="15" x14ac:dyDescent="0.2">
      <c r="A167" s="142" t="s">
        <v>1218</v>
      </c>
      <c r="B167" s="143" t="s">
        <v>1218</v>
      </c>
      <c r="C167" s="143" t="s">
        <v>3291</v>
      </c>
      <c r="D167" s="145" t="s">
        <v>3853</v>
      </c>
      <c r="E167" s="145" t="s">
        <v>3853</v>
      </c>
      <c r="F167" s="143" t="s">
        <v>3292</v>
      </c>
      <c r="G167" s="143" t="s">
        <v>3293</v>
      </c>
      <c r="H167" s="143" t="s">
        <v>312</v>
      </c>
      <c r="I167" s="143" t="s">
        <v>1000</v>
      </c>
      <c r="J167" s="145" t="s">
        <v>3853</v>
      </c>
      <c r="K167" s="143" t="s">
        <v>205</v>
      </c>
      <c r="L167" s="145" t="s">
        <v>3853</v>
      </c>
      <c r="M167" s="145" t="s">
        <v>3853</v>
      </c>
      <c r="N167" s="143" t="s">
        <v>204</v>
      </c>
      <c r="O167" s="143" t="s">
        <v>339</v>
      </c>
      <c r="P167" s="162">
        <v>45316</v>
      </c>
      <c r="Q167" s="143" t="s">
        <v>1211</v>
      </c>
      <c r="R167" s="143" t="s">
        <v>885</v>
      </c>
      <c r="S167" s="143" t="s">
        <v>889</v>
      </c>
      <c r="T167" s="163">
        <v>45442</v>
      </c>
      <c r="U167" s="143" t="s">
        <v>1212</v>
      </c>
      <c r="V167" s="144">
        <v>3105.7757382282521</v>
      </c>
      <c r="W167" s="144">
        <v>11674.611000000001</v>
      </c>
      <c r="X167" s="146">
        <v>4.8410199999999997E-3</v>
      </c>
      <c r="Y167" s="146">
        <v>8.5643653050066441E-3</v>
      </c>
      <c r="Z167" s="147">
        <v>1.5553629121397722E-3</v>
      </c>
      <c r="AA167" s="181"/>
    </row>
    <row r="168" spans="1:27" ht="15" x14ac:dyDescent="0.2">
      <c r="A168" s="142" t="s">
        <v>1218</v>
      </c>
      <c r="B168" s="143" t="s">
        <v>1218</v>
      </c>
      <c r="C168" s="143" t="s">
        <v>3294</v>
      </c>
      <c r="D168" s="145" t="s">
        <v>3853</v>
      </c>
      <c r="E168" s="145" t="s">
        <v>3853</v>
      </c>
      <c r="F168" s="143" t="s">
        <v>3295</v>
      </c>
      <c r="G168" s="143" t="s">
        <v>3296</v>
      </c>
      <c r="H168" s="143" t="s">
        <v>312</v>
      </c>
      <c r="I168" s="143" t="s">
        <v>1000</v>
      </c>
      <c r="J168" s="145" t="s">
        <v>3853</v>
      </c>
      <c r="K168" s="143" t="s">
        <v>205</v>
      </c>
      <c r="L168" s="145" t="s">
        <v>3853</v>
      </c>
      <c r="M168" s="145" t="s">
        <v>3853</v>
      </c>
      <c r="N168" s="143" t="s">
        <v>268</v>
      </c>
      <c r="O168" s="143" t="s">
        <v>339</v>
      </c>
      <c r="P168" s="162">
        <v>45316</v>
      </c>
      <c r="Q168" s="143" t="s">
        <v>1211</v>
      </c>
      <c r="R168" s="143" t="s">
        <v>885</v>
      </c>
      <c r="S168" s="143" t="s">
        <v>889</v>
      </c>
      <c r="T168" s="163">
        <v>45442</v>
      </c>
      <c r="U168" s="143" t="s">
        <v>1212</v>
      </c>
      <c r="V168" s="144">
        <v>3051.7040702314448</v>
      </c>
      <c r="W168" s="144">
        <v>11471.355599999999</v>
      </c>
      <c r="X168" s="146">
        <v>1.4050244285714285E-3</v>
      </c>
      <c r="Y168" s="146">
        <v>8.4152593668113743E-3</v>
      </c>
      <c r="Z168" s="147">
        <v>1.5282839824129943E-3</v>
      </c>
      <c r="AA168" s="181"/>
    </row>
    <row r="169" spans="1:27" ht="15" x14ac:dyDescent="0.2">
      <c r="A169" s="142" t="s">
        <v>1218</v>
      </c>
      <c r="B169" s="143" t="s">
        <v>1218</v>
      </c>
      <c r="C169" s="143" t="s">
        <v>3300</v>
      </c>
      <c r="D169" s="145" t="s">
        <v>3853</v>
      </c>
      <c r="E169" s="145" t="s">
        <v>3853</v>
      </c>
      <c r="F169" s="143" t="s">
        <v>3301</v>
      </c>
      <c r="G169" s="143" t="s">
        <v>3302</v>
      </c>
      <c r="H169" s="143" t="s">
        <v>312</v>
      </c>
      <c r="I169" s="143" t="s">
        <v>1000</v>
      </c>
      <c r="J169" s="145" t="s">
        <v>3853</v>
      </c>
      <c r="K169" s="143" t="s">
        <v>205</v>
      </c>
      <c r="L169" s="145" t="s">
        <v>3853</v>
      </c>
      <c r="M169" s="145" t="s">
        <v>3853</v>
      </c>
      <c r="N169" s="143" t="s">
        <v>2975</v>
      </c>
      <c r="O169" s="143" t="s">
        <v>339</v>
      </c>
      <c r="P169" s="162">
        <v>45299</v>
      </c>
      <c r="Q169" s="143" t="s">
        <v>1214</v>
      </c>
      <c r="R169" s="143" t="s">
        <v>885</v>
      </c>
      <c r="S169" s="143" t="s">
        <v>889</v>
      </c>
      <c r="T169" s="163">
        <v>45470</v>
      </c>
      <c r="U169" s="143" t="s">
        <v>1215</v>
      </c>
      <c r="V169" s="144">
        <v>2301.4704989801503</v>
      </c>
      <c r="W169" s="144">
        <v>9252.3716999999997</v>
      </c>
      <c r="X169" s="146">
        <v>1.4326513E-4</v>
      </c>
      <c r="Y169" s="146">
        <v>6.7874373846040737E-3</v>
      </c>
      <c r="Z169" s="147">
        <v>1.2326574124894782E-3</v>
      </c>
      <c r="AA169" s="181"/>
    </row>
    <row r="170" spans="1:27" ht="15" x14ac:dyDescent="0.2">
      <c r="A170" s="142" t="s">
        <v>1218</v>
      </c>
      <c r="B170" s="143" t="s">
        <v>1218</v>
      </c>
      <c r="C170" s="143" t="s">
        <v>3297</v>
      </c>
      <c r="D170" s="145" t="s">
        <v>3853</v>
      </c>
      <c r="E170" s="145" t="s">
        <v>3853</v>
      </c>
      <c r="F170" s="143" t="s">
        <v>3298</v>
      </c>
      <c r="G170" s="143" t="s">
        <v>3299</v>
      </c>
      <c r="H170" s="143" t="s">
        <v>312</v>
      </c>
      <c r="I170" s="143" t="s">
        <v>1000</v>
      </c>
      <c r="J170" s="145" t="s">
        <v>3853</v>
      </c>
      <c r="K170" s="143" t="s">
        <v>205</v>
      </c>
      <c r="L170" s="145" t="s">
        <v>3853</v>
      </c>
      <c r="M170" s="145" t="s">
        <v>3853</v>
      </c>
      <c r="N170" s="143" t="s">
        <v>293</v>
      </c>
      <c r="O170" s="143" t="s">
        <v>339</v>
      </c>
      <c r="P170" s="162">
        <v>44893</v>
      </c>
      <c r="Q170" s="143" t="s">
        <v>1214</v>
      </c>
      <c r="R170" s="143" t="s">
        <v>885</v>
      </c>
      <c r="S170" s="143" t="s">
        <v>889</v>
      </c>
      <c r="T170" s="163">
        <v>45446</v>
      </c>
      <c r="U170" s="143" t="s">
        <v>1215</v>
      </c>
      <c r="V170" s="144">
        <v>2256.6988209541814</v>
      </c>
      <c r="W170" s="144">
        <v>9072.3806000000004</v>
      </c>
      <c r="X170" s="146">
        <v>6.6256871113371907E-4</v>
      </c>
      <c r="Y170" s="146">
        <v>6.6553979011719907E-3</v>
      </c>
      <c r="Z170" s="147">
        <v>1.2086778987538487E-3</v>
      </c>
      <c r="AA170" s="181"/>
    </row>
    <row r="171" spans="1:27" ht="15" x14ac:dyDescent="0.2">
      <c r="A171" s="142" t="s">
        <v>1218</v>
      </c>
      <c r="B171" s="143" t="s">
        <v>1218</v>
      </c>
      <c r="C171" s="143" t="s">
        <v>3303</v>
      </c>
      <c r="D171" s="145" t="s">
        <v>3853</v>
      </c>
      <c r="E171" s="145" t="s">
        <v>3853</v>
      </c>
      <c r="F171" s="143" t="s">
        <v>3304</v>
      </c>
      <c r="G171" s="143" t="s">
        <v>3305</v>
      </c>
      <c r="H171" s="143" t="s">
        <v>312</v>
      </c>
      <c r="I171" s="143" t="s">
        <v>1000</v>
      </c>
      <c r="J171" s="145" t="s">
        <v>3853</v>
      </c>
      <c r="K171" s="143" t="s">
        <v>205</v>
      </c>
      <c r="L171" s="145" t="s">
        <v>3853</v>
      </c>
      <c r="M171" s="145" t="s">
        <v>3853</v>
      </c>
      <c r="N171" s="143" t="s">
        <v>296</v>
      </c>
      <c r="O171" s="143" t="s">
        <v>339</v>
      </c>
      <c r="P171" s="162">
        <v>45356</v>
      </c>
      <c r="Q171" s="143" t="s">
        <v>1214</v>
      </c>
      <c r="R171" s="143" t="s">
        <v>885</v>
      </c>
      <c r="S171" s="143" t="s">
        <v>889</v>
      </c>
      <c r="T171" s="163">
        <v>45460</v>
      </c>
      <c r="U171" s="143" t="s">
        <v>1215</v>
      </c>
      <c r="V171" s="144">
        <v>2124.9123426695187</v>
      </c>
      <c r="W171" s="144">
        <v>8542.5725999999995</v>
      </c>
      <c r="X171" s="146">
        <v>4.8322285714285712E-3</v>
      </c>
      <c r="Y171" s="146">
        <v>6.2667366464370143E-3</v>
      </c>
      <c r="Z171" s="147">
        <v>1.1380936488448565E-3</v>
      </c>
      <c r="AA171" s="181"/>
    </row>
    <row r="172" spans="1:27" ht="15" x14ac:dyDescent="0.2">
      <c r="A172" s="142" t="s">
        <v>1218</v>
      </c>
      <c r="B172" s="143" t="s">
        <v>1218</v>
      </c>
      <c r="C172" s="143" t="s">
        <v>3306</v>
      </c>
      <c r="D172" s="145" t="s">
        <v>3853</v>
      </c>
      <c r="E172" s="145" t="s">
        <v>3853</v>
      </c>
      <c r="F172" s="143" t="s">
        <v>3307</v>
      </c>
      <c r="G172" s="143" t="s">
        <v>3308</v>
      </c>
      <c r="H172" s="143" t="s">
        <v>312</v>
      </c>
      <c r="I172" s="143" t="s">
        <v>1000</v>
      </c>
      <c r="J172" s="145" t="s">
        <v>3853</v>
      </c>
      <c r="K172" s="143" t="s">
        <v>205</v>
      </c>
      <c r="L172" s="145" t="s">
        <v>3853</v>
      </c>
      <c r="M172" s="145" t="s">
        <v>3853</v>
      </c>
      <c r="N172" s="143" t="s">
        <v>268</v>
      </c>
      <c r="O172" s="143" t="s">
        <v>339</v>
      </c>
      <c r="P172" s="162">
        <v>44711</v>
      </c>
      <c r="Q172" s="143" t="s">
        <v>1211</v>
      </c>
      <c r="R172" s="143" t="s">
        <v>885</v>
      </c>
      <c r="S172" s="143" t="s">
        <v>889</v>
      </c>
      <c r="T172" s="163">
        <v>45412</v>
      </c>
      <c r="U172" s="143" t="s">
        <v>1212</v>
      </c>
      <c r="V172" s="144">
        <v>2051.2858739026337</v>
      </c>
      <c r="W172" s="144">
        <v>7710.7835999999998</v>
      </c>
      <c r="X172" s="146">
        <v>6.4073649999999999E-3</v>
      </c>
      <c r="Y172" s="146">
        <v>5.6565454043929391E-3</v>
      </c>
      <c r="Z172" s="147">
        <v>1.0272776346525333E-3</v>
      </c>
      <c r="AA172" s="181"/>
    </row>
    <row r="173" spans="1:27" ht="15" x14ac:dyDescent="0.2">
      <c r="A173" s="142" t="s">
        <v>1218</v>
      </c>
      <c r="B173" s="143" t="s">
        <v>1218</v>
      </c>
      <c r="C173" s="143" t="s">
        <v>3309</v>
      </c>
      <c r="D173" s="145" t="s">
        <v>3853</v>
      </c>
      <c r="E173" s="145" t="s">
        <v>3853</v>
      </c>
      <c r="F173" s="143" t="s">
        <v>3310</v>
      </c>
      <c r="G173" s="143" t="s">
        <v>3311</v>
      </c>
      <c r="H173" s="143" t="s">
        <v>312</v>
      </c>
      <c r="I173" s="143" t="s">
        <v>1000</v>
      </c>
      <c r="J173" s="145" t="s">
        <v>3853</v>
      </c>
      <c r="K173" s="143" t="s">
        <v>205</v>
      </c>
      <c r="L173" s="145" t="s">
        <v>3853</v>
      </c>
      <c r="M173" s="145" t="s">
        <v>3853</v>
      </c>
      <c r="N173" s="143" t="s">
        <v>224</v>
      </c>
      <c r="O173" s="143" t="s">
        <v>339</v>
      </c>
      <c r="P173" s="162">
        <v>44616</v>
      </c>
      <c r="Q173" s="143" t="s">
        <v>1211</v>
      </c>
      <c r="R173" s="143" t="s">
        <v>885</v>
      </c>
      <c r="S173" s="143" t="s">
        <v>889</v>
      </c>
      <c r="T173" s="163">
        <v>45442</v>
      </c>
      <c r="U173" s="143" t="s">
        <v>1212</v>
      </c>
      <c r="V173" s="144">
        <v>1825.5898111199788</v>
      </c>
      <c r="W173" s="144">
        <v>6862.3921</v>
      </c>
      <c r="X173" s="146">
        <v>1.8972153846153847E-2</v>
      </c>
      <c r="Y173" s="146">
        <v>5.0341748188185978E-3</v>
      </c>
      <c r="Z173" s="147">
        <v>9.1424974619439458E-4</v>
      </c>
      <c r="AA173" s="181"/>
    </row>
    <row r="174" spans="1:27" ht="15" x14ac:dyDescent="0.2">
      <c r="A174" s="142" t="s">
        <v>1218</v>
      </c>
      <c r="B174" s="143" t="s">
        <v>1218</v>
      </c>
      <c r="C174" s="143" t="s">
        <v>3318</v>
      </c>
      <c r="D174" s="145" t="s">
        <v>3853</v>
      </c>
      <c r="E174" s="145" t="s">
        <v>3853</v>
      </c>
      <c r="F174" s="143" t="s">
        <v>3319</v>
      </c>
      <c r="G174" s="143" t="s">
        <v>3320</v>
      </c>
      <c r="H174" s="143" t="s">
        <v>312</v>
      </c>
      <c r="I174" s="143" t="s">
        <v>1000</v>
      </c>
      <c r="J174" s="145" t="s">
        <v>3853</v>
      </c>
      <c r="K174" s="143" t="s">
        <v>205</v>
      </c>
      <c r="L174" s="145" t="s">
        <v>3853</v>
      </c>
      <c r="M174" s="145" t="s">
        <v>3853</v>
      </c>
      <c r="N174" s="143" t="s">
        <v>224</v>
      </c>
      <c r="O174" s="143" t="s">
        <v>339</v>
      </c>
      <c r="P174" s="162">
        <v>45370</v>
      </c>
      <c r="Q174" s="143" t="s">
        <v>1211</v>
      </c>
      <c r="R174" s="143" t="s">
        <v>885</v>
      </c>
      <c r="S174" s="143" t="s">
        <v>889</v>
      </c>
      <c r="T174" s="163">
        <v>45460</v>
      </c>
      <c r="U174" s="143" t="s">
        <v>1212</v>
      </c>
      <c r="V174" s="144">
        <v>1587.772652301144</v>
      </c>
      <c r="W174" s="144">
        <v>5968.4374000000007</v>
      </c>
      <c r="X174" s="145" t="s">
        <v>3853</v>
      </c>
      <c r="Y174" s="146">
        <v>4.3783795815282448E-3</v>
      </c>
      <c r="Z174" s="147">
        <v>7.9515165150627646E-4</v>
      </c>
      <c r="AA174" s="181"/>
    </row>
    <row r="175" spans="1:27" ht="15" x14ac:dyDescent="0.2">
      <c r="A175" s="142" t="s">
        <v>1218</v>
      </c>
      <c r="B175" s="143" t="s">
        <v>1218</v>
      </c>
      <c r="C175" s="143" t="s">
        <v>3315</v>
      </c>
      <c r="D175" s="145" t="s">
        <v>3853</v>
      </c>
      <c r="E175" s="145" t="s">
        <v>3853</v>
      </c>
      <c r="F175" s="143" t="s">
        <v>3316</v>
      </c>
      <c r="G175" s="143" t="s">
        <v>3317</v>
      </c>
      <c r="H175" s="143" t="s">
        <v>312</v>
      </c>
      <c r="I175" s="143" t="s">
        <v>1000</v>
      </c>
      <c r="J175" s="145" t="s">
        <v>3853</v>
      </c>
      <c r="K175" s="143" t="s">
        <v>205</v>
      </c>
      <c r="L175" s="145" t="s">
        <v>3853</v>
      </c>
      <c r="M175" s="145" t="s">
        <v>3853</v>
      </c>
      <c r="N175" s="143" t="s">
        <v>224</v>
      </c>
      <c r="O175" s="143" t="s">
        <v>339</v>
      </c>
      <c r="P175" s="162">
        <v>45362</v>
      </c>
      <c r="Q175" s="143" t="s">
        <v>1211</v>
      </c>
      <c r="R175" s="143" t="s">
        <v>885</v>
      </c>
      <c r="S175" s="143" t="s">
        <v>889</v>
      </c>
      <c r="T175" s="163">
        <v>45428</v>
      </c>
      <c r="U175" s="143" t="s">
        <v>1212</v>
      </c>
      <c r="V175" s="144">
        <v>1572.8832934291036</v>
      </c>
      <c r="W175" s="144">
        <v>5912.4682999999995</v>
      </c>
      <c r="X175" s="145" t="s">
        <v>3853</v>
      </c>
      <c r="Y175" s="146">
        <v>4.3373212275646467E-3</v>
      </c>
      <c r="Z175" s="147">
        <v>7.8769509883550753E-4</v>
      </c>
      <c r="AA175" s="181"/>
    </row>
    <row r="176" spans="1:27" ht="15" x14ac:dyDescent="0.2">
      <c r="A176" s="142" t="s">
        <v>1218</v>
      </c>
      <c r="B176" s="143" t="s">
        <v>1218</v>
      </c>
      <c r="C176" s="143" t="s">
        <v>3312</v>
      </c>
      <c r="D176" s="145" t="s">
        <v>3853</v>
      </c>
      <c r="E176" s="145" t="s">
        <v>3853</v>
      </c>
      <c r="F176" s="143" t="s">
        <v>3313</v>
      </c>
      <c r="G176" s="143" t="s">
        <v>3314</v>
      </c>
      <c r="H176" s="143" t="s">
        <v>312</v>
      </c>
      <c r="I176" s="143" t="s">
        <v>1000</v>
      </c>
      <c r="J176" s="145" t="s">
        <v>3853</v>
      </c>
      <c r="K176" s="143" t="s">
        <v>205</v>
      </c>
      <c r="L176" s="145" t="s">
        <v>3853</v>
      </c>
      <c r="M176" s="145" t="s">
        <v>3853</v>
      </c>
      <c r="N176" s="143" t="s">
        <v>224</v>
      </c>
      <c r="O176" s="143" t="s">
        <v>339</v>
      </c>
      <c r="P176" s="162">
        <v>44991</v>
      </c>
      <c r="Q176" s="143" t="s">
        <v>1211</v>
      </c>
      <c r="R176" s="143" t="s">
        <v>885</v>
      </c>
      <c r="S176" s="143" t="s">
        <v>889</v>
      </c>
      <c r="T176" s="163">
        <v>45442</v>
      </c>
      <c r="U176" s="143" t="s">
        <v>1212</v>
      </c>
      <c r="V176" s="144">
        <v>1403.1328012769354</v>
      </c>
      <c r="W176" s="144">
        <v>5274.3762000000006</v>
      </c>
      <c r="X176" s="146">
        <v>1.7316000000000002E-2</v>
      </c>
      <c r="Y176" s="146">
        <v>3.8692239307412872E-3</v>
      </c>
      <c r="Z176" s="147">
        <v>7.0268457571754587E-4</v>
      </c>
      <c r="AA176" s="181"/>
    </row>
    <row r="177" spans="1:27" ht="15" x14ac:dyDescent="0.2">
      <c r="A177" s="142" t="s">
        <v>1218</v>
      </c>
      <c r="B177" s="143" t="s">
        <v>1218</v>
      </c>
      <c r="C177" s="143" t="s">
        <v>3324</v>
      </c>
      <c r="D177" s="145" t="s">
        <v>3853</v>
      </c>
      <c r="E177" s="145" t="s">
        <v>3853</v>
      </c>
      <c r="F177" s="143" t="s">
        <v>3325</v>
      </c>
      <c r="G177" s="143" t="s">
        <v>3326</v>
      </c>
      <c r="H177" s="143" t="s">
        <v>312</v>
      </c>
      <c r="I177" s="143" t="s">
        <v>1000</v>
      </c>
      <c r="J177" s="145" t="s">
        <v>3853</v>
      </c>
      <c r="K177" s="143" t="s">
        <v>205</v>
      </c>
      <c r="L177" s="145" t="s">
        <v>3853</v>
      </c>
      <c r="M177" s="145" t="s">
        <v>3853</v>
      </c>
      <c r="N177" s="143" t="s">
        <v>291</v>
      </c>
      <c r="O177" s="143" t="s">
        <v>339</v>
      </c>
      <c r="P177" s="162">
        <v>45362</v>
      </c>
      <c r="Q177" s="143" t="s">
        <v>1211</v>
      </c>
      <c r="R177" s="143" t="s">
        <v>885</v>
      </c>
      <c r="S177" s="143" t="s">
        <v>889</v>
      </c>
      <c r="T177" s="163">
        <v>45433</v>
      </c>
      <c r="U177" s="143" t="s">
        <v>1212</v>
      </c>
      <c r="V177" s="144">
        <v>1375.5230646448524</v>
      </c>
      <c r="W177" s="144">
        <v>5170.5911999999998</v>
      </c>
      <c r="X177" s="146">
        <v>1.9302864E-4</v>
      </c>
      <c r="Y177" s="146">
        <v>3.7930883891793042E-3</v>
      </c>
      <c r="Z177" s="147">
        <v>6.8885770198856588E-4</v>
      </c>
      <c r="AA177" s="181"/>
    </row>
    <row r="178" spans="1:27" ht="15" x14ac:dyDescent="0.2">
      <c r="A178" s="142" t="s">
        <v>1218</v>
      </c>
      <c r="B178" s="143" t="s">
        <v>1218</v>
      </c>
      <c r="C178" s="143" t="s">
        <v>3327</v>
      </c>
      <c r="D178" s="145" t="s">
        <v>3853</v>
      </c>
      <c r="E178" s="145" t="s">
        <v>3853</v>
      </c>
      <c r="F178" s="143" t="s">
        <v>3328</v>
      </c>
      <c r="G178" s="143" t="s">
        <v>3329</v>
      </c>
      <c r="H178" s="143" t="s">
        <v>312</v>
      </c>
      <c r="I178" s="143" t="s">
        <v>1000</v>
      </c>
      <c r="J178" s="145" t="s">
        <v>3853</v>
      </c>
      <c r="K178" s="143" t="s">
        <v>205</v>
      </c>
      <c r="L178" s="145" t="s">
        <v>3853</v>
      </c>
      <c r="M178" s="145" t="s">
        <v>3853</v>
      </c>
      <c r="N178" s="143" t="s">
        <v>289</v>
      </c>
      <c r="O178" s="143" t="s">
        <v>339</v>
      </c>
      <c r="P178" s="162">
        <v>45291</v>
      </c>
      <c r="Q178" s="143" t="s">
        <v>1211</v>
      </c>
      <c r="R178" s="143" t="s">
        <v>885</v>
      </c>
      <c r="S178" s="143" t="s">
        <v>889</v>
      </c>
      <c r="T178" s="163">
        <v>45470</v>
      </c>
      <c r="U178" s="143" t="s">
        <v>1212</v>
      </c>
      <c r="V178" s="144">
        <v>1340.4514232508648</v>
      </c>
      <c r="W178" s="144">
        <v>5038.7569000000003</v>
      </c>
      <c r="X178" s="146">
        <v>2.5375644444444443E-3</v>
      </c>
      <c r="Y178" s="146">
        <v>3.6963762175185343E-3</v>
      </c>
      <c r="Z178" s="147">
        <v>6.7129393402718274E-4</v>
      </c>
      <c r="AA178" s="181"/>
    </row>
    <row r="179" spans="1:27" ht="15" x14ac:dyDescent="0.2">
      <c r="A179" s="142" t="s">
        <v>1218</v>
      </c>
      <c r="B179" s="143" t="s">
        <v>1218</v>
      </c>
      <c r="C179" s="143" t="s">
        <v>3330</v>
      </c>
      <c r="D179" s="145" t="s">
        <v>3853</v>
      </c>
      <c r="E179" s="145" t="s">
        <v>3853</v>
      </c>
      <c r="F179" s="143" t="s">
        <v>3331</v>
      </c>
      <c r="G179" s="143" t="s">
        <v>3332</v>
      </c>
      <c r="H179" s="143" t="s">
        <v>312</v>
      </c>
      <c r="I179" s="143" t="s">
        <v>1000</v>
      </c>
      <c r="J179" s="145" t="s">
        <v>3853</v>
      </c>
      <c r="K179" s="143" t="s">
        <v>205</v>
      </c>
      <c r="L179" s="145" t="s">
        <v>3853</v>
      </c>
      <c r="M179" s="145" t="s">
        <v>3853</v>
      </c>
      <c r="N179" s="143" t="s">
        <v>291</v>
      </c>
      <c r="O179" s="143" t="s">
        <v>339</v>
      </c>
      <c r="P179" s="162">
        <v>45362</v>
      </c>
      <c r="Q179" s="143" t="s">
        <v>1211</v>
      </c>
      <c r="R179" s="143" t="s">
        <v>885</v>
      </c>
      <c r="S179" s="143" t="s">
        <v>889</v>
      </c>
      <c r="T179" s="163">
        <v>45428</v>
      </c>
      <c r="U179" s="143" t="s">
        <v>1212</v>
      </c>
      <c r="V179" s="144">
        <v>1332.4382282521949</v>
      </c>
      <c r="W179" s="144">
        <v>5008.6352999999999</v>
      </c>
      <c r="X179" s="146">
        <v>1.4697199999999999E-4</v>
      </c>
      <c r="Y179" s="146">
        <v>3.6742793738596246E-3</v>
      </c>
      <c r="Z179" s="147">
        <v>6.6728095584626284E-4</v>
      </c>
      <c r="AA179" s="181"/>
    </row>
    <row r="180" spans="1:27" ht="15" x14ac:dyDescent="0.2">
      <c r="A180" s="142" t="s">
        <v>1218</v>
      </c>
      <c r="B180" s="143" t="s">
        <v>1218</v>
      </c>
      <c r="C180" s="143" t="s">
        <v>3336</v>
      </c>
      <c r="D180" s="145" t="s">
        <v>3853</v>
      </c>
      <c r="E180" s="145" t="s">
        <v>3853</v>
      </c>
      <c r="F180" s="143" t="s">
        <v>3337</v>
      </c>
      <c r="G180" s="143" t="s">
        <v>3338</v>
      </c>
      <c r="H180" s="143" t="s">
        <v>312</v>
      </c>
      <c r="I180" s="143" t="s">
        <v>1000</v>
      </c>
      <c r="J180" s="145" t="s">
        <v>3853</v>
      </c>
      <c r="K180" s="143" t="s">
        <v>205</v>
      </c>
      <c r="L180" s="145" t="s">
        <v>3853</v>
      </c>
      <c r="M180" s="145" t="s">
        <v>3853</v>
      </c>
      <c r="N180" s="143" t="s">
        <v>296</v>
      </c>
      <c r="O180" s="143" t="s">
        <v>339</v>
      </c>
      <c r="P180" s="162">
        <v>45342</v>
      </c>
      <c r="Q180" s="143" t="s">
        <v>1211</v>
      </c>
      <c r="R180" s="143" t="s">
        <v>885</v>
      </c>
      <c r="S180" s="143" t="s">
        <v>889</v>
      </c>
      <c r="T180" s="163">
        <v>45460</v>
      </c>
      <c r="U180" s="143" t="s">
        <v>1212</v>
      </c>
      <c r="V180" s="144">
        <v>1157.2282787975525</v>
      </c>
      <c r="W180" s="144">
        <v>4350.0210999999999</v>
      </c>
      <c r="X180" s="146">
        <v>5.7317473684210531E-4</v>
      </c>
      <c r="Y180" s="146">
        <v>3.1911272685602259E-3</v>
      </c>
      <c r="Z180" s="147">
        <v>5.7953634912501185E-4</v>
      </c>
      <c r="AA180" s="181"/>
    </row>
    <row r="181" spans="1:27" ht="15" x14ac:dyDescent="0.2">
      <c r="A181" s="142" t="s">
        <v>1218</v>
      </c>
      <c r="B181" s="143" t="s">
        <v>1218</v>
      </c>
      <c r="C181" s="143" t="s">
        <v>3321</v>
      </c>
      <c r="D181" s="145" t="s">
        <v>3853</v>
      </c>
      <c r="E181" s="145" t="s">
        <v>3853</v>
      </c>
      <c r="F181" s="143" t="s">
        <v>3322</v>
      </c>
      <c r="G181" s="143" t="s">
        <v>3323</v>
      </c>
      <c r="H181" s="143" t="s">
        <v>312</v>
      </c>
      <c r="I181" s="143" t="s">
        <v>1000</v>
      </c>
      <c r="J181" s="145" t="s">
        <v>3853</v>
      </c>
      <c r="K181" s="143" t="s">
        <v>205</v>
      </c>
      <c r="L181" s="145" t="s">
        <v>3853</v>
      </c>
      <c r="M181" s="145" t="s">
        <v>3853</v>
      </c>
      <c r="N181" s="143" t="s">
        <v>296</v>
      </c>
      <c r="O181" s="143" t="s">
        <v>339</v>
      </c>
      <c r="P181" s="162">
        <v>45365</v>
      </c>
      <c r="Q181" s="143" t="s">
        <v>1211</v>
      </c>
      <c r="R181" s="143" t="s">
        <v>885</v>
      </c>
      <c r="S181" s="143" t="s">
        <v>889</v>
      </c>
      <c r="T181" s="163">
        <v>45470</v>
      </c>
      <c r="U181" s="143" t="s">
        <v>1212</v>
      </c>
      <c r="V181" s="144">
        <v>1142.55256717212</v>
      </c>
      <c r="W181" s="144">
        <v>4294.8550999999998</v>
      </c>
      <c r="X181" s="146">
        <v>1.4168323076923077E-2</v>
      </c>
      <c r="Y181" s="146">
        <v>3.1506580945065577E-3</v>
      </c>
      <c r="Z181" s="147">
        <v>5.7218679662855221E-4</v>
      </c>
      <c r="AA181" s="181"/>
    </row>
    <row r="182" spans="1:27" ht="15" x14ac:dyDescent="0.2">
      <c r="A182" s="142" t="s">
        <v>1218</v>
      </c>
      <c r="B182" s="143" t="s">
        <v>1218</v>
      </c>
      <c r="C182" s="143" t="s">
        <v>3333</v>
      </c>
      <c r="D182" s="145" t="s">
        <v>3853</v>
      </c>
      <c r="E182" s="145" t="s">
        <v>3853</v>
      </c>
      <c r="F182" s="143" t="s">
        <v>3334</v>
      </c>
      <c r="G182" s="143" t="s">
        <v>3335</v>
      </c>
      <c r="H182" s="143" t="s">
        <v>312</v>
      </c>
      <c r="I182" s="143" t="s">
        <v>1000</v>
      </c>
      <c r="J182" s="145" t="s">
        <v>3853</v>
      </c>
      <c r="K182" s="143" t="s">
        <v>205</v>
      </c>
      <c r="L182" s="145" t="s">
        <v>3853</v>
      </c>
      <c r="M182" s="145" t="s">
        <v>3853</v>
      </c>
      <c r="N182" s="143" t="s">
        <v>217</v>
      </c>
      <c r="O182" s="143" t="s">
        <v>339</v>
      </c>
      <c r="P182" s="162">
        <v>45257</v>
      </c>
      <c r="Q182" s="143" t="s">
        <v>1211</v>
      </c>
      <c r="R182" s="143" t="s">
        <v>885</v>
      </c>
      <c r="S182" s="143" t="s">
        <v>889</v>
      </c>
      <c r="T182" s="163">
        <v>45442</v>
      </c>
      <c r="U182" s="143" t="s">
        <v>1212</v>
      </c>
      <c r="V182" s="144">
        <v>1122.8750465549347</v>
      </c>
      <c r="W182" s="144">
        <v>4220.8872999999994</v>
      </c>
      <c r="X182" s="145" t="s">
        <v>3853</v>
      </c>
      <c r="Y182" s="146">
        <v>3.0963961813556457E-3</v>
      </c>
      <c r="Z182" s="147">
        <v>5.6233236325830107E-4</v>
      </c>
      <c r="AA182" s="181"/>
    </row>
    <row r="183" spans="1:27" ht="15" x14ac:dyDescent="0.2">
      <c r="A183" s="142" t="s">
        <v>1218</v>
      </c>
      <c r="B183" s="143" t="s">
        <v>1218</v>
      </c>
      <c r="C183" s="143" t="s">
        <v>3339</v>
      </c>
      <c r="D183" s="145" t="s">
        <v>3853</v>
      </c>
      <c r="E183" s="145" t="s">
        <v>3853</v>
      </c>
      <c r="F183" s="143" t="s">
        <v>3340</v>
      </c>
      <c r="G183" s="143" t="s">
        <v>3341</v>
      </c>
      <c r="H183" s="143" t="s">
        <v>312</v>
      </c>
      <c r="I183" s="143" t="s">
        <v>1000</v>
      </c>
      <c r="J183" s="145" t="s">
        <v>3853</v>
      </c>
      <c r="K183" s="143" t="s">
        <v>205</v>
      </c>
      <c r="L183" s="145" t="s">
        <v>3853</v>
      </c>
      <c r="M183" s="145" t="s">
        <v>3853</v>
      </c>
      <c r="N183" s="143" t="s">
        <v>291</v>
      </c>
      <c r="O183" s="143" t="s">
        <v>339</v>
      </c>
      <c r="P183" s="162">
        <v>45365</v>
      </c>
      <c r="Q183" s="143" t="s">
        <v>1211</v>
      </c>
      <c r="R183" s="143" t="s">
        <v>885</v>
      </c>
      <c r="S183" s="143" t="s">
        <v>889</v>
      </c>
      <c r="T183" s="163">
        <v>45365</v>
      </c>
      <c r="U183" s="143" t="s">
        <v>1212</v>
      </c>
      <c r="V183" s="144">
        <v>826.95152966214414</v>
      </c>
      <c r="W183" s="144">
        <v>3108.5108</v>
      </c>
      <c r="X183" s="146">
        <v>4.7003424565339319E-3</v>
      </c>
      <c r="Y183" s="146">
        <v>2.2803690932525701E-3</v>
      </c>
      <c r="Z183" s="147">
        <v>4.1413477675472622E-4</v>
      </c>
      <c r="AA183" s="181"/>
    </row>
    <row r="184" spans="1:27" ht="15" x14ac:dyDescent="0.2">
      <c r="A184" s="142" t="s">
        <v>1218</v>
      </c>
      <c r="B184" s="143" t="s">
        <v>1218</v>
      </c>
      <c r="C184" s="143" t="s">
        <v>3345</v>
      </c>
      <c r="D184" s="145" t="s">
        <v>3853</v>
      </c>
      <c r="E184" s="145" t="s">
        <v>3853</v>
      </c>
      <c r="F184" s="143" t="s">
        <v>3346</v>
      </c>
      <c r="G184" s="143" t="s">
        <v>3347</v>
      </c>
      <c r="H184" s="143" t="s">
        <v>312</v>
      </c>
      <c r="I184" s="143" t="s">
        <v>1000</v>
      </c>
      <c r="J184" s="145" t="s">
        <v>3853</v>
      </c>
      <c r="K184" s="143" t="s">
        <v>205</v>
      </c>
      <c r="L184" s="145" t="s">
        <v>3853</v>
      </c>
      <c r="M184" s="145" t="s">
        <v>3853</v>
      </c>
      <c r="N184" s="143" t="s">
        <v>291</v>
      </c>
      <c r="O184" s="143" t="s">
        <v>339</v>
      </c>
      <c r="P184" s="162">
        <v>45230</v>
      </c>
      <c r="Q184" s="143" t="s">
        <v>1211</v>
      </c>
      <c r="R184" s="143" t="s">
        <v>885</v>
      </c>
      <c r="S184" s="143" t="s">
        <v>889</v>
      </c>
      <c r="T184" s="163">
        <v>45470</v>
      </c>
      <c r="U184" s="143" t="s">
        <v>1212</v>
      </c>
      <c r="V184" s="144">
        <v>535.3880553338654</v>
      </c>
      <c r="W184" s="144">
        <v>2012.5237</v>
      </c>
      <c r="X184" s="146">
        <v>2.5876645909090911E-3</v>
      </c>
      <c r="Y184" s="146">
        <v>1.4763651095957922E-3</v>
      </c>
      <c r="Z184" s="147">
        <v>2.6812069014618987E-4</v>
      </c>
      <c r="AA184" s="181"/>
    </row>
    <row r="185" spans="1:27" ht="15" x14ac:dyDescent="0.2">
      <c r="A185" s="142" t="s">
        <v>1218</v>
      </c>
      <c r="B185" s="143" t="s">
        <v>1218</v>
      </c>
      <c r="C185" s="143" t="s">
        <v>3251</v>
      </c>
      <c r="D185" s="145" t="s">
        <v>3853</v>
      </c>
      <c r="E185" s="145" t="s">
        <v>3853</v>
      </c>
      <c r="F185" s="143" t="s">
        <v>3356</v>
      </c>
      <c r="G185" s="143" t="s">
        <v>3357</v>
      </c>
      <c r="H185" s="143" t="s">
        <v>312</v>
      </c>
      <c r="I185" s="143" t="s">
        <v>1000</v>
      </c>
      <c r="J185" s="145" t="s">
        <v>3853</v>
      </c>
      <c r="K185" s="143" t="s">
        <v>205</v>
      </c>
      <c r="L185" s="145" t="s">
        <v>3853</v>
      </c>
      <c r="M185" s="145" t="s">
        <v>3853</v>
      </c>
      <c r="N185" s="143" t="s">
        <v>296</v>
      </c>
      <c r="O185" s="143" t="s">
        <v>339</v>
      </c>
      <c r="P185" s="162">
        <v>45371</v>
      </c>
      <c r="Q185" s="143" t="s">
        <v>1211</v>
      </c>
      <c r="R185" s="143" t="s">
        <v>885</v>
      </c>
      <c r="S185" s="143" t="s">
        <v>889</v>
      </c>
      <c r="T185" s="163">
        <v>45371</v>
      </c>
      <c r="U185" s="143" t="s">
        <v>1212</v>
      </c>
      <c r="V185" s="144">
        <v>513</v>
      </c>
      <c r="W185" s="144">
        <v>1928.367</v>
      </c>
      <c r="X185" s="146">
        <v>4.104E-4</v>
      </c>
      <c r="Y185" s="146">
        <v>1.4146286667440138E-3</v>
      </c>
      <c r="Z185" s="147">
        <v>2.5690881744816761E-4</v>
      </c>
      <c r="AA185" s="181"/>
    </row>
    <row r="186" spans="1:27" ht="15" x14ac:dyDescent="0.2">
      <c r="A186" s="142" t="s">
        <v>1218</v>
      </c>
      <c r="B186" s="143" t="s">
        <v>1218</v>
      </c>
      <c r="C186" s="143" t="s">
        <v>3342</v>
      </c>
      <c r="D186" s="145" t="s">
        <v>3853</v>
      </c>
      <c r="E186" s="145" t="s">
        <v>3853</v>
      </c>
      <c r="F186" s="143" t="s">
        <v>3343</v>
      </c>
      <c r="G186" s="143" t="s">
        <v>3344</v>
      </c>
      <c r="H186" s="143" t="s">
        <v>312</v>
      </c>
      <c r="I186" s="143" t="s">
        <v>1000</v>
      </c>
      <c r="J186" s="145" t="s">
        <v>3853</v>
      </c>
      <c r="K186" s="143" t="s">
        <v>205</v>
      </c>
      <c r="L186" s="145" t="s">
        <v>3853</v>
      </c>
      <c r="M186" s="145" t="s">
        <v>3853</v>
      </c>
      <c r="N186" s="143" t="s">
        <v>293</v>
      </c>
      <c r="O186" s="143" t="s">
        <v>339</v>
      </c>
      <c r="P186" s="162">
        <v>45369</v>
      </c>
      <c r="Q186" s="143" t="s">
        <v>1214</v>
      </c>
      <c r="R186" s="143" t="s">
        <v>885</v>
      </c>
      <c r="S186" s="143" t="s">
        <v>889</v>
      </c>
      <c r="T186" s="163">
        <v>45463</v>
      </c>
      <c r="U186" s="143" t="s">
        <v>1215</v>
      </c>
      <c r="V186" s="144">
        <v>429.95699218944333</v>
      </c>
      <c r="W186" s="144">
        <v>1728.5131000000001</v>
      </c>
      <c r="X186" s="146">
        <v>5.9017276470588239E-3</v>
      </c>
      <c r="Y186" s="146">
        <v>1.2680180838522711E-3</v>
      </c>
      <c r="Z186" s="147">
        <v>2.3028306585584534E-4</v>
      </c>
      <c r="AA186" s="181"/>
    </row>
    <row r="187" spans="1:27" ht="15" x14ac:dyDescent="0.2">
      <c r="A187" s="142" t="s">
        <v>1218</v>
      </c>
      <c r="B187" s="143" t="s">
        <v>1218</v>
      </c>
      <c r="C187" s="143" t="s">
        <v>3348</v>
      </c>
      <c r="D187" s="145" t="s">
        <v>3853</v>
      </c>
      <c r="E187" s="145" t="s">
        <v>3853</v>
      </c>
      <c r="F187" s="143" t="s">
        <v>3349</v>
      </c>
      <c r="G187" s="143" t="s">
        <v>3350</v>
      </c>
      <c r="H187" s="143" t="s">
        <v>312</v>
      </c>
      <c r="I187" s="143" t="s">
        <v>1000</v>
      </c>
      <c r="J187" s="145" t="s">
        <v>3853</v>
      </c>
      <c r="K187" s="143" t="s">
        <v>205</v>
      </c>
      <c r="L187" s="145" t="s">
        <v>3853</v>
      </c>
      <c r="M187" s="145" t="s">
        <v>3853</v>
      </c>
      <c r="N187" s="143" t="s">
        <v>217</v>
      </c>
      <c r="O187" s="143" t="s">
        <v>339</v>
      </c>
      <c r="P187" s="162">
        <v>45356</v>
      </c>
      <c r="Q187" s="143" t="s">
        <v>1211</v>
      </c>
      <c r="R187" s="143" t="s">
        <v>885</v>
      </c>
      <c r="S187" s="143" t="s">
        <v>889</v>
      </c>
      <c r="T187" s="163">
        <v>45460</v>
      </c>
      <c r="U187" s="143" t="s">
        <v>1212</v>
      </c>
      <c r="V187" s="144">
        <v>355.21742484703378</v>
      </c>
      <c r="W187" s="144">
        <v>1335.2623000000001</v>
      </c>
      <c r="X187" s="145" t="s">
        <v>3853</v>
      </c>
      <c r="Y187" s="146">
        <v>9.7953365372975684E-4</v>
      </c>
      <c r="Z187" s="147">
        <v>1.7789179489032127E-4</v>
      </c>
      <c r="AA187" s="181"/>
    </row>
    <row r="188" spans="1:27" ht="15" x14ac:dyDescent="0.2">
      <c r="A188" s="142" t="s">
        <v>1218</v>
      </c>
      <c r="B188" s="143" t="s">
        <v>1218</v>
      </c>
      <c r="C188" s="143" t="s">
        <v>3300</v>
      </c>
      <c r="D188" s="145" t="s">
        <v>3853</v>
      </c>
      <c r="E188" s="145" t="s">
        <v>3853</v>
      </c>
      <c r="F188" s="143" t="s">
        <v>3351</v>
      </c>
      <c r="G188" s="143" t="s">
        <v>3352</v>
      </c>
      <c r="H188" s="143" t="s">
        <v>312</v>
      </c>
      <c r="I188" s="143" t="s">
        <v>1000</v>
      </c>
      <c r="J188" s="145" t="s">
        <v>3853</v>
      </c>
      <c r="K188" s="143" t="s">
        <v>205</v>
      </c>
      <c r="L188" s="145" t="s">
        <v>3853</v>
      </c>
      <c r="M188" s="145" t="s">
        <v>3853</v>
      </c>
      <c r="N188" s="143" t="s">
        <v>224</v>
      </c>
      <c r="O188" s="143" t="s">
        <v>339</v>
      </c>
      <c r="P188" s="162">
        <v>45306</v>
      </c>
      <c r="Q188" s="143" t="s">
        <v>1214</v>
      </c>
      <c r="R188" s="143" t="s">
        <v>885</v>
      </c>
      <c r="S188" s="143" t="s">
        <v>889</v>
      </c>
      <c r="T188" s="163">
        <v>45470</v>
      </c>
      <c r="U188" s="143" t="s">
        <v>1215</v>
      </c>
      <c r="V188" s="144">
        <v>233.72389433361525</v>
      </c>
      <c r="W188" s="144">
        <v>939.61680000000001</v>
      </c>
      <c r="X188" s="145" t="s">
        <v>3853</v>
      </c>
      <c r="Y188" s="146">
        <v>6.8929244444989473E-4</v>
      </c>
      <c r="Z188" s="147">
        <v>1.251814776150185E-4</v>
      </c>
      <c r="AA188" s="181"/>
    </row>
    <row r="189" spans="1:27" ht="15" x14ac:dyDescent="0.2">
      <c r="A189" s="142" t="s">
        <v>1218</v>
      </c>
      <c r="B189" s="143" t="s">
        <v>1218</v>
      </c>
      <c r="C189" s="143" t="s">
        <v>3353</v>
      </c>
      <c r="D189" s="145" t="s">
        <v>3853</v>
      </c>
      <c r="E189" s="145" t="s">
        <v>3853</v>
      </c>
      <c r="F189" s="143" t="s">
        <v>3354</v>
      </c>
      <c r="G189" s="143" t="s">
        <v>3355</v>
      </c>
      <c r="H189" s="143" t="s">
        <v>312</v>
      </c>
      <c r="I189" s="143" t="s">
        <v>1000</v>
      </c>
      <c r="J189" s="145" t="s">
        <v>3853</v>
      </c>
      <c r="K189" s="143" t="s">
        <v>205</v>
      </c>
      <c r="L189" s="145" t="s">
        <v>3853</v>
      </c>
      <c r="M189" s="145" t="s">
        <v>3853</v>
      </c>
      <c r="N189" s="143" t="s">
        <v>204</v>
      </c>
      <c r="O189" s="143" t="s">
        <v>339</v>
      </c>
      <c r="P189" s="162">
        <v>45342</v>
      </c>
      <c r="Q189" s="143" t="s">
        <v>1211</v>
      </c>
      <c r="R189" s="143" t="s">
        <v>885</v>
      </c>
      <c r="S189" s="143" t="s">
        <v>889</v>
      </c>
      <c r="T189" s="163">
        <v>45460</v>
      </c>
      <c r="U189" s="143" t="s">
        <v>1212</v>
      </c>
      <c r="V189" s="144">
        <v>138.44799148709762</v>
      </c>
      <c r="W189" s="144">
        <v>520.42600000000004</v>
      </c>
      <c r="X189" s="146">
        <v>5.6034574000000004E-4</v>
      </c>
      <c r="Y189" s="146">
        <v>3.8177872728825576E-4</v>
      </c>
      <c r="Z189" s="147">
        <v>6.9334323317682994E-5</v>
      </c>
      <c r="AA189" s="181"/>
    </row>
    <row r="190" spans="1:27" ht="15" x14ac:dyDescent="0.2">
      <c r="A190" s="142" t="s">
        <v>1218</v>
      </c>
      <c r="B190" s="143" t="s">
        <v>1218</v>
      </c>
      <c r="C190" s="143" t="s">
        <v>3348</v>
      </c>
      <c r="D190" s="145" t="s">
        <v>3853</v>
      </c>
      <c r="E190" s="145" t="s">
        <v>3853</v>
      </c>
      <c r="F190" s="143" t="s">
        <v>3358</v>
      </c>
      <c r="G190" s="143" t="s">
        <v>3359</v>
      </c>
      <c r="H190" s="143" t="s">
        <v>312</v>
      </c>
      <c r="I190" s="143" t="s">
        <v>1000</v>
      </c>
      <c r="J190" s="145" t="s">
        <v>3853</v>
      </c>
      <c r="K190" s="143" t="s">
        <v>205</v>
      </c>
      <c r="L190" s="145" t="s">
        <v>3853</v>
      </c>
      <c r="M190" s="145" t="s">
        <v>3853</v>
      </c>
      <c r="N190" s="143" t="s">
        <v>217</v>
      </c>
      <c r="O190" s="143" t="s">
        <v>339</v>
      </c>
      <c r="P190" s="162">
        <v>45379</v>
      </c>
      <c r="Q190" s="143" t="s">
        <v>1211</v>
      </c>
      <c r="R190" s="143" t="s">
        <v>885</v>
      </c>
      <c r="S190" s="143" t="s">
        <v>889</v>
      </c>
      <c r="T190" s="163">
        <v>45379</v>
      </c>
      <c r="U190" s="143" t="s">
        <v>1212</v>
      </c>
      <c r="V190" s="144">
        <v>46.210747539239165</v>
      </c>
      <c r="W190" s="144">
        <v>173.70620000000002</v>
      </c>
      <c r="X190" s="146">
        <v>4.0855008333333333E-4</v>
      </c>
      <c r="Y190" s="146">
        <v>1.2742892413995232E-4</v>
      </c>
      <c r="Z190" s="147">
        <v>2.3142196237856598E-5</v>
      </c>
      <c r="AA190" s="181"/>
    </row>
    <row r="191" spans="1:27" ht="15" x14ac:dyDescent="0.2">
      <c r="A191" s="142" t="s">
        <v>1218</v>
      </c>
      <c r="B191" s="143" t="s">
        <v>1218</v>
      </c>
      <c r="C191" s="143" t="s">
        <v>3360</v>
      </c>
      <c r="D191" s="145" t="s">
        <v>3853</v>
      </c>
      <c r="E191" s="145" t="s">
        <v>3853</v>
      </c>
      <c r="F191" s="143" t="s">
        <v>3361</v>
      </c>
      <c r="G191" s="143" t="s">
        <v>3362</v>
      </c>
      <c r="H191" s="143" t="s">
        <v>312</v>
      </c>
      <c r="I191" s="143" t="s">
        <v>1001</v>
      </c>
      <c r="J191" s="145" t="s">
        <v>3853</v>
      </c>
      <c r="K191" s="143" t="s">
        <v>204</v>
      </c>
      <c r="L191" s="145" t="s">
        <v>3853</v>
      </c>
      <c r="M191" s="145" t="s">
        <v>3853</v>
      </c>
      <c r="N191" s="143" t="s">
        <v>204</v>
      </c>
      <c r="O191" s="143" t="s">
        <v>339</v>
      </c>
      <c r="P191" s="162">
        <v>45138</v>
      </c>
      <c r="Q191" s="143" t="s">
        <v>1210</v>
      </c>
      <c r="R191" s="143" t="s">
        <v>885</v>
      </c>
      <c r="S191" s="143" t="s">
        <v>889</v>
      </c>
      <c r="T191" s="163">
        <v>45412</v>
      </c>
      <c r="U191" s="145" t="s">
        <v>3853</v>
      </c>
      <c r="V191" s="144">
        <v>136720.05180000002</v>
      </c>
      <c r="W191" s="144">
        <v>136720.05180000002</v>
      </c>
      <c r="X191" s="146">
        <v>0.1459225284920635</v>
      </c>
      <c r="Y191" s="146">
        <v>0.10029631525075591</v>
      </c>
      <c r="Z191" s="147">
        <v>1.8214679478245743E-2</v>
      </c>
      <c r="AA191" s="181"/>
    </row>
    <row r="192" spans="1:27" ht="15" x14ac:dyDescent="0.2">
      <c r="A192" s="142" t="s">
        <v>1218</v>
      </c>
      <c r="B192" s="143" t="s">
        <v>1218</v>
      </c>
      <c r="C192" s="143" t="s">
        <v>3593</v>
      </c>
      <c r="D192" s="145" t="s">
        <v>3853</v>
      </c>
      <c r="E192" s="145" t="s">
        <v>3853</v>
      </c>
      <c r="F192" s="143" t="s">
        <v>3594</v>
      </c>
      <c r="G192" s="143" t="s">
        <v>3595</v>
      </c>
      <c r="H192" s="143" t="s">
        <v>312</v>
      </c>
      <c r="I192" s="143" t="s">
        <v>1001</v>
      </c>
      <c r="J192" s="145" t="s">
        <v>3853</v>
      </c>
      <c r="K192" s="143" t="s">
        <v>204</v>
      </c>
      <c r="L192" s="145" t="s">
        <v>3853</v>
      </c>
      <c r="M192" s="145" t="s">
        <v>3853</v>
      </c>
      <c r="N192" s="143" t="s">
        <v>204</v>
      </c>
      <c r="O192" s="143" t="s">
        <v>339</v>
      </c>
      <c r="P192" s="162">
        <v>45286</v>
      </c>
      <c r="Q192" s="143" t="s">
        <v>1210</v>
      </c>
      <c r="R192" s="143" t="s">
        <v>885</v>
      </c>
      <c r="S192" s="143" t="s">
        <v>889</v>
      </c>
      <c r="T192" s="163">
        <v>45351</v>
      </c>
      <c r="U192" s="145" t="s">
        <v>3853</v>
      </c>
      <c r="V192" s="144">
        <v>29539.5268</v>
      </c>
      <c r="W192" s="144">
        <v>29539.5268</v>
      </c>
      <c r="X192" s="146">
        <v>2.2201684654718886E-2</v>
      </c>
      <c r="Y192" s="146">
        <v>2.1669869595242974E-2</v>
      </c>
      <c r="Z192" s="147">
        <v>3.9354359930960543E-3</v>
      </c>
      <c r="AA192" s="181"/>
    </row>
    <row r="193" spans="1:27" ht="15" x14ac:dyDescent="0.2">
      <c r="A193" s="142" t="s">
        <v>1218</v>
      </c>
      <c r="B193" s="143" t="s">
        <v>1218</v>
      </c>
      <c r="C193" s="143" t="s">
        <v>3593</v>
      </c>
      <c r="D193" s="145" t="s">
        <v>3853</v>
      </c>
      <c r="E193" s="145" t="s">
        <v>3853</v>
      </c>
      <c r="F193" s="143" t="s">
        <v>3596</v>
      </c>
      <c r="G193" s="143" t="s">
        <v>3597</v>
      </c>
      <c r="H193" s="143" t="s">
        <v>312</v>
      </c>
      <c r="I193" s="143" t="s">
        <v>1001</v>
      </c>
      <c r="J193" s="145" t="s">
        <v>3853</v>
      </c>
      <c r="K193" s="143" t="s">
        <v>204</v>
      </c>
      <c r="L193" s="145" t="s">
        <v>3853</v>
      </c>
      <c r="M193" s="145" t="s">
        <v>3853</v>
      </c>
      <c r="N193" s="143" t="s">
        <v>204</v>
      </c>
      <c r="O193" s="143" t="s">
        <v>339</v>
      </c>
      <c r="P193" s="162">
        <v>45286</v>
      </c>
      <c r="Q193" s="143" t="s">
        <v>1210</v>
      </c>
      <c r="R193" s="143" t="s">
        <v>885</v>
      </c>
      <c r="S193" s="143" t="s">
        <v>889</v>
      </c>
      <c r="T193" s="163">
        <v>45351</v>
      </c>
      <c r="U193" s="145" t="s">
        <v>3853</v>
      </c>
      <c r="V193" s="144">
        <v>25847.0844</v>
      </c>
      <c r="W193" s="144">
        <v>25847.0844</v>
      </c>
      <c r="X193" s="145" t="s">
        <v>3853</v>
      </c>
      <c r="Y193" s="146">
        <v>1.8961134751865467E-2</v>
      </c>
      <c r="Z193" s="147">
        <v>3.4435062862038005E-3</v>
      </c>
      <c r="AA193" s="181"/>
    </row>
    <row r="194" spans="1:27" ht="15" x14ac:dyDescent="0.2">
      <c r="A194" s="142" t="s">
        <v>1218</v>
      </c>
      <c r="B194" s="143" t="s">
        <v>1218</v>
      </c>
      <c r="C194" s="143" t="s">
        <v>3363</v>
      </c>
      <c r="D194" s="145" t="s">
        <v>3853</v>
      </c>
      <c r="E194" s="145" t="s">
        <v>3853</v>
      </c>
      <c r="F194" s="143" t="s">
        <v>3364</v>
      </c>
      <c r="G194" s="143" t="s">
        <v>3365</v>
      </c>
      <c r="H194" s="143" t="s">
        <v>312</v>
      </c>
      <c r="I194" s="143" t="s">
        <v>1001</v>
      </c>
      <c r="J194" s="145" t="s">
        <v>3853</v>
      </c>
      <c r="K194" s="143" t="s">
        <v>204</v>
      </c>
      <c r="L194" s="145" t="s">
        <v>3853</v>
      </c>
      <c r="M194" s="145" t="s">
        <v>3853</v>
      </c>
      <c r="N194" s="143" t="s">
        <v>204</v>
      </c>
      <c r="O194" s="143" t="s">
        <v>339</v>
      </c>
      <c r="P194" s="162">
        <v>44907</v>
      </c>
      <c r="Q194" s="143" t="s">
        <v>1211</v>
      </c>
      <c r="R194" s="143" t="s">
        <v>885</v>
      </c>
      <c r="S194" s="143" t="s">
        <v>889</v>
      </c>
      <c r="T194" s="163">
        <v>45442</v>
      </c>
      <c r="U194" s="143" t="s">
        <v>1212</v>
      </c>
      <c r="V194" s="144">
        <v>5369.534291034849</v>
      </c>
      <c r="W194" s="144">
        <v>20184.079399999999</v>
      </c>
      <c r="X194" s="145" t="s">
        <v>3853</v>
      </c>
      <c r="Y194" s="146">
        <v>1.4806817054218843E-2</v>
      </c>
      <c r="Z194" s="147">
        <v>2.68904621332623E-3</v>
      </c>
      <c r="AA194" s="181"/>
    </row>
    <row r="195" spans="1:27" ht="15" x14ac:dyDescent="0.2">
      <c r="A195" s="142" t="s">
        <v>1218</v>
      </c>
      <c r="B195" s="143" t="s">
        <v>1218</v>
      </c>
      <c r="C195" s="143" t="s">
        <v>3366</v>
      </c>
      <c r="D195" s="145" t="s">
        <v>3853</v>
      </c>
      <c r="E195" s="145" t="s">
        <v>3853</v>
      </c>
      <c r="F195" s="143" t="s">
        <v>3367</v>
      </c>
      <c r="G195" s="143" t="s">
        <v>3368</v>
      </c>
      <c r="H195" s="143" t="s">
        <v>312</v>
      </c>
      <c r="I195" s="143" t="s">
        <v>1001</v>
      </c>
      <c r="J195" s="145" t="s">
        <v>3853</v>
      </c>
      <c r="K195" s="143" t="s">
        <v>204</v>
      </c>
      <c r="L195" s="145" t="s">
        <v>3853</v>
      </c>
      <c r="M195" s="145" t="s">
        <v>3853</v>
      </c>
      <c r="N195" s="143" t="s">
        <v>204</v>
      </c>
      <c r="O195" s="143" t="s">
        <v>339</v>
      </c>
      <c r="P195" s="162">
        <v>45147</v>
      </c>
      <c r="Q195" s="143" t="s">
        <v>1211</v>
      </c>
      <c r="R195" s="143" t="s">
        <v>885</v>
      </c>
      <c r="S195" s="143" t="s">
        <v>889</v>
      </c>
      <c r="T195" s="163">
        <v>45442</v>
      </c>
      <c r="U195" s="143" t="s">
        <v>1212</v>
      </c>
      <c r="V195" s="144">
        <v>4424.3115722266557</v>
      </c>
      <c r="W195" s="144">
        <v>16630.9872</v>
      </c>
      <c r="X195" s="146">
        <v>1.2885016149068323E-2</v>
      </c>
      <c r="Y195" s="146">
        <v>1.220030793932766E-2</v>
      </c>
      <c r="Z195" s="147">
        <v>2.2156815840657243E-3</v>
      </c>
      <c r="AA195" s="181"/>
    </row>
    <row r="196" spans="1:27" ht="15" x14ac:dyDescent="0.2">
      <c r="A196" s="142" t="s">
        <v>1218</v>
      </c>
      <c r="B196" s="143" t="s">
        <v>1218</v>
      </c>
      <c r="C196" s="143" t="s">
        <v>3369</v>
      </c>
      <c r="D196" s="145" t="s">
        <v>3853</v>
      </c>
      <c r="E196" s="145" t="s">
        <v>3853</v>
      </c>
      <c r="F196" s="143" t="s">
        <v>3370</v>
      </c>
      <c r="G196" s="143" t="s">
        <v>3371</v>
      </c>
      <c r="H196" s="143" t="s">
        <v>312</v>
      </c>
      <c r="I196" s="143" t="s">
        <v>1001</v>
      </c>
      <c r="J196" s="145" t="s">
        <v>3853</v>
      </c>
      <c r="K196" s="143" t="s">
        <v>204</v>
      </c>
      <c r="L196" s="145" t="s">
        <v>3853</v>
      </c>
      <c r="M196" s="145" t="s">
        <v>3853</v>
      </c>
      <c r="N196" s="143" t="s">
        <v>204</v>
      </c>
      <c r="O196" s="143" t="s">
        <v>339</v>
      </c>
      <c r="P196" s="162">
        <v>44418</v>
      </c>
      <c r="Q196" s="143" t="s">
        <v>1210</v>
      </c>
      <c r="R196" s="143" t="s">
        <v>885</v>
      </c>
      <c r="S196" s="143" t="s">
        <v>889</v>
      </c>
      <c r="T196" s="163">
        <v>45406</v>
      </c>
      <c r="U196" s="145" t="s">
        <v>3853</v>
      </c>
      <c r="V196" s="144">
        <v>13942.767300000001</v>
      </c>
      <c r="W196" s="144">
        <v>13942.767300000001</v>
      </c>
      <c r="X196" s="146">
        <v>2.1632644615384614E-2</v>
      </c>
      <c r="Y196" s="146">
        <v>1.0228259612300502E-2</v>
      </c>
      <c r="Z196" s="147">
        <v>1.8575405287078635E-3</v>
      </c>
      <c r="AA196" s="181"/>
    </row>
    <row r="197" spans="1:27" ht="15" x14ac:dyDescent="0.2">
      <c r="A197" s="142" t="s">
        <v>1218</v>
      </c>
      <c r="B197" s="143" t="s">
        <v>1218</v>
      </c>
      <c r="C197" s="143" t="s">
        <v>3383</v>
      </c>
      <c r="D197" s="145" t="s">
        <v>3853</v>
      </c>
      <c r="E197" s="145" t="s">
        <v>3853</v>
      </c>
      <c r="F197" s="143" t="s">
        <v>3598</v>
      </c>
      <c r="G197" s="143" t="s">
        <v>3599</v>
      </c>
      <c r="H197" s="143" t="s">
        <v>312</v>
      </c>
      <c r="I197" s="143" t="s">
        <v>1001</v>
      </c>
      <c r="J197" s="145" t="s">
        <v>3853</v>
      </c>
      <c r="K197" s="143" t="s">
        <v>204</v>
      </c>
      <c r="L197" s="145" t="s">
        <v>3853</v>
      </c>
      <c r="M197" s="145" t="s">
        <v>3853</v>
      </c>
      <c r="N197" s="143" t="s">
        <v>204</v>
      </c>
      <c r="O197" s="143" t="s">
        <v>339</v>
      </c>
      <c r="P197" s="162">
        <v>42786</v>
      </c>
      <c r="Q197" s="143" t="s">
        <v>1210</v>
      </c>
      <c r="R197" s="143" t="s">
        <v>885</v>
      </c>
      <c r="S197" s="143" t="s">
        <v>889</v>
      </c>
      <c r="T197" s="163">
        <v>45403</v>
      </c>
      <c r="U197" s="145" t="s">
        <v>3853</v>
      </c>
      <c r="V197" s="144">
        <v>11856.543099999999</v>
      </c>
      <c r="W197" s="144">
        <v>11856.543099999999</v>
      </c>
      <c r="X197" s="145" t="s">
        <v>3853</v>
      </c>
      <c r="Y197" s="146">
        <v>8.6978286375614389E-3</v>
      </c>
      <c r="Z197" s="147">
        <v>1.5796010092075084E-3</v>
      </c>
      <c r="AA197" s="181"/>
    </row>
    <row r="198" spans="1:27" ht="15" x14ac:dyDescent="0.2">
      <c r="A198" s="142" t="s">
        <v>1218</v>
      </c>
      <c r="B198" s="143" t="s">
        <v>1218</v>
      </c>
      <c r="C198" s="143" t="s">
        <v>3372</v>
      </c>
      <c r="D198" s="145" t="s">
        <v>3853</v>
      </c>
      <c r="E198" s="145" t="s">
        <v>3853</v>
      </c>
      <c r="F198" s="143" t="s">
        <v>3373</v>
      </c>
      <c r="G198" s="143" t="s">
        <v>3374</v>
      </c>
      <c r="H198" s="143" t="s">
        <v>312</v>
      </c>
      <c r="I198" s="143" t="s">
        <v>1001</v>
      </c>
      <c r="J198" s="145" t="s">
        <v>3853</v>
      </c>
      <c r="K198" s="143" t="s">
        <v>204</v>
      </c>
      <c r="L198" s="145" t="s">
        <v>3853</v>
      </c>
      <c r="M198" s="145" t="s">
        <v>3853</v>
      </c>
      <c r="N198" s="143" t="s">
        <v>204</v>
      </c>
      <c r="O198" s="143" t="s">
        <v>339</v>
      </c>
      <c r="P198" s="162">
        <v>45172</v>
      </c>
      <c r="Q198" s="143" t="s">
        <v>1210</v>
      </c>
      <c r="R198" s="143" t="s">
        <v>885</v>
      </c>
      <c r="S198" s="143" t="s">
        <v>889</v>
      </c>
      <c r="T198" s="163">
        <v>45427</v>
      </c>
      <c r="U198" s="145" t="s">
        <v>3853</v>
      </c>
      <c r="V198" s="144">
        <v>10968.015100000001</v>
      </c>
      <c r="W198" s="144">
        <v>10968.015100000001</v>
      </c>
      <c r="X198" s="146">
        <v>6.6981193749999996E-3</v>
      </c>
      <c r="Y198" s="146">
        <v>8.0460143477469066E-3</v>
      </c>
      <c r="Z198" s="147">
        <v>1.4612258890584898E-3</v>
      </c>
      <c r="AA198" s="181"/>
    </row>
    <row r="199" spans="1:27" ht="15" x14ac:dyDescent="0.2">
      <c r="A199" s="142" t="s">
        <v>1218</v>
      </c>
      <c r="B199" s="143" t="s">
        <v>1218</v>
      </c>
      <c r="C199" s="143" t="s">
        <v>3372</v>
      </c>
      <c r="D199" s="145" t="s">
        <v>3853</v>
      </c>
      <c r="E199" s="145" t="s">
        <v>3853</v>
      </c>
      <c r="F199" s="143" t="s">
        <v>3375</v>
      </c>
      <c r="G199" s="143" t="s">
        <v>3376</v>
      </c>
      <c r="H199" s="143" t="s">
        <v>312</v>
      </c>
      <c r="I199" s="143" t="s">
        <v>1001</v>
      </c>
      <c r="J199" s="145" t="s">
        <v>3853</v>
      </c>
      <c r="K199" s="143" t="s">
        <v>204</v>
      </c>
      <c r="L199" s="145" t="s">
        <v>3853</v>
      </c>
      <c r="M199" s="145" t="s">
        <v>3853</v>
      </c>
      <c r="N199" s="143" t="s">
        <v>204</v>
      </c>
      <c r="O199" s="143" t="s">
        <v>339</v>
      </c>
      <c r="P199" s="162">
        <v>45279</v>
      </c>
      <c r="Q199" s="143" t="s">
        <v>1210</v>
      </c>
      <c r="R199" s="143" t="s">
        <v>885</v>
      </c>
      <c r="S199" s="143" t="s">
        <v>889</v>
      </c>
      <c r="T199" s="163">
        <v>45463</v>
      </c>
      <c r="U199" s="145" t="s">
        <v>3853</v>
      </c>
      <c r="V199" s="144">
        <v>10350.602999999999</v>
      </c>
      <c r="W199" s="144">
        <v>10350.602999999999</v>
      </c>
      <c r="X199" s="146">
        <v>4.648746368181818E-3</v>
      </c>
      <c r="Y199" s="146">
        <v>7.5930876883429027E-3</v>
      </c>
      <c r="Z199" s="147">
        <v>1.3789704850830746E-3</v>
      </c>
      <c r="AA199" s="181"/>
    </row>
    <row r="200" spans="1:27" ht="15" x14ac:dyDescent="0.2">
      <c r="A200" s="142" t="s">
        <v>1218</v>
      </c>
      <c r="B200" s="143" t="s">
        <v>1218</v>
      </c>
      <c r="C200" s="143" t="s">
        <v>3377</v>
      </c>
      <c r="D200" s="145" t="s">
        <v>3853</v>
      </c>
      <c r="E200" s="145" t="s">
        <v>3853</v>
      </c>
      <c r="F200" s="143" t="s">
        <v>3378</v>
      </c>
      <c r="G200" s="143" t="s">
        <v>3379</v>
      </c>
      <c r="H200" s="143" t="s">
        <v>312</v>
      </c>
      <c r="I200" s="143" t="s">
        <v>1001</v>
      </c>
      <c r="J200" s="145" t="s">
        <v>3853</v>
      </c>
      <c r="K200" s="143" t="s">
        <v>204</v>
      </c>
      <c r="L200" s="145" t="s">
        <v>3853</v>
      </c>
      <c r="M200" s="145" t="s">
        <v>3853</v>
      </c>
      <c r="N200" s="143" t="s">
        <v>204</v>
      </c>
      <c r="O200" s="143" t="s">
        <v>339</v>
      </c>
      <c r="P200" s="162">
        <v>42801</v>
      </c>
      <c r="Q200" s="143" t="s">
        <v>1210</v>
      </c>
      <c r="R200" s="143" t="s">
        <v>885</v>
      </c>
      <c r="S200" s="143" t="s">
        <v>889</v>
      </c>
      <c r="T200" s="163">
        <v>45355</v>
      </c>
      <c r="U200" s="145" t="s">
        <v>3853</v>
      </c>
      <c r="V200" s="144">
        <v>7549.0209000000004</v>
      </c>
      <c r="W200" s="144">
        <v>7549.0209000000004</v>
      </c>
      <c r="X200" s="146">
        <v>0.12571476851851851</v>
      </c>
      <c r="Y200" s="146">
        <v>5.5378780899080892E-3</v>
      </c>
      <c r="Z200" s="147">
        <v>1.0057266226090528E-3</v>
      </c>
      <c r="AA200" s="181"/>
    </row>
    <row r="201" spans="1:27" ht="15" x14ac:dyDescent="0.2">
      <c r="A201" s="142" t="s">
        <v>1218</v>
      </c>
      <c r="B201" s="143" t="s">
        <v>1218</v>
      </c>
      <c r="C201" s="143" t="s">
        <v>3383</v>
      </c>
      <c r="D201" s="145" t="s">
        <v>3853</v>
      </c>
      <c r="E201" s="145" t="s">
        <v>3853</v>
      </c>
      <c r="F201" s="143" t="s">
        <v>3600</v>
      </c>
      <c r="G201" s="143" t="s">
        <v>3601</v>
      </c>
      <c r="H201" s="143" t="s">
        <v>312</v>
      </c>
      <c r="I201" s="143" t="s">
        <v>1001</v>
      </c>
      <c r="J201" s="145" t="s">
        <v>3853</v>
      </c>
      <c r="K201" s="143" t="s">
        <v>204</v>
      </c>
      <c r="L201" s="145" t="s">
        <v>3853</v>
      </c>
      <c r="M201" s="145" t="s">
        <v>3853</v>
      </c>
      <c r="N201" s="143" t="s">
        <v>204</v>
      </c>
      <c r="O201" s="143" t="s">
        <v>339</v>
      </c>
      <c r="P201" s="162">
        <v>43480</v>
      </c>
      <c r="Q201" s="143" t="s">
        <v>1211</v>
      </c>
      <c r="R201" s="143" t="s">
        <v>885</v>
      </c>
      <c r="S201" s="143" t="s">
        <v>889</v>
      </c>
      <c r="T201" s="163">
        <v>45440</v>
      </c>
      <c r="U201" s="143" t="s">
        <v>1212</v>
      </c>
      <c r="V201" s="144">
        <v>1018.7682096302209</v>
      </c>
      <c r="W201" s="144">
        <v>3829.5497</v>
      </c>
      <c r="X201" s="145" t="s">
        <v>3853</v>
      </c>
      <c r="Y201" s="146">
        <v>2.8093152387187966E-3</v>
      </c>
      <c r="Z201" s="147">
        <v>5.1019597777525168E-4</v>
      </c>
      <c r="AA201" s="181"/>
    </row>
    <row r="202" spans="1:27" ht="15" x14ac:dyDescent="0.2">
      <c r="A202" s="142" t="s">
        <v>1218</v>
      </c>
      <c r="B202" s="143" t="s">
        <v>1218</v>
      </c>
      <c r="C202" s="143" t="s">
        <v>3380</v>
      </c>
      <c r="D202" s="145" t="s">
        <v>3853</v>
      </c>
      <c r="E202" s="145" t="s">
        <v>3853</v>
      </c>
      <c r="F202" s="143" t="s">
        <v>3381</v>
      </c>
      <c r="G202" s="143" t="s">
        <v>3382</v>
      </c>
      <c r="H202" s="143" t="s">
        <v>312</v>
      </c>
      <c r="I202" s="143" t="s">
        <v>1001</v>
      </c>
      <c r="J202" s="145" t="s">
        <v>3853</v>
      </c>
      <c r="K202" s="143" t="s">
        <v>204</v>
      </c>
      <c r="L202" s="145" t="s">
        <v>3853</v>
      </c>
      <c r="M202" s="145" t="s">
        <v>3853</v>
      </c>
      <c r="N202" s="143" t="s">
        <v>204</v>
      </c>
      <c r="O202" s="143" t="s">
        <v>339</v>
      </c>
      <c r="P202" s="162">
        <v>45237</v>
      </c>
      <c r="Q202" s="143" t="s">
        <v>1210</v>
      </c>
      <c r="R202" s="143" t="s">
        <v>885</v>
      </c>
      <c r="S202" s="143" t="s">
        <v>889</v>
      </c>
      <c r="T202" s="163">
        <v>45432</v>
      </c>
      <c r="U202" s="145" t="s">
        <v>3853</v>
      </c>
      <c r="V202" s="144">
        <v>2958.8171000000002</v>
      </c>
      <c r="W202" s="144">
        <v>2958.8171000000002</v>
      </c>
      <c r="X202" s="145" t="s">
        <v>3853</v>
      </c>
      <c r="Y202" s="146">
        <v>2.1705554754231295E-3</v>
      </c>
      <c r="Z202" s="147">
        <v>3.9419167270240903E-4</v>
      </c>
      <c r="AA202" s="181"/>
    </row>
    <row r="203" spans="1:27" ht="15" x14ac:dyDescent="0.2">
      <c r="A203" s="142" t="s">
        <v>1218</v>
      </c>
      <c r="B203" s="143" t="s">
        <v>1218</v>
      </c>
      <c r="C203" s="143" t="s">
        <v>3383</v>
      </c>
      <c r="D203" s="145" t="s">
        <v>3853</v>
      </c>
      <c r="E203" s="145" t="s">
        <v>3853</v>
      </c>
      <c r="F203" s="143" t="s">
        <v>3384</v>
      </c>
      <c r="G203" s="143" t="s">
        <v>3385</v>
      </c>
      <c r="H203" s="143" t="s">
        <v>312</v>
      </c>
      <c r="I203" s="143" t="s">
        <v>1001</v>
      </c>
      <c r="J203" s="145" t="s">
        <v>3853</v>
      </c>
      <c r="K203" s="143" t="s">
        <v>204</v>
      </c>
      <c r="L203" s="145" t="s">
        <v>3853</v>
      </c>
      <c r="M203" s="145" t="s">
        <v>3853</v>
      </c>
      <c r="N203" s="143" t="s">
        <v>204</v>
      </c>
      <c r="O203" s="143" t="s">
        <v>339</v>
      </c>
      <c r="P203" s="162">
        <v>42543</v>
      </c>
      <c r="Q203" s="143" t="s">
        <v>1210</v>
      </c>
      <c r="R203" s="143" t="s">
        <v>885</v>
      </c>
      <c r="S203" s="143" t="s">
        <v>889</v>
      </c>
      <c r="T203" s="163">
        <v>45256</v>
      </c>
      <c r="U203" s="145" t="s">
        <v>3853</v>
      </c>
      <c r="V203" s="144">
        <v>2.0000000000000001E-4</v>
      </c>
      <c r="W203" s="144">
        <v>2.0000000000000001E-4</v>
      </c>
      <c r="X203" s="146">
        <v>9.9125364431486881E-2</v>
      </c>
      <c r="Y203" s="146">
        <v>1.2471011656312431E-10</v>
      </c>
      <c r="Z203" s="147">
        <v>2.2648437235333572E-11</v>
      </c>
      <c r="AA203" s="181"/>
    </row>
    <row r="204" spans="1:27" ht="15" x14ac:dyDescent="0.2">
      <c r="A204" s="142" t="s">
        <v>1218</v>
      </c>
      <c r="B204" s="143" t="s">
        <v>1218</v>
      </c>
      <c r="C204" s="143" t="s">
        <v>3386</v>
      </c>
      <c r="D204" s="145" t="s">
        <v>3853</v>
      </c>
      <c r="E204" s="145" t="s">
        <v>3853</v>
      </c>
      <c r="F204" s="143" t="s">
        <v>3387</v>
      </c>
      <c r="G204" s="143" t="s">
        <v>3388</v>
      </c>
      <c r="H204" s="143" t="s">
        <v>312</v>
      </c>
      <c r="I204" s="143" t="s">
        <v>1001</v>
      </c>
      <c r="J204" s="145" t="s">
        <v>3853</v>
      </c>
      <c r="K204" s="143" t="s">
        <v>204</v>
      </c>
      <c r="L204" s="145" t="s">
        <v>3853</v>
      </c>
      <c r="M204" s="145" t="s">
        <v>3853</v>
      </c>
      <c r="N204" s="143" t="s">
        <v>204</v>
      </c>
      <c r="O204" s="143" t="s">
        <v>339</v>
      </c>
      <c r="P204" s="162">
        <v>44438</v>
      </c>
      <c r="Q204" s="143" t="s">
        <v>1211</v>
      </c>
      <c r="R204" s="143" t="s">
        <v>885</v>
      </c>
      <c r="S204" s="143" t="s">
        <v>889</v>
      </c>
      <c r="T204" s="163">
        <v>45466</v>
      </c>
      <c r="U204" s="143" t="s">
        <v>1212</v>
      </c>
      <c r="V204" s="145" t="s">
        <v>3853</v>
      </c>
      <c r="W204" s="144">
        <v>0</v>
      </c>
      <c r="X204" s="145" t="s">
        <v>3853</v>
      </c>
      <c r="Y204" s="146">
        <v>1.5212083898817451E-11</v>
      </c>
      <c r="Z204" s="147">
        <v>2.7626461821692333E-12</v>
      </c>
      <c r="AA204" s="181"/>
    </row>
    <row r="205" spans="1:27" ht="15" x14ac:dyDescent="0.2">
      <c r="A205" s="142" t="s">
        <v>1218</v>
      </c>
      <c r="B205" s="143" t="s">
        <v>1218</v>
      </c>
      <c r="C205" s="143" t="s">
        <v>3389</v>
      </c>
      <c r="D205" s="145" t="s">
        <v>3853</v>
      </c>
      <c r="E205" s="145" t="s">
        <v>3853</v>
      </c>
      <c r="F205" s="143" t="s">
        <v>3390</v>
      </c>
      <c r="G205" s="143" t="s">
        <v>3391</v>
      </c>
      <c r="H205" s="143" t="s">
        <v>312</v>
      </c>
      <c r="I205" s="143" t="s">
        <v>1001</v>
      </c>
      <c r="J205" s="145" t="s">
        <v>3853</v>
      </c>
      <c r="K205" s="143" t="s">
        <v>205</v>
      </c>
      <c r="L205" s="145" t="s">
        <v>3853</v>
      </c>
      <c r="M205" s="145" t="s">
        <v>3853</v>
      </c>
      <c r="N205" s="143" t="s">
        <v>224</v>
      </c>
      <c r="O205" s="143" t="s">
        <v>339</v>
      </c>
      <c r="P205" s="162">
        <v>45281</v>
      </c>
      <c r="Q205" s="143" t="s">
        <v>1211</v>
      </c>
      <c r="R205" s="143" t="s">
        <v>885</v>
      </c>
      <c r="S205" s="143" t="s">
        <v>889</v>
      </c>
      <c r="T205" s="163">
        <v>45470</v>
      </c>
      <c r="U205" s="143" t="s">
        <v>1212</v>
      </c>
      <c r="V205" s="144">
        <v>3788.6095238095236</v>
      </c>
      <c r="W205" s="144">
        <v>14241.383199999998</v>
      </c>
      <c r="X205" s="146">
        <v>5.3578789808917194E-3</v>
      </c>
      <c r="Y205" s="146">
        <v>1.044732090070148E-2</v>
      </c>
      <c r="Z205" s="147">
        <v>1.8973239558890062E-3</v>
      </c>
      <c r="AA205" s="181"/>
    </row>
    <row r="206" spans="1:27" ht="15" x14ac:dyDescent="0.2">
      <c r="A206" s="142" t="s">
        <v>1218</v>
      </c>
      <c r="B206" s="143" t="s">
        <v>1218</v>
      </c>
      <c r="C206" s="143" t="s">
        <v>3321</v>
      </c>
      <c r="D206" s="145" t="s">
        <v>3853</v>
      </c>
      <c r="E206" s="145" t="s">
        <v>3853</v>
      </c>
      <c r="F206" s="143" t="s">
        <v>3392</v>
      </c>
      <c r="G206" s="143" t="s">
        <v>3393</v>
      </c>
      <c r="H206" s="143" t="s">
        <v>312</v>
      </c>
      <c r="I206" s="143" t="s">
        <v>1001</v>
      </c>
      <c r="J206" s="145" t="s">
        <v>3853</v>
      </c>
      <c r="K206" s="143" t="s">
        <v>205</v>
      </c>
      <c r="L206" s="145" t="s">
        <v>3853</v>
      </c>
      <c r="M206" s="145" t="s">
        <v>3853</v>
      </c>
      <c r="N206" s="143" t="s">
        <v>291</v>
      </c>
      <c r="O206" s="143" t="s">
        <v>339</v>
      </c>
      <c r="P206" s="162">
        <v>45337</v>
      </c>
      <c r="Q206" s="143" t="s">
        <v>1211</v>
      </c>
      <c r="R206" s="143" t="s">
        <v>885</v>
      </c>
      <c r="S206" s="143" t="s">
        <v>889</v>
      </c>
      <c r="T206" s="163">
        <v>45470</v>
      </c>
      <c r="U206" s="143" t="s">
        <v>1212</v>
      </c>
      <c r="V206" s="144">
        <v>2529.0900771481774</v>
      </c>
      <c r="W206" s="144">
        <v>9506.8495999999996</v>
      </c>
      <c r="X206" s="146">
        <v>9.2726680399999998E-4</v>
      </c>
      <c r="Y206" s="146">
        <v>6.9741195248722784E-3</v>
      </c>
      <c r="Z206" s="147">
        <v>1.266560505946071E-3</v>
      </c>
      <c r="AA206" s="181"/>
    </row>
    <row r="207" spans="1:27" ht="15" x14ac:dyDescent="0.2">
      <c r="A207" s="142" t="s">
        <v>1218</v>
      </c>
      <c r="B207" s="143" t="s">
        <v>1218</v>
      </c>
      <c r="C207" s="143" t="s">
        <v>3394</v>
      </c>
      <c r="D207" s="145" t="s">
        <v>3853</v>
      </c>
      <c r="E207" s="145" t="s">
        <v>3853</v>
      </c>
      <c r="F207" s="143" t="s">
        <v>3395</v>
      </c>
      <c r="G207" s="143" t="s">
        <v>3396</v>
      </c>
      <c r="H207" s="143" t="s">
        <v>321</v>
      </c>
      <c r="I207" s="143" t="s">
        <v>1002</v>
      </c>
      <c r="J207" s="145" t="s">
        <v>3853</v>
      </c>
      <c r="K207" s="143" t="s">
        <v>204</v>
      </c>
      <c r="L207" s="145" t="s">
        <v>3853</v>
      </c>
      <c r="M207" s="145" t="s">
        <v>3853</v>
      </c>
      <c r="N207" s="143" t="s">
        <v>204</v>
      </c>
      <c r="O207" s="143" t="s">
        <v>339</v>
      </c>
      <c r="P207" s="162">
        <v>43523</v>
      </c>
      <c r="Q207" s="143" t="s">
        <v>1210</v>
      </c>
      <c r="R207" s="143" t="s">
        <v>885</v>
      </c>
      <c r="S207" s="143" t="s">
        <v>889</v>
      </c>
      <c r="T207" s="163">
        <v>45456</v>
      </c>
      <c r="U207" s="145" t="s">
        <v>3853</v>
      </c>
      <c r="V207" s="144">
        <v>13111.6945</v>
      </c>
      <c r="W207" s="144">
        <v>13111.6945</v>
      </c>
      <c r="X207" s="145" t="s">
        <v>3853</v>
      </c>
      <c r="Y207" s="146">
        <v>9.6185938089970897E-3</v>
      </c>
      <c r="Z207" s="147">
        <v>1.7468199387414723E-3</v>
      </c>
      <c r="AA207" s="181"/>
    </row>
    <row r="208" spans="1:27" ht="15" x14ac:dyDescent="0.2">
      <c r="A208" s="142" t="s">
        <v>1218</v>
      </c>
      <c r="B208" s="143" t="s">
        <v>1218</v>
      </c>
      <c r="C208" s="143" t="s">
        <v>3397</v>
      </c>
      <c r="D208" s="145" t="s">
        <v>3853</v>
      </c>
      <c r="E208" s="145" t="s">
        <v>3853</v>
      </c>
      <c r="F208" s="143" t="s">
        <v>3398</v>
      </c>
      <c r="G208" s="143" t="s">
        <v>3399</v>
      </c>
      <c r="H208" s="143" t="s">
        <v>312</v>
      </c>
      <c r="I208" s="143" t="s">
        <v>1002</v>
      </c>
      <c r="J208" s="145" t="s">
        <v>3853</v>
      </c>
      <c r="K208" s="143" t="s">
        <v>204</v>
      </c>
      <c r="L208" s="145" t="s">
        <v>3853</v>
      </c>
      <c r="M208" s="145" t="s">
        <v>3853</v>
      </c>
      <c r="N208" s="143" t="s">
        <v>204</v>
      </c>
      <c r="O208" s="143" t="s">
        <v>339</v>
      </c>
      <c r="P208" s="162">
        <v>44420</v>
      </c>
      <c r="Q208" s="143" t="s">
        <v>1210</v>
      </c>
      <c r="R208" s="143" t="s">
        <v>885</v>
      </c>
      <c r="S208" s="143" t="s">
        <v>889</v>
      </c>
      <c r="T208" s="163">
        <v>45447</v>
      </c>
      <c r="U208" s="145" t="s">
        <v>3853</v>
      </c>
      <c r="V208" s="144">
        <v>13680.6217</v>
      </c>
      <c r="W208" s="144">
        <v>13680.6217</v>
      </c>
      <c r="X208" s="145" t="s">
        <v>3853</v>
      </c>
      <c r="Y208" s="146">
        <v>1.0035952499815655E-2</v>
      </c>
      <c r="Z208" s="147">
        <v>1.8226158915809572E-3</v>
      </c>
      <c r="AA208" s="181"/>
    </row>
    <row r="209" spans="1:27" ht="15" x14ac:dyDescent="0.2">
      <c r="A209" s="142" t="s">
        <v>1218</v>
      </c>
      <c r="B209" s="143" t="s">
        <v>1218</v>
      </c>
      <c r="C209" s="143" t="s">
        <v>3400</v>
      </c>
      <c r="D209" s="145" t="s">
        <v>3853</v>
      </c>
      <c r="E209" s="145" t="s">
        <v>3853</v>
      </c>
      <c r="F209" s="143" t="s">
        <v>3401</v>
      </c>
      <c r="G209" s="143" t="s">
        <v>3402</v>
      </c>
      <c r="H209" s="143" t="s">
        <v>312</v>
      </c>
      <c r="I209" s="143" t="s">
        <v>1002</v>
      </c>
      <c r="J209" s="145" t="s">
        <v>3853</v>
      </c>
      <c r="K209" s="143" t="s">
        <v>204</v>
      </c>
      <c r="L209" s="145" t="s">
        <v>3853</v>
      </c>
      <c r="M209" s="145" t="s">
        <v>3853</v>
      </c>
      <c r="N209" s="143" t="s">
        <v>204</v>
      </c>
      <c r="O209" s="143" t="s">
        <v>339</v>
      </c>
      <c r="P209" s="162">
        <v>44406</v>
      </c>
      <c r="Q209" s="143" t="s">
        <v>1210</v>
      </c>
      <c r="R209" s="143" t="s">
        <v>885</v>
      </c>
      <c r="S209" s="143" t="s">
        <v>889</v>
      </c>
      <c r="T209" s="163">
        <v>45448</v>
      </c>
      <c r="U209" s="145" t="s">
        <v>3853</v>
      </c>
      <c r="V209" s="144">
        <v>9370.2458000000006</v>
      </c>
      <c r="W209" s="144">
        <v>9370.2458000000006</v>
      </c>
      <c r="X209" s="145" t="s">
        <v>3853</v>
      </c>
      <c r="Y209" s="146">
        <v>6.8739084756943986E-3</v>
      </c>
      <c r="Z209" s="147">
        <v>1.2483613115251168E-3</v>
      </c>
      <c r="AA209" s="181"/>
    </row>
    <row r="210" spans="1:27" ht="15" x14ac:dyDescent="0.2">
      <c r="A210" s="142" t="s">
        <v>1218</v>
      </c>
      <c r="B210" s="143" t="s">
        <v>1218</v>
      </c>
      <c r="C210" s="143" t="s">
        <v>3403</v>
      </c>
      <c r="D210" s="145" t="s">
        <v>3853</v>
      </c>
      <c r="E210" s="145" t="s">
        <v>3853</v>
      </c>
      <c r="F210" s="143" t="s">
        <v>3404</v>
      </c>
      <c r="G210" s="143" t="s">
        <v>3405</v>
      </c>
      <c r="H210" s="143" t="s">
        <v>312</v>
      </c>
      <c r="I210" s="143" t="s">
        <v>1002</v>
      </c>
      <c r="J210" s="145" t="s">
        <v>3853</v>
      </c>
      <c r="K210" s="143" t="s">
        <v>204</v>
      </c>
      <c r="L210" s="145" t="s">
        <v>3853</v>
      </c>
      <c r="M210" s="145" t="s">
        <v>3853</v>
      </c>
      <c r="N210" s="143" t="s">
        <v>204</v>
      </c>
      <c r="O210" s="143" t="s">
        <v>339</v>
      </c>
      <c r="P210" s="162">
        <v>45378</v>
      </c>
      <c r="Q210" s="143" t="s">
        <v>1210</v>
      </c>
      <c r="R210" s="143" t="s">
        <v>885</v>
      </c>
      <c r="S210" s="143" t="s">
        <v>889</v>
      </c>
      <c r="T210" s="163">
        <v>45448</v>
      </c>
      <c r="U210" s="145" t="s">
        <v>3853</v>
      </c>
      <c r="V210" s="144">
        <v>3733.6068</v>
      </c>
      <c r="W210" s="144">
        <v>3733.6068</v>
      </c>
      <c r="X210" s="146">
        <v>3.1858407079646017E-2</v>
      </c>
      <c r="Y210" s="146">
        <v>2.7389325836992564E-3</v>
      </c>
      <c r="Z210" s="147">
        <v>4.9741387806596839E-4</v>
      </c>
      <c r="AA210" s="181"/>
    </row>
    <row r="211" spans="1:27" ht="15" x14ac:dyDescent="0.2">
      <c r="A211" s="142" t="s">
        <v>1218</v>
      </c>
      <c r="B211" s="143" t="s">
        <v>1218</v>
      </c>
      <c r="C211" s="143" t="s">
        <v>3406</v>
      </c>
      <c r="D211" s="145" t="s">
        <v>3853</v>
      </c>
      <c r="E211" s="145" t="s">
        <v>3853</v>
      </c>
      <c r="F211" s="143" t="s">
        <v>3407</v>
      </c>
      <c r="G211" s="143" t="s">
        <v>3408</v>
      </c>
      <c r="H211" s="143" t="s">
        <v>312</v>
      </c>
      <c r="I211" s="143" t="s">
        <v>1002</v>
      </c>
      <c r="J211" s="145" t="s">
        <v>3853</v>
      </c>
      <c r="K211" s="143" t="s">
        <v>205</v>
      </c>
      <c r="L211" s="145" t="s">
        <v>3853</v>
      </c>
      <c r="M211" s="145" t="s">
        <v>3853</v>
      </c>
      <c r="N211" s="143" t="s">
        <v>204</v>
      </c>
      <c r="O211" s="143" t="s">
        <v>339</v>
      </c>
      <c r="P211" s="162">
        <v>44612</v>
      </c>
      <c r="Q211" s="143" t="s">
        <v>1211</v>
      </c>
      <c r="R211" s="143" t="s">
        <v>885</v>
      </c>
      <c r="S211" s="143" t="s">
        <v>889</v>
      </c>
      <c r="T211" s="163">
        <v>45453</v>
      </c>
      <c r="U211" s="143" t="s">
        <v>1212</v>
      </c>
      <c r="V211" s="144">
        <v>4767.7275073157753</v>
      </c>
      <c r="W211" s="144">
        <v>17921.887699999999</v>
      </c>
      <c r="X211" s="146">
        <v>7.3514046641882857E-6</v>
      </c>
      <c r="Y211" s="146">
        <v>1.3147298235325662E-2</v>
      </c>
      <c r="Z211" s="147">
        <v>2.3876632233461631E-3</v>
      </c>
      <c r="AA211" s="181"/>
    </row>
    <row r="212" spans="1:27" ht="15" x14ac:dyDescent="0.2">
      <c r="A212" s="142" t="s">
        <v>1218</v>
      </c>
      <c r="B212" s="143" t="s">
        <v>1218</v>
      </c>
      <c r="C212" s="143" t="s">
        <v>3403</v>
      </c>
      <c r="D212" s="145" t="s">
        <v>3853</v>
      </c>
      <c r="E212" s="145" t="s">
        <v>3853</v>
      </c>
      <c r="F212" s="143" t="s">
        <v>3409</v>
      </c>
      <c r="G212" s="143" t="s">
        <v>3410</v>
      </c>
      <c r="H212" s="143" t="s">
        <v>312</v>
      </c>
      <c r="I212" s="143" t="s">
        <v>1002</v>
      </c>
      <c r="J212" s="145" t="s">
        <v>3853</v>
      </c>
      <c r="K212" s="143" t="s">
        <v>205</v>
      </c>
      <c r="L212" s="145" t="s">
        <v>3853</v>
      </c>
      <c r="M212" s="145" t="s">
        <v>3853</v>
      </c>
      <c r="N212" s="143" t="s">
        <v>217</v>
      </c>
      <c r="O212" s="143" t="s">
        <v>339</v>
      </c>
      <c r="P212" s="162">
        <v>44286</v>
      </c>
      <c r="Q212" s="143" t="s">
        <v>1210</v>
      </c>
      <c r="R212" s="143" t="s">
        <v>885</v>
      </c>
      <c r="S212" s="143" t="s">
        <v>889</v>
      </c>
      <c r="T212" s="163">
        <v>45453</v>
      </c>
      <c r="U212" s="145" t="s">
        <v>3853</v>
      </c>
      <c r="V212" s="144">
        <v>12432.367900000001</v>
      </c>
      <c r="W212" s="144">
        <v>12432.367900000001</v>
      </c>
      <c r="X212" s="145" t="s">
        <v>3853</v>
      </c>
      <c r="Y212" s="146">
        <v>9.1202473572485915E-3</v>
      </c>
      <c r="Z212" s="147">
        <v>1.6563159071125383E-3</v>
      </c>
      <c r="AA212" s="181"/>
    </row>
    <row r="213" spans="1:27" ht="15" x14ac:dyDescent="0.2">
      <c r="A213" s="142" t="s">
        <v>1218</v>
      </c>
      <c r="B213" s="143" t="s">
        <v>1218</v>
      </c>
      <c r="C213" s="143" t="s">
        <v>3411</v>
      </c>
      <c r="D213" s="145" t="s">
        <v>3853</v>
      </c>
      <c r="E213" s="145" t="s">
        <v>3853</v>
      </c>
      <c r="F213" s="143" t="s">
        <v>3412</v>
      </c>
      <c r="G213" s="143" t="s">
        <v>3413</v>
      </c>
      <c r="H213" s="143" t="s">
        <v>312</v>
      </c>
      <c r="I213" s="143" t="s">
        <v>1003</v>
      </c>
      <c r="J213" s="145" t="s">
        <v>3853</v>
      </c>
      <c r="K213" s="143" t="s">
        <v>204</v>
      </c>
      <c r="L213" s="145" t="s">
        <v>3853</v>
      </c>
      <c r="M213" s="145" t="s">
        <v>3853</v>
      </c>
      <c r="N213" s="143" t="s">
        <v>204</v>
      </c>
      <c r="O213" s="143" t="s">
        <v>339</v>
      </c>
      <c r="P213" s="162">
        <v>45271</v>
      </c>
      <c r="Q213" s="143" t="s">
        <v>1210</v>
      </c>
      <c r="R213" s="143" t="s">
        <v>885</v>
      </c>
      <c r="S213" s="143" t="s">
        <v>889</v>
      </c>
      <c r="T213" s="163">
        <v>45442</v>
      </c>
      <c r="U213" s="145" t="s">
        <v>3853</v>
      </c>
      <c r="V213" s="144">
        <v>12352.580800000002</v>
      </c>
      <c r="W213" s="144">
        <v>12352.580800000002</v>
      </c>
      <c r="X213" s="145" t="s">
        <v>3853</v>
      </c>
      <c r="Y213" s="146">
        <v>9.0617164217193322E-3</v>
      </c>
      <c r="Z213" s="147">
        <v>1.6456861823059801E-3</v>
      </c>
      <c r="AA213" s="181"/>
    </row>
    <row r="214" spans="1:27" ht="15" x14ac:dyDescent="0.2">
      <c r="A214" s="142" t="s">
        <v>1218</v>
      </c>
      <c r="B214" s="143" t="s">
        <v>1218</v>
      </c>
      <c r="C214" s="143" t="s">
        <v>3414</v>
      </c>
      <c r="D214" s="145" t="s">
        <v>3853</v>
      </c>
      <c r="E214" s="145" t="s">
        <v>3853</v>
      </c>
      <c r="F214" s="143" t="s">
        <v>3415</v>
      </c>
      <c r="G214" s="143" t="s">
        <v>3416</v>
      </c>
      <c r="H214" s="143" t="s">
        <v>312</v>
      </c>
      <c r="I214" s="143" t="s">
        <v>1003</v>
      </c>
      <c r="J214" s="145" t="s">
        <v>3853</v>
      </c>
      <c r="K214" s="143" t="s">
        <v>204</v>
      </c>
      <c r="L214" s="145" t="s">
        <v>3853</v>
      </c>
      <c r="M214" s="145" t="s">
        <v>3853</v>
      </c>
      <c r="N214" s="143" t="s">
        <v>204</v>
      </c>
      <c r="O214" s="143" t="s">
        <v>339</v>
      </c>
      <c r="P214" s="162">
        <v>45250</v>
      </c>
      <c r="Q214" s="143" t="s">
        <v>1210</v>
      </c>
      <c r="R214" s="143" t="s">
        <v>885</v>
      </c>
      <c r="S214" s="143" t="s">
        <v>889</v>
      </c>
      <c r="T214" s="163">
        <v>45466</v>
      </c>
      <c r="U214" s="145" t="s">
        <v>3853</v>
      </c>
      <c r="V214" s="144">
        <v>10101.2914</v>
      </c>
      <c r="W214" s="144">
        <v>10101.2914</v>
      </c>
      <c r="X214" s="145" t="s">
        <v>3853</v>
      </c>
      <c r="Y214" s="146">
        <v>7.4101954471927842E-3</v>
      </c>
      <c r="Z214" s="147">
        <v>1.345755670129219E-3</v>
      </c>
      <c r="AA214" s="181"/>
    </row>
    <row r="215" spans="1:27" ht="15" x14ac:dyDescent="0.2">
      <c r="A215" s="142" t="s">
        <v>1218</v>
      </c>
      <c r="B215" s="143" t="s">
        <v>1218</v>
      </c>
      <c r="C215" s="143" t="s">
        <v>3411</v>
      </c>
      <c r="D215" s="145" t="s">
        <v>3853</v>
      </c>
      <c r="E215" s="145" t="s">
        <v>3853</v>
      </c>
      <c r="F215" s="143" t="s">
        <v>3417</v>
      </c>
      <c r="G215" s="143" t="s">
        <v>3418</v>
      </c>
      <c r="H215" s="143" t="s">
        <v>312</v>
      </c>
      <c r="I215" s="143" t="s">
        <v>1003</v>
      </c>
      <c r="J215" s="145" t="s">
        <v>3853</v>
      </c>
      <c r="K215" s="143" t="s">
        <v>204</v>
      </c>
      <c r="L215" s="145" t="s">
        <v>3853</v>
      </c>
      <c r="M215" s="145" t="s">
        <v>3853</v>
      </c>
      <c r="N215" s="143" t="s">
        <v>204</v>
      </c>
      <c r="O215" s="143" t="s">
        <v>339</v>
      </c>
      <c r="P215" s="162">
        <v>45271</v>
      </c>
      <c r="Q215" s="143" t="s">
        <v>1210</v>
      </c>
      <c r="R215" s="143" t="s">
        <v>885</v>
      </c>
      <c r="S215" s="143" t="s">
        <v>889</v>
      </c>
      <c r="T215" s="163">
        <v>45442</v>
      </c>
      <c r="U215" s="145" t="s">
        <v>3853</v>
      </c>
      <c r="V215" s="144">
        <v>8167.2910999999995</v>
      </c>
      <c r="W215" s="144">
        <v>8167.2910999999995</v>
      </c>
      <c r="X215" s="145" t="s">
        <v>3853</v>
      </c>
      <c r="Y215" s="146">
        <v>5.9914342777955595E-3</v>
      </c>
      <c r="Z215" s="147">
        <v>1.0880963544091752E-3</v>
      </c>
      <c r="AA215" s="181"/>
    </row>
    <row r="216" spans="1:27" ht="15" x14ac:dyDescent="0.2">
      <c r="A216" s="142" t="s">
        <v>1218</v>
      </c>
      <c r="B216" s="143" t="s">
        <v>1218</v>
      </c>
      <c r="C216" s="143" t="s">
        <v>3419</v>
      </c>
      <c r="D216" s="145" t="s">
        <v>3853</v>
      </c>
      <c r="E216" s="145" t="s">
        <v>3853</v>
      </c>
      <c r="F216" s="143" t="s">
        <v>3420</v>
      </c>
      <c r="G216" s="143" t="s">
        <v>3421</v>
      </c>
      <c r="H216" s="143" t="s">
        <v>312</v>
      </c>
      <c r="I216" s="143" t="s">
        <v>1003</v>
      </c>
      <c r="J216" s="145" t="s">
        <v>3853</v>
      </c>
      <c r="K216" s="143" t="s">
        <v>204</v>
      </c>
      <c r="L216" s="145" t="s">
        <v>3853</v>
      </c>
      <c r="M216" s="145" t="s">
        <v>3853</v>
      </c>
      <c r="N216" s="143" t="s">
        <v>204</v>
      </c>
      <c r="O216" s="143" t="s">
        <v>339</v>
      </c>
      <c r="P216" s="162">
        <v>45243</v>
      </c>
      <c r="Q216" s="143" t="s">
        <v>1210</v>
      </c>
      <c r="R216" s="143" t="s">
        <v>885</v>
      </c>
      <c r="S216" s="143" t="s">
        <v>889</v>
      </c>
      <c r="T216" s="163">
        <v>45442</v>
      </c>
      <c r="U216" s="145" t="s">
        <v>3853</v>
      </c>
      <c r="V216" s="144">
        <v>6286.2092999999995</v>
      </c>
      <c r="W216" s="144">
        <v>6286.2092999999995</v>
      </c>
      <c r="X216" s="146">
        <v>3.2424835050000003E-2</v>
      </c>
      <c r="Y216" s="146">
        <v>4.6114934651160745E-3</v>
      </c>
      <c r="Z216" s="147">
        <v>8.3748715167759902E-4</v>
      </c>
      <c r="AA216" s="181"/>
    </row>
    <row r="217" spans="1:27" ht="15" x14ac:dyDescent="0.2">
      <c r="A217" s="142" t="s">
        <v>1218</v>
      </c>
      <c r="B217" s="143" t="s">
        <v>1218</v>
      </c>
      <c r="C217" s="143" t="s">
        <v>3422</v>
      </c>
      <c r="D217" s="145" t="s">
        <v>3853</v>
      </c>
      <c r="E217" s="145" t="s">
        <v>3853</v>
      </c>
      <c r="F217" s="143" t="s">
        <v>3423</v>
      </c>
      <c r="G217" s="143" t="s">
        <v>3424</v>
      </c>
      <c r="H217" s="143" t="s">
        <v>312</v>
      </c>
      <c r="I217" s="143" t="s">
        <v>1003</v>
      </c>
      <c r="J217" s="145" t="s">
        <v>3853</v>
      </c>
      <c r="K217" s="143" t="s">
        <v>204</v>
      </c>
      <c r="L217" s="145" t="s">
        <v>3853</v>
      </c>
      <c r="M217" s="145" t="s">
        <v>3853</v>
      </c>
      <c r="N217" s="143" t="s">
        <v>204</v>
      </c>
      <c r="O217" s="143" t="s">
        <v>339</v>
      </c>
      <c r="P217" s="162">
        <v>45316</v>
      </c>
      <c r="Q217" s="143" t="s">
        <v>1210</v>
      </c>
      <c r="R217" s="143" t="s">
        <v>885</v>
      </c>
      <c r="S217" s="143" t="s">
        <v>889</v>
      </c>
      <c r="T217" s="163">
        <v>45449</v>
      </c>
      <c r="U217" s="145" t="s">
        <v>3853</v>
      </c>
      <c r="V217" s="144">
        <v>5273.9625999999998</v>
      </c>
      <c r="W217" s="144">
        <v>5273.9625999999998</v>
      </c>
      <c r="X217" s="145" t="s">
        <v>3853</v>
      </c>
      <c r="Y217" s="146">
        <v>3.8689205468708434E-3</v>
      </c>
      <c r="Z217" s="147">
        <v>7.0262947857917962E-4</v>
      </c>
      <c r="AA217" s="181"/>
    </row>
    <row r="218" spans="1:27" ht="15" x14ac:dyDescent="0.2">
      <c r="A218" s="142" t="s">
        <v>1218</v>
      </c>
      <c r="B218" s="143" t="s">
        <v>1218</v>
      </c>
      <c r="C218" s="143" t="s">
        <v>3425</v>
      </c>
      <c r="D218" s="145" t="s">
        <v>3853</v>
      </c>
      <c r="E218" s="145" t="s">
        <v>3853</v>
      </c>
      <c r="F218" s="143" t="s">
        <v>3426</v>
      </c>
      <c r="G218" s="143" t="s">
        <v>3427</v>
      </c>
      <c r="H218" s="143" t="s">
        <v>312</v>
      </c>
      <c r="I218" s="143" t="s">
        <v>1003</v>
      </c>
      <c r="J218" s="145" t="s">
        <v>3853</v>
      </c>
      <c r="K218" s="143" t="s">
        <v>204</v>
      </c>
      <c r="L218" s="145" t="s">
        <v>3853</v>
      </c>
      <c r="M218" s="145" t="s">
        <v>3853</v>
      </c>
      <c r="N218" s="143" t="s">
        <v>204</v>
      </c>
      <c r="O218" s="143" t="s">
        <v>339</v>
      </c>
      <c r="P218" s="162">
        <v>45382</v>
      </c>
      <c r="Q218" s="143" t="s">
        <v>1210</v>
      </c>
      <c r="R218" s="143" t="s">
        <v>885</v>
      </c>
      <c r="S218" s="143" t="s">
        <v>889</v>
      </c>
      <c r="T218" s="163">
        <v>45440</v>
      </c>
      <c r="U218" s="145" t="s">
        <v>3853</v>
      </c>
      <c r="V218" s="144">
        <v>4149.04</v>
      </c>
      <c r="W218" s="144">
        <v>4149.04</v>
      </c>
      <c r="X218" s="145" t="s">
        <v>3853</v>
      </c>
      <c r="Y218" s="146">
        <v>3.0436898007934541E-3</v>
      </c>
      <c r="Z218" s="147">
        <v>5.5276042807804503E-4</v>
      </c>
      <c r="AA218" s="181"/>
    </row>
    <row r="219" spans="1:27" ht="15" x14ac:dyDescent="0.2">
      <c r="A219" s="142" t="s">
        <v>1218</v>
      </c>
      <c r="B219" s="143" t="s">
        <v>1218</v>
      </c>
      <c r="C219" s="143" t="s">
        <v>3428</v>
      </c>
      <c r="D219" s="145" t="s">
        <v>3853</v>
      </c>
      <c r="E219" s="145" t="s">
        <v>3853</v>
      </c>
      <c r="F219" s="143" t="s">
        <v>3429</v>
      </c>
      <c r="G219" s="143" t="s">
        <v>3430</v>
      </c>
      <c r="H219" s="143" t="s">
        <v>312</v>
      </c>
      <c r="I219" s="143" t="s">
        <v>1003</v>
      </c>
      <c r="J219" s="145" t="s">
        <v>3853</v>
      </c>
      <c r="K219" s="143" t="s">
        <v>204</v>
      </c>
      <c r="L219" s="145" t="s">
        <v>3853</v>
      </c>
      <c r="M219" s="145" t="s">
        <v>3853</v>
      </c>
      <c r="N219" s="143" t="s">
        <v>204</v>
      </c>
      <c r="O219" s="143" t="s">
        <v>339</v>
      </c>
      <c r="P219" s="162">
        <v>45350</v>
      </c>
      <c r="Q219" s="143" t="s">
        <v>1210</v>
      </c>
      <c r="R219" s="143" t="s">
        <v>885</v>
      </c>
      <c r="S219" s="143" t="s">
        <v>889</v>
      </c>
      <c r="T219" s="163">
        <v>45452</v>
      </c>
      <c r="U219" s="145" t="s">
        <v>3853</v>
      </c>
      <c r="V219" s="144">
        <v>3253.4887999999996</v>
      </c>
      <c r="W219" s="144">
        <v>3253.4887999999996</v>
      </c>
      <c r="X219" s="146">
        <v>8.2457142857142853E-4</v>
      </c>
      <c r="Y219" s="146">
        <v>2.386723345481886E-3</v>
      </c>
      <c r="Z219" s="147">
        <v>4.3344963005379481E-4</v>
      </c>
      <c r="AA219" s="181"/>
    </row>
    <row r="220" spans="1:27" ht="15" x14ac:dyDescent="0.2">
      <c r="A220" s="142" t="s">
        <v>1218</v>
      </c>
      <c r="B220" s="143" t="s">
        <v>1218</v>
      </c>
      <c r="C220" s="143" t="s">
        <v>3431</v>
      </c>
      <c r="D220" s="145" t="s">
        <v>3853</v>
      </c>
      <c r="E220" s="145" t="s">
        <v>3853</v>
      </c>
      <c r="F220" s="143" t="s">
        <v>3432</v>
      </c>
      <c r="G220" s="143" t="s">
        <v>3433</v>
      </c>
      <c r="H220" s="143" t="s">
        <v>312</v>
      </c>
      <c r="I220" s="143" t="s">
        <v>1003</v>
      </c>
      <c r="J220" s="145" t="s">
        <v>3853</v>
      </c>
      <c r="K220" s="143" t="s">
        <v>204</v>
      </c>
      <c r="L220" s="145" t="s">
        <v>3853</v>
      </c>
      <c r="M220" s="145" t="s">
        <v>3853</v>
      </c>
      <c r="N220" s="143" t="s">
        <v>204</v>
      </c>
      <c r="O220" s="143" t="s">
        <v>339</v>
      </c>
      <c r="P220" s="162">
        <v>44938</v>
      </c>
      <c r="Q220" s="143" t="s">
        <v>1210</v>
      </c>
      <c r="R220" s="143" t="s">
        <v>885</v>
      </c>
      <c r="S220" s="143" t="s">
        <v>889</v>
      </c>
      <c r="T220" s="163">
        <v>45447</v>
      </c>
      <c r="U220" s="145" t="s">
        <v>3853</v>
      </c>
      <c r="V220" s="144">
        <v>2947.8568999999998</v>
      </c>
      <c r="W220" s="144">
        <v>2947.8568999999998</v>
      </c>
      <c r="X220" s="145" t="s">
        <v>3853</v>
      </c>
      <c r="Y220" s="146">
        <v>2.1625151258403688E-3</v>
      </c>
      <c r="Z220" s="147">
        <v>3.9273147558373239E-4</v>
      </c>
      <c r="AA220" s="181"/>
    </row>
    <row r="221" spans="1:27" ht="15" x14ac:dyDescent="0.2">
      <c r="A221" s="142" t="s">
        <v>1218</v>
      </c>
      <c r="B221" s="143" t="s">
        <v>1218</v>
      </c>
      <c r="C221" s="143" t="s">
        <v>3434</v>
      </c>
      <c r="D221" s="145" t="s">
        <v>3853</v>
      </c>
      <c r="E221" s="145" t="s">
        <v>3853</v>
      </c>
      <c r="F221" s="143" t="s">
        <v>3435</v>
      </c>
      <c r="G221" s="143" t="s">
        <v>3436</v>
      </c>
      <c r="H221" s="143" t="s">
        <v>312</v>
      </c>
      <c r="I221" s="143" t="s">
        <v>1003</v>
      </c>
      <c r="J221" s="145" t="s">
        <v>3853</v>
      </c>
      <c r="K221" s="143" t="s">
        <v>204</v>
      </c>
      <c r="L221" s="145" t="s">
        <v>3853</v>
      </c>
      <c r="M221" s="145" t="s">
        <v>3853</v>
      </c>
      <c r="N221" s="143" t="s">
        <v>204</v>
      </c>
      <c r="O221" s="143" t="s">
        <v>339</v>
      </c>
      <c r="P221" s="162">
        <v>45131</v>
      </c>
      <c r="Q221" s="143" t="s">
        <v>1210</v>
      </c>
      <c r="R221" s="143" t="s">
        <v>885</v>
      </c>
      <c r="S221" s="143" t="s">
        <v>889</v>
      </c>
      <c r="T221" s="163">
        <v>45448</v>
      </c>
      <c r="U221" s="145" t="s">
        <v>3853</v>
      </c>
      <c r="V221" s="144">
        <v>2216.5752000000002</v>
      </c>
      <c r="W221" s="144">
        <v>2216.5752000000002</v>
      </c>
      <c r="X221" s="145" t="s">
        <v>3853</v>
      </c>
      <c r="Y221" s="146">
        <v>1.6260550212612471E-3</v>
      </c>
      <c r="Z221" s="147">
        <v>2.9530567451272794E-4</v>
      </c>
      <c r="AA221" s="181"/>
    </row>
    <row r="222" spans="1:27" ht="15" x14ac:dyDescent="0.2">
      <c r="A222" s="142" t="s">
        <v>1218</v>
      </c>
      <c r="B222" s="143" t="s">
        <v>1218</v>
      </c>
      <c r="C222" s="143" t="s">
        <v>3437</v>
      </c>
      <c r="D222" s="145" t="s">
        <v>3853</v>
      </c>
      <c r="E222" s="145" t="s">
        <v>3853</v>
      </c>
      <c r="F222" s="143" t="s">
        <v>3423</v>
      </c>
      <c r="G222" s="143" t="s">
        <v>3438</v>
      </c>
      <c r="H222" s="143" t="s">
        <v>312</v>
      </c>
      <c r="I222" s="143" t="s">
        <v>1003</v>
      </c>
      <c r="J222" s="145" t="s">
        <v>3853</v>
      </c>
      <c r="K222" s="143" t="s">
        <v>204</v>
      </c>
      <c r="L222" s="145" t="s">
        <v>3853</v>
      </c>
      <c r="M222" s="145" t="s">
        <v>3853</v>
      </c>
      <c r="N222" s="143" t="s">
        <v>204</v>
      </c>
      <c r="O222" s="143" t="s">
        <v>339</v>
      </c>
      <c r="P222" s="162">
        <v>45369</v>
      </c>
      <c r="Q222" s="143" t="s">
        <v>1210</v>
      </c>
      <c r="R222" s="143" t="s">
        <v>885</v>
      </c>
      <c r="S222" s="143" t="s">
        <v>889</v>
      </c>
      <c r="T222" s="163">
        <v>45442</v>
      </c>
      <c r="U222" s="145" t="s">
        <v>3853</v>
      </c>
      <c r="V222" s="144">
        <v>1636.2746000000002</v>
      </c>
      <c r="W222" s="144">
        <v>1636.2746000000002</v>
      </c>
      <c r="X222" s="145" t="s">
        <v>3853</v>
      </c>
      <c r="Y222" s="146">
        <v>1.200352935581847E-3</v>
      </c>
      <c r="Z222" s="147">
        <v>2.1799448890750668E-4</v>
      </c>
      <c r="AA222" s="181"/>
    </row>
    <row r="223" spans="1:27" ht="15" x14ac:dyDescent="0.2">
      <c r="A223" s="142" t="s">
        <v>1218</v>
      </c>
      <c r="B223" s="143" t="s">
        <v>1218</v>
      </c>
      <c r="C223" s="143" t="s">
        <v>3411</v>
      </c>
      <c r="D223" s="145" t="s">
        <v>3853</v>
      </c>
      <c r="E223" s="145" t="s">
        <v>3853</v>
      </c>
      <c r="F223" s="143" t="s">
        <v>3439</v>
      </c>
      <c r="G223" s="143" t="s">
        <v>3440</v>
      </c>
      <c r="H223" s="143" t="s">
        <v>312</v>
      </c>
      <c r="I223" s="143" t="s">
        <v>1003</v>
      </c>
      <c r="J223" s="145" t="s">
        <v>3853</v>
      </c>
      <c r="K223" s="143" t="s">
        <v>204</v>
      </c>
      <c r="L223" s="145" t="s">
        <v>3853</v>
      </c>
      <c r="M223" s="145" t="s">
        <v>3853</v>
      </c>
      <c r="N223" s="143" t="s">
        <v>204</v>
      </c>
      <c r="O223" s="143" t="s">
        <v>339</v>
      </c>
      <c r="P223" s="162">
        <v>44174</v>
      </c>
      <c r="Q223" s="143" t="s">
        <v>1210</v>
      </c>
      <c r="R223" s="143" t="s">
        <v>885</v>
      </c>
      <c r="S223" s="143" t="s">
        <v>889</v>
      </c>
      <c r="T223" s="163">
        <v>45442</v>
      </c>
      <c r="U223" s="145" t="s">
        <v>3853</v>
      </c>
      <c r="V223" s="144">
        <v>54.667699999999996</v>
      </c>
      <c r="W223" s="144">
        <v>54.667699999999996</v>
      </c>
      <c r="X223" s="145" t="s">
        <v>3853</v>
      </c>
      <c r="Y223" s="146">
        <v>4.0103654055716717E-5</v>
      </c>
      <c r="Z223" s="147">
        <v>7.2831708992003517E-6</v>
      </c>
      <c r="AA223" s="181"/>
    </row>
    <row r="224" spans="1:27" ht="15" x14ac:dyDescent="0.2">
      <c r="A224" s="142" t="s">
        <v>1218</v>
      </c>
      <c r="B224" s="143" t="s">
        <v>1218</v>
      </c>
      <c r="C224" s="143" t="s">
        <v>3441</v>
      </c>
      <c r="D224" s="145" t="s">
        <v>3853</v>
      </c>
      <c r="E224" s="145" t="s">
        <v>3853</v>
      </c>
      <c r="F224" s="143" t="s">
        <v>3442</v>
      </c>
      <c r="G224" s="143" t="s">
        <v>3443</v>
      </c>
      <c r="H224" s="143" t="s">
        <v>312</v>
      </c>
      <c r="I224" s="143" t="s">
        <v>1003</v>
      </c>
      <c r="J224" s="145" t="s">
        <v>3853</v>
      </c>
      <c r="K224" s="143" t="s">
        <v>205</v>
      </c>
      <c r="L224" s="145" t="s">
        <v>3853</v>
      </c>
      <c r="M224" s="145" t="s">
        <v>3853</v>
      </c>
      <c r="N224" s="143" t="s">
        <v>293</v>
      </c>
      <c r="O224" s="143" t="s">
        <v>339</v>
      </c>
      <c r="P224" s="162">
        <v>45046</v>
      </c>
      <c r="Q224" s="143" t="s">
        <v>1214</v>
      </c>
      <c r="R224" s="143" t="s">
        <v>885</v>
      </c>
      <c r="S224" s="143" t="s">
        <v>889</v>
      </c>
      <c r="T224" s="163">
        <v>45461</v>
      </c>
      <c r="U224" s="143" t="s">
        <v>1215</v>
      </c>
      <c r="V224" s="144">
        <v>4847.1838465747969</v>
      </c>
      <c r="W224" s="144">
        <v>19486.648499999999</v>
      </c>
      <c r="X224" s="145" t="s">
        <v>3853</v>
      </c>
      <c r="Y224" s="146">
        <v>1.4295189440012439E-2</v>
      </c>
      <c r="Z224" s="147">
        <v>2.5961302075717817E-3</v>
      </c>
      <c r="AA224" s="181"/>
    </row>
    <row r="225" spans="1:27" ht="15" x14ac:dyDescent="0.2">
      <c r="A225" s="142" t="s">
        <v>1218</v>
      </c>
      <c r="B225" s="143" t="s">
        <v>1218</v>
      </c>
      <c r="C225" s="143" t="s">
        <v>3251</v>
      </c>
      <c r="D225" s="145" t="s">
        <v>3853</v>
      </c>
      <c r="E225" s="145" t="s">
        <v>3853</v>
      </c>
      <c r="F225" s="143" t="s">
        <v>3444</v>
      </c>
      <c r="G225" s="143" t="s">
        <v>3445</v>
      </c>
      <c r="H225" s="143" t="s">
        <v>312</v>
      </c>
      <c r="I225" s="143" t="s">
        <v>1003</v>
      </c>
      <c r="J225" s="145" t="s">
        <v>3853</v>
      </c>
      <c r="K225" s="143" t="s">
        <v>205</v>
      </c>
      <c r="L225" s="145" t="s">
        <v>3853</v>
      </c>
      <c r="M225" s="145" t="s">
        <v>3853</v>
      </c>
      <c r="N225" s="143" t="s">
        <v>224</v>
      </c>
      <c r="O225" s="143" t="s">
        <v>339</v>
      </c>
      <c r="P225" s="162">
        <v>45271</v>
      </c>
      <c r="Q225" s="143" t="s">
        <v>1211</v>
      </c>
      <c r="R225" s="143" t="s">
        <v>885</v>
      </c>
      <c r="S225" s="143" t="s">
        <v>889</v>
      </c>
      <c r="T225" s="163">
        <v>45461</v>
      </c>
      <c r="U225" s="143" t="s">
        <v>1212</v>
      </c>
      <c r="V225" s="144">
        <v>4896.0621973929237</v>
      </c>
      <c r="W225" s="144">
        <v>18404.2978</v>
      </c>
      <c r="X225" s="146">
        <v>9.1350000000000008E-3</v>
      </c>
      <c r="Y225" s="146">
        <v>1.3501188968551918E-2</v>
      </c>
      <c r="Z225" s="147">
        <v>2.4519328454147469E-3</v>
      </c>
      <c r="AA225" s="181"/>
    </row>
    <row r="226" spans="1:27" ht="15" x14ac:dyDescent="0.2">
      <c r="A226" s="142" t="s">
        <v>1218</v>
      </c>
      <c r="B226" s="143" t="s">
        <v>1218</v>
      </c>
      <c r="C226" s="143" t="s">
        <v>3446</v>
      </c>
      <c r="D226" s="145" t="s">
        <v>3853</v>
      </c>
      <c r="E226" s="145" t="s">
        <v>3853</v>
      </c>
      <c r="F226" s="143" t="s">
        <v>3447</v>
      </c>
      <c r="G226" s="143" t="s">
        <v>3448</v>
      </c>
      <c r="H226" s="143" t="s">
        <v>312</v>
      </c>
      <c r="I226" s="143" t="s">
        <v>1003</v>
      </c>
      <c r="J226" s="145" t="s">
        <v>3853</v>
      </c>
      <c r="K226" s="143" t="s">
        <v>205</v>
      </c>
      <c r="L226" s="145" t="s">
        <v>3853</v>
      </c>
      <c r="M226" s="145" t="s">
        <v>3853</v>
      </c>
      <c r="N226" s="143" t="s">
        <v>293</v>
      </c>
      <c r="O226" s="143" t="s">
        <v>339</v>
      </c>
      <c r="P226" s="162">
        <v>44816</v>
      </c>
      <c r="Q226" s="143" t="s">
        <v>1214</v>
      </c>
      <c r="R226" s="143" t="s">
        <v>885</v>
      </c>
      <c r="S226" s="143" t="s">
        <v>889</v>
      </c>
      <c r="T226" s="163">
        <v>45442</v>
      </c>
      <c r="U226" s="143" t="s">
        <v>1215</v>
      </c>
      <c r="V226" s="144">
        <v>3162.7542659569172</v>
      </c>
      <c r="W226" s="144">
        <v>12714.904699999999</v>
      </c>
      <c r="X226" s="146">
        <v>4.63625276E-3</v>
      </c>
      <c r="Y226" s="146">
        <v>9.3275132355129867E-3</v>
      </c>
      <c r="Z226" s="147">
        <v>1.6939571856572611E-3</v>
      </c>
      <c r="AA226" s="181"/>
    </row>
    <row r="227" spans="1:27" ht="15" x14ac:dyDescent="0.2">
      <c r="A227" s="142" t="s">
        <v>1218</v>
      </c>
      <c r="B227" s="143" t="s">
        <v>1218</v>
      </c>
      <c r="C227" s="143" t="s">
        <v>3449</v>
      </c>
      <c r="D227" s="145" t="s">
        <v>3853</v>
      </c>
      <c r="E227" s="145" t="s">
        <v>3853</v>
      </c>
      <c r="F227" s="143" t="s">
        <v>3450</v>
      </c>
      <c r="G227" s="143" t="s">
        <v>3451</v>
      </c>
      <c r="H227" s="143" t="s">
        <v>312</v>
      </c>
      <c r="I227" s="143" t="s">
        <v>1003</v>
      </c>
      <c r="J227" s="145" t="s">
        <v>3853</v>
      </c>
      <c r="K227" s="143" t="s">
        <v>205</v>
      </c>
      <c r="L227" s="145" t="s">
        <v>3853</v>
      </c>
      <c r="M227" s="145" t="s">
        <v>3853</v>
      </c>
      <c r="N227" s="143" t="s">
        <v>293</v>
      </c>
      <c r="O227" s="143" t="s">
        <v>339</v>
      </c>
      <c r="P227" s="162">
        <v>45203</v>
      </c>
      <c r="Q227" s="143" t="s">
        <v>1214</v>
      </c>
      <c r="R227" s="143" t="s">
        <v>885</v>
      </c>
      <c r="S227" s="143" t="s">
        <v>889</v>
      </c>
      <c r="T227" s="163">
        <v>45438</v>
      </c>
      <c r="U227" s="143" t="s">
        <v>1215</v>
      </c>
      <c r="V227" s="144">
        <v>3077.9330879060744</v>
      </c>
      <c r="W227" s="144">
        <v>12373.9066</v>
      </c>
      <c r="X227" s="146">
        <v>3.1341918199999999E-3</v>
      </c>
      <c r="Y227" s="146">
        <v>9.0773607580859998E-3</v>
      </c>
      <c r="Z227" s="147">
        <v>1.6485273292798873E-3</v>
      </c>
      <c r="AA227" s="181"/>
    </row>
    <row r="228" spans="1:27" ht="15" x14ac:dyDescent="0.2">
      <c r="A228" s="142" t="s">
        <v>1218</v>
      </c>
      <c r="B228" s="143" t="s">
        <v>1218</v>
      </c>
      <c r="C228" s="143" t="s">
        <v>3452</v>
      </c>
      <c r="D228" s="145" t="s">
        <v>3853</v>
      </c>
      <c r="E228" s="145" t="s">
        <v>3853</v>
      </c>
      <c r="F228" s="143" t="s">
        <v>3453</v>
      </c>
      <c r="G228" s="143" t="s">
        <v>3454</v>
      </c>
      <c r="H228" s="143" t="s">
        <v>312</v>
      </c>
      <c r="I228" s="143" t="s">
        <v>1003</v>
      </c>
      <c r="J228" s="145" t="s">
        <v>3853</v>
      </c>
      <c r="K228" s="143" t="s">
        <v>205</v>
      </c>
      <c r="L228" s="145" t="s">
        <v>3853</v>
      </c>
      <c r="M228" s="145" t="s">
        <v>3853</v>
      </c>
      <c r="N228" s="143" t="s">
        <v>224</v>
      </c>
      <c r="O228" s="143" t="s">
        <v>339</v>
      </c>
      <c r="P228" s="162">
        <v>44616</v>
      </c>
      <c r="Q228" s="143" t="s">
        <v>1211</v>
      </c>
      <c r="R228" s="143" t="s">
        <v>885</v>
      </c>
      <c r="S228" s="143" t="s">
        <v>889</v>
      </c>
      <c r="T228" s="163">
        <v>45434</v>
      </c>
      <c r="U228" s="143" t="s">
        <v>1212</v>
      </c>
      <c r="V228" s="144">
        <v>3073.226975259377</v>
      </c>
      <c r="W228" s="144">
        <v>11552.260199999999</v>
      </c>
      <c r="X228" s="146">
        <v>3.8415999999999998E-6</v>
      </c>
      <c r="Y228" s="146">
        <v>8.4746101172735802E-3</v>
      </c>
      <c r="Z228" s="147">
        <v>1.5390625927114846E-3</v>
      </c>
      <c r="AA228" s="181"/>
    </row>
    <row r="229" spans="1:27" ht="15" x14ac:dyDescent="0.2">
      <c r="A229" s="142" t="s">
        <v>1218</v>
      </c>
      <c r="B229" s="143" t="s">
        <v>1218</v>
      </c>
      <c r="C229" s="143" t="s">
        <v>3455</v>
      </c>
      <c r="D229" s="145" t="s">
        <v>3853</v>
      </c>
      <c r="E229" s="145" t="s">
        <v>3853</v>
      </c>
      <c r="F229" s="143" t="s">
        <v>3456</v>
      </c>
      <c r="G229" s="143" t="s">
        <v>3457</v>
      </c>
      <c r="H229" s="143" t="s">
        <v>312</v>
      </c>
      <c r="I229" s="143" t="s">
        <v>1003</v>
      </c>
      <c r="J229" s="145" t="s">
        <v>3853</v>
      </c>
      <c r="K229" s="143" t="s">
        <v>205</v>
      </c>
      <c r="L229" s="145" t="s">
        <v>3853</v>
      </c>
      <c r="M229" s="145" t="s">
        <v>3853</v>
      </c>
      <c r="N229" s="143" t="s">
        <v>272</v>
      </c>
      <c r="O229" s="143" t="s">
        <v>339</v>
      </c>
      <c r="P229" s="162">
        <v>45222</v>
      </c>
      <c r="Q229" s="143" t="s">
        <v>1214</v>
      </c>
      <c r="R229" s="143" t="s">
        <v>885</v>
      </c>
      <c r="S229" s="143" t="s">
        <v>889</v>
      </c>
      <c r="T229" s="163">
        <v>45442</v>
      </c>
      <c r="U229" s="143" t="s">
        <v>1215</v>
      </c>
      <c r="V229" s="144">
        <v>2134.0560668623448</v>
      </c>
      <c r="W229" s="144">
        <v>8579.3321999999989</v>
      </c>
      <c r="X229" s="146">
        <v>1.0606050049999999E-2</v>
      </c>
      <c r="Y229" s="146">
        <v>6.2937030244857601E-3</v>
      </c>
      <c r="Z229" s="147">
        <v>1.1429909766441787E-3</v>
      </c>
      <c r="AA229" s="181"/>
    </row>
    <row r="230" spans="1:27" ht="15" x14ac:dyDescent="0.2">
      <c r="A230" s="142" t="s">
        <v>1218</v>
      </c>
      <c r="B230" s="143" t="s">
        <v>1218</v>
      </c>
      <c r="C230" s="143" t="s">
        <v>3461</v>
      </c>
      <c r="D230" s="145" t="s">
        <v>3853</v>
      </c>
      <c r="E230" s="145" t="s">
        <v>3853</v>
      </c>
      <c r="F230" s="143" t="s">
        <v>3462</v>
      </c>
      <c r="G230" s="143" t="s">
        <v>3463</v>
      </c>
      <c r="H230" s="143" t="s">
        <v>312</v>
      </c>
      <c r="I230" s="143" t="s">
        <v>1003</v>
      </c>
      <c r="J230" s="145" t="s">
        <v>3853</v>
      </c>
      <c r="K230" s="143" t="s">
        <v>205</v>
      </c>
      <c r="L230" s="145" t="s">
        <v>3853</v>
      </c>
      <c r="M230" s="145" t="s">
        <v>3853</v>
      </c>
      <c r="N230" s="143" t="s">
        <v>289</v>
      </c>
      <c r="O230" s="143" t="s">
        <v>339</v>
      </c>
      <c r="P230" s="162">
        <v>45054</v>
      </c>
      <c r="Q230" s="143" t="s">
        <v>1211</v>
      </c>
      <c r="R230" s="143" t="s">
        <v>885</v>
      </c>
      <c r="S230" s="143" t="s">
        <v>889</v>
      </c>
      <c r="T230" s="163">
        <v>45448</v>
      </c>
      <c r="U230" s="143" t="s">
        <v>1212</v>
      </c>
      <c r="V230" s="144">
        <v>2210.0390263367917</v>
      </c>
      <c r="W230" s="144">
        <v>8307.5367000000006</v>
      </c>
      <c r="X230" s="146">
        <v>2.13884748E-3</v>
      </c>
      <c r="Y230" s="146">
        <v>6.0943168616209549E-3</v>
      </c>
      <c r="Z230" s="147">
        <v>1.1067807226592761E-3</v>
      </c>
      <c r="AA230" s="181"/>
    </row>
    <row r="231" spans="1:27" ht="15" x14ac:dyDescent="0.2">
      <c r="A231" s="142" t="s">
        <v>1218</v>
      </c>
      <c r="B231" s="143" t="s">
        <v>1218</v>
      </c>
      <c r="C231" s="143" t="s">
        <v>3458</v>
      </c>
      <c r="D231" s="145" t="s">
        <v>3853</v>
      </c>
      <c r="E231" s="145" t="s">
        <v>3853</v>
      </c>
      <c r="F231" s="143" t="s">
        <v>3459</v>
      </c>
      <c r="G231" s="143" t="s">
        <v>3460</v>
      </c>
      <c r="H231" s="143" t="s">
        <v>312</v>
      </c>
      <c r="I231" s="143" t="s">
        <v>1003</v>
      </c>
      <c r="J231" s="145" t="s">
        <v>3853</v>
      </c>
      <c r="K231" s="143" t="s">
        <v>205</v>
      </c>
      <c r="L231" s="145" t="s">
        <v>3853</v>
      </c>
      <c r="M231" s="145" t="s">
        <v>3853</v>
      </c>
      <c r="N231" s="143" t="s">
        <v>291</v>
      </c>
      <c r="O231" s="143" t="s">
        <v>339</v>
      </c>
      <c r="P231" s="162">
        <v>45342</v>
      </c>
      <c r="Q231" s="143" t="s">
        <v>1211</v>
      </c>
      <c r="R231" s="143" t="s">
        <v>885</v>
      </c>
      <c r="S231" s="143" t="s">
        <v>889</v>
      </c>
      <c r="T231" s="163">
        <v>45470</v>
      </c>
      <c r="U231" s="143" t="s">
        <v>1212</v>
      </c>
      <c r="V231" s="144">
        <v>1835.2810853950518</v>
      </c>
      <c r="W231" s="144">
        <v>6898.8215999999993</v>
      </c>
      <c r="X231" s="145" t="s">
        <v>3853</v>
      </c>
      <c r="Y231" s="146">
        <v>5.0608990676393453E-3</v>
      </c>
      <c r="Z231" s="147">
        <v>9.1910310122892205E-4</v>
      </c>
      <c r="AA231" s="181"/>
    </row>
    <row r="232" spans="1:27" ht="15" x14ac:dyDescent="0.2">
      <c r="A232" s="142" t="s">
        <v>1218</v>
      </c>
      <c r="B232" s="143" t="s">
        <v>1218</v>
      </c>
      <c r="C232" s="143" t="s">
        <v>3464</v>
      </c>
      <c r="D232" s="145" t="s">
        <v>3853</v>
      </c>
      <c r="E232" s="145" t="s">
        <v>3853</v>
      </c>
      <c r="F232" s="143" t="s">
        <v>3465</v>
      </c>
      <c r="G232" s="143" t="s">
        <v>3466</v>
      </c>
      <c r="H232" s="143" t="s">
        <v>312</v>
      </c>
      <c r="I232" s="143" t="s">
        <v>1003</v>
      </c>
      <c r="J232" s="145" t="s">
        <v>3853</v>
      </c>
      <c r="K232" s="143" t="s">
        <v>205</v>
      </c>
      <c r="L232" s="145" t="s">
        <v>3853</v>
      </c>
      <c r="M232" s="145" t="s">
        <v>3853</v>
      </c>
      <c r="N232" s="143" t="s">
        <v>293</v>
      </c>
      <c r="O232" s="143" t="s">
        <v>339</v>
      </c>
      <c r="P232" s="162">
        <v>45369</v>
      </c>
      <c r="Q232" s="143" t="s">
        <v>1214</v>
      </c>
      <c r="R232" s="143" t="s">
        <v>885</v>
      </c>
      <c r="S232" s="143" t="s">
        <v>889</v>
      </c>
      <c r="T232" s="163">
        <v>45468</v>
      </c>
      <c r="U232" s="143" t="s">
        <v>1215</v>
      </c>
      <c r="V232" s="144">
        <v>1339.8692353614247</v>
      </c>
      <c r="W232" s="144">
        <v>5386.5423000000001</v>
      </c>
      <c r="X232" s="146">
        <v>6.4781246999999996E-4</v>
      </c>
      <c r="Y232" s="146">
        <v>3.9515077556675849E-3</v>
      </c>
      <c r="Z232" s="147">
        <v>7.17628030953458E-4</v>
      </c>
      <c r="AA232" s="181"/>
    </row>
    <row r="233" spans="1:27" ht="15" x14ac:dyDescent="0.2">
      <c r="A233" s="142" t="s">
        <v>1218</v>
      </c>
      <c r="B233" s="143" t="s">
        <v>1218</v>
      </c>
      <c r="C233" s="143" t="s">
        <v>3467</v>
      </c>
      <c r="D233" s="145" t="s">
        <v>3853</v>
      </c>
      <c r="E233" s="145" t="s">
        <v>3853</v>
      </c>
      <c r="F233" s="143" t="s">
        <v>3468</v>
      </c>
      <c r="G233" s="143" t="s">
        <v>3469</v>
      </c>
      <c r="H233" s="143" t="s">
        <v>312</v>
      </c>
      <c r="I233" s="143" t="s">
        <v>1003</v>
      </c>
      <c r="J233" s="145" t="s">
        <v>3853</v>
      </c>
      <c r="K233" s="143" t="s">
        <v>205</v>
      </c>
      <c r="L233" s="145" t="s">
        <v>3853</v>
      </c>
      <c r="M233" s="145" t="s">
        <v>3853</v>
      </c>
      <c r="N233" s="143" t="s">
        <v>296</v>
      </c>
      <c r="O233" s="143" t="s">
        <v>339</v>
      </c>
      <c r="P233" s="162">
        <v>45281</v>
      </c>
      <c r="Q233" s="143" t="s">
        <v>1211</v>
      </c>
      <c r="R233" s="143" t="s">
        <v>885</v>
      </c>
      <c r="S233" s="143" t="s">
        <v>889</v>
      </c>
      <c r="T233" s="163">
        <v>45442</v>
      </c>
      <c r="U233" s="143" t="s">
        <v>1212</v>
      </c>
      <c r="V233" s="144">
        <v>972.51205107741418</v>
      </c>
      <c r="W233" s="144">
        <v>3655.6727999999998</v>
      </c>
      <c r="X233" s="146">
        <v>1.1287466666666668E-2</v>
      </c>
      <c r="Y233" s="146">
        <v>2.6817610434519555E-3</v>
      </c>
      <c r="Z233" s="147">
        <v>4.8703103121582595E-4</v>
      </c>
      <c r="AA233" s="181"/>
    </row>
    <row r="234" spans="1:27" ht="15" x14ac:dyDescent="0.2">
      <c r="A234" s="142" t="s">
        <v>1218</v>
      </c>
      <c r="B234" s="143" t="s">
        <v>1218</v>
      </c>
      <c r="C234" s="143" t="s">
        <v>3452</v>
      </c>
      <c r="D234" s="145" t="s">
        <v>3853</v>
      </c>
      <c r="E234" s="145" t="s">
        <v>3853</v>
      </c>
      <c r="F234" s="143" t="s">
        <v>3473</v>
      </c>
      <c r="G234" s="143" t="s">
        <v>3474</v>
      </c>
      <c r="H234" s="143" t="s">
        <v>312</v>
      </c>
      <c r="I234" s="143" t="s">
        <v>1003</v>
      </c>
      <c r="J234" s="145" t="s">
        <v>3853</v>
      </c>
      <c r="K234" s="143" t="s">
        <v>205</v>
      </c>
      <c r="L234" s="145" t="s">
        <v>3853</v>
      </c>
      <c r="M234" s="145" t="s">
        <v>3853</v>
      </c>
      <c r="N234" s="143" t="s">
        <v>224</v>
      </c>
      <c r="O234" s="143" t="s">
        <v>339</v>
      </c>
      <c r="P234" s="162">
        <v>44616</v>
      </c>
      <c r="Q234" s="143" t="s">
        <v>1211</v>
      </c>
      <c r="R234" s="143" t="s">
        <v>885</v>
      </c>
      <c r="S234" s="143" t="s">
        <v>889</v>
      </c>
      <c r="T234" s="163">
        <v>45431</v>
      </c>
      <c r="U234" s="143" t="s">
        <v>1212</v>
      </c>
      <c r="V234" s="144">
        <v>754.3803139132749</v>
      </c>
      <c r="W234" s="144">
        <v>2835.7156</v>
      </c>
      <c r="X234" s="145" t="s">
        <v>3853</v>
      </c>
      <c r="Y234" s="146">
        <v>2.0802495117752248E-3</v>
      </c>
      <c r="Z234" s="147">
        <v>3.7779132759792322E-4</v>
      </c>
      <c r="AA234" s="181"/>
    </row>
    <row r="235" spans="1:27" ht="15" x14ac:dyDescent="0.2">
      <c r="A235" s="142" t="s">
        <v>1218</v>
      </c>
      <c r="B235" s="143" t="s">
        <v>1218</v>
      </c>
      <c r="C235" s="143" t="s">
        <v>3470</v>
      </c>
      <c r="D235" s="145" t="s">
        <v>3853</v>
      </c>
      <c r="E235" s="145" t="s">
        <v>3853</v>
      </c>
      <c r="F235" s="143" t="s">
        <v>3471</v>
      </c>
      <c r="G235" s="143" t="s">
        <v>3472</v>
      </c>
      <c r="H235" s="143" t="s">
        <v>312</v>
      </c>
      <c r="I235" s="143" t="s">
        <v>1003</v>
      </c>
      <c r="J235" s="145" t="s">
        <v>3853</v>
      </c>
      <c r="K235" s="143" t="s">
        <v>205</v>
      </c>
      <c r="L235" s="145" t="s">
        <v>3853</v>
      </c>
      <c r="M235" s="145" t="s">
        <v>3853</v>
      </c>
      <c r="N235" s="143" t="s">
        <v>291</v>
      </c>
      <c r="O235" s="143" t="s">
        <v>339</v>
      </c>
      <c r="P235" s="162">
        <v>45259</v>
      </c>
      <c r="Q235" s="143" t="s">
        <v>1211</v>
      </c>
      <c r="R235" s="143" t="s">
        <v>885</v>
      </c>
      <c r="S235" s="143" t="s">
        <v>889</v>
      </c>
      <c r="T235" s="163">
        <v>45471</v>
      </c>
      <c r="U235" s="143" t="s">
        <v>1212</v>
      </c>
      <c r="V235" s="144">
        <v>718.07134876296891</v>
      </c>
      <c r="W235" s="144">
        <v>2699.2302</v>
      </c>
      <c r="X235" s="146">
        <v>4.5468909696969696E-4</v>
      </c>
      <c r="Y235" s="146">
        <v>1.9801253689302476E-3</v>
      </c>
      <c r="Z235" s="147">
        <v>3.5960791611968745E-4</v>
      </c>
      <c r="AA235" s="181"/>
    </row>
    <row r="236" spans="1:27" ht="15" x14ac:dyDescent="0.2">
      <c r="A236" s="142" t="s">
        <v>1218</v>
      </c>
      <c r="B236" s="143" t="s">
        <v>1218</v>
      </c>
      <c r="C236" s="143" t="s">
        <v>3475</v>
      </c>
      <c r="D236" s="145" t="s">
        <v>3853</v>
      </c>
      <c r="E236" s="145" t="s">
        <v>3853</v>
      </c>
      <c r="F236" s="143" t="s">
        <v>3476</v>
      </c>
      <c r="G236" s="143" t="s">
        <v>3477</v>
      </c>
      <c r="H236" s="143" t="s">
        <v>312</v>
      </c>
      <c r="I236" s="143" t="s">
        <v>1003</v>
      </c>
      <c r="J236" s="145" t="s">
        <v>3853</v>
      </c>
      <c r="K236" s="143" t="s">
        <v>205</v>
      </c>
      <c r="L236" s="145" t="s">
        <v>3853</v>
      </c>
      <c r="M236" s="145" t="s">
        <v>3853</v>
      </c>
      <c r="N236" s="143" t="s">
        <v>204</v>
      </c>
      <c r="O236" s="143" t="s">
        <v>339</v>
      </c>
      <c r="P236" s="162">
        <v>45356</v>
      </c>
      <c r="Q236" s="143" t="s">
        <v>1210</v>
      </c>
      <c r="R236" s="143" t="s">
        <v>885</v>
      </c>
      <c r="S236" s="143" t="s">
        <v>889</v>
      </c>
      <c r="T236" s="163">
        <v>45442</v>
      </c>
      <c r="U236" s="145" t="s">
        <v>3853</v>
      </c>
      <c r="V236" s="144">
        <v>1790.2578000000001</v>
      </c>
      <c r="W236" s="144">
        <v>1790.2578000000001</v>
      </c>
      <c r="X236" s="146">
        <v>2.4524813458146793E-3</v>
      </c>
      <c r="Y236" s="146">
        <v>1.313313266256074E-3</v>
      </c>
      <c r="Z236" s="147">
        <v>2.3850906326493491E-4</v>
      </c>
      <c r="AA236" s="181"/>
    </row>
    <row r="237" spans="1:27" ht="15" x14ac:dyDescent="0.2">
      <c r="A237" s="142" t="s">
        <v>1218</v>
      </c>
      <c r="B237" s="143" t="s">
        <v>1218</v>
      </c>
      <c r="C237" s="143" t="s">
        <v>3470</v>
      </c>
      <c r="D237" s="145" t="s">
        <v>3853</v>
      </c>
      <c r="E237" s="145" t="s">
        <v>3853</v>
      </c>
      <c r="F237" s="143" t="s">
        <v>3478</v>
      </c>
      <c r="G237" s="143" t="s">
        <v>3479</v>
      </c>
      <c r="H237" s="143" t="s">
        <v>312</v>
      </c>
      <c r="I237" s="143" t="s">
        <v>1003</v>
      </c>
      <c r="J237" s="145" t="s">
        <v>3853</v>
      </c>
      <c r="K237" s="143" t="s">
        <v>205</v>
      </c>
      <c r="L237" s="145" t="s">
        <v>3853</v>
      </c>
      <c r="M237" s="145" t="s">
        <v>3853</v>
      </c>
      <c r="N237" s="143" t="s">
        <v>291</v>
      </c>
      <c r="O237" s="143" t="s">
        <v>339</v>
      </c>
      <c r="P237" s="162">
        <v>44651</v>
      </c>
      <c r="Q237" s="143" t="s">
        <v>1211</v>
      </c>
      <c r="R237" s="143" t="s">
        <v>885</v>
      </c>
      <c r="S237" s="143" t="s">
        <v>889</v>
      </c>
      <c r="T237" s="163">
        <v>44651</v>
      </c>
      <c r="U237" s="143" t="s">
        <v>1212</v>
      </c>
      <c r="V237" s="145" t="s">
        <v>3853</v>
      </c>
      <c r="W237" s="144">
        <v>0</v>
      </c>
      <c r="X237" s="146">
        <v>6.0606060606060602E-12</v>
      </c>
      <c r="Y237" s="146">
        <v>2.7575607538869664E-11</v>
      </c>
      <c r="Z237" s="147">
        <v>5.007969151036406E-12</v>
      </c>
      <c r="AA237" s="181"/>
    </row>
    <row r="238" spans="1:27" ht="15" x14ac:dyDescent="0.2">
      <c r="A238" s="142" t="s">
        <v>1218</v>
      </c>
      <c r="B238" s="143" t="s">
        <v>1218</v>
      </c>
      <c r="C238" s="143" t="s">
        <v>3480</v>
      </c>
      <c r="D238" s="145" t="s">
        <v>3853</v>
      </c>
      <c r="E238" s="145" t="s">
        <v>3853</v>
      </c>
      <c r="F238" s="143" t="s">
        <v>3481</v>
      </c>
      <c r="G238" s="143" t="s">
        <v>3482</v>
      </c>
      <c r="H238" s="143" t="s">
        <v>312</v>
      </c>
      <c r="I238" s="143" t="s">
        <v>1004</v>
      </c>
      <c r="J238" s="145" t="s">
        <v>3853</v>
      </c>
      <c r="K238" s="143" t="s">
        <v>204</v>
      </c>
      <c r="L238" s="145" t="s">
        <v>3853</v>
      </c>
      <c r="M238" s="145" t="s">
        <v>3853</v>
      </c>
      <c r="N238" s="143" t="s">
        <v>204</v>
      </c>
      <c r="O238" s="143" t="s">
        <v>339</v>
      </c>
      <c r="P238" s="162">
        <v>45306</v>
      </c>
      <c r="Q238" s="143" t="s">
        <v>1210</v>
      </c>
      <c r="R238" s="143" t="s">
        <v>885</v>
      </c>
      <c r="S238" s="143" t="s">
        <v>889</v>
      </c>
      <c r="T238" s="163">
        <v>45419</v>
      </c>
      <c r="U238" s="145" t="s">
        <v>3853</v>
      </c>
      <c r="V238" s="144">
        <v>18673.225300000002</v>
      </c>
      <c r="W238" s="144">
        <v>18673.225300000002</v>
      </c>
      <c r="X238" s="145" t="s">
        <v>3853</v>
      </c>
      <c r="Y238" s="146">
        <v>1.3698471184871214E-2</v>
      </c>
      <c r="Z238" s="147">
        <v>2.4877610044854942E-3</v>
      </c>
      <c r="AA238" s="181"/>
    </row>
    <row r="239" spans="1:27" ht="15" x14ac:dyDescent="0.2">
      <c r="A239" s="142" t="s">
        <v>1218</v>
      </c>
      <c r="B239" s="143" t="s">
        <v>1218</v>
      </c>
      <c r="C239" s="143" t="s">
        <v>3483</v>
      </c>
      <c r="D239" s="145" t="s">
        <v>3853</v>
      </c>
      <c r="E239" s="145" t="s">
        <v>3853</v>
      </c>
      <c r="F239" s="143" t="s">
        <v>3484</v>
      </c>
      <c r="G239" s="143" t="s">
        <v>3485</v>
      </c>
      <c r="H239" s="143" t="s">
        <v>312</v>
      </c>
      <c r="I239" s="143" t="s">
        <v>1004</v>
      </c>
      <c r="J239" s="145" t="s">
        <v>3853</v>
      </c>
      <c r="K239" s="143" t="s">
        <v>204</v>
      </c>
      <c r="L239" s="145" t="s">
        <v>3853</v>
      </c>
      <c r="M239" s="145" t="s">
        <v>3853</v>
      </c>
      <c r="N239" s="143" t="s">
        <v>204</v>
      </c>
      <c r="O239" s="143" t="s">
        <v>339</v>
      </c>
      <c r="P239" s="162">
        <v>45378</v>
      </c>
      <c r="Q239" s="143" t="s">
        <v>1210</v>
      </c>
      <c r="R239" s="143" t="s">
        <v>885</v>
      </c>
      <c r="S239" s="143" t="s">
        <v>889</v>
      </c>
      <c r="T239" s="163">
        <v>45441</v>
      </c>
      <c r="U239" s="145" t="s">
        <v>3853</v>
      </c>
      <c r="V239" s="144">
        <v>4461.4134000000004</v>
      </c>
      <c r="W239" s="144">
        <v>4461.4134000000004</v>
      </c>
      <c r="X239" s="146">
        <v>3.0844426666666665E-3</v>
      </c>
      <c r="Y239" s="146">
        <v>3.2728434728066772E-3</v>
      </c>
      <c r="Z239" s="147">
        <v>5.943767195295145E-4</v>
      </c>
      <c r="AA239" s="181"/>
    </row>
    <row r="240" spans="1:27" ht="15" x14ac:dyDescent="0.2">
      <c r="A240" s="142" t="s">
        <v>1218</v>
      </c>
      <c r="B240" s="143" t="s">
        <v>1218</v>
      </c>
      <c r="C240" s="143" t="s">
        <v>3486</v>
      </c>
      <c r="D240" s="145" t="s">
        <v>3853</v>
      </c>
      <c r="E240" s="145" t="s">
        <v>3853</v>
      </c>
      <c r="F240" s="143" t="s">
        <v>3486</v>
      </c>
      <c r="G240" s="143" t="s">
        <v>3487</v>
      </c>
      <c r="H240" s="143" t="s">
        <v>312</v>
      </c>
      <c r="I240" s="143" t="s">
        <v>1004</v>
      </c>
      <c r="J240" s="145" t="s">
        <v>3853</v>
      </c>
      <c r="K240" s="143" t="s">
        <v>204</v>
      </c>
      <c r="L240" s="145" t="s">
        <v>3853</v>
      </c>
      <c r="M240" s="145" t="s">
        <v>3853</v>
      </c>
      <c r="N240" s="143" t="s">
        <v>204</v>
      </c>
      <c r="O240" s="143" t="s">
        <v>339</v>
      </c>
      <c r="P240" s="162">
        <v>45362</v>
      </c>
      <c r="Q240" s="143" t="s">
        <v>1210</v>
      </c>
      <c r="R240" s="143" t="s">
        <v>885</v>
      </c>
      <c r="S240" s="143" t="s">
        <v>889</v>
      </c>
      <c r="T240" s="163">
        <v>45427</v>
      </c>
      <c r="U240" s="145" t="s">
        <v>3853</v>
      </c>
      <c r="V240" s="144">
        <v>3376.0841</v>
      </c>
      <c r="W240" s="144">
        <v>3376.0841</v>
      </c>
      <c r="X240" s="145" t="s">
        <v>3853</v>
      </c>
      <c r="Y240" s="146">
        <v>2.4766578951777429E-3</v>
      </c>
      <c r="Z240" s="147">
        <v>4.4978252316791201E-4</v>
      </c>
      <c r="AA240" s="181"/>
    </row>
    <row r="241" spans="1:27" ht="15" x14ac:dyDescent="0.2">
      <c r="A241" s="142" t="s">
        <v>1218</v>
      </c>
      <c r="B241" s="143" t="s">
        <v>1218</v>
      </c>
      <c r="C241" s="143" t="s">
        <v>3480</v>
      </c>
      <c r="D241" s="145" t="s">
        <v>3853</v>
      </c>
      <c r="E241" s="145" t="s">
        <v>3853</v>
      </c>
      <c r="F241" s="143" t="s">
        <v>3488</v>
      </c>
      <c r="G241" s="143" t="s">
        <v>3489</v>
      </c>
      <c r="H241" s="143" t="s">
        <v>312</v>
      </c>
      <c r="I241" s="143" t="s">
        <v>1004</v>
      </c>
      <c r="J241" s="145" t="s">
        <v>3853</v>
      </c>
      <c r="K241" s="143" t="s">
        <v>204</v>
      </c>
      <c r="L241" s="145" t="s">
        <v>3853</v>
      </c>
      <c r="M241" s="145" t="s">
        <v>3853</v>
      </c>
      <c r="N241" s="143" t="s">
        <v>204</v>
      </c>
      <c r="O241" s="143" t="s">
        <v>339</v>
      </c>
      <c r="P241" s="162">
        <v>45250</v>
      </c>
      <c r="Q241" s="143" t="s">
        <v>1210</v>
      </c>
      <c r="R241" s="143" t="s">
        <v>885</v>
      </c>
      <c r="S241" s="143" t="s">
        <v>889</v>
      </c>
      <c r="T241" s="163">
        <v>45250</v>
      </c>
      <c r="U241" s="145" t="s">
        <v>3853</v>
      </c>
      <c r="V241" s="144">
        <v>83.42</v>
      </c>
      <c r="W241" s="144">
        <v>83.42</v>
      </c>
      <c r="X241" s="146">
        <v>5.1811733724209037E-5</v>
      </c>
      <c r="Y241" s="146">
        <v>6.1195987786446062E-5</v>
      </c>
      <c r="Z241" s="147">
        <v>1.1113721377479568E-5</v>
      </c>
      <c r="AA241" s="181"/>
    </row>
    <row r="242" spans="1:27" ht="15" x14ac:dyDescent="0.2">
      <c r="A242" s="142" t="s">
        <v>1218</v>
      </c>
      <c r="B242" s="143" t="s">
        <v>1218</v>
      </c>
      <c r="C242" s="143" t="s">
        <v>3490</v>
      </c>
      <c r="D242" s="145" t="s">
        <v>3853</v>
      </c>
      <c r="E242" s="145" t="s">
        <v>3853</v>
      </c>
      <c r="F242" s="143" t="s">
        <v>3491</v>
      </c>
      <c r="G242" s="143" t="s">
        <v>3492</v>
      </c>
      <c r="H242" s="143" t="s">
        <v>312</v>
      </c>
      <c r="I242" s="143" t="s">
        <v>1004</v>
      </c>
      <c r="J242" s="145" t="s">
        <v>3853</v>
      </c>
      <c r="K242" s="143" t="s">
        <v>204</v>
      </c>
      <c r="L242" s="145" t="s">
        <v>3853</v>
      </c>
      <c r="M242" s="145" t="s">
        <v>3853</v>
      </c>
      <c r="N242" s="143" t="s">
        <v>204</v>
      </c>
      <c r="O242" s="143" t="s">
        <v>339</v>
      </c>
      <c r="P242" s="162">
        <v>42283</v>
      </c>
      <c r="Q242" s="143" t="s">
        <v>1211</v>
      </c>
      <c r="R242" s="143" t="s">
        <v>885</v>
      </c>
      <c r="S242" s="143" t="s">
        <v>889</v>
      </c>
      <c r="T242" s="163">
        <v>45382</v>
      </c>
      <c r="U242" s="143" t="s">
        <v>1212</v>
      </c>
      <c r="V242" s="144">
        <v>2.0528598031391327</v>
      </c>
      <c r="W242" s="144">
        <v>7.7166999999999994</v>
      </c>
      <c r="X242" s="145" t="s">
        <v>3853</v>
      </c>
      <c r="Y242" s="146">
        <v>5.6608568497078628E-6</v>
      </c>
      <c r="Z242" s="147">
        <v>1.0280606304615316E-6</v>
      </c>
      <c r="AA242" s="181"/>
    </row>
    <row r="243" spans="1:27" ht="15" x14ac:dyDescent="0.2">
      <c r="A243" s="142" t="s">
        <v>1218</v>
      </c>
      <c r="B243" s="143" t="s">
        <v>1218</v>
      </c>
      <c r="C243" s="143" t="s">
        <v>3490</v>
      </c>
      <c r="D243" s="145" t="s">
        <v>3853</v>
      </c>
      <c r="E243" s="145" t="s">
        <v>3853</v>
      </c>
      <c r="F243" s="143" t="s">
        <v>3493</v>
      </c>
      <c r="G243" s="143" t="s">
        <v>3494</v>
      </c>
      <c r="H243" s="143" t="s">
        <v>312</v>
      </c>
      <c r="I243" s="143" t="s">
        <v>1004</v>
      </c>
      <c r="J243" s="145" t="s">
        <v>3853</v>
      </c>
      <c r="K243" s="143" t="s">
        <v>204</v>
      </c>
      <c r="L243" s="145" t="s">
        <v>3853</v>
      </c>
      <c r="M243" s="145" t="s">
        <v>3853</v>
      </c>
      <c r="N243" s="143" t="s">
        <v>204</v>
      </c>
      <c r="O243" s="143" t="s">
        <v>339</v>
      </c>
      <c r="P243" s="162">
        <v>42528</v>
      </c>
      <c r="Q243" s="143" t="s">
        <v>1210</v>
      </c>
      <c r="R243" s="143" t="s">
        <v>885</v>
      </c>
      <c r="S243" s="143" t="s">
        <v>889</v>
      </c>
      <c r="T243" s="163">
        <v>45386</v>
      </c>
      <c r="U243" s="145" t="s">
        <v>3853</v>
      </c>
      <c r="V243" s="144">
        <v>1E-4</v>
      </c>
      <c r="W243" s="144">
        <v>1E-4</v>
      </c>
      <c r="X243" s="145" t="s">
        <v>3853</v>
      </c>
      <c r="Y243" s="146">
        <v>4.3069178896597484E-11</v>
      </c>
      <c r="Z243" s="147">
        <v>7.8217358936008991E-12</v>
      </c>
      <c r="AA243" s="181"/>
    </row>
    <row r="244" spans="1:27" ht="15" x14ac:dyDescent="0.2">
      <c r="A244" s="142" t="s">
        <v>1218</v>
      </c>
      <c r="B244" s="143" t="s">
        <v>1218</v>
      </c>
      <c r="C244" s="143" t="s">
        <v>3495</v>
      </c>
      <c r="D244" s="145" t="s">
        <v>3853</v>
      </c>
      <c r="E244" s="145" t="s">
        <v>3853</v>
      </c>
      <c r="F244" s="143" t="s">
        <v>3496</v>
      </c>
      <c r="G244" s="143" t="s">
        <v>3497</v>
      </c>
      <c r="H244" s="143" t="s">
        <v>312</v>
      </c>
      <c r="I244" s="143" t="s">
        <v>1004</v>
      </c>
      <c r="J244" s="145" t="s">
        <v>3853</v>
      </c>
      <c r="K244" s="143" t="s">
        <v>205</v>
      </c>
      <c r="L244" s="145" t="s">
        <v>3853</v>
      </c>
      <c r="M244" s="145" t="s">
        <v>3853</v>
      </c>
      <c r="N244" s="143" t="s">
        <v>291</v>
      </c>
      <c r="O244" s="143" t="s">
        <v>339</v>
      </c>
      <c r="P244" s="162">
        <v>45362</v>
      </c>
      <c r="Q244" s="143" t="s">
        <v>1211</v>
      </c>
      <c r="R244" s="143" t="s">
        <v>885</v>
      </c>
      <c r="S244" s="143" t="s">
        <v>889</v>
      </c>
      <c r="T244" s="163">
        <v>45447</v>
      </c>
      <c r="U244" s="143" t="s">
        <v>1212</v>
      </c>
      <c r="V244" s="144">
        <v>6985.3662676243684</v>
      </c>
      <c r="W244" s="144">
        <v>26257.9918</v>
      </c>
      <c r="X244" s="146">
        <v>2.7525521449999998E-4</v>
      </c>
      <c r="Y244" s="146">
        <v>1.9262571898176976E-2</v>
      </c>
      <c r="Z244" s="147">
        <v>3.498249882607855E-3</v>
      </c>
      <c r="AA244" s="181"/>
    </row>
    <row r="245" spans="1:27" ht="15" x14ac:dyDescent="0.2">
      <c r="A245" s="142" t="s">
        <v>1218</v>
      </c>
      <c r="B245" s="143" t="s">
        <v>1218</v>
      </c>
      <c r="C245" s="143" t="s">
        <v>3498</v>
      </c>
      <c r="D245" s="145" t="s">
        <v>3853</v>
      </c>
      <c r="E245" s="145" t="s">
        <v>3853</v>
      </c>
      <c r="F245" s="143" t="s">
        <v>3499</v>
      </c>
      <c r="G245" s="143" t="s">
        <v>3500</v>
      </c>
      <c r="H245" s="143" t="s">
        <v>312</v>
      </c>
      <c r="I245" s="143" t="s">
        <v>1004</v>
      </c>
      <c r="J245" s="145" t="s">
        <v>3853</v>
      </c>
      <c r="K245" s="143" t="s">
        <v>205</v>
      </c>
      <c r="L245" s="145" t="s">
        <v>3853</v>
      </c>
      <c r="M245" s="145" t="s">
        <v>3853</v>
      </c>
      <c r="N245" s="143" t="s">
        <v>224</v>
      </c>
      <c r="O245" s="143" t="s">
        <v>339</v>
      </c>
      <c r="P245" s="162">
        <v>45362</v>
      </c>
      <c r="Q245" s="143" t="s">
        <v>1211</v>
      </c>
      <c r="R245" s="143" t="s">
        <v>885</v>
      </c>
      <c r="S245" s="143" t="s">
        <v>889</v>
      </c>
      <c r="T245" s="163">
        <v>45449</v>
      </c>
      <c r="U245" s="143" t="s">
        <v>1212</v>
      </c>
      <c r="V245" s="144">
        <v>5781.0558659217877</v>
      </c>
      <c r="W245" s="144">
        <v>21730.989000000001</v>
      </c>
      <c r="X245" s="145" t="s">
        <v>3853</v>
      </c>
      <c r="Y245" s="146">
        <v>1.5941612743375171E-2</v>
      </c>
      <c r="Z245" s="147">
        <v>2.895134938516179E-3</v>
      </c>
      <c r="AA245" s="181"/>
    </row>
    <row r="246" spans="1:27" ht="15" x14ac:dyDescent="0.2">
      <c r="A246" s="142" t="s">
        <v>1218</v>
      </c>
      <c r="B246" s="143" t="s">
        <v>1218</v>
      </c>
      <c r="C246" s="143" t="s">
        <v>3501</v>
      </c>
      <c r="D246" s="145" t="s">
        <v>3853</v>
      </c>
      <c r="E246" s="145" t="s">
        <v>3853</v>
      </c>
      <c r="F246" s="143" t="s">
        <v>3502</v>
      </c>
      <c r="G246" s="143" t="s">
        <v>3503</v>
      </c>
      <c r="H246" s="143" t="s">
        <v>312</v>
      </c>
      <c r="I246" s="143" t="s">
        <v>1004</v>
      </c>
      <c r="J246" s="145" t="s">
        <v>3853</v>
      </c>
      <c r="K246" s="143" t="s">
        <v>205</v>
      </c>
      <c r="L246" s="145" t="s">
        <v>3853</v>
      </c>
      <c r="M246" s="145" t="s">
        <v>3853</v>
      </c>
      <c r="N246" s="143" t="s">
        <v>224</v>
      </c>
      <c r="O246" s="143" t="s">
        <v>339</v>
      </c>
      <c r="P246" s="162">
        <v>44664</v>
      </c>
      <c r="Q246" s="143" t="s">
        <v>1211</v>
      </c>
      <c r="R246" s="143" t="s">
        <v>885</v>
      </c>
      <c r="S246" s="143" t="s">
        <v>889</v>
      </c>
      <c r="T246" s="163">
        <v>45447</v>
      </c>
      <c r="U246" s="143" t="s">
        <v>1212</v>
      </c>
      <c r="V246" s="144">
        <v>5157.5790103751006</v>
      </c>
      <c r="W246" s="144">
        <v>19387.339499999998</v>
      </c>
      <c r="X246" s="146">
        <v>2.6152685785714287E-2</v>
      </c>
      <c r="Y246" s="146">
        <v>1.4222337461961922E-2</v>
      </c>
      <c r="Z246" s="147">
        <v>2.5828996574141939E-3</v>
      </c>
      <c r="AA246" s="181"/>
    </row>
    <row r="247" spans="1:27" ht="15" x14ac:dyDescent="0.2">
      <c r="A247" s="142" t="s">
        <v>1218</v>
      </c>
      <c r="B247" s="143" t="s">
        <v>1218</v>
      </c>
      <c r="C247" s="143" t="s">
        <v>3504</v>
      </c>
      <c r="D247" s="145" t="s">
        <v>3853</v>
      </c>
      <c r="E247" s="145" t="s">
        <v>3853</v>
      </c>
      <c r="F247" s="143" t="s">
        <v>3505</v>
      </c>
      <c r="G247" s="143" t="s">
        <v>3506</v>
      </c>
      <c r="H247" s="143" t="s">
        <v>312</v>
      </c>
      <c r="I247" s="143" t="s">
        <v>1004</v>
      </c>
      <c r="J247" s="145" t="s">
        <v>3853</v>
      </c>
      <c r="K247" s="143" t="s">
        <v>205</v>
      </c>
      <c r="L247" s="145" t="s">
        <v>3853</v>
      </c>
      <c r="M247" s="145" t="s">
        <v>3853</v>
      </c>
      <c r="N247" s="143" t="s">
        <v>291</v>
      </c>
      <c r="O247" s="143" t="s">
        <v>339</v>
      </c>
      <c r="P247" s="162">
        <v>44633</v>
      </c>
      <c r="Q247" s="143" t="s">
        <v>1211</v>
      </c>
      <c r="R247" s="143" t="s">
        <v>885</v>
      </c>
      <c r="S247" s="143" t="s">
        <v>889</v>
      </c>
      <c r="T247" s="163">
        <v>45432</v>
      </c>
      <c r="U247" s="143" t="s">
        <v>1212</v>
      </c>
      <c r="V247" s="144">
        <v>4171.590555998936</v>
      </c>
      <c r="W247" s="144">
        <v>15681.008900000001</v>
      </c>
      <c r="X247" s="146">
        <v>2.7073747368421053E-2</v>
      </c>
      <c r="Y247" s="146">
        <v>1.1503414364113271E-2</v>
      </c>
      <c r="Z247" s="147">
        <v>2.0891196752733355E-3</v>
      </c>
      <c r="AA247" s="181"/>
    </row>
    <row r="248" spans="1:27" ht="15" x14ac:dyDescent="0.2">
      <c r="A248" s="142" t="s">
        <v>1218</v>
      </c>
      <c r="B248" s="143" t="s">
        <v>1218</v>
      </c>
      <c r="C248" s="143" t="s">
        <v>3507</v>
      </c>
      <c r="D248" s="145" t="s">
        <v>3853</v>
      </c>
      <c r="E248" s="145" t="s">
        <v>3853</v>
      </c>
      <c r="F248" s="143" t="s">
        <v>3508</v>
      </c>
      <c r="G248" s="143" t="s">
        <v>3509</v>
      </c>
      <c r="H248" s="143" t="s">
        <v>312</v>
      </c>
      <c r="I248" s="143" t="s">
        <v>1004</v>
      </c>
      <c r="J248" s="145" t="s">
        <v>3853</v>
      </c>
      <c r="K248" s="143" t="s">
        <v>205</v>
      </c>
      <c r="L248" s="145" t="s">
        <v>3853</v>
      </c>
      <c r="M248" s="145" t="s">
        <v>3853</v>
      </c>
      <c r="N248" s="143" t="s">
        <v>291</v>
      </c>
      <c r="O248" s="143" t="s">
        <v>339</v>
      </c>
      <c r="P248" s="162">
        <v>45187</v>
      </c>
      <c r="Q248" s="143" t="s">
        <v>1211</v>
      </c>
      <c r="R248" s="143" t="s">
        <v>885</v>
      </c>
      <c r="S248" s="143" t="s">
        <v>889</v>
      </c>
      <c r="T248" s="163">
        <v>45454</v>
      </c>
      <c r="U248" s="143" t="s">
        <v>1212</v>
      </c>
      <c r="V248" s="144">
        <v>4168.413966480447</v>
      </c>
      <c r="W248" s="144">
        <v>15669.0681</v>
      </c>
      <c r="X248" s="146">
        <v>2.186768622857143E-3</v>
      </c>
      <c r="Y248" s="146">
        <v>1.1494654784387512E-2</v>
      </c>
      <c r="Z248" s="147">
        <v>2.0875288597317085E-3</v>
      </c>
      <c r="AA248" s="181"/>
    </row>
    <row r="249" spans="1:27" ht="15" x14ac:dyDescent="0.2">
      <c r="A249" s="142" t="s">
        <v>1218</v>
      </c>
      <c r="B249" s="143" t="s">
        <v>1218</v>
      </c>
      <c r="C249" s="143" t="s">
        <v>3510</v>
      </c>
      <c r="D249" s="145" t="s">
        <v>3853</v>
      </c>
      <c r="E249" s="145" t="s">
        <v>3853</v>
      </c>
      <c r="F249" s="143" t="s">
        <v>3511</v>
      </c>
      <c r="G249" s="143" t="s">
        <v>3512</v>
      </c>
      <c r="H249" s="143" t="s">
        <v>312</v>
      </c>
      <c r="I249" s="143" t="s">
        <v>1004</v>
      </c>
      <c r="J249" s="145" t="s">
        <v>3853</v>
      </c>
      <c r="K249" s="143" t="s">
        <v>205</v>
      </c>
      <c r="L249" s="145" t="s">
        <v>3853</v>
      </c>
      <c r="M249" s="145" t="s">
        <v>3853</v>
      </c>
      <c r="N249" s="143" t="s">
        <v>293</v>
      </c>
      <c r="O249" s="143" t="s">
        <v>339</v>
      </c>
      <c r="P249" s="162">
        <v>45341</v>
      </c>
      <c r="Q249" s="143" t="s">
        <v>1214</v>
      </c>
      <c r="R249" s="143" t="s">
        <v>885</v>
      </c>
      <c r="S249" s="143" t="s">
        <v>889</v>
      </c>
      <c r="T249" s="163">
        <v>45466</v>
      </c>
      <c r="U249" s="143" t="s">
        <v>1215</v>
      </c>
      <c r="V249" s="144">
        <v>3584.3474702751105</v>
      </c>
      <c r="W249" s="144">
        <v>14409.793699999998</v>
      </c>
      <c r="X249" s="146">
        <v>9.1904696304849886E-3</v>
      </c>
      <c r="Y249" s="146">
        <v>1.0570864986063548E-2</v>
      </c>
      <c r="Z249" s="147">
        <v>1.9197606317596697E-3</v>
      </c>
      <c r="AA249" s="181"/>
    </row>
    <row r="250" spans="1:27" ht="15" x14ac:dyDescent="0.2">
      <c r="A250" s="142" t="s">
        <v>1218</v>
      </c>
      <c r="B250" s="143" t="s">
        <v>1218</v>
      </c>
      <c r="C250" s="143" t="s">
        <v>3516</v>
      </c>
      <c r="D250" s="145" t="s">
        <v>3853</v>
      </c>
      <c r="E250" s="145" t="s">
        <v>3853</v>
      </c>
      <c r="F250" s="143" t="s">
        <v>3517</v>
      </c>
      <c r="G250" s="143" t="s">
        <v>3518</v>
      </c>
      <c r="H250" s="143" t="s">
        <v>312</v>
      </c>
      <c r="I250" s="143" t="s">
        <v>1004</v>
      </c>
      <c r="J250" s="145" t="s">
        <v>3853</v>
      </c>
      <c r="K250" s="143" t="s">
        <v>205</v>
      </c>
      <c r="L250" s="145" t="s">
        <v>3853</v>
      </c>
      <c r="M250" s="145" t="s">
        <v>3853</v>
      </c>
      <c r="N250" s="143" t="s">
        <v>291</v>
      </c>
      <c r="O250" s="143" t="s">
        <v>339</v>
      </c>
      <c r="P250" s="162">
        <v>44776</v>
      </c>
      <c r="Q250" s="143" t="s">
        <v>1211</v>
      </c>
      <c r="R250" s="143" t="s">
        <v>885</v>
      </c>
      <c r="S250" s="143" t="s">
        <v>889</v>
      </c>
      <c r="T250" s="163">
        <v>45434</v>
      </c>
      <c r="U250" s="143" t="s">
        <v>1212</v>
      </c>
      <c r="V250" s="144">
        <v>3368.4536312849164</v>
      </c>
      <c r="W250" s="144">
        <v>12662.017199999998</v>
      </c>
      <c r="X250" s="145" t="s">
        <v>3853</v>
      </c>
      <c r="Y250" s="146">
        <v>9.2887155255300443E-3</v>
      </c>
      <c r="Z250" s="147">
        <v>1.6869111855119679E-3</v>
      </c>
      <c r="AA250" s="181"/>
    </row>
    <row r="251" spans="1:27" ht="15" x14ac:dyDescent="0.2">
      <c r="A251" s="142" t="s">
        <v>1218</v>
      </c>
      <c r="B251" s="143" t="s">
        <v>1218</v>
      </c>
      <c r="C251" s="143" t="s">
        <v>3513</v>
      </c>
      <c r="D251" s="145" t="s">
        <v>3853</v>
      </c>
      <c r="E251" s="145" t="s">
        <v>3853</v>
      </c>
      <c r="F251" s="143" t="s">
        <v>3514</v>
      </c>
      <c r="G251" s="143" t="s">
        <v>3515</v>
      </c>
      <c r="H251" s="143" t="s">
        <v>312</v>
      </c>
      <c r="I251" s="143" t="s">
        <v>1004</v>
      </c>
      <c r="J251" s="145" t="s">
        <v>3853</v>
      </c>
      <c r="K251" s="143" t="s">
        <v>205</v>
      </c>
      <c r="L251" s="145" t="s">
        <v>3853</v>
      </c>
      <c r="M251" s="145" t="s">
        <v>3853</v>
      </c>
      <c r="N251" s="143" t="s">
        <v>224</v>
      </c>
      <c r="O251" s="143" t="s">
        <v>339</v>
      </c>
      <c r="P251" s="162">
        <v>42716</v>
      </c>
      <c r="Q251" s="143" t="s">
        <v>1211</v>
      </c>
      <c r="R251" s="143" t="s">
        <v>885</v>
      </c>
      <c r="S251" s="143" t="s">
        <v>889</v>
      </c>
      <c r="T251" s="163">
        <v>45432</v>
      </c>
      <c r="U251" s="143" t="s">
        <v>1212</v>
      </c>
      <c r="V251" s="144">
        <v>3293.9755520085128</v>
      </c>
      <c r="W251" s="144">
        <v>12382.054099999999</v>
      </c>
      <c r="X251" s="145" t="s">
        <v>3853</v>
      </c>
      <c r="Y251" s="146">
        <v>9.0833377415455475E-3</v>
      </c>
      <c r="Z251" s="147">
        <v>1.6496128012405496E-3</v>
      </c>
      <c r="AA251" s="181"/>
    </row>
    <row r="252" spans="1:27" ht="15" x14ac:dyDescent="0.2">
      <c r="A252" s="142" t="s">
        <v>1218</v>
      </c>
      <c r="B252" s="143" t="s">
        <v>1218</v>
      </c>
      <c r="C252" s="143" t="s">
        <v>3519</v>
      </c>
      <c r="D252" s="145" t="s">
        <v>3853</v>
      </c>
      <c r="E252" s="145" t="s">
        <v>3853</v>
      </c>
      <c r="F252" s="143" t="s">
        <v>3520</v>
      </c>
      <c r="G252" s="143" t="s">
        <v>3521</v>
      </c>
      <c r="H252" s="143" t="s">
        <v>312</v>
      </c>
      <c r="I252" s="143" t="s">
        <v>1004</v>
      </c>
      <c r="J252" s="145" t="s">
        <v>3853</v>
      </c>
      <c r="K252" s="143" t="s">
        <v>205</v>
      </c>
      <c r="L252" s="145" t="s">
        <v>3853</v>
      </c>
      <c r="M252" s="145" t="s">
        <v>3853</v>
      </c>
      <c r="N252" s="143" t="s">
        <v>291</v>
      </c>
      <c r="O252" s="143" t="s">
        <v>339</v>
      </c>
      <c r="P252" s="162">
        <v>44767</v>
      </c>
      <c r="Q252" s="143" t="s">
        <v>1211</v>
      </c>
      <c r="R252" s="143" t="s">
        <v>885</v>
      </c>
      <c r="S252" s="143" t="s">
        <v>889</v>
      </c>
      <c r="T252" s="163">
        <v>45469</v>
      </c>
      <c r="U252" s="143" t="s">
        <v>1212</v>
      </c>
      <c r="V252" s="144">
        <v>2374.7677839851026</v>
      </c>
      <c r="W252" s="144">
        <v>8926.7520999999997</v>
      </c>
      <c r="X252" s="146">
        <v>4.2791665379018858E-2</v>
      </c>
      <c r="Y252" s="146">
        <v>6.5485664190487588E-3</v>
      </c>
      <c r="Z252" s="147">
        <v>1.189276376372936E-3</v>
      </c>
      <c r="AA252" s="181"/>
    </row>
    <row r="253" spans="1:27" ht="15" x14ac:dyDescent="0.2">
      <c r="A253" s="142" t="s">
        <v>1218</v>
      </c>
      <c r="B253" s="143" t="s">
        <v>1218</v>
      </c>
      <c r="C253" s="143" t="s">
        <v>3522</v>
      </c>
      <c r="D253" s="145" t="s">
        <v>3853</v>
      </c>
      <c r="E253" s="145" t="s">
        <v>3853</v>
      </c>
      <c r="F253" s="143" t="s">
        <v>3523</v>
      </c>
      <c r="G253" s="143" t="s">
        <v>3524</v>
      </c>
      <c r="H253" s="143" t="s">
        <v>312</v>
      </c>
      <c r="I253" s="143" t="s">
        <v>1004</v>
      </c>
      <c r="J253" s="145" t="s">
        <v>3853</v>
      </c>
      <c r="K253" s="143" t="s">
        <v>205</v>
      </c>
      <c r="L253" s="145" t="s">
        <v>3853</v>
      </c>
      <c r="M253" s="145" t="s">
        <v>3853</v>
      </c>
      <c r="N253" s="143" t="s">
        <v>293</v>
      </c>
      <c r="O253" s="143" t="s">
        <v>339</v>
      </c>
      <c r="P253" s="162">
        <v>44601</v>
      </c>
      <c r="Q253" s="143" t="s">
        <v>1214</v>
      </c>
      <c r="R253" s="143" t="s">
        <v>885</v>
      </c>
      <c r="S253" s="143" t="s">
        <v>889</v>
      </c>
      <c r="T253" s="163">
        <v>45432</v>
      </c>
      <c r="U253" s="143" t="s">
        <v>1215</v>
      </c>
      <c r="V253" s="144">
        <v>1333.6788468235411</v>
      </c>
      <c r="W253" s="144">
        <v>5361.6557000000003</v>
      </c>
      <c r="X253" s="145" t="s">
        <v>3853</v>
      </c>
      <c r="Y253" s="146">
        <v>3.9332511832638551E-3</v>
      </c>
      <c r="Z253" s="147">
        <v>7.1431247929162553E-4</v>
      </c>
      <c r="AA253" s="181"/>
    </row>
    <row r="254" spans="1:27" ht="15" x14ac:dyDescent="0.2">
      <c r="A254" s="142" t="s">
        <v>1218</v>
      </c>
      <c r="B254" s="143" t="s">
        <v>1218</v>
      </c>
      <c r="C254" s="143" t="s">
        <v>3525</v>
      </c>
      <c r="D254" s="145" t="s">
        <v>3853</v>
      </c>
      <c r="E254" s="145" t="s">
        <v>3853</v>
      </c>
      <c r="F254" s="143" t="s">
        <v>3526</v>
      </c>
      <c r="G254" s="143" t="s">
        <v>3527</v>
      </c>
      <c r="H254" s="143" t="s">
        <v>312</v>
      </c>
      <c r="I254" s="143" t="s">
        <v>1004</v>
      </c>
      <c r="J254" s="145" t="s">
        <v>3853</v>
      </c>
      <c r="K254" s="143" t="s">
        <v>205</v>
      </c>
      <c r="L254" s="145" t="s">
        <v>3853</v>
      </c>
      <c r="M254" s="145" t="s">
        <v>3853</v>
      </c>
      <c r="N254" s="143" t="s">
        <v>224</v>
      </c>
      <c r="O254" s="143" t="s">
        <v>339</v>
      </c>
      <c r="P254" s="162">
        <v>45322</v>
      </c>
      <c r="Q254" s="143" t="s">
        <v>1211</v>
      </c>
      <c r="R254" s="143" t="s">
        <v>885</v>
      </c>
      <c r="S254" s="143" t="s">
        <v>889</v>
      </c>
      <c r="T254" s="163">
        <v>45442</v>
      </c>
      <c r="U254" s="143" t="s">
        <v>1212</v>
      </c>
      <c r="V254" s="144">
        <v>1314.4684756584197</v>
      </c>
      <c r="W254" s="144">
        <v>4941.0870000000004</v>
      </c>
      <c r="X254" s="145" t="s">
        <v>3853</v>
      </c>
      <c r="Y254" s="146">
        <v>3.6247266500710391E-3</v>
      </c>
      <c r="Z254" s="147">
        <v>6.5828175204873029E-4</v>
      </c>
      <c r="AA254" s="181"/>
    </row>
    <row r="255" spans="1:27" ht="15" x14ac:dyDescent="0.2">
      <c r="A255" s="142" t="s">
        <v>1218</v>
      </c>
      <c r="B255" s="143" t="s">
        <v>1218</v>
      </c>
      <c r="C255" s="143" t="s">
        <v>3528</v>
      </c>
      <c r="D255" s="145" t="s">
        <v>3853</v>
      </c>
      <c r="E255" s="145" t="s">
        <v>3853</v>
      </c>
      <c r="F255" s="143" t="s">
        <v>3529</v>
      </c>
      <c r="G255" s="143" t="s">
        <v>3530</v>
      </c>
      <c r="H255" s="143" t="s">
        <v>312</v>
      </c>
      <c r="I255" s="143" t="s">
        <v>1004</v>
      </c>
      <c r="J255" s="145" t="s">
        <v>3853</v>
      </c>
      <c r="K255" s="143" t="s">
        <v>205</v>
      </c>
      <c r="L255" s="145" t="s">
        <v>3853</v>
      </c>
      <c r="M255" s="145" t="s">
        <v>3853</v>
      </c>
      <c r="N255" s="143" t="s">
        <v>224</v>
      </c>
      <c r="O255" s="143" t="s">
        <v>339</v>
      </c>
      <c r="P255" s="162">
        <v>45449</v>
      </c>
      <c r="Q255" s="143" t="s">
        <v>1211</v>
      </c>
      <c r="R255" s="143" t="s">
        <v>885</v>
      </c>
      <c r="S255" s="143" t="s">
        <v>889</v>
      </c>
      <c r="T255" s="163">
        <v>45449</v>
      </c>
      <c r="U255" s="143" t="s">
        <v>1212</v>
      </c>
      <c r="V255" s="144">
        <v>1222.6261505719608</v>
      </c>
      <c r="W255" s="144">
        <v>4595.8517000000002</v>
      </c>
      <c r="X255" s="146">
        <v>1.4729343848678192E-3</v>
      </c>
      <c r="Y255" s="146">
        <v>3.3714659100536155E-3</v>
      </c>
      <c r="Z255" s="147">
        <v>6.1228740826543837E-4</v>
      </c>
      <c r="AA255" s="181"/>
    </row>
    <row r="256" spans="1:27" ht="15" x14ac:dyDescent="0.2">
      <c r="A256" s="142" t="s">
        <v>1218</v>
      </c>
      <c r="B256" s="143" t="s">
        <v>1218</v>
      </c>
      <c r="C256" s="143" t="s">
        <v>3531</v>
      </c>
      <c r="D256" s="145" t="s">
        <v>3853</v>
      </c>
      <c r="E256" s="145" t="s">
        <v>3853</v>
      </c>
      <c r="F256" s="143" t="s">
        <v>3532</v>
      </c>
      <c r="G256" s="143" t="s">
        <v>3533</v>
      </c>
      <c r="H256" s="143" t="s">
        <v>312</v>
      </c>
      <c r="I256" s="143" t="s">
        <v>1004</v>
      </c>
      <c r="J256" s="145" t="s">
        <v>3853</v>
      </c>
      <c r="K256" s="143" t="s">
        <v>205</v>
      </c>
      <c r="L256" s="145" t="s">
        <v>3853</v>
      </c>
      <c r="M256" s="145" t="s">
        <v>3853</v>
      </c>
      <c r="N256" s="143" t="s">
        <v>224</v>
      </c>
      <c r="O256" s="143" t="s">
        <v>339</v>
      </c>
      <c r="P256" s="162">
        <v>45350</v>
      </c>
      <c r="Q256" s="143" t="s">
        <v>1211</v>
      </c>
      <c r="R256" s="143" t="s">
        <v>885</v>
      </c>
      <c r="S256" s="143" t="s">
        <v>889</v>
      </c>
      <c r="T256" s="163">
        <v>45351</v>
      </c>
      <c r="U256" s="143" t="s">
        <v>1212</v>
      </c>
      <c r="V256" s="144">
        <v>69.556025538707104</v>
      </c>
      <c r="W256" s="144">
        <v>261.46109999999999</v>
      </c>
      <c r="X256" s="146">
        <v>3.4199999999999998E-5</v>
      </c>
      <c r="Y256" s="146">
        <v>1.9180497411208725E-4</v>
      </c>
      <c r="Z256" s="147">
        <v>3.4833444449581214E-5</v>
      </c>
      <c r="AA256" s="181"/>
    </row>
    <row r="257" spans="1:27" ht="15" x14ac:dyDescent="0.2">
      <c r="A257" s="142" t="s">
        <v>1218</v>
      </c>
      <c r="B257" s="143" t="s">
        <v>1218</v>
      </c>
      <c r="C257" s="143" t="s">
        <v>3534</v>
      </c>
      <c r="D257" s="145" t="s">
        <v>3853</v>
      </c>
      <c r="E257" s="145" t="s">
        <v>3853</v>
      </c>
      <c r="F257" s="143" t="s">
        <v>3535</v>
      </c>
      <c r="G257" s="143" t="s">
        <v>3536</v>
      </c>
      <c r="H257" s="143" t="s">
        <v>312</v>
      </c>
      <c r="I257" s="143" t="s">
        <v>1005</v>
      </c>
      <c r="J257" s="145" t="s">
        <v>3853</v>
      </c>
      <c r="K257" s="143" t="s">
        <v>204</v>
      </c>
      <c r="L257" s="145" t="s">
        <v>3853</v>
      </c>
      <c r="M257" s="145" t="s">
        <v>3853</v>
      </c>
      <c r="N257" s="143" t="s">
        <v>204</v>
      </c>
      <c r="O257" s="143" t="s">
        <v>339</v>
      </c>
      <c r="P257" s="162">
        <v>45250</v>
      </c>
      <c r="Q257" s="143" t="s">
        <v>1211</v>
      </c>
      <c r="R257" s="143" t="s">
        <v>885</v>
      </c>
      <c r="S257" s="143" t="s">
        <v>889</v>
      </c>
      <c r="T257" s="163">
        <v>45470</v>
      </c>
      <c r="U257" s="143" t="s">
        <v>1212</v>
      </c>
      <c r="V257" s="144">
        <v>3810.4357541899444</v>
      </c>
      <c r="W257" s="144">
        <v>14323.428</v>
      </c>
      <c r="X257" s="146">
        <v>1.8663626315789474E-2</v>
      </c>
      <c r="Y257" s="146">
        <v>1.0507508081045806E-2</v>
      </c>
      <c r="Z257" s="147">
        <v>1.9082544690980944E-3</v>
      </c>
      <c r="AA257" s="181"/>
    </row>
    <row r="258" spans="1:27" ht="15" x14ac:dyDescent="0.2">
      <c r="A258" s="142" t="s">
        <v>1218</v>
      </c>
      <c r="B258" s="143" t="s">
        <v>1218</v>
      </c>
      <c r="C258" s="143" t="s">
        <v>3537</v>
      </c>
      <c r="D258" s="145" t="s">
        <v>3853</v>
      </c>
      <c r="E258" s="145" t="s">
        <v>3853</v>
      </c>
      <c r="F258" s="143" t="s">
        <v>3538</v>
      </c>
      <c r="G258" s="143" t="s">
        <v>3539</v>
      </c>
      <c r="H258" s="143" t="s">
        <v>312</v>
      </c>
      <c r="I258" s="143" t="s">
        <v>1005</v>
      </c>
      <c r="J258" s="145" t="s">
        <v>3853</v>
      </c>
      <c r="K258" s="143" t="s">
        <v>204</v>
      </c>
      <c r="L258" s="145" t="s">
        <v>3853</v>
      </c>
      <c r="M258" s="145" t="s">
        <v>3853</v>
      </c>
      <c r="N258" s="143" t="s">
        <v>204</v>
      </c>
      <c r="O258" s="143" t="s">
        <v>339</v>
      </c>
      <c r="P258" s="162">
        <v>45140</v>
      </c>
      <c r="Q258" s="143" t="s">
        <v>1211</v>
      </c>
      <c r="R258" s="143" t="s">
        <v>885</v>
      </c>
      <c r="S258" s="143" t="s">
        <v>889</v>
      </c>
      <c r="T258" s="163">
        <v>45440</v>
      </c>
      <c r="U258" s="143" t="s">
        <v>1212</v>
      </c>
      <c r="V258" s="144">
        <v>1600.2802873104547</v>
      </c>
      <c r="W258" s="144">
        <v>6015.4535999999998</v>
      </c>
      <c r="X258" s="146">
        <v>9.3167522000000003E-3</v>
      </c>
      <c r="Y258" s="146">
        <v>4.4128701386209595E-3</v>
      </c>
      <c r="Z258" s="147">
        <v>8.0141543538407134E-4</v>
      </c>
      <c r="AA258" s="181"/>
    </row>
    <row r="259" spans="1:27" ht="15" x14ac:dyDescent="0.2">
      <c r="A259" s="142" t="s">
        <v>1218</v>
      </c>
      <c r="B259" s="143" t="s">
        <v>1218</v>
      </c>
      <c r="C259" s="143" t="s">
        <v>3540</v>
      </c>
      <c r="D259" s="145" t="s">
        <v>3853</v>
      </c>
      <c r="E259" s="145" t="s">
        <v>3853</v>
      </c>
      <c r="F259" s="143" t="s">
        <v>3541</v>
      </c>
      <c r="G259" s="143" t="s">
        <v>3542</v>
      </c>
      <c r="H259" s="143" t="s">
        <v>312</v>
      </c>
      <c r="I259" s="143" t="s">
        <v>1005</v>
      </c>
      <c r="J259" s="145" t="s">
        <v>3853</v>
      </c>
      <c r="K259" s="143" t="s">
        <v>204</v>
      </c>
      <c r="L259" s="145" t="s">
        <v>3853</v>
      </c>
      <c r="M259" s="145" t="s">
        <v>3853</v>
      </c>
      <c r="N259" s="143" t="s">
        <v>224</v>
      </c>
      <c r="O259" s="143" t="s">
        <v>339</v>
      </c>
      <c r="P259" s="162">
        <v>45225</v>
      </c>
      <c r="Q259" s="143" t="s">
        <v>1211</v>
      </c>
      <c r="R259" s="143" t="s">
        <v>885</v>
      </c>
      <c r="S259" s="143" t="s">
        <v>889</v>
      </c>
      <c r="T259" s="163">
        <v>45463</v>
      </c>
      <c r="U259" s="143" t="s">
        <v>1212</v>
      </c>
      <c r="V259" s="144">
        <v>1600.0266826283587</v>
      </c>
      <c r="W259" s="144">
        <v>6014.5002999999997</v>
      </c>
      <c r="X259" s="146">
        <v>1.36416E-2</v>
      </c>
      <c r="Y259" s="146">
        <v>4.4121707624977195E-3</v>
      </c>
      <c r="Z259" s="147">
        <v>8.0128842262305715E-4</v>
      </c>
      <c r="AA259" s="181"/>
    </row>
    <row r="260" spans="1:27" ht="15" x14ac:dyDescent="0.2">
      <c r="A260" s="142" t="s">
        <v>1218</v>
      </c>
      <c r="B260" s="143" t="s">
        <v>1218</v>
      </c>
      <c r="C260" s="143" t="s">
        <v>314</v>
      </c>
      <c r="D260" s="145" t="s">
        <v>3853</v>
      </c>
      <c r="E260" s="145" t="s">
        <v>3853</v>
      </c>
      <c r="F260" s="143" t="s">
        <v>3543</v>
      </c>
      <c r="G260" s="143" t="s">
        <v>3544</v>
      </c>
      <c r="H260" s="143" t="s">
        <v>312</v>
      </c>
      <c r="I260" s="143" t="s">
        <v>1005</v>
      </c>
      <c r="J260" s="145" t="s">
        <v>3853</v>
      </c>
      <c r="K260" s="143" t="s">
        <v>204</v>
      </c>
      <c r="L260" s="145" t="s">
        <v>3853</v>
      </c>
      <c r="M260" s="145" t="s">
        <v>3853</v>
      </c>
      <c r="N260" s="143" t="s">
        <v>293</v>
      </c>
      <c r="O260" s="143" t="s">
        <v>339</v>
      </c>
      <c r="P260" s="162">
        <v>45365</v>
      </c>
      <c r="Q260" s="143" t="s">
        <v>1214</v>
      </c>
      <c r="R260" s="143" t="s">
        <v>885</v>
      </c>
      <c r="S260" s="143" t="s">
        <v>889</v>
      </c>
      <c r="T260" s="163">
        <v>45447</v>
      </c>
      <c r="U260" s="143" t="s">
        <v>1215</v>
      </c>
      <c r="V260" s="144">
        <v>1430.0273866971793</v>
      </c>
      <c r="W260" s="144">
        <v>5748.9960999999994</v>
      </c>
      <c r="X260" s="146">
        <v>1.7480370812557062E-2</v>
      </c>
      <c r="Y260" s="146">
        <v>4.217399837527269E-3</v>
      </c>
      <c r="Z260" s="147">
        <v>7.6591633581061093E-4</v>
      </c>
      <c r="AA260" s="181"/>
    </row>
    <row r="261" spans="1:27" ht="15" x14ac:dyDescent="0.2">
      <c r="A261" s="142" t="s">
        <v>1218</v>
      </c>
      <c r="B261" s="143" t="s">
        <v>1218</v>
      </c>
      <c r="C261" s="143" t="s">
        <v>3545</v>
      </c>
      <c r="D261" s="145" t="s">
        <v>3853</v>
      </c>
      <c r="E261" s="145" t="s">
        <v>3853</v>
      </c>
      <c r="F261" s="143" t="s">
        <v>3546</v>
      </c>
      <c r="G261" s="143" t="s">
        <v>3547</v>
      </c>
      <c r="H261" s="143" t="s">
        <v>312</v>
      </c>
      <c r="I261" s="143" t="s">
        <v>1005</v>
      </c>
      <c r="J261" s="145" t="s">
        <v>3853</v>
      </c>
      <c r="K261" s="143" t="s">
        <v>204</v>
      </c>
      <c r="L261" s="145" t="s">
        <v>3853</v>
      </c>
      <c r="M261" s="145" t="s">
        <v>3853</v>
      </c>
      <c r="N261" s="143" t="s">
        <v>204</v>
      </c>
      <c r="O261" s="143" t="s">
        <v>339</v>
      </c>
      <c r="P261" s="162">
        <v>45250</v>
      </c>
      <c r="Q261" s="143" t="s">
        <v>1211</v>
      </c>
      <c r="R261" s="143" t="s">
        <v>885</v>
      </c>
      <c r="S261" s="143" t="s">
        <v>889</v>
      </c>
      <c r="T261" s="163">
        <v>45470</v>
      </c>
      <c r="U261" s="143" t="s">
        <v>1212</v>
      </c>
      <c r="V261" s="144">
        <v>1075.2748071295559</v>
      </c>
      <c r="W261" s="144">
        <v>4041.9580000000001</v>
      </c>
      <c r="X261" s="145" t="s">
        <v>3853</v>
      </c>
      <c r="Y261" s="146">
        <v>2.9651356396100744E-3</v>
      </c>
      <c r="Z261" s="147">
        <v>5.3849431207906348E-4</v>
      </c>
      <c r="AA261" s="181"/>
    </row>
    <row r="262" spans="1:27" ht="15" x14ac:dyDescent="0.2">
      <c r="A262" s="142" t="s">
        <v>1218</v>
      </c>
      <c r="B262" s="143" t="s">
        <v>1218</v>
      </c>
      <c r="C262" s="143" t="s">
        <v>3548</v>
      </c>
      <c r="D262" s="145" t="s">
        <v>3853</v>
      </c>
      <c r="E262" s="145" t="s">
        <v>3853</v>
      </c>
      <c r="F262" s="143" t="s">
        <v>3549</v>
      </c>
      <c r="G262" s="143" t="s">
        <v>3550</v>
      </c>
      <c r="H262" s="143" t="s">
        <v>312</v>
      </c>
      <c r="I262" s="143" t="s">
        <v>1005</v>
      </c>
      <c r="J262" s="145" t="s">
        <v>3853</v>
      </c>
      <c r="K262" s="143" t="s">
        <v>204</v>
      </c>
      <c r="L262" s="145" t="s">
        <v>3853</v>
      </c>
      <c r="M262" s="145" t="s">
        <v>3853</v>
      </c>
      <c r="N262" s="143" t="s">
        <v>204</v>
      </c>
      <c r="O262" s="143" t="s">
        <v>339</v>
      </c>
      <c r="P262" s="162">
        <v>45369</v>
      </c>
      <c r="Q262" s="143" t="s">
        <v>1211</v>
      </c>
      <c r="R262" s="143" t="s">
        <v>885</v>
      </c>
      <c r="S262" s="143" t="s">
        <v>889</v>
      </c>
      <c r="T262" s="163">
        <v>45447</v>
      </c>
      <c r="U262" s="143" t="s">
        <v>1212</v>
      </c>
      <c r="V262" s="144">
        <v>861.19936153232243</v>
      </c>
      <c r="W262" s="144">
        <v>3237.2483999999999</v>
      </c>
      <c r="X262" s="146">
        <v>9.8503500000000008E-3</v>
      </c>
      <c r="Y262" s="146">
        <v>2.3748095423587971E-3</v>
      </c>
      <c r="Z262" s="147">
        <v>4.3128598022566865E-4</v>
      </c>
      <c r="AA262" s="181"/>
    </row>
    <row r="263" spans="1:27" ht="15" x14ac:dyDescent="0.2">
      <c r="A263" s="142" t="s">
        <v>1218</v>
      </c>
      <c r="B263" s="143" t="s">
        <v>1218</v>
      </c>
      <c r="C263" s="143" t="s">
        <v>3551</v>
      </c>
      <c r="D263" s="145" t="s">
        <v>3853</v>
      </c>
      <c r="E263" s="145" t="s">
        <v>3853</v>
      </c>
      <c r="F263" s="143" t="s">
        <v>3552</v>
      </c>
      <c r="G263" s="143" t="s">
        <v>3553</v>
      </c>
      <c r="H263" s="143" t="s">
        <v>312</v>
      </c>
      <c r="I263" s="143" t="s">
        <v>1005</v>
      </c>
      <c r="J263" s="145" t="s">
        <v>3853</v>
      </c>
      <c r="K263" s="143" t="s">
        <v>204</v>
      </c>
      <c r="L263" s="145" t="s">
        <v>3853</v>
      </c>
      <c r="M263" s="145" t="s">
        <v>3853</v>
      </c>
      <c r="N263" s="143" t="s">
        <v>204</v>
      </c>
      <c r="O263" s="143" t="s">
        <v>339</v>
      </c>
      <c r="P263" s="162">
        <v>45365</v>
      </c>
      <c r="Q263" s="143" t="s">
        <v>1211</v>
      </c>
      <c r="R263" s="143" t="s">
        <v>885</v>
      </c>
      <c r="S263" s="143" t="s">
        <v>889</v>
      </c>
      <c r="T263" s="163">
        <v>45427</v>
      </c>
      <c r="U263" s="143" t="s">
        <v>1212</v>
      </c>
      <c r="V263" s="144">
        <v>798.03665868582061</v>
      </c>
      <c r="W263" s="144">
        <v>2999.8197999999998</v>
      </c>
      <c r="X263" s="146">
        <v>2.8571816584158417E-3</v>
      </c>
      <c r="Y263" s="146">
        <v>2.2006345591336603E-3</v>
      </c>
      <c r="Z263" s="147">
        <v>3.9965429480788567E-4</v>
      </c>
      <c r="AA263" s="181"/>
    </row>
    <row r="264" spans="1:27" ht="15" x14ac:dyDescent="0.2">
      <c r="A264" s="142" t="s">
        <v>1218</v>
      </c>
      <c r="B264" s="143" t="s">
        <v>1218</v>
      </c>
      <c r="C264" s="143" t="s">
        <v>314</v>
      </c>
      <c r="D264" s="145" t="s">
        <v>3853</v>
      </c>
      <c r="E264" s="145" t="s">
        <v>3853</v>
      </c>
      <c r="F264" s="143" t="s">
        <v>3554</v>
      </c>
      <c r="G264" s="143" t="s">
        <v>3555</v>
      </c>
      <c r="H264" s="143" t="s">
        <v>312</v>
      </c>
      <c r="I264" s="143" t="s">
        <v>1005</v>
      </c>
      <c r="J264" s="145" t="s">
        <v>3853</v>
      </c>
      <c r="K264" s="143" t="s">
        <v>204</v>
      </c>
      <c r="L264" s="145" t="s">
        <v>3853</v>
      </c>
      <c r="M264" s="145" t="s">
        <v>3853</v>
      </c>
      <c r="N264" s="143" t="s">
        <v>224</v>
      </c>
      <c r="O264" s="143" t="s">
        <v>339</v>
      </c>
      <c r="P264" s="162">
        <v>44699</v>
      </c>
      <c r="Q264" s="143" t="s">
        <v>1211</v>
      </c>
      <c r="R264" s="143" t="s">
        <v>885</v>
      </c>
      <c r="S264" s="143" t="s">
        <v>889</v>
      </c>
      <c r="T264" s="163">
        <v>45131</v>
      </c>
      <c r="U264" s="143" t="s">
        <v>1212</v>
      </c>
      <c r="V264" s="144">
        <v>23.4561851556265</v>
      </c>
      <c r="W264" s="144">
        <v>88.171800000000005</v>
      </c>
      <c r="X264" s="145" t="s">
        <v>3853</v>
      </c>
      <c r="Y264" s="146">
        <v>6.4681854382816245E-5</v>
      </c>
      <c r="Z264" s="147">
        <v>1.1746784941161464E-5</v>
      </c>
      <c r="AA264" s="181"/>
    </row>
    <row r="265" spans="1:27" ht="15" x14ac:dyDescent="0.2">
      <c r="A265" s="142" t="s">
        <v>1218</v>
      </c>
      <c r="B265" s="143" t="s">
        <v>1218</v>
      </c>
      <c r="C265" s="143" t="s">
        <v>3534</v>
      </c>
      <c r="D265" s="145" t="s">
        <v>3853</v>
      </c>
      <c r="E265" s="145" t="s">
        <v>3853</v>
      </c>
      <c r="F265" s="143" t="s">
        <v>3556</v>
      </c>
      <c r="G265" s="143" t="s">
        <v>3557</v>
      </c>
      <c r="H265" s="143" t="s">
        <v>312</v>
      </c>
      <c r="I265" s="143" t="s">
        <v>1005</v>
      </c>
      <c r="J265" s="145" t="s">
        <v>3853</v>
      </c>
      <c r="K265" s="143" t="s">
        <v>204</v>
      </c>
      <c r="L265" s="145" t="s">
        <v>3853</v>
      </c>
      <c r="M265" s="145" t="s">
        <v>3853</v>
      </c>
      <c r="N265" s="143" t="s">
        <v>204</v>
      </c>
      <c r="O265" s="143" t="s">
        <v>339</v>
      </c>
      <c r="P265" s="162">
        <v>45197</v>
      </c>
      <c r="Q265" s="143" t="s">
        <v>1211</v>
      </c>
      <c r="R265" s="143" t="s">
        <v>885</v>
      </c>
      <c r="S265" s="143" t="s">
        <v>889</v>
      </c>
      <c r="T265" s="163">
        <v>45379</v>
      </c>
      <c r="U265" s="143" t="s">
        <v>1212</v>
      </c>
      <c r="V265" s="144">
        <v>2.6602819898909288E-5</v>
      </c>
      <c r="W265" s="144">
        <v>1E-4</v>
      </c>
      <c r="X265" s="145" t="s">
        <v>3853</v>
      </c>
      <c r="Y265" s="146">
        <v>4.8112927311948387E-11</v>
      </c>
      <c r="Z265" s="147">
        <v>8.7377242878388844E-12</v>
      </c>
      <c r="AA265" s="181"/>
    </row>
    <row r="266" spans="1:27" ht="15" x14ac:dyDescent="0.2">
      <c r="A266" s="142" t="s">
        <v>1218</v>
      </c>
      <c r="B266" s="143" t="s">
        <v>1218</v>
      </c>
      <c r="C266" s="143" t="s">
        <v>314</v>
      </c>
      <c r="D266" s="145" t="s">
        <v>3853</v>
      </c>
      <c r="E266" s="145" t="s">
        <v>3853</v>
      </c>
      <c r="F266" s="143" t="s">
        <v>3558</v>
      </c>
      <c r="G266" s="143" t="s">
        <v>3559</v>
      </c>
      <c r="H266" s="143" t="s">
        <v>136</v>
      </c>
      <c r="I266" s="143" t="s">
        <v>1005</v>
      </c>
      <c r="J266" s="145" t="s">
        <v>3853</v>
      </c>
      <c r="K266" s="143" t="s">
        <v>205</v>
      </c>
      <c r="L266" s="145" t="s">
        <v>3853</v>
      </c>
      <c r="M266" s="145" t="s">
        <v>3853</v>
      </c>
      <c r="N266" s="143" t="s">
        <v>224</v>
      </c>
      <c r="O266" s="143" t="s">
        <v>339</v>
      </c>
      <c r="P266" s="162">
        <v>45313</v>
      </c>
      <c r="Q266" s="143" t="s">
        <v>1211</v>
      </c>
      <c r="R266" s="143" t="s">
        <v>885</v>
      </c>
      <c r="S266" s="143" t="s">
        <v>889</v>
      </c>
      <c r="T266" s="163">
        <v>45470</v>
      </c>
      <c r="U266" s="143" t="s">
        <v>1212</v>
      </c>
      <c r="V266" s="144">
        <v>2583.6641393987766</v>
      </c>
      <c r="W266" s="144">
        <v>9711.9935000000005</v>
      </c>
      <c r="X266" s="146">
        <v>4.2959326799999999E-4</v>
      </c>
      <c r="Y266" s="146">
        <v>7.1246108015312155E-3</v>
      </c>
      <c r="Z266" s="147">
        <v>1.2938910251357465E-3</v>
      </c>
      <c r="AA266" s="181"/>
    </row>
    <row r="267" spans="1:27" ht="15" x14ac:dyDescent="0.2">
      <c r="A267" s="142" t="s">
        <v>1218</v>
      </c>
      <c r="B267" s="143" t="s">
        <v>1218</v>
      </c>
      <c r="C267" s="143" t="s">
        <v>314</v>
      </c>
      <c r="D267" s="145" t="s">
        <v>3853</v>
      </c>
      <c r="E267" s="145" t="s">
        <v>3853</v>
      </c>
      <c r="F267" s="143" t="s">
        <v>3560</v>
      </c>
      <c r="G267" s="143" t="s">
        <v>3561</v>
      </c>
      <c r="H267" s="143" t="s">
        <v>312</v>
      </c>
      <c r="I267" s="143" t="s">
        <v>1005</v>
      </c>
      <c r="J267" s="145" t="s">
        <v>3853</v>
      </c>
      <c r="K267" s="143" t="s">
        <v>205</v>
      </c>
      <c r="L267" s="145" t="s">
        <v>3853</v>
      </c>
      <c r="M267" s="145" t="s">
        <v>3853</v>
      </c>
      <c r="N267" s="143" t="s">
        <v>224</v>
      </c>
      <c r="O267" s="143" t="s">
        <v>339</v>
      </c>
      <c r="P267" s="162">
        <v>45316</v>
      </c>
      <c r="Q267" s="143" t="s">
        <v>1211</v>
      </c>
      <c r="R267" s="143" t="s">
        <v>885</v>
      </c>
      <c r="S267" s="143" t="s">
        <v>889</v>
      </c>
      <c r="T267" s="163">
        <v>45442</v>
      </c>
      <c r="U267" s="143" t="s">
        <v>1212</v>
      </c>
      <c r="V267" s="144">
        <v>7014.0465549348228</v>
      </c>
      <c r="W267" s="144">
        <v>26365.800999999999</v>
      </c>
      <c r="X267" s="146">
        <v>2.7440957727272727E-4</v>
      </c>
      <c r="Y267" s="146">
        <v>1.9341659488627851E-2</v>
      </c>
      <c r="Z267" s="147">
        <v>3.5126128739816445E-3</v>
      </c>
      <c r="AA267" s="181"/>
    </row>
    <row r="268" spans="1:27" ht="15" x14ac:dyDescent="0.2">
      <c r="A268" s="142" t="s">
        <v>1218</v>
      </c>
      <c r="B268" s="143" t="s">
        <v>1218</v>
      </c>
      <c r="C268" s="143" t="s">
        <v>3562</v>
      </c>
      <c r="D268" s="145" t="s">
        <v>3853</v>
      </c>
      <c r="E268" s="145" t="s">
        <v>3853</v>
      </c>
      <c r="F268" s="143" t="s">
        <v>3563</v>
      </c>
      <c r="G268" s="143" t="s">
        <v>3564</v>
      </c>
      <c r="H268" s="143" t="s">
        <v>312</v>
      </c>
      <c r="I268" s="143" t="s">
        <v>1005</v>
      </c>
      <c r="J268" s="145" t="s">
        <v>3853</v>
      </c>
      <c r="K268" s="143" t="s">
        <v>205</v>
      </c>
      <c r="L268" s="145" t="s">
        <v>3853</v>
      </c>
      <c r="M268" s="145" t="s">
        <v>3853</v>
      </c>
      <c r="N268" s="143" t="s">
        <v>291</v>
      </c>
      <c r="O268" s="143" t="s">
        <v>339</v>
      </c>
      <c r="P268" s="162">
        <v>45294</v>
      </c>
      <c r="Q268" s="143" t="s">
        <v>1211</v>
      </c>
      <c r="R268" s="143" t="s">
        <v>885</v>
      </c>
      <c r="S268" s="143" t="s">
        <v>889</v>
      </c>
      <c r="T268" s="163">
        <v>45473</v>
      </c>
      <c r="U268" s="143" t="s">
        <v>1212</v>
      </c>
      <c r="V268" s="144">
        <v>5556.6198191008243</v>
      </c>
      <c r="W268" s="144">
        <v>20887.333899999998</v>
      </c>
      <c r="X268" s="145" t="s">
        <v>3853</v>
      </c>
      <c r="Y268" s="146">
        <v>1.5322716772954601E-2</v>
      </c>
      <c r="Z268" s="147">
        <v>2.7827380702623019E-3</v>
      </c>
      <c r="AA268" s="181"/>
    </row>
    <row r="269" spans="1:27" ht="15" x14ac:dyDescent="0.2">
      <c r="A269" s="142" t="s">
        <v>1218</v>
      </c>
      <c r="B269" s="143" t="s">
        <v>1218</v>
      </c>
      <c r="C269" s="143" t="s">
        <v>314</v>
      </c>
      <c r="D269" s="145" t="s">
        <v>3853</v>
      </c>
      <c r="E269" s="145" t="s">
        <v>3853</v>
      </c>
      <c r="F269" s="143" t="s">
        <v>3565</v>
      </c>
      <c r="G269" s="143" t="s">
        <v>3566</v>
      </c>
      <c r="H269" s="143" t="s">
        <v>312</v>
      </c>
      <c r="I269" s="143" t="s">
        <v>1005</v>
      </c>
      <c r="J269" s="145" t="s">
        <v>3853</v>
      </c>
      <c r="K269" s="143" t="s">
        <v>205</v>
      </c>
      <c r="L269" s="145" t="s">
        <v>3853</v>
      </c>
      <c r="M269" s="145" t="s">
        <v>3853</v>
      </c>
      <c r="N269" s="143" t="s">
        <v>291</v>
      </c>
      <c r="O269" s="143" t="s">
        <v>339</v>
      </c>
      <c r="P269" s="162">
        <v>45378</v>
      </c>
      <c r="Q269" s="143" t="s">
        <v>1211</v>
      </c>
      <c r="R269" s="143" t="s">
        <v>885</v>
      </c>
      <c r="S269" s="143" t="s">
        <v>889</v>
      </c>
      <c r="T269" s="163">
        <v>45460</v>
      </c>
      <c r="U269" s="143" t="s">
        <v>1212</v>
      </c>
      <c r="V269" s="144">
        <v>3845.8317637669593</v>
      </c>
      <c r="W269" s="144">
        <v>14456.481599999999</v>
      </c>
      <c r="X269" s="146">
        <v>9.0337032500000002E-4</v>
      </c>
      <c r="Y269" s="146">
        <v>1.0605114730382201E-2</v>
      </c>
      <c r="Z269" s="147">
        <v>1.9259806819521062E-3</v>
      </c>
      <c r="AA269" s="181"/>
    </row>
    <row r="270" spans="1:27" ht="15" x14ac:dyDescent="0.2">
      <c r="A270" s="142" t="s">
        <v>1218</v>
      </c>
      <c r="B270" s="143" t="s">
        <v>1218</v>
      </c>
      <c r="C270" s="143" t="s">
        <v>314</v>
      </c>
      <c r="D270" s="145" t="s">
        <v>3853</v>
      </c>
      <c r="E270" s="145" t="s">
        <v>3853</v>
      </c>
      <c r="F270" s="143" t="s">
        <v>3567</v>
      </c>
      <c r="G270" s="143" t="s">
        <v>3568</v>
      </c>
      <c r="H270" s="143" t="s">
        <v>312</v>
      </c>
      <c r="I270" s="143" t="s">
        <v>1005</v>
      </c>
      <c r="J270" s="145" t="s">
        <v>3853</v>
      </c>
      <c r="K270" s="143" t="s">
        <v>205</v>
      </c>
      <c r="L270" s="145" t="s">
        <v>3853</v>
      </c>
      <c r="M270" s="145" t="s">
        <v>3853</v>
      </c>
      <c r="N270" s="143" t="s">
        <v>224</v>
      </c>
      <c r="O270" s="143" t="s">
        <v>339</v>
      </c>
      <c r="P270" s="162">
        <v>45362</v>
      </c>
      <c r="Q270" s="143" t="s">
        <v>1211</v>
      </c>
      <c r="R270" s="143" t="s">
        <v>885</v>
      </c>
      <c r="S270" s="143" t="s">
        <v>889</v>
      </c>
      <c r="T270" s="163">
        <v>45442</v>
      </c>
      <c r="U270" s="143" t="s">
        <v>1212</v>
      </c>
      <c r="V270" s="144">
        <v>2714.5682096302212</v>
      </c>
      <c r="W270" s="144">
        <v>10204.061900000001</v>
      </c>
      <c r="X270" s="146">
        <v>1.0561539999999999E-2</v>
      </c>
      <c r="Y270" s="146">
        <v>7.4855867342922128E-3</v>
      </c>
      <c r="Z270" s="147">
        <v>1.359447380802091E-3</v>
      </c>
      <c r="AA270" s="181"/>
    </row>
    <row r="271" spans="1:27" ht="15" x14ac:dyDescent="0.2">
      <c r="A271" s="142" t="s">
        <v>1218</v>
      </c>
      <c r="B271" s="143" t="s">
        <v>1218</v>
      </c>
      <c r="C271" s="143" t="s">
        <v>314</v>
      </c>
      <c r="D271" s="145" t="s">
        <v>3853</v>
      </c>
      <c r="E271" s="145" t="s">
        <v>3853</v>
      </c>
      <c r="F271" s="143" t="s">
        <v>3571</v>
      </c>
      <c r="G271" s="143" t="s">
        <v>3572</v>
      </c>
      <c r="H271" s="143" t="s">
        <v>312</v>
      </c>
      <c r="I271" s="143" t="s">
        <v>1005</v>
      </c>
      <c r="J271" s="145" t="s">
        <v>3853</v>
      </c>
      <c r="K271" s="143" t="s">
        <v>205</v>
      </c>
      <c r="L271" s="145" t="s">
        <v>3853</v>
      </c>
      <c r="M271" s="145" t="s">
        <v>3853</v>
      </c>
      <c r="N271" s="143" t="s">
        <v>224</v>
      </c>
      <c r="O271" s="143" t="s">
        <v>339</v>
      </c>
      <c r="P271" s="162">
        <v>44630</v>
      </c>
      <c r="Q271" s="143" t="s">
        <v>1211</v>
      </c>
      <c r="R271" s="143" t="s">
        <v>885</v>
      </c>
      <c r="S271" s="143" t="s">
        <v>889</v>
      </c>
      <c r="T271" s="163">
        <v>45448</v>
      </c>
      <c r="U271" s="143" t="s">
        <v>1212</v>
      </c>
      <c r="V271" s="144">
        <v>2379.861319499867</v>
      </c>
      <c r="W271" s="144">
        <v>8945.8986999999997</v>
      </c>
      <c r="X271" s="146">
        <v>6.0544E-6</v>
      </c>
      <c r="Y271" s="146">
        <v>6.5626122033983067E-3</v>
      </c>
      <c r="Z271" s="147">
        <v>1.1918272124560756E-3</v>
      </c>
      <c r="AA271" s="181"/>
    </row>
    <row r="272" spans="1:27" ht="15" x14ac:dyDescent="0.2">
      <c r="A272" s="142" t="s">
        <v>1218</v>
      </c>
      <c r="B272" s="143" t="s">
        <v>1218</v>
      </c>
      <c r="C272" s="143" t="s">
        <v>314</v>
      </c>
      <c r="D272" s="145" t="s">
        <v>3853</v>
      </c>
      <c r="E272" s="145" t="s">
        <v>3853</v>
      </c>
      <c r="F272" s="143" t="s">
        <v>3569</v>
      </c>
      <c r="G272" s="143" t="s">
        <v>3570</v>
      </c>
      <c r="H272" s="143" t="s">
        <v>312</v>
      </c>
      <c r="I272" s="143" t="s">
        <v>1005</v>
      </c>
      <c r="J272" s="145" t="s">
        <v>3853</v>
      </c>
      <c r="K272" s="143" t="s">
        <v>205</v>
      </c>
      <c r="L272" s="145" t="s">
        <v>3853</v>
      </c>
      <c r="M272" s="145" t="s">
        <v>3853</v>
      </c>
      <c r="N272" s="143" t="s">
        <v>220</v>
      </c>
      <c r="O272" s="143" t="s">
        <v>339</v>
      </c>
      <c r="P272" s="162">
        <v>45350</v>
      </c>
      <c r="Q272" s="143" t="s">
        <v>1214</v>
      </c>
      <c r="R272" s="143" t="s">
        <v>885</v>
      </c>
      <c r="S272" s="143" t="s">
        <v>889</v>
      </c>
      <c r="T272" s="163">
        <v>45461</v>
      </c>
      <c r="U272" s="143" t="s">
        <v>1215</v>
      </c>
      <c r="V272" s="144">
        <v>2138.8594846027563</v>
      </c>
      <c r="W272" s="144">
        <v>8598.6429000000007</v>
      </c>
      <c r="X272" s="145" t="s">
        <v>3853</v>
      </c>
      <c r="Y272" s="146">
        <v>6.3078691732795494E-3</v>
      </c>
      <c r="Z272" s="147">
        <v>1.1455636719528237E-3</v>
      </c>
      <c r="AA272" s="181"/>
    </row>
    <row r="273" spans="1:27" ht="15" x14ac:dyDescent="0.2">
      <c r="A273" s="142" t="s">
        <v>1218</v>
      </c>
      <c r="B273" s="143" t="s">
        <v>1218</v>
      </c>
      <c r="C273" s="143" t="s">
        <v>3583</v>
      </c>
      <c r="D273" s="145" t="s">
        <v>3853</v>
      </c>
      <c r="E273" s="145" t="s">
        <v>3853</v>
      </c>
      <c r="F273" s="143" t="s">
        <v>3584</v>
      </c>
      <c r="G273" s="143" t="s">
        <v>3585</v>
      </c>
      <c r="H273" s="143" t="s">
        <v>312</v>
      </c>
      <c r="I273" s="143" t="s">
        <v>1005</v>
      </c>
      <c r="J273" s="145" t="s">
        <v>3853</v>
      </c>
      <c r="K273" s="143" t="s">
        <v>205</v>
      </c>
      <c r="L273" s="145" t="s">
        <v>3853</v>
      </c>
      <c r="M273" s="145" t="s">
        <v>3853</v>
      </c>
      <c r="N273" s="143" t="s">
        <v>224</v>
      </c>
      <c r="O273" s="143" t="s">
        <v>339</v>
      </c>
      <c r="P273" s="162">
        <v>45274</v>
      </c>
      <c r="Q273" s="143" t="s">
        <v>1211</v>
      </c>
      <c r="R273" s="143" t="s">
        <v>885</v>
      </c>
      <c r="S273" s="143" t="s">
        <v>889</v>
      </c>
      <c r="T273" s="163">
        <v>45433</v>
      </c>
      <c r="U273" s="143" t="s">
        <v>1212</v>
      </c>
      <c r="V273" s="144">
        <v>1968.9119978717745</v>
      </c>
      <c r="W273" s="144">
        <v>7401.1401999999998</v>
      </c>
      <c r="X273" s="146">
        <v>5.7520070113935146E-3</v>
      </c>
      <c r="Y273" s="146">
        <v>5.429394459057095E-3</v>
      </c>
      <c r="Z273" s="147">
        <v>9.8602505571053923E-4</v>
      </c>
      <c r="AA273" s="181"/>
    </row>
    <row r="274" spans="1:27" ht="15" x14ac:dyDescent="0.2">
      <c r="A274" s="142" t="s">
        <v>1218</v>
      </c>
      <c r="B274" s="143" t="s">
        <v>1218</v>
      </c>
      <c r="C274" s="143" t="s">
        <v>314</v>
      </c>
      <c r="D274" s="145" t="s">
        <v>3853</v>
      </c>
      <c r="E274" s="145" t="s">
        <v>3853</v>
      </c>
      <c r="F274" s="143" t="s">
        <v>3573</v>
      </c>
      <c r="G274" s="143" t="s">
        <v>3574</v>
      </c>
      <c r="H274" s="143" t="s">
        <v>312</v>
      </c>
      <c r="I274" s="143" t="s">
        <v>1005</v>
      </c>
      <c r="J274" s="145" t="s">
        <v>3853</v>
      </c>
      <c r="K274" s="143" t="s">
        <v>205</v>
      </c>
      <c r="L274" s="145" t="s">
        <v>3853</v>
      </c>
      <c r="M274" s="145" t="s">
        <v>3853</v>
      </c>
      <c r="N274" s="143" t="s">
        <v>224</v>
      </c>
      <c r="O274" s="143" t="s">
        <v>339</v>
      </c>
      <c r="P274" s="162">
        <v>45369</v>
      </c>
      <c r="Q274" s="143" t="s">
        <v>1211</v>
      </c>
      <c r="R274" s="143" t="s">
        <v>885</v>
      </c>
      <c r="S274" s="143" t="s">
        <v>889</v>
      </c>
      <c r="T274" s="163">
        <v>45460</v>
      </c>
      <c r="U274" s="143" t="s">
        <v>1212</v>
      </c>
      <c r="V274" s="144">
        <v>1276.1271348762971</v>
      </c>
      <c r="W274" s="144">
        <v>4796.9619000000002</v>
      </c>
      <c r="X274" s="145" t="s">
        <v>3853</v>
      </c>
      <c r="Y274" s="146">
        <v>3.5189980704642704E-3</v>
      </c>
      <c r="Z274" s="147">
        <v>6.3908052631663176E-4</v>
      </c>
      <c r="AA274" s="181"/>
    </row>
    <row r="275" spans="1:27" ht="15" x14ac:dyDescent="0.2">
      <c r="A275" s="142" t="s">
        <v>1218</v>
      </c>
      <c r="B275" s="143" t="s">
        <v>1218</v>
      </c>
      <c r="C275" s="143" t="s">
        <v>3575</v>
      </c>
      <c r="D275" s="145" t="s">
        <v>3853</v>
      </c>
      <c r="E275" s="145" t="s">
        <v>3853</v>
      </c>
      <c r="F275" s="143" t="s">
        <v>3576</v>
      </c>
      <c r="G275" s="143" t="s">
        <v>3577</v>
      </c>
      <c r="H275" s="143" t="s">
        <v>312</v>
      </c>
      <c r="I275" s="143" t="s">
        <v>1005</v>
      </c>
      <c r="J275" s="145" t="s">
        <v>3853</v>
      </c>
      <c r="K275" s="143" t="s">
        <v>205</v>
      </c>
      <c r="L275" s="145" t="s">
        <v>3853</v>
      </c>
      <c r="M275" s="145" t="s">
        <v>3853</v>
      </c>
      <c r="N275" s="143" t="s">
        <v>224</v>
      </c>
      <c r="O275" s="143" t="s">
        <v>339</v>
      </c>
      <c r="P275" s="162">
        <v>45362</v>
      </c>
      <c r="Q275" s="143" t="s">
        <v>1211</v>
      </c>
      <c r="R275" s="143" t="s">
        <v>885</v>
      </c>
      <c r="S275" s="143" t="s">
        <v>889</v>
      </c>
      <c r="T275" s="163">
        <v>45473</v>
      </c>
      <c r="U275" s="143" t="s">
        <v>1212</v>
      </c>
      <c r="V275" s="144">
        <v>1227.4635807395584</v>
      </c>
      <c r="W275" s="144">
        <v>4614.0355999999992</v>
      </c>
      <c r="X275" s="146">
        <v>1.2090127450980393E-2</v>
      </c>
      <c r="Y275" s="146">
        <v>3.3848054097093344E-3</v>
      </c>
      <c r="Z275" s="147">
        <v>6.1470997693131217E-4</v>
      </c>
      <c r="AA275" s="181"/>
    </row>
    <row r="276" spans="1:27" ht="15" x14ac:dyDescent="0.2">
      <c r="A276" s="142" t="s">
        <v>1218</v>
      </c>
      <c r="B276" s="143" t="s">
        <v>1218</v>
      </c>
      <c r="C276" s="143" t="s">
        <v>3578</v>
      </c>
      <c r="D276" s="145" t="s">
        <v>3853</v>
      </c>
      <c r="E276" s="145" t="s">
        <v>3853</v>
      </c>
      <c r="F276" s="143" t="s">
        <v>3576</v>
      </c>
      <c r="G276" s="143" t="s">
        <v>3579</v>
      </c>
      <c r="H276" s="143" t="s">
        <v>312</v>
      </c>
      <c r="I276" s="143" t="s">
        <v>1005</v>
      </c>
      <c r="J276" s="145" t="s">
        <v>3853</v>
      </c>
      <c r="K276" s="143" t="s">
        <v>205</v>
      </c>
      <c r="L276" s="145" t="s">
        <v>3853</v>
      </c>
      <c r="M276" s="145" t="s">
        <v>3853</v>
      </c>
      <c r="N276" s="143" t="s">
        <v>224</v>
      </c>
      <c r="O276" s="143" t="s">
        <v>339</v>
      </c>
      <c r="P276" s="162">
        <v>45362</v>
      </c>
      <c r="Q276" s="143" t="s">
        <v>1211</v>
      </c>
      <c r="R276" s="143" t="s">
        <v>885</v>
      </c>
      <c r="S276" s="143" t="s">
        <v>889</v>
      </c>
      <c r="T276" s="163">
        <v>45473</v>
      </c>
      <c r="U276" s="143" t="s">
        <v>1212</v>
      </c>
      <c r="V276" s="144">
        <v>752.37906358073951</v>
      </c>
      <c r="W276" s="144">
        <v>2828.1929</v>
      </c>
      <c r="X276" s="145" t="s">
        <v>3853</v>
      </c>
      <c r="Y276" s="146">
        <v>2.0747309865159023E-3</v>
      </c>
      <c r="Z276" s="147">
        <v>3.767891156169561E-4</v>
      </c>
      <c r="AA276" s="181"/>
    </row>
    <row r="277" spans="1:27" ht="15" x14ac:dyDescent="0.2">
      <c r="A277" s="142" t="s">
        <v>1218</v>
      </c>
      <c r="B277" s="143" t="s">
        <v>1218</v>
      </c>
      <c r="C277" s="143" t="s">
        <v>3580</v>
      </c>
      <c r="D277" s="145" t="s">
        <v>3853</v>
      </c>
      <c r="E277" s="145" t="s">
        <v>3853</v>
      </c>
      <c r="F277" s="143" t="s">
        <v>3581</v>
      </c>
      <c r="G277" s="143" t="s">
        <v>3582</v>
      </c>
      <c r="H277" s="143" t="s">
        <v>312</v>
      </c>
      <c r="I277" s="143" t="s">
        <v>1005</v>
      </c>
      <c r="J277" s="145" t="s">
        <v>3853</v>
      </c>
      <c r="K277" s="143" t="s">
        <v>205</v>
      </c>
      <c r="L277" s="145" t="s">
        <v>3853</v>
      </c>
      <c r="M277" s="145" t="s">
        <v>3853</v>
      </c>
      <c r="N277" s="143" t="s">
        <v>291</v>
      </c>
      <c r="O277" s="143" t="s">
        <v>339</v>
      </c>
      <c r="P277" s="162">
        <v>45369</v>
      </c>
      <c r="Q277" s="143" t="s">
        <v>1211</v>
      </c>
      <c r="R277" s="143" t="s">
        <v>885</v>
      </c>
      <c r="S277" s="143" t="s">
        <v>889</v>
      </c>
      <c r="T277" s="163">
        <v>45473</v>
      </c>
      <c r="U277" s="143" t="s">
        <v>1212</v>
      </c>
      <c r="V277" s="144">
        <v>548.95815376429903</v>
      </c>
      <c r="W277" s="144">
        <v>2063.5337</v>
      </c>
      <c r="X277" s="146">
        <v>1.539200025E-3</v>
      </c>
      <c r="Y277" s="146">
        <v>1.5137854544785604E-3</v>
      </c>
      <c r="Z277" s="147">
        <v>2.7491654886045003E-4</v>
      </c>
      <c r="AA277" s="181"/>
    </row>
    <row r="278" spans="1:27" ht="15" x14ac:dyDescent="0.2">
      <c r="A278" s="142" t="s">
        <v>1218</v>
      </c>
      <c r="B278" s="143" t="s">
        <v>1218</v>
      </c>
      <c r="C278" s="143" t="s">
        <v>314</v>
      </c>
      <c r="D278" s="145" t="s">
        <v>3853</v>
      </c>
      <c r="E278" s="145" t="s">
        <v>3853</v>
      </c>
      <c r="F278" s="143" t="s">
        <v>3586</v>
      </c>
      <c r="G278" s="143" t="s">
        <v>3587</v>
      </c>
      <c r="H278" s="143" t="s">
        <v>312</v>
      </c>
      <c r="I278" s="143" t="s">
        <v>1005</v>
      </c>
      <c r="J278" s="145" t="s">
        <v>3853</v>
      </c>
      <c r="K278" s="143" t="s">
        <v>205</v>
      </c>
      <c r="L278" s="145" t="s">
        <v>3853</v>
      </c>
      <c r="M278" s="145" t="s">
        <v>3853</v>
      </c>
      <c r="N278" s="143" t="s">
        <v>244</v>
      </c>
      <c r="O278" s="143" t="s">
        <v>339</v>
      </c>
      <c r="P278" s="162">
        <v>45225</v>
      </c>
      <c r="Q278" s="143" t="s">
        <v>1211</v>
      </c>
      <c r="R278" s="143" t="s">
        <v>885</v>
      </c>
      <c r="S278" s="143" t="s">
        <v>889</v>
      </c>
      <c r="T278" s="163">
        <v>45470</v>
      </c>
      <c r="U278" s="143" t="s">
        <v>1212</v>
      </c>
      <c r="V278" s="144">
        <v>399.36445863261503</v>
      </c>
      <c r="W278" s="144">
        <v>1501.211</v>
      </c>
      <c r="X278" s="146">
        <v>2.329055E-2</v>
      </c>
      <c r="Y278" s="146">
        <v>1.1012717566585316E-3</v>
      </c>
      <c r="Z278" s="147">
        <v>2.0000048871016336E-4</v>
      </c>
      <c r="AA278" s="181"/>
    </row>
    <row r="279" spans="1:27" ht="15" x14ac:dyDescent="0.2">
      <c r="A279" s="142" t="s">
        <v>1218</v>
      </c>
      <c r="B279" s="143" t="s">
        <v>1218</v>
      </c>
      <c r="C279" s="143" t="s">
        <v>3588</v>
      </c>
      <c r="D279" s="145" t="s">
        <v>3853</v>
      </c>
      <c r="E279" s="145" t="s">
        <v>3853</v>
      </c>
      <c r="F279" s="143" t="s">
        <v>3589</v>
      </c>
      <c r="G279" s="143" t="s">
        <v>3590</v>
      </c>
      <c r="H279" s="143" t="s">
        <v>312</v>
      </c>
      <c r="I279" s="143" t="s">
        <v>1005</v>
      </c>
      <c r="J279" s="145" t="s">
        <v>3853</v>
      </c>
      <c r="K279" s="143" t="s">
        <v>205</v>
      </c>
      <c r="L279" s="145" t="s">
        <v>3853</v>
      </c>
      <c r="M279" s="145" t="s">
        <v>3853</v>
      </c>
      <c r="N279" s="143" t="s">
        <v>224</v>
      </c>
      <c r="O279" s="143" t="s">
        <v>339</v>
      </c>
      <c r="P279" s="162">
        <v>44462</v>
      </c>
      <c r="Q279" s="143" t="s">
        <v>1211</v>
      </c>
      <c r="R279" s="143" t="s">
        <v>885</v>
      </c>
      <c r="S279" s="143" t="s">
        <v>889</v>
      </c>
      <c r="T279" s="163">
        <v>45238</v>
      </c>
      <c r="U279" s="143" t="s">
        <v>1212</v>
      </c>
      <c r="V279" s="144">
        <v>0.625831338121841</v>
      </c>
      <c r="W279" s="144">
        <v>2.3525</v>
      </c>
      <c r="X279" s="145" t="s">
        <v>3853</v>
      </c>
      <c r="Y279" s="146">
        <v>1.7257333067734215E-6</v>
      </c>
      <c r="Z279" s="147">
        <v>3.1340811443792391E-7</v>
      </c>
      <c r="AA279" s="181"/>
    </row>
    <row r="280" spans="1:27" ht="15" x14ac:dyDescent="0.2">
      <c r="A280" s="142" t="s">
        <v>1218</v>
      </c>
      <c r="B280" s="143" t="s">
        <v>1218</v>
      </c>
      <c r="C280" s="143" t="s">
        <v>314</v>
      </c>
      <c r="D280" s="145" t="s">
        <v>3853</v>
      </c>
      <c r="E280" s="145" t="s">
        <v>3853</v>
      </c>
      <c r="F280" s="143" t="s">
        <v>3591</v>
      </c>
      <c r="G280" s="143" t="s">
        <v>3592</v>
      </c>
      <c r="H280" s="143" t="s">
        <v>312</v>
      </c>
      <c r="I280" s="143" t="s">
        <v>1005</v>
      </c>
      <c r="J280" s="145" t="s">
        <v>3853</v>
      </c>
      <c r="K280" s="143" t="s">
        <v>205</v>
      </c>
      <c r="L280" s="145" t="s">
        <v>3853</v>
      </c>
      <c r="M280" s="145" t="s">
        <v>3853</v>
      </c>
      <c r="N280" s="143" t="s">
        <v>224</v>
      </c>
      <c r="O280" s="143" t="s">
        <v>339</v>
      </c>
      <c r="P280" s="162">
        <v>39136</v>
      </c>
      <c r="Q280" s="143" t="s">
        <v>1211</v>
      </c>
      <c r="R280" s="143" t="s">
        <v>885</v>
      </c>
      <c r="S280" s="143" t="s">
        <v>889</v>
      </c>
      <c r="T280" s="163">
        <v>44136</v>
      </c>
      <c r="U280" s="143" t="s">
        <v>1212</v>
      </c>
      <c r="V280" s="145" t="s">
        <v>3853</v>
      </c>
      <c r="W280" s="144">
        <v>0</v>
      </c>
      <c r="X280" s="145" t="s">
        <v>3853</v>
      </c>
      <c r="Y280" s="146">
        <v>1.0321825657874304E-11</v>
      </c>
      <c r="Z280" s="147">
        <v>1.8745329329244373E-12</v>
      </c>
      <c r="AA280" s="181"/>
    </row>
    <row r="281" spans="1:27" ht="15" x14ac:dyDescent="0.2">
      <c r="A281" s="154" t="s">
        <v>1205</v>
      </c>
      <c r="B281" s="155" t="s">
        <v>1206</v>
      </c>
      <c r="C281" s="145" t="s">
        <v>3853</v>
      </c>
      <c r="D281" s="145" t="s">
        <v>3853</v>
      </c>
      <c r="E281" s="145" t="s">
        <v>3853</v>
      </c>
      <c r="F281" s="145" t="s">
        <v>3853</v>
      </c>
      <c r="G281" s="145" t="s">
        <v>3853</v>
      </c>
      <c r="H281" s="145" t="s">
        <v>3853</v>
      </c>
      <c r="I281" s="145" t="s">
        <v>3853</v>
      </c>
      <c r="J281" s="145" t="s">
        <v>3853</v>
      </c>
      <c r="K281" s="145" t="s">
        <v>3853</v>
      </c>
      <c r="L281" s="145" t="s">
        <v>3853</v>
      </c>
      <c r="M281" s="145" t="s">
        <v>3853</v>
      </c>
      <c r="N281" s="145" t="s">
        <v>3853</v>
      </c>
      <c r="O281" s="145" t="s">
        <v>3853</v>
      </c>
      <c r="P281" s="145" t="s">
        <v>3853</v>
      </c>
      <c r="Q281" s="145" t="s">
        <v>3853</v>
      </c>
      <c r="R281" s="145" t="s">
        <v>3853</v>
      </c>
      <c r="S281" s="145" t="s">
        <v>3853</v>
      </c>
      <c r="T281" s="145" t="s">
        <v>3853</v>
      </c>
      <c r="U281" s="145" t="s">
        <v>3853</v>
      </c>
      <c r="V281" s="145" t="s">
        <v>3853</v>
      </c>
      <c r="W281" s="145" t="s">
        <v>3853</v>
      </c>
      <c r="X281" s="145" t="s">
        <v>3853</v>
      </c>
      <c r="Y281" s="145" t="s">
        <v>3853</v>
      </c>
      <c r="Z281" s="156" t="s">
        <v>3853</v>
      </c>
      <c r="AA281" s="181"/>
    </row>
    <row r="282" spans="1:27" ht="15" x14ac:dyDescent="0.2">
      <c r="A282" s="154" t="s">
        <v>1205</v>
      </c>
      <c r="B282" s="155" t="s">
        <v>1213</v>
      </c>
      <c r="C282" s="145" t="s">
        <v>3853</v>
      </c>
      <c r="D282" s="145" t="s">
        <v>3853</v>
      </c>
      <c r="E282" s="145" t="s">
        <v>3853</v>
      </c>
      <c r="F282" s="145" t="s">
        <v>3853</v>
      </c>
      <c r="G282" s="145" t="s">
        <v>3853</v>
      </c>
      <c r="H282" s="145" t="s">
        <v>3853</v>
      </c>
      <c r="I282" s="145" t="s">
        <v>3853</v>
      </c>
      <c r="J282" s="145" t="s">
        <v>3853</v>
      </c>
      <c r="K282" s="145" t="s">
        <v>3853</v>
      </c>
      <c r="L282" s="145" t="s">
        <v>3853</v>
      </c>
      <c r="M282" s="145" t="s">
        <v>3853</v>
      </c>
      <c r="N282" s="145" t="s">
        <v>3853</v>
      </c>
      <c r="O282" s="145" t="s">
        <v>3853</v>
      </c>
      <c r="P282" s="145" t="s">
        <v>3853</v>
      </c>
      <c r="Q282" s="145" t="s">
        <v>3853</v>
      </c>
      <c r="R282" s="145" t="s">
        <v>3853</v>
      </c>
      <c r="S282" s="145" t="s">
        <v>3853</v>
      </c>
      <c r="T282" s="145" t="s">
        <v>3853</v>
      </c>
      <c r="U282" s="145" t="s">
        <v>3853</v>
      </c>
      <c r="V282" s="145" t="s">
        <v>3853</v>
      </c>
      <c r="W282" s="145" t="s">
        <v>3853</v>
      </c>
      <c r="X282" s="145" t="s">
        <v>3853</v>
      </c>
      <c r="Y282" s="145" t="s">
        <v>3853</v>
      </c>
      <c r="Z282" s="156" t="s">
        <v>3853</v>
      </c>
      <c r="AA282" s="181"/>
    </row>
    <row r="283" spans="1:27" ht="15" x14ac:dyDescent="0.2">
      <c r="A283" s="154" t="s">
        <v>1218</v>
      </c>
      <c r="B283" s="155" t="s">
        <v>1219</v>
      </c>
      <c r="C283" s="145" t="s">
        <v>3853</v>
      </c>
      <c r="D283" s="145" t="s">
        <v>3853</v>
      </c>
      <c r="E283" s="145" t="s">
        <v>3853</v>
      </c>
      <c r="F283" s="145" t="s">
        <v>3853</v>
      </c>
      <c r="G283" s="145" t="s">
        <v>3853</v>
      </c>
      <c r="H283" s="145" t="s">
        <v>3853</v>
      </c>
      <c r="I283" s="145" t="s">
        <v>3853</v>
      </c>
      <c r="J283" s="145" t="s">
        <v>3853</v>
      </c>
      <c r="K283" s="145" t="s">
        <v>3853</v>
      </c>
      <c r="L283" s="145" t="s">
        <v>3853</v>
      </c>
      <c r="M283" s="145" t="s">
        <v>3853</v>
      </c>
      <c r="N283" s="145" t="s">
        <v>3853</v>
      </c>
      <c r="O283" s="145" t="s">
        <v>3853</v>
      </c>
      <c r="P283" s="145" t="s">
        <v>3853</v>
      </c>
      <c r="Q283" s="145" t="s">
        <v>3853</v>
      </c>
      <c r="R283" s="145" t="s">
        <v>3853</v>
      </c>
      <c r="S283" s="145" t="s">
        <v>3853</v>
      </c>
      <c r="T283" s="145" t="s">
        <v>3853</v>
      </c>
      <c r="U283" s="145" t="s">
        <v>3853</v>
      </c>
      <c r="V283" s="145" t="s">
        <v>3853</v>
      </c>
      <c r="W283" s="145" t="s">
        <v>3853</v>
      </c>
      <c r="X283" s="145" t="s">
        <v>3853</v>
      </c>
      <c r="Y283" s="145" t="s">
        <v>3853</v>
      </c>
      <c r="Z283" s="156" t="s">
        <v>3853</v>
      </c>
      <c r="AA283" s="181"/>
    </row>
    <row r="284" spans="1:27" ht="15" x14ac:dyDescent="0.2">
      <c r="A284" s="157" t="s">
        <v>1218</v>
      </c>
      <c r="B284" s="158" t="s">
        <v>1220</v>
      </c>
      <c r="C284" s="151" t="s">
        <v>3853</v>
      </c>
      <c r="D284" s="151" t="s">
        <v>3853</v>
      </c>
      <c r="E284" s="151" t="s">
        <v>3853</v>
      </c>
      <c r="F284" s="151" t="s">
        <v>3853</v>
      </c>
      <c r="G284" s="151" t="s">
        <v>3853</v>
      </c>
      <c r="H284" s="151" t="s">
        <v>3853</v>
      </c>
      <c r="I284" s="151" t="s">
        <v>3853</v>
      </c>
      <c r="J284" s="151" t="s">
        <v>3853</v>
      </c>
      <c r="K284" s="151" t="s">
        <v>3853</v>
      </c>
      <c r="L284" s="151" t="s">
        <v>3853</v>
      </c>
      <c r="M284" s="151" t="s">
        <v>3853</v>
      </c>
      <c r="N284" s="151" t="s">
        <v>3853</v>
      </c>
      <c r="O284" s="151" t="s">
        <v>3853</v>
      </c>
      <c r="P284" s="151" t="s">
        <v>3853</v>
      </c>
      <c r="Q284" s="151" t="s">
        <v>3853</v>
      </c>
      <c r="R284" s="151" t="s">
        <v>3853</v>
      </c>
      <c r="S284" s="151" t="s">
        <v>3853</v>
      </c>
      <c r="T284" s="151" t="s">
        <v>3853</v>
      </c>
      <c r="U284" s="151" t="s">
        <v>3853</v>
      </c>
      <c r="V284" s="151" t="s">
        <v>3853</v>
      </c>
      <c r="W284" s="151" t="s">
        <v>3853</v>
      </c>
      <c r="X284" s="151" t="s">
        <v>3853</v>
      </c>
      <c r="Y284" s="151" t="s">
        <v>3853</v>
      </c>
      <c r="Z284" s="159" t="s">
        <v>3853</v>
      </c>
      <c r="AA284" s="181"/>
    </row>
    <row r="285" spans="1:27" x14ac:dyDescent="0.2">
      <c r="A285" s="181" t="s">
        <v>3870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7" x14ac:dyDescent="0.2">
      <c r="A286" s="2" t="s">
        <v>3869</v>
      </c>
    </row>
    <row r="287" spans="1:27" x14ac:dyDescent="0.2">
      <c r="A287" s="176"/>
    </row>
    <row r="1048575" spans="12:12" x14ac:dyDescent="0.2">
      <c r="L1048575" s="9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85:Z285"/>
    <mergeCell ref="AA2:AA284"/>
  </mergeCells>
  <dataValidations count="7"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1048575:L1048576">
      <formula1>Country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35.37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4" customWidth="1"/>
    <col min="12" max="12" width="18.625" style="2" customWidth="1"/>
    <col min="13" max="13" width="9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3892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89</v>
      </c>
      <c r="L2" s="140" t="s">
        <v>92</v>
      </c>
      <c r="M2" s="140" t="s">
        <v>83</v>
      </c>
      <c r="N2" s="140" t="s">
        <v>93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94</v>
      </c>
      <c r="V2" s="140" t="s">
        <v>95</v>
      </c>
      <c r="W2" s="140" t="s">
        <v>76</v>
      </c>
      <c r="X2" s="140" t="s">
        <v>77</v>
      </c>
      <c r="Y2" s="140" t="s">
        <v>61</v>
      </c>
      <c r="Z2" s="140" t="s">
        <v>63</v>
      </c>
      <c r="AA2" s="140" t="s">
        <v>64</v>
      </c>
      <c r="AB2" s="141" t="s">
        <v>65</v>
      </c>
      <c r="AC2" s="181" t="s">
        <v>3871</v>
      </c>
    </row>
    <row r="3" spans="1:29" ht="15" x14ac:dyDescent="0.2">
      <c r="A3" s="142" t="s">
        <v>1205</v>
      </c>
      <c r="B3" s="143" t="s">
        <v>1205</v>
      </c>
      <c r="C3" s="143" t="s">
        <v>3136</v>
      </c>
      <c r="D3" s="143" t="s">
        <v>3137</v>
      </c>
      <c r="E3" s="143" t="s">
        <v>314</v>
      </c>
      <c r="F3" s="143" t="s">
        <v>3602</v>
      </c>
      <c r="G3" s="143" t="s">
        <v>3603</v>
      </c>
      <c r="H3" s="143" t="s">
        <v>312</v>
      </c>
      <c r="I3" s="143" t="s">
        <v>204</v>
      </c>
      <c r="J3" s="143" t="s">
        <v>204</v>
      </c>
      <c r="K3" s="143" t="s">
        <v>314</v>
      </c>
      <c r="L3" s="143" t="s">
        <v>3604</v>
      </c>
      <c r="M3" s="143" t="s">
        <v>444</v>
      </c>
      <c r="N3" s="143" t="s">
        <v>3605</v>
      </c>
      <c r="O3" s="143" t="s">
        <v>339</v>
      </c>
      <c r="P3" s="143" t="s">
        <v>3077</v>
      </c>
      <c r="Q3" s="143" t="s">
        <v>1211</v>
      </c>
      <c r="R3" s="143" t="s">
        <v>884</v>
      </c>
      <c r="S3" s="143" t="s">
        <v>888</v>
      </c>
      <c r="T3" s="161">
        <v>45320</v>
      </c>
      <c r="U3" s="145" t="s">
        <v>3853</v>
      </c>
      <c r="V3" s="143" t="s">
        <v>3010</v>
      </c>
      <c r="W3" s="144">
        <v>309.63</v>
      </c>
      <c r="X3" s="143" t="s">
        <v>3606</v>
      </c>
      <c r="Y3" s="143" t="s">
        <v>1212</v>
      </c>
      <c r="Z3" s="144">
        <v>90.784100000000009</v>
      </c>
      <c r="AA3" s="146">
        <v>0.97979930971610774</v>
      </c>
      <c r="AB3" s="147">
        <v>1.3707486145307714E-4</v>
      </c>
      <c r="AC3" s="181"/>
    </row>
    <row r="4" spans="1:29" ht="15" x14ac:dyDescent="0.2">
      <c r="A4" s="142" t="s">
        <v>1205</v>
      </c>
      <c r="B4" s="143" t="s">
        <v>1205</v>
      </c>
      <c r="C4" s="143" t="s">
        <v>3191</v>
      </c>
      <c r="D4" s="143" t="s">
        <v>3192</v>
      </c>
      <c r="E4" s="143" t="s">
        <v>314</v>
      </c>
      <c r="F4" s="143" t="s">
        <v>3607</v>
      </c>
      <c r="G4" s="143" t="s">
        <v>3608</v>
      </c>
      <c r="H4" s="143" t="s">
        <v>312</v>
      </c>
      <c r="I4" s="143" t="s">
        <v>204</v>
      </c>
      <c r="J4" s="143" t="s">
        <v>204</v>
      </c>
      <c r="K4" s="143" t="s">
        <v>314</v>
      </c>
      <c r="L4" s="143" t="s">
        <v>1221</v>
      </c>
      <c r="M4" s="143" t="s">
        <v>444</v>
      </c>
      <c r="N4" s="143" t="s">
        <v>3605</v>
      </c>
      <c r="O4" s="143" t="s">
        <v>339</v>
      </c>
      <c r="P4" s="143" t="s">
        <v>3077</v>
      </c>
      <c r="Q4" s="143" t="s">
        <v>1211</v>
      </c>
      <c r="R4" s="143" t="s">
        <v>884</v>
      </c>
      <c r="S4" s="143" t="s">
        <v>888</v>
      </c>
      <c r="T4" s="161">
        <v>45305</v>
      </c>
      <c r="U4" s="145" t="s">
        <v>3853</v>
      </c>
      <c r="V4" s="143" t="s">
        <v>3010</v>
      </c>
      <c r="W4" s="144">
        <v>213.05</v>
      </c>
      <c r="X4" s="143" t="s">
        <v>3609</v>
      </c>
      <c r="Y4" s="143" t="s">
        <v>1212</v>
      </c>
      <c r="Z4" s="144">
        <v>1.8717000000000001</v>
      </c>
      <c r="AA4" s="146">
        <v>2.0200323643663514E-2</v>
      </c>
      <c r="AB4" s="147">
        <v>2.826044616794828E-6</v>
      </c>
      <c r="AC4" s="181"/>
    </row>
    <row r="5" spans="1:29" ht="15" x14ac:dyDescent="0.2">
      <c r="A5" s="142" t="s">
        <v>1205</v>
      </c>
      <c r="B5" s="143" t="s">
        <v>1205</v>
      </c>
      <c r="C5" s="143" t="s">
        <v>3136</v>
      </c>
      <c r="D5" s="143" t="s">
        <v>3137</v>
      </c>
      <c r="E5" s="143" t="s">
        <v>314</v>
      </c>
      <c r="F5" s="143" t="s">
        <v>3610</v>
      </c>
      <c r="G5" s="143" t="s">
        <v>3611</v>
      </c>
      <c r="H5" s="143" t="s">
        <v>312</v>
      </c>
      <c r="I5" s="143" t="s">
        <v>204</v>
      </c>
      <c r="J5" s="143" t="s">
        <v>204</v>
      </c>
      <c r="K5" s="143" t="s">
        <v>314</v>
      </c>
      <c r="L5" s="143" t="s">
        <v>3604</v>
      </c>
      <c r="M5" s="143" t="s">
        <v>444</v>
      </c>
      <c r="N5" s="143" t="s">
        <v>3605</v>
      </c>
      <c r="O5" s="143" t="s">
        <v>339</v>
      </c>
      <c r="P5" s="143" t="s">
        <v>3077</v>
      </c>
      <c r="Q5" s="143" t="s">
        <v>1211</v>
      </c>
      <c r="R5" s="143" t="s">
        <v>884</v>
      </c>
      <c r="S5" s="143" t="s">
        <v>888</v>
      </c>
      <c r="T5" s="161">
        <v>45250</v>
      </c>
      <c r="U5" s="145" t="s">
        <v>3853</v>
      </c>
      <c r="V5" s="143" t="s">
        <v>3010</v>
      </c>
      <c r="W5" s="144">
        <v>89</v>
      </c>
      <c r="X5" s="143" t="s">
        <v>3612</v>
      </c>
      <c r="Y5" s="143" t="s">
        <v>1212</v>
      </c>
      <c r="Z5" s="144">
        <v>0</v>
      </c>
      <c r="AA5" s="146">
        <v>3.610684156720287E-7</v>
      </c>
      <c r="AB5" s="147">
        <v>5.0513817026127406E-11</v>
      </c>
      <c r="AC5" s="181"/>
    </row>
    <row r="6" spans="1:29" ht="15" x14ac:dyDescent="0.2">
      <c r="A6" s="142" t="s">
        <v>1205</v>
      </c>
      <c r="B6" s="143" t="s">
        <v>1205</v>
      </c>
      <c r="C6" s="143" t="s">
        <v>3136</v>
      </c>
      <c r="D6" s="143" t="s">
        <v>3137</v>
      </c>
      <c r="E6" s="143" t="s">
        <v>314</v>
      </c>
      <c r="F6" s="143" t="s">
        <v>3613</v>
      </c>
      <c r="G6" s="143" t="s">
        <v>3614</v>
      </c>
      <c r="H6" s="143" t="s">
        <v>312</v>
      </c>
      <c r="I6" s="143" t="s">
        <v>204</v>
      </c>
      <c r="J6" s="143" t="s">
        <v>204</v>
      </c>
      <c r="K6" s="143" t="s">
        <v>314</v>
      </c>
      <c r="L6" s="143" t="s">
        <v>1221</v>
      </c>
      <c r="M6" s="143" t="s">
        <v>444</v>
      </c>
      <c r="N6" s="143" t="s">
        <v>3605</v>
      </c>
      <c r="O6" s="143" t="s">
        <v>339</v>
      </c>
      <c r="P6" s="143" t="s">
        <v>3615</v>
      </c>
      <c r="Q6" s="143" t="s">
        <v>1211</v>
      </c>
      <c r="R6" s="143" t="s">
        <v>884</v>
      </c>
      <c r="S6" s="143" t="s">
        <v>888</v>
      </c>
      <c r="T6" s="161">
        <v>45250</v>
      </c>
      <c r="U6" s="145" t="s">
        <v>3853</v>
      </c>
      <c r="V6" s="143" t="s">
        <v>3010</v>
      </c>
      <c r="W6" s="144">
        <v>137.34</v>
      </c>
      <c r="X6" s="143" t="s">
        <v>3612</v>
      </c>
      <c r="Y6" s="143" t="s">
        <v>1212</v>
      </c>
      <c r="Z6" s="144">
        <v>0</v>
      </c>
      <c r="AA6" s="146">
        <v>5.5718130571231932E-9</v>
      </c>
      <c r="AB6" s="147">
        <v>7.7950198094026266E-13</v>
      </c>
      <c r="AC6" s="181"/>
    </row>
    <row r="7" spans="1:29" ht="15" x14ac:dyDescent="0.2">
      <c r="A7" s="142" t="s">
        <v>1218</v>
      </c>
      <c r="B7" s="143" t="s">
        <v>1218</v>
      </c>
      <c r="C7" s="143" t="s">
        <v>3136</v>
      </c>
      <c r="D7" s="143" t="s">
        <v>3137</v>
      </c>
      <c r="E7" s="143" t="s">
        <v>314</v>
      </c>
      <c r="F7" s="143" t="s">
        <v>3602</v>
      </c>
      <c r="G7" s="143" t="s">
        <v>3603</v>
      </c>
      <c r="H7" s="143" t="s">
        <v>312</v>
      </c>
      <c r="I7" s="143" t="s">
        <v>204</v>
      </c>
      <c r="J7" s="143" t="s">
        <v>204</v>
      </c>
      <c r="K7" s="143" t="s">
        <v>314</v>
      </c>
      <c r="L7" s="143" t="s">
        <v>3604</v>
      </c>
      <c r="M7" s="143" t="s">
        <v>444</v>
      </c>
      <c r="N7" s="143" t="s">
        <v>3605</v>
      </c>
      <c r="O7" s="143" t="s">
        <v>339</v>
      </c>
      <c r="P7" s="143" t="s">
        <v>3077</v>
      </c>
      <c r="Q7" s="143" t="s">
        <v>1211</v>
      </c>
      <c r="R7" s="143" t="s">
        <v>884</v>
      </c>
      <c r="S7" s="143" t="s">
        <v>888</v>
      </c>
      <c r="T7" s="161">
        <v>45320</v>
      </c>
      <c r="U7" s="145" t="s">
        <v>3853</v>
      </c>
      <c r="V7" s="143" t="s">
        <v>3010</v>
      </c>
      <c r="W7" s="144">
        <v>2996.99</v>
      </c>
      <c r="X7" s="143" t="s">
        <v>3606</v>
      </c>
      <c r="Y7" s="143" t="s">
        <v>1212</v>
      </c>
      <c r="Z7" s="144">
        <v>878.72349999999994</v>
      </c>
      <c r="AA7" s="146">
        <v>0.97944858687559455</v>
      </c>
      <c r="AB7" s="147">
        <v>1.1706890103452387E-4</v>
      </c>
      <c r="AC7" s="181"/>
    </row>
    <row r="8" spans="1:29" ht="15" x14ac:dyDescent="0.2">
      <c r="A8" s="142" t="s">
        <v>1218</v>
      </c>
      <c r="B8" s="143" t="s">
        <v>1218</v>
      </c>
      <c r="C8" s="143" t="s">
        <v>3191</v>
      </c>
      <c r="D8" s="143" t="s">
        <v>3192</v>
      </c>
      <c r="E8" s="143" t="s">
        <v>314</v>
      </c>
      <c r="F8" s="143" t="s">
        <v>3607</v>
      </c>
      <c r="G8" s="143" t="s">
        <v>3608</v>
      </c>
      <c r="H8" s="143" t="s">
        <v>312</v>
      </c>
      <c r="I8" s="143" t="s">
        <v>204</v>
      </c>
      <c r="J8" s="143" t="s">
        <v>204</v>
      </c>
      <c r="K8" s="143" t="s">
        <v>314</v>
      </c>
      <c r="L8" s="143" t="s">
        <v>1221</v>
      </c>
      <c r="M8" s="143" t="s">
        <v>444</v>
      </c>
      <c r="N8" s="143" t="s">
        <v>3605</v>
      </c>
      <c r="O8" s="143" t="s">
        <v>339</v>
      </c>
      <c r="P8" s="143" t="s">
        <v>3077</v>
      </c>
      <c r="Q8" s="143" t="s">
        <v>1211</v>
      </c>
      <c r="R8" s="143" t="s">
        <v>884</v>
      </c>
      <c r="S8" s="143" t="s">
        <v>888</v>
      </c>
      <c r="T8" s="161">
        <v>45305</v>
      </c>
      <c r="U8" s="145" t="s">
        <v>3853</v>
      </c>
      <c r="V8" s="143" t="s">
        <v>3010</v>
      </c>
      <c r="W8" s="144">
        <v>2098.7199999999998</v>
      </c>
      <c r="X8" s="143" t="s">
        <v>3609</v>
      </c>
      <c r="Y8" s="143" t="s">
        <v>1212</v>
      </c>
      <c r="Z8" s="144">
        <v>18.4376</v>
      </c>
      <c r="AA8" s="146">
        <v>2.0551027673485149E-2</v>
      </c>
      <c r="AB8" s="147">
        <v>2.456368059644339E-6</v>
      </c>
      <c r="AC8" s="181"/>
    </row>
    <row r="9" spans="1:29" ht="15" x14ac:dyDescent="0.2">
      <c r="A9" s="142" t="s">
        <v>1218</v>
      </c>
      <c r="B9" s="143" t="s">
        <v>1218</v>
      </c>
      <c r="C9" s="143" t="s">
        <v>3136</v>
      </c>
      <c r="D9" s="143" t="s">
        <v>3137</v>
      </c>
      <c r="E9" s="143" t="s">
        <v>314</v>
      </c>
      <c r="F9" s="143" t="s">
        <v>3610</v>
      </c>
      <c r="G9" s="143" t="s">
        <v>3611</v>
      </c>
      <c r="H9" s="143" t="s">
        <v>312</v>
      </c>
      <c r="I9" s="143" t="s">
        <v>204</v>
      </c>
      <c r="J9" s="143" t="s">
        <v>204</v>
      </c>
      <c r="K9" s="143" t="s">
        <v>314</v>
      </c>
      <c r="L9" s="143" t="s">
        <v>3604</v>
      </c>
      <c r="M9" s="143" t="s">
        <v>444</v>
      </c>
      <c r="N9" s="143" t="s">
        <v>3605</v>
      </c>
      <c r="O9" s="143" t="s">
        <v>339</v>
      </c>
      <c r="P9" s="143" t="s">
        <v>3077</v>
      </c>
      <c r="Q9" s="143" t="s">
        <v>1211</v>
      </c>
      <c r="R9" s="143" t="s">
        <v>884</v>
      </c>
      <c r="S9" s="143" t="s">
        <v>888</v>
      </c>
      <c r="T9" s="161">
        <v>45250</v>
      </c>
      <c r="U9" s="145" t="s">
        <v>3853</v>
      </c>
      <c r="V9" s="143" t="s">
        <v>3010</v>
      </c>
      <c r="W9" s="144">
        <v>906</v>
      </c>
      <c r="X9" s="143" t="s">
        <v>3612</v>
      </c>
      <c r="Y9" s="143" t="s">
        <v>1212</v>
      </c>
      <c r="Z9" s="144">
        <v>2.9999999999999997E-4</v>
      </c>
      <c r="AA9" s="146">
        <v>3.796032701995997E-7</v>
      </c>
      <c r="AB9" s="147">
        <v>4.5372200508389836E-11</v>
      </c>
      <c r="AC9" s="181"/>
    </row>
    <row r="10" spans="1:29" ht="15" x14ac:dyDescent="0.2">
      <c r="A10" s="142" t="s">
        <v>1218</v>
      </c>
      <c r="B10" s="143" t="s">
        <v>1218</v>
      </c>
      <c r="C10" s="143" t="s">
        <v>3136</v>
      </c>
      <c r="D10" s="143" t="s">
        <v>3137</v>
      </c>
      <c r="E10" s="143" t="s">
        <v>314</v>
      </c>
      <c r="F10" s="143" t="s">
        <v>3613</v>
      </c>
      <c r="G10" s="143" t="s">
        <v>3614</v>
      </c>
      <c r="H10" s="143" t="s">
        <v>312</v>
      </c>
      <c r="I10" s="143" t="s">
        <v>204</v>
      </c>
      <c r="J10" s="143" t="s">
        <v>204</v>
      </c>
      <c r="K10" s="143" t="s">
        <v>314</v>
      </c>
      <c r="L10" s="143" t="s">
        <v>1221</v>
      </c>
      <c r="M10" s="143" t="s">
        <v>444</v>
      </c>
      <c r="N10" s="143" t="s">
        <v>3605</v>
      </c>
      <c r="O10" s="143" t="s">
        <v>339</v>
      </c>
      <c r="P10" s="143" t="s">
        <v>3615</v>
      </c>
      <c r="Q10" s="143" t="s">
        <v>1211</v>
      </c>
      <c r="R10" s="143" t="s">
        <v>884</v>
      </c>
      <c r="S10" s="143" t="s">
        <v>888</v>
      </c>
      <c r="T10" s="161">
        <v>45250</v>
      </c>
      <c r="U10" s="145" t="s">
        <v>3853</v>
      </c>
      <c r="V10" s="143" t="s">
        <v>3010</v>
      </c>
      <c r="W10" s="144">
        <v>1395.66</v>
      </c>
      <c r="X10" s="143" t="s">
        <v>3612</v>
      </c>
      <c r="Y10" s="143" t="s">
        <v>1212</v>
      </c>
      <c r="Z10" s="144">
        <v>0</v>
      </c>
      <c r="AA10" s="146">
        <v>5.8476501113330384E-9</v>
      </c>
      <c r="AB10" s="147">
        <v>6.9894222253354696E-13</v>
      </c>
      <c r="AC10" s="181"/>
    </row>
    <row r="11" spans="1:29" ht="15" x14ac:dyDescent="0.2">
      <c r="A11" s="154" t="s">
        <v>1205</v>
      </c>
      <c r="B11" s="155" t="s">
        <v>1206</v>
      </c>
      <c r="C11" s="145" t="s">
        <v>3853</v>
      </c>
      <c r="D11" s="145" t="s">
        <v>3853</v>
      </c>
      <c r="E11" s="145" t="s">
        <v>3853</v>
      </c>
      <c r="F11" s="145" t="s">
        <v>3853</v>
      </c>
      <c r="G11" s="145" t="s">
        <v>3853</v>
      </c>
      <c r="H11" s="145" t="s">
        <v>3853</v>
      </c>
      <c r="I11" s="145" t="s">
        <v>3853</v>
      </c>
      <c r="J11" s="145" t="s">
        <v>3853</v>
      </c>
      <c r="K11" s="145" t="s">
        <v>3853</v>
      </c>
      <c r="L11" s="145" t="s">
        <v>3853</v>
      </c>
      <c r="M11" s="145" t="s">
        <v>3853</v>
      </c>
      <c r="N11" s="145" t="s">
        <v>3853</v>
      </c>
      <c r="O11" s="145" t="s">
        <v>3853</v>
      </c>
      <c r="P11" s="145" t="s">
        <v>3853</v>
      </c>
      <c r="Q11" s="145" t="s">
        <v>3853</v>
      </c>
      <c r="R11" s="145" t="s">
        <v>3853</v>
      </c>
      <c r="S11" s="145" t="s">
        <v>3853</v>
      </c>
      <c r="T11" s="145" t="s">
        <v>3853</v>
      </c>
      <c r="U11" s="145" t="s">
        <v>3853</v>
      </c>
      <c r="V11" s="145" t="s">
        <v>3853</v>
      </c>
      <c r="W11" s="145" t="s">
        <v>3853</v>
      </c>
      <c r="X11" s="145" t="s">
        <v>3853</v>
      </c>
      <c r="Y11" s="145" t="s">
        <v>3853</v>
      </c>
      <c r="Z11" s="145" t="s">
        <v>3853</v>
      </c>
      <c r="AA11" s="145" t="s">
        <v>3853</v>
      </c>
      <c r="AB11" s="156" t="s">
        <v>3853</v>
      </c>
      <c r="AC11" s="181"/>
    </row>
    <row r="12" spans="1:29" ht="15" x14ac:dyDescent="0.2">
      <c r="A12" s="154" t="s">
        <v>1205</v>
      </c>
      <c r="B12" s="155" t="s">
        <v>1213</v>
      </c>
      <c r="C12" s="145" t="s">
        <v>3853</v>
      </c>
      <c r="D12" s="145" t="s">
        <v>3853</v>
      </c>
      <c r="E12" s="145" t="s">
        <v>3853</v>
      </c>
      <c r="F12" s="145" t="s">
        <v>3853</v>
      </c>
      <c r="G12" s="145" t="s">
        <v>3853</v>
      </c>
      <c r="H12" s="145" t="s">
        <v>3853</v>
      </c>
      <c r="I12" s="145" t="s">
        <v>3853</v>
      </c>
      <c r="J12" s="145" t="s">
        <v>3853</v>
      </c>
      <c r="K12" s="145" t="s">
        <v>3853</v>
      </c>
      <c r="L12" s="145" t="s">
        <v>3853</v>
      </c>
      <c r="M12" s="145" t="s">
        <v>3853</v>
      </c>
      <c r="N12" s="145" t="s">
        <v>3853</v>
      </c>
      <c r="O12" s="145" t="s">
        <v>3853</v>
      </c>
      <c r="P12" s="145" t="s">
        <v>3853</v>
      </c>
      <c r="Q12" s="145" t="s">
        <v>3853</v>
      </c>
      <c r="R12" s="145" t="s">
        <v>3853</v>
      </c>
      <c r="S12" s="145" t="s">
        <v>3853</v>
      </c>
      <c r="T12" s="145" t="s">
        <v>3853</v>
      </c>
      <c r="U12" s="145" t="s">
        <v>3853</v>
      </c>
      <c r="V12" s="145" t="s">
        <v>3853</v>
      </c>
      <c r="W12" s="145" t="s">
        <v>3853</v>
      </c>
      <c r="X12" s="145" t="s">
        <v>3853</v>
      </c>
      <c r="Y12" s="145" t="s">
        <v>3853</v>
      </c>
      <c r="Z12" s="145" t="s">
        <v>3853</v>
      </c>
      <c r="AA12" s="145" t="s">
        <v>3853</v>
      </c>
      <c r="AB12" s="156" t="s">
        <v>3853</v>
      </c>
      <c r="AC12" s="181"/>
    </row>
    <row r="13" spans="1:29" ht="15" x14ac:dyDescent="0.2">
      <c r="A13" s="154" t="s">
        <v>1218</v>
      </c>
      <c r="B13" s="155" t="s">
        <v>1219</v>
      </c>
      <c r="C13" s="145" t="s">
        <v>3853</v>
      </c>
      <c r="D13" s="145" t="s">
        <v>3853</v>
      </c>
      <c r="E13" s="145" t="s">
        <v>3853</v>
      </c>
      <c r="F13" s="145" t="s">
        <v>3853</v>
      </c>
      <c r="G13" s="145" t="s">
        <v>3853</v>
      </c>
      <c r="H13" s="145" t="s">
        <v>3853</v>
      </c>
      <c r="I13" s="145" t="s">
        <v>3853</v>
      </c>
      <c r="J13" s="145" t="s">
        <v>3853</v>
      </c>
      <c r="K13" s="145" t="s">
        <v>3853</v>
      </c>
      <c r="L13" s="145" t="s">
        <v>3853</v>
      </c>
      <c r="M13" s="145" t="s">
        <v>3853</v>
      </c>
      <c r="N13" s="145" t="s">
        <v>3853</v>
      </c>
      <c r="O13" s="145" t="s">
        <v>3853</v>
      </c>
      <c r="P13" s="145" t="s">
        <v>3853</v>
      </c>
      <c r="Q13" s="145" t="s">
        <v>3853</v>
      </c>
      <c r="R13" s="145" t="s">
        <v>3853</v>
      </c>
      <c r="S13" s="145" t="s">
        <v>3853</v>
      </c>
      <c r="T13" s="145" t="s">
        <v>3853</v>
      </c>
      <c r="U13" s="145" t="s">
        <v>3853</v>
      </c>
      <c r="V13" s="145" t="s">
        <v>3853</v>
      </c>
      <c r="W13" s="145" t="s">
        <v>3853</v>
      </c>
      <c r="X13" s="145" t="s">
        <v>3853</v>
      </c>
      <c r="Y13" s="145" t="s">
        <v>3853</v>
      </c>
      <c r="Z13" s="145" t="s">
        <v>3853</v>
      </c>
      <c r="AA13" s="145" t="s">
        <v>3853</v>
      </c>
      <c r="AB13" s="156" t="s">
        <v>3853</v>
      </c>
      <c r="AC13" s="181"/>
    </row>
    <row r="14" spans="1:29" ht="15" x14ac:dyDescent="0.2">
      <c r="A14" s="157" t="s">
        <v>1218</v>
      </c>
      <c r="B14" s="158" t="s">
        <v>1220</v>
      </c>
      <c r="C14" s="151" t="s">
        <v>3853</v>
      </c>
      <c r="D14" s="151" t="s">
        <v>3853</v>
      </c>
      <c r="E14" s="151" t="s">
        <v>3853</v>
      </c>
      <c r="F14" s="151" t="s">
        <v>3853</v>
      </c>
      <c r="G14" s="151" t="s">
        <v>3853</v>
      </c>
      <c r="H14" s="151" t="s">
        <v>3853</v>
      </c>
      <c r="I14" s="151" t="s">
        <v>3853</v>
      </c>
      <c r="J14" s="151" t="s">
        <v>3853</v>
      </c>
      <c r="K14" s="151" t="s">
        <v>3853</v>
      </c>
      <c r="L14" s="151" t="s">
        <v>3853</v>
      </c>
      <c r="M14" s="151" t="s">
        <v>3853</v>
      </c>
      <c r="N14" s="151" t="s">
        <v>3853</v>
      </c>
      <c r="O14" s="151" t="s">
        <v>3853</v>
      </c>
      <c r="P14" s="151" t="s">
        <v>3853</v>
      </c>
      <c r="Q14" s="151" t="s">
        <v>3853</v>
      </c>
      <c r="R14" s="151" t="s">
        <v>3853</v>
      </c>
      <c r="S14" s="151" t="s">
        <v>3853</v>
      </c>
      <c r="T14" s="151" t="s">
        <v>3853</v>
      </c>
      <c r="U14" s="151" t="s">
        <v>3853</v>
      </c>
      <c r="V14" s="151" t="s">
        <v>3853</v>
      </c>
      <c r="W14" s="151" t="s">
        <v>3853</v>
      </c>
      <c r="X14" s="151" t="s">
        <v>3853</v>
      </c>
      <c r="Y14" s="151" t="s">
        <v>3853</v>
      </c>
      <c r="Z14" s="151" t="s">
        <v>3853</v>
      </c>
      <c r="AA14" s="151" t="s">
        <v>3853</v>
      </c>
      <c r="AB14" s="159" t="s">
        <v>3853</v>
      </c>
      <c r="AC14" s="181"/>
    </row>
    <row r="15" spans="1:29" x14ac:dyDescent="0.2">
      <c r="A15" s="185" t="s">
        <v>3870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</row>
    <row r="16" spans="1:29" x14ac:dyDescent="0.2">
      <c r="A16" s="99" t="s">
        <v>3869</v>
      </c>
      <c r="B16" s="99"/>
      <c r="C16" s="99"/>
      <c r="D16" s="99"/>
      <c r="E16" s="16"/>
      <c r="F16" s="99"/>
      <c r="G16" s="99"/>
      <c r="H16" s="99"/>
      <c r="I16" s="16"/>
      <c r="J16" s="16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179"/>
      <c r="B17" s="99"/>
      <c r="C17" s="99"/>
      <c r="D17" s="99"/>
      <c r="E17" s="16"/>
      <c r="F17" s="99"/>
      <c r="G17" s="99"/>
      <c r="H17" s="99"/>
      <c r="I17" s="16"/>
      <c r="J17" s="16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16"/>
      <c r="J18" s="16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16"/>
      <c r="J19" s="16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16"/>
      <c r="J20" s="16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16"/>
      <c r="J21" s="16"/>
      <c r="K21" s="99"/>
      <c r="L21" s="98"/>
      <c r="M21" s="99"/>
      <c r="N21" s="98"/>
      <c r="O21" s="99"/>
      <c r="P21" s="98"/>
      <c r="Q21" s="98"/>
      <c r="R21" s="98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5" spans="1:28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5:AB15"/>
    <mergeCell ref="AC2:AC14"/>
  </mergeCells>
  <dataValidations count="10">
    <dataValidation type="list" allowBlank="1" showInputMessage="1" showErrorMessage="1" sqref="I3:I10 I16:I21">
      <formula1>israel_abroad</formula1>
    </dataValidation>
    <dataValidation type="list" allowBlank="1" showInputMessage="1" showErrorMessage="1" sqref="O3:O10 O16:O21">
      <formula1>Holding_interest</formula1>
    </dataValidation>
    <dataValidation type="list" allowBlank="1" showInputMessage="1" showErrorMessage="1" sqref="R3:R10 R16:R20">
      <formula1>Valuation</formula1>
    </dataValidation>
    <dataValidation type="list" allowBlank="1" showInputMessage="1" showErrorMessage="1" sqref="S3:S10 S16:S21">
      <formula1>Dependence_Independence</formula1>
    </dataValidation>
    <dataValidation type="list" allowBlank="1" showInputMessage="1" showErrorMessage="1" sqref="J3:J10 J16:J21">
      <formula1>Country_list</formula1>
    </dataValidation>
    <dataValidation type="list" allowBlank="1" showInputMessage="1" showErrorMessage="1" sqref="H3:H10 H16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6:E21">
      <formula1>Issuer_Number_Type_2</formula1>
    </dataValidation>
    <dataValidation type="list" allowBlank="1" showInputMessage="1" showErrorMessage="1" sqref="M3:M10 M16:M21">
      <formula1>Industry_Sector</formula1>
    </dataValidation>
    <dataValidation type="list" allowBlank="1" showInputMessage="1" showErrorMessage="1" sqref="K3:K10 K16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9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3893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96</v>
      </c>
      <c r="N2" s="140" t="s">
        <v>93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94</v>
      </c>
      <c r="V2" s="140" t="s">
        <v>95</v>
      </c>
      <c r="W2" s="140" t="s">
        <v>76</v>
      </c>
      <c r="X2" s="140" t="s">
        <v>77</v>
      </c>
      <c r="Y2" s="140" t="s">
        <v>61</v>
      </c>
      <c r="Z2" s="140" t="s">
        <v>119</v>
      </c>
      <c r="AA2" s="140" t="s">
        <v>64</v>
      </c>
      <c r="AB2" s="141" t="s">
        <v>65</v>
      </c>
      <c r="AC2" s="181" t="s">
        <v>3871</v>
      </c>
    </row>
    <row r="3" spans="1:29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45" t="s">
        <v>3853</v>
      </c>
      <c r="S3" s="145" t="s">
        <v>3853</v>
      </c>
      <c r="T3" s="145" t="s">
        <v>3853</v>
      </c>
      <c r="U3" s="145" t="s">
        <v>3853</v>
      </c>
      <c r="V3" s="145" t="s">
        <v>3853</v>
      </c>
      <c r="W3" s="145" t="s">
        <v>3853</v>
      </c>
      <c r="X3" s="145" t="s">
        <v>3853</v>
      </c>
      <c r="Y3" s="145" t="s">
        <v>3853</v>
      </c>
      <c r="Z3" s="145" t="s">
        <v>3853</v>
      </c>
      <c r="AA3" s="145" t="s">
        <v>3853</v>
      </c>
      <c r="AB3" s="156" t="s">
        <v>3853</v>
      </c>
      <c r="AC3" s="181"/>
    </row>
    <row r="4" spans="1:29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45" t="s">
        <v>3853</v>
      </c>
      <c r="S4" s="145" t="s">
        <v>3853</v>
      </c>
      <c r="T4" s="145" t="s">
        <v>3853</v>
      </c>
      <c r="U4" s="145" t="s">
        <v>3853</v>
      </c>
      <c r="V4" s="145" t="s">
        <v>3853</v>
      </c>
      <c r="W4" s="145" t="s">
        <v>3853</v>
      </c>
      <c r="X4" s="145" t="s">
        <v>3853</v>
      </c>
      <c r="Y4" s="145" t="s">
        <v>3853</v>
      </c>
      <c r="Z4" s="145" t="s">
        <v>3853</v>
      </c>
      <c r="AA4" s="145" t="s">
        <v>3853</v>
      </c>
      <c r="AB4" s="156" t="s">
        <v>3853</v>
      </c>
      <c r="AC4" s="181"/>
    </row>
    <row r="5" spans="1:29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45" t="s">
        <v>3853</v>
      </c>
      <c r="S5" s="145" t="s">
        <v>3853</v>
      </c>
      <c r="T5" s="145" t="s">
        <v>3853</v>
      </c>
      <c r="U5" s="145" t="s">
        <v>3853</v>
      </c>
      <c r="V5" s="145" t="s">
        <v>3853</v>
      </c>
      <c r="W5" s="145" t="s">
        <v>3853</v>
      </c>
      <c r="X5" s="145" t="s">
        <v>3853</v>
      </c>
      <c r="Y5" s="145" t="s">
        <v>3853</v>
      </c>
      <c r="Z5" s="145" t="s">
        <v>3853</v>
      </c>
      <c r="AA5" s="145" t="s">
        <v>3853</v>
      </c>
      <c r="AB5" s="156" t="s">
        <v>3853</v>
      </c>
      <c r="AC5" s="181"/>
    </row>
    <row r="6" spans="1:29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45" t="s">
        <v>3853</v>
      </c>
      <c r="S6" s="145" t="s">
        <v>3853</v>
      </c>
      <c r="T6" s="145" t="s">
        <v>3853</v>
      </c>
      <c r="U6" s="145" t="s">
        <v>3853</v>
      </c>
      <c r="V6" s="145" t="s">
        <v>3853</v>
      </c>
      <c r="W6" s="145" t="s">
        <v>3853</v>
      </c>
      <c r="X6" s="145" t="s">
        <v>3853</v>
      </c>
      <c r="Y6" s="145" t="s">
        <v>3853</v>
      </c>
      <c r="Z6" s="145" t="s">
        <v>3853</v>
      </c>
      <c r="AA6" s="145" t="s">
        <v>3853</v>
      </c>
      <c r="AB6" s="156" t="s">
        <v>3853</v>
      </c>
      <c r="AC6" s="181"/>
    </row>
    <row r="7" spans="1:29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45" t="s">
        <v>3853</v>
      </c>
      <c r="W7" s="145" t="s">
        <v>3853</v>
      </c>
      <c r="X7" s="145" t="s">
        <v>3853</v>
      </c>
      <c r="Y7" s="145" t="s">
        <v>3853</v>
      </c>
      <c r="Z7" s="145" t="s">
        <v>3853</v>
      </c>
      <c r="AA7" s="145" t="s">
        <v>3853</v>
      </c>
      <c r="AB7" s="156" t="s">
        <v>3853</v>
      </c>
      <c r="AC7" s="181"/>
    </row>
    <row r="8" spans="1:29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1" t="s">
        <v>3853</v>
      </c>
      <c r="S8" s="151" t="s">
        <v>3853</v>
      </c>
      <c r="T8" s="151" t="s">
        <v>3853</v>
      </c>
      <c r="U8" s="151" t="s">
        <v>3853</v>
      </c>
      <c r="V8" s="151" t="s">
        <v>3853</v>
      </c>
      <c r="W8" s="151" t="s">
        <v>3853</v>
      </c>
      <c r="X8" s="151" t="s">
        <v>3853</v>
      </c>
      <c r="Y8" s="151" t="s">
        <v>3853</v>
      </c>
      <c r="Z8" s="151" t="s">
        <v>3853</v>
      </c>
      <c r="AA8" s="151" t="s">
        <v>3853</v>
      </c>
      <c r="AB8" s="159" t="s">
        <v>3853</v>
      </c>
      <c r="AC8" s="181"/>
    </row>
    <row r="9" spans="1:29" x14ac:dyDescent="0.2">
      <c r="A9" s="185" t="s">
        <v>3870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</row>
    <row r="10" spans="1:29" x14ac:dyDescent="0.2">
      <c r="A10" s="99" t="s">
        <v>3869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</row>
    <row r="11" spans="1:29" x14ac:dyDescent="0.2">
      <c r="A11" s="179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8"/>
      <c r="Q21" s="98"/>
      <c r="R21" s="99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9">
    <dataValidation type="list" allowBlank="1" showInputMessage="1" showErrorMessage="1" sqref="J10:J21">
      <formula1>israel_abroad</formula1>
    </dataValidation>
    <dataValidation type="list" allowBlank="1" showInputMessage="1" showErrorMessage="1" sqref="O10:O21">
      <formula1>Holding_interest</formula1>
    </dataValidation>
    <dataValidation type="list" allowBlank="1" showInputMessage="1" showErrorMessage="1" sqref="M10:M21">
      <formula1>Underlying_Asset</formula1>
    </dataValidation>
    <dataValidation type="list" allowBlank="1" showInputMessage="1" showErrorMessage="1" sqref="R10:R21">
      <formula1>Valuation</formula1>
    </dataValidation>
    <dataValidation type="list" allowBlank="1" showInputMessage="1" showErrorMessage="1" sqref="S10:S21">
      <formula1>Dependence_Independence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H10:H21">
      <formula1>Type_of_Security_ID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10" customWidth="1"/>
    <col min="2" max="2" width="11.125" style="10" customWidth="1"/>
    <col min="3" max="3" width="16" style="10" bestFit="1" customWidth="1"/>
    <col min="4" max="4" width="16.25" style="10" customWidth="1"/>
    <col min="5" max="5" width="17" style="10" customWidth="1"/>
    <col min="6" max="6" width="10.5" style="10" customWidth="1"/>
    <col min="7" max="7" width="14.125" style="10" bestFit="1" customWidth="1"/>
    <col min="8" max="8" width="24.125" style="10" customWidth="1"/>
    <col min="9" max="9" width="27" style="10" customWidth="1"/>
    <col min="10" max="10" width="25.375" style="10" customWidth="1"/>
    <col min="11" max="11" width="16.25" style="10" customWidth="1"/>
    <col min="12" max="12" width="17" style="10" customWidth="1"/>
    <col min="13" max="13" width="11.375" style="10" customWidth="1"/>
    <col min="14" max="14" width="14.125" style="10" customWidth="1"/>
    <col min="15" max="15" width="24.125" style="10" customWidth="1"/>
    <col min="16" max="16" width="23" style="10" customWidth="1"/>
    <col min="17" max="17" width="26" style="10" customWidth="1"/>
    <col min="18" max="18" width="21" style="10" customWidth="1"/>
    <col min="19" max="19" width="10.625" style="10" customWidth="1"/>
    <col min="20" max="20" width="19.875" style="10" customWidth="1"/>
    <col min="21" max="21" width="8.875" style="10" customWidth="1"/>
    <col min="22" max="22" width="11.25" style="10" customWidth="1"/>
    <col min="23" max="23" width="10.75" style="10" customWidth="1"/>
    <col min="24" max="24" width="7.375" style="10" bestFit="1" customWidth="1"/>
    <col min="25" max="25" width="15.125" style="10" customWidth="1"/>
    <col min="26" max="26" width="19.625" style="10" customWidth="1"/>
    <col min="27" max="28" width="12.625" style="10" customWidth="1"/>
    <col min="29" max="29" width="10.75" style="10" customWidth="1"/>
    <col min="30" max="30" width="25.375" style="10" customWidth="1"/>
    <col min="31" max="31" width="10.25" style="10" customWidth="1"/>
    <col min="32" max="32" width="9.75" style="10" customWidth="1"/>
    <col min="33" max="33" width="15" style="10" customWidth="1"/>
    <col min="34" max="34" width="14.25" customWidth="1"/>
    <col min="35" max="35" width="31.75" style="10" customWidth="1"/>
    <col min="36" max="36" width="28.375" style="10" customWidth="1"/>
    <col min="37" max="37" width="25.875" style="10" customWidth="1"/>
    <col min="38" max="38" width="24.375" style="10" customWidth="1"/>
    <col min="39" max="39" width="19.5" style="10" customWidth="1"/>
    <col min="40" max="40" width="21.75" style="2" customWidth="1"/>
    <col min="41" max="41" width="20.125" style="2" customWidth="1"/>
    <col min="42" max="16384" width="9" style="10"/>
  </cols>
  <sheetData>
    <row r="1" spans="1:42" x14ac:dyDescent="0.2">
      <c r="A1" s="10" t="s">
        <v>3894</v>
      </c>
    </row>
    <row r="2" spans="1:42" ht="66.75" customHeight="1" x14ac:dyDescent="0.2">
      <c r="A2" s="139" t="s">
        <v>49</v>
      </c>
      <c r="B2" s="140" t="s">
        <v>50</v>
      </c>
      <c r="C2" s="140" t="s">
        <v>54</v>
      </c>
      <c r="D2" s="140" t="s">
        <v>120</v>
      </c>
      <c r="E2" s="140" t="s">
        <v>121</v>
      </c>
      <c r="F2" s="140" t="s">
        <v>61</v>
      </c>
      <c r="G2" s="140" t="s">
        <v>122</v>
      </c>
      <c r="H2" s="140" t="s">
        <v>123</v>
      </c>
      <c r="I2" s="140" t="s">
        <v>124</v>
      </c>
      <c r="J2" s="140" t="s">
        <v>125</v>
      </c>
      <c r="K2" s="140" t="s">
        <v>126</v>
      </c>
      <c r="L2" s="140" t="s">
        <v>127</v>
      </c>
      <c r="M2" s="140" t="s">
        <v>3868</v>
      </c>
      <c r="N2" s="140" t="s">
        <v>128</v>
      </c>
      <c r="O2" s="140" t="s">
        <v>129</v>
      </c>
      <c r="P2" s="140" t="s">
        <v>130</v>
      </c>
      <c r="Q2" s="140" t="s">
        <v>131</v>
      </c>
      <c r="R2" s="140" t="s">
        <v>132</v>
      </c>
      <c r="S2" s="140" t="s">
        <v>55</v>
      </c>
      <c r="T2" s="140" t="s">
        <v>69</v>
      </c>
      <c r="U2" s="140" t="s">
        <v>133</v>
      </c>
      <c r="V2" s="140" t="s">
        <v>134</v>
      </c>
      <c r="W2" s="140" t="s">
        <v>135</v>
      </c>
      <c r="X2" s="140" t="s">
        <v>136</v>
      </c>
      <c r="Y2" s="140" t="s">
        <v>56</v>
      </c>
      <c r="Z2" s="140" t="s">
        <v>137</v>
      </c>
      <c r="AA2" s="140" t="s">
        <v>138</v>
      </c>
      <c r="AB2" s="140" t="s">
        <v>139</v>
      </c>
      <c r="AC2" s="140" t="s">
        <v>140</v>
      </c>
      <c r="AD2" s="140" t="s">
        <v>141</v>
      </c>
      <c r="AE2" s="140" t="s">
        <v>142</v>
      </c>
      <c r="AF2" s="140" t="s">
        <v>85</v>
      </c>
      <c r="AG2" s="140" t="s">
        <v>143</v>
      </c>
      <c r="AH2" s="140" t="s">
        <v>144</v>
      </c>
      <c r="AI2" s="140" t="s">
        <v>145</v>
      </c>
      <c r="AJ2" s="140" t="s">
        <v>146</v>
      </c>
      <c r="AK2" s="140" t="s">
        <v>147</v>
      </c>
      <c r="AL2" s="140" t="s">
        <v>148</v>
      </c>
      <c r="AM2" s="140" t="s">
        <v>149</v>
      </c>
      <c r="AN2" s="140" t="s">
        <v>64</v>
      </c>
      <c r="AO2" s="141" t="s">
        <v>65</v>
      </c>
      <c r="AP2" s="181" t="s">
        <v>3871</v>
      </c>
    </row>
    <row r="3" spans="1:42" ht="15" x14ac:dyDescent="0.2">
      <c r="A3" s="142" t="s">
        <v>1205</v>
      </c>
      <c r="B3" s="143" t="s">
        <v>1206</v>
      </c>
      <c r="C3" s="143" t="s">
        <v>1016</v>
      </c>
      <c r="D3" s="143" t="s">
        <v>3616</v>
      </c>
      <c r="E3" s="143" t="s">
        <v>1216</v>
      </c>
      <c r="F3" s="143" t="s">
        <v>3617</v>
      </c>
      <c r="G3" s="144">
        <v>-9300</v>
      </c>
      <c r="H3" s="144">
        <v>-0.43173390000000006</v>
      </c>
      <c r="I3" s="146">
        <v>1.3270575886919647E-5</v>
      </c>
      <c r="J3" s="146">
        <v>-5.0924235153314941E-8</v>
      </c>
      <c r="K3" s="143" t="s">
        <v>3616</v>
      </c>
      <c r="L3" s="143" t="s">
        <v>1210</v>
      </c>
      <c r="M3" s="143" t="s">
        <v>3010</v>
      </c>
      <c r="N3" s="144">
        <v>42882.3</v>
      </c>
      <c r="O3" s="144">
        <v>-0.84586609999999984</v>
      </c>
      <c r="P3" s="146">
        <v>2.600011319524077E-5</v>
      </c>
      <c r="Q3" s="146">
        <v>-9.9772299985285838E-8</v>
      </c>
      <c r="R3" s="144">
        <v>-1.2775999999999998</v>
      </c>
      <c r="S3" s="143" t="s">
        <v>204</v>
      </c>
      <c r="T3" s="143" t="s">
        <v>204</v>
      </c>
      <c r="U3" s="143" t="s">
        <v>746</v>
      </c>
      <c r="V3" s="143" t="s">
        <v>314</v>
      </c>
      <c r="W3" s="143" t="s">
        <v>928</v>
      </c>
      <c r="X3" s="143" t="s">
        <v>3618</v>
      </c>
      <c r="Y3" s="143" t="s">
        <v>339</v>
      </c>
      <c r="Z3" s="143" t="s">
        <v>3619</v>
      </c>
      <c r="AA3" s="143" t="s">
        <v>3620</v>
      </c>
      <c r="AB3" s="143" t="s">
        <v>1221</v>
      </c>
      <c r="AC3" s="143" t="s">
        <v>897</v>
      </c>
      <c r="AD3" s="143" t="s">
        <v>339</v>
      </c>
      <c r="AE3" s="143" t="s">
        <v>912</v>
      </c>
      <c r="AF3" s="143" t="s">
        <v>896</v>
      </c>
      <c r="AG3" s="143" t="s">
        <v>1221</v>
      </c>
      <c r="AH3" s="145" t="s">
        <v>3853</v>
      </c>
      <c r="AI3" s="144">
        <v>4.6423000000000005</v>
      </c>
      <c r="AJ3" s="145" t="s">
        <v>3853</v>
      </c>
      <c r="AK3" s="145" t="s">
        <v>3853</v>
      </c>
      <c r="AL3" s="145" t="s">
        <v>3853</v>
      </c>
      <c r="AM3" s="145" t="s">
        <v>3853</v>
      </c>
      <c r="AN3" s="146">
        <v>3.2947317250547691E-2</v>
      </c>
      <c r="AO3" s="147">
        <v>-8.6517696517240001E-5</v>
      </c>
      <c r="AP3" s="181"/>
    </row>
    <row r="4" spans="1:42" ht="15" x14ac:dyDescent="0.2">
      <c r="A4" s="142" t="s">
        <v>1205</v>
      </c>
      <c r="B4" s="143" t="s">
        <v>1206</v>
      </c>
      <c r="C4" s="143" t="s">
        <v>1016</v>
      </c>
      <c r="D4" s="143" t="s">
        <v>3621</v>
      </c>
      <c r="E4" s="143" t="s">
        <v>1214</v>
      </c>
      <c r="F4" s="143" t="s">
        <v>3622</v>
      </c>
      <c r="G4" s="144">
        <v>-19000</v>
      </c>
      <c r="H4" s="144">
        <v>-0.75274200000000002</v>
      </c>
      <c r="I4" s="146">
        <v>2.3137677709051034E-5</v>
      </c>
      <c r="J4" s="146">
        <v>-8.8788048883297302E-8</v>
      </c>
      <c r="K4" s="143" t="s">
        <v>3621</v>
      </c>
      <c r="L4" s="143" t="s">
        <v>1210</v>
      </c>
      <c r="M4" s="143" t="s">
        <v>3010</v>
      </c>
      <c r="N4" s="144">
        <v>75012</v>
      </c>
      <c r="O4" s="144">
        <v>-0.62655799999999995</v>
      </c>
      <c r="P4" s="146">
        <v>1.9259051667141722E-5</v>
      </c>
      <c r="Q4" s="146">
        <v>-7.390428902893818E-8</v>
      </c>
      <c r="R4" s="144">
        <v>-1.3793</v>
      </c>
      <c r="S4" s="143" t="s">
        <v>204</v>
      </c>
      <c r="T4" s="143" t="s">
        <v>204</v>
      </c>
      <c r="U4" s="143" t="s">
        <v>746</v>
      </c>
      <c r="V4" s="143" t="s">
        <v>314</v>
      </c>
      <c r="W4" s="143" t="s">
        <v>928</v>
      </c>
      <c r="X4" s="143" t="s">
        <v>3623</v>
      </c>
      <c r="Y4" s="143" t="s">
        <v>339</v>
      </c>
      <c r="Z4" s="143" t="s">
        <v>3619</v>
      </c>
      <c r="AA4" s="143" t="s">
        <v>3620</v>
      </c>
      <c r="AB4" s="143" t="s">
        <v>1221</v>
      </c>
      <c r="AC4" s="143" t="s">
        <v>897</v>
      </c>
      <c r="AD4" s="143" t="s">
        <v>339</v>
      </c>
      <c r="AE4" s="143" t="s">
        <v>912</v>
      </c>
      <c r="AF4" s="143" t="s">
        <v>896</v>
      </c>
      <c r="AG4" s="143" t="s">
        <v>1221</v>
      </c>
      <c r="AH4" s="145" t="s">
        <v>3853</v>
      </c>
      <c r="AI4" s="144">
        <v>3.9618000000000002</v>
      </c>
      <c r="AJ4" s="145" t="s">
        <v>3853</v>
      </c>
      <c r="AK4" s="145" t="s">
        <v>3853</v>
      </c>
      <c r="AL4" s="145" t="s">
        <v>3853</v>
      </c>
      <c r="AM4" s="145" t="s">
        <v>3853</v>
      </c>
      <c r="AN4" s="146">
        <v>3.5571074711583966E-2</v>
      </c>
      <c r="AO4" s="147">
        <v>-9.3407527638315779E-5</v>
      </c>
      <c r="AP4" s="181"/>
    </row>
    <row r="5" spans="1:42" ht="15" x14ac:dyDescent="0.2">
      <c r="A5" s="142" t="s">
        <v>1205</v>
      </c>
      <c r="B5" s="143" t="s">
        <v>1206</v>
      </c>
      <c r="C5" s="143" t="s">
        <v>1016</v>
      </c>
      <c r="D5" s="143" t="s">
        <v>3624</v>
      </c>
      <c r="E5" s="143" t="s">
        <v>1211</v>
      </c>
      <c r="F5" s="143" t="s">
        <v>3625</v>
      </c>
      <c r="G5" s="144">
        <v>-62500</v>
      </c>
      <c r="H5" s="144">
        <v>-2.3143750000000001</v>
      </c>
      <c r="I5" s="146">
        <v>7.113893319076786E-5</v>
      </c>
      <c r="J5" s="146">
        <v>-2.7298708008093236E-7</v>
      </c>
      <c r="K5" s="143" t="s">
        <v>3624</v>
      </c>
      <c r="L5" s="143" t="s">
        <v>1210</v>
      </c>
      <c r="M5" s="143" t="s">
        <v>3010</v>
      </c>
      <c r="N5" s="144">
        <v>231618.75</v>
      </c>
      <c r="O5" s="144">
        <v>-0.88832499999999959</v>
      </c>
      <c r="P5" s="146">
        <v>2.7305208890818831E-5</v>
      </c>
      <c r="Q5" s="146">
        <v>-1.047804473833731E-7</v>
      </c>
      <c r="R5" s="144">
        <v>-3.2026999999999997</v>
      </c>
      <c r="S5" s="143" t="s">
        <v>204</v>
      </c>
      <c r="T5" s="143" t="s">
        <v>204</v>
      </c>
      <c r="U5" s="143" t="s">
        <v>746</v>
      </c>
      <c r="V5" s="143" t="s">
        <v>314</v>
      </c>
      <c r="W5" s="143" t="s">
        <v>928</v>
      </c>
      <c r="X5" s="143" t="s">
        <v>3626</v>
      </c>
      <c r="Y5" s="143" t="s">
        <v>339</v>
      </c>
      <c r="Z5" s="143" t="s">
        <v>3627</v>
      </c>
      <c r="AA5" s="143" t="s">
        <v>3620</v>
      </c>
      <c r="AB5" s="143" t="s">
        <v>1221</v>
      </c>
      <c r="AC5" s="143" t="s">
        <v>897</v>
      </c>
      <c r="AD5" s="143" t="s">
        <v>339</v>
      </c>
      <c r="AE5" s="143" t="s">
        <v>912</v>
      </c>
      <c r="AF5" s="143" t="s">
        <v>896</v>
      </c>
      <c r="AG5" s="143" t="s">
        <v>1221</v>
      </c>
      <c r="AH5" s="145" t="s">
        <v>3853</v>
      </c>
      <c r="AI5" s="144">
        <v>3.7029999999999998</v>
      </c>
      <c r="AJ5" s="145" t="s">
        <v>3853</v>
      </c>
      <c r="AK5" s="145" t="s">
        <v>3853</v>
      </c>
      <c r="AL5" s="145" t="s">
        <v>3853</v>
      </c>
      <c r="AM5" s="145" t="s">
        <v>3853</v>
      </c>
      <c r="AN5" s="146">
        <v>8.2593687663517421E-2</v>
      </c>
      <c r="AO5" s="147">
        <v>-2.1688611394887162E-4</v>
      </c>
      <c r="AP5" s="181"/>
    </row>
    <row r="6" spans="1:42" ht="15" x14ac:dyDescent="0.2">
      <c r="A6" s="142" t="s">
        <v>1205</v>
      </c>
      <c r="B6" s="143" t="s">
        <v>1206</v>
      </c>
      <c r="C6" s="143" t="s">
        <v>1016</v>
      </c>
      <c r="D6" s="143" t="s">
        <v>3628</v>
      </c>
      <c r="E6" s="143" t="s">
        <v>1211</v>
      </c>
      <c r="F6" s="143" t="s">
        <v>3629</v>
      </c>
      <c r="G6" s="144">
        <v>-521450</v>
      </c>
      <c r="H6" s="144">
        <v>-19.377082000000001</v>
      </c>
      <c r="I6" s="146">
        <v>5.9561002077452034E-4</v>
      </c>
      <c r="J6" s="146">
        <v>-2.2855816519227842E-6</v>
      </c>
      <c r="K6" s="143" t="s">
        <v>3628</v>
      </c>
      <c r="L6" s="143" t="s">
        <v>1210</v>
      </c>
      <c r="M6" s="143" t="s">
        <v>3010</v>
      </c>
      <c r="N6" s="144">
        <v>1926236.3</v>
      </c>
      <c r="O6" s="144">
        <v>-13.539817999999997</v>
      </c>
      <c r="P6" s="146">
        <v>4.1618502106061285E-4</v>
      </c>
      <c r="Q6" s="146">
        <v>-1.5970598458103154E-6</v>
      </c>
      <c r="R6" s="144">
        <v>-32.916899999999998</v>
      </c>
      <c r="S6" s="143" t="s">
        <v>204</v>
      </c>
      <c r="T6" s="143" t="s">
        <v>204</v>
      </c>
      <c r="U6" s="143" t="s">
        <v>746</v>
      </c>
      <c r="V6" s="143" t="s">
        <v>314</v>
      </c>
      <c r="W6" s="143" t="s">
        <v>928</v>
      </c>
      <c r="X6" s="143" t="s">
        <v>3626</v>
      </c>
      <c r="Y6" s="143" t="s">
        <v>339</v>
      </c>
      <c r="Z6" s="143" t="s">
        <v>3619</v>
      </c>
      <c r="AA6" s="143" t="s">
        <v>3620</v>
      </c>
      <c r="AB6" s="143" t="s">
        <v>1221</v>
      </c>
      <c r="AC6" s="143" t="s">
        <v>897</v>
      </c>
      <c r="AD6" s="143" t="s">
        <v>339</v>
      </c>
      <c r="AE6" s="143" t="s">
        <v>912</v>
      </c>
      <c r="AF6" s="143" t="s">
        <v>896</v>
      </c>
      <c r="AG6" s="143" t="s">
        <v>1221</v>
      </c>
      <c r="AH6" s="145" t="s">
        <v>3853</v>
      </c>
      <c r="AI6" s="144">
        <v>3.7160000000000002</v>
      </c>
      <c r="AJ6" s="145" t="s">
        <v>3853</v>
      </c>
      <c r="AK6" s="145" t="s">
        <v>3853</v>
      </c>
      <c r="AL6" s="145" t="s">
        <v>3853</v>
      </c>
      <c r="AM6" s="145" t="s">
        <v>3853</v>
      </c>
      <c r="AN6" s="146">
        <v>0.8488879203743509</v>
      </c>
      <c r="AO6" s="147">
        <v>-2.2291292160025022E-3</v>
      </c>
      <c r="AP6" s="181"/>
    </row>
    <row r="7" spans="1:42" ht="15" x14ac:dyDescent="0.2">
      <c r="A7" s="142" t="s">
        <v>1205</v>
      </c>
      <c r="B7" s="143" t="s">
        <v>1205</v>
      </c>
      <c r="C7" s="143" t="s">
        <v>1016</v>
      </c>
      <c r="D7" s="143" t="s">
        <v>3630</v>
      </c>
      <c r="E7" s="143" t="s">
        <v>1214</v>
      </c>
      <c r="F7" s="143" t="s">
        <v>3631</v>
      </c>
      <c r="G7" s="144">
        <v>-1250000</v>
      </c>
      <c r="H7" s="144">
        <v>-50.296250000000001</v>
      </c>
      <c r="I7" s="146">
        <v>1.5459990574112484E-3</v>
      </c>
      <c r="J7" s="146">
        <v>-5.9325850074083047E-6</v>
      </c>
      <c r="K7" s="143" t="s">
        <v>3630</v>
      </c>
      <c r="L7" s="143" t="s">
        <v>1210</v>
      </c>
      <c r="M7" s="143" t="s">
        <v>3010</v>
      </c>
      <c r="N7" s="144">
        <v>5049125</v>
      </c>
      <c r="O7" s="144">
        <v>72.916449999999998</v>
      </c>
      <c r="P7" s="146">
        <v>-2.2412955830658234E-3</v>
      </c>
      <c r="Q7" s="146">
        <v>8.600701604263484E-6</v>
      </c>
      <c r="R7" s="144">
        <v>22.620200000000001</v>
      </c>
      <c r="S7" s="143" t="s">
        <v>204</v>
      </c>
      <c r="T7" s="143" t="s">
        <v>204</v>
      </c>
      <c r="U7" s="143" t="s">
        <v>746</v>
      </c>
      <c r="V7" s="143" t="s">
        <v>314</v>
      </c>
      <c r="W7" s="143" t="s">
        <v>928</v>
      </c>
      <c r="X7" s="143" t="s">
        <v>3623</v>
      </c>
      <c r="Y7" s="143" t="s">
        <v>339</v>
      </c>
      <c r="Z7" s="143" t="s">
        <v>3627</v>
      </c>
      <c r="AA7" s="143" t="s">
        <v>3632</v>
      </c>
      <c r="AB7" s="143" t="s">
        <v>1221</v>
      </c>
      <c r="AC7" s="143" t="s">
        <v>897</v>
      </c>
      <c r="AD7" s="143" t="s">
        <v>339</v>
      </c>
      <c r="AE7" s="143" t="s">
        <v>912</v>
      </c>
      <c r="AF7" s="143" t="s">
        <v>896</v>
      </c>
      <c r="AG7" s="143" t="s">
        <v>1221</v>
      </c>
      <c r="AH7" s="145" t="s">
        <v>3853</v>
      </c>
      <c r="AI7" s="144">
        <v>4.0236999999999998</v>
      </c>
      <c r="AJ7" s="145" t="s">
        <v>3853</v>
      </c>
      <c r="AK7" s="145" t="s">
        <v>3853</v>
      </c>
      <c r="AL7" s="145" t="s">
        <v>3853</v>
      </c>
      <c r="AM7" s="145" t="s">
        <v>3853</v>
      </c>
      <c r="AN7" s="146">
        <v>-8.1109072451889253E-3</v>
      </c>
      <c r="AO7" s="147">
        <v>3.415413847824564E-5</v>
      </c>
      <c r="AP7" s="181"/>
    </row>
    <row r="8" spans="1:42" ht="15" x14ac:dyDescent="0.2">
      <c r="A8" s="142" t="s">
        <v>1205</v>
      </c>
      <c r="B8" s="143" t="s">
        <v>1205</v>
      </c>
      <c r="C8" s="143" t="s">
        <v>1016</v>
      </c>
      <c r="D8" s="143" t="s">
        <v>3633</v>
      </c>
      <c r="E8" s="143" t="s">
        <v>1214</v>
      </c>
      <c r="F8" s="143" t="s">
        <v>3634</v>
      </c>
      <c r="G8" s="144">
        <v>-1860000</v>
      </c>
      <c r="H8" s="144">
        <v>-74.779440000000008</v>
      </c>
      <c r="I8" s="146">
        <v>2.2985599076221592E-3</v>
      </c>
      <c r="J8" s="146">
        <v>-8.82044654634071E-6</v>
      </c>
      <c r="K8" s="143" t="s">
        <v>3633</v>
      </c>
      <c r="L8" s="143" t="s">
        <v>1210</v>
      </c>
      <c r="M8" s="143" t="s">
        <v>3010</v>
      </c>
      <c r="N8" s="144">
        <v>7484640</v>
      </c>
      <c r="O8" s="144">
        <v>81.254040000000003</v>
      </c>
      <c r="P8" s="146">
        <v>-2.4975752516510851E-3</v>
      </c>
      <c r="Q8" s="146">
        <v>9.5841439370798963E-6</v>
      </c>
      <c r="R8" s="144">
        <v>6.4746000000000006</v>
      </c>
      <c r="S8" s="143" t="s">
        <v>204</v>
      </c>
      <c r="T8" s="143" t="s">
        <v>204</v>
      </c>
      <c r="U8" s="143" t="s">
        <v>746</v>
      </c>
      <c r="V8" s="143" t="s">
        <v>314</v>
      </c>
      <c r="W8" s="143" t="s">
        <v>928</v>
      </c>
      <c r="X8" s="143" t="s">
        <v>3623</v>
      </c>
      <c r="Y8" s="143" t="s">
        <v>339</v>
      </c>
      <c r="Z8" s="143" t="s">
        <v>3635</v>
      </c>
      <c r="AA8" s="143" t="s">
        <v>3636</v>
      </c>
      <c r="AB8" s="143" t="s">
        <v>1221</v>
      </c>
      <c r="AC8" s="143" t="s">
        <v>897</v>
      </c>
      <c r="AD8" s="143" t="s">
        <v>339</v>
      </c>
      <c r="AE8" s="143" t="s">
        <v>912</v>
      </c>
      <c r="AF8" s="143" t="s">
        <v>896</v>
      </c>
      <c r="AG8" s="143" t="s">
        <v>1221</v>
      </c>
      <c r="AH8" s="145" t="s">
        <v>3853</v>
      </c>
      <c r="AI8" s="144">
        <v>4.0204000000000004</v>
      </c>
      <c r="AJ8" s="145" t="s">
        <v>3853</v>
      </c>
      <c r="AK8" s="145" t="s">
        <v>3853</v>
      </c>
      <c r="AL8" s="145" t="s">
        <v>3853</v>
      </c>
      <c r="AM8" s="145" t="s">
        <v>3853</v>
      </c>
      <c r="AN8" s="146">
        <v>-2.3215973390848482E-3</v>
      </c>
      <c r="AO8" s="147">
        <v>9.7759910960470594E-6</v>
      </c>
      <c r="AP8" s="181"/>
    </row>
    <row r="9" spans="1:42" ht="15" x14ac:dyDescent="0.2">
      <c r="A9" s="142" t="s">
        <v>1205</v>
      </c>
      <c r="B9" s="143" t="s">
        <v>1205</v>
      </c>
      <c r="C9" s="143" t="s">
        <v>1016</v>
      </c>
      <c r="D9" s="143" t="s">
        <v>3637</v>
      </c>
      <c r="E9" s="143" t="s">
        <v>1216</v>
      </c>
      <c r="F9" s="143" t="s">
        <v>3638</v>
      </c>
      <c r="G9" s="144">
        <v>-650000</v>
      </c>
      <c r="H9" s="144">
        <v>-30.471350000000001</v>
      </c>
      <c r="I9" s="146">
        <v>9.3662406994653169E-4</v>
      </c>
      <c r="J9" s="146">
        <v>-3.5941819552251123E-6</v>
      </c>
      <c r="K9" s="143" t="s">
        <v>3637</v>
      </c>
      <c r="L9" s="143" t="s">
        <v>1210</v>
      </c>
      <c r="M9" s="143" t="s">
        <v>3010</v>
      </c>
      <c r="N9" s="144">
        <v>3039400</v>
      </c>
      <c r="O9" s="144">
        <v>-17.41095</v>
      </c>
      <c r="P9" s="146">
        <v>5.351753319309964E-4</v>
      </c>
      <c r="Q9" s="146">
        <v>-2.0536708190915948E-6</v>
      </c>
      <c r="R9" s="144">
        <v>-47.882300000000001</v>
      </c>
      <c r="S9" s="143" t="s">
        <v>204</v>
      </c>
      <c r="T9" s="143" t="s">
        <v>204</v>
      </c>
      <c r="U9" s="143" t="s">
        <v>746</v>
      </c>
      <c r="V9" s="143" t="s">
        <v>314</v>
      </c>
      <c r="W9" s="143" t="s">
        <v>928</v>
      </c>
      <c r="X9" s="143" t="s">
        <v>3618</v>
      </c>
      <c r="Y9" s="143" t="s">
        <v>339</v>
      </c>
      <c r="Z9" s="143" t="s">
        <v>3635</v>
      </c>
      <c r="AA9" s="143" t="s">
        <v>3636</v>
      </c>
      <c r="AB9" s="143" t="s">
        <v>1221</v>
      </c>
      <c r="AC9" s="143" t="s">
        <v>897</v>
      </c>
      <c r="AD9" s="143" t="s">
        <v>339</v>
      </c>
      <c r="AE9" s="143" t="s">
        <v>912</v>
      </c>
      <c r="AF9" s="143" t="s">
        <v>896</v>
      </c>
      <c r="AG9" s="143" t="s">
        <v>1221</v>
      </c>
      <c r="AH9" s="145" t="s">
        <v>3853</v>
      </c>
      <c r="AI9" s="144">
        <v>4.6879</v>
      </c>
      <c r="AJ9" s="145" t="s">
        <v>3853</v>
      </c>
      <c r="AK9" s="145" t="s">
        <v>3853</v>
      </c>
      <c r="AL9" s="145" t="s">
        <v>3853</v>
      </c>
      <c r="AM9" s="145" t="s">
        <v>3853</v>
      </c>
      <c r="AN9" s="146">
        <v>1.7169149265949375E-2</v>
      </c>
      <c r="AO9" s="147">
        <v>-7.2297399520963908E-5</v>
      </c>
      <c r="AP9" s="181"/>
    </row>
    <row r="10" spans="1:42" ht="15" x14ac:dyDescent="0.2">
      <c r="A10" s="142" t="s">
        <v>1205</v>
      </c>
      <c r="B10" s="143" t="s">
        <v>1205</v>
      </c>
      <c r="C10" s="143" t="s">
        <v>1016</v>
      </c>
      <c r="D10" s="143" t="s">
        <v>3628</v>
      </c>
      <c r="E10" s="143" t="s">
        <v>1211</v>
      </c>
      <c r="F10" s="143" t="s">
        <v>3629</v>
      </c>
      <c r="G10" s="144">
        <v>-12280000</v>
      </c>
      <c r="H10" s="144">
        <v>-456.32479999999998</v>
      </c>
      <c r="I10" s="146">
        <v>1.402644751195917E-2</v>
      </c>
      <c r="J10" s="146">
        <v>-5.3824801391527064E-5</v>
      </c>
      <c r="K10" s="143" t="s">
        <v>3628</v>
      </c>
      <c r="L10" s="143" t="s">
        <v>1210</v>
      </c>
      <c r="M10" s="143" t="s">
        <v>3010</v>
      </c>
      <c r="N10" s="144">
        <v>45362320</v>
      </c>
      <c r="O10" s="144">
        <v>-318.85789999999997</v>
      </c>
      <c r="P10" s="146">
        <v>9.8010092769963975E-3</v>
      </c>
      <c r="Q10" s="146">
        <v>-3.7610191555706363E-5</v>
      </c>
      <c r="R10" s="144">
        <v>-775.18269999999995</v>
      </c>
      <c r="S10" s="143" t="s">
        <v>204</v>
      </c>
      <c r="T10" s="143" t="s">
        <v>204</v>
      </c>
      <c r="U10" s="143" t="s">
        <v>746</v>
      </c>
      <c r="V10" s="143" t="s">
        <v>314</v>
      </c>
      <c r="W10" s="143" t="s">
        <v>928</v>
      </c>
      <c r="X10" s="143" t="s">
        <v>3626</v>
      </c>
      <c r="Y10" s="143" t="s">
        <v>339</v>
      </c>
      <c r="Z10" s="143" t="s">
        <v>3619</v>
      </c>
      <c r="AA10" s="143" t="s">
        <v>3620</v>
      </c>
      <c r="AB10" s="143" t="s">
        <v>1221</v>
      </c>
      <c r="AC10" s="143" t="s">
        <v>897</v>
      </c>
      <c r="AD10" s="143" t="s">
        <v>339</v>
      </c>
      <c r="AE10" s="143" t="s">
        <v>912</v>
      </c>
      <c r="AF10" s="143" t="s">
        <v>896</v>
      </c>
      <c r="AG10" s="143" t="s">
        <v>1221</v>
      </c>
      <c r="AH10" s="145" t="s">
        <v>3853</v>
      </c>
      <c r="AI10" s="144">
        <v>3.7160000000000002</v>
      </c>
      <c r="AJ10" s="145" t="s">
        <v>3853</v>
      </c>
      <c r="AK10" s="145" t="s">
        <v>3853</v>
      </c>
      <c r="AL10" s="145" t="s">
        <v>3853</v>
      </c>
      <c r="AM10" s="145" t="s">
        <v>3853</v>
      </c>
      <c r="AN10" s="146">
        <v>0.27795727783352009</v>
      </c>
      <c r="AO10" s="147">
        <v>-1.1704475308595538E-3</v>
      </c>
      <c r="AP10" s="181"/>
    </row>
    <row r="11" spans="1:42" ht="15" x14ac:dyDescent="0.2">
      <c r="A11" s="142" t="s">
        <v>1205</v>
      </c>
      <c r="B11" s="143" t="s">
        <v>1205</v>
      </c>
      <c r="C11" s="143" t="s">
        <v>1016</v>
      </c>
      <c r="D11" s="143" t="s">
        <v>3639</v>
      </c>
      <c r="E11" s="143" t="s">
        <v>1211</v>
      </c>
      <c r="F11" s="143" t="s">
        <v>3640</v>
      </c>
      <c r="G11" s="144">
        <v>-17000000</v>
      </c>
      <c r="H11" s="144">
        <v>-631.04</v>
      </c>
      <c r="I11" s="146">
        <v>1.9396818752666335E-2</v>
      </c>
      <c r="J11" s="146">
        <v>-7.4432953611351473E-5</v>
      </c>
      <c r="K11" s="143" t="s">
        <v>3639</v>
      </c>
      <c r="L11" s="143" t="s">
        <v>1210</v>
      </c>
      <c r="M11" s="143" t="s">
        <v>3010</v>
      </c>
      <c r="N11" s="144">
        <v>62968000</v>
      </c>
      <c r="O11" s="144">
        <v>-290.72240000000011</v>
      </c>
      <c r="P11" s="146">
        <v>8.9361842357697854E-3</v>
      </c>
      <c r="Q11" s="146">
        <v>-3.4291529717578559E-5</v>
      </c>
      <c r="R11" s="144">
        <v>-921.76240000000007</v>
      </c>
      <c r="S11" s="143" t="s">
        <v>204</v>
      </c>
      <c r="T11" s="143" t="s">
        <v>204</v>
      </c>
      <c r="U11" s="143" t="s">
        <v>746</v>
      </c>
      <c r="V11" s="143" t="s">
        <v>314</v>
      </c>
      <c r="W11" s="143" t="s">
        <v>928</v>
      </c>
      <c r="X11" s="143" t="s">
        <v>3626</v>
      </c>
      <c r="Y11" s="143" t="s">
        <v>339</v>
      </c>
      <c r="Z11" s="143" t="s">
        <v>3635</v>
      </c>
      <c r="AA11" s="143" t="s">
        <v>3636</v>
      </c>
      <c r="AB11" s="143" t="s">
        <v>1221</v>
      </c>
      <c r="AC11" s="143" t="s">
        <v>897</v>
      </c>
      <c r="AD11" s="143" t="s">
        <v>339</v>
      </c>
      <c r="AE11" s="143" t="s">
        <v>912</v>
      </c>
      <c r="AF11" s="143" t="s">
        <v>896</v>
      </c>
      <c r="AG11" s="143" t="s">
        <v>1221</v>
      </c>
      <c r="AH11" s="145" t="s">
        <v>3853</v>
      </c>
      <c r="AI11" s="144">
        <v>3.7120000000000002</v>
      </c>
      <c r="AJ11" s="145" t="s">
        <v>3853</v>
      </c>
      <c r="AK11" s="145" t="s">
        <v>3853</v>
      </c>
      <c r="AL11" s="145" t="s">
        <v>3853</v>
      </c>
      <c r="AM11" s="145" t="s">
        <v>3853</v>
      </c>
      <c r="AN11" s="146">
        <v>0.33051635695740078</v>
      </c>
      <c r="AO11" s="147">
        <v>-1.3917680332917425E-3</v>
      </c>
      <c r="AP11" s="181"/>
    </row>
    <row r="12" spans="1:42" ht="15" x14ac:dyDescent="0.2">
      <c r="A12" s="142" t="s">
        <v>1205</v>
      </c>
      <c r="B12" s="143" t="s">
        <v>1205</v>
      </c>
      <c r="C12" s="143" t="s">
        <v>1016</v>
      </c>
      <c r="D12" s="143" t="s">
        <v>3641</v>
      </c>
      <c r="E12" s="143" t="s">
        <v>1211</v>
      </c>
      <c r="F12" s="143" t="s">
        <v>3625</v>
      </c>
      <c r="G12" s="144">
        <v>-21180000</v>
      </c>
      <c r="H12" s="144">
        <v>-784.29539999999997</v>
      </c>
      <c r="I12" s="146">
        <v>2.4107561679687414E-2</v>
      </c>
      <c r="J12" s="146">
        <v>-9.2509861697826366E-5</v>
      </c>
      <c r="K12" s="143" t="s">
        <v>3641</v>
      </c>
      <c r="L12" s="143" t="s">
        <v>1210</v>
      </c>
      <c r="M12" s="143" t="s">
        <v>3010</v>
      </c>
      <c r="N12" s="144">
        <v>78374472</v>
      </c>
      <c r="O12" s="144">
        <v>-288.82760000000007</v>
      </c>
      <c r="P12" s="146">
        <v>8.8779421399081092E-3</v>
      </c>
      <c r="Q12" s="146">
        <v>-3.4068032695990717E-5</v>
      </c>
      <c r="R12" s="144">
        <v>-1073.123</v>
      </c>
      <c r="S12" s="143" t="s">
        <v>204</v>
      </c>
      <c r="T12" s="143" t="s">
        <v>204</v>
      </c>
      <c r="U12" s="143" t="s">
        <v>746</v>
      </c>
      <c r="V12" s="143" t="s">
        <v>314</v>
      </c>
      <c r="W12" s="143" t="s">
        <v>928</v>
      </c>
      <c r="X12" s="143" t="s">
        <v>3626</v>
      </c>
      <c r="Y12" s="143" t="s">
        <v>339</v>
      </c>
      <c r="Z12" s="143" t="s">
        <v>3627</v>
      </c>
      <c r="AA12" s="143" t="s">
        <v>3632</v>
      </c>
      <c r="AB12" s="143" t="s">
        <v>1221</v>
      </c>
      <c r="AC12" s="143" t="s">
        <v>897</v>
      </c>
      <c r="AD12" s="143" t="s">
        <v>339</v>
      </c>
      <c r="AE12" s="143" t="s">
        <v>912</v>
      </c>
      <c r="AF12" s="143" t="s">
        <v>896</v>
      </c>
      <c r="AG12" s="143" t="s">
        <v>1221</v>
      </c>
      <c r="AH12" s="145" t="s">
        <v>3853</v>
      </c>
      <c r="AI12" s="144">
        <v>3.7029999999999998</v>
      </c>
      <c r="AJ12" s="145" t="s">
        <v>3853</v>
      </c>
      <c r="AK12" s="145" t="s">
        <v>3853</v>
      </c>
      <c r="AL12" s="145" t="s">
        <v>3853</v>
      </c>
      <c r="AM12" s="145" t="s">
        <v>3853</v>
      </c>
      <c r="AN12" s="146">
        <v>0.38478972052740351</v>
      </c>
      <c r="AO12" s="147">
        <v>-1.6203071990120218E-3</v>
      </c>
      <c r="AP12" s="181"/>
    </row>
    <row r="13" spans="1:42" ht="15" x14ac:dyDescent="0.2">
      <c r="A13" s="142" t="s">
        <v>1218</v>
      </c>
      <c r="B13" s="143" t="s">
        <v>1219</v>
      </c>
      <c r="C13" s="143" t="s">
        <v>1016</v>
      </c>
      <c r="D13" s="143" t="s">
        <v>3616</v>
      </c>
      <c r="E13" s="143" t="s">
        <v>1216</v>
      </c>
      <c r="F13" s="143" t="s">
        <v>3617</v>
      </c>
      <c r="G13" s="144">
        <v>-163000</v>
      </c>
      <c r="H13" s="144">
        <v>-7.566949000000001</v>
      </c>
      <c r="I13" s="146">
        <v>2.3259181393203251E-4</v>
      </c>
      <c r="J13" s="146">
        <v>-8.9254304623551995E-7</v>
      </c>
      <c r="K13" s="143" t="s">
        <v>3616</v>
      </c>
      <c r="L13" s="143" t="s">
        <v>1210</v>
      </c>
      <c r="M13" s="143" t="s">
        <v>3010</v>
      </c>
      <c r="N13" s="144">
        <v>751593</v>
      </c>
      <c r="O13" s="144">
        <v>-14.825050999999998</v>
      </c>
      <c r="P13" s="146">
        <v>4.556903322230521E-4</v>
      </c>
      <c r="Q13" s="146">
        <v>-1.7486567148975019E-6</v>
      </c>
      <c r="R13" s="144">
        <v>-22.391999999999999</v>
      </c>
      <c r="S13" s="143" t="s">
        <v>204</v>
      </c>
      <c r="T13" s="143" t="s">
        <v>204</v>
      </c>
      <c r="U13" s="143" t="s">
        <v>746</v>
      </c>
      <c r="V13" s="143" t="s">
        <v>314</v>
      </c>
      <c r="W13" s="143" t="s">
        <v>928</v>
      </c>
      <c r="X13" s="143" t="s">
        <v>3618</v>
      </c>
      <c r="Y13" s="143" t="s">
        <v>339</v>
      </c>
      <c r="Z13" s="143" t="s">
        <v>3619</v>
      </c>
      <c r="AA13" s="143" t="s">
        <v>3620</v>
      </c>
      <c r="AB13" s="143" t="s">
        <v>1221</v>
      </c>
      <c r="AC13" s="143" t="s">
        <v>897</v>
      </c>
      <c r="AD13" s="143" t="s">
        <v>339</v>
      </c>
      <c r="AE13" s="143" t="s">
        <v>912</v>
      </c>
      <c r="AF13" s="143" t="s">
        <v>896</v>
      </c>
      <c r="AG13" s="143" t="s">
        <v>1221</v>
      </c>
      <c r="AH13" s="145" t="s">
        <v>3853</v>
      </c>
      <c r="AI13" s="144">
        <v>4.6423000000000005</v>
      </c>
      <c r="AJ13" s="145" t="s">
        <v>3853</v>
      </c>
      <c r="AK13" s="145" t="s">
        <v>3853</v>
      </c>
      <c r="AL13" s="145" t="s">
        <v>3853</v>
      </c>
      <c r="AM13" s="145" t="s">
        <v>3853</v>
      </c>
      <c r="AN13" s="146">
        <v>3.0695392028346355E-2</v>
      </c>
      <c r="AO13" s="147">
        <v>-7.892623316219712E-5</v>
      </c>
      <c r="AP13" s="181"/>
    </row>
    <row r="14" spans="1:42" ht="15" x14ac:dyDescent="0.2">
      <c r="A14" s="142" t="s">
        <v>1218</v>
      </c>
      <c r="B14" s="143" t="s">
        <v>1219</v>
      </c>
      <c r="C14" s="143" t="s">
        <v>1016</v>
      </c>
      <c r="D14" s="143" t="s">
        <v>3621</v>
      </c>
      <c r="E14" s="143" t="s">
        <v>1214</v>
      </c>
      <c r="F14" s="143" t="s">
        <v>3622</v>
      </c>
      <c r="G14" s="144">
        <v>-390000</v>
      </c>
      <c r="H14" s="144">
        <v>-15.45102</v>
      </c>
      <c r="I14" s="146">
        <v>4.7493127929104748E-4</v>
      </c>
      <c r="J14" s="146">
        <v>-1.8224915297097867E-6</v>
      </c>
      <c r="K14" s="143" t="s">
        <v>3621</v>
      </c>
      <c r="L14" s="143" t="s">
        <v>1210</v>
      </c>
      <c r="M14" s="143" t="s">
        <v>3010</v>
      </c>
      <c r="N14" s="144">
        <v>1539720</v>
      </c>
      <c r="O14" s="144">
        <v>-12.86138</v>
      </c>
      <c r="P14" s="146">
        <v>3.9533128925134343E-4</v>
      </c>
      <c r="Q14" s="146">
        <v>-1.5170361639800388E-6</v>
      </c>
      <c r="R14" s="144">
        <v>-28.3124</v>
      </c>
      <c r="S14" s="143" t="s">
        <v>204</v>
      </c>
      <c r="T14" s="143" t="s">
        <v>204</v>
      </c>
      <c r="U14" s="143" t="s">
        <v>746</v>
      </c>
      <c r="V14" s="143" t="s">
        <v>314</v>
      </c>
      <c r="W14" s="143" t="s">
        <v>928</v>
      </c>
      <c r="X14" s="143" t="s">
        <v>3623</v>
      </c>
      <c r="Y14" s="143" t="s">
        <v>339</v>
      </c>
      <c r="Z14" s="143" t="s">
        <v>3619</v>
      </c>
      <c r="AA14" s="143" t="s">
        <v>3620</v>
      </c>
      <c r="AB14" s="143" t="s">
        <v>1221</v>
      </c>
      <c r="AC14" s="143" t="s">
        <v>897</v>
      </c>
      <c r="AD14" s="143" t="s">
        <v>339</v>
      </c>
      <c r="AE14" s="143" t="s">
        <v>912</v>
      </c>
      <c r="AF14" s="143" t="s">
        <v>896</v>
      </c>
      <c r="AG14" s="143" t="s">
        <v>1221</v>
      </c>
      <c r="AH14" s="145" t="s">
        <v>3853</v>
      </c>
      <c r="AI14" s="144">
        <v>3.9618000000000002</v>
      </c>
      <c r="AJ14" s="145" t="s">
        <v>3853</v>
      </c>
      <c r="AK14" s="145" t="s">
        <v>3853</v>
      </c>
      <c r="AL14" s="145" t="s">
        <v>3853</v>
      </c>
      <c r="AM14" s="145" t="s">
        <v>3853</v>
      </c>
      <c r="AN14" s="146">
        <v>3.8811145731523826E-2</v>
      </c>
      <c r="AO14" s="147">
        <v>-9.9794051643629857E-5</v>
      </c>
      <c r="AP14" s="181"/>
    </row>
    <row r="15" spans="1:42" ht="15" x14ac:dyDescent="0.2">
      <c r="A15" s="142" t="s">
        <v>1218</v>
      </c>
      <c r="B15" s="143" t="s">
        <v>1219</v>
      </c>
      <c r="C15" s="143" t="s">
        <v>1016</v>
      </c>
      <c r="D15" s="143" t="s">
        <v>3624</v>
      </c>
      <c r="E15" s="143" t="s">
        <v>1211</v>
      </c>
      <c r="F15" s="143" t="s">
        <v>3625</v>
      </c>
      <c r="G15" s="144">
        <v>-1270000</v>
      </c>
      <c r="H15" s="144">
        <v>-47.028100000000002</v>
      </c>
      <c r="I15" s="146">
        <v>1.4455431224364029E-3</v>
      </c>
      <c r="J15" s="146">
        <v>-5.5470974672445461E-6</v>
      </c>
      <c r="K15" s="143" t="s">
        <v>3624</v>
      </c>
      <c r="L15" s="143" t="s">
        <v>1210</v>
      </c>
      <c r="M15" s="143" t="s">
        <v>3010</v>
      </c>
      <c r="N15" s="144">
        <v>4706493</v>
      </c>
      <c r="O15" s="144">
        <v>-18.050599999999996</v>
      </c>
      <c r="P15" s="146">
        <v>5.5483680365250832E-4</v>
      </c>
      <c r="Q15" s="146">
        <v>-2.1291193465660824E-6</v>
      </c>
      <c r="R15" s="144">
        <v>-65.078699999999998</v>
      </c>
      <c r="S15" s="143" t="s">
        <v>204</v>
      </c>
      <c r="T15" s="143" t="s">
        <v>204</v>
      </c>
      <c r="U15" s="143" t="s">
        <v>746</v>
      </c>
      <c r="V15" s="143" t="s">
        <v>314</v>
      </c>
      <c r="W15" s="143" t="s">
        <v>928</v>
      </c>
      <c r="X15" s="143" t="s">
        <v>3626</v>
      </c>
      <c r="Y15" s="143" t="s">
        <v>339</v>
      </c>
      <c r="Z15" s="143" t="s">
        <v>3627</v>
      </c>
      <c r="AA15" s="143" t="s">
        <v>3620</v>
      </c>
      <c r="AB15" s="143" t="s">
        <v>1221</v>
      </c>
      <c r="AC15" s="143" t="s">
        <v>897</v>
      </c>
      <c r="AD15" s="143" t="s">
        <v>339</v>
      </c>
      <c r="AE15" s="143" t="s">
        <v>912</v>
      </c>
      <c r="AF15" s="143" t="s">
        <v>896</v>
      </c>
      <c r="AG15" s="143" t="s">
        <v>1221</v>
      </c>
      <c r="AH15" s="145" t="s">
        <v>3853</v>
      </c>
      <c r="AI15" s="144">
        <v>3.7029999999999998</v>
      </c>
      <c r="AJ15" s="145" t="s">
        <v>3853</v>
      </c>
      <c r="AK15" s="145" t="s">
        <v>3853</v>
      </c>
      <c r="AL15" s="145" t="s">
        <v>3853</v>
      </c>
      <c r="AM15" s="145" t="s">
        <v>3853</v>
      </c>
      <c r="AN15" s="146">
        <v>8.9211128148063673E-2</v>
      </c>
      <c r="AO15" s="147">
        <v>-2.293861663136427E-4</v>
      </c>
      <c r="AP15" s="181"/>
    </row>
    <row r="16" spans="1:42" ht="15" x14ac:dyDescent="0.2">
      <c r="A16" s="142" t="s">
        <v>1218</v>
      </c>
      <c r="B16" s="143" t="s">
        <v>1219</v>
      </c>
      <c r="C16" s="143" t="s">
        <v>1016</v>
      </c>
      <c r="D16" s="143" t="s">
        <v>3628</v>
      </c>
      <c r="E16" s="143" t="s">
        <v>1211</v>
      </c>
      <c r="F16" s="143" t="s">
        <v>3629</v>
      </c>
      <c r="G16" s="144">
        <v>-9722000</v>
      </c>
      <c r="H16" s="144">
        <v>-361.26952</v>
      </c>
      <c r="I16" s="146">
        <v>1.1104651686585266E-2</v>
      </c>
      <c r="J16" s="146">
        <v>-4.2612762144008641E-5</v>
      </c>
      <c r="K16" s="143" t="s">
        <v>3628</v>
      </c>
      <c r="L16" s="143" t="s">
        <v>1210</v>
      </c>
      <c r="M16" s="143" t="s">
        <v>3010</v>
      </c>
      <c r="N16" s="144">
        <v>35913068</v>
      </c>
      <c r="O16" s="144">
        <v>-252.43788000000001</v>
      </c>
      <c r="P16" s="146">
        <v>7.7594000454287116E-3</v>
      </c>
      <c r="Q16" s="146">
        <v>-2.9775762252452952E-5</v>
      </c>
      <c r="R16" s="144">
        <v>-613.70740000000001</v>
      </c>
      <c r="S16" s="143" t="s">
        <v>204</v>
      </c>
      <c r="T16" s="143" t="s">
        <v>204</v>
      </c>
      <c r="U16" s="143" t="s">
        <v>746</v>
      </c>
      <c r="V16" s="143" t="s">
        <v>314</v>
      </c>
      <c r="W16" s="143" t="s">
        <v>928</v>
      </c>
      <c r="X16" s="143" t="s">
        <v>3626</v>
      </c>
      <c r="Y16" s="143" t="s">
        <v>339</v>
      </c>
      <c r="Z16" s="143" t="s">
        <v>3619</v>
      </c>
      <c r="AA16" s="143" t="s">
        <v>3620</v>
      </c>
      <c r="AB16" s="143" t="s">
        <v>1221</v>
      </c>
      <c r="AC16" s="143" t="s">
        <v>897</v>
      </c>
      <c r="AD16" s="143" t="s">
        <v>339</v>
      </c>
      <c r="AE16" s="143" t="s">
        <v>912</v>
      </c>
      <c r="AF16" s="143" t="s">
        <v>896</v>
      </c>
      <c r="AG16" s="143" t="s">
        <v>1221</v>
      </c>
      <c r="AH16" s="145" t="s">
        <v>3853</v>
      </c>
      <c r="AI16" s="144">
        <v>3.7160000000000002</v>
      </c>
      <c r="AJ16" s="145" t="s">
        <v>3853</v>
      </c>
      <c r="AK16" s="145" t="s">
        <v>3853</v>
      </c>
      <c r="AL16" s="145" t="s">
        <v>3853</v>
      </c>
      <c r="AM16" s="145" t="s">
        <v>3853</v>
      </c>
      <c r="AN16" s="146">
        <v>0.8412823340920661</v>
      </c>
      <c r="AO16" s="147">
        <v>-2.1631665624100823E-3</v>
      </c>
      <c r="AP16" s="181"/>
    </row>
    <row r="17" spans="1:42" ht="15" x14ac:dyDescent="0.2">
      <c r="A17" s="142" t="s">
        <v>1218</v>
      </c>
      <c r="B17" s="143" t="s">
        <v>1218</v>
      </c>
      <c r="C17" s="143" t="s">
        <v>1016</v>
      </c>
      <c r="D17" s="143" t="s">
        <v>3630</v>
      </c>
      <c r="E17" s="143" t="s">
        <v>1214</v>
      </c>
      <c r="F17" s="143" t="s">
        <v>3631</v>
      </c>
      <c r="G17" s="144">
        <v>-19250000</v>
      </c>
      <c r="H17" s="144">
        <v>-774.56224999999995</v>
      </c>
      <c r="I17" s="146">
        <v>2.3808385484133224E-2</v>
      </c>
      <c r="J17" s="146">
        <v>-9.1361809114087885E-5</v>
      </c>
      <c r="K17" s="143" t="s">
        <v>3630</v>
      </c>
      <c r="L17" s="143" t="s">
        <v>1210</v>
      </c>
      <c r="M17" s="143" t="s">
        <v>3010</v>
      </c>
      <c r="N17" s="144">
        <v>77756525</v>
      </c>
      <c r="O17" s="144">
        <v>1122.91255</v>
      </c>
      <c r="P17" s="146">
        <v>-3.4515928003683402E-2</v>
      </c>
      <c r="Q17" s="146">
        <v>1.3245071270245054E-4</v>
      </c>
      <c r="R17" s="144">
        <v>348.3503</v>
      </c>
      <c r="S17" s="143" t="s">
        <v>204</v>
      </c>
      <c r="T17" s="143" t="s">
        <v>204</v>
      </c>
      <c r="U17" s="143" t="s">
        <v>746</v>
      </c>
      <c r="V17" s="143" t="s">
        <v>314</v>
      </c>
      <c r="W17" s="143" t="s">
        <v>928</v>
      </c>
      <c r="X17" s="143" t="s">
        <v>3623</v>
      </c>
      <c r="Y17" s="143" t="s">
        <v>339</v>
      </c>
      <c r="Z17" s="143" t="s">
        <v>3627</v>
      </c>
      <c r="AA17" s="143" t="s">
        <v>3632</v>
      </c>
      <c r="AB17" s="143" t="s">
        <v>1221</v>
      </c>
      <c r="AC17" s="143" t="s">
        <v>897</v>
      </c>
      <c r="AD17" s="143" t="s">
        <v>339</v>
      </c>
      <c r="AE17" s="143" t="s">
        <v>912</v>
      </c>
      <c r="AF17" s="143" t="s">
        <v>896</v>
      </c>
      <c r="AG17" s="143" t="s">
        <v>1221</v>
      </c>
      <c r="AH17" s="145" t="s">
        <v>3853</v>
      </c>
      <c r="AI17" s="144">
        <v>4.0236999999999998</v>
      </c>
      <c r="AJ17" s="145" t="s">
        <v>3853</v>
      </c>
      <c r="AK17" s="145" t="s">
        <v>3853</v>
      </c>
      <c r="AL17" s="145" t="s">
        <v>3853</v>
      </c>
      <c r="AM17" s="145" t="s">
        <v>3853</v>
      </c>
      <c r="AN17" s="146">
        <v>-1.20220092959047E-2</v>
      </c>
      <c r="AO17" s="147">
        <v>4.6409353717317605E-5</v>
      </c>
      <c r="AP17" s="181"/>
    </row>
    <row r="18" spans="1:42" ht="15" x14ac:dyDescent="0.2">
      <c r="A18" s="142" t="s">
        <v>1218</v>
      </c>
      <c r="B18" s="143" t="s">
        <v>1218</v>
      </c>
      <c r="C18" s="143" t="s">
        <v>1016</v>
      </c>
      <c r="D18" s="143" t="s">
        <v>3633</v>
      </c>
      <c r="E18" s="143" t="s">
        <v>1214</v>
      </c>
      <c r="F18" s="143" t="s">
        <v>3634</v>
      </c>
      <c r="G18" s="144">
        <v>-17500000</v>
      </c>
      <c r="H18" s="144">
        <v>-703.57</v>
      </c>
      <c r="I18" s="146">
        <v>2.1626235689993431E-2</v>
      </c>
      <c r="J18" s="146">
        <v>-8.2988072344603451E-5</v>
      </c>
      <c r="K18" s="143" t="s">
        <v>3633</v>
      </c>
      <c r="L18" s="143" t="s">
        <v>1210</v>
      </c>
      <c r="M18" s="143" t="s">
        <v>3010</v>
      </c>
      <c r="N18" s="144">
        <v>70420000</v>
      </c>
      <c r="O18" s="144">
        <v>764.48690000000011</v>
      </c>
      <c r="P18" s="146">
        <v>-2.3498690793115739E-2</v>
      </c>
      <c r="Q18" s="146">
        <v>9.0173393072049158E-5</v>
      </c>
      <c r="R18" s="144">
        <v>60.916899999999998</v>
      </c>
      <c r="S18" s="143" t="s">
        <v>204</v>
      </c>
      <c r="T18" s="143" t="s">
        <v>204</v>
      </c>
      <c r="U18" s="143" t="s">
        <v>746</v>
      </c>
      <c r="V18" s="143" t="s">
        <v>314</v>
      </c>
      <c r="W18" s="143" t="s">
        <v>928</v>
      </c>
      <c r="X18" s="143" t="s">
        <v>3623</v>
      </c>
      <c r="Y18" s="143" t="s">
        <v>339</v>
      </c>
      <c r="Z18" s="143" t="s">
        <v>3635</v>
      </c>
      <c r="AA18" s="143" t="s">
        <v>3636</v>
      </c>
      <c r="AB18" s="143" t="s">
        <v>1221</v>
      </c>
      <c r="AC18" s="143" t="s">
        <v>897</v>
      </c>
      <c r="AD18" s="143" t="s">
        <v>339</v>
      </c>
      <c r="AE18" s="143" t="s">
        <v>912</v>
      </c>
      <c r="AF18" s="143" t="s">
        <v>896</v>
      </c>
      <c r="AG18" s="143" t="s">
        <v>1221</v>
      </c>
      <c r="AH18" s="145" t="s">
        <v>3853</v>
      </c>
      <c r="AI18" s="144">
        <v>4.0204000000000004</v>
      </c>
      <c r="AJ18" s="145" t="s">
        <v>3853</v>
      </c>
      <c r="AK18" s="145" t="s">
        <v>3853</v>
      </c>
      <c r="AL18" s="145" t="s">
        <v>3853</v>
      </c>
      <c r="AM18" s="145" t="s">
        <v>3853</v>
      </c>
      <c r="AN18" s="146">
        <v>-2.1023204046097242E-3</v>
      </c>
      <c r="AO18" s="147">
        <v>8.1157258227959695E-6</v>
      </c>
      <c r="AP18" s="181"/>
    </row>
    <row r="19" spans="1:42" ht="15" x14ac:dyDescent="0.2">
      <c r="A19" s="142" t="s">
        <v>1218</v>
      </c>
      <c r="B19" s="143" t="s">
        <v>1218</v>
      </c>
      <c r="C19" s="143" t="s">
        <v>1016</v>
      </c>
      <c r="D19" s="143" t="s">
        <v>3637</v>
      </c>
      <c r="E19" s="143" t="s">
        <v>1216</v>
      </c>
      <c r="F19" s="143" t="s">
        <v>3638</v>
      </c>
      <c r="G19" s="144">
        <v>-7200000</v>
      </c>
      <c r="H19" s="144">
        <v>-337.52879999999999</v>
      </c>
      <c r="I19" s="146">
        <v>1.037491277479235E-2</v>
      </c>
      <c r="J19" s="146">
        <v>-3.9812477042493545E-5</v>
      </c>
      <c r="K19" s="143" t="s">
        <v>3637</v>
      </c>
      <c r="L19" s="143" t="s">
        <v>1210</v>
      </c>
      <c r="M19" s="143" t="s">
        <v>3010</v>
      </c>
      <c r="N19" s="144">
        <v>33667200</v>
      </c>
      <c r="O19" s="144">
        <v>-192.85950000000008</v>
      </c>
      <c r="P19" s="146">
        <v>5.9280881817790551E-3</v>
      </c>
      <c r="Q19" s="146">
        <v>-2.2748323746527074E-5</v>
      </c>
      <c r="R19" s="144">
        <v>-530.38830000000007</v>
      </c>
      <c r="S19" s="143" t="s">
        <v>204</v>
      </c>
      <c r="T19" s="143" t="s">
        <v>204</v>
      </c>
      <c r="U19" s="143" t="s">
        <v>746</v>
      </c>
      <c r="V19" s="143" t="s">
        <v>314</v>
      </c>
      <c r="W19" s="143" t="s">
        <v>928</v>
      </c>
      <c r="X19" s="143" t="s">
        <v>3618</v>
      </c>
      <c r="Y19" s="143" t="s">
        <v>339</v>
      </c>
      <c r="Z19" s="143" t="s">
        <v>3635</v>
      </c>
      <c r="AA19" s="143" t="s">
        <v>3636</v>
      </c>
      <c r="AB19" s="143" t="s">
        <v>1221</v>
      </c>
      <c r="AC19" s="143" t="s">
        <v>897</v>
      </c>
      <c r="AD19" s="143" t="s">
        <v>339</v>
      </c>
      <c r="AE19" s="143" t="s">
        <v>912</v>
      </c>
      <c r="AF19" s="143" t="s">
        <v>896</v>
      </c>
      <c r="AG19" s="143" t="s">
        <v>1221</v>
      </c>
      <c r="AH19" s="145" t="s">
        <v>3853</v>
      </c>
      <c r="AI19" s="144">
        <v>4.6879</v>
      </c>
      <c r="AJ19" s="145" t="s">
        <v>3853</v>
      </c>
      <c r="AK19" s="145" t="s">
        <v>3853</v>
      </c>
      <c r="AL19" s="145" t="s">
        <v>3853</v>
      </c>
      <c r="AM19" s="145" t="s">
        <v>3853</v>
      </c>
      <c r="AN19" s="146">
        <v>1.8304371428412038E-2</v>
      </c>
      <c r="AO19" s="147">
        <v>-7.0661569733082536E-5</v>
      </c>
      <c r="AP19" s="181"/>
    </row>
    <row r="20" spans="1:42" ht="15" x14ac:dyDescent="0.2">
      <c r="A20" s="142" t="s">
        <v>1218</v>
      </c>
      <c r="B20" s="143" t="s">
        <v>1218</v>
      </c>
      <c r="C20" s="143" t="s">
        <v>1016</v>
      </c>
      <c r="D20" s="143" t="s">
        <v>3641</v>
      </c>
      <c r="E20" s="143" t="s">
        <v>1211</v>
      </c>
      <c r="F20" s="143" t="s">
        <v>3625</v>
      </c>
      <c r="G20" s="144">
        <v>-164800000</v>
      </c>
      <c r="H20" s="144">
        <v>-6102.5439999999999</v>
      </c>
      <c r="I20" s="146">
        <v>0.18757913903741669</v>
      </c>
      <c r="J20" s="146">
        <v>-7.1981233275740248E-4</v>
      </c>
      <c r="K20" s="143" t="s">
        <v>3641</v>
      </c>
      <c r="L20" s="143" t="s">
        <v>1210</v>
      </c>
      <c r="M20" s="143" t="s">
        <v>3010</v>
      </c>
      <c r="N20" s="144">
        <v>609825920</v>
      </c>
      <c r="O20" s="144">
        <v>-2247.3461000000007</v>
      </c>
      <c r="P20" s="146">
        <v>6.9078608291410312E-2</v>
      </c>
      <c r="Q20" s="146">
        <v>-2.6508083165877234E-4</v>
      </c>
      <c r="R20" s="144">
        <v>-8349.8901000000005</v>
      </c>
      <c r="S20" s="143" t="s">
        <v>204</v>
      </c>
      <c r="T20" s="143" t="s">
        <v>204</v>
      </c>
      <c r="U20" s="143" t="s">
        <v>746</v>
      </c>
      <c r="V20" s="143" t="s">
        <v>314</v>
      </c>
      <c r="W20" s="143" t="s">
        <v>928</v>
      </c>
      <c r="X20" s="143" t="s">
        <v>3626</v>
      </c>
      <c r="Y20" s="143" t="s">
        <v>339</v>
      </c>
      <c r="Z20" s="143" t="s">
        <v>3627</v>
      </c>
      <c r="AA20" s="143" t="s">
        <v>3632</v>
      </c>
      <c r="AB20" s="143" t="s">
        <v>1221</v>
      </c>
      <c r="AC20" s="143" t="s">
        <v>897</v>
      </c>
      <c r="AD20" s="143" t="s">
        <v>339</v>
      </c>
      <c r="AE20" s="143" t="s">
        <v>912</v>
      </c>
      <c r="AF20" s="143" t="s">
        <v>896</v>
      </c>
      <c r="AG20" s="143" t="s">
        <v>1221</v>
      </c>
      <c r="AH20" s="145" t="s">
        <v>3853</v>
      </c>
      <c r="AI20" s="144">
        <v>3.7029999999999998</v>
      </c>
      <c r="AJ20" s="145" t="s">
        <v>3853</v>
      </c>
      <c r="AK20" s="145" t="s">
        <v>3853</v>
      </c>
      <c r="AL20" s="145" t="s">
        <v>3853</v>
      </c>
      <c r="AM20" s="145" t="s">
        <v>3853</v>
      </c>
      <c r="AN20" s="146">
        <v>0.28816525597100118</v>
      </c>
      <c r="AO20" s="147">
        <v>-1.1124233033121401E-3</v>
      </c>
      <c r="AP20" s="181"/>
    </row>
    <row r="21" spans="1:42" ht="15" x14ac:dyDescent="0.2">
      <c r="A21" s="142" t="s">
        <v>1218</v>
      </c>
      <c r="B21" s="143" t="s">
        <v>1218</v>
      </c>
      <c r="C21" s="143" t="s">
        <v>1016</v>
      </c>
      <c r="D21" s="143" t="s">
        <v>3639</v>
      </c>
      <c r="E21" s="143" t="s">
        <v>1211</v>
      </c>
      <c r="F21" s="143" t="s">
        <v>3640</v>
      </c>
      <c r="G21" s="144">
        <v>-178800000</v>
      </c>
      <c r="H21" s="144">
        <v>-6637.0559999999996</v>
      </c>
      <c r="I21" s="146">
        <v>0.20400889370451417</v>
      </c>
      <c r="J21" s="146">
        <v>-7.8285953562997896E-4</v>
      </c>
      <c r="K21" s="143" t="s">
        <v>3639</v>
      </c>
      <c r="L21" s="143" t="s">
        <v>1210</v>
      </c>
      <c r="M21" s="143" t="s">
        <v>3010</v>
      </c>
      <c r="N21" s="144">
        <v>662275200</v>
      </c>
      <c r="O21" s="144">
        <v>-3057.7159000000001</v>
      </c>
      <c r="P21" s="146">
        <v>9.3987641210455802E-2</v>
      </c>
      <c r="Q21" s="146">
        <v>-3.6066624261757072E-4</v>
      </c>
      <c r="R21" s="144">
        <v>-9694.7718999999997</v>
      </c>
      <c r="S21" s="143" t="s">
        <v>204</v>
      </c>
      <c r="T21" s="143" t="s">
        <v>204</v>
      </c>
      <c r="U21" s="143" t="s">
        <v>746</v>
      </c>
      <c r="V21" s="143" t="s">
        <v>314</v>
      </c>
      <c r="W21" s="143" t="s">
        <v>928</v>
      </c>
      <c r="X21" s="143" t="s">
        <v>3626</v>
      </c>
      <c r="Y21" s="143" t="s">
        <v>339</v>
      </c>
      <c r="Z21" s="143" t="s">
        <v>3635</v>
      </c>
      <c r="AA21" s="143" t="s">
        <v>3636</v>
      </c>
      <c r="AB21" s="143" t="s">
        <v>1221</v>
      </c>
      <c r="AC21" s="143" t="s">
        <v>897</v>
      </c>
      <c r="AD21" s="143" t="s">
        <v>339</v>
      </c>
      <c r="AE21" s="143" t="s">
        <v>912</v>
      </c>
      <c r="AF21" s="143" t="s">
        <v>896</v>
      </c>
      <c r="AG21" s="143" t="s">
        <v>1221</v>
      </c>
      <c r="AH21" s="145" t="s">
        <v>3853</v>
      </c>
      <c r="AI21" s="144">
        <v>3.7120000000000002</v>
      </c>
      <c r="AJ21" s="145" t="s">
        <v>3853</v>
      </c>
      <c r="AK21" s="145" t="s">
        <v>3853</v>
      </c>
      <c r="AL21" s="145" t="s">
        <v>3853</v>
      </c>
      <c r="AM21" s="145" t="s">
        <v>3853</v>
      </c>
      <c r="AN21" s="146">
        <v>0.33457882679534934</v>
      </c>
      <c r="AO21" s="147">
        <v>-1.2915966654891862E-3</v>
      </c>
      <c r="AP21" s="181"/>
    </row>
    <row r="22" spans="1:42" customFormat="1" ht="15" x14ac:dyDescent="0.2">
      <c r="A22" s="142" t="s">
        <v>1218</v>
      </c>
      <c r="B22" s="143" t="s">
        <v>1218</v>
      </c>
      <c r="C22" s="143" t="s">
        <v>1016</v>
      </c>
      <c r="D22" s="143" t="s">
        <v>3628</v>
      </c>
      <c r="E22" s="143" t="s">
        <v>1211</v>
      </c>
      <c r="F22" s="143" t="s">
        <v>3629</v>
      </c>
      <c r="G22" s="144">
        <v>-171250000</v>
      </c>
      <c r="H22" s="144">
        <v>-6363.65</v>
      </c>
      <c r="I22" s="146">
        <v>0.19560497853607556</v>
      </c>
      <c r="J22" s="146">
        <v>-7.5061052429145029E-4</v>
      </c>
      <c r="K22" s="143" t="s">
        <v>3628</v>
      </c>
      <c r="L22" s="143" t="s">
        <v>1210</v>
      </c>
      <c r="M22" s="143" t="s">
        <v>3010</v>
      </c>
      <c r="N22" s="144">
        <v>632597500</v>
      </c>
      <c r="O22" s="144">
        <v>-4446.6142</v>
      </c>
      <c r="P22" s="146">
        <v>0.13667940178187185</v>
      </c>
      <c r="Q22" s="146">
        <v>-5.2449072717446871E-4</v>
      </c>
      <c r="R22" s="144">
        <v>-10810.2642</v>
      </c>
      <c r="S22" s="143" t="s">
        <v>204</v>
      </c>
      <c r="T22" s="143" t="s">
        <v>204</v>
      </c>
      <c r="U22" s="143" t="s">
        <v>746</v>
      </c>
      <c r="V22" s="143" t="s">
        <v>314</v>
      </c>
      <c r="W22" s="143" t="s">
        <v>928</v>
      </c>
      <c r="X22" s="143" t="s">
        <v>3626</v>
      </c>
      <c r="Y22" s="143" t="s">
        <v>339</v>
      </c>
      <c r="Z22" s="143" t="s">
        <v>3619</v>
      </c>
      <c r="AA22" s="143" t="s">
        <v>3620</v>
      </c>
      <c r="AB22" s="143" t="s">
        <v>1221</v>
      </c>
      <c r="AC22" s="143" t="s">
        <v>897</v>
      </c>
      <c r="AD22" s="143" t="s">
        <v>339</v>
      </c>
      <c r="AE22" s="143" t="s">
        <v>912</v>
      </c>
      <c r="AF22" s="143" t="s">
        <v>896</v>
      </c>
      <c r="AG22" s="143" t="s">
        <v>1221</v>
      </c>
      <c r="AH22" s="145" t="s">
        <v>3853</v>
      </c>
      <c r="AI22" s="144">
        <v>3.7160000000000002</v>
      </c>
      <c r="AJ22" s="145" t="s">
        <v>3853</v>
      </c>
      <c r="AK22" s="145" t="s">
        <v>3853</v>
      </c>
      <c r="AL22" s="145" t="s">
        <v>3853</v>
      </c>
      <c r="AM22" s="145" t="s">
        <v>3853</v>
      </c>
      <c r="AN22" s="146">
        <v>0.37307587550575183</v>
      </c>
      <c r="AO22" s="147">
        <v>-1.4402093563213657E-3</v>
      </c>
      <c r="AP22" s="181"/>
    </row>
    <row r="23" spans="1:42" ht="15" x14ac:dyDescent="0.2">
      <c r="A23" s="154" t="s">
        <v>1205</v>
      </c>
      <c r="B23" s="155" t="s">
        <v>1213</v>
      </c>
      <c r="C23" s="145" t="s">
        <v>3853</v>
      </c>
      <c r="D23" s="145" t="s">
        <v>3853</v>
      </c>
      <c r="E23" s="145" t="s">
        <v>3853</v>
      </c>
      <c r="F23" s="145" t="s">
        <v>3853</v>
      </c>
      <c r="G23" s="145" t="s">
        <v>3853</v>
      </c>
      <c r="H23" s="145" t="s">
        <v>3853</v>
      </c>
      <c r="I23" s="145" t="s">
        <v>3853</v>
      </c>
      <c r="J23" s="145" t="s">
        <v>3853</v>
      </c>
      <c r="K23" s="145" t="s">
        <v>3853</v>
      </c>
      <c r="L23" s="145" t="s">
        <v>3853</v>
      </c>
      <c r="M23" s="145" t="s">
        <v>3853</v>
      </c>
      <c r="N23" s="145" t="s">
        <v>3853</v>
      </c>
      <c r="O23" s="145" t="s">
        <v>3853</v>
      </c>
      <c r="P23" s="145" t="s">
        <v>3853</v>
      </c>
      <c r="Q23" s="145" t="s">
        <v>3853</v>
      </c>
      <c r="R23" s="145" t="s">
        <v>3853</v>
      </c>
      <c r="S23" s="145" t="s">
        <v>3853</v>
      </c>
      <c r="T23" s="145" t="s">
        <v>3853</v>
      </c>
      <c r="U23" s="145" t="s">
        <v>3853</v>
      </c>
      <c r="V23" s="145" t="s">
        <v>3853</v>
      </c>
      <c r="W23" s="145" t="s">
        <v>3853</v>
      </c>
      <c r="X23" s="145" t="s">
        <v>3853</v>
      </c>
      <c r="Y23" s="145" t="s">
        <v>3853</v>
      </c>
      <c r="Z23" s="145" t="s">
        <v>3853</v>
      </c>
      <c r="AA23" s="145" t="s">
        <v>3853</v>
      </c>
      <c r="AB23" s="145" t="s">
        <v>3853</v>
      </c>
      <c r="AC23" s="145" t="s">
        <v>3853</v>
      </c>
      <c r="AD23" s="145" t="s">
        <v>3853</v>
      </c>
      <c r="AE23" s="145" t="s">
        <v>3853</v>
      </c>
      <c r="AF23" s="145" t="s">
        <v>3853</v>
      </c>
      <c r="AG23" s="145" t="s">
        <v>3853</v>
      </c>
      <c r="AH23" s="145" t="s">
        <v>3853</v>
      </c>
      <c r="AI23" s="145" t="s">
        <v>3853</v>
      </c>
      <c r="AJ23" s="145" t="s">
        <v>3853</v>
      </c>
      <c r="AK23" s="145" t="s">
        <v>3853</v>
      </c>
      <c r="AL23" s="145" t="s">
        <v>3853</v>
      </c>
      <c r="AM23" s="145" t="s">
        <v>3853</v>
      </c>
      <c r="AN23" s="145" t="s">
        <v>3853</v>
      </c>
      <c r="AO23" s="156" t="s">
        <v>3853</v>
      </c>
      <c r="AP23" s="181"/>
    </row>
    <row r="24" spans="1:42" ht="15" x14ac:dyDescent="0.2">
      <c r="A24" s="157" t="s">
        <v>1218</v>
      </c>
      <c r="B24" s="158" t="s">
        <v>1220</v>
      </c>
      <c r="C24" s="151" t="s">
        <v>3853</v>
      </c>
      <c r="D24" s="151" t="s">
        <v>3853</v>
      </c>
      <c r="E24" s="151" t="s">
        <v>3853</v>
      </c>
      <c r="F24" s="151" t="s">
        <v>3853</v>
      </c>
      <c r="G24" s="151" t="s">
        <v>3853</v>
      </c>
      <c r="H24" s="151" t="s">
        <v>3853</v>
      </c>
      <c r="I24" s="151" t="s">
        <v>3853</v>
      </c>
      <c r="J24" s="151" t="s">
        <v>3853</v>
      </c>
      <c r="K24" s="151" t="s">
        <v>3853</v>
      </c>
      <c r="L24" s="151" t="s">
        <v>3853</v>
      </c>
      <c r="M24" s="151" t="s">
        <v>3853</v>
      </c>
      <c r="N24" s="151" t="s">
        <v>3853</v>
      </c>
      <c r="O24" s="151" t="s">
        <v>3853</v>
      </c>
      <c r="P24" s="151" t="s">
        <v>3853</v>
      </c>
      <c r="Q24" s="151" t="s">
        <v>3853</v>
      </c>
      <c r="R24" s="151" t="s">
        <v>3853</v>
      </c>
      <c r="S24" s="151" t="s">
        <v>3853</v>
      </c>
      <c r="T24" s="151" t="s">
        <v>3853</v>
      </c>
      <c r="U24" s="151" t="s">
        <v>3853</v>
      </c>
      <c r="V24" s="151" t="s">
        <v>3853</v>
      </c>
      <c r="W24" s="151" t="s">
        <v>3853</v>
      </c>
      <c r="X24" s="151" t="s">
        <v>3853</v>
      </c>
      <c r="Y24" s="151" t="s">
        <v>3853</v>
      </c>
      <c r="Z24" s="151" t="s">
        <v>3853</v>
      </c>
      <c r="AA24" s="151" t="s">
        <v>3853</v>
      </c>
      <c r="AB24" s="151" t="s">
        <v>3853</v>
      </c>
      <c r="AC24" s="151" t="s">
        <v>3853</v>
      </c>
      <c r="AD24" s="151" t="s">
        <v>3853</v>
      </c>
      <c r="AE24" s="151" t="s">
        <v>3853</v>
      </c>
      <c r="AF24" s="151" t="s">
        <v>3853</v>
      </c>
      <c r="AG24" s="151" t="s">
        <v>3853</v>
      </c>
      <c r="AH24" s="151" t="s">
        <v>3853</v>
      </c>
      <c r="AI24" s="151" t="s">
        <v>3853</v>
      </c>
      <c r="AJ24" s="151" t="s">
        <v>3853</v>
      </c>
      <c r="AK24" s="151" t="s">
        <v>3853</v>
      </c>
      <c r="AL24" s="151" t="s">
        <v>3853</v>
      </c>
      <c r="AM24" s="151" t="s">
        <v>3853</v>
      </c>
      <c r="AN24" s="151" t="s">
        <v>3853</v>
      </c>
      <c r="AO24" s="159" t="s">
        <v>3853</v>
      </c>
      <c r="AP24" s="181"/>
    </row>
    <row r="25" spans="1:42" x14ac:dyDescent="0.2">
      <c r="A25" s="181" t="s">
        <v>3870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</row>
    <row r="26" spans="1:42" x14ac:dyDescent="0.2">
      <c r="A26" s="98" t="s">
        <v>3869</v>
      </c>
      <c r="B26" s="98"/>
      <c r="C26" s="101"/>
      <c r="D26" s="98"/>
      <c r="E26" s="101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/>
      <c r="T26" s="16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101"/>
      <c r="AF26" s="101"/>
      <c r="AG26" s="98"/>
      <c r="AI26" s="98"/>
      <c r="AJ26" s="98"/>
      <c r="AK26" s="98"/>
      <c r="AL26" s="98"/>
      <c r="AM26" s="98"/>
      <c r="AN26" s="98"/>
      <c r="AO26" s="98"/>
    </row>
    <row r="27" spans="1:42" x14ac:dyDescent="0.2">
      <c r="A27" s="101"/>
      <c r="B27" s="98"/>
      <c r="C27" s="101"/>
      <c r="D27" s="98"/>
      <c r="E27" s="101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6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101"/>
      <c r="AF27" s="101"/>
      <c r="AG27" s="98"/>
      <c r="AI27" s="98"/>
      <c r="AJ27" s="98"/>
      <c r="AK27" s="98"/>
      <c r="AL27" s="98"/>
      <c r="AM27" s="98"/>
      <c r="AN27" s="98"/>
      <c r="AO27" s="98"/>
    </row>
    <row r="28" spans="1:42" x14ac:dyDescent="0.2">
      <c r="A28" s="98"/>
      <c r="B28" s="98"/>
      <c r="C28" s="101"/>
      <c r="D28" s="98"/>
      <c r="E28" s="101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6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I28" s="98"/>
      <c r="AJ28" s="98"/>
      <c r="AK28" s="98"/>
      <c r="AL28" s="98"/>
      <c r="AM28" s="98"/>
      <c r="AN28" s="98"/>
      <c r="AO28" s="98"/>
    </row>
    <row r="29" spans="1:42" x14ac:dyDescent="0.2">
      <c r="A29" s="98"/>
      <c r="B29" s="98"/>
      <c r="C29" s="101"/>
      <c r="D29" s="98"/>
      <c r="E29" s="101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6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I29" s="98"/>
      <c r="AJ29" s="98"/>
      <c r="AK29" s="98"/>
      <c r="AL29" s="98"/>
      <c r="AM29" s="98"/>
      <c r="AN29" s="98"/>
      <c r="AO29" s="98"/>
    </row>
    <row r="30" spans="1:42" x14ac:dyDescent="0.2">
      <c r="A30" s="98"/>
      <c r="B30" s="98"/>
      <c r="C30" s="101"/>
      <c r="D30" s="98"/>
      <c r="E30" s="101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6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I30" s="98"/>
      <c r="AJ30" s="98"/>
      <c r="AK30" s="98"/>
      <c r="AL30" s="98"/>
      <c r="AM30" s="98"/>
      <c r="AN30" s="98"/>
      <c r="AO30" s="98"/>
    </row>
    <row r="31" spans="1:42" x14ac:dyDescent="0.2">
      <c r="A31" s="98"/>
      <c r="B31" s="98"/>
      <c r="C31" s="101"/>
      <c r="D31" s="98"/>
      <c r="E31" s="101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16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I31" s="98"/>
      <c r="AJ31" s="98"/>
      <c r="AK31" s="98"/>
      <c r="AL31" s="98"/>
      <c r="AM31" s="98"/>
      <c r="AN31" s="98"/>
      <c r="AO31" s="98"/>
    </row>
    <row r="32" spans="1:42" x14ac:dyDescent="0.2">
      <c r="A32" s="98"/>
      <c r="B32" s="98"/>
      <c r="C32" s="101"/>
      <c r="D32" s="98"/>
      <c r="E32" s="101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16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I32" s="98"/>
      <c r="AJ32" s="98"/>
      <c r="AK32" s="98"/>
      <c r="AL32" s="98"/>
      <c r="AM32" s="98"/>
      <c r="AN32" s="98"/>
      <c r="AO32" s="98"/>
    </row>
    <row r="33" spans="1:41" x14ac:dyDescent="0.2">
      <c r="A33" s="98"/>
      <c r="B33" s="98"/>
      <c r="C33" s="101"/>
      <c r="D33" s="98"/>
      <c r="E33" s="101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6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I33" s="98"/>
      <c r="AJ33" s="98"/>
      <c r="AK33" s="98"/>
      <c r="AL33" s="98"/>
      <c r="AM33" s="98"/>
      <c r="AN33" s="98"/>
      <c r="AO33" s="98"/>
    </row>
    <row r="34" spans="1:41" x14ac:dyDescent="0.2">
      <c r="C34" s="101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16"/>
    </row>
    <row r="35" spans="1:41" x14ac:dyDescent="0.2">
      <c r="C35" s="101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16"/>
    </row>
    <row r="36" spans="1:41" x14ac:dyDescent="0.2">
      <c r="C36" s="101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</row>
    <row r="37" spans="1:41" x14ac:dyDescent="0.2">
      <c r="C37" s="101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</row>
    <row r="38" spans="1:41" x14ac:dyDescent="0.2">
      <c r="C38" s="101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</row>
    <row r="39" spans="1:41" x14ac:dyDescent="0.2">
      <c r="C39" s="101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</row>
    <row r="40" spans="1:41" x14ac:dyDescent="0.2">
      <c r="C40" s="101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</row>
    <row r="41" spans="1:41" x14ac:dyDescent="0.2">
      <c r="C41" s="101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</row>
    <row r="42" spans="1:41" x14ac:dyDescent="0.2">
      <c r="C42" s="101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</row>
    <row r="43" spans="1:41" x14ac:dyDescent="0.2">
      <c r="C43" s="101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</row>
    <row r="44" spans="1:41" x14ac:dyDescent="0.2">
      <c r="C44" s="101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</row>
    <row r="45" spans="1:41" x14ac:dyDescent="0.2">
      <c r="C45" s="101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</row>
    <row r="46" spans="1:41" x14ac:dyDescent="0.2">
      <c r="C46" s="101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</row>
    <row r="47" spans="1:41" x14ac:dyDescent="0.2">
      <c r="C47" s="101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</row>
    <row r="48" spans="1:41" x14ac:dyDescent="0.2">
      <c r="C48" s="101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</row>
    <row r="49" spans="3:20" x14ac:dyDescent="0.2">
      <c r="C49" s="101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</row>
    <row r="50" spans="3:20" x14ac:dyDescent="0.2">
      <c r="C50" s="101"/>
    </row>
    <row r="51" spans="3:20" x14ac:dyDescent="0.2">
      <c r="C51" s="101"/>
    </row>
    <row r="52" spans="3:20" x14ac:dyDescent="0.2">
      <c r="C52" s="101"/>
    </row>
    <row r="53" spans="3:20" x14ac:dyDescent="0.2">
      <c r="C53" s="101"/>
    </row>
    <row r="54" spans="3:20" x14ac:dyDescent="0.2">
      <c r="C54" s="101"/>
    </row>
    <row r="55" spans="3:20" x14ac:dyDescent="0.2">
      <c r="C55" s="101"/>
    </row>
    <row r="56" spans="3:20" x14ac:dyDescent="0.2">
      <c r="C56" s="101"/>
    </row>
    <row r="57" spans="3:20" x14ac:dyDescent="0.2">
      <c r="C57" s="101"/>
    </row>
    <row r="58" spans="3:20" x14ac:dyDescent="0.2">
      <c r="C58" s="101"/>
    </row>
    <row r="59" spans="3:20" x14ac:dyDescent="0.2">
      <c r="C59" s="101"/>
    </row>
    <row r="60" spans="3:20" x14ac:dyDescent="0.2">
      <c r="C60" s="101"/>
    </row>
    <row r="61" spans="3:20" x14ac:dyDescent="0.2">
      <c r="C61" s="101"/>
    </row>
    <row r="62" spans="3:20" x14ac:dyDescent="0.2">
      <c r="C62" s="101"/>
    </row>
    <row r="63" spans="3:20" x14ac:dyDescent="0.2">
      <c r="C63" s="101"/>
    </row>
    <row r="64" spans="3:20" x14ac:dyDescent="0.2">
      <c r="C64" s="101"/>
    </row>
    <row r="65" spans="3:3" x14ac:dyDescent="0.2">
      <c r="C65" s="101"/>
    </row>
    <row r="66" spans="3:3" x14ac:dyDescent="0.2">
      <c r="C66" s="101"/>
    </row>
    <row r="67" spans="3:3" x14ac:dyDescent="0.2">
      <c r="C67" s="101"/>
    </row>
    <row r="68" spans="3:3" x14ac:dyDescent="0.2">
      <c r="C68" s="101"/>
    </row>
    <row r="69" spans="3:3" x14ac:dyDescent="0.2">
      <c r="C69" s="101"/>
    </row>
    <row r="70" spans="3:3" x14ac:dyDescent="0.2">
      <c r="C70" s="101"/>
    </row>
    <row r="71" spans="3:3" x14ac:dyDescent="0.2">
      <c r="C71" s="101"/>
    </row>
    <row r="72" spans="3:3" x14ac:dyDescent="0.2">
      <c r="C72" s="101"/>
    </row>
    <row r="73" spans="3:3" x14ac:dyDescent="0.2">
      <c r="C73" s="101"/>
    </row>
    <row r="74" spans="3:3" x14ac:dyDescent="0.2">
      <c r="C74" s="101"/>
    </row>
    <row r="75" spans="3:3" x14ac:dyDescent="0.2">
      <c r="C75" s="101"/>
    </row>
    <row r="76" spans="3:3" x14ac:dyDescent="0.2">
      <c r="C76" s="101"/>
    </row>
    <row r="77" spans="3:3" x14ac:dyDescent="0.2">
      <c r="C77" s="101"/>
    </row>
  </sheetData>
  <mergeCells count="2">
    <mergeCell ref="A25:AO25"/>
    <mergeCell ref="AP2:AP24"/>
  </mergeCells>
  <dataValidations count="14">
    <dataValidation type="list" allowBlank="1" showInputMessage="1" showErrorMessage="1" sqref="U3:U21 U26:U39">
      <formula1>Underlying_Asset</formula1>
    </dataValidation>
    <dataValidation type="list" allowBlank="1" showInputMessage="1" showErrorMessage="1" sqref="AG26:AG1048576 AG3:AG21 AB3:AB21 AB26:AB1048576">
      <formula1>Reset_frequency</formula1>
    </dataValidation>
    <dataValidation type="list" allowBlank="1" showInputMessage="1" showErrorMessage="1" sqref="S3:S21 S26">
      <formula1>israel_abroad</formula1>
    </dataValidation>
    <dataValidation type="list" allowBlank="1" showInputMessage="1" showErrorMessage="1" sqref="AL26:AL1048576 Y26:Y216 AD3:AD21 Y3:Y21 AD26:AD1048576">
      <formula1>Holding_interest</formula1>
    </dataValidation>
    <dataValidation type="list" allowBlank="1" showInputMessage="1" showErrorMessage="1" sqref="AC3:AC21 AC26:AC62">
      <formula1>Delivery</formula1>
    </dataValidation>
    <dataValidation type="list" allowBlank="1" showInputMessage="1" showErrorMessage="1" sqref="E26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6:T35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Z3:Z20 P3:Q20 D3:D20 I3:K20 M3:M20"/>
    <dataValidation type="list" allowBlank="1" showInputMessage="1" showErrorMessage="1" sqref="AF26:AF27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C26:C77">
      <formula1>$C$835:$C$842</formula1>
    </dataValidation>
    <dataValidation type="list" allowBlank="1" showInputMessage="1" showErrorMessage="1" sqref="AE4:AE21 AE26:AE27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24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11.5" style="2" customWidth="1"/>
    <col min="8" max="8" width="41.875" style="2" bestFit="1" customWidth="1"/>
    <col min="9" max="9" width="10.625" style="2" customWidth="1"/>
    <col min="10" max="10" width="19.875" style="2" customWidth="1"/>
    <col min="11" max="11" width="13.375" style="2" bestFit="1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6" width="6.375" style="2" bestFit="1" customWidth="1"/>
    <col min="17" max="17" width="12.25" style="2" bestFit="1" customWidth="1"/>
    <col min="18" max="18" width="17.125" style="2" customWidth="1"/>
    <col min="19" max="19" width="11.75" style="2" customWidth="1"/>
    <col min="20" max="20" width="6.5" style="2" customWidth="1"/>
    <col min="21" max="21" width="10.375" style="2" customWidth="1"/>
    <col min="22" max="22" width="11.125" style="2" customWidth="1"/>
    <col min="23" max="23" width="10.25" style="2" customWidth="1"/>
    <col min="24" max="24" width="9.75" style="2" customWidth="1"/>
    <col min="25" max="25" width="26.875" style="2" customWidth="1"/>
    <col min="26" max="26" width="12.25" style="2" customWidth="1"/>
    <col min="27" max="27" width="9.875" style="2" bestFit="1" customWidth="1"/>
    <col min="28" max="28" width="11.875" style="4" customWidth="1"/>
    <col min="29" max="29" width="9.875" style="2" customWidth="1"/>
    <col min="30" max="30" width="28.125" style="2" customWidth="1"/>
    <col min="31" max="31" width="18.125" style="2" customWidth="1"/>
    <col min="32" max="32" width="24.875" style="2" customWidth="1"/>
    <col min="33" max="33" width="9.75" style="2" customWidth="1"/>
    <col min="34" max="34" width="14.25" style="2" customWidth="1"/>
    <col min="35" max="35" width="10.7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3" width="12.375" style="2" bestFit="1" customWidth="1"/>
    <col min="44" max="44" width="11" style="2" customWidth="1"/>
    <col min="45" max="45" width="10.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3895</v>
      </c>
    </row>
    <row r="2" spans="1:54" ht="66.75" customHeight="1" x14ac:dyDescent="0.2">
      <c r="A2" s="139" t="s">
        <v>49</v>
      </c>
      <c r="B2" s="140" t="s">
        <v>50</v>
      </c>
      <c r="C2" s="140" t="s">
        <v>150</v>
      </c>
      <c r="D2" s="140" t="s">
        <v>151</v>
      </c>
      <c r="E2" s="140" t="s">
        <v>152</v>
      </c>
      <c r="F2" s="140" t="s">
        <v>153</v>
      </c>
      <c r="G2" s="140" t="s">
        <v>54</v>
      </c>
      <c r="H2" s="140" t="s">
        <v>154</v>
      </c>
      <c r="I2" s="140" t="s">
        <v>55</v>
      </c>
      <c r="J2" s="140" t="s">
        <v>69</v>
      </c>
      <c r="K2" s="140" t="s">
        <v>83</v>
      </c>
      <c r="L2" s="140" t="s">
        <v>56</v>
      </c>
      <c r="M2" s="140" t="s">
        <v>155</v>
      </c>
      <c r="N2" s="140" t="s">
        <v>156</v>
      </c>
      <c r="O2" s="140" t="s">
        <v>157</v>
      </c>
      <c r="P2" s="140" t="s">
        <v>71</v>
      </c>
      <c r="Q2" s="140" t="s">
        <v>58</v>
      </c>
      <c r="R2" s="140" t="s">
        <v>158</v>
      </c>
      <c r="S2" s="140" t="s">
        <v>59</v>
      </c>
      <c r="T2" s="140" t="s">
        <v>72</v>
      </c>
      <c r="U2" s="140" t="s">
        <v>159</v>
      </c>
      <c r="V2" s="140" t="s">
        <v>62</v>
      </c>
      <c r="W2" s="140" t="s">
        <v>98</v>
      </c>
      <c r="X2" s="140" t="s">
        <v>85</v>
      </c>
      <c r="Y2" s="140" t="s">
        <v>160</v>
      </c>
      <c r="Z2" s="140" t="s">
        <v>74</v>
      </c>
      <c r="AA2" s="140" t="s">
        <v>73</v>
      </c>
      <c r="AB2" s="140" t="s">
        <v>86</v>
      </c>
      <c r="AC2" s="140" t="s">
        <v>161</v>
      </c>
      <c r="AD2" s="140" t="s">
        <v>162</v>
      </c>
      <c r="AE2" s="140" t="s">
        <v>163</v>
      </c>
      <c r="AF2" s="140" t="s">
        <v>164</v>
      </c>
      <c r="AG2" s="140" t="s">
        <v>165</v>
      </c>
      <c r="AH2" s="140" t="s">
        <v>166</v>
      </c>
      <c r="AI2" s="140" t="s">
        <v>167</v>
      </c>
      <c r="AJ2" s="140" t="s">
        <v>168</v>
      </c>
      <c r="AK2" s="140" t="s">
        <v>103</v>
      </c>
      <c r="AL2" s="140" t="s">
        <v>105</v>
      </c>
      <c r="AM2" s="140" t="s">
        <v>104</v>
      </c>
      <c r="AN2" s="140" t="s">
        <v>106</v>
      </c>
      <c r="AO2" s="140" t="s">
        <v>107</v>
      </c>
      <c r="AP2" s="140" t="s">
        <v>169</v>
      </c>
      <c r="AQ2" s="140" t="s">
        <v>170</v>
      </c>
      <c r="AR2" s="140" t="s">
        <v>171</v>
      </c>
      <c r="AS2" s="140" t="s">
        <v>61</v>
      </c>
      <c r="AT2" s="140" t="s">
        <v>63</v>
      </c>
      <c r="AU2" s="140" t="s">
        <v>172</v>
      </c>
      <c r="AV2" s="140" t="s">
        <v>78</v>
      </c>
      <c r="AW2" s="140" t="s">
        <v>88</v>
      </c>
      <c r="AX2" s="140" t="s">
        <v>87</v>
      </c>
      <c r="AY2" s="140" t="s">
        <v>17</v>
      </c>
      <c r="AZ2" s="140" t="s">
        <v>64</v>
      </c>
      <c r="BA2" s="141" t="s">
        <v>65</v>
      </c>
      <c r="BB2" s="181" t="s">
        <v>3871</v>
      </c>
    </row>
    <row r="3" spans="1:54" ht="15" x14ac:dyDescent="0.2">
      <c r="A3" s="142" t="s">
        <v>1205</v>
      </c>
      <c r="B3" s="143" t="s">
        <v>1205</v>
      </c>
      <c r="C3" s="145" t="s">
        <v>3853</v>
      </c>
      <c r="D3" s="145" t="s">
        <v>3853</v>
      </c>
      <c r="E3" s="145" t="s">
        <v>3853</v>
      </c>
      <c r="F3" s="143" t="s">
        <v>3642</v>
      </c>
      <c r="G3" s="143" t="s">
        <v>1011</v>
      </c>
      <c r="H3" s="145" t="s">
        <v>3853</v>
      </c>
      <c r="I3" s="143" t="s">
        <v>204</v>
      </c>
      <c r="J3" s="145" t="s">
        <v>3853</v>
      </c>
      <c r="K3" s="143" t="s">
        <v>478</v>
      </c>
      <c r="L3" s="143" t="s">
        <v>339</v>
      </c>
      <c r="M3" s="143" t="s">
        <v>339</v>
      </c>
      <c r="N3" s="145" t="s">
        <v>3853</v>
      </c>
      <c r="O3" s="143" t="s">
        <v>3643</v>
      </c>
      <c r="P3" s="143" t="s">
        <v>1735</v>
      </c>
      <c r="Q3" s="143" t="s">
        <v>413</v>
      </c>
      <c r="R3" s="143" t="s">
        <v>408</v>
      </c>
      <c r="S3" s="143" t="s">
        <v>1210</v>
      </c>
      <c r="T3" s="144">
        <v>1.43</v>
      </c>
      <c r="U3" s="165" t="s">
        <v>314</v>
      </c>
      <c r="V3" s="146">
        <v>5.3999999999999999E-2</v>
      </c>
      <c r="W3" s="145" t="s">
        <v>3853</v>
      </c>
      <c r="X3" s="145" t="s">
        <v>3853</v>
      </c>
      <c r="Y3" s="166">
        <v>0</v>
      </c>
      <c r="Z3" s="146">
        <v>6.3799999999999996E-2</v>
      </c>
      <c r="AA3" s="143" t="s">
        <v>1514</v>
      </c>
      <c r="AB3" s="143" t="s">
        <v>412</v>
      </c>
      <c r="AC3" s="145" t="s">
        <v>3853</v>
      </c>
      <c r="AD3" s="145" t="s">
        <v>3853</v>
      </c>
      <c r="AE3" s="145" t="s">
        <v>3853</v>
      </c>
      <c r="AF3" s="143" t="s">
        <v>3644</v>
      </c>
      <c r="AG3" s="145" t="s">
        <v>3853</v>
      </c>
      <c r="AH3" s="145" t="s">
        <v>3853</v>
      </c>
      <c r="AI3" s="145" t="s">
        <v>3853</v>
      </c>
      <c r="AJ3" s="145" t="s">
        <v>3853</v>
      </c>
      <c r="AK3" s="143" t="s">
        <v>314</v>
      </c>
      <c r="AL3" s="145" t="s">
        <v>3853</v>
      </c>
      <c r="AM3" s="143" t="s">
        <v>889</v>
      </c>
      <c r="AN3" s="160">
        <v>45473</v>
      </c>
      <c r="AO3" s="160">
        <v>45473</v>
      </c>
      <c r="AP3" s="145" t="s">
        <v>3853</v>
      </c>
      <c r="AQ3" s="144">
        <v>1926527.04</v>
      </c>
      <c r="AR3" s="143" t="s">
        <v>3645</v>
      </c>
      <c r="AS3" s="145" t="s">
        <v>3853</v>
      </c>
      <c r="AT3" s="144">
        <v>1951.3773000000001</v>
      </c>
      <c r="AU3" s="144">
        <v>1951.3773122999999</v>
      </c>
      <c r="AV3" s="145" t="s">
        <v>3853</v>
      </c>
      <c r="AW3" s="145" t="s">
        <v>3853</v>
      </c>
      <c r="AX3" s="145" t="s">
        <v>3853</v>
      </c>
      <c r="AY3" s="145" t="s">
        <v>3853</v>
      </c>
      <c r="AZ3" s="146">
        <v>0.10579502320877833</v>
      </c>
      <c r="BA3" s="147">
        <v>2.9463823602948669E-3</v>
      </c>
      <c r="BB3" s="181"/>
    </row>
    <row r="4" spans="1:54" ht="15" x14ac:dyDescent="0.2">
      <c r="A4" s="142" t="s">
        <v>1205</v>
      </c>
      <c r="B4" s="143" t="s">
        <v>1205</v>
      </c>
      <c r="C4" s="145" t="s">
        <v>3853</v>
      </c>
      <c r="D4" s="145" t="s">
        <v>3853</v>
      </c>
      <c r="E4" s="145" t="s">
        <v>3853</v>
      </c>
      <c r="F4" s="143" t="s">
        <v>3646</v>
      </c>
      <c r="G4" s="143" t="s">
        <v>1012</v>
      </c>
      <c r="H4" s="143" t="s">
        <v>817</v>
      </c>
      <c r="I4" s="143" t="s">
        <v>204</v>
      </c>
      <c r="J4" s="145" t="s">
        <v>3853</v>
      </c>
      <c r="K4" s="143" t="s">
        <v>447</v>
      </c>
      <c r="L4" s="143" t="s">
        <v>339</v>
      </c>
      <c r="M4" s="143" t="s">
        <v>338</v>
      </c>
      <c r="N4" s="145" t="s">
        <v>3853</v>
      </c>
      <c r="O4" s="143" t="s">
        <v>3647</v>
      </c>
      <c r="P4" s="143" t="s">
        <v>3648</v>
      </c>
      <c r="Q4" s="143" t="s">
        <v>415</v>
      </c>
      <c r="R4" s="143" t="s">
        <v>408</v>
      </c>
      <c r="S4" s="143" t="s">
        <v>1210</v>
      </c>
      <c r="T4" s="144">
        <v>0.53</v>
      </c>
      <c r="U4" s="165" t="s">
        <v>823</v>
      </c>
      <c r="V4" s="146">
        <v>7.400000000000001E-2</v>
      </c>
      <c r="W4" s="145" t="s">
        <v>3853</v>
      </c>
      <c r="X4" s="145" t="s">
        <v>3853</v>
      </c>
      <c r="Y4" s="166">
        <v>0</v>
      </c>
      <c r="Z4" s="146">
        <v>7.5999999999999998E-2</v>
      </c>
      <c r="AA4" s="143" t="s">
        <v>3649</v>
      </c>
      <c r="AB4" s="143" t="s">
        <v>412</v>
      </c>
      <c r="AC4" s="145" t="s">
        <v>3853</v>
      </c>
      <c r="AD4" s="145" t="s">
        <v>3853</v>
      </c>
      <c r="AE4" s="167">
        <v>0.55000000000000004</v>
      </c>
      <c r="AF4" s="143" t="s">
        <v>3650</v>
      </c>
      <c r="AG4" s="145" t="s">
        <v>3853</v>
      </c>
      <c r="AH4" s="145" t="s">
        <v>3853</v>
      </c>
      <c r="AI4" s="145" t="s">
        <v>3853</v>
      </c>
      <c r="AJ4" s="143" t="s">
        <v>339</v>
      </c>
      <c r="AK4" s="143" t="s">
        <v>886</v>
      </c>
      <c r="AL4" s="145" t="s">
        <v>3853</v>
      </c>
      <c r="AM4" s="143" t="s">
        <v>889</v>
      </c>
      <c r="AN4" s="160">
        <v>45473</v>
      </c>
      <c r="AO4" s="160">
        <v>45473</v>
      </c>
      <c r="AP4" s="145" t="s">
        <v>3853</v>
      </c>
      <c r="AQ4" s="144">
        <v>1824000</v>
      </c>
      <c r="AR4" s="143" t="s">
        <v>3651</v>
      </c>
      <c r="AS4" s="145" t="s">
        <v>3853</v>
      </c>
      <c r="AT4" s="144">
        <v>1906.08</v>
      </c>
      <c r="AU4" s="144">
        <v>1906.08</v>
      </c>
      <c r="AV4" s="145" t="s">
        <v>3853</v>
      </c>
      <c r="AW4" s="145" t="s">
        <v>3853</v>
      </c>
      <c r="AX4" s="145" t="s">
        <v>3853</v>
      </c>
      <c r="AY4" s="145" t="s">
        <v>3853</v>
      </c>
      <c r="AZ4" s="146">
        <v>0.10333920383713434</v>
      </c>
      <c r="BA4" s="147">
        <v>2.8779880005488229E-3</v>
      </c>
      <c r="BB4" s="181"/>
    </row>
    <row r="5" spans="1:54" ht="15" x14ac:dyDescent="0.2">
      <c r="A5" s="142" t="s">
        <v>1205</v>
      </c>
      <c r="B5" s="143" t="s">
        <v>1205</v>
      </c>
      <c r="C5" s="145" t="s">
        <v>3853</v>
      </c>
      <c r="D5" s="145" t="s">
        <v>3853</v>
      </c>
      <c r="E5" s="145" t="s">
        <v>3853</v>
      </c>
      <c r="F5" s="143" t="s">
        <v>3652</v>
      </c>
      <c r="G5" s="143" t="s">
        <v>1012</v>
      </c>
      <c r="H5" s="143" t="s">
        <v>791</v>
      </c>
      <c r="I5" s="143" t="s">
        <v>204</v>
      </c>
      <c r="J5" s="145" t="s">
        <v>3853</v>
      </c>
      <c r="K5" s="143" t="s">
        <v>447</v>
      </c>
      <c r="L5" s="143" t="s">
        <v>339</v>
      </c>
      <c r="M5" s="143" t="s">
        <v>338</v>
      </c>
      <c r="N5" s="145" t="s">
        <v>3853</v>
      </c>
      <c r="O5" s="143" t="s">
        <v>3162</v>
      </c>
      <c r="P5" s="145" t="s">
        <v>3853</v>
      </c>
      <c r="Q5" s="143" t="s">
        <v>410</v>
      </c>
      <c r="R5" s="143" t="s">
        <v>410</v>
      </c>
      <c r="S5" s="143" t="s">
        <v>1210</v>
      </c>
      <c r="T5" s="144">
        <v>0.38</v>
      </c>
      <c r="U5" s="165" t="s">
        <v>823</v>
      </c>
      <c r="V5" s="146">
        <v>7.2499999999999995E-2</v>
      </c>
      <c r="W5" s="145" t="s">
        <v>3853</v>
      </c>
      <c r="X5" s="145" t="s">
        <v>3853</v>
      </c>
      <c r="Y5" s="166">
        <v>0</v>
      </c>
      <c r="Z5" s="146">
        <v>7.0400000000000004E-2</v>
      </c>
      <c r="AA5" s="143" t="s">
        <v>3653</v>
      </c>
      <c r="AB5" s="143" t="s">
        <v>412</v>
      </c>
      <c r="AC5" s="145" t="s">
        <v>3853</v>
      </c>
      <c r="AD5" s="145" t="s">
        <v>3853</v>
      </c>
      <c r="AE5" s="167">
        <v>0.88</v>
      </c>
      <c r="AF5" s="143" t="s">
        <v>3654</v>
      </c>
      <c r="AG5" s="145" t="s">
        <v>3853</v>
      </c>
      <c r="AH5" s="145" t="s">
        <v>3853</v>
      </c>
      <c r="AI5" s="145" t="s">
        <v>3853</v>
      </c>
      <c r="AJ5" s="143" t="s">
        <v>338</v>
      </c>
      <c r="AK5" s="143" t="s">
        <v>886</v>
      </c>
      <c r="AL5" s="145" t="s">
        <v>3853</v>
      </c>
      <c r="AM5" s="143" t="s">
        <v>889</v>
      </c>
      <c r="AN5" s="160">
        <v>45473</v>
      </c>
      <c r="AO5" s="160">
        <v>45473</v>
      </c>
      <c r="AP5" s="145" t="s">
        <v>3853</v>
      </c>
      <c r="AQ5" s="144">
        <v>1798000</v>
      </c>
      <c r="AR5" s="143" t="s">
        <v>3655</v>
      </c>
      <c r="AS5" s="145" t="s">
        <v>3853</v>
      </c>
      <c r="AT5" s="144">
        <v>1618.2</v>
      </c>
      <c r="AU5" s="144">
        <v>1618.2</v>
      </c>
      <c r="AV5" s="145" t="s">
        <v>3853</v>
      </c>
      <c r="AW5" s="145" t="s">
        <v>3853</v>
      </c>
      <c r="AX5" s="145" t="s">
        <v>3853</v>
      </c>
      <c r="AY5" s="145" t="s">
        <v>3853</v>
      </c>
      <c r="AZ5" s="146">
        <v>8.7731627029951936E-2</v>
      </c>
      <c r="BA5" s="147">
        <v>2.4433183195291409E-3</v>
      </c>
      <c r="BB5" s="181"/>
    </row>
    <row r="6" spans="1:54" ht="15" x14ac:dyDescent="0.2">
      <c r="A6" s="142" t="s">
        <v>1205</v>
      </c>
      <c r="B6" s="143" t="s">
        <v>1205</v>
      </c>
      <c r="C6" s="145" t="s">
        <v>3853</v>
      </c>
      <c r="D6" s="145" t="s">
        <v>3853</v>
      </c>
      <c r="E6" s="145" t="s">
        <v>3853</v>
      </c>
      <c r="F6" s="143" t="s">
        <v>3656</v>
      </c>
      <c r="G6" s="143" t="s">
        <v>1012</v>
      </c>
      <c r="H6" s="145" t="s">
        <v>3853</v>
      </c>
      <c r="I6" s="143" t="s">
        <v>204</v>
      </c>
      <c r="J6" s="145" t="s">
        <v>3853</v>
      </c>
      <c r="K6" s="143" t="s">
        <v>485</v>
      </c>
      <c r="L6" s="143" t="s">
        <v>339</v>
      </c>
      <c r="M6" s="143" t="s">
        <v>338</v>
      </c>
      <c r="N6" s="145" t="s">
        <v>3853</v>
      </c>
      <c r="O6" s="143" t="s">
        <v>3200</v>
      </c>
      <c r="P6" s="143" t="s">
        <v>1359</v>
      </c>
      <c r="Q6" s="143" t="s">
        <v>415</v>
      </c>
      <c r="R6" s="143" t="s">
        <v>408</v>
      </c>
      <c r="S6" s="143" t="s">
        <v>1210</v>
      </c>
      <c r="T6" s="144">
        <v>10.09</v>
      </c>
      <c r="U6" s="165" t="s">
        <v>824</v>
      </c>
      <c r="V6" s="146">
        <v>0.03</v>
      </c>
      <c r="W6" s="145" t="s">
        <v>3853</v>
      </c>
      <c r="X6" s="145" t="s">
        <v>3853</v>
      </c>
      <c r="Y6" s="166">
        <v>0</v>
      </c>
      <c r="Z6" s="146">
        <v>4.1599999999999998E-2</v>
      </c>
      <c r="AA6" s="143" t="s">
        <v>3657</v>
      </c>
      <c r="AB6" s="143" t="s">
        <v>412</v>
      </c>
      <c r="AC6" s="145" t="s">
        <v>3853</v>
      </c>
      <c r="AD6" s="145" t="s">
        <v>3853</v>
      </c>
      <c r="AE6" s="167">
        <v>0.75</v>
      </c>
      <c r="AF6" s="143" t="s">
        <v>3658</v>
      </c>
      <c r="AG6" s="145" t="s">
        <v>3853</v>
      </c>
      <c r="AH6" s="145" t="s">
        <v>3853</v>
      </c>
      <c r="AI6" s="145" t="s">
        <v>3853</v>
      </c>
      <c r="AJ6" s="143" t="s">
        <v>338</v>
      </c>
      <c r="AK6" s="143" t="s">
        <v>886</v>
      </c>
      <c r="AL6" s="145" t="s">
        <v>3853</v>
      </c>
      <c r="AM6" s="143" t="s">
        <v>889</v>
      </c>
      <c r="AN6" s="160">
        <v>45473</v>
      </c>
      <c r="AO6" s="160">
        <v>45473</v>
      </c>
      <c r="AP6" s="145" t="s">
        <v>3853</v>
      </c>
      <c r="AQ6" s="144">
        <v>1141066.42</v>
      </c>
      <c r="AR6" s="143" t="s">
        <v>3659</v>
      </c>
      <c r="AS6" s="145" t="s">
        <v>3853</v>
      </c>
      <c r="AT6" s="144">
        <v>1156.3567</v>
      </c>
      <c r="AU6" s="144">
        <v>1156.35671</v>
      </c>
      <c r="AV6" s="145" t="s">
        <v>3853</v>
      </c>
      <c r="AW6" s="145" t="s">
        <v>3853</v>
      </c>
      <c r="AX6" s="145" t="s">
        <v>3853</v>
      </c>
      <c r="AY6" s="145" t="s">
        <v>3853</v>
      </c>
      <c r="AZ6" s="146">
        <v>6.2692532194882453E-2</v>
      </c>
      <c r="BA6" s="147">
        <v>1.7459816669891603E-3</v>
      </c>
      <c r="BB6" s="181"/>
    </row>
    <row r="7" spans="1:54" ht="15" x14ac:dyDescent="0.2">
      <c r="A7" s="142" t="s">
        <v>1205</v>
      </c>
      <c r="B7" s="143" t="s">
        <v>1205</v>
      </c>
      <c r="C7" s="145" t="s">
        <v>3853</v>
      </c>
      <c r="D7" s="145" t="s">
        <v>3853</v>
      </c>
      <c r="E7" s="145" t="s">
        <v>3853</v>
      </c>
      <c r="F7" s="143" t="s">
        <v>3660</v>
      </c>
      <c r="G7" s="143" t="s">
        <v>1012</v>
      </c>
      <c r="H7" s="145" t="s">
        <v>3853</v>
      </c>
      <c r="I7" s="143" t="s">
        <v>204</v>
      </c>
      <c r="J7" s="145" t="s">
        <v>3853</v>
      </c>
      <c r="K7" s="143" t="s">
        <v>440</v>
      </c>
      <c r="L7" s="143" t="s">
        <v>339</v>
      </c>
      <c r="M7" s="143" t="s">
        <v>338</v>
      </c>
      <c r="N7" s="145" t="s">
        <v>3853</v>
      </c>
      <c r="O7" s="143" t="s">
        <v>3661</v>
      </c>
      <c r="P7" s="143" t="s">
        <v>1377</v>
      </c>
      <c r="Q7" s="143" t="s">
        <v>415</v>
      </c>
      <c r="R7" s="143" t="s">
        <v>408</v>
      </c>
      <c r="S7" s="143" t="s">
        <v>1210</v>
      </c>
      <c r="T7" s="144">
        <v>3.9</v>
      </c>
      <c r="U7" s="165" t="s">
        <v>824</v>
      </c>
      <c r="V7" s="146">
        <v>0</v>
      </c>
      <c r="W7" s="145" t="s">
        <v>3853</v>
      </c>
      <c r="X7" s="145" t="s">
        <v>3853</v>
      </c>
      <c r="Y7" s="166">
        <v>0</v>
      </c>
      <c r="Z7" s="146">
        <v>0.03</v>
      </c>
      <c r="AA7" s="143" t="s">
        <v>1771</v>
      </c>
      <c r="AB7" s="143" t="s">
        <v>412</v>
      </c>
      <c r="AC7" s="145" t="s">
        <v>3853</v>
      </c>
      <c r="AD7" s="145" t="s">
        <v>3853</v>
      </c>
      <c r="AE7" s="167">
        <v>0.75</v>
      </c>
      <c r="AF7" s="143" t="s">
        <v>3662</v>
      </c>
      <c r="AG7" s="145" t="s">
        <v>3853</v>
      </c>
      <c r="AH7" s="145" t="s">
        <v>3853</v>
      </c>
      <c r="AI7" s="145" t="s">
        <v>3853</v>
      </c>
      <c r="AJ7" s="143" t="s">
        <v>338</v>
      </c>
      <c r="AK7" s="143" t="s">
        <v>886</v>
      </c>
      <c r="AL7" s="145" t="s">
        <v>3853</v>
      </c>
      <c r="AM7" s="143" t="s">
        <v>889</v>
      </c>
      <c r="AN7" s="160">
        <v>45473</v>
      </c>
      <c r="AO7" s="160">
        <v>45473</v>
      </c>
      <c r="AP7" s="145" t="s">
        <v>3853</v>
      </c>
      <c r="AQ7" s="144">
        <v>757431.68</v>
      </c>
      <c r="AR7" s="143" t="s">
        <v>3663</v>
      </c>
      <c r="AS7" s="145" t="s">
        <v>3853</v>
      </c>
      <c r="AT7" s="144">
        <v>872.03109999999992</v>
      </c>
      <c r="AU7" s="144">
        <v>872.0310932000001</v>
      </c>
      <c r="AV7" s="145" t="s">
        <v>3853</v>
      </c>
      <c r="AW7" s="145" t="s">
        <v>3853</v>
      </c>
      <c r="AX7" s="145" t="s">
        <v>3853</v>
      </c>
      <c r="AY7" s="145" t="s">
        <v>3853</v>
      </c>
      <c r="AZ7" s="146">
        <v>4.7277658278173249E-2</v>
      </c>
      <c r="BA7" s="147">
        <v>1.3166787450101909E-3</v>
      </c>
      <c r="BB7" s="181"/>
    </row>
    <row r="8" spans="1:54" ht="15" x14ac:dyDescent="0.2">
      <c r="A8" s="142" t="s">
        <v>1205</v>
      </c>
      <c r="B8" s="143" t="s">
        <v>1205</v>
      </c>
      <c r="C8" s="145" t="s">
        <v>3853</v>
      </c>
      <c r="D8" s="145" t="s">
        <v>3853</v>
      </c>
      <c r="E8" s="145" t="s">
        <v>3853</v>
      </c>
      <c r="F8" s="143" t="s">
        <v>3664</v>
      </c>
      <c r="G8" s="143" t="s">
        <v>1012</v>
      </c>
      <c r="H8" s="145" t="s">
        <v>3853</v>
      </c>
      <c r="I8" s="143" t="s">
        <v>204</v>
      </c>
      <c r="J8" s="145" t="s">
        <v>3853</v>
      </c>
      <c r="K8" s="143" t="s">
        <v>485</v>
      </c>
      <c r="L8" s="143" t="s">
        <v>339</v>
      </c>
      <c r="M8" s="143" t="s">
        <v>338</v>
      </c>
      <c r="N8" s="145" t="s">
        <v>3853</v>
      </c>
      <c r="O8" s="143" t="s">
        <v>3665</v>
      </c>
      <c r="P8" s="143" t="s">
        <v>1735</v>
      </c>
      <c r="Q8" s="143" t="s">
        <v>413</v>
      </c>
      <c r="R8" s="143" t="s">
        <v>408</v>
      </c>
      <c r="S8" s="143" t="s">
        <v>1210</v>
      </c>
      <c r="T8" s="144">
        <v>5.8</v>
      </c>
      <c r="U8" s="165" t="s">
        <v>824</v>
      </c>
      <c r="V8" s="146">
        <v>3.4099999999999998E-2</v>
      </c>
      <c r="W8" s="145" t="s">
        <v>3853</v>
      </c>
      <c r="X8" s="145" t="s">
        <v>3853</v>
      </c>
      <c r="Y8" s="166">
        <v>0</v>
      </c>
      <c r="Z8" s="146">
        <v>3.5400000000000001E-2</v>
      </c>
      <c r="AA8" s="143" t="s">
        <v>3666</v>
      </c>
      <c r="AB8" s="143" t="s">
        <v>412</v>
      </c>
      <c r="AC8" s="145" t="s">
        <v>3853</v>
      </c>
      <c r="AD8" s="145" t="s">
        <v>3853</v>
      </c>
      <c r="AE8" s="145" t="s">
        <v>3853</v>
      </c>
      <c r="AF8" s="145" t="s">
        <v>3853</v>
      </c>
      <c r="AG8" s="145" t="s">
        <v>3853</v>
      </c>
      <c r="AH8" s="145" t="s">
        <v>3853</v>
      </c>
      <c r="AI8" s="145" t="s">
        <v>3853</v>
      </c>
      <c r="AJ8" s="145" t="s">
        <v>3853</v>
      </c>
      <c r="AK8" s="143" t="s">
        <v>886</v>
      </c>
      <c r="AL8" s="145" t="s">
        <v>3853</v>
      </c>
      <c r="AM8" s="143" t="s">
        <v>889</v>
      </c>
      <c r="AN8" s="160">
        <v>45473</v>
      </c>
      <c r="AO8" s="160">
        <v>45473</v>
      </c>
      <c r="AP8" s="145" t="s">
        <v>3853</v>
      </c>
      <c r="AQ8" s="144">
        <v>756233.06</v>
      </c>
      <c r="AR8" s="143" t="s">
        <v>3667</v>
      </c>
      <c r="AS8" s="145" t="s">
        <v>3853</v>
      </c>
      <c r="AT8" s="144">
        <v>864.29880000000003</v>
      </c>
      <c r="AU8" s="144">
        <v>864.2987642999999</v>
      </c>
      <c r="AV8" s="145" t="s">
        <v>3853</v>
      </c>
      <c r="AW8" s="145" t="s">
        <v>3853</v>
      </c>
      <c r="AX8" s="145" t="s">
        <v>3853</v>
      </c>
      <c r="AY8" s="145" t="s">
        <v>3853</v>
      </c>
      <c r="AZ8" s="146">
        <v>4.6858445698760923E-2</v>
      </c>
      <c r="BA8" s="147">
        <v>1.3050037104789661E-3</v>
      </c>
      <c r="BB8" s="181"/>
    </row>
    <row r="9" spans="1:54" ht="15" x14ac:dyDescent="0.2">
      <c r="A9" s="142" t="s">
        <v>1205</v>
      </c>
      <c r="B9" s="143" t="s">
        <v>1205</v>
      </c>
      <c r="C9" s="145" t="s">
        <v>3853</v>
      </c>
      <c r="D9" s="145" t="s">
        <v>3853</v>
      </c>
      <c r="E9" s="145" t="s">
        <v>3853</v>
      </c>
      <c r="F9" s="143" t="s">
        <v>3668</v>
      </c>
      <c r="G9" s="143" t="s">
        <v>1012</v>
      </c>
      <c r="H9" s="145" t="s">
        <v>3853</v>
      </c>
      <c r="I9" s="143" t="s">
        <v>204</v>
      </c>
      <c r="J9" s="145" t="s">
        <v>3853</v>
      </c>
      <c r="K9" s="143" t="s">
        <v>448</v>
      </c>
      <c r="L9" s="143" t="s">
        <v>339</v>
      </c>
      <c r="M9" s="143" t="s">
        <v>338</v>
      </c>
      <c r="N9" s="145" t="s">
        <v>3853</v>
      </c>
      <c r="O9" s="143" t="s">
        <v>3669</v>
      </c>
      <c r="P9" s="145" t="s">
        <v>3853</v>
      </c>
      <c r="Q9" s="143" t="s">
        <v>410</v>
      </c>
      <c r="R9" s="143" t="s">
        <v>410</v>
      </c>
      <c r="S9" s="143" t="s">
        <v>1210</v>
      </c>
      <c r="T9" s="144">
        <v>5.35</v>
      </c>
      <c r="U9" s="165" t="s">
        <v>823</v>
      </c>
      <c r="V9" s="146">
        <v>3.4764000000000003E-2</v>
      </c>
      <c r="W9" s="145" t="s">
        <v>3853</v>
      </c>
      <c r="X9" s="145" t="s">
        <v>3853</v>
      </c>
      <c r="Y9" s="166">
        <v>0</v>
      </c>
      <c r="Z9" s="146">
        <v>5.0500000000000003E-2</v>
      </c>
      <c r="AA9" s="143" t="s">
        <v>3670</v>
      </c>
      <c r="AB9" s="143" t="s">
        <v>412</v>
      </c>
      <c r="AC9" s="145" t="s">
        <v>3853</v>
      </c>
      <c r="AD9" s="145" t="s">
        <v>3853</v>
      </c>
      <c r="AE9" s="145" t="s">
        <v>3853</v>
      </c>
      <c r="AF9" s="145" t="s">
        <v>3853</v>
      </c>
      <c r="AG9" s="145" t="s">
        <v>3853</v>
      </c>
      <c r="AH9" s="145" t="s">
        <v>3853</v>
      </c>
      <c r="AI9" s="145" t="s">
        <v>3853</v>
      </c>
      <c r="AJ9" s="143" t="s">
        <v>339</v>
      </c>
      <c r="AK9" s="143" t="s">
        <v>886</v>
      </c>
      <c r="AL9" s="145" t="s">
        <v>3853</v>
      </c>
      <c r="AM9" s="143" t="s">
        <v>889</v>
      </c>
      <c r="AN9" s="160">
        <v>45473</v>
      </c>
      <c r="AO9" s="160">
        <v>45473</v>
      </c>
      <c r="AP9" s="145" t="s">
        <v>3853</v>
      </c>
      <c r="AQ9" s="144">
        <v>863754.91</v>
      </c>
      <c r="AR9" s="143" t="s">
        <v>3671</v>
      </c>
      <c r="AS9" s="145" t="s">
        <v>3853</v>
      </c>
      <c r="AT9" s="144">
        <v>808.12909999999999</v>
      </c>
      <c r="AU9" s="144">
        <v>808.12909379999996</v>
      </c>
      <c r="AV9" s="145" t="s">
        <v>3853</v>
      </c>
      <c r="AW9" s="145" t="s">
        <v>3853</v>
      </c>
      <c r="AX9" s="145" t="s">
        <v>3853</v>
      </c>
      <c r="AY9" s="145" t="s">
        <v>3853</v>
      </c>
      <c r="AZ9" s="146">
        <v>4.3813175286715932E-2</v>
      </c>
      <c r="BA9" s="147">
        <v>1.2201931896034177E-3</v>
      </c>
      <c r="BB9" s="181"/>
    </row>
    <row r="10" spans="1:54" ht="15" x14ac:dyDescent="0.2">
      <c r="A10" s="142" t="s">
        <v>1205</v>
      </c>
      <c r="B10" s="143" t="s">
        <v>1205</v>
      </c>
      <c r="C10" s="145" t="s">
        <v>3853</v>
      </c>
      <c r="D10" s="145" t="s">
        <v>3853</v>
      </c>
      <c r="E10" s="145" t="s">
        <v>3853</v>
      </c>
      <c r="F10" s="143" t="s">
        <v>3672</v>
      </c>
      <c r="G10" s="143" t="s">
        <v>1012</v>
      </c>
      <c r="H10" s="145" t="s">
        <v>3853</v>
      </c>
      <c r="I10" s="143" t="s">
        <v>204</v>
      </c>
      <c r="J10" s="145" t="s">
        <v>3853</v>
      </c>
      <c r="K10" s="143" t="s">
        <v>451</v>
      </c>
      <c r="L10" s="143" t="s">
        <v>339</v>
      </c>
      <c r="M10" s="143" t="s">
        <v>338</v>
      </c>
      <c r="N10" s="145" t="s">
        <v>3853</v>
      </c>
      <c r="O10" s="143" t="s">
        <v>3673</v>
      </c>
      <c r="P10" s="145" t="s">
        <v>3853</v>
      </c>
      <c r="Q10" s="143" t="s">
        <v>410</v>
      </c>
      <c r="R10" s="143" t="s">
        <v>410</v>
      </c>
      <c r="S10" s="143" t="s">
        <v>1211</v>
      </c>
      <c r="T10" s="144">
        <v>0.01</v>
      </c>
      <c r="U10" s="165" t="s">
        <v>314</v>
      </c>
      <c r="V10" s="143" t="s">
        <v>1266</v>
      </c>
      <c r="W10" s="145" t="s">
        <v>3853</v>
      </c>
      <c r="X10" s="145" t="s">
        <v>3853</v>
      </c>
      <c r="Y10" s="166">
        <v>0</v>
      </c>
      <c r="Z10" s="146">
        <v>1E-4</v>
      </c>
      <c r="AA10" s="143" t="s">
        <v>3673</v>
      </c>
      <c r="AB10" s="143" t="s">
        <v>412</v>
      </c>
      <c r="AC10" s="145" t="s">
        <v>3853</v>
      </c>
      <c r="AD10" s="145" t="s">
        <v>3853</v>
      </c>
      <c r="AE10" s="145" t="s">
        <v>3853</v>
      </c>
      <c r="AF10" s="145" t="s">
        <v>3853</v>
      </c>
      <c r="AG10" s="145" t="s">
        <v>3853</v>
      </c>
      <c r="AH10" s="145" t="s">
        <v>3853</v>
      </c>
      <c r="AI10" s="145" t="s">
        <v>3853</v>
      </c>
      <c r="AJ10" s="145" t="s">
        <v>3853</v>
      </c>
      <c r="AK10" s="143" t="s">
        <v>886</v>
      </c>
      <c r="AL10" s="145" t="s">
        <v>3853</v>
      </c>
      <c r="AM10" s="143" t="s">
        <v>889</v>
      </c>
      <c r="AN10" s="160">
        <v>45473</v>
      </c>
      <c r="AO10" s="160">
        <v>45473</v>
      </c>
      <c r="AP10" s="145" t="s">
        <v>3853</v>
      </c>
      <c r="AQ10" s="144">
        <v>130562.71</v>
      </c>
      <c r="AR10" s="143" t="s">
        <v>3674</v>
      </c>
      <c r="AS10" s="143" t="s">
        <v>1212</v>
      </c>
      <c r="AT10" s="144">
        <v>731.005</v>
      </c>
      <c r="AU10" s="144">
        <v>194.46793400000001</v>
      </c>
      <c r="AV10" s="145" t="s">
        <v>3853</v>
      </c>
      <c r="AW10" s="145" t="s">
        <v>3853</v>
      </c>
      <c r="AX10" s="145" t="s">
        <v>3853</v>
      </c>
      <c r="AY10" s="145" t="s">
        <v>3853</v>
      </c>
      <c r="AZ10" s="146">
        <v>3.96318470291155E-2</v>
      </c>
      <c r="BA10" s="147">
        <v>1.1037435547611035E-3</v>
      </c>
      <c r="BB10" s="181"/>
    </row>
    <row r="11" spans="1:54" ht="15" x14ac:dyDescent="0.2">
      <c r="A11" s="142" t="s">
        <v>1205</v>
      </c>
      <c r="B11" s="143" t="s">
        <v>1205</v>
      </c>
      <c r="C11" s="145" t="s">
        <v>3853</v>
      </c>
      <c r="D11" s="145" t="s">
        <v>3853</v>
      </c>
      <c r="E11" s="145" t="s">
        <v>3853</v>
      </c>
      <c r="F11" s="143" t="s">
        <v>3675</v>
      </c>
      <c r="G11" s="143" t="s">
        <v>1012</v>
      </c>
      <c r="H11" s="145" t="s">
        <v>3853</v>
      </c>
      <c r="I11" s="143" t="s">
        <v>204</v>
      </c>
      <c r="J11" s="145" t="s">
        <v>3853</v>
      </c>
      <c r="K11" s="143" t="s">
        <v>448</v>
      </c>
      <c r="L11" s="143" t="s">
        <v>339</v>
      </c>
      <c r="M11" s="143" t="s">
        <v>338</v>
      </c>
      <c r="N11" s="145" t="s">
        <v>3853</v>
      </c>
      <c r="O11" s="143" t="s">
        <v>3669</v>
      </c>
      <c r="P11" s="145" t="s">
        <v>3853</v>
      </c>
      <c r="Q11" s="143" t="s">
        <v>410</v>
      </c>
      <c r="R11" s="143" t="s">
        <v>410</v>
      </c>
      <c r="S11" s="143" t="s">
        <v>1210</v>
      </c>
      <c r="T11" s="144">
        <v>6.9</v>
      </c>
      <c r="U11" s="165" t="s">
        <v>823</v>
      </c>
      <c r="V11" s="146">
        <v>5.2093E-2</v>
      </c>
      <c r="W11" s="145" t="s">
        <v>3853</v>
      </c>
      <c r="X11" s="145" t="s">
        <v>3853</v>
      </c>
      <c r="Y11" s="166">
        <v>0</v>
      </c>
      <c r="Z11" s="146">
        <v>6.4299999999999996E-2</v>
      </c>
      <c r="AA11" s="143" t="s">
        <v>3676</v>
      </c>
      <c r="AB11" s="143" t="s">
        <v>412</v>
      </c>
      <c r="AC11" s="145" t="s">
        <v>3853</v>
      </c>
      <c r="AD11" s="145" t="s">
        <v>3853</v>
      </c>
      <c r="AE11" s="145" t="s">
        <v>3853</v>
      </c>
      <c r="AF11" s="145" t="s">
        <v>3853</v>
      </c>
      <c r="AG11" s="145" t="s">
        <v>3853</v>
      </c>
      <c r="AH11" s="145" t="s">
        <v>3853</v>
      </c>
      <c r="AI11" s="145" t="s">
        <v>3853</v>
      </c>
      <c r="AJ11" s="143" t="s">
        <v>339</v>
      </c>
      <c r="AK11" s="143" t="s">
        <v>886</v>
      </c>
      <c r="AL11" s="145" t="s">
        <v>3853</v>
      </c>
      <c r="AM11" s="143" t="s">
        <v>889</v>
      </c>
      <c r="AN11" s="160">
        <v>45473</v>
      </c>
      <c r="AO11" s="160">
        <v>45473</v>
      </c>
      <c r="AP11" s="145" t="s">
        <v>3853</v>
      </c>
      <c r="AQ11" s="144">
        <v>739403.45</v>
      </c>
      <c r="AR11" s="143" t="s">
        <v>3677</v>
      </c>
      <c r="AS11" s="145" t="s">
        <v>3853</v>
      </c>
      <c r="AT11" s="144">
        <v>711.0104</v>
      </c>
      <c r="AU11" s="144">
        <v>711.01035750000005</v>
      </c>
      <c r="AV11" s="145" t="s">
        <v>3853</v>
      </c>
      <c r="AW11" s="145" t="s">
        <v>3853</v>
      </c>
      <c r="AX11" s="145" t="s">
        <v>3853</v>
      </c>
      <c r="AY11" s="145" t="s">
        <v>3853</v>
      </c>
      <c r="AZ11" s="146">
        <v>3.8547828142613663E-2</v>
      </c>
      <c r="BA11" s="147">
        <v>1.0735537213592758E-3</v>
      </c>
      <c r="BB11" s="181"/>
    </row>
    <row r="12" spans="1:54" ht="15" x14ac:dyDescent="0.2">
      <c r="A12" s="142" t="s">
        <v>1205</v>
      </c>
      <c r="B12" s="143" t="s">
        <v>1205</v>
      </c>
      <c r="C12" s="145" t="s">
        <v>3853</v>
      </c>
      <c r="D12" s="145" t="s">
        <v>3853</v>
      </c>
      <c r="E12" s="145" t="s">
        <v>3853</v>
      </c>
      <c r="F12" s="143" t="s">
        <v>3678</v>
      </c>
      <c r="G12" s="143" t="s">
        <v>1012</v>
      </c>
      <c r="H12" s="145" t="s">
        <v>3853</v>
      </c>
      <c r="I12" s="143" t="s">
        <v>204</v>
      </c>
      <c r="J12" s="145" t="s">
        <v>3853</v>
      </c>
      <c r="K12" s="143" t="s">
        <v>440</v>
      </c>
      <c r="L12" s="143" t="s">
        <v>339</v>
      </c>
      <c r="M12" s="143" t="s">
        <v>338</v>
      </c>
      <c r="N12" s="145" t="s">
        <v>3853</v>
      </c>
      <c r="O12" s="143" t="s">
        <v>3679</v>
      </c>
      <c r="P12" s="143" t="s">
        <v>1359</v>
      </c>
      <c r="Q12" s="143" t="s">
        <v>415</v>
      </c>
      <c r="R12" s="143" t="s">
        <v>408</v>
      </c>
      <c r="S12" s="143" t="s">
        <v>1210</v>
      </c>
      <c r="T12" s="144">
        <v>8.1999999999999993</v>
      </c>
      <c r="U12" s="165" t="s">
        <v>824</v>
      </c>
      <c r="V12" s="146">
        <v>0</v>
      </c>
      <c r="W12" s="145" t="s">
        <v>3853</v>
      </c>
      <c r="X12" s="145" t="s">
        <v>3853</v>
      </c>
      <c r="Y12" s="166">
        <v>0</v>
      </c>
      <c r="Z12" s="146">
        <v>4.0099999999999997E-2</v>
      </c>
      <c r="AA12" s="143" t="s">
        <v>3680</v>
      </c>
      <c r="AB12" s="143" t="s">
        <v>412</v>
      </c>
      <c r="AC12" s="145" t="s">
        <v>3853</v>
      </c>
      <c r="AD12" s="145" t="s">
        <v>3853</v>
      </c>
      <c r="AE12" s="167">
        <v>0.75</v>
      </c>
      <c r="AF12" s="143" t="s">
        <v>3662</v>
      </c>
      <c r="AG12" s="145" t="s">
        <v>3853</v>
      </c>
      <c r="AH12" s="145" t="s">
        <v>3853</v>
      </c>
      <c r="AI12" s="145" t="s">
        <v>3853</v>
      </c>
      <c r="AJ12" s="143" t="s">
        <v>338</v>
      </c>
      <c r="AK12" s="143" t="s">
        <v>886</v>
      </c>
      <c r="AL12" s="145" t="s">
        <v>3853</v>
      </c>
      <c r="AM12" s="143" t="s">
        <v>889</v>
      </c>
      <c r="AN12" s="160">
        <v>45473</v>
      </c>
      <c r="AO12" s="160">
        <v>45473</v>
      </c>
      <c r="AP12" s="145" t="s">
        <v>3853</v>
      </c>
      <c r="AQ12" s="144">
        <v>724495.06</v>
      </c>
      <c r="AR12" s="143" t="s">
        <v>3681</v>
      </c>
      <c r="AS12" s="145" t="s">
        <v>3853</v>
      </c>
      <c r="AT12" s="144">
        <v>709.20819999999992</v>
      </c>
      <c r="AU12" s="144">
        <v>709.20821420000004</v>
      </c>
      <c r="AV12" s="145" t="s">
        <v>3853</v>
      </c>
      <c r="AW12" s="145" t="s">
        <v>3853</v>
      </c>
      <c r="AX12" s="145" t="s">
        <v>3853</v>
      </c>
      <c r="AY12" s="145" t="s">
        <v>3853</v>
      </c>
      <c r="AZ12" s="146">
        <v>3.8450123926434029E-2</v>
      </c>
      <c r="BA12" s="147">
        <v>1.070832667283698E-3</v>
      </c>
      <c r="BB12" s="181"/>
    </row>
    <row r="13" spans="1:54" ht="15" x14ac:dyDescent="0.2">
      <c r="A13" s="142" t="s">
        <v>1205</v>
      </c>
      <c r="B13" s="143" t="s">
        <v>1205</v>
      </c>
      <c r="C13" s="145" t="s">
        <v>3853</v>
      </c>
      <c r="D13" s="145" t="s">
        <v>3853</v>
      </c>
      <c r="E13" s="145" t="s">
        <v>3853</v>
      </c>
      <c r="F13" s="143" t="s">
        <v>3682</v>
      </c>
      <c r="G13" s="143" t="s">
        <v>1012</v>
      </c>
      <c r="H13" s="143" t="s">
        <v>3683</v>
      </c>
      <c r="I13" s="143" t="s">
        <v>204</v>
      </c>
      <c r="J13" s="145" t="s">
        <v>3853</v>
      </c>
      <c r="K13" s="143" t="s">
        <v>443</v>
      </c>
      <c r="L13" s="143" t="s">
        <v>339</v>
      </c>
      <c r="M13" s="143" t="s">
        <v>338</v>
      </c>
      <c r="N13" s="145" t="s">
        <v>3853</v>
      </c>
      <c r="O13" s="143" t="s">
        <v>3684</v>
      </c>
      <c r="P13" s="145" t="s">
        <v>3853</v>
      </c>
      <c r="Q13" s="143" t="s">
        <v>410</v>
      </c>
      <c r="R13" s="143" t="s">
        <v>410</v>
      </c>
      <c r="S13" s="143" t="s">
        <v>1210</v>
      </c>
      <c r="T13" s="144">
        <v>2.25</v>
      </c>
      <c r="U13" s="165" t="s">
        <v>823</v>
      </c>
      <c r="V13" s="146">
        <v>0.09</v>
      </c>
      <c r="W13" s="145" t="s">
        <v>3853</v>
      </c>
      <c r="X13" s="145" t="s">
        <v>3853</v>
      </c>
      <c r="Y13" s="166">
        <v>0.03</v>
      </c>
      <c r="Z13" s="146">
        <v>8.48E-2</v>
      </c>
      <c r="AA13" s="143" t="s">
        <v>3685</v>
      </c>
      <c r="AB13" s="143" t="s">
        <v>412</v>
      </c>
      <c r="AC13" s="145" t="s">
        <v>3853</v>
      </c>
      <c r="AD13" s="145" t="s">
        <v>3853</v>
      </c>
      <c r="AE13" s="167">
        <v>0.76</v>
      </c>
      <c r="AF13" s="143" t="s">
        <v>3686</v>
      </c>
      <c r="AG13" s="145" t="s">
        <v>3853</v>
      </c>
      <c r="AH13" s="145" t="s">
        <v>3853</v>
      </c>
      <c r="AI13" s="145" t="s">
        <v>3853</v>
      </c>
      <c r="AJ13" s="143" t="s">
        <v>339</v>
      </c>
      <c r="AK13" s="143" t="s">
        <v>886</v>
      </c>
      <c r="AL13" s="145" t="s">
        <v>3853</v>
      </c>
      <c r="AM13" s="143" t="s">
        <v>889</v>
      </c>
      <c r="AN13" s="160">
        <v>45473</v>
      </c>
      <c r="AO13" s="160">
        <v>45473</v>
      </c>
      <c r="AP13" s="145" t="s">
        <v>3853</v>
      </c>
      <c r="AQ13" s="144">
        <v>587978.26</v>
      </c>
      <c r="AR13" s="143" t="s">
        <v>3687</v>
      </c>
      <c r="AS13" s="145" t="s">
        <v>3853</v>
      </c>
      <c r="AT13" s="144">
        <v>598.4443</v>
      </c>
      <c r="AU13" s="144">
        <v>598.44427299999995</v>
      </c>
      <c r="AV13" s="145" t="s">
        <v>3853</v>
      </c>
      <c r="AW13" s="145" t="s">
        <v>3853</v>
      </c>
      <c r="AX13" s="145" t="s">
        <v>3853</v>
      </c>
      <c r="AY13" s="145" t="s">
        <v>3853</v>
      </c>
      <c r="AZ13" s="146">
        <v>3.2444994289644806E-2</v>
      </c>
      <c r="BA13" s="147">
        <v>9.035903198038632E-4</v>
      </c>
      <c r="BB13" s="181"/>
    </row>
    <row r="14" spans="1:54" ht="15" x14ac:dyDescent="0.2">
      <c r="A14" s="142" t="s">
        <v>1205</v>
      </c>
      <c r="B14" s="143" t="s">
        <v>1205</v>
      </c>
      <c r="C14" s="145" t="s">
        <v>3853</v>
      </c>
      <c r="D14" s="145" t="s">
        <v>3853</v>
      </c>
      <c r="E14" s="145" t="s">
        <v>3853</v>
      </c>
      <c r="F14" s="143" t="s">
        <v>3688</v>
      </c>
      <c r="G14" s="143" t="s">
        <v>1012</v>
      </c>
      <c r="H14" s="143" t="s">
        <v>812</v>
      </c>
      <c r="I14" s="143" t="s">
        <v>204</v>
      </c>
      <c r="J14" s="145" t="s">
        <v>3853</v>
      </c>
      <c r="K14" s="143" t="s">
        <v>454</v>
      </c>
      <c r="L14" s="143" t="s">
        <v>339</v>
      </c>
      <c r="M14" s="143" t="s">
        <v>338</v>
      </c>
      <c r="N14" s="145" t="s">
        <v>3853</v>
      </c>
      <c r="O14" s="143" t="s">
        <v>3689</v>
      </c>
      <c r="P14" s="143" t="s">
        <v>1366</v>
      </c>
      <c r="Q14" s="143" t="s">
        <v>413</v>
      </c>
      <c r="R14" s="143" t="s">
        <v>408</v>
      </c>
      <c r="S14" s="143" t="s">
        <v>1211</v>
      </c>
      <c r="T14" s="144">
        <v>2.69</v>
      </c>
      <c r="U14" s="165" t="s">
        <v>823</v>
      </c>
      <c r="V14" s="146">
        <v>0.110153</v>
      </c>
      <c r="W14" s="145" t="s">
        <v>3853</v>
      </c>
      <c r="X14" s="145" t="s">
        <v>3853</v>
      </c>
      <c r="Y14" s="166">
        <v>5.6783E-2</v>
      </c>
      <c r="Z14" s="146">
        <v>0.1008</v>
      </c>
      <c r="AA14" s="143" t="s">
        <v>3690</v>
      </c>
      <c r="AB14" s="143" t="s">
        <v>412</v>
      </c>
      <c r="AC14" s="145" t="s">
        <v>3853</v>
      </c>
      <c r="AD14" s="145" t="s">
        <v>3853</v>
      </c>
      <c r="AE14" s="167">
        <v>0.76</v>
      </c>
      <c r="AF14" s="143" t="s">
        <v>3689</v>
      </c>
      <c r="AG14" s="145" t="s">
        <v>3853</v>
      </c>
      <c r="AH14" s="145" t="s">
        <v>3853</v>
      </c>
      <c r="AI14" s="145" t="s">
        <v>3853</v>
      </c>
      <c r="AJ14" s="143" t="s">
        <v>339</v>
      </c>
      <c r="AK14" s="143" t="s">
        <v>886</v>
      </c>
      <c r="AL14" s="145" t="s">
        <v>3853</v>
      </c>
      <c r="AM14" s="143" t="s">
        <v>889</v>
      </c>
      <c r="AN14" s="160">
        <v>45473</v>
      </c>
      <c r="AO14" s="160">
        <v>45473</v>
      </c>
      <c r="AP14" s="145" t="s">
        <v>3853</v>
      </c>
      <c r="AQ14" s="144">
        <v>157277.06</v>
      </c>
      <c r="AR14" s="143" t="s">
        <v>3691</v>
      </c>
      <c r="AS14" s="143" t="s">
        <v>1212</v>
      </c>
      <c r="AT14" s="144">
        <v>596.17059999999992</v>
      </c>
      <c r="AU14" s="144">
        <v>158.59818730000001</v>
      </c>
      <c r="AV14" s="145" t="s">
        <v>3853</v>
      </c>
      <c r="AW14" s="145" t="s">
        <v>3853</v>
      </c>
      <c r="AX14" s="145" t="s">
        <v>3853</v>
      </c>
      <c r="AY14" s="145" t="s">
        <v>3853</v>
      </c>
      <c r="AZ14" s="146">
        <v>3.2321725067250236E-2</v>
      </c>
      <c r="BA14" s="147">
        <v>9.0015728248873461E-4</v>
      </c>
      <c r="BB14" s="181"/>
    </row>
    <row r="15" spans="1:54" ht="15" x14ac:dyDescent="0.2">
      <c r="A15" s="142" t="s">
        <v>1205</v>
      </c>
      <c r="B15" s="143" t="s">
        <v>1205</v>
      </c>
      <c r="C15" s="145" t="s">
        <v>3853</v>
      </c>
      <c r="D15" s="145" t="s">
        <v>3853</v>
      </c>
      <c r="E15" s="145" t="s">
        <v>3853</v>
      </c>
      <c r="F15" s="143" t="s">
        <v>3692</v>
      </c>
      <c r="G15" s="143" t="s">
        <v>1012</v>
      </c>
      <c r="H15" s="145" t="s">
        <v>3853</v>
      </c>
      <c r="I15" s="143" t="s">
        <v>204</v>
      </c>
      <c r="J15" s="145" t="s">
        <v>3853</v>
      </c>
      <c r="K15" s="143" t="s">
        <v>484</v>
      </c>
      <c r="L15" s="143" t="s">
        <v>339</v>
      </c>
      <c r="M15" s="143" t="s">
        <v>338</v>
      </c>
      <c r="N15" s="145" t="s">
        <v>3853</v>
      </c>
      <c r="O15" s="143" t="s">
        <v>3693</v>
      </c>
      <c r="P15" s="145" t="s">
        <v>3853</v>
      </c>
      <c r="Q15" s="143" t="s">
        <v>410</v>
      </c>
      <c r="R15" s="143" t="s">
        <v>410</v>
      </c>
      <c r="S15" s="143" t="s">
        <v>1210</v>
      </c>
      <c r="T15" s="144">
        <v>4.88</v>
      </c>
      <c r="U15" s="165" t="s">
        <v>824</v>
      </c>
      <c r="V15" s="146">
        <v>0</v>
      </c>
      <c r="W15" s="145" t="s">
        <v>3853</v>
      </c>
      <c r="X15" s="145" t="s">
        <v>3853</v>
      </c>
      <c r="Y15" s="166">
        <v>0</v>
      </c>
      <c r="Z15" s="146">
        <v>3.6499999999999998E-2</v>
      </c>
      <c r="AA15" s="143" t="s">
        <v>1777</v>
      </c>
      <c r="AB15" s="143" t="s">
        <v>412</v>
      </c>
      <c r="AC15" s="145" t="s">
        <v>3853</v>
      </c>
      <c r="AD15" s="145" t="s">
        <v>3853</v>
      </c>
      <c r="AE15" s="145" t="s">
        <v>3853</v>
      </c>
      <c r="AF15" s="143" t="s">
        <v>3694</v>
      </c>
      <c r="AG15" s="145" t="s">
        <v>3853</v>
      </c>
      <c r="AH15" s="145" t="s">
        <v>3853</v>
      </c>
      <c r="AI15" s="145" t="s">
        <v>3853</v>
      </c>
      <c r="AJ15" s="145" t="s">
        <v>3853</v>
      </c>
      <c r="AK15" s="143" t="s">
        <v>886</v>
      </c>
      <c r="AL15" s="145" t="s">
        <v>3853</v>
      </c>
      <c r="AM15" s="143" t="s">
        <v>889</v>
      </c>
      <c r="AN15" s="160">
        <v>45473</v>
      </c>
      <c r="AO15" s="160">
        <v>45473</v>
      </c>
      <c r="AP15" s="145" t="s">
        <v>3853</v>
      </c>
      <c r="AQ15" s="144">
        <v>476260.25</v>
      </c>
      <c r="AR15" s="143" t="s">
        <v>3695</v>
      </c>
      <c r="AS15" s="145" t="s">
        <v>3853</v>
      </c>
      <c r="AT15" s="144">
        <v>534.88790000000006</v>
      </c>
      <c r="AU15" s="144">
        <v>534.88788680000005</v>
      </c>
      <c r="AV15" s="145" t="s">
        <v>3853</v>
      </c>
      <c r="AW15" s="145" t="s">
        <v>3853</v>
      </c>
      <c r="AX15" s="145" t="s">
        <v>3853</v>
      </c>
      <c r="AY15" s="145" t="s">
        <v>3853</v>
      </c>
      <c r="AZ15" s="146">
        <v>2.8999248909518889E-2</v>
      </c>
      <c r="BA15" s="147">
        <v>8.0762660527226946E-4</v>
      </c>
      <c r="BB15" s="181"/>
    </row>
    <row r="16" spans="1:54" ht="15" x14ac:dyDescent="0.2">
      <c r="A16" s="142" t="s">
        <v>1205</v>
      </c>
      <c r="B16" s="143" t="s">
        <v>1205</v>
      </c>
      <c r="C16" s="145" t="s">
        <v>3853</v>
      </c>
      <c r="D16" s="145" t="s">
        <v>3853</v>
      </c>
      <c r="E16" s="145" t="s">
        <v>3853</v>
      </c>
      <c r="F16" s="143" t="s">
        <v>3696</v>
      </c>
      <c r="G16" s="143" t="s">
        <v>1012</v>
      </c>
      <c r="H16" s="145" t="s">
        <v>3853</v>
      </c>
      <c r="I16" s="143" t="s">
        <v>204</v>
      </c>
      <c r="J16" s="145" t="s">
        <v>3853</v>
      </c>
      <c r="K16" s="143" t="s">
        <v>448</v>
      </c>
      <c r="L16" s="143" t="s">
        <v>339</v>
      </c>
      <c r="M16" s="143" t="s">
        <v>338</v>
      </c>
      <c r="N16" s="145" t="s">
        <v>3853</v>
      </c>
      <c r="O16" s="143" t="s">
        <v>3669</v>
      </c>
      <c r="P16" s="145" t="s">
        <v>3853</v>
      </c>
      <c r="Q16" s="143" t="s">
        <v>410</v>
      </c>
      <c r="R16" s="143" t="s">
        <v>410</v>
      </c>
      <c r="S16" s="143" t="s">
        <v>1210</v>
      </c>
      <c r="T16" s="144">
        <v>6.81</v>
      </c>
      <c r="U16" s="165" t="s">
        <v>824</v>
      </c>
      <c r="V16" s="146">
        <v>1.7982999999999999E-2</v>
      </c>
      <c r="W16" s="145" t="s">
        <v>3853</v>
      </c>
      <c r="X16" s="145" t="s">
        <v>3853</v>
      </c>
      <c r="Y16" s="166">
        <v>0</v>
      </c>
      <c r="Z16" s="146">
        <v>4.9799999999999997E-2</v>
      </c>
      <c r="AA16" s="143" t="s">
        <v>3676</v>
      </c>
      <c r="AB16" s="143" t="s">
        <v>412</v>
      </c>
      <c r="AC16" s="145" t="s">
        <v>3853</v>
      </c>
      <c r="AD16" s="145" t="s">
        <v>3853</v>
      </c>
      <c r="AE16" s="145" t="s">
        <v>3853</v>
      </c>
      <c r="AF16" s="145" t="s">
        <v>3853</v>
      </c>
      <c r="AG16" s="145" t="s">
        <v>3853</v>
      </c>
      <c r="AH16" s="145" t="s">
        <v>3853</v>
      </c>
      <c r="AI16" s="145" t="s">
        <v>3853</v>
      </c>
      <c r="AJ16" s="143" t="s">
        <v>339</v>
      </c>
      <c r="AK16" s="143" t="s">
        <v>886</v>
      </c>
      <c r="AL16" s="145" t="s">
        <v>3853</v>
      </c>
      <c r="AM16" s="143" t="s">
        <v>889</v>
      </c>
      <c r="AN16" s="160">
        <v>45473</v>
      </c>
      <c r="AO16" s="160">
        <v>45473</v>
      </c>
      <c r="AP16" s="145" t="s">
        <v>3853</v>
      </c>
      <c r="AQ16" s="144">
        <v>389557.55</v>
      </c>
      <c r="AR16" s="143" t="s">
        <v>3697</v>
      </c>
      <c r="AS16" s="145" t="s">
        <v>3853</v>
      </c>
      <c r="AT16" s="144">
        <v>488.46620000000001</v>
      </c>
      <c r="AU16" s="144">
        <v>488.46621189999996</v>
      </c>
      <c r="AV16" s="145" t="s">
        <v>3853</v>
      </c>
      <c r="AW16" s="145" t="s">
        <v>3853</v>
      </c>
      <c r="AX16" s="145" t="s">
        <v>3853</v>
      </c>
      <c r="AY16" s="145" t="s">
        <v>3853</v>
      </c>
      <c r="AZ16" s="146">
        <v>2.6482471587623405E-2</v>
      </c>
      <c r="BA16" s="147">
        <v>7.3753457181820702E-4</v>
      </c>
      <c r="BB16" s="181"/>
    </row>
    <row r="17" spans="1:54" ht="15" x14ac:dyDescent="0.2">
      <c r="A17" s="142" t="s">
        <v>1205</v>
      </c>
      <c r="B17" s="143" t="s">
        <v>1205</v>
      </c>
      <c r="C17" s="145" t="s">
        <v>3853</v>
      </c>
      <c r="D17" s="145" t="s">
        <v>3853</v>
      </c>
      <c r="E17" s="145" t="s">
        <v>3853</v>
      </c>
      <c r="F17" s="143" t="s">
        <v>3698</v>
      </c>
      <c r="G17" s="143" t="s">
        <v>1012</v>
      </c>
      <c r="H17" s="145" t="s">
        <v>3853</v>
      </c>
      <c r="I17" s="143" t="s">
        <v>204</v>
      </c>
      <c r="J17" s="145" t="s">
        <v>3853</v>
      </c>
      <c r="K17" s="143" t="s">
        <v>443</v>
      </c>
      <c r="L17" s="143" t="s">
        <v>339</v>
      </c>
      <c r="M17" s="143" t="s">
        <v>338</v>
      </c>
      <c r="N17" s="145" t="s">
        <v>3853</v>
      </c>
      <c r="O17" s="143" t="s">
        <v>3699</v>
      </c>
      <c r="P17" s="145" t="s">
        <v>3853</v>
      </c>
      <c r="Q17" s="143" t="s">
        <v>410</v>
      </c>
      <c r="R17" s="143" t="s">
        <v>410</v>
      </c>
      <c r="S17" s="143" t="s">
        <v>1210</v>
      </c>
      <c r="T17" s="144">
        <v>3.12</v>
      </c>
      <c r="U17" s="165" t="s">
        <v>823</v>
      </c>
      <c r="V17" s="146">
        <v>8.5000000000000006E-2</v>
      </c>
      <c r="W17" s="145" t="s">
        <v>3853</v>
      </c>
      <c r="X17" s="145" t="s">
        <v>3853</v>
      </c>
      <c r="Y17" s="166">
        <v>0</v>
      </c>
      <c r="Z17" s="146">
        <v>7.9899999999999999E-2</v>
      </c>
      <c r="AA17" s="143" t="s">
        <v>3700</v>
      </c>
      <c r="AB17" s="143" t="s">
        <v>412</v>
      </c>
      <c r="AC17" s="145" t="s">
        <v>3853</v>
      </c>
      <c r="AD17" s="145" t="s">
        <v>3853</v>
      </c>
      <c r="AE17" s="167">
        <v>0.17</v>
      </c>
      <c r="AF17" s="143" t="s">
        <v>3701</v>
      </c>
      <c r="AG17" s="145" t="s">
        <v>3853</v>
      </c>
      <c r="AH17" s="145" t="s">
        <v>3853</v>
      </c>
      <c r="AI17" s="145" t="s">
        <v>3853</v>
      </c>
      <c r="AJ17" s="143" t="s">
        <v>338</v>
      </c>
      <c r="AK17" s="143" t="s">
        <v>886</v>
      </c>
      <c r="AL17" s="145" t="s">
        <v>3853</v>
      </c>
      <c r="AM17" s="143" t="s">
        <v>889</v>
      </c>
      <c r="AN17" s="160">
        <v>45473</v>
      </c>
      <c r="AO17" s="160">
        <v>45473</v>
      </c>
      <c r="AP17" s="145" t="s">
        <v>3853</v>
      </c>
      <c r="AQ17" s="144">
        <v>456000</v>
      </c>
      <c r="AR17" s="143" t="s">
        <v>3702</v>
      </c>
      <c r="AS17" s="145" t="s">
        <v>3853</v>
      </c>
      <c r="AT17" s="144">
        <v>469.8168</v>
      </c>
      <c r="AU17" s="144">
        <v>469.8168</v>
      </c>
      <c r="AV17" s="145" t="s">
        <v>3853</v>
      </c>
      <c r="AW17" s="145" t="s">
        <v>3853</v>
      </c>
      <c r="AX17" s="145" t="s">
        <v>3853</v>
      </c>
      <c r="AY17" s="145" t="s">
        <v>3853</v>
      </c>
      <c r="AZ17" s="146">
        <v>2.5471383185023809E-2</v>
      </c>
      <c r="BA17" s="147">
        <v>7.0937584616398376E-4</v>
      </c>
      <c r="BB17" s="181"/>
    </row>
    <row r="18" spans="1:54" ht="15" x14ac:dyDescent="0.2">
      <c r="A18" s="142" t="s">
        <v>1205</v>
      </c>
      <c r="B18" s="143" t="s">
        <v>1205</v>
      </c>
      <c r="C18" s="145" t="s">
        <v>3853</v>
      </c>
      <c r="D18" s="145" t="s">
        <v>3853</v>
      </c>
      <c r="E18" s="145" t="s">
        <v>3853</v>
      </c>
      <c r="F18" s="143" t="s">
        <v>3703</v>
      </c>
      <c r="G18" s="143" t="s">
        <v>1012</v>
      </c>
      <c r="H18" s="145" t="s">
        <v>3853</v>
      </c>
      <c r="I18" s="143" t="s">
        <v>204</v>
      </c>
      <c r="J18" s="145" t="s">
        <v>3853</v>
      </c>
      <c r="K18" s="143" t="s">
        <v>443</v>
      </c>
      <c r="L18" s="143" t="s">
        <v>339</v>
      </c>
      <c r="M18" s="143" t="s">
        <v>338</v>
      </c>
      <c r="N18" s="145" t="s">
        <v>3853</v>
      </c>
      <c r="O18" s="143" t="s">
        <v>3704</v>
      </c>
      <c r="P18" s="145" t="s">
        <v>3853</v>
      </c>
      <c r="Q18" s="143" t="s">
        <v>410</v>
      </c>
      <c r="R18" s="143" t="s">
        <v>410</v>
      </c>
      <c r="S18" s="143" t="s">
        <v>1210</v>
      </c>
      <c r="T18" s="144">
        <v>1.34</v>
      </c>
      <c r="U18" s="165" t="s">
        <v>824</v>
      </c>
      <c r="V18" s="146">
        <v>9.0439000000000005E-2</v>
      </c>
      <c r="W18" s="145" t="s">
        <v>3853</v>
      </c>
      <c r="X18" s="145" t="s">
        <v>3853</v>
      </c>
      <c r="Y18" s="166">
        <v>0</v>
      </c>
      <c r="Z18" s="146">
        <v>7.7799999999999994E-2</v>
      </c>
      <c r="AA18" s="143" t="s">
        <v>3705</v>
      </c>
      <c r="AB18" s="143" t="s">
        <v>412</v>
      </c>
      <c r="AC18" s="145" t="s">
        <v>3853</v>
      </c>
      <c r="AD18" s="145" t="s">
        <v>3853</v>
      </c>
      <c r="AE18" s="167">
        <v>0</v>
      </c>
      <c r="AF18" s="143" t="s">
        <v>3706</v>
      </c>
      <c r="AG18" s="145" t="s">
        <v>3853</v>
      </c>
      <c r="AH18" s="145" t="s">
        <v>3853</v>
      </c>
      <c r="AI18" s="145" t="s">
        <v>3853</v>
      </c>
      <c r="AJ18" s="145" t="s">
        <v>3853</v>
      </c>
      <c r="AK18" s="143" t="s">
        <v>886</v>
      </c>
      <c r="AL18" s="145" t="s">
        <v>3853</v>
      </c>
      <c r="AM18" s="143" t="s">
        <v>889</v>
      </c>
      <c r="AN18" s="160">
        <v>45473</v>
      </c>
      <c r="AO18" s="160">
        <v>45473</v>
      </c>
      <c r="AP18" s="145" t="s">
        <v>3853</v>
      </c>
      <c r="AQ18" s="144">
        <v>425888.51</v>
      </c>
      <c r="AR18" s="143" t="s">
        <v>3707</v>
      </c>
      <c r="AS18" s="145" t="s">
        <v>3853</v>
      </c>
      <c r="AT18" s="144">
        <v>468.34959999999995</v>
      </c>
      <c r="AU18" s="144">
        <v>468.3495944</v>
      </c>
      <c r="AV18" s="145" t="s">
        <v>3853</v>
      </c>
      <c r="AW18" s="145" t="s">
        <v>3853</v>
      </c>
      <c r="AX18" s="145" t="s">
        <v>3853</v>
      </c>
      <c r="AY18" s="145" t="s">
        <v>3853</v>
      </c>
      <c r="AZ18" s="146">
        <v>2.539183780722621E-2</v>
      </c>
      <c r="BA18" s="147">
        <v>7.0716051418637921E-4</v>
      </c>
      <c r="BB18" s="181"/>
    </row>
    <row r="19" spans="1:54" ht="15" x14ac:dyDescent="0.2">
      <c r="A19" s="142" t="s">
        <v>1205</v>
      </c>
      <c r="B19" s="143" t="s">
        <v>1205</v>
      </c>
      <c r="C19" s="145" t="s">
        <v>3853</v>
      </c>
      <c r="D19" s="145" t="s">
        <v>3853</v>
      </c>
      <c r="E19" s="145" t="s">
        <v>3853</v>
      </c>
      <c r="F19" s="143" t="s">
        <v>3708</v>
      </c>
      <c r="G19" s="143" t="s">
        <v>1012</v>
      </c>
      <c r="H19" s="145" t="s">
        <v>3853</v>
      </c>
      <c r="I19" s="143" t="s">
        <v>204</v>
      </c>
      <c r="J19" s="145" t="s">
        <v>3853</v>
      </c>
      <c r="K19" s="143" t="s">
        <v>441</v>
      </c>
      <c r="L19" s="143" t="s">
        <v>339</v>
      </c>
      <c r="M19" s="143" t="s">
        <v>338</v>
      </c>
      <c r="N19" s="145" t="s">
        <v>3853</v>
      </c>
      <c r="O19" s="143" t="s">
        <v>3709</v>
      </c>
      <c r="P19" s="145" t="s">
        <v>3853</v>
      </c>
      <c r="Q19" s="143" t="s">
        <v>410</v>
      </c>
      <c r="R19" s="143" t="s">
        <v>410</v>
      </c>
      <c r="S19" s="143" t="s">
        <v>1210</v>
      </c>
      <c r="T19" s="144">
        <v>3.23</v>
      </c>
      <c r="U19" s="165" t="s">
        <v>824</v>
      </c>
      <c r="V19" s="146">
        <v>7.7499999999999999E-2</v>
      </c>
      <c r="W19" s="145" t="s">
        <v>3853</v>
      </c>
      <c r="X19" s="145" t="s">
        <v>3853</v>
      </c>
      <c r="Y19" s="166">
        <v>0</v>
      </c>
      <c r="Z19" s="146">
        <v>0.128</v>
      </c>
      <c r="AA19" s="143" t="s">
        <v>3710</v>
      </c>
      <c r="AB19" s="143" t="s">
        <v>412</v>
      </c>
      <c r="AC19" s="145" t="s">
        <v>3853</v>
      </c>
      <c r="AD19" s="145" t="s">
        <v>3853</v>
      </c>
      <c r="AE19" s="145" t="s">
        <v>3853</v>
      </c>
      <c r="AF19" s="145" t="s">
        <v>3853</v>
      </c>
      <c r="AG19" s="145" t="s">
        <v>3853</v>
      </c>
      <c r="AH19" s="145" t="s">
        <v>3853</v>
      </c>
      <c r="AI19" s="145" t="s">
        <v>3853</v>
      </c>
      <c r="AJ19" s="145" t="s">
        <v>3853</v>
      </c>
      <c r="AK19" s="143" t="s">
        <v>886</v>
      </c>
      <c r="AL19" s="145" t="s">
        <v>3853</v>
      </c>
      <c r="AM19" s="143" t="s">
        <v>889</v>
      </c>
      <c r="AN19" s="160">
        <v>45473</v>
      </c>
      <c r="AO19" s="160">
        <v>45473</v>
      </c>
      <c r="AP19" s="145" t="s">
        <v>3853</v>
      </c>
      <c r="AQ19" s="144">
        <v>468060</v>
      </c>
      <c r="AR19" s="143" t="s">
        <v>3711</v>
      </c>
      <c r="AS19" s="145" t="s">
        <v>3853</v>
      </c>
      <c r="AT19" s="144">
        <v>467.03030000000001</v>
      </c>
      <c r="AU19" s="144">
        <v>467.03026799999998</v>
      </c>
      <c r="AV19" s="145" t="s">
        <v>3853</v>
      </c>
      <c r="AW19" s="145" t="s">
        <v>3853</v>
      </c>
      <c r="AX19" s="145" t="s">
        <v>3853</v>
      </c>
      <c r="AY19" s="145" t="s">
        <v>3853</v>
      </c>
      <c r="AZ19" s="146">
        <v>2.5320309778688974E-2</v>
      </c>
      <c r="BA19" s="147">
        <v>7.0516846470090498E-4</v>
      </c>
      <c r="BB19" s="181"/>
    </row>
    <row r="20" spans="1:54" ht="15" x14ac:dyDescent="0.2">
      <c r="A20" s="142" t="s">
        <v>1205</v>
      </c>
      <c r="B20" s="143" t="s">
        <v>1205</v>
      </c>
      <c r="C20" s="145" t="s">
        <v>3853</v>
      </c>
      <c r="D20" s="145" t="s">
        <v>3853</v>
      </c>
      <c r="E20" s="145" t="s">
        <v>3853</v>
      </c>
      <c r="F20" s="143" t="s">
        <v>3712</v>
      </c>
      <c r="G20" s="143" t="s">
        <v>1012</v>
      </c>
      <c r="H20" s="143" t="s">
        <v>817</v>
      </c>
      <c r="I20" s="143" t="s">
        <v>204</v>
      </c>
      <c r="J20" s="145" t="s">
        <v>3853</v>
      </c>
      <c r="K20" s="143" t="s">
        <v>446</v>
      </c>
      <c r="L20" s="143" t="s">
        <v>339</v>
      </c>
      <c r="M20" s="143" t="s">
        <v>338</v>
      </c>
      <c r="N20" s="145" t="s">
        <v>3853</v>
      </c>
      <c r="O20" s="143" t="s">
        <v>3713</v>
      </c>
      <c r="P20" s="145" t="s">
        <v>3853</v>
      </c>
      <c r="Q20" s="143" t="s">
        <v>410</v>
      </c>
      <c r="R20" s="143" t="s">
        <v>410</v>
      </c>
      <c r="S20" s="143" t="s">
        <v>1210</v>
      </c>
      <c r="T20" s="144">
        <v>1.71</v>
      </c>
      <c r="U20" s="165" t="s">
        <v>824</v>
      </c>
      <c r="V20" s="146">
        <v>0.08</v>
      </c>
      <c r="W20" s="145" t="s">
        <v>3853</v>
      </c>
      <c r="X20" s="145" t="s">
        <v>3853</v>
      </c>
      <c r="Y20" s="166">
        <v>0</v>
      </c>
      <c r="Z20" s="146">
        <v>0.25140000000000001</v>
      </c>
      <c r="AA20" s="143" t="s">
        <v>1428</v>
      </c>
      <c r="AB20" s="143" t="s">
        <v>412</v>
      </c>
      <c r="AC20" s="145" t="s">
        <v>3853</v>
      </c>
      <c r="AD20" s="145" t="s">
        <v>3853</v>
      </c>
      <c r="AE20" s="167">
        <v>0.72</v>
      </c>
      <c r="AF20" s="143" t="s">
        <v>3714</v>
      </c>
      <c r="AG20" s="145" t="s">
        <v>3853</v>
      </c>
      <c r="AH20" s="145" t="s">
        <v>3853</v>
      </c>
      <c r="AI20" s="145" t="s">
        <v>3853</v>
      </c>
      <c r="AJ20" s="143" t="s">
        <v>338</v>
      </c>
      <c r="AK20" s="143" t="s">
        <v>886</v>
      </c>
      <c r="AL20" s="145" t="s">
        <v>3853</v>
      </c>
      <c r="AM20" s="143" t="s">
        <v>889</v>
      </c>
      <c r="AN20" s="160">
        <v>45473</v>
      </c>
      <c r="AO20" s="160">
        <v>45473</v>
      </c>
      <c r="AP20" s="145" t="s">
        <v>3853</v>
      </c>
      <c r="AQ20" s="144">
        <v>426176</v>
      </c>
      <c r="AR20" s="143" t="s">
        <v>3715</v>
      </c>
      <c r="AS20" s="145" t="s">
        <v>3853</v>
      </c>
      <c r="AT20" s="144">
        <v>328.53909999999996</v>
      </c>
      <c r="AU20" s="144">
        <v>328.53907839999999</v>
      </c>
      <c r="AV20" s="145" t="s">
        <v>3853</v>
      </c>
      <c r="AW20" s="145" t="s">
        <v>3853</v>
      </c>
      <c r="AX20" s="145" t="s">
        <v>3853</v>
      </c>
      <c r="AY20" s="145" t="s">
        <v>3853</v>
      </c>
      <c r="AZ20" s="146">
        <v>1.7811931708659585E-2</v>
      </c>
      <c r="BA20" s="147">
        <v>4.9606077674943809E-4</v>
      </c>
      <c r="BB20" s="181"/>
    </row>
    <row r="21" spans="1:54" ht="15" x14ac:dyDescent="0.2">
      <c r="A21" s="142" t="s">
        <v>1205</v>
      </c>
      <c r="B21" s="143" t="s">
        <v>1205</v>
      </c>
      <c r="C21" s="145" t="s">
        <v>3853</v>
      </c>
      <c r="D21" s="145" t="s">
        <v>3853</v>
      </c>
      <c r="E21" s="145" t="s">
        <v>3853</v>
      </c>
      <c r="F21" s="143" t="s">
        <v>3716</v>
      </c>
      <c r="G21" s="143" t="s">
        <v>1012</v>
      </c>
      <c r="H21" s="145" t="s">
        <v>3853</v>
      </c>
      <c r="I21" s="143" t="s">
        <v>204</v>
      </c>
      <c r="J21" s="145" t="s">
        <v>3853</v>
      </c>
      <c r="K21" s="143" t="s">
        <v>443</v>
      </c>
      <c r="L21" s="143" t="s">
        <v>339</v>
      </c>
      <c r="M21" s="143" t="s">
        <v>338</v>
      </c>
      <c r="N21" s="145" t="s">
        <v>3853</v>
      </c>
      <c r="O21" s="143" t="s">
        <v>3717</v>
      </c>
      <c r="P21" s="143" t="s">
        <v>2021</v>
      </c>
      <c r="Q21" s="143" t="s">
        <v>312</v>
      </c>
      <c r="R21" s="143" t="s">
        <v>408</v>
      </c>
      <c r="S21" s="143" t="s">
        <v>1210</v>
      </c>
      <c r="T21" s="144">
        <v>7.0000000000000007E-2</v>
      </c>
      <c r="U21" s="165" t="s">
        <v>823</v>
      </c>
      <c r="V21" s="146">
        <v>8.3000000000000004E-2</v>
      </c>
      <c r="W21" s="145" t="s">
        <v>3853</v>
      </c>
      <c r="X21" s="145" t="s">
        <v>3853</v>
      </c>
      <c r="Y21" s="166">
        <v>0</v>
      </c>
      <c r="Z21" s="146">
        <v>8.3900000000000002E-2</v>
      </c>
      <c r="AA21" s="143" t="s">
        <v>3718</v>
      </c>
      <c r="AB21" s="143" t="s">
        <v>412</v>
      </c>
      <c r="AC21" s="145" t="s">
        <v>3853</v>
      </c>
      <c r="AD21" s="145" t="s">
        <v>3853</v>
      </c>
      <c r="AE21" s="168">
        <v>0.75</v>
      </c>
      <c r="AF21" s="143" t="s">
        <v>3719</v>
      </c>
      <c r="AG21" s="145" t="s">
        <v>3853</v>
      </c>
      <c r="AH21" s="145" t="s">
        <v>3853</v>
      </c>
      <c r="AI21" s="145" t="s">
        <v>3853</v>
      </c>
      <c r="AJ21" s="143" t="s">
        <v>338</v>
      </c>
      <c r="AK21" s="143" t="s">
        <v>886</v>
      </c>
      <c r="AL21" s="145" t="s">
        <v>3853</v>
      </c>
      <c r="AM21" s="143" t="s">
        <v>889</v>
      </c>
      <c r="AN21" s="160">
        <v>45473</v>
      </c>
      <c r="AO21" s="160">
        <v>45473</v>
      </c>
      <c r="AP21" s="145" t="s">
        <v>3853</v>
      </c>
      <c r="AQ21" s="144">
        <v>304000</v>
      </c>
      <c r="AR21" s="143" t="s">
        <v>1573</v>
      </c>
      <c r="AS21" s="145" t="s">
        <v>3853</v>
      </c>
      <c r="AT21" s="144">
        <v>308.4384</v>
      </c>
      <c r="AU21" s="144">
        <v>308.4384</v>
      </c>
      <c r="AV21" s="145" t="s">
        <v>3853</v>
      </c>
      <c r="AW21" s="145" t="s">
        <v>3853</v>
      </c>
      <c r="AX21" s="145" t="s">
        <v>3853</v>
      </c>
      <c r="AY21" s="145" t="s">
        <v>3853</v>
      </c>
      <c r="AZ21" s="146">
        <v>1.6722162075463558E-2</v>
      </c>
      <c r="BA21" s="147">
        <v>4.6571078554335496E-4</v>
      </c>
      <c r="BB21" s="181"/>
    </row>
    <row r="22" spans="1:54" ht="15" x14ac:dyDescent="0.2">
      <c r="A22" s="142" t="s">
        <v>1205</v>
      </c>
      <c r="B22" s="143" t="s">
        <v>1205</v>
      </c>
      <c r="C22" s="145" t="s">
        <v>3853</v>
      </c>
      <c r="D22" s="145" t="s">
        <v>3853</v>
      </c>
      <c r="E22" s="145" t="s">
        <v>3853</v>
      </c>
      <c r="F22" s="143" t="s">
        <v>3720</v>
      </c>
      <c r="G22" s="143" t="s">
        <v>1012</v>
      </c>
      <c r="H22" s="145" t="s">
        <v>3853</v>
      </c>
      <c r="I22" s="143" t="s">
        <v>204</v>
      </c>
      <c r="J22" s="145" t="s">
        <v>3853</v>
      </c>
      <c r="K22" s="143" t="s">
        <v>448</v>
      </c>
      <c r="L22" s="143" t="s">
        <v>339</v>
      </c>
      <c r="M22" s="143" t="s">
        <v>338</v>
      </c>
      <c r="N22" s="145" t="s">
        <v>3853</v>
      </c>
      <c r="O22" s="143" t="s">
        <v>3669</v>
      </c>
      <c r="P22" s="145" t="s">
        <v>3853</v>
      </c>
      <c r="Q22" s="143" t="s">
        <v>410</v>
      </c>
      <c r="R22" s="143" t="s">
        <v>410</v>
      </c>
      <c r="S22" s="143" t="s">
        <v>1210</v>
      </c>
      <c r="T22" s="144">
        <v>6.35</v>
      </c>
      <c r="U22" s="169" t="s">
        <v>824</v>
      </c>
      <c r="V22" s="146">
        <v>2.3505000000000002E-2</v>
      </c>
      <c r="W22" s="145" t="s">
        <v>3853</v>
      </c>
      <c r="X22" s="145" t="s">
        <v>3853</v>
      </c>
      <c r="Y22" s="166">
        <v>0</v>
      </c>
      <c r="Z22" s="146">
        <v>2.3400000000000001E-2</v>
      </c>
      <c r="AA22" s="143" t="s">
        <v>3676</v>
      </c>
      <c r="AB22" s="143" t="s">
        <v>412</v>
      </c>
      <c r="AC22" s="145" t="s">
        <v>3853</v>
      </c>
      <c r="AD22" s="145" t="s">
        <v>3853</v>
      </c>
      <c r="AE22" s="145" t="s">
        <v>3853</v>
      </c>
      <c r="AF22" s="145" t="s">
        <v>3853</v>
      </c>
      <c r="AG22" s="145" t="s">
        <v>3853</v>
      </c>
      <c r="AH22" s="145" t="s">
        <v>3853</v>
      </c>
      <c r="AI22" s="145" t="s">
        <v>3853</v>
      </c>
      <c r="AJ22" s="143" t="s">
        <v>339</v>
      </c>
      <c r="AK22" s="143" t="s">
        <v>886</v>
      </c>
      <c r="AL22" s="145" t="s">
        <v>3853</v>
      </c>
      <c r="AM22" s="143" t="s">
        <v>889</v>
      </c>
      <c r="AN22" s="160">
        <v>45473</v>
      </c>
      <c r="AO22" s="160">
        <v>45473</v>
      </c>
      <c r="AP22" s="145" t="s">
        <v>3853</v>
      </c>
      <c r="AQ22" s="144">
        <v>249072.11</v>
      </c>
      <c r="AR22" s="143" t="s">
        <v>3721</v>
      </c>
      <c r="AS22" s="145" t="s">
        <v>3853</v>
      </c>
      <c r="AT22" s="144">
        <v>288.10169999999999</v>
      </c>
      <c r="AU22" s="144">
        <v>288.10170960000005</v>
      </c>
      <c r="AV22" s="145" t="s">
        <v>3853</v>
      </c>
      <c r="AW22" s="145" t="s">
        <v>3853</v>
      </c>
      <c r="AX22" s="145" t="s">
        <v>3853</v>
      </c>
      <c r="AY22" s="145" t="s">
        <v>3853</v>
      </c>
      <c r="AZ22" s="146">
        <v>1.5619596920383633E-2</v>
      </c>
      <c r="BA22" s="147">
        <v>4.3500444014568494E-4</v>
      </c>
      <c r="BB22" s="181"/>
    </row>
    <row r="23" spans="1:54" ht="15" x14ac:dyDescent="0.2">
      <c r="A23" s="142" t="s">
        <v>1205</v>
      </c>
      <c r="B23" s="143" t="s">
        <v>1205</v>
      </c>
      <c r="C23" s="145" t="s">
        <v>3853</v>
      </c>
      <c r="D23" s="145" t="s">
        <v>3853</v>
      </c>
      <c r="E23" s="145" t="s">
        <v>3853</v>
      </c>
      <c r="F23" s="143" t="s">
        <v>3722</v>
      </c>
      <c r="G23" s="143" t="s">
        <v>1012</v>
      </c>
      <c r="H23" s="143" t="s">
        <v>784</v>
      </c>
      <c r="I23" s="143" t="s">
        <v>204</v>
      </c>
      <c r="J23" s="145" t="s">
        <v>3853</v>
      </c>
      <c r="K23" s="143" t="s">
        <v>443</v>
      </c>
      <c r="L23" s="143" t="s">
        <v>339</v>
      </c>
      <c r="M23" s="143" t="s">
        <v>338</v>
      </c>
      <c r="N23" s="145" t="s">
        <v>3853</v>
      </c>
      <c r="O23" s="143" t="s">
        <v>3723</v>
      </c>
      <c r="P23" s="145" t="s">
        <v>3853</v>
      </c>
      <c r="Q23" s="143" t="s">
        <v>410</v>
      </c>
      <c r="R23" s="143" t="s">
        <v>410</v>
      </c>
      <c r="S23" s="143" t="s">
        <v>1210</v>
      </c>
      <c r="T23" s="144">
        <v>2.17</v>
      </c>
      <c r="U23" s="169" t="s">
        <v>823</v>
      </c>
      <c r="V23" s="146">
        <v>8.2500000000000004E-2</v>
      </c>
      <c r="W23" s="145" t="s">
        <v>3853</v>
      </c>
      <c r="X23" s="145" t="s">
        <v>3853</v>
      </c>
      <c r="Y23" s="166">
        <v>0</v>
      </c>
      <c r="Z23" s="146">
        <v>7.0699999999999999E-2</v>
      </c>
      <c r="AA23" s="143" t="s">
        <v>3724</v>
      </c>
      <c r="AB23" s="143" t="s">
        <v>412</v>
      </c>
      <c r="AC23" s="145" t="s">
        <v>3853</v>
      </c>
      <c r="AD23" s="145" t="s">
        <v>3853</v>
      </c>
      <c r="AE23" s="168">
        <v>0.62</v>
      </c>
      <c r="AF23" s="143" t="s">
        <v>3725</v>
      </c>
      <c r="AG23" s="145" t="s">
        <v>3853</v>
      </c>
      <c r="AH23" s="145" t="s">
        <v>3853</v>
      </c>
      <c r="AI23" s="145" t="s">
        <v>3853</v>
      </c>
      <c r="AJ23" s="143" t="s">
        <v>338</v>
      </c>
      <c r="AK23" s="143" t="s">
        <v>886</v>
      </c>
      <c r="AL23" s="145" t="s">
        <v>3853</v>
      </c>
      <c r="AM23" s="143" t="s">
        <v>889</v>
      </c>
      <c r="AN23" s="160">
        <v>45473</v>
      </c>
      <c r="AO23" s="160">
        <v>45473</v>
      </c>
      <c r="AP23" s="145" t="s">
        <v>3853</v>
      </c>
      <c r="AQ23" s="144">
        <v>261564</v>
      </c>
      <c r="AR23" s="143" t="s">
        <v>3726</v>
      </c>
      <c r="AS23" s="145" t="s">
        <v>3853</v>
      </c>
      <c r="AT23" s="144">
        <v>274.40679999999998</v>
      </c>
      <c r="AU23" s="144">
        <v>274.40679239999997</v>
      </c>
      <c r="AV23" s="145" t="s">
        <v>3853</v>
      </c>
      <c r="AW23" s="145" t="s">
        <v>3853</v>
      </c>
      <c r="AX23" s="145" t="s">
        <v>3853</v>
      </c>
      <c r="AY23" s="145" t="s">
        <v>3853</v>
      </c>
      <c r="AZ23" s="146">
        <v>1.4877119246892999E-2</v>
      </c>
      <c r="BA23" s="147">
        <v>4.1432650035480773E-4</v>
      </c>
      <c r="BB23" s="181"/>
    </row>
    <row r="24" spans="1:54" ht="15" x14ac:dyDescent="0.2">
      <c r="A24" s="142" t="s">
        <v>1205</v>
      </c>
      <c r="B24" s="143" t="s">
        <v>1205</v>
      </c>
      <c r="C24" s="145" t="s">
        <v>3853</v>
      </c>
      <c r="D24" s="145" t="s">
        <v>3853</v>
      </c>
      <c r="E24" s="145" t="s">
        <v>3853</v>
      </c>
      <c r="F24" s="143" t="s">
        <v>3727</v>
      </c>
      <c r="G24" s="143" t="s">
        <v>1012</v>
      </c>
      <c r="H24" s="145" t="s">
        <v>3853</v>
      </c>
      <c r="I24" s="143" t="s">
        <v>204</v>
      </c>
      <c r="J24" s="145" t="s">
        <v>3853</v>
      </c>
      <c r="K24" s="143" t="s">
        <v>440</v>
      </c>
      <c r="L24" s="143" t="s">
        <v>339</v>
      </c>
      <c r="M24" s="143" t="s">
        <v>338</v>
      </c>
      <c r="N24" s="145" t="s">
        <v>3853</v>
      </c>
      <c r="O24" s="143" t="s">
        <v>3728</v>
      </c>
      <c r="P24" s="143" t="s">
        <v>1359</v>
      </c>
      <c r="Q24" s="143" t="s">
        <v>415</v>
      </c>
      <c r="R24" s="143" t="s">
        <v>408</v>
      </c>
      <c r="S24" s="143" t="s">
        <v>1211</v>
      </c>
      <c r="T24" s="144">
        <v>1.28</v>
      </c>
      <c r="U24" s="169" t="s">
        <v>823</v>
      </c>
      <c r="V24" s="146">
        <v>0</v>
      </c>
      <c r="W24" s="145" t="s">
        <v>3853</v>
      </c>
      <c r="X24" s="145" t="s">
        <v>3853</v>
      </c>
      <c r="Y24" s="166">
        <v>0</v>
      </c>
      <c r="Z24" s="146">
        <v>8.48E-2</v>
      </c>
      <c r="AA24" s="143" t="s">
        <v>1514</v>
      </c>
      <c r="AB24" s="143" t="s">
        <v>412</v>
      </c>
      <c r="AC24" s="145" t="s">
        <v>3853</v>
      </c>
      <c r="AD24" s="145" t="s">
        <v>3853</v>
      </c>
      <c r="AE24" s="168">
        <v>0.35</v>
      </c>
      <c r="AF24" s="143" t="s">
        <v>3729</v>
      </c>
      <c r="AG24" s="145" t="s">
        <v>3853</v>
      </c>
      <c r="AH24" s="145" t="s">
        <v>3853</v>
      </c>
      <c r="AI24" s="145" t="s">
        <v>3853</v>
      </c>
      <c r="AJ24" s="143" t="s">
        <v>338</v>
      </c>
      <c r="AK24" s="143" t="s">
        <v>886</v>
      </c>
      <c r="AL24" s="145" t="s">
        <v>3853</v>
      </c>
      <c r="AM24" s="143" t="s">
        <v>889</v>
      </c>
      <c r="AN24" s="160">
        <v>45473</v>
      </c>
      <c r="AO24" s="160">
        <v>45473</v>
      </c>
      <c r="AP24" s="145" t="s">
        <v>3853</v>
      </c>
      <c r="AQ24" s="144">
        <v>69447.75</v>
      </c>
      <c r="AR24" s="143" t="s">
        <v>3730</v>
      </c>
      <c r="AS24" s="143" t="s">
        <v>1212</v>
      </c>
      <c r="AT24" s="144">
        <v>264.31729999999999</v>
      </c>
      <c r="AU24" s="144">
        <v>70.315846900000011</v>
      </c>
      <c r="AV24" s="145" t="s">
        <v>3853</v>
      </c>
      <c r="AW24" s="145" t="s">
        <v>3853</v>
      </c>
      <c r="AX24" s="145" t="s">
        <v>3853</v>
      </c>
      <c r="AY24" s="145" t="s">
        <v>3853</v>
      </c>
      <c r="AZ24" s="146">
        <v>1.4330110004399125E-2</v>
      </c>
      <c r="BA24" s="147">
        <v>3.9909233967201603E-4</v>
      </c>
      <c r="BB24" s="181"/>
    </row>
    <row r="25" spans="1:54" ht="15" x14ac:dyDescent="0.2">
      <c r="A25" s="142" t="s">
        <v>1205</v>
      </c>
      <c r="B25" s="143" t="s">
        <v>1205</v>
      </c>
      <c r="C25" s="145" t="s">
        <v>3853</v>
      </c>
      <c r="D25" s="145" t="s">
        <v>3853</v>
      </c>
      <c r="E25" s="145" t="s">
        <v>3853</v>
      </c>
      <c r="F25" s="143" t="s">
        <v>3731</v>
      </c>
      <c r="G25" s="143" t="s">
        <v>1012</v>
      </c>
      <c r="H25" s="145" t="s">
        <v>3853</v>
      </c>
      <c r="I25" s="143" t="s">
        <v>204</v>
      </c>
      <c r="J25" s="145" t="s">
        <v>3853</v>
      </c>
      <c r="K25" s="143" t="s">
        <v>448</v>
      </c>
      <c r="L25" s="143" t="s">
        <v>339</v>
      </c>
      <c r="M25" s="143" t="s">
        <v>338</v>
      </c>
      <c r="N25" s="145" t="s">
        <v>3853</v>
      </c>
      <c r="O25" s="143" t="s">
        <v>3669</v>
      </c>
      <c r="P25" s="145" t="s">
        <v>3853</v>
      </c>
      <c r="Q25" s="143" t="s">
        <v>410</v>
      </c>
      <c r="R25" s="143" t="s">
        <v>410</v>
      </c>
      <c r="S25" s="143" t="s">
        <v>1210</v>
      </c>
      <c r="T25" s="144">
        <v>6.49</v>
      </c>
      <c r="U25" s="169" t="s">
        <v>823</v>
      </c>
      <c r="V25" s="146">
        <v>3.2063000000000001E-2</v>
      </c>
      <c r="W25" s="145" t="s">
        <v>3853</v>
      </c>
      <c r="X25" s="145" t="s">
        <v>3853</v>
      </c>
      <c r="Y25" s="166">
        <v>0</v>
      </c>
      <c r="Z25" s="146">
        <v>6.3600000000000004E-2</v>
      </c>
      <c r="AA25" s="143" t="s">
        <v>3676</v>
      </c>
      <c r="AB25" s="143" t="s">
        <v>412</v>
      </c>
      <c r="AC25" s="145" t="s">
        <v>3853</v>
      </c>
      <c r="AD25" s="145" t="s">
        <v>3853</v>
      </c>
      <c r="AE25" s="145" t="s">
        <v>3853</v>
      </c>
      <c r="AF25" s="145" t="s">
        <v>3853</v>
      </c>
      <c r="AG25" s="145" t="s">
        <v>3853</v>
      </c>
      <c r="AH25" s="145" t="s">
        <v>3853</v>
      </c>
      <c r="AI25" s="145" t="s">
        <v>3853</v>
      </c>
      <c r="AJ25" s="143" t="s">
        <v>339</v>
      </c>
      <c r="AK25" s="143" t="s">
        <v>886</v>
      </c>
      <c r="AL25" s="145" t="s">
        <v>3853</v>
      </c>
      <c r="AM25" s="143" t="s">
        <v>889</v>
      </c>
      <c r="AN25" s="160">
        <v>45473</v>
      </c>
      <c r="AO25" s="160">
        <v>45473</v>
      </c>
      <c r="AP25" s="145" t="s">
        <v>3853</v>
      </c>
      <c r="AQ25" s="144">
        <v>197064.62</v>
      </c>
      <c r="AR25" s="143" t="s">
        <v>3732</v>
      </c>
      <c r="AS25" s="145" t="s">
        <v>3853</v>
      </c>
      <c r="AT25" s="144">
        <v>227.452</v>
      </c>
      <c r="AU25" s="144">
        <v>227.45198440000001</v>
      </c>
      <c r="AV25" s="145" t="s">
        <v>3853</v>
      </c>
      <c r="AW25" s="145" t="s">
        <v>3853</v>
      </c>
      <c r="AX25" s="145" t="s">
        <v>3853</v>
      </c>
      <c r="AY25" s="145" t="s">
        <v>3853</v>
      </c>
      <c r="AZ25" s="146">
        <v>1.2331437809265959E-2</v>
      </c>
      <c r="BA25" s="147">
        <v>3.4342948974635379E-4</v>
      </c>
      <c r="BB25" s="181"/>
    </row>
    <row r="26" spans="1:54" ht="15" x14ac:dyDescent="0.2">
      <c r="A26" s="142" t="s">
        <v>1205</v>
      </c>
      <c r="B26" s="143" t="s">
        <v>1205</v>
      </c>
      <c r="C26" s="145" t="s">
        <v>3853</v>
      </c>
      <c r="D26" s="145" t="s">
        <v>3853</v>
      </c>
      <c r="E26" s="145" t="s">
        <v>3853</v>
      </c>
      <c r="F26" s="143" t="s">
        <v>3733</v>
      </c>
      <c r="G26" s="143" t="s">
        <v>1012</v>
      </c>
      <c r="H26" s="143" t="s">
        <v>812</v>
      </c>
      <c r="I26" s="143" t="s">
        <v>204</v>
      </c>
      <c r="J26" s="145" t="s">
        <v>3853</v>
      </c>
      <c r="K26" s="143" t="s">
        <v>454</v>
      </c>
      <c r="L26" s="143" t="s">
        <v>339</v>
      </c>
      <c r="M26" s="143" t="s">
        <v>338</v>
      </c>
      <c r="N26" s="145" t="s">
        <v>3853</v>
      </c>
      <c r="O26" s="143" t="s">
        <v>3734</v>
      </c>
      <c r="P26" s="143" t="s">
        <v>1366</v>
      </c>
      <c r="Q26" s="143" t="s">
        <v>413</v>
      </c>
      <c r="R26" s="143" t="s">
        <v>408</v>
      </c>
      <c r="S26" s="143" t="s">
        <v>1211</v>
      </c>
      <c r="T26" s="144">
        <v>2.68</v>
      </c>
      <c r="U26" s="170" t="s">
        <v>823</v>
      </c>
      <c r="V26" s="146">
        <v>0.107045</v>
      </c>
      <c r="W26" s="145" t="s">
        <v>3853</v>
      </c>
      <c r="X26" s="145" t="s">
        <v>3853</v>
      </c>
      <c r="Y26" s="166">
        <v>5.3644999999999998E-2</v>
      </c>
      <c r="Z26" s="146">
        <v>9.9500000000000005E-2</v>
      </c>
      <c r="AA26" s="143" t="s">
        <v>3690</v>
      </c>
      <c r="AB26" s="143" t="s">
        <v>412</v>
      </c>
      <c r="AC26" s="145" t="s">
        <v>3853</v>
      </c>
      <c r="AD26" s="145" t="s">
        <v>3853</v>
      </c>
      <c r="AE26" s="171">
        <v>0.76</v>
      </c>
      <c r="AF26" s="143" t="s">
        <v>3689</v>
      </c>
      <c r="AG26" s="145" t="s">
        <v>3853</v>
      </c>
      <c r="AH26" s="145" t="s">
        <v>3853</v>
      </c>
      <c r="AI26" s="145" t="s">
        <v>3853</v>
      </c>
      <c r="AJ26" s="143" t="s">
        <v>339</v>
      </c>
      <c r="AK26" s="143" t="s">
        <v>886</v>
      </c>
      <c r="AL26" s="145" t="s">
        <v>3853</v>
      </c>
      <c r="AM26" s="143" t="s">
        <v>889</v>
      </c>
      <c r="AN26" s="163">
        <v>45473</v>
      </c>
      <c r="AO26" s="163">
        <v>45473</v>
      </c>
      <c r="AP26" s="145" t="s">
        <v>3853</v>
      </c>
      <c r="AQ26" s="144">
        <v>59301.46</v>
      </c>
      <c r="AR26" s="143" t="s">
        <v>3735</v>
      </c>
      <c r="AS26" s="143" t="s">
        <v>1212</v>
      </c>
      <c r="AT26" s="144">
        <v>222.5575</v>
      </c>
      <c r="AU26" s="144">
        <v>59.206577700000004</v>
      </c>
      <c r="AV26" s="145" t="s">
        <v>3853</v>
      </c>
      <c r="AW26" s="145" t="s">
        <v>3853</v>
      </c>
      <c r="AX26" s="145" t="s">
        <v>3853</v>
      </c>
      <c r="AY26" s="145" t="s">
        <v>3853</v>
      </c>
      <c r="AZ26" s="146">
        <v>1.2066081951873244E-2</v>
      </c>
      <c r="BA26" s="147">
        <v>3.360393517823031E-4</v>
      </c>
      <c r="BB26" s="181"/>
    </row>
    <row r="27" spans="1:54" ht="15" x14ac:dyDescent="0.2">
      <c r="A27" s="142" t="s">
        <v>1205</v>
      </c>
      <c r="B27" s="143" t="s">
        <v>1205</v>
      </c>
      <c r="C27" s="145" t="s">
        <v>3853</v>
      </c>
      <c r="D27" s="145" t="s">
        <v>3853</v>
      </c>
      <c r="E27" s="145" t="s">
        <v>3853</v>
      </c>
      <c r="F27" s="143" t="s">
        <v>3736</v>
      </c>
      <c r="G27" s="143" t="s">
        <v>1012</v>
      </c>
      <c r="H27" s="143" t="s">
        <v>812</v>
      </c>
      <c r="I27" s="143" t="s">
        <v>204</v>
      </c>
      <c r="J27" s="145" t="s">
        <v>3853</v>
      </c>
      <c r="K27" s="143" t="s">
        <v>454</v>
      </c>
      <c r="L27" s="143" t="s">
        <v>339</v>
      </c>
      <c r="M27" s="143" t="s">
        <v>338</v>
      </c>
      <c r="N27" s="145" t="s">
        <v>3853</v>
      </c>
      <c r="O27" s="143" t="s">
        <v>3052</v>
      </c>
      <c r="P27" s="143" t="s">
        <v>1366</v>
      </c>
      <c r="Q27" s="143" t="s">
        <v>413</v>
      </c>
      <c r="R27" s="143" t="s">
        <v>408</v>
      </c>
      <c r="S27" s="143" t="s">
        <v>1211</v>
      </c>
      <c r="T27" s="144">
        <v>2.68</v>
      </c>
      <c r="U27" s="170" t="s">
        <v>823</v>
      </c>
      <c r="V27" s="146">
        <v>0.107045</v>
      </c>
      <c r="W27" s="145" t="s">
        <v>3853</v>
      </c>
      <c r="X27" s="145" t="s">
        <v>3853</v>
      </c>
      <c r="Y27" s="166">
        <v>5.3644999999999998E-2</v>
      </c>
      <c r="Z27" s="146">
        <v>9.9400000000000002E-2</v>
      </c>
      <c r="AA27" s="143" t="s">
        <v>3690</v>
      </c>
      <c r="AB27" s="143" t="s">
        <v>412</v>
      </c>
      <c r="AC27" s="145" t="s">
        <v>3853</v>
      </c>
      <c r="AD27" s="145" t="s">
        <v>3853</v>
      </c>
      <c r="AE27" s="171">
        <v>0.76</v>
      </c>
      <c r="AF27" s="143" t="s">
        <v>3689</v>
      </c>
      <c r="AG27" s="145" t="s">
        <v>3853</v>
      </c>
      <c r="AH27" s="145" t="s">
        <v>3853</v>
      </c>
      <c r="AI27" s="145" t="s">
        <v>3853</v>
      </c>
      <c r="AJ27" s="143" t="s">
        <v>339</v>
      </c>
      <c r="AK27" s="143" t="s">
        <v>886</v>
      </c>
      <c r="AL27" s="145" t="s">
        <v>3853</v>
      </c>
      <c r="AM27" s="143" t="s">
        <v>889</v>
      </c>
      <c r="AN27" s="163">
        <v>45473</v>
      </c>
      <c r="AO27" s="163">
        <v>45473</v>
      </c>
      <c r="AP27" s="145" t="s">
        <v>3853</v>
      </c>
      <c r="AQ27" s="144">
        <v>58679.78</v>
      </c>
      <c r="AR27" s="143" t="s">
        <v>1423</v>
      </c>
      <c r="AS27" s="143" t="s">
        <v>1212</v>
      </c>
      <c r="AT27" s="144">
        <v>220.29050000000001</v>
      </c>
      <c r="AU27" s="144">
        <v>58.603496299999996</v>
      </c>
      <c r="AV27" s="145" t="s">
        <v>3853</v>
      </c>
      <c r="AW27" s="145" t="s">
        <v>3853</v>
      </c>
      <c r="AX27" s="145" t="s">
        <v>3853</v>
      </c>
      <c r="AY27" s="145" t="s">
        <v>3853</v>
      </c>
      <c r="AZ27" s="146">
        <v>1.1943176193464222E-2</v>
      </c>
      <c r="BA27" s="147">
        <v>3.3261643690812821E-4</v>
      </c>
      <c r="BB27" s="181"/>
    </row>
    <row r="28" spans="1:54" ht="15" x14ac:dyDescent="0.2">
      <c r="A28" s="142" t="s">
        <v>1205</v>
      </c>
      <c r="B28" s="143" t="s">
        <v>1205</v>
      </c>
      <c r="C28" s="145" t="s">
        <v>3853</v>
      </c>
      <c r="D28" s="145" t="s">
        <v>3853</v>
      </c>
      <c r="E28" s="145" t="s">
        <v>3853</v>
      </c>
      <c r="F28" s="143" t="s">
        <v>3737</v>
      </c>
      <c r="G28" s="143" t="s">
        <v>1012</v>
      </c>
      <c r="H28" s="145" t="s">
        <v>3853</v>
      </c>
      <c r="I28" s="143" t="s">
        <v>204</v>
      </c>
      <c r="J28" s="145" t="s">
        <v>3853</v>
      </c>
      <c r="K28" s="143" t="s">
        <v>454</v>
      </c>
      <c r="L28" s="143" t="s">
        <v>339</v>
      </c>
      <c r="M28" s="143" t="s">
        <v>338</v>
      </c>
      <c r="N28" s="145" t="s">
        <v>3853</v>
      </c>
      <c r="O28" s="143" t="s">
        <v>3738</v>
      </c>
      <c r="P28" s="143" t="s">
        <v>1366</v>
      </c>
      <c r="Q28" s="143" t="s">
        <v>413</v>
      </c>
      <c r="R28" s="143" t="s">
        <v>408</v>
      </c>
      <c r="S28" s="143" t="s">
        <v>1211</v>
      </c>
      <c r="T28" s="144">
        <v>2.54</v>
      </c>
      <c r="U28" s="170" t="s">
        <v>823</v>
      </c>
      <c r="V28" s="146">
        <v>0.10489999999999999</v>
      </c>
      <c r="W28" s="145" t="s">
        <v>3853</v>
      </c>
      <c r="X28" s="145" t="s">
        <v>3853</v>
      </c>
      <c r="Y28" s="166">
        <v>0</v>
      </c>
      <c r="Z28" s="146">
        <v>8.4500000000000006E-2</v>
      </c>
      <c r="AA28" s="143" t="s">
        <v>1544</v>
      </c>
      <c r="AB28" s="143" t="s">
        <v>412</v>
      </c>
      <c r="AC28" s="145" t="s">
        <v>3853</v>
      </c>
      <c r="AD28" s="145" t="s">
        <v>3853</v>
      </c>
      <c r="AE28" s="145" t="s">
        <v>3853</v>
      </c>
      <c r="AF28" s="145" t="s">
        <v>3853</v>
      </c>
      <c r="AG28" s="145" t="s">
        <v>3853</v>
      </c>
      <c r="AH28" s="145" t="s">
        <v>3853</v>
      </c>
      <c r="AI28" s="145" t="s">
        <v>3853</v>
      </c>
      <c r="AJ28" s="145" t="s">
        <v>3853</v>
      </c>
      <c r="AK28" s="143" t="s">
        <v>886</v>
      </c>
      <c r="AL28" s="145" t="s">
        <v>3853</v>
      </c>
      <c r="AM28" s="143" t="s">
        <v>889</v>
      </c>
      <c r="AN28" s="163">
        <v>44861</v>
      </c>
      <c r="AO28" s="163">
        <v>44861</v>
      </c>
      <c r="AP28" s="145" t="s">
        <v>3853</v>
      </c>
      <c r="AQ28" s="144">
        <v>55751</v>
      </c>
      <c r="AR28" s="143" t="s">
        <v>1532</v>
      </c>
      <c r="AS28" s="143" t="s">
        <v>1212</v>
      </c>
      <c r="AT28" s="144">
        <v>209.56800000000001</v>
      </c>
      <c r="AU28" s="144">
        <v>55.750999999999998</v>
      </c>
      <c r="AV28" s="145" t="s">
        <v>3853</v>
      </c>
      <c r="AW28" s="145" t="s">
        <v>3853</v>
      </c>
      <c r="AX28" s="145" t="s">
        <v>3853</v>
      </c>
      <c r="AY28" s="145" t="s">
        <v>3853</v>
      </c>
      <c r="AZ28" s="146">
        <v>1.1361847981088625E-2</v>
      </c>
      <c r="BA28" s="147">
        <v>3.1642649584535156E-4</v>
      </c>
      <c r="BB28" s="181"/>
    </row>
    <row r="29" spans="1:54" ht="15" x14ac:dyDescent="0.2">
      <c r="A29" s="142" t="s">
        <v>1205</v>
      </c>
      <c r="B29" s="143" t="s">
        <v>1205</v>
      </c>
      <c r="C29" s="145" t="s">
        <v>3853</v>
      </c>
      <c r="D29" s="145" t="s">
        <v>3853</v>
      </c>
      <c r="E29" s="145" t="s">
        <v>3853</v>
      </c>
      <c r="F29" s="143" t="s">
        <v>3739</v>
      </c>
      <c r="G29" s="143" t="s">
        <v>1012</v>
      </c>
      <c r="H29" s="143" t="s">
        <v>801</v>
      </c>
      <c r="I29" s="143" t="s">
        <v>204</v>
      </c>
      <c r="J29" s="145" t="s">
        <v>3853</v>
      </c>
      <c r="K29" s="143" t="s">
        <v>443</v>
      </c>
      <c r="L29" s="143" t="s">
        <v>339</v>
      </c>
      <c r="M29" s="143" t="s">
        <v>338</v>
      </c>
      <c r="N29" s="145" t="s">
        <v>3853</v>
      </c>
      <c r="O29" s="143" t="s">
        <v>3689</v>
      </c>
      <c r="P29" s="145" t="s">
        <v>3853</v>
      </c>
      <c r="Q29" s="143" t="s">
        <v>410</v>
      </c>
      <c r="R29" s="143" t="s">
        <v>410</v>
      </c>
      <c r="S29" s="143" t="s">
        <v>1210</v>
      </c>
      <c r="T29" s="144">
        <v>2.2999999999999998</v>
      </c>
      <c r="U29" s="170" t="s">
        <v>824</v>
      </c>
      <c r="V29" s="146">
        <v>4.7500000000000001E-2</v>
      </c>
      <c r="W29" s="145" t="s">
        <v>3853</v>
      </c>
      <c r="X29" s="145" t="s">
        <v>3853</v>
      </c>
      <c r="Y29" s="166">
        <v>4.7500000000000001E-2</v>
      </c>
      <c r="Z29" s="146">
        <v>5.5199999999999999E-2</v>
      </c>
      <c r="AA29" s="143" t="s">
        <v>3685</v>
      </c>
      <c r="AB29" s="143" t="s">
        <v>412</v>
      </c>
      <c r="AC29" s="145" t="s">
        <v>3853</v>
      </c>
      <c r="AD29" s="145" t="s">
        <v>3853</v>
      </c>
      <c r="AE29" s="171">
        <v>0.17</v>
      </c>
      <c r="AF29" s="143" t="s">
        <v>3686</v>
      </c>
      <c r="AG29" s="145" t="s">
        <v>3853</v>
      </c>
      <c r="AH29" s="145" t="s">
        <v>3853</v>
      </c>
      <c r="AI29" s="145" t="s">
        <v>3853</v>
      </c>
      <c r="AJ29" s="143" t="s">
        <v>339</v>
      </c>
      <c r="AK29" s="143" t="s">
        <v>886</v>
      </c>
      <c r="AL29" s="145" t="s">
        <v>3853</v>
      </c>
      <c r="AM29" s="143" t="s">
        <v>889</v>
      </c>
      <c r="AN29" s="163">
        <v>45473</v>
      </c>
      <c r="AO29" s="163">
        <v>45473</v>
      </c>
      <c r="AP29" s="145" t="s">
        <v>3853</v>
      </c>
      <c r="AQ29" s="144">
        <v>178722.33</v>
      </c>
      <c r="AR29" s="143" t="s">
        <v>3740</v>
      </c>
      <c r="AS29" s="145" t="s">
        <v>3853</v>
      </c>
      <c r="AT29" s="144">
        <v>194.16389999999998</v>
      </c>
      <c r="AU29" s="144">
        <v>194.16393930000001</v>
      </c>
      <c r="AV29" s="145" t="s">
        <v>3853</v>
      </c>
      <c r="AW29" s="145" t="s">
        <v>3853</v>
      </c>
      <c r="AX29" s="145" t="s">
        <v>3853</v>
      </c>
      <c r="AY29" s="145" t="s">
        <v>3853</v>
      </c>
      <c r="AZ29" s="146">
        <v>1.0526707642063161E-2</v>
      </c>
      <c r="BA29" s="147">
        <v>2.9316790873374981E-4</v>
      </c>
      <c r="BB29" s="181"/>
    </row>
    <row r="30" spans="1:54" ht="15" x14ac:dyDescent="0.2">
      <c r="A30" s="142" t="s">
        <v>1205</v>
      </c>
      <c r="B30" s="143" t="s">
        <v>1205</v>
      </c>
      <c r="C30" s="145" t="s">
        <v>3853</v>
      </c>
      <c r="D30" s="145" t="s">
        <v>3853</v>
      </c>
      <c r="E30" s="145" t="s">
        <v>3853</v>
      </c>
      <c r="F30" s="143" t="s">
        <v>3741</v>
      </c>
      <c r="G30" s="143" t="s">
        <v>1012</v>
      </c>
      <c r="H30" s="143" t="s">
        <v>812</v>
      </c>
      <c r="I30" s="143" t="s">
        <v>204</v>
      </c>
      <c r="J30" s="145" t="s">
        <v>3853</v>
      </c>
      <c r="K30" s="143" t="s">
        <v>454</v>
      </c>
      <c r="L30" s="143" t="s">
        <v>339</v>
      </c>
      <c r="M30" s="143" t="s">
        <v>338</v>
      </c>
      <c r="N30" s="145" t="s">
        <v>3853</v>
      </c>
      <c r="O30" s="143" t="s">
        <v>3742</v>
      </c>
      <c r="P30" s="143" t="s">
        <v>1366</v>
      </c>
      <c r="Q30" s="143" t="s">
        <v>413</v>
      </c>
      <c r="R30" s="143" t="s">
        <v>408</v>
      </c>
      <c r="S30" s="143" t="s">
        <v>1211</v>
      </c>
      <c r="T30" s="144">
        <v>2.67</v>
      </c>
      <c r="U30" s="170" t="s">
        <v>823</v>
      </c>
      <c r="V30" s="146">
        <v>0.107045</v>
      </c>
      <c r="W30" s="145" t="s">
        <v>3853</v>
      </c>
      <c r="X30" s="145" t="s">
        <v>3853</v>
      </c>
      <c r="Y30" s="166">
        <v>5.3644999999999998E-2</v>
      </c>
      <c r="Z30" s="146">
        <v>9.9900000000000003E-2</v>
      </c>
      <c r="AA30" s="143" t="s">
        <v>3690</v>
      </c>
      <c r="AB30" s="143" t="s">
        <v>412</v>
      </c>
      <c r="AC30" s="145" t="s">
        <v>3853</v>
      </c>
      <c r="AD30" s="145" t="s">
        <v>3853</v>
      </c>
      <c r="AE30" s="171">
        <v>0.76</v>
      </c>
      <c r="AF30" s="143" t="s">
        <v>3689</v>
      </c>
      <c r="AG30" s="145" t="s">
        <v>3853</v>
      </c>
      <c r="AH30" s="145" t="s">
        <v>3853</v>
      </c>
      <c r="AI30" s="145" t="s">
        <v>3853</v>
      </c>
      <c r="AJ30" s="143" t="s">
        <v>339</v>
      </c>
      <c r="AK30" s="143" t="s">
        <v>886</v>
      </c>
      <c r="AL30" s="145" t="s">
        <v>3853</v>
      </c>
      <c r="AM30" s="143" t="s">
        <v>889</v>
      </c>
      <c r="AN30" s="163">
        <v>45473</v>
      </c>
      <c r="AO30" s="163">
        <v>45473</v>
      </c>
      <c r="AP30" s="145" t="s">
        <v>3853</v>
      </c>
      <c r="AQ30" s="144">
        <v>32579.13</v>
      </c>
      <c r="AR30" s="143" t="s">
        <v>3743</v>
      </c>
      <c r="AS30" s="143" t="s">
        <v>1212</v>
      </c>
      <c r="AT30" s="144">
        <v>122.1465</v>
      </c>
      <c r="AU30" s="144">
        <v>32.494424299999999</v>
      </c>
      <c r="AV30" s="145" t="s">
        <v>3853</v>
      </c>
      <c r="AW30" s="145" t="s">
        <v>3853</v>
      </c>
      <c r="AX30" s="145" t="s">
        <v>3853</v>
      </c>
      <c r="AY30" s="145" t="s">
        <v>3853</v>
      </c>
      <c r="AZ30" s="146">
        <v>6.6222437032132505E-3</v>
      </c>
      <c r="BA30" s="147">
        <v>1.8442892152135089E-4</v>
      </c>
      <c r="BB30" s="181"/>
    </row>
    <row r="31" spans="1:54" ht="15" x14ac:dyDescent="0.2">
      <c r="A31" s="142" t="s">
        <v>1205</v>
      </c>
      <c r="B31" s="143" t="s">
        <v>1205</v>
      </c>
      <c r="C31" s="145" t="s">
        <v>3853</v>
      </c>
      <c r="D31" s="145" t="s">
        <v>3853</v>
      </c>
      <c r="E31" s="145" t="s">
        <v>3853</v>
      </c>
      <c r="F31" s="143" t="s">
        <v>3744</v>
      </c>
      <c r="G31" s="143" t="s">
        <v>1012</v>
      </c>
      <c r="H31" s="145" t="s">
        <v>3853</v>
      </c>
      <c r="I31" s="143" t="s">
        <v>204</v>
      </c>
      <c r="J31" s="145" t="s">
        <v>3853</v>
      </c>
      <c r="K31" s="143" t="s">
        <v>440</v>
      </c>
      <c r="L31" s="143" t="s">
        <v>339</v>
      </c>
      <c r="M31" s="143" t="s">
        <v>338</v>
      </c>
      <c r="N31" s="145" t="s">
        <v>3853</v>
      </c>
      <c r="O31" s="143" t="s">
        <v>3745</v>
      </c>
      <c r="P31" s="143" t="s">
        <v>1627</v>
      </c>
      <c r="Q31" s="143" t="s">
        <v>415</v>
      </c>
      <c r="R31" s="143" t="s">
        <v>408</v>
      </c>
      <c r="S31" s="143" t="s">
        <v>1210</v>
      </c>
      <c r="T31" s="144">
        <v>8.09</v>
      </c>
      <c r="U31" s="170" t="s">
        <v>824</v>
      </c>
      <c r="V31" s="146">
        <v>0</v>
      </c>
      <c r="W31" s="145" t="s">
        <v>3853</v>
      </c>
      <c r="X31" s="145" t="s">
        <v>3853</v>
      </c>
      <c r="Y31" s="166">
        <v>0</v>
      </c>
      <c r="Z31" s="146">
        <v>4.02E-2</v>
      </c>
      <c r="AA31" s="143" t="s">
        <v>3680</v>
      </c>
      <c r="AB31" s="143" t="s">
        <v>412</v>
      </c>
      <c r="AC31" s="145" t="s">
        <v>3853</v>
      </c>
      <c r="AD31" s="145" t="s">
        <v>3853</v>
      </c>
      <c r="AE31" s="171">
        <v>0.75</v>
      </c>
      <c r="AF31" s="143" t="s">
        <v>3662</v>
      </c>
      <c r="AG31" s="145" t="s">
        <v>3853</v>
      </c>
      <c r="AH31" s="145" t="s">
        <v>3853</v>
      </c>
      <c r="AI31" s="145" t="s">
        <v>3853</v>
      </c>
      <c r="AJ31" s="143" t="s">
        <v>338</v>
      </c>
      <c r="AK31" s="143" t="s">
        <v>886</v>
      </c>
      <c r="AL31" s="145" t="s">
        <v>3853</v>
      </c>
      <c r="AM31" s="143" t="s">
        <v>889</v>
      </c>
      <c r="AN31" s="163">
        <v>45473</v>
      </c>
      <c r="AO31" s="163">
        <v>45473</v>
      </c>
      <c r="AP31" s="145" t="s">
        <v>3853</v>
      </c>
      <c r="AQ31" s="144">
        <v>112047.34</v>
      </c>
      <c r="AR31" s="143" t="s">
        <v>3746</v>
      </c>
      <c r="AS31" s="145" t="s">
        <v>3853</v>
      </c>
      <c r="AT31" s="144">
        <v>110.44510000000001</v>
      </c>
      <c r="AU31" s="144">
        <v>110.445063</v>
      </c>
      <c r="AV31" s="145" t="s">
        <v>3853</v>
      </c>
      <c r="AW31" s="145" t="s">
        <v>3853</v>
      </c>
      <c r="AX31" s="145" t="s">
        <v>3853</v>
      </c>
      <c r="AY31" s="145" t="s">
        <v>3853</v>
      </c>
      <c r="AZ31" s="146">
        <v>5.9878414767948005E-3</v>
      </c>
      <c r="BA31" s="147">
        <v>1.6676087370059092E-4</v>
      </c>
      <c r="BB31" s="181"/>
    </row>
    <row r="32" spans="1:54" ht="15" x14ac:dyDescent="0.2">
      <c r="A32" s="142" t="s">
        <v>1205</v>
      </c>
      <c r="B32" s="143" t="s">
        <v>1205</v>
      </c>
      <c r="C32" s="145" t="s">
        <v>3853</v>
      </c>
      <c r="D32" s="145" t="s">
        <v>3853</v>
      </c>
      <c r="E32" s="145" t="s">
        <v>3853</v>
      </c>
      <c r="F32" s="143" t="s">
        <v>3747</v>
      </c>
      <c r="G32" s="143" t="s">
        <v>1012</v>
      </c>
      <c r="H32" s="145" t="s">
        <v>3853</v>
      </c>
      <c r="I32" s="143" t="s">
        <v>204</v>
      </c>
      <c r="J32" s="145" t="s">
        <v>3853</v>
      </c>
      <c r="K32" s="143" t="s">
        <v>440</v>
      </c>
      <c r="L32" s="143" t="s">
        <v>339</v>
      </c>
      <c r="M32" s="143" t="s">
        <v>338</v>
      </c>
      <c r="N32" s="145" t="s">
        <v>3853</v>
      </c>
      <c r="O32" s="143" t="s">
        <v>3748</v>
      </c>
      <c r="P32" s="143" t="s">
        <v>1627</v>
      </c>
      <c r="Q32" s="143" t="s">
        <v>415</v>
      </c>
      <c r="R32" s="143" t="s">
        <v>408</v>
      </c>
      <c r="S32" s="143" t="s">
        <v>1210</v>
      </c>
      <c r="T32" s="144">
        <v>8.1300000000000008</v>
      </c>
      <c r="U32" s="170" t="s">
        <v>824</v>
      </c>
      <c r="V32" s="146">
        <v>0</v>
      </c>
      <c r="W32" s="145" t="s">
        <v>3853</v>
      </c>
      <c r="X32" s="145" t="s">
        <v>3853</v>
      </c>
      <c r="Y32" s="166">
        <v>0</v>
      </c>
      <c r="Z32" s="146">
        <v>4.02E-2</v>
      </c>
      <c r="AA32" s="143" t="s">
        <v>3680</v>
      </c>
      <c r="AB32" s="143" t="s">
        <v>412</v>
      </c>
      <c r="AC32" s="145" t="s">
        <v>3853</v>
      </c>
      <c r="AD32" s="145" t="s">
        <v>3853</v>
      </c>
      <c r="AE32" s="171">
        <v>0.75</v>
      </c>
      <c r="AF32" s="145" t="s">
        <v>3853</v>
      </c>
      <c r="AG32" s="145" t="s">
        <v>3853</v>
      </c>
      <c r="AH32" s="145" t="s">
        <v>3853</v>
      </c>
      <c r="AI32" s="145" t="s">
        <v>3853</v>
      </c>
      <c r="AJ32" s="143" t="s">
        <v>338</v>
      </c>
      <c r="AK32" s="143" t="s">
        <v>886</v>
      </c>
      <c r="AL32" s="145" t="s">
        <v>3853</v>
      </c>
      <c r="AM32" s="143" t="s">
        <v>889</v>
      </c>
      <c r="AN32" s="163">
        <v>45473</v>
      </c>
      <c r="AO32" s="163">
        <v>45473</v>
      </c>
      <c r="AP32" s="145" t="s">
        <v>3853</v>
      </c>
      <c r="AQ32" s="144">
        <v>81150.559999999998</v>
      </c>
      <c r="AR32" s="143" t="s">
        <v>3749</v>
      </c>
      <c r="AS32" s="145" t="s">
        <v>3853</v>
      </c>
      <c r="AT32" s="144">
        <v>80.371499999999997</v>
      </c>
      <c r="AU32" s="144">
        <v>80.371514599999998</v>
      </c>
      <c r="AV32" s="145" t="s">
        <v>3853</v>
      </c>
      <c r="AW32" s="145" t="s">
        <v>3853</v>
      </c>
      <c r="AX32" s="145" t="s">
        <v>3853</v>
      </c>
      <c r="AY32" s="145" t="s">
        <v>3853</v>
      </c>
      <c r="AZ32" s="146">
        <v>4.3573870626777257E-3</v>
      </c>
      <c r="BA32" s="147">
        <v>1.2135285752634004E-4</v>
      </c>
      <c r="BB32" s="181"/>
    </row>
    <row r="33" spans="1:54" ht="15" x14ac:dyDescent="0.2">
      <c r="A33" s="142" t="s">
        <v>1205</v>
      </c>
      <c r="B33" s="143" t="s">
        <v>1205</v>
      </c>
      <c r="C33" s="145" t="s">
        <v>3853</v>
      </c>
      <c r="D33" s="145" t="s">
        <v>3853</v>
      </c>
      <c r="E33" s="145" t="s">
        <v>3853</v>
      </c>
      <c r="F33" s="143" t="s">
        <v>3750</v>
      </c>
      <c r="G33" s="143" t="s">
        <v>1012</v>
      </c>
      <c r="H33" s="143" t="s">
        <v>784</v>
      </c>
      <c r="I33" s="143" t="s">
        <v>204</v>
      </c>
      <c r="J33" s="145" t="s">
        <v>3853</v>
      </c>
      <c r="K33" s="143" t="s">
        <v>443</v>
      </c>
      <c r="L33" s="143" t="s">
        <v>339</v>
      </c>
      <c r="M33" s="143" t="s">
        <v>338</v>
      </c>
      <c r="N33" s="145" t="s">
        <v>3853</v>
      </c>
      <c r="O33" s="143" t="s">
        <v>3723</v>
      </c>
      <c r="P33" s="145" t="s">
        <v>3853</v>
      </c>
      <c r="Q33" s="143" t="s">
        <v>410</v>
      </c>
      <c r="R33" s="143" t="s">
        <v>410</v>
      </c>
      <c r="S33" s="143" t="s">
        <v>1210</v>
      </c>
      <c r="T33" s="144">
        <v>2.17</v>
      </c>
      <c r="U33" s="170" t="s">
        <v>823</v>
      </c>
      <c r="V33" s="146">
        <v>8.2500000000000004E-2</v>
      </c>
      <c r="W33" s="145" t="s">
        <v>3853</v>
      </c>
      <c r="X33" s="145" t="s">
        <v>3853</v>
      </c>
      <c r="Y33" s="166">
        <v>2.2499999999999999E-2</v>
      </c>
      <c r="Z33" s="146">
        <v>7.0400000000000004E-2</v>
      </c>
      <c r="AA33" s="143" t="s">
        <v>3724</v>
      </c>
      <c r="AB33" s="143" t="s">
        <v>412</v>
      </c>
      <c r="AC33" s="145" t="s">
        <v>3853</v>
      </c>
      <c r="AD33" s="145" t="s">
        <v>3853</v>
      </c>
      <c r="AE33" s="171">
        <v>0.62</v>
      </c>
      <c r="AF33" s="143" t="s">
        <v>3725</v>
      </c>
      <c r="AG33" s="145" t="s">
        <v>3853</v>
      </c>
      <c r="AH33" s="145" t="s">
        <v>3853</v>
      </c>
      <c r="AI33" s="145" t="s">
        <v>3853</v>
      </c>
      <c r="AJ33" s="143" t="s">
        <v>338</v>
      </c>
      <c r="AK33" s="143" t="s">
        <v>886</v>
      </c>
      <c r="AL33" s="145" t="s">
        <v>3853</v>
      </c>
      <c r="AM33" s="143" t="s">
        <v>889</v>
      </c>
      <c r="AN33" s="163">
        <v>45473</v>
      </c>
      <c r="AO33" s="163">
        <v>45473</v>
      </c>
      <c r="AP33" s="145" t="s">
        <v>3853</v>
      </c>
      <c r="AQ33" s="144">
        <v>76516</v>
      </c>
      <c r="AR33" s="143" t="s">
        <v>3751</v>
      </c>
      <c r="AS33" s="145" t="s">
        <v>3853</v>
      </c>
      <c r="AT33" s="144">
        <v>80.311199999999999</v>
      </c>
      <c r="AU33" s="144">
        <v>80.311193599999996</v>
      </c>
      <c r="AV33" s="145" t="s">
        <v>3853</v>
      </c>
      <c r="AW33" s="145" t="s">
        <v>3853</v>
      </c>
      <c r="AX33" s="145" t="s">
        <v>3853</v>
      </c>
      <c r="AY33" s="145" t="s">
        <v>3853</v>
      </c>
      <c r="AZ33" s="146">
        <v>4.3541167242896204E-3</v>
      </c>
      <c r="BA33" s="147">
        <v>1.2126177888155451E-4</v>
      </c>
      <c r="BB33" s="181"/>
    </row>
    <row r="34" spans="1:54" ht="15" x14ac:dyDescent="0.2">
      <c r="A34" s="142" t="s">
        <v>1205</v>
      </c>
      <c r="B34" s="143" t="s">
        <v>1205</v>
      </c>
      <c r="C34" s="145" t="s">
        <v>3853</v>
      </c>
      <c r="D34" s="145" t="s">
        <v>3853</v>
      </c>
      <c r="E34" s="145" t="s">
        <v>3853</v>
      </c>
      <c r="F34" s="143" t="s">
        <v>3752</v>
      </c>
      <c r="G34" s="143" t="s">
        <v>1012</v>
      </c>
      <c r="H34" s="145" t="s">
        <v>3853</v>
      </c>
      <c r="I34" s="143" t="s">
        <v>204</v>
      </c>
      <c r="J34" s="145" t="s">
        <v>3853</v>
      </c>
      <c r="K34" s="143" t="s">
        <v>485</v>
      </c>
      <c r="L34" s="143" t="s">
        <v>339</v>
      </c>
      <c r="M34" s="143" t="s">
        <v>338</v>
      </c>
      <c r="N34" s="145" t="s">
        <v>3853</v>
      </c>
      <c r="O34" s="143" t="s">
        <v>3200</v>
      </c>
      <c r="P34" s="143" t="s">
        <v>1359</v>
      </c>
      <c r="Q34" s="143" t="s">
        <v>415</v>
      </c>
      <c r="R34" s="143" t="s">
        <v>408</v>
      </c>
      <c r="S34" s="143" t="s">
        <v>1210</v>
      </c>
      <c r="T34" s="144">
        <v>10.09</v>
      </c>
      <c r="U34" s="170" t="s">
        <v>824</v>
      </c>
      <c r="V34" s="146">
        <v>0.03</v>
      </c>
      <c r="W34" s="145" t="s">
        <v>3853</v>
      </c>
      <c r="X34" s="145" t="s">
        <v>3853</v>
      </c>
      <c r="Y34" s="166">
        <v>0</v>
      </c>
      <c r="Z34" s="146">
        <v>4.1599999999999998E-2</v>
      </c>
      <c r="AA34" s="143" t="s">
        <v>3657</v>
      </c>
      <c r="AB34" s="143" t="s">
        <v>412</v>
      </c>
      <c r="AC34" s="145" t="s">
        <v>3853</v>
      </c>
      <c r="AD34" s="145" t="s">
        <v>3853</v>
      </c>
      <c r="AE34" s="171">
        <v>0.75</v>
      </c>
      <c r="AF34" s="143" t="s">
        <v>3658</v>
      </c>
      <c r="AG34" s="145" t="s">
        <v>3853</v>
      </c>
      <c r="AH34" s="145" t="s">
        <v>3853</v>
      </c>
      <c r="AI34" s="145" t="s">
        <v>3853</v>
      </c>
      <c r="AJ34" s="143" t="s">
        <v>338</v>
      </c>
      <c r="AK34" s="143" t="s">
        <v>886</v>
      </c>
      <c r="AL34" s="145" t="s">
        <v>3853</v>
      </c>
      <c r="AM34" s="143" t="s">
        <v>889</v>
      </c>
      <c r="AN34" s="163">
        <v>45473</v>
      </c>
      <c r="AO34" s="163">
        <v>45473</v>
      </c>
      <c r="AP34" s="145" t="s">
        <v>3853</v>
      </c>
      <c r="AQ34" s="144">
        <v>73905.679999999993</v>
      </c>
      <c r="AR34" s="143" t="s">
        <v>3659</v>
      </c>
      <c r="AS34" s="145" t="s">
        <v>3853</v>
      </c>
      <c r="AT34" s="144">
        <v>74.896000000000001</v>
      </c>
      <c r="AU34" s="144">
        <v>74.896016099999997</v>
      </c>
      <c r="AV34" s="145" t="s">
        <v>3853</v>
      </c>
      <c r="AW34" s="145" t="s">
        <v>3853</v>
      </c>
      <c r="AX34" s="145" t="s">
        <v>3853</v>
      </c>
      <c r="AY34" s="145" t="s">
        <v>3853</v>
      </c>
      <c r="AZ34" s="146">
        <v>4.0605298180492249E-3</v>
      </c>
      <c r="BA34" s="147">
        <v>1.1308540861834094E-4</v>
      </c>
      <c r="BB34" s="181"/>
    </row>
    <row r="35" spans="1:54" ht="15" x14ac:dyDescent="0.2">
      <c r="A35" s="142" t="s">
        <v>1205</v>
      </c>
      <c r="B35" s="143" t="s">
        <v>1205</v>
      </c>
      <c r="C35" s="145" t="s">
        <v>3853</v>
      </c>
      <c r="D35" s="145" t="s">
        <v>3853</v>
      </c>
      <c r="E35" s="145" t="s">
        <v>3853</v>
      </c>
      <c r="F35" s="143" t="s">
        <v>3753</v>
      </c>
      <c r="G35" s="143" t="s">
        <v>1012</v>
      </c>
      <c r="H35" s="143" t="s">
        <v>784</v>
      </c>
      <c r="I35" s="143" t="s">
        <v>204</v>
      </c>
      <c r="J35" s="145" t="s">
        <v>3853</v>
      </c>
      <c r="K35" s="143" t="s">
        <v>443</v>
      </c>
      <c r="L35" s="143" t="s">
        <v>339</v>
      </c>
      <c r="M35" s="143" t="s">
        <v>338</v>
      </c>
      <c r="N35" s="145" t="s">
        <v>3853</v>
      </c>
      <c r="O35" s="143" t="s">
        <v>3754</v>
      </c>
      <c r="P35" s="145" t="s">
        <v>3853</v>
      </c>
      <c r="Q35" s="143" t="s">
        <v>410</v>
      </c>
      <c r="R35" s="143" t="s">
        <v>410</v>
      </c>
      <c r="S35" s="143" t="s">
        <v>1210</v>
      </c>
      <c r="T35" s="144">
        <v>2.17</v>
      </c>
      <c r="U35" s="170" t="s">
        <v>823</v>
      </c>
      <c r="V35" s="146">
        <v>8.2500000000000004E-2</v>
      </c>
      <c r="W35" s="145" t="s">
        <v>3853</v>
      </c>
      <c r="X35" s="145" t="s">
        <v>3853</v>
      </c>
      <c r="Y35" s="166">
        <v>2.2499999999999999E-2</v>
      </c>
      <c r="Z35" s="146">
        <v>7.0099999999999996E-2</v>
      </c>
      <c r="AA35" s="143" t="s">
        <v>3724</v>
      </c>
      <c r="AB35" s="143" t="s">
        <v>412</v>
      </c>
      <c r="AC35" s="145" t="s">
        <v>3853</v>
      </c>
      <c r="AD35" s="145" t="s">
        <v>3853</v>
      </c>
      <c r="AE35" s="171">
        <v>0.62</v>
      </c>
      <c r="AF35" s="143" t="s">
        <v>3755</v>
      </c>
      <c r="AG35" s="145" t="s">
        <v>3853</v>
      </c>
      <c r="AH35" s="145" t="s">
        <v>3853</v>
      </c>
      <c r="AI35" s="145" t="s">
        <v>3853</v>
      </c>
      <c r="AJ35" s="143" t="s">
        <v>338</v>
      </c>
      <c r="AK35" s="143" t="s">
        <v>886</v>
      </c>
      <c r="AL35" s="145" t="s">
        <v>3853</v>
      </c>
      <c r="AM35" s="143" t="s">
        <v>889</v>
      </c>
      <c r="AN35" s="163">
        <v>45473</v>
      </c>
      <c r="AO35" s="163">
        <v>45473</v>
      </c>
      <c r="AP35" s="145" t="s">
        <v>3853</v>
      </c>
      <c r="AQ35" s="144">
        <v>61324</v>
      </c>
      <c r="AR35" s="143" t="s">
        <v>3756</v>
      </c>
      <c r="AS35" s="145" t="s">
        <v>3853</v>
      </c>
      <c r="AT35" s="144">
        <v>64.402500000000003</v>
      </c>
      <c r="AU35" s="144">
        <v>64.40246479999999</v>
      </c>
      <c r="AV35" s="145" t="s">
        <v>3853</v>
      </c>
      <c r="AW35" s="145" t="s">
        <v>3853</v>
      </c>
      <c r="AX35" s="145" t="s">
        <v>3853</v>
      </c>
      <c r="AY35" s="145" t="s">
        <v>3853</v>
      </c>
      <c r="AZ35" s="146">
        <v>3.4916160064535958E-3</v>
      </c>
      <c r="BA35" s="147">
        <v>9.7241207556958762E-5</v>
      </c>
      <c r="BB35" s="181"/>
    </row>
    <row r="36" spans="1:54" ht="15" x14ac:dyDescent="0.2">
      <c r="A36" s="142" t="s">
        <v>1205</v>
      </c>
      <c r="B36" s="143" t="s">
        <v>1205</v>
      </c>
      <c r="C36" s="145" t="s">
        <v>3853</v>
      </c>
      <c r="D36" s="145" t="s">
        <v>3853</v>
      </c>
      <c r="E36" s="145" t="s">
        <v>3853</v>
      </c>
      <c r="F36" s="143" t="s">
        <v>3757</v>
      </c>
      <c r="G36" s="143" t="s">
        <v>1012</v>
      </c>
      <c r="H36" s="143" t="s">
        <v>784</v>
      </c>
      <c r="I36" s="143" t="s">
        <v>204</v>
      </c>
      <c r="J36" s="145" t="s">
        <v>3853</v>
      </c>
      <c r="K36" s="143" t="s">
        <v>443</v>
      </c>
      <c r="L36" s="143" t="s">
        <v>339</v>
      </c>
      <c r="M36" s="143" t="s">
        <v>338</v>
      </c>
      <c r="N36" s="145" t="s">
        <v>3853</v>
      </c>
      <c r="O36" s="143" t="s">
        <v>3758</v>
      </c>
      <c r="P36" s="145" t="s">
        <v>3853</v>
      </c>
      <c r="Q36" s="143" t="s">
        <v>410</v>
      </c>
      <c r="R36" s="143" t="s">
        <v>410</v>
      </c>
      <c r="S36" s="143" t="s">
        <v>1210</v>
      </c>
      <c r="T36" s="144">
        <v>2.17</v>
      </c>
      <c r="U36" s="170" t="s">
        <v>823</v>
      </c>
      <c r="V36" s="146">
        <v>8.2500000000000004E-2</v>
      </c>
      <c r="W36" s="145" t="s">
        <v>3853</v>
      </c>
      <c r="X36" s="145" t="s">
        <v>3853</v>
      </c>
      <c r="Y36" s="166">
        <v>2.2499999999999999E-2</v>
      </c>
      <c r="Z36" s="146">
        <v>7.1400000000000005E-2</v>
      </c>
      <c r="AA36" s="143" t="s">
        <v>3724</v>
      </c>
      <c r="AB36" s="143" t="s">
        <v>412</v>
      </c>
      <c r="AC36" s="145" t="s">
        <v>3853</v>
      </c>
      <c r="AD36" s="145" t="s">
        <v>3853</v>
      </c>
      <c r="AE36" s="171">
        <v>0.62</v>
      </c>
      <c r="AF36" s="143" t="s">
        <v>3725</v>
      </c>
      <c r="AG36" s="145" t="s">
        <v>3853</v>
      </c>
      <c r="AH36" s="145" t="s">
        <v>3853</v>
      </c>
      <c r="AI36" s="145" t="s">
        <v>3853</v>
      </c>
      <c r="AJ36" s="143" t="s">
        <v>338</v>
      </c>
      <c r="AK36" s="143" t="s">
        <v>886</v>
      </c>
      <c r="AL36" s="145" t="s">
        <v>3853</v>
      </c>
      <c r="AM36" s="143" t="s">
        <v>889</v>
      </c>
      <c r="AN36" s="163">
        <v>45473</v>
      </c>
      <c r="AO36" s="163">
        <v>45473</v>
      </c>
      <c r="AP36" s="145" t="s">
        <v>3853</v>
      </c>
      <c r="AQ36" s="144">
        <v>59280</v>
      </c>
      <c r="AR36" s="143" t="s">
        <v>3759</v>
      </c>
      <c r="AS36" s="145" t="s">
        <v>3853</v>
      </c>
      <c r="AT36" s="144">
        <v>62.095800000000004</v>
      </c>
      <c r="AU36" s="144">
        <v>62.095799999999997</v>
      </c>
      <c r="AV36" s="145" t="s">
        <v>3853</v>
      </c>
      <c r="AW36" s="145" t="s">
        <v>3853</v>
      </c>
      <c r="AX36" s="145" t="s">
        <v>3853</v>
      </c>
      <c r="AY36" s="145" t="s">
        <v>3853</v>
      </c>
      <c r="AZ36" s="146">
        <v>3.3665588714166914E-3</v>
      </c>
      <c r="BA36" s="147">
        <v>9.3758377027448791E-5</v>
      </c>
      <c r="BB36" s="181"/>
    </row>
    <row r="37" spans="1:54" ht="15" x14ac:dyDescent="0.2">
      <c r="A37" s="142" t="s">
        <v>1205</v>
      </c>
      <c r="B37" s="143" t="s">
        <v>1205</v>
      </c>
      <c r="C37" s="145" t="s">
        <v>3853</v>
      </c>
      <c r="D37" s="145" t="s">
        <v>3853</v>
      </c>
      <c r="E37" s="145" t="s">
        <v>3853</v>
      </c>
      <c r="F37" s="143" t="s">
        <v>3760</v>
      </c>
      <c r="G37" s="143" t="s">
        <v>1012</v>
      </c>
      <c r="H37" s="143" t="s">
        <v>784</v>
      </c>
      <c r="I37" s="143" t="s">
        <v>204</v>
      </c>
      <c r="J37" s="145" t="s">
        <v>3853</v>
      </c>
      <c r="K37" s="143" t="s">
        <v>443</v>
      </c>
      <c r="L37" s="143" t="s">
        <v>339</v>
      </c>
      <c r="M37" s="143" t="s">
        <v>338</v>
      </c>
      <c r="N37" s="145" t="s">
        <v>3853</v>
      </c>
      <c r="O37" s="143" t="s">
        <v>3761</v>
      </c>
      <c r="P37" s="145" t="s">
        <v>3853</v>
      </c>
      <c r="Q37" s="143" t="s">
        <v>410</v>
      </c>
      <c r="R37" s="143" t="s">
        <v>410</v>
      </c>
      <c r="S37" s="143" t="s">
        <v>1210</v>
      </c>
      <c r="T37" s="144">
        <v>0.87</v>
      </c>
      <c r="U37" s="170" t="s">
        <v>823</v>
      </c>
      <c r="V37" s="146">
        <v>7.0000000000000007E-2</v>
      </c>
      <c r="W37" s="145" t="s">
        <v>3853</v>
      </c>
      <c r="X37" s="145" t="s">
        <v>3853</v>
      </c>
      <c r="Y37" s="166">
        <v>0.02</v>
      </c>
      <c r="Z37" s="146">
        <v>9.0700000000000003E-2</v>
      </c>
      <c r="AA37" s="143" t="s">
        <v>3762</v>
      </c>
      <c r="AB37" s="143" t="s">
        <v>412</v>
      </c>
      <c r="AC37" s="145" t="s">
        <v>3853</v>
      </c>
      <c r="AD37" s="145" t="s">
        <v>3853</v>
      </c>
      <c r="AE37" s="171">
        <v>0.67</v>
      </c>
      <c r="AF37" s="143" t="s">
        <v>3725</v>
      </c>
      <c r="AG37" s="145" t="s">
        <v>3853</v>
      </c>
      <c r="AH37" s="145" t="s">
        <v>3853</v>
      </c>
      <c r="AI37" s="145" t="s">
        <v>3853</v>
      </c>
      <c r="AJ37" s="143" t="s">
        <v>338</v>
      </c>
      <c r="AK37" s="143" t="s">
        <v>886</v>
      </c>
      <c r="AL37" s="145" t="s">
        <v>3853</v>
      </c>
      <c r="AM37" s="143" t="s">
        <v>889</v>
      </c>
      <c r="AN37" s="163">
        <v>45473</v>
      </c>
      <c r="AO37" s="163">
        <v>45473</v>
      </c>
      <c r="AP37" s="145" t="s">
        <v>3853</v>
      </c>
      <c r="AQ37" s="144">
        <v>58029.9</v>
      </c>
      <c r="AR37" s="143" t="s">
        <v>3763</v>
      </c>
      <c r="AS37" s="145" t="s">
        <v>3853</v>
      </c>
      <c r="AT37" s="144">
        <v>58.610199999999999</v>
      </c>
      <c r="AU37" s="144">
        <v>58.610199000000001</v>
      </c>
      <c r="AV37" s="145" t="s">
        <v>3853</v>
      </c>
      <c r="AW37" s="145" t="s">
        <v>3853</v>
      </c>
      <c r="AX37" s="145" t="s">
        <v>3853</v>
      </c>
      <c r="AY37" s="145" t="s">
        <v>3853</v>
      </c>
      <c r="AZ37" s="146">
        <v>3.1775850443821916E-3</v>
      </c>
      <c r="BA37" s="147">
        <v>8.8495472085000959E-5</v>
      </c>
      <c r="BB37" s="181"/>
    </row>
    <row r="38" spans="1:54" ht="15" x14ac:dyDescent="0.2">
      <c r="A38" s="142" t="s">
        <v>1205</v>
      </c>
      <c r="B38" s="143" t="s">
        <v>1205</v>
      </c>
      <c r="C38" s="145" t="s">
        <v>3853</v>
      </c>
      <c r="D38" s="145" t="s">
        <v>3853</v>
      </c>
      <c r="E38" s="145" t="s">
        <v>3853</v>
      </c>
      <c r="F38" s="143" t="s">
        <v>3764</v>
      </c>
      <c r="G38" s="143" t="s">
        <v>1012</v>
      </c>
      <c r="H38" s="143" t="s">
        <v>784</v>
      </c>
      <c r="I38" s="143" t="s">
        <v>204</v>
      </c>
      <c r="J38" s="145" t="s">
        <v>3853</v>
      </c>
      <c r="K38" s="143" t="s">
        <v>443</v>
      </c>
      <c r="L38" s="143" t="s">
        <v>339</v>
      </c>
      <c r="M38" s="143" t="s">
        <v>338</v>
      </c>
      <c r="N38" s="145" t="s">
        <v>3853</v>
      </c>
      <c r="O38" s="143" t="s">
        <v>3765</v>
      </c>
      <c r="P38" s="145" t="s">
        <v>3853</v>
      </c>
      <c r="Q38" s="143" t="s">
        <v>410</v>
      </c>
      <c r="R38" s="143" t="s">
        <v>410</v>
      </c>
      <c r="S38" s="143" t="s">
        <v>1210</v>
      </c>
      <c r="T38" s="144">
        <v>2.17</v>
      </c>
      <c r="U38" s="170" t="s">
        <v>823</v>
      </c>
      <c r="V38" s="146">
        <v>8.2500000000000004E-2</v>
      </c>
      <c r="W38" s="145" t="s">
        <v>3853</v>
      </c>
      <c r="X38" s="145" t="s">
        <v>3853</v>
      </c>
      <c r="Y38" s="166">
        <v>2.2499999999999999E-2</v>
      </c>
      <c r="Z38" s="146">
        <v>7.2599999999999998E-2</v>
      </c>
      <c r="AA38" s="143" t="s">
        <v>3724</v>
      </c>
      <c r="AB38" s="143" t="s">
        <v>412</v>
      </c>
      <c r="AC38" s="145" t="s">
        <v>3853</v>
      </c>
      <c r="AD38" s="145" t="s">
        <v>3853</v>
      </c>
      <c r="AE38" s="171">
        <v>0.62</v>
      </c>
      <c r="AF38" s="143" t="s">
        <v>3725</v>
      </c>
      <c r="AG38" s="145" t="s">
        <v>3853</v>
      </c>
      <c r="AH38" s="145" t="s">
        <v>3853</v>
      </c>
      <c r="AI38" s="145" t="s">
        <v>3853</v>
      </c>
      <c r="AJ38" s="143" t="s">
        <v>338</v>
      </c>
      <c r="AK38" s="143" t="s">
        <v>886</v>
      </c>
      <c r="AL38" s="145" t="s">
        <v>3853</v>
      </c>
      <c r="AM38" s="143" t="s">
        <v>889</v>
      </c>
      <c r="AN38" s="163">
        <v>45473</v>
      </c>
      <c r="AO38" s="163">
        <v>45473</v>
      </c>
      <c r="AP38" s="145" t="s">
        <v>3853</v>
      </c>
      <c r="AQ38" s="144">
        <v>41496</v>
      </c>
      <c r="AR38" s="143" t="s">
        <v>3651</v>
      </c>
      <c r="AS38" s="145" t="s">
        <v>3853</v>
      </c>
      <c r="AT38" s="144">
        <v>43.363300000000002</v>
      </c>
      <c r="AU38" s="144">
        <v>43.363320000000002</v>
      </c>
      <c r="AV38" s="145" t="s">
        <v>3853</v>
      </c>
      <c r="AW38" s="145" t="s">
        <v>3853</v>
      </c>
      <c r="AX38" s="145" t="s">
        <v>3853</v>
      </c>
      <c r="AY38" s="145" t="s">
        <v>3853</v>
      </c>
      <c r="AZ38" s="146">
        <v>2.3509668872948065E-3</v>
      </c>
      <c r="BA38" s="147">
        <v>6.5474227012485718E-5</v>
      </c>
      <c r="BB38" s="181"/>
    </row>
    <row r="39" spans="1:54" ht="15" x14ac:dyDescent="0.2">
      <c r="A39" s="142" t="s">
        <v>1205</v>
      </c>
      <c r="B39" s="143" t="s">
        <v>1205</v>
      </c>
      <c r="C39" s="145" t="s">
        <v>3853</v>
      </c>
      <c r="D39" s="145" t="s">
        <v>3853</v>
      </c>
      <c r="E39" s="145" t="s">
        <v>3853</v>
      </c>
      <c r="F39" s="143" t="s">
        <v>3766</v>
      </c>
      <c r="G39" s="143" t="s">
        <v>1012</v>
      </c>
      <c r="H39" s="145" t="s">
        <v>3853</v>
      </c>
      <c r="I39" s="143" t="s">
        <v>204</v>
      </c>
      <c r="J39" s="145" t="s">
        <v>3853</v>
      </c>
      <c r="K39" s="143" t="s">
        <v>444</v>
      </c>
      <c r="L39" s="143" t="s">
        <v>339</v>
      </c>
      <c r="M39" s="143" t="s">
        <v>338</v>
      </c>
      <c r="N39" s="145" t="s">
        <v>3853</v>
      </c>
      <c r="O39" s="143" t="s">
        <v>3767</v>
      </c>
      <c r="P39" s="145" t="s">
        <v>3853</v>
      </c>
      <c r="Q39" s="143" t="s">
        <v>410</v>
      </c>
      <c r="R39" s="143" t="s">
        <v>410</v>
      </c>
      <c r="S39" s="143" t="s">
        <v>1211</v>
      </c>
      <c r="T39" s="144">
        <v>0.01</v>
      </c>
      <c r="U39" s="170" t="s">
        <v>314</v>
      </c>
      <c r="V39" s="145" t="s">
        <v>3853</v>
      </c>
      <c r="W39" s="145" t="s">
        <v>3853</v>
      </c>
      <c r="X39" s="145" t="s">
        <v>3853</v>
      </c>
      <c r="Y39" s="166">
        <v>0</v>
      </c>
      <c r="Z39" s="146">
        <v>1E-4</v>
      </c>
      <c r="AA39" s="143" t="s">
        <v>3768</v>
      </c>
      <c r="AB39" s="143" t="s">
        <v>412</v>
      </c>
      <c r="AC39" s="145" t="s">
        <v>3853</v>
      </c>
      <c r="AD39" s="145" t="s">
        <v>3853</v>
      </c>
      <c r="AE39" s="145" t="s">
        <v>3853</v>
      </c>
      <c r="AF39" s="145" t="s">
        <v>3853</v>
      </c>
      <c r="AG39" s="145" t="s">
        <v>3853</v>
      </c>
      <c r="AH39" s="145" t="s">
        <v>3853</v>
      </c>
      <c r="AI39" s="145" t="s">
        <v>3853</v>
      </c>
      <c r="AJ39" s="145" t="s">
        <v>3853</v>
      </c>
      <c r="AK39" s="143" t="s">
        <v>886</v>
      </c>
      <c r="AL39" s="145" t="s">
        <v>3853</v>
      </c>
      <c r="AM39" s="143" t="s">
        <v>889</v>
      </c>
      <c r="AN39" s="163">
        <v>45250</v>
      </c>
      <c r="AO39" s="163">
        <v>45250</v>
      </c>
      <c r="AP39" s="145" t="s">
        <v>3853</v>
      </c>
      <c r="AQ39" s="144">
        <v>20518.22</v>
      </c>
      <c r="AR39" s="143" t="s">
        <v>3769</v>
      </c>
      <c r="AS39" s="143" t="s">
        <v>1212</v>
      </c>
      <c r="AT39" s="144">
        <v>42.564099999999996</v>
      </c>
      <c r="AU39" s="144">
        <v>11.3232464</v>
      </c>
      <c r="AV39" s="145" t="s">
        <v>3853</v>
      </c>
      <c r="AW39" s="145" t="s">
        <v>3853</v>
      </c>
      <c r="AX39" s="145" t="s">
        <v>3853</v>
      </c>
      <c r="AY39" s="145" t="s">
        <v>3853</v>
      </c>
      <c r="AZ39" s="146">
        <v>2.3076358226316938E-3</v>
      </c>
      <c r="BA39" s="147">
        <v>6.4267460562572061E-5</v>
      </c>
      <c r="BB39" s="181"/>
    </row>
    <row r="40" spans="1:54" ht="15" x14ac:dyDescent="0.2">
      <c r="A40" s="142" t="s">
        <v>1205</v>
      </c>
      <c r="B40" s="143" t="s">
        <v>1205</v>
      </c>
      <c r="C40" s="145" t="s">
        <v>3853</v>
      </c>
      <c r="D40" s="145" t="s">
        <v>3853</v>
      </c>
      <c r="E40" s="145" t="s">
        <v>3853</v>
      </c>
      <c r="F40" s="143" t="s">
        <v>3770</v>
      </c>
      <c r="G40" s="143" t="s">
        <v>1012</v>
      </c>
      <c r="H40" s="145" t="s">
        <v>3853</v>
      </c>
      <c r="I40" s="143" t="s">
        <v>204</v>
      </c>
      <c r="J40" s="145" t="s">
        <v>3853</v>
      </c>
      <c r="K40" s="143" t="s">
        <v>485</v>
      </c>
      <c r="L40" s="143" t="s">
        <v>339</v>
      </c>
      <c r="M40" s="143" t="s">
        <v>338</v>
      </c>
      <c r="N40" s="145" t="s">
        <v>3853</v>
      </c>
      <c r="O40" s="143" t="s">
        <v>3771</v>
      </c>
      <c r="P40" s="143" t="s">
        <v>1735</v>
      </c>
      <c r="Q40" s="143" t="s">
        <v>413</v>
      </c>
      <c r="R40" s="143" t="s">
        <v>408</v>
      </c>
      <c r="S40" s="143" t="s">
        <v>1210</v>
      </c>
      <c r="T40" s="144">
        <v>5.89</v>
      </c>
      <c r="U40" s="170" t="s">
        <v>824</v>
      </c>
      <c r="V40" s="146">
        <v>3.3099999999999997E-2</v>
      </c>
      <c r="W40" s="145" t="s">
        <v>3853</v>
      </c>
      <c r="X40" s="145" t="s">
        <v>3853</v>
      </c>
      <c r="Y40" s="166">
        <v>0</v>
      </c>
      <c r="Z40" s="146">
        <v>3.44E-2</v>
      </c>
      <c r="AA40" s="143" t="s">
        <v>3666</v>
      </c>
      <c r="AB40" s="143" t="s">
        <v>412</v>
      </c>
      <c r="AC40" s="145" t="s">
        <v>3853</v>
      </c>
      <c r="AD40" s="145" t="s">
        <v>3853</v>
      </c>
      <c r="AE40" s="145" t="s">
        <v>3853</v>
      </c>
      <c r="AF40" s="145" t="s">
        <v>3853</v>
      </c>
      <c r="AG40" s="145" t="s">
        <v>3853</v>
      </c>
      <c r="AH40" s="145" t="s">
        <v>3853</v>
      </c>
      <c r="AI40" s="145" t="s">
        <v>3853</v>
      </c>
      <c r="AJ40" s="145" t="s">
        <v>3853</v>
      </c>
      <c r="AK40" s="143" t="s">
        <v>886</v>
      </c>
      <c r="AL40" s="145" t="s">
        <v>3853</v>
      </c>
      <c r="AM40" s="143" t="s">
        <v>889</v>
      </c>
      <c r="AN40" s="163">
        <v>45473</v>
      </c>
      <c r="AO40" s="163">
        <v>45473</v>
      </c>
      <c r="AP40" s="145" t="s">
        <v>3853</v>
      </c>
      <c r="AQ40" s="144">
        <v>30986.7</v>
      </c>
      <c r="AR40" s="143" t="s">
        <v>3772</v>
      </c>
      <c r="AS40" s="145" t="s">
        <v>3853</v>
      </c>
      <c r="AT40" s="144">
        <v>35.2226</v>
      </c>
      <c r="AU40" s="144">
        <v>35.222581900000002</v>
      </c>
      <c r="AV40" s="145" t="s">
        <v>3853</v>
      </c>
      <c r="AW40" s="145" t="s">
        <v>3853</v>
      </c>
      <c r="AX40" s="145" t="s">
        <v>3853</v>
      </c>
      <c r="AY40" s="145" t="s">
        <v>3853</v>
      </c>
      <c r="AZ40" s="146">
        <v>1.9096121724171424E-3</v>
      </c>
      <c r="BA40" s="147">
        <v>5.3182535899735727E-5</v>
      </c>
      <c r="BB40" s="181"/>
    </row>
    <row r="41" spans="1:54" ht="15" x14ac:dyDescent="0.2">
      <c r="A41" s="142" t="s">
        <v>1205</v>
      </c>
      <c r="B41" s="143" t="s">
        <v>1205</v>
      </c>
      <c r="C41" s="145" t="s">
        <v>3853</v>
      </c>
      <c r="D41" s="145" t="s">
        <v>3853</v>
      </c>
      <c r="E41" s="145" t="s">
        <v>3853</v>
      </c>
      <c r="F41" s="143" t="s">
        <v>3773</v>
      </c>
      <c r="G41" s="143" t="s">
        <v>1012</v>
      </c>
      <c r="H41" s="143" t="s">
        <v>784</v>
      </c>
      <c r="I41" s="143" t="s">
        <v>204</v>
      </c>
      <c r="J41" s="145" t="s">
        <v>3853</v>
      </c>
      <c r="K41" s="143" t="s">
        <v>443</v>
      </c>
      <c r="L41" s="143" t="s">
        <v>339</v>
      </c>
      <c r="M41" s="143" t="s">
        <v>338</v>
      </c>
      <c r="N41" s="145" t="s">
        <v>3853</v>
      </c>
      <c r="O41" s="143" t="s">
        <v>3774</v>
      </c>
      <c r="P41" s="145" t="s">
        <v>3853</v>
      </c>
      <c r="Q41" s="143" t="s">
        <v>410</v>
      </c>
      <c r="R41" s="143" t="s">
        <v>410</v>
      </c>
      <c r="S41" s="143" t="s">
        <v>1210</v>
      </c>
      <c r="T41" s="144">
        <v>2.16</v>
      </c>
      <c r="U41" s="170" t="s">
        <v>823</v>
      </c>
      <c r="V41" s="146">
        <v>8.2500000000000004E-2</v>
      </c>
      <c r="W41" s="145" t="s">
        <v>3853</v>
      </c>
      <c r="X41" s="145" t="s">
        <v>3853</v>
      </c>
      <c r="Y41" s="166">
        <v>0</v>
      </c>
      <c r="Z41" s="146">
        <v>8.5599999999999996E-2</v>
      </c>
      <c r="AA41" s="143" t="s">
        <v>3775</v>
      </c>
      <c r="AB41" s="143" t="s">
        <v>412</v>
      </c>
      <c r="AC41" s="145" t="s">
        <v>3853</v>
      </c>
      <c r="AD41" s="145" t="s">
        <v>3853</v>
      </c>
      <c r="AE41" s="171">
        <v>0.62</v>
      </c>
      <c r="AF41" s="143" t="s">
        <v>3755</v>
      </c>
      <c r="AG41" s="145" t="s">
        <v>3853</v>
      </c>
      <c r="AH41" s="145" t="s">
        <v>3853</v>
      </c>
      <c r="AI41" s="145" t="s">
        <v>3853</v>
      </c>
      <c r="AJ41" s="143" t="s">
        <v>338</v>
      </c>
      <c r="AK41" s="143" t="s">
        <v>886</v>
      </c>
      <c r="AL41" s="145" t="s">
        <v>3853</v>
      </c>
      <c r="AM41" s="143" t="s">
        <v>889</v>
      </c>
      <c r="AN41" s="163">
        <v>45473</v>
      </c>
      <c r="AO41" s="163">
        <v>45473</v>
      </c>
      <c r="AP41" s="145" t="s">
        <v>3853</v>
      </c>
      <c r="AQ41" s="144">
        <v>34342</v>
      </c>
      <c r="AR41" s="143" t="s">
        <v>3776</v>
      </c>
      <c r="AS41" s="145" t="s">
        <v>3853</v>
      </c>
      <c r="AT41" s="144">
        <v>34.966999999999999</v>
      </c>
      <c r="AU41" s="144">
        <v>34.9670244</v>
      </c>
      <c r="AV41" s="145" t="s">
        <v>3853</v>
      </c>
      <c r="AW41" s="145" t="s">
        <v>3853</v>
      </c>
      <c r="AX41" s="145" t="s">
        <v>3853</v>
      </c>
      <c r="AY41" s="145" t="s">
        <v>3853</v>
      </c>
      <c r="AZ41" s="146">
        <v>1.8957569787467737E-3</v>
      </c>
      <c r="BA41" s="147">
        <v>5.2796669939403331E-5</v>
      </c>
      <c r="BB41" s="181"/>
    </row>
    <row r="42" spans="1:54" ht="15" x14ac:dyDescent="0.2">
      <c r="A42" s="142" t="s">
        <v>1205</v>
      </c>
      <c r="B42" s="143" t="s">
        <v>1205</v>
      </c>
      <c r="C42" s="145" t="s">
        <v>3853</v>
      </c>
      <c r="D42" s="145" t="s">
        <v>3853</v>
      </c>
      <c r="E42" s="145" t="s">
        <v>3853</v>
      </c>
      <c r="F42" s="143" t="s">
        <v>3777</v>
      </c>
      <c r="G42" s="143" t="s">
        <v>1012</v>
      </c>
      <c r="H42" s="143" t="s">
        <v>784</v>
      </c>
      <c r="I42" s="143" t="s">
        <v>204</v>
      </c>
      <c r="J42" s="145" t="s">
        <v>3853</v>
      </c>
      <c r="K42" s="143" t="s">
        <v>443</v>
      </c>
      <c r="L42" s="143" t="s">
        <v>339</v>
      </c>
      <c r="M42" s="143" t="s">
        <v>338</v>
      </c>
      <c r="N42" s="145" t="s">
        <v>3853</v>
      </c>
      <c r="O42" s="143" t="s">
        <v>3778</v>
      </c>
      <c r="P42" s="145" t="s">
        <v>3853</v>
      </c>
      <c r="Q42" s="143" t="s">
        <v>410</v>
      </c>
      <c r="R42" s="143" t="s">
        <v>410</v>
      </c>
      <c r="S42" s="143" t="s">
        <v>1210</v>
      </c>
      <c r="T42" s="144">
        <v>0.87</v>
      </c>
      <c r="U42" s="170" t="s">
        <v>823</v>
      </c>
      <c r="V42" s="146">
        <v>7.0000000000000007E-2</v>
      </c>
      <c r="W42" s="145" t="s">
        <v>3853</v>
      </c>
      <c r="X42" s="145" t="s">
        <v>3853</v>
      </c>
      <c r="Y42" s="166">
        <v>0</v>
      </c>
      <c r="Z42" s="146">
        <v>7.7700000000000005E-2</v>
      </c>
      <c r="AA42" s="143" t="s">
        <v>3762</v>
      </c>
      <c r="AB42" s="143" t="s">
        <v>412</v>
      </c>
      <c r="AC42" s="145" t="s">
        <v>3853</v>
      </c>
      <c r="AD42" s="145" t="s">
        <v>3853</v>
      </c>
      <c r="AE42" s="171">
        <v>0.67</v>
      </c>
      <c r="AF42" s="143" t="s">
        <v>3779</v>
      </c>
      <c r="AG42" s="145" t="s">
        <v>3853</v>
      </c>
      <c r="AH42" s="145" t="s">
        <v>3853</v>
      </c>
      <c r="AI42" s="145" t="s">
        <v>3853</v>
      </c>
      <c r="AJ42" s="143" t="s">
        <v>338</v>
      </c>
      <c r="AK42" s="143" t="s">
        <v>886</v>
      </c>
      <c r="AL42" s="145" t="s">
        <v>3853</v>
      </c>
      <c r="AM42" s="143" t="s">
        <v>889</v>
      </c>
      <c r="AN42" s="163">
        <v>45473</v>
      </c>
      <c r="AO42" s="163">
        <v>45473</v>
      </c>
      <c r="AP42" s="145" t="s">
        <v>3853</v>
      </c>
      <c r="AQ42" s="144">
        <v>31401</v>
      </c>
      <c r="AR42" s="143" t="s">
        <v>3780</v>
      </c>
      <c r="AS42" s="145" t="s">
        <v>3853</v>
      </c>
      <c r="AT42" s="144">
        <v>32.047899999999998</v>
      </c>
      <c r="AU42" s="144">
        <v>32.0478606</v>
      </c>
      <c r="AV42" s="145" t="s">
        <v>3853</v>
      </c>
      <c r="AW42" s="145" t="s">
        <v>3853</v>
      </c>
      <c r="AX42" s="145" t="s">
        <v>3853</v>
      </c>
      <c r="AY42" s="145" t="s">
        <v>3853</v>
      </c>
      <c r="AZ42" s="146">
        <v>1.7374928644587144E-3</v>
      </c>
      <c r="BA42" s="147">
        <v>4.8389027873993431E-5</v>
      </c>
      <c r="BB42" s="181"/>
    </row>
    <row r="43" spans="1:54" ht="15" x14ac:dyDescent="0.2">
      <c r="A43" s="142" t="s">
        <v>1205</v>
      </c>
      <c r="B43" s="143" t="s">
        <v>1205</v>
      </c>
      <c r="C43" s="145" t="s">
        <v>3853</v>
      </c>
      <c r="D43" s="145" t="s">
        <v>3853</v>
      </c>
      <c r="E43" s="145" t="s">
        <v>3853</v>
      </c>
      <c r="F43" s="143" t="s">
        <v>3781</v>
      </c>
      <c r="G43" s="143" t="s">
        <v>1012</v>
      </c>
      <c r="H43" s="143" t="s">
        <v>793</v>
      </c>
      <c r="I43" s="143" t="s">
        <v>204</v>
      </c>
      <c r="J43" s="145" t="s">
        <v>3853</v>
      </c>
      <c r="K43" s="143" t="s">
        <v>447</v>
      </c>
      <c r="L43" s="143" t="s">
        <v>339</v>
      </c>
      <c r="M43" s="143" t="s">
        <v>338</v>
      </c>
      <c r="N43" s="145" t="s">
        <v>3853</v>
      </c>
      <c r="O43" s="143" t="s">
        <v>3782</v>
      </c>
      <c r="P43" s="145" t="s">
        <v>3853</v>
      </c>
      <c r="Q43" s="143" t="s">
        <v>410</v>
      </c>
      <c r="R43" s="143" t="s">
        <v>410</v>
      </c>
      <c r="S43" s="143" t="s">
        <v>1210</v>
      </c>
      <c r="T43" s="144">
        <v>0.01</v>
      </c>
      <c r="U43" s="170" t="s">
        <v>824</v>
      </c>
      <c r="V43" s="146">
        <v>0</v>
      </c>
      <c r="W43" s="145" t="s">
        <v>3853</v>
      </c>
      <c r="X43" s="145" t="s">
        <v>3853</v>
      </c>
      <c r="Y43" s="166">
        <v>0</v>
      </c>
      <c r="Z43" s="146">
        <v>1E-4</v>
      </c>
      <c r="AA43" s="143" t="s">
        <v>3783</v>
      </c>
      <c r="AB43" s="143" t="s">
        <v>412</v>
      </c>
      <c r="AC43" s="145" t="s">
        <v>3853</v>
      </c>
      <c r="AD43" s="145" t="s">
        <v>3853</v>
      </c>
      <c r="AE43" s="145" t="s">
        <v>3853</v>
      </c>
      <c r="AF43" s="143" t="s">
        <v>3694</v>
      </c>
      <c r="AG43" s="145" t="s">
        <v>3853</v>
      </c>
      <c r="AH43" s="145" t="s">
        <v>3853</v>
      </c>
      <c r="AI43" s="145" t="s">
        <v>3853</v>
      </c>
      <c r="AJ43" s="145" t="s">
        <v>3853</v>
      </c>
      <c r="AK43" s="143" t="s">
        <v>314</v>
      </c>
      <c r="AL43" s="145" t="s">
        <v>3853</v>
      </c>
      <c r="AM43" s="143" t="s">
        <v>888</v>
      </c>
      <c r="AN43" s="163">
        <v>45473</v>
      </c>
      <c r="AO43" s="163">
        <v>45473</v>
      </c>
      <c r="AP43" s="145" t="s">
        <v>3853</v>
      </c>
      <c r="AQ43" s="144">
        <v>345640.15</v>
      </c>
      <c r="AR43" s="143" t="s">
        <v>3784</v>
      </c>
      <c r="AS43" s="145" t="s">
        <v>3853</v>
      </c>
      <c r="AT43" s="144">
        <v>13.376299999999999</v>
      </c>
      <c r="AU43" s="144">
        <v>13.3762738</v>
      </c>
      <c r="AV43" s="145" t="s">
        <v>3853</v>
      </c>
      <c r="AW43" s="145" t="s">
        <v>3853</v>
      </c>
      <c r="AX43" s="145" t="s">
        <v>3853</v>
      </c>
      <c r="AY43" s="145" t="s">
        <v>3853</v>
      </c>
      <c r="AZ43" s="146">
        <v>7.2520223984104317E-4</v>
      </c>
      <c r="BA43" s="147">
        <v>2.0196820439249949E-5</v>
      </c>
      <c r="BB43" s="181"/>
    </row>
    <row r="44" spans="1:54" ht="15" x14ac:dyDescent="0.2">
      <c r="A44" s="142" t="s">
        <v>1205</v>
      </c>
      <c r="B44" s="143" t="s">
        <v>1205</v>
      </c>
      <c r="C44" s="145" t="s">
        <v>3853</v>
      </c>
      <c r="D44" s="145" t="s">
        <v>3853</v>
      </c>
      <c r="E44" s="145" t="s">
        <v>3853</v>
      </c>
      <c r="F44" s="143" t="s">
        <v>3785</v>
      </c>
      <c r="G44" s="143" t="s">
        <v>1012</v>
      </c>
      <c r="H44" s="143" t="s">
        <v>784</v>
      </c>
      <c r="I44" s="143" t="s">
        <v>204</v>
      </c>
      <c r="J44" s="145" t="s">
        <v>3853</v>
      </c>
      <c r="K44" s="143" t="s">
        <v>443</v>
      </c>
      <c r="L44" s="143" t="s">
        <v>339</v>
      </c>
      <c r="M44" s="143" t="s">
        <v>338</v>
      </c>
      <c r="N44" s="145" t="s">
        <v>3853</v>
      </c>
      <c r="O44" s="143" t="s">
        <v>3786</v>
      </c>
      <c r="P44" s="145" t="s">
        <v>3853</v>
      </c>
      <c r="Q44" s="143" t="s">
        <v>410</v>
      </c>
      <c r="R44" s="143" t="s">
        <v>410</v>
      </c>
      <c r="S44" s="143" t="s">
        <v>1210</v>
      </c>
      <c r="T44" s="144">
        <v>0.87</v>
      </c>
      <c r="U44" s="170" t="s">
        <v>823</v>
      </c>
      <c r="V44" s="146">
        <v>7.0000000000000007E-2</v>
      </c>
      <c r="W44" s="145" t="s">
        <v>3853</v>
      </c>
      <c r="X44" s="145" t="s">
        <v>3853</v>
      </c>
      <c r="Y44" s="166">
        <v>0</v>
      </c>
      <c r="Z44" s="146">
        <v>6.9400000000000003E-2</v>
      </c>
      <c r="AA44" s="143" t="s">
        <v>3762</v>
      </c>
      <c r="AB44" s="143" t="s">
        <v>412</v>
      </c>
      <c r="AC44" s="145" t="s">
        <v>3853</v>
      </c>
      <c r="AD44" s="145" t="s">
        <v>3853</v>
      </c>
      <c r="AE44" s="171">
        <v>0.67</v>
      </c>
      <c r="AF44" s="143" t="s">
        <v>3779</v>
      </c>
      <c r="AG44" s="145" t="s">
        <v>3853</v>
      </c>
      <c r="AH44" s="145" t="s">
        <v>3853</v>
      </c>
      <c r="AI44" s="145" t="s">
        <v>3853</v>
      </c>
      <c r="AJ44" s="143" t="s">
        <v>338</v>
      </c>
      <c r="AK44" s="143" t="s">
        <v>886</v>
      </c>
      <c r="AL44" s="145" t="s">
        <v>3853</v>
      </c>
      <c r="AM44" s="143" t="s">
        <v>889</v>
      </c>
      <c r="AN44" s="163">
        <v>45473</v>
      </c>
      <c r="AO44" s="163">
        <v>45473</v>
      </c>
      <c r="AP44" s="145" t="s">
        <v>3853</v>
      </c>
      <c r="AQ44" s="144">
        <v>12085</v>
      </c>
      <c r="AR44" s="143" t="s">
        <v>3787</v>
      </c>
      <c r="AS44" s="145" t="s">
        <v>3853</v>
      </c>
      <c r="AT44" s="144">
        <v>12.417299999999999</v>
      </c>
      <c r="AU44" s="144">
        <v>12.4173375</v>
      </c>
      <c r="AV44" s="145" t="s">
        <v>3853</v>
      </c>
      <c r="AW44" s="145" t="s">
        <v>3853</v>
      </c>
      <c r="AX44" s="145" t="s">
        <v>3853</v>
      </c>
      <c r="AY44" s="145" t="s">
        <v>3853</v>
      </c>
      <c r="AZ44" s="146">
        <v>6.7321296641641073E-4</v>
      </c>
      <c r="BA44" s="147">
        <v>1.8748923614835117E-5</v>
      </c>
      <c r="BB44" s="181"/>
    </row>
    <row r="45" spans="1:54" ht="15" x14ac:dyDescent="0.2">
      <c r="A45" s="142" t="s">
        <v>1205</v>
      </c>
      <c r="B45" s="143" t="s">
        <v>1205</v>
      </c>
      <c r="C45" s="145" t="s">
        <v>3853</v>
      </c>
      <c r="D45" s="145" t="s">
        <v>3853</v>
      </c>
      <c r="E45" s="145" t="s">
        <v>3853</v>
      </c>
      <c r="F45" s="143" t="s">
        <v>3788</v>
      </c>
      <c r="G45" s="143" t="s">
        <v>1012</v>
      </c>
      <c r="H45" s="143" t="s">
        <v>784</v>
      </c>
      <c r="I45" s="143" t="s">
        <v>204</v>
      </c>
      <c r="J45" s="145" t="s">
        <v>3853</v>
      </c>
      <c r="K45" s="143" t="s">
        <v>443</v>
      </c>
      <c r="L45" s="143" t="s">
        <v>339</v>
      </c>
      <c r="M45" s="143" t="s">
        <v>338</v>
      </c>
      <c r="N45" s="145" t="s">
        <v>3853</v>
      </c>
      <c r="O45" s="143" t="s">
        <v>3758</v>
      </c>
      <c r="P45" s="145" t="s">
        <v>3853</v>
      </c>
      <c r="Q45" s="143" t="s">
        <v>410</v>
      </c>
      <c r="R45" s="143" t="s">
        <v>410</v>
      </c>
      <c r="S45" s="143" t="s">
        <v>1210</v>
      </c>
      <c r="T45" s="144">
        <v>0.87</v>
      </c>
      <c r="U45" s="170" t="s">
        <v>823</v>
      </c>
      <c r="V45" s="146">
        <v>7.0000000000000007E-2</v>
      </c>
      <c r="W45" s="145" t="s">
        <v>3853</v>
      </c>
      <c r="X45" s="145" t="s">
        <v>3853</v>
      </c>
      <c r="Y45" s="166">
        <v>0</v>
      </c>
      <c r="Z45" s="146">
        <v>7.1199999999999999E-2</v>
      </c>
      <c r="AA45" s="143" t="s">
        <v>3789</v>
      </c>
      <c r="AB45" s="143" t="s">
        <v>412</v>
      </c>
      <c r="AC45" s="145" t="s">
        <v>3853</v>
      </c>
      <c r="AD45" s="145" t="s">
        <v>3853</v>
      </c>
      <c r="AE45" s="171">
        <v>0.67</v>
      </c>
      <c r="AF45" s="143" t="s">
        <v>3779</v>
      </c>
      <c r="AG45" s="145" t="s">
        <v>3853</v>
      </c>
      <c r="AH45" s="145" t="s">
        <v>3853</v>
      </c>
      <c r="AI45" s="145" t="s">
        <v>3853</v>
      </c>
      <c r="AJ45" s="143" t="s">
        <v>338</v>
      </c>
      <c r="AK45" s="143" t="s">
        <v>886</v>
      </c>
      <c r="AL45" s="145" t="s">
        <v>3853</v>
      </c>
      <c r="AM45" s="143" t="s">
        <v>889</v>
      </c>
      <c r="AN45" s="163">
        <v>45473</v>
      </c>
      <c r="AO45" s="163">
        <v>45473</v>
      </c>
      <c r="AP45" s="145" t="s">
        <v>3853</v>
      </c>
      <c r="AQ45" s="144">
        <v>11639</v>
      </c>
      <c r="AR45" s="143" t="s">
        <v>3790</v>
      </c>
      <c r="AS45" s="145" t="s">
        <v>3853</v>
      </c>
      <c r="AT45" s="144">
        <v>11.941600000000001</v>
      </c>
      <c r="AU45" s="144">
        <v>11.941614</v>
      </c>
      <c r="AV45" s="145" t="s">
        <v>3853</v>
      </c>
      <c r="AW45" s="145" t="s">
        <v>3853</v>
      </c>
      <c r="AX45" s="145" t="s">
        <v>3853</v>
      </c>
      <c r="AY45" s="145" t="s">
        <v>3853</v>
      </c>
      <c r="AZ45" s="146">
        <v>6.4742134815452509E-4</v>
      </c>
      <c r="BA45" s="147">
        <v>1.8030629249132162E-5</v>
      </c>
      <c r="BB45" s="181"/>
    </row>
    <row r="46" spans="1:54" ht="15" x14ac:dyDescent="0.2">
      <c r="A46" s="142" t="s">
        <v>1205</v>
      </c>
      <c r="B46" s="143" t="s">
        <v>1205</v>
      </c>
      <c r="C46" s="145" t="s">
        <v>3853</v>
      </c>
      <c r="D46" s="145" t="s">
        <v>3853</v>
      </c>
      <c r="E46" s="145" t="s">
        <v>3853</v>
      </c>
      <c r="F46" s="143" t="s">
        <v>3791</v>
      </c>
      <c r="G46" s="143" t="s">
        <v>1012</v>
      </c>
      <c r="H46" s="143" t="s">
        <v>784</v>
      </c>
      <c r="I46" s="143" t="s">
        <v>204</v>
      </c>
      <c r="J46" s="145" t="s">
        <v>3853</v>
      </c>
      <c r="K46" s="143" t="s">
        <v>443</v>
      </c>
      <c r="L46" s="143" t="s">
        <v>339</v>
      </c>
      <c r="M46" s="143" t="s">
        <v>338</v>
      </c>
      <c r="N46" s="145" t="s">
        <v>3853</v>
      </c>
      <c r="O46" s="143" t="s">
        <v>3792</v>
      </c>
      <c r="P46" s="145" t="s">
        <v>3853</v>
      </c>
      <c r="Q46" s="143" t="s">
        <v>410</v>
      </c>
      <c r="R46" s="143" t="s">
        <v>410</v>
      </c>
      <c r="S46" s="143" t="s">
        <v>1210</v>
      </c>
      <c r="T46" s="144">
        <v>0.87</v>
      </c>
      <c r="U46" s="170" t="s">
        <v>823</v>
      </c>
      <c r="V46" s="146">
        <v>7.0000000000000007E-2</v>
      </c>
      <c r="W46" s="145" t="s">
        <v>3853</v>
      </c>
      <c r="X46" s="145" t="s">
        <v>3853</v>
      </c>
      <c r="Y46" s="166">
        <v>0</v>
      </c>
      <c r="Z46" s="146">
        <v>7.0499999999999993E-2</v>
      </c>
      <c r="AA46" s="143" t="s">
        <v>3762</v>
      </c>
      <c r="AB46" s="143" t="s">
        <v>412</v>
      </c>
      <c r="AC46" s="145" t="s">
        <v>3853</v>
      </c>
      <c r="AD46" s="145" t="s">
        <v>3853</v>
      </c>
      <c r="AE46" s="171">
        <v>0.67</v>
      </c>
      <c r="AF46" s="143" t="s">
        <v>3779</v>
      </c>
      <c r="AG46" s="145" t="s">
        <v>3853</v>
      </c>
      <c r="AH46" s="145" t="s">
        <v>3853</v>
      </c>
      <c r="AI46" s="145" t="s">
        <v>3853</v>
      </c>
      <c r="AJ46" s="143" t="s">
        <v>338</v>
      </c>
      <c r="AK46" s="143" t="s">
        <v>886</v>
      </c>
      <c r="AL46" s="145" t="s">
        <v>3853</v>
      </c>
      <c r="AM46" s="143" t="s">
        <v>889</v>
      </c>
      <c r="AN46" s="163">
        <v>45473</v>
      </c>
      <c r="AO46" s="163">
        <v>45473</v>
      </c>
      <c r="AP46" s="145" t="s">
        <v>3853</v>
      </c>
      <c r="AQ46" s="144">
        <v>10473</v>
      </c>
      <c r="AR46" s="143" t="s">
        <v>3793</v>
      </c>
      <c r="AS46" s="145" t="s">
        <v>3853</v>
      </c>
      <c r="AT46" s="144">
        <v>10.7516</v>
      </c>
      <c r="AU46" s="144">
        <v>10.7515818</v>
      </c>
      <c r="AV46" s="145" t="s">
        <v>3853</v>
      </c>
      <c r="AW46" s="145" t="s">
        <v>3853</v>
      </c>
      <c r="AX46" s="145" t="s">
        <v>3853</v>
      </c>
      <c r="AY46" s="145" t="s">
        <v>3853</v>
      </c>
      <c r="AZ46" s="146">
        <v>5.829030802494249E-4</v>
      </c>
      <c r="BA46" s="147">
        <v>1.6233800998551536E-5</v>
      </c>
      <c r="BB46" s="181"/>
    </row>
    <row r="47" spans="1:54" ht="15" x14ac:dyDescent="0.2">
      <c r="A47" s="142" t="s">
        <v>1205</v>
      </c>
      <c r="B47" s="143" t="s">
        <v>1205</v>
      </c>
      <c r="C47" s="145" t="s">
        <v>3853</v>
      </c>
      <c r="D47" s="145" t="s">
        <v>3853</v>
      </c>
      <c r="E47" s="145" t="s">
        <v>3853</v>
      </c>
      <c r="F47" s="143" t="s">
        <v>3794</v>
      </c>
      <c r="G47" s="143" t="s">
        <v>1012</v>
      </c>
      <c r="H47" s="145" t="s">
        <v>3853</v>
      </c>
      <c r="I47" s="143" t="s">
        <v>204</v>
      </c>
      <c r="J47" s="145" t="s">
        <v>3853</v>
      </c>
      <c r="K47" s="143" t="s">
        <v>454</v>
      </c>
      <c r="L47" s="143" t="s">
        <v>339</v>
      </c>
      <c r="M47" s="143" t="s">
        <v>338</v>
      </c>
      <c r="N47" s="145" t="s">
        <v>3853</v>
      </c>
      <c r="O47" s="143" t="s">
        <v>3795</v>
      </c>
      <c r="P47" s="143" t="s">
        <v>1735</v>
      </c>
      <c r="Q47" s="143" t="s">
        <v>413</v>
      </c>
      <c r="R47" s="143" t="s">
        <v>408</v>
      </c>
      <c r="S47" s="143" t="s">
        <v>1210</v>
      </c>
      <c r="T47" s="144">
        <v>5.89</v>
      </c>
      <c r="U47" s="170" t="s">
        <v>824</v>
      </c>
      <c r="V47" s="146">
        <v>3.3099999999999997E-2</v>
      </c>
      <c r="W47" s="145" t="s">
        <v>3853</v>
      </c>
      <c r="X47" s="145" t="s">
        <v>3853</v>
      </c>
      <c r="Y47" s="166">
        <v>0</v>
      </c>
      <c r="Z47" s="146">
        <v>3.44E-2</v>
      </c>
      <c r="AA47" s="143" t="s">
        <v>3666</v>
      </c>
      <c r="AB47" s="143" t="s">
        <v>412</v>
      </c>
      <c r="AC47" s="145" t="s">
        <v>3853</v>
      </c>
      <c r="AD47" s="145" t="s">
        <v>3853</v>
      </c>
      <c r="AE47" s="145" t="s">
        <v>3853</v>
      </c>
      <c r="AF47" s="145" t="s">
        <v>3853</v>
      </c>
      <c r="AG47" s="145" t="s">
        <v>3853</v>
      </c>
      <c r="AH47" s="145" t="s">
        <v>3853</v>
      </c>
      <c r="AI47" s="145" t="s">
        <v>3853</v>
      </c>
      <c r="AJ47" s="145" t="s">
        <v>3853</v>
      </c>
      <c r="AK47" s="143" t="s">
        <v>886</v>
      </c>
      <c r="AL47" s="145" t="s">
        <v>3853</v>
      </c>
      <c r="AM47" s="143" t="s">
        <v>889</v>
      </c>
      <c r="AN47" s="163">
        <v>45473</v>
      </c>
      <c r="AO47" s="163">
        <v>45473</v>
      </c>
      <c r="AP47" s="145" t="s">
        <v>3853</v>
      </c>
      <c r="AQ47" s="144">
        <v>7665.86</v>
      </c>
      <c r="AR47" s="143" t="s">
        <v>3796</v>
      </c>
      <c r="AS47" s="145" t="s">
        <v>3853</v>
      </c>
      <c r="AT47" s="144">
        <v>8.7406000000000006</v>
      </c>
      <c r="AU47" s="144">
        <v>8.7406135999999996</v>
      </c>
      <c r="AV47" s="145" t="s">
        <v>3853</v>
      </c>
      <c r="AW47" s="145" t="s">
        <v>3853</v>
      </c>
      <c r="AX47" s="145" t="s">
        <v>3853</v>
      </c>
      <c r="AY47" s="145" t="s">
        <v>3853</v>
      </c>
      <c r="AZ47" s="146">
        <v>4.7387730188582373E-4</v>
      </c>
      <c r="BA47" s="147">
        <v>1.3197442383137215E-5</v>
      </c>
      <c r="BB47" s="181"/>
    </row>
    <row r="48" spans="1:54" ht="15" x14ac:dyDescent="0.2">
      <c r="A48" s="142" t="s">
        <v>1205</v>
      </c>
      <c r="B48" s="143" t="s">
        <v>1205</v>
      </c>
      <c r="C48" s="145" t="s">
        <v>3853</v>
      </c>
      <c r="D48" s="145" t="s">
        <v>3853</v>
      </c>
      <c r="E48" s="145" t="s">
        <v>3853</v>
      </c>
      <c r="F48" s="143" t="s">
        <v>3797</v>
      </c>
      <c r="G48" s="143" t="s">
        <v>1012</v>
      </c>
      <c r="H48" s="143" t="s">
        <v>784</v>
      </c>
      <c r="I48" s="143" t="s">
        <v>204</v>
      </c>
      <c r="J48" s="145" t="s">
        <v>3853</v>
      </c>
      <c r="K48" s="143" t="s">
        <v>443</v>
      </c>
      <c r="L48" s="143" t="s">
        <v>339</v>
      </c>
      <c r="M48" s="143" t="s">
        <v>338</v>
      </c>
      <c r="N48" s="145" t="s">
        <v>3853</v>
      </c>
      <c r="O48" s="143" t="s">
        <v>3798</v>
      </c>
      <c r="P48" s="145" t="s">
        <v>3853</v>
      </c>
      <c r="Q48" s="143" t="s">
        <v>410</v>
      </c>
      <c r="R48" s="143" t="s">
        <v>410</v>
      </c>
      <c r="S48" s="143" t="s">
        <v>1210</v>
      </c>
      <c r="T48" s="144">
        <v>0.87</v>
      </c>
      <c r="U48" s="170" t="s">
        <v>823</v>
      </c>
      <c r="V48" s="146">
        <v>7.0000000000000007E-2</v>
      </c>
      <c r="W48" s="145" t="s">
        <v>3853</v>
      </c>
      <c r="X48" s="145" t="s">
        <v>3853</v>
      </c>
      <c r="Y48" s="166">
        <v>0</v>
      </c>
      <c r="Z48" s="146">
        <v>7.1599999999999997E-2</v>
      </c>
      <c r="AA48" s="143" t="s">
        <v>3789</v>
      </c>
      <c r="AB48" s="143" t="s">
        <v>412</v>
      </c>
      <c r="AC48" s="145" t="s">
        <v>3853</v>
      </c>
      <c r="AD48" s="145" t="s">
        <v>3853</v>
      </c>
      <c r="AE48" s="171">
        <v>0.67</v>
      </c>
      <c r="AF48" s="143" t="s">
        <v>3779</v>
      </c>
      <c r="AG48" s="145" t="s">
        <v>3853</v>
      </c>
      <c r="AH48" s="145" t="s">
        <v>3853</v>
      </c>
      <c r="AI48" s="145" t="s">
        <v>3853</v>
      </c>
      <c r="AJ48" s="143" t="s">
        <v>338</v>
      </c>
      <c r="AK48" s="143" t="s">
        <v>886</v>
      </c>
      <c r="AL48" s="145" t="s">
        <v>3853</v>
      </c>
      <c r="AM48" s="143" t="s">
        <v>889</v>
      </c>
      <c r="AN48" s="163">
        <v>45473</v>
      </c>
      <c r="AO48" s="163">
        <v>45473</v>
      </c>
      <c r="AP48" s="145" t="s">
        <v>3853</v>
      </c>
      <c r="AQ48" s="144">
        <v>7756</v>
      </c>
      <c r="AR48" s="143" t="s">
        <v>3799</v>
      </c>
      <c r="AS48" s="145" t="s">
        <v>3853</v>
      </c>
      <c r="AT48" s="144">
        <v>7.9553000000000003</v>
      </c>
      <c r="AU48" s="144">
        <v>7.9553292000000004</v>
      </c>
      <c r="AV48" s="145" t="s">
        <v>3853</v>
      </c>
      <c r="AW48" s="145" t="s">
        <v>3853</v>
      </c>
      <c r="AX48" s="145" t="s">
        <v>3853</v>
      </c>
      <c r="AY48" s="145" t="s">
        <v>3853</v>
      </c>
      <c r="AZ48" s="146">
        <v>4.3130266609497339E-4</v>
      </c>
      <c r="BA48" s="147">
        <v>1.201174241270863E-5</v>
      </c>
      <c r="BB48" s="181"/>
    </row>
    <row r="49" spans="1:54" ht="15" x14ac:dyDescent="0.2">
      <c r="A49" s="142" t="s">
        <v>1205</v>
      </c>
      <c r="B49" s="143" t="s">
        <v>1205</v>
      </c>
      <c r="C49" s="145" t="s">
        <v>3853</v>
      </c>
      <c r="D49" s="145" t="s">
        <v>3853</v>
      </c>
      <c r="E49" s="145" t="s">
        <v>3853</v>
      </c>
      <c r="F49" s="143" t="s">
        <v>3800</v>
      </c>
      <c r="G49" s="143" t="s">
        <v>1012</v>
      </c>
      <c r="H49" s="143" t="s">
        <v>784</v>
      </c>
      <c r="I49" s="143" t="s">
        <v>204</v>
      </c>
      <c r="J49" s="145" t="s">
        <v>3853</v>
      </c>
      <c r="K49" s="143" t="s">
        <v>443</v>
      </c>
      <c r="L49" s="143" t="s">
        <v>339</v>
      </c>
      <c r="M49" s="143" t="s">
        <v>338</v>
      </c>
      <c r="N49" s="145" t="s">
        <v>3853</v>
      </c>
      <c r="O49" s="143" t="s">
        <v>3801</v>
      </c>
      <c r="P49" s="145" t="s">
        <v>3853</v>
      </c>
      <c r="Q49" s="143" t="s">
        <v>410</v>
      </c>
      <c r="R49" s="143" t="s">
        <v>410</v>
      </c>
      <c r="S49" s="143" t="s">
        <v>1210</v>
      </c>
      <c r="T49" s="144">
        <v>0.87</v>
      </c>
      <c r="U49" s="170" t="s">
        <v>823</v>
      </c>
      <c r="V49" s="146">
        <v>7.0000000000000007E-2</v>
      </c>
      <c r="W49" s="145" t="s">
        <v>3853</v>
      </c>
      <c r="X49" s="145" t="s">
        <v>3853</v>
      </c>
      <c r="Y49" s="166">
        <v>0</v>
      </c>
      <c r="Z49" s="146">
        <v>7.1999999999999995E-2</v>
      </c>
      <c r="AA49" s="143" t="s">
        <v>3762</v>
      </c>
      <c r="AB49" s="143" t="s">
        <v>412</v>
      </c>
      <c r="AC49" s="145" t="s">
        <v>3853</v>
      </c>
      <c r="AD49" s="145" t="s">
        <v>3853</v>
      </c>
      <c r="AE49" s="171">
        <v>0.67</v>
      </c>
      <c r="AF49" s="143" t="s">
        <v>3779</v>
      </c>
      <c r="AG49" s="145" t="s">
        <v>3853</v>
      </c>
      <c r="AH49" s="145" t="s">
        <v>3853</v>
      </c>
      <c r="AI49" s="145" t="s">
        <v>3853</v>
      </c>
      <c r="AJ49" s="143" t="s">
        <v>338</v>
      </c>
      <c r="AK49" s="143" t="s">
        <v>886</v>
      </c>
      <c r="AL49" s="145" t="s">
        <v>3853</v>
      </c>
      <c r="AM49" s="143" t="s">
        <v>889</v>
      </c>
      <c r="AN49" s="163">
        <v>45473</v>
      </c>
      <c r="AO49" s="163">
        <v>45473</v>
      </c>
      <c r="AP49" s="145" t="s">
        <v>3853</v>
      </c>
      <c r="AQ49" s="144">
        <v>7737.54</v>
      </c>
      <c r="AR49" s="143" t="s">
        <v>3802</v>
      </c>
      <c r="AS49" s="145" t="s">
        <v>3853</v>
      </c>
      <c r="AT49" s="144">
        <v>7.9333</v>
      </c>
      <c r="AU49" s="144">
        <v>7.9332997999999995</v>
      </c>
      <c r="AV49" s="145" t="s">
        <v>3853</v>
      </c>
      <c r="AW49" s="145" t="s">
        <v>3853</v>
      </c>
      <c r="AX49" s="145" t="s">
        <v>3853</v>
      </c>
      <c r="AY49" s="145" t="s">
        <v>3853</v>
      </c>
      <c r="AZ49" s="146">
        <v>4.301083276706158E-4</v>
      </c>
      <c r="BA49" s="147">
        <v>1.1978480189600034E-5</v>
      </c>
      <c r="BB49" s="181"/>
    </row>
    <row r="50" spans="1:54" ht="15" x14ac:dyDescent="0.2">
      <c r="A50" s="142" t="s">
        <v>1205</v>
      </c>
      <c r="B50" s="143" t="s">
        <v>1205</v>
      </c>
      <c r="C50" s="145" t="s">
        <v>3853</v>
      </c>
      <c r="D50" s="145" t="s">
        <v>3853</v>
      </c>
      <c r="E50" s="145" t="s">
        <v>3853</v>
      </c>
      <c r="F50" s="143" t="s">
        <v>3803</v>
      </c>
      <c r="G50" s="143" t="s">
        <v>1012</v>
      </c>
      <c r="H50" s="143" t="s">
        <v>784</v>
      </c>
      <c r="I50" s="143" t="s">
        <v>204</v>
      </c>
      <c r="J50" s="145" t="s">
        <v>3853</v>
      </c>
      <c r="K50" s="143" t="s">
        <v>443</v>
      </c>
      <c r="L50" s="143" t="s">
        <v>339</v>
      </c>
      <c r="M50" s="143" t="s">
        <v>338</v>
      </c>
      <c r="N50" s="145" t="s">
        <v>3853</v>
      </c>
      <c r="O50" s="143" t="s">
        <v>3804</v>
      </c>
      <c r="P50" s="145" t="s">
        <v>3853</v>
      </c>
      <c r="Q50" s="143" t="s">
        <v>410</v>
      </c>
      <c r="R50" s="143" t="s">
        <v>410</v>
      </c>
      <c r="S50" s="143" t="s">
        <v>1210</v>
      </c>
      <c r="T50" s="144">
        <v>0.87</v>
      </c>
      <c r="U50" s="170" t="s">
        <v>823</v>
      </c>
      <c r="V50" s="146">
        <v>7.0000000000000007E-2</v>
      </c>
      <c r="W50" s="145" t="s">
        <v>3853</v>
      </c>
      <c r="X50" s="145" t="s">
        <v>3853</v>
      </c>
      <c r="Y50" s="166">
        <v>0</v>
      </c>
      <c r="Z50" s="146">
        <v>7.2599999999999998E-2</v>
      </c>
      <c r="AA50" s="143" t="s">
        <v>3789</v>
      </c>
      <c r="AB50" s="143" t="s">
        <v>412</v>
      </c>
      <c r="AC50" s="145" t="s">
        <v>3853</v>
      </c>
      <c r="AD50" s="145" t="s">
        <v>3853</v>
      </c>
      <c r="AE50" s="171">
        <v>0.67</v>
      </c>
      <c r="AF50" s="143" t="s">
        <v>3805</v>
      </c>
      <c r="AG50" s="145" t="s">
        <v>3853</v>
      </c>
      <c r="AH50" s="145" t="s">
        <v>3853</v>
      </c>
      <c r="AI50" s="145" t="s">
        <v>3853</v>
      </c>
      <c r="AJ50" s="143" t="s">
        <v>338</v>
      </c>
      <c r="AK50" s="143" t="s">
        <v>886</v>
      </c>
      <c r="AL50" s="145" t="s">
        <v>3853</v>
      </c>
      <c r="AM50" s="143" t="s">
        <v>889</v>
      </c>
      <c r="AN50" s="163">
        <v>45473</v>
      </c>
      <c r="AO50" s="163">
        <v>45473</v>
      </c>
      <c r="AP50" s="145" t="s">
        <v>3853</v>
      </c>
      <c r="AQ50" s="144">
        <v>5819</v>
      </c>
      <c r="AR50" s="143" t="s">
        <v>3806</v>
      </c>
      <c r="AS50" s="145" t="s">
        <v>3853</v>
      </c>
      <c r="AT50" s="144">
        <v>5.9633000000000003</v>
      </c>
      <c r="AU50" s="144">
        <v>5.9633112000000006</v>
      </c>
      <c r="AV50" s="145" t="s">
        <v>3853</v>
      </c>
      <c r="AW50" s="145" t="s">
        <v>3853</v>
      </c>
      <c r="AX50" s="145" t="s">
        <v>3853</v>
      </c>
      <c r="AY50" s="145" t="s">
        <v>3853</v>
      </c>
      <c r="AZ50" s="146">
        <v>3.2330428504630769E-4</v>
      </c>
      <c r="BA50" s="147">
        <v>9.0039967247641237E-6</v>
      </c>
      <c r="BB50" s="181"/>
    </row>
    <row r="51" spans="1:54" ht="15" x14ac:dyDescent="0.2">
      <c r="A51" s="142" t="s">
        <v>1205</v>
      </c>
      <c r="B51" s="143" t="s">
        <v>1205</v>
      </c>
      <c r="C51" s="145" t="s">
        <v>3853</v>
      </c>
      <c r="D51" s="145" t="s">
        <v>3853</v>
      </c>
      <c r="E51" s="145" t="s">
        <v>3853</v>
      </c>
      <c r="F51" s="143" t="s">
        <v>3807</v>
      </c>
      <c r="G51" s="143" t="s">
        <v>1012</v>
      </c>
      <c r="H51" s="143" t="s">
        <v>784</v>
      </c>
      <c r="I51" s="143" t="s">
        <v>204</v>
      </c>
      <c r="J51" s="145" t="s">
        <v>3853</v>
      </c>
      <c r="K51" s="143" t="s">
        <v>443</v>
      </c>
      <c r="L51" s="143" t="s">
        <v>339</v>
      </c>
      <c r="M51" s="143" t="s">
        <v>338</v>
      </c>
      <c r="N51" s="145" t="s">
        <v>3853</v>
      </c>
      <c r="O51" s="143" t="s">
        <v>3808</v>
      </c>
      <c r="P51" s="145" t="s">
        <v>3853</v>
      </c>
      <c r="Q51" s="143" t="s">
        <v>410</v>
      </c>
      <c r="R51" s="143" t="s">
        <v>410</v>
      </c>
      <c r="S51" s="143" t="s">
        <v>1210</v>
      </c>
      <c r="T51" s="144">
        <v>0.87</v>
      </c>
      <c r="U51" s="170" t="s">
        <v>823</v>
      </c>
      <c r="V51" s="146">
        <v>7.0000000000000007E-2</v>
      </c>
      <c r="W51" s="145" t="s">
        <v>3853</v>
      </c>
      <c r="X51" s="145" t="s">
        <v>3853</v>
      </c>
      <c r="Y51" s="166">
        <v>0</v>
      </c>
      <c r="Z51" s="146">
        <v>7.3400000000000007E-2</v>
      </c>
      <c r="AA51" s="143" t="s">
        <v>3762</v>
      </c>
      <c r="AB51" s="143" t="s">
        <v>412</v>
      </c>
      <c r="AC51" s="145" t="s">
        <v>3853</v>
      </c>
      <c r="AD51" s="145" t="s">
        <v>3853</v>
      </c>
      <c r="AE51" s="171">
        <v>0.67</v>
      </c>
      <c r="AF51" s="143" t="s">
        <v>3779</v>
      </c>
      <c r="AG51" s="145" t="s">
        <v>3853</v>
      </c>
      <c r="AH51" s="145" t="s">
        <v>3853</v>
      </c>
      <c r="AI51" s="145" t="s">
        <v>3853</v>
      </c>
      <c r="AJ51" s="143" t="s">
        <v>338</v>
      </c>
      <c r="AK51" s="143" t="s">
        <v>886</v>
      </c>
      <c r="AL51" s="145" t="s">
        <v>3853</v>
      </c>
      <c r="AM51" s="143" t="s">
        <v>889</v>
      </c>
      <c r="AN51" s="163">
        <v>45473</v>
      </c>
      <c r="AO51" s="163">
        <v>45473</v>
      </c>
      <c r="AP51" s="145" t="s">
        <v>3853</v>
      </c>
      <c r="AQ51" s="144">
        <v>5819</v>
      </c>
      <c r="AR51" s="143" t="s">
        <v>3809</v>
      </c>
      <c r="AS51" s="145" t="s">
        <v>3853</v>
      </c>
      <c r="AT51" s="144">
        <v>5.9598000000000004</v>
      </c>
      <c r="AU51" s="144">
        <v>5.9598198</v>
      </c>
      <c r="AV51" s="145" t="s">
        <v>3853</v>
      </c>
      <c r="AW51" s="145" t="s">
        <v>3853</v>
      </c>
      <c r="AX51" s="145" t="s">
        <v>3853</v>
      </c>
      <c r="AY51" s="145" t="s">
        <v>3853</v>
      </c>
      <c r="AZ51" s="146">
        <v>3.2311499682321267E-4</v>
      </c>
      <c r="BA51" s="147">
        <v>8.9987250639182437E-6</v>
      </c>
      <c r="BB51" s="181"/>
    </row>
    <row r="52" spans="1:54" ht="15" x14ac:dyDescent="0.2">
      <c r="A52" s="142" t="s">
        <v>1205</v>
      </c>
      <c r="B52" s="143" t="s">
        <v>1205</v>
      </c>
      <c r="C52" s="145" t="s">
        <v>3853</v>
      </c>
      <c r="D52" s="145" t="s">
        <v>3853</v>
      </c>
      <c r="E52" s="145" t="s">
        <v>3853</v>
      </c>
      <c r="F52" s="143" t="s">
        <v>3810</v>
      </c>
      <c r="G52" s="143" t="s">
        <v>1012</v>
      </c>
      <c r="H52" s="143" t="s">
        <v>784</v>
      </c>
      <c r="I52" s="143" t="s">
        <v>204</v>
      </c>
      <c r="J52" s="145" t="s">
        <v>3853</v>
      </c>
      <c r="K52" s="143" t="s">
        <v>443</v>
      </c>
      <c r="L52" s="143" t="s">
        <v>339</v>
      </c>
      <c r="M52" s="143" t="s">
        <v>338</v>
      </c>
      <c r="N52" s="145" t="s">
        <v>3853</v>
      </c>
      <c r="O52" s="143" t="s">
        <v>3811</v>
      </c>
      <c r="P52" s="145" t="s">
        <v>3853</v>
      </c>
      <c r="Q52" s="143" t="s">
        <v>410</v>
      </c>
      <c r="R52" s="143" t="s">
        <v>410</v>
      </c>
      <c r="S52" s="143" t="s">
        <v>1210</v>
      </c>
      <c r="T52" s="144">
        <v>0.87</v>
      </c>
      <c r="U52" s="170" t="s">
        <v>823</v>
      </c>
      <c r="V52" s="146">
        <v>7.0000000000000007E-2</v>
      </c>
      <c r="W52" s="145" t="s">
        <v>3853</v>
      </c>
      <c r="X52" s="145" t="s">
        <v>3853</v>
      </c>
      <c r="Y52" s="166">
        <v>0</v>
      </c>
      <c r="Z52" s="146">
        <v>7.9799999999999996E-2</v>
      </c>
      <c r="AA52" s="143" t="s">
        <v>3762</v>
      </c>
      <c r="AB52" s="143" t="s">
        <v>412</v>
      </c>
      <c r="AC52" s="145" t="s">
        <v>3853</v>
      </c>
      <c r="AD52" s="145" t="s">
        <v>3853</v>
      </c>
      <c r="AE52" s="171">
        <v>0.67</v>
      </c>
      <c r="AF52" s="143" t="s">
        <v>3779</v>
      </c>
      <c r="AG52" s="145" t="s">
        <v>3853</v>
      </c>
      <c r="AH52" s="145" t="s">
        <v>3853</v>
      </c>
      <c r="AI52" s="145" t="s">
        <v>3853</v>
      </c>
      <c r="AJ52" s="143" t="s">
        <v>338</v>
      </c>
      <c r="AK52" s="143" t="s">
        <v>886</v>
      </c>
      <c r="AL52" s="145" t="s">
        <v>3853</v>
      </c>
      <c r="AM52" s="143" t="s">
        <v>889</v>
      </c>
      <c r="AN52" s="163">
        <v>45473</v>
      </c>
      <c r="AO52" s="163">
        <v>45473</v>
      </c>
      <c r="AP52" s="145" t="s">
        <v>3853</v>
      </c>
      <c r="AQ52" s="144">
        <v>5815</v>
      </c>
      <c r="AR52" s="143" t="s">
        <v>3812</v>
      </c>
      <c r="AS52" s="145" t="s">
        <v>3853</v>
      </c>
      <c r="AT52" s="144">
        <v>5.9249000000000001</v>
      </c>
      <c r="AU52" s="144">
        <v>5.9249035000000001</v>
      </c>
      <c r="AV52" s="145" t="s">
        <v>3853</v>
      </c>
      <c r="AW52" s="145" t="s">
        <v>3853</v>
      </c>
      <c r="AX52" s="145" t="s">
        <v>3853</v>
      </c>
      <c r="AY52" s="145" t="s">
        <v>3853</v>
      </c>
      <c r="AZ52" s="146">
        <v>3.2122198989646325E-4</v>
      </c>
      <c r="BA52" s="147">
        <v>8.9460049826920819E-6</v>
      </c>
      <c r="BB52" s="181"/>
    </row>
    <row r="53" spans="1:54" ht="15" x14ac:dyDescent="0.2">
      <c r="A53" s="142" t="s">
        <v>1205</v>
      </c>
      <c r="B53" s="143" t="s">
        <v>1205</v>
      </c>
      <c r="C53" s="145" t="s">
        <v>3853</v>
      </c>
      <c r="D53" s="145" t="s">
        <v>3853</v>
      </c>
      <c r="E53" s="145" t="s">
        <v>3853</v>
      </c>
      <c r="F53" s="143" t="s">
        <v>3813</v>
      </c>
      <c r="G53" s="143" t="s">
        <v>1012</v>
      </c>
      <c r="H53" s="143" t="s">
        <v>784</v>
      </c>
      <c r="I53" s="143" t="s">
        <v>204</v>
      </c>
      <c r="J53" s="145" t="s">
        <v>3853</v>
      </c>
      <c r="K53" s="143" t="s">
        <v>443</v>
      </c>
      <c r="L53" s="143" t="s">
        <v>339</v>
      </c>
      <c r="M53" s="143" t="s">
        <v>338</v>
      </c>
      <c r="N53" s="145" t="s">
        <v>3853</v>
      </c>
      <c r="O53" s="143" t="s">
        <v>3814</v>
      </c>
      <c r="P53" s="145" t="s">
        <v>3853</v>
      </c>
      <c r="Q53" s="143" t="s">
        <v>410</v>
      </c>
      <c r="R53" s="143" t="s">
        <v>410</v>
      </c>
      <c r="S53" s="143" t="s">
        <v>1210</v>
      </c>
      <c r="T53" s="144">
        <v>0.87</v>
      </c>
      <c r="U53" s="170" t="s">
        <v>823</v>
      </c>
      <c r="V53" s="146">
        <v>7.0000000000000007E-2</v>
      </c>
      <c r="W53" s="145" t="s">
        <v>3853</v>
      </c>
      <c r="X53" s="145" t="s">
        <v>3853</v>
      </c>
      <c r="Y53" s="166">
        <v>0</v>
      </c>
      <c r="Z53" s="146">
        <v>8.2900000000000001E-2</v>
      </c>
      <c r="AA53" s="143" t="s">
        <v>3762</v>
      </c>
      <c r="AB53" s="143" t="s">
        <v>412</v>
      </c>
      <c r="AC53" s="145" t="s">
        <v>3853</v>
      </c>
      <c r="AD53" s="145" t="s">
        <v>3853</v>
      </c>
      <c r="AE53" s="171">
        <v>0.67</v>
      </c>
      <c r="AF53" s="143" t="s">
        <v>3779</v>
      </c>
      <c r="AG53" s="145" t="s">
        <v>3853</v>
      </c>
      <c r="AH53" s="145" t="s">
        <v>3853</v>
      </c>
      <c r="AI53" s="145" t="s">
        <v>3853</v>
      </c>
      <c r="AJ53" s="143" t="s">
        <v>338</v>
      </c>
      <c r="AK53" s="143" t="s">
        <v>886</v>
      </c>
      <c r="AL53" s="145" t="s">
        <v>3853</v>
      </c>
      <c r="AM53" s="143" t="s">
        <v>889</v>
      </c>
      <c r="AN53" s="163">
        <v>45473</v>
      </c>
      <c r="AO53" s="163">
        <v>45473</v>
      </c>
      <c r="AP53" s="145" t="s">
        <v>3853</v>
      </c>
      <c r="AQ53" s="144">
        <v>5814</v>
      </c>
      <c r="AR53" s="143" t="s">
        <v>3815</v>
      </c>
      <c r="AS53" s="145" t="s">
        <v>3853</v>
      </c>
      <c r="AT53" s="144">
        <v>5.8896000000000006</v>
      </c>
      <c r="AU53" s="144">
        <v>5.8895819999999999</v>
      </c>
      <c r="AV53" s="145" t="s">
        <v>3853</v>
      </c>
      <c r="AW53" s="145" t="s">
        <v>3853</v>
      </c>
      <c r="AX53" s="145" t="s">
        <v>3853</v>
      </c>
      <c r="AY53" s="145" t="s">
        <v>3853</v>
      </c>
      <c r="AZ53" s="146">
        <v>3.193070148228392E-4</v>
      </c>
      <c r="BA53" s="147">
        <v>8.8926730904517837E-6</v>
      </c>
      <c r="BB53" s="181"/>
    </row>
    <row r="54" spans="1:54" ht="15" x14ac:dyDescent="0.2">
      <c r="A54" s="142" t="s">
        <v>1205</v>
      </c>
      <c r="B54" s="143" t="s">
        <v>1205</v>
      </c>
      <c r="C54" s="145" t="s">
        <v>3853</v>
      </c>
      <c r="D54" s="145" t="s">
        <v>3853</v>
      </c>
      <c r="E54" s="145" t="s">
        <v>3853</v>
      </c>
      <c r="F54" s="143" t="s">
        <v>3816</v>
      </c>
      <c r="G54" s="143" t="s">
        <v>1012</v>
      </c>
      <c r="H54" s="143" t="s">
        <v>784</v>
      </c>
      <c r="I54" s="143" t="s">
        <v>204</v>
      </c>
      <c r="J54" s="145" t="s">
        <v>3853</v>
      </c>
      <c r="K54" s="143" t="s">
        <v>443</v>
      </c>
      <c r="L54" s="143" t="s">
        <v>339</v>
      </c>
      <c r="M54" s="143" t="s">
        <v>338</v>
      </c>
      <c r="N54" s="145" t="s">
        <v>3853</v>
      </c>
      <c r="O54" s="143" t="s">
        <v>3817</v>
      </c>
      <c r="P54" s="145" t="s">
        <v>3853</v>
      </c>
      <c r="Q54" s="143" t="s">
        <v>410</v>
      </c>
      <c r="R54" s="143" t="s">
        <v>410</v>
      </c>
      <c r="S54" s="143" t="s">
        <v>1210</v>
      </c>
      <c r="T54" s="144">
        <v>0.87</v>
      </c>
      <c r="U54" s="170" t="s">
        <v>823</v>
      </c>
      <c r="V54" s="146">
        <v>7.0000000000000007E-2</v>
      </c>
      <c r="W54" s="145" t="s">
        <v>3853</v>
      </c>
      <c r="X54" s="145" t="s">
        <v>3853</v>
      </c>
      <c r="Y54" s="166">
        <v>0</v>
      </c>
      <c r="Z54" s="146">
        <v>7.1900000000000006E-2</v>
      </c>
      <c r="AA54" s="143" t="s">
        <v>3789</v>
      </c>
      <c r="AB54" s="143" t="s">
        <v>412</v>
      </c>
      <c r="AC54" s="145" t="s">
        <v>3853</v>
      </c>
      <c r="AD54" s="145" t="s">
        <v>3853</v>
      </c>
      <c r="AE54" s="171">
        <v>0.67</v>
      </c>
      <c r="AF54" s="143" t="s">
        <v>3779</v>
      </c>
      <c r="AG54" s="145" t="s">
        <v>3853</v>
      </c>
      <c r="AH54" s="145" t="s">
        <v>3853</v>
      </c>
      <c r="AI54" s="145" t="s">
        <v>3853</v>
      </c>
      <c r="AJ54" s="143" t="s">
        <v>338</v>
      </c>
      <c r="AK54" s="143" t="s">
        <v>886</v>
      </c>
      <c r="AL54" s="145" t="s">
        <v>3853</v>
      </c>
      <c r="AM54" s="143" t="s">
        <v>889</v>
      </c>
      <c r="AN54" s="163">
        <v>45473</v>
      </c>
      <c r="AO54" s="163">
        <v>45473</v>
      </c>
      <c r="AP54" s="145" t="s">
        <v>3853</v>
      </c>
      <c r="AQ54" s="144">
        <v>5042</v>
      </c>
      <c r="AR54" s="143" t="s">
        <v>3818</v>
      </c>
      <c r="AS54" s="145" t="s">
        <v>3853</v>
      </c>
      <c r="AT54" s="144">
        <v>5.1701000000000006</v>
      </c>
      <c r="AU54" s="144">
        <v>5.1700667999999999</v>
      </c>
      <c r="AV54" s="145" t="s">
        <v>3853</v>
      </c>
      <c r="AW54" s="145" t="s">
        <v>3853</v>
      </c>
      <c r="AX54" s="145" t="s">
        <v>3853</v>
      </c>
      <c r="AY54" s="145" t="s">
        <v>3853</v>
      </c>
      <c r="AZ54" s="146">
        <v>2.8029809184126631E-4</v>
      </c>
      <c r="BA54" s="147">
        <v>7.806277917210112E-6</v>
      </c>
      <c r="BB54" s="181"/>
    </row>
    <row r="55" spans="1:54" ht="15" x14ac:dyDescent="0.2">
      <c r="A55" s="142" t="s">
        <v>1205</v>
      </c>
      <c r="B55" s="143" t="s">
        <v>1205</v>
      </c>
      <c r="C55" s="145" t="s">
        <v>3853</v>
      </c>
      <c r="D55" s="145" t="s">
        <v>3853</v>
      </c>
      <c r="E55" s="145" t="s">
        <v>3853</v>
      </c>
      <c r="F55" s="143" t="s">
        <v>3819</v>
      </c>
      <c r="G55" s="143" t="s">
        <v>1012</v>
      </c>
      <c r="H55" s="143" t="s">
        <v>784</v>
      </c>
      <c r="I55" s="143" t="s">
        <v>204</v>
      </c>
      <c r="J55" s="145" t="s">
        <v>3853</v>
      </c>
      <c r="K55" s="143" t="s">
        <v>443</v>
      </c>
      <c r="L55" s="143" t="s">
        <v>339</v>
      </c>
      <c r="M55" s="143" t="s">
        <v>338</v>
      </c>
      <c r="N55" s="145" t="s">
        <v>3853</v>
      </c>
      <c r="O55" s="143" t="s">
        <v>3820</v>
      </c>
      <c r="P55" s="145" t="s">
        <v>3853</v>
      </c>
      <c r="Q55" s="143" t="s">
        <v>410</v>
      </c>
      <c r="R55" s="143" t="s">
        <v>410</v>
      </c>
      <c r="S55" s="143" t="s">
        <v>1210</v>
      </c>
      <c r="T55" s="144">
        <v>0.87</v>
      </c>
      <c r="U55" s="170" t="s">
        <v>823</v>
      </c>
      <c r="V55" s="146">
        <v>7.0000000000000007E-2</v>
      </c>
      <c r="W55" s="145" t="s">
        <v>3853</v>
      </c>
      <c r="X55" s="145" t="s">
        <v>3853</v>
      </c>
      <c r="Y55" s="166">
        <v>0</v>
      </c>
      <c r="Z55" s="146">
        <v>7.7799999999999994E-2</v>
      </c>
      <c r="AA55" s="143" t="s">
        <v>3762</v>
      </c>
      <c r="AB55" s="143" t="s">
        <v>412</v>
      </c>
      <c r="AC55" s="145" t="s">
        <v>3853</v>
      </c>
      <c r="AD55" s="145" t="s">
        <v>3853</v>
      </c>
      <c r="AE55" s="171">
        <v>0.67</v>
      </c>
      <c r="AF55" s="143" t="s">
        <v>3779</v>
      </c>
      <c r="AG55" s="145" t="s">
        <v>3853</v>
      </c>
      <c r="AH55" s="145" t="s">
        <v>3853</v>
      </c>
      <c r="AI55" s="145" t="s">
        <v>3853</v>
      </c>
      <c r="AJ55" s="143" t="s">
        <v>338</v>
      </c>
      <c r="AK55" s="143" t="s">
        <v>886</v>
      </c>
      <c r="AL55" s="145" t="s">
        <v>3853</v>
      </c>
      <c r="AM55" s="143" t="s">
        <v>889</v>
      </c>
      <c r="AN55" s="163">
        <v>45473</v>
      </c>
      <c r="AO55" s="163">
        <v>45473</v>
      </c>
      <c r="AP55" s="145" t="s">
        <v>3853</v>
      </c>
      <c r="AQ55" s="144">
        <v>4264</v>
      </c>
      <c r="AR55" s="143" t="s">
        <v>3821</v>
      </c>
      <c r="AS55" s="145" t="s">
        <v>3853</v>
      </c>
      <c r="AT55" s="144">
        <v>4.3513999999999999</v>
      </c>
      <c r="AU55" s="144">
        <v>4.3514119999999998</v>
      </c>
      <c r="AV55" s="145" t="s">
        <v>3853</v>
      </c>
      <c r="AW55" s="145" t="s">
        <v>3853</v>
      </c>
      <c r="AX55" s="145" t="s">
        <v>3853</v>
      </c>
      <c r="AY55" s="145" t="s">
        <v>3853</v>
      </c>
      <c r="AZ55" s="146">
        <v>2.3591425944732248E-4</v>
      </c>
      <c r="BA55" s="147">
        <v>6.5701919759108505E-6</v>
      </c>
      <c r="BB55" s="181"/>
    </row>
    <row r="56" spans="1:54" ht="15" x14ac:dyDescent="0.2">
      <c r="A56" s="142" t="s">
        <v>1205</v>
      </c>
      <c r="B56" s="143" t="s">
        <v>1205</v>
      </c>
      <c r="C56" s="145" t="s">
        <v>3853</v>
      </c>
      <c r="D56" s="145" t="s">
        <v>3853</v>
      </c>
      <c r="E56" s="145" t="s">
        <v>3853</v>
      </c>
      <c r="F56" s="143" t="s">
        <v>3822</v>
      </c>
      <c r="G56" s="143" t="s">
        <v>1012</v>
      </c>
      <c r="H56" s="143" t="s">
        <v>784</v>
      </c>
      <c r="I56" s="143" t="s">
        <v>204</v>
      </c>
      <c r="J56" s="145" t="s">
        <v>3853</v>
      </c>
      <c r="K56" s="143" t="s">
        <v>443</v>
      </c>
      <c r="L56" s="143" t="s">
        <v>339</v>
      </c>
      <c r="M56" s="143" t="s">
        <v>338</v>
      </c>
      <c r="N56" s="145" t="s">
        <v>3853</v>
      </c>
      <c r="O56" s="143" t="s">
        <v>3823</v>
      </c>
      <c r="P56" s="145" t="s">
        <v>3853</v>
      </c>
      <c r="Q56" s="143" t="s">
        <v>410</v>
      </c>
      <c r="R56" s="143" t="s">
        <v>410</v>
      </c>
      <c r="S56" s="143" t="s">
        <v>1210</v>
      </c>
      <c r="T56" s="144">
        <v>0.87</v>
      </c>
      <c r="U56" s="170" t="s">
        <v>823</v>
      </c>
      <c r="V56" s="146">
        <v>7.0000000000000007E-2</v>
      </c>
      <c r="W56" s="145" t="s">
        <v>3853</v>
      </c>
      <c r="X56" s="145" t="s">
        <v>3853</v>
      </c>
      <c r="Y56" s="166">
        <v>0</v>
      </c>
      <c r="Z56" s="146">
        <v>7.0999999999999994E-2</v>
      </c>
      <c r="AA56" s="143" t="s">
        <v>3789</v>
      </c>
      <c r="AB56" s="143" t="s">
        <v>412</v>
      </c>
      <c r="AC56" s="145" t="s">
        <v>3853</v>
      </c>
      <c r="AD56" s="145" t="s">
        <v>3853</v>
      </c>
      <c r="AE56" s="171">
        <v>0.67</v>
      </c>
      <c r="AF56" s="143" t="s">
        <v>3779</v>
      </c>
      <c r="AG56" s="145" t="s">
        <v>3853</v>
      </c>
      <c r="AH56" s="145" t="s">
        <v>3853</v>
      </c>
      <c r="AI56" s="145" t="s">
        <v>3853</v>
      </c>
      <c r="AJ56" s="143" t="s">
        <v>338</v>
      </c>
      <c r="AK56" s="143" t="s">
        <v>886</v>
      </c>
      <c r="AL56" s="145" t="s">
        <v>3853</v>
      </c>
      <c r="AM56" s="143" t="s">
        <v>889</v>
      </c>
      <c r="AN56" s="163">
        <v>45473</v>
      </c>
      <c r="AO56" s="163">
        <v>45473</v>
      </c>
      <c r="AP56" s="145" t="s">
        <v>3853</v>
      </c>
      <c r="AQ56" s="144">
        <v>3866.88</v>
      </c>
      <c r="AR56" s="143" t="s">
        <v>3824</v>
      </c>
      <c r="AS56" s="145" t="s">
        <v>3853</v>
      </c>
      <c r="AT56" s="144">
        <v>3.9681999999999999</v>
      </c>
      <c r="AU56" s="144">
        <v>3.9681922999999997</v>
      </c>
      <c r="AV56" s="145" t="s">
        <v>3853</v>
      </c>
      <c r="AW56" s="145" t="s">
        <v>3853</v>
      </c>
      <c r="AX56" s="145" t="s">
        <v>3853</v>
      </c>
      <c r="AY56" s="145" t="s">
        <v>3853</v>
      </c>
      <c r="AZ56" s="146">
        <v>2.151377845671336E-4</v>
      </c>
      <c r="BA56" s="147">
        <v>5.9915689250392229E-6</v>
      </c>
      <c r="BB56" s="181"/>
    </row>
    <row r="57" spans="1:54" ht="15" x14ac:dyDescent="0.2">
      <c r="A57" s="142" t="s">
        <v>1205</v>
      </c>
      <c r="B57" s="143" t="s">
        <v>1205</v>
      </c>
      <c r="C57" s="145" t="s">
        <v>3853</v>
      </c>
      <c r="D57" s="145" t="s">
        <v>3853</v>
      </c>
      <c r="E57" s="145" t="s">
        <v>3853</v>
      </c>
      <c r="F57" s="143" t="s">
        <v>3825</v>
      </c>
      <c r="G57" s="143" t="s">
        <v>1012</v>
      </c>
      <c r="H57" s="143" t="s">
        <v>817</v>
      </c>
      <c r="I57" s="143" t="s">
        <v>204</v>
      </c>
      <c r="J57" s="145" t="s">
        <v>3853</v>
      </c>
      <c r="K57" s="143" t="s">
        <v>446</v>
      </c>
      <c r="L57" s="143" t="s">
        <v>339</v>
      </c>
      <c r="M57" s="143" t="s">
        <v>338</v>
      </c>
      <c r="N57" s="145" t="s">
        <v>3853</v>
      </c>
      <c r="O57" s="143" t="s">
        <v>3826</v>
      </c>
      <c r="P57" s="145" t="s">
        <v>3853</v>
      </c>
      <c r="Q57" s="143" t="s">
        <v>410</v>
      </c>
      <c r="R57" s="143" t="s">
        <v>410</v>
      </c>
      <c r="S57" s="143" t="s">
        <v>1210</v>
      </c>
      <c r="T57" s="144">
        <v>0.25</v>
      </c>
      <c r="U57" s="170" t="s">
        <v>823</v>
      </c>
      <c r="V57" s="146">
        <v>0.13500000000000001</v>
      </c>
      <c r="W57" s="145" t="s">
        <v>3853</v>
      </c>
      <c r="X57" s="145" t="s">
        <v>3853</v>
      </c>
      <c r="Y57" s="166">
        <v>0</v>
      </c>
      <c r="Z57" s="146">
        <v>0.15190000000000001</v>
      </c>
      <c r="AA57" s="143" t="s">
        <v>3827</v>
      </c>
      <c r="AB57" s="143" t="s">
        <v>412</v>
      </c>
      <c r="AC57" s="145" t="s">
        <v>3853</v>
      </c>
      <c r="AD57" s="145" t="s">
        <v>3853</v>
      </c>
      <c r="AE57" s="171">
        <v>0.72</v>
      </c>
      <c r="AF57" s="143" t="s">
        <v>3714</v>
      </c>
      <c r="AG57" s="145" t="s">
        <v>3853</v>
      </c>
      <c r="AH57" s="145" t="s">
        <v>3853</v>
      </c>
      <c r="AI57" s="145" t="s">
        <v>3853</v>
      </c>
      <c r="AJ57" s="143" t="s">
        <v>338</v>
      </c>
      <c r="AK57" s="143" t="s">
        <v>886</v>
      </c>
      <c r="AL57" s="145" t="s">
        <v>3853</v>
      </c>
      <c r="AM57" s="143" t="s">
        <v>889</v>
      </c>
      <c r="AN57" s="163">
        <v>45379</v>
      </c>
      <c r="AO57" s="163">
        <v>45379</v>
      </c>
      <c r="AP57" s="145" t="s">
        <v>3853</v>
      </c>
      <c r="AQ57" s="144">
        <v>3027</v>
      </c>
      <c r="AR57" s="143" t="s">
        <v>3828</v>
      </c>
      <c r="AS57" s="145" t="s">
        <v>3853</v>
      </c>
      <c r="AT57" s="144">
        <v>3.3456999999999999</v>
      </c>
      <c r="AU57" s="144">
        <v>3.3457431</v>
      </c>
      <c r="AV57" s="145" t="s">
        <v>3853</v>
      </c>
      <c r="AW57" s="145" t="s">
        <v>3853</v>
      </c>
      <c r="AX57" s="145" t="s">
        <v>3853</v>
      </c>
      <c r="AY57" s="145" t="s">
        <v>3853</v>
      </c>
      <c r="AZ57" s="146">
        <v>1.8139135198815671E-4</v>
      </c>
      <c r="BA57" s="147">
        <v>5.0517336600347419E-6</v>
      </c>
      <c r="BB57" s="181"/>
    </row>
    <row r="58" spans="1:54" ht="15" x14ac:dyDescent="0.2">
      <c r="A58" s="142" t="s">
        <v>1205</v>
      </c>
      <c r="B58" s="143" t="s">
        <v>1205</v>
      </c>
      <c r="C58" s="145" t="s">
        <v>3853</v>
      </c>
      <c r="D58" s="145" t="s">
        <v>3853</v>
      </c>
      <c r="E58" s="145" t="s">
        <v>3853</v>
      </c>
      <c r="F58" s="143" t="s">
        <v>3829</v>
      </c>
      <c r="G58" s="143" t="s">
        <v>1012</v>
      </c>
      <c r="H58" s="143" t="s">
        <v>793</v>
      </c>
      <c r="I58" s="143" t="s">
        <v>204</v>
      </c>
      <c r="J58" s="145" t="s">
        <v>3853</v>
      </c>
      <c r="K58" s="143" t="s">
        <v>447</v>
      </c>
      <c r="L58" s="143" t="s">
        <v>339</v>
      </c>
      <c r="M58" s="143" t="s">
        <v>338</v>
      </c>
      <c r="N58" s="145" t="s">
        <v>3853</v>
      </c>
      <c r="O58" s="143" t="s">
        <v>3782</v>
      </c>
      <c r="P58" s="145" t="s">
        <v>3853</v>
      </c>
      <c r="Q58" s="143" t="s">
        <v>410</v>
      </c>
      <c r="R58" s="143" t="s">
        <v>410</v>
      </c>
      <c r="S58" s="143" t="s">
        <v>1210</v>
      </c>
      <c r="T58" s="144">
        <v>0.01</v>
      </c>
      <c r="U58" s="170" t="s">
        <v>823</v>
      </c>
      <c r="V58" s="146">
        <v>0</v>
      </c>
      <c r="W58" s="145" t="s">
        <v>3853</v>
      </c>
      <c r="X58" s="145" t="s">
        <v>3853</v>
      </c>
      <c r="Y58" s="166">
        <v>0</v>
      </c>
      <c r="Z58" s="146">
        <v>1E-4</v>
      </c>
      <c r="AA58" s="143" t="s">
        <v>3830</v>
      </c>
      <c r="AB58" s="143" t="s">
        <v>412</v>
      </c>
      <c r="AC58" s="145" t="s">
        <v>3853</v>
      </c>
      <c r="AD58" s="145" t="s">
        <v>3853</v>
      </c>
      <c r="AE58" s="145" t="s">
        <v>3853</v>
      </c>
      <c r="AF58" s="143" t="s">
        <v>3694</v>
      </c>
      <c r="AG58" s="145" t="s">
        <v>3853</v>
      </c>
      <c r="AH58" s="145" t="s">
        <v>3853</v>
      </c>
      <c r="AI58" s="145" t="s">
        <v>3853</v>
      </c>
      <c r="AJ58" s="145" t="s">
        <v>3853</v>
      </c>
      <c r="AK58" s="143" t="s">
        <v>314</v>
      </c>
      <c r="AL58" s="145" t="s">
        <v>3853</v>
      </c>
      <c r="AM58" s="143" t="s">
        <v>888</v>
      </c>
      <c r="AN58" s="163">
        <v>45473</v>
      </c>
      <c r="AO58" s="163">
        <v>45473</v>
      </c>
      <c r="AP58" s="145" t="s">
        <v>3853</v>
      </c>
      <c r="AQ58" s="144">
        <v>26569.94</v>
      </c>
      <c r="AR58" s="143" t="s">
        <v>3831</v>
      </c>
      <c r="AS58" s="145" t="s">
        <v>3853</v>
      </c>
      <c r="AT58" s="144">
        <v>1.0575000000000001</v>
      </c>
      <c r="AU58" s="144">
        <v>1.0574836000000001</v>
      </c>
      <c r="AV58" s="145" t="s">
        <v>3853</v>
      </c>
      <c r="AW58" s="145" t="s">
        <v>3853</v>
      </c>
      <c r="AX58" s="145" t="s">
        <v>3853</v>
      </c>
      <c r="AY58" s="145" t="s">
        <v>3853</v>
      </c>
      <c r="AZ58" s="146">
        <v>5.7332071337455453E-5</v>
      </c>
      <c r="BA58" s="147">
        <v>1.5966932899526921E-6</v>
      </c>
      <c r="BB58" s="181"/>
    </row>
    <row r="59" spans="1:54" ht="15" x14ac:dyDescent="0.2">
      <c r="A59" s="142" t="s">
        <v>1218</v>
      </c>
      <c r="B59" s="143" t="s">
        <v>1219</v>
      </c>
      <c r="C59" s="145" t="s">
        <v>3853</v>
      </c>
      <c r="D59" s="145" t="s">
        <v>3853</v>
      </c>
      <c r="E59" s="145" t="s">
        <v>3853</v>
      </c>
      <c r="F59" s="143" t="s">
        <v>3832</v>
      </c>
      <c r="G59" s="143" t="s">
        <v>1011</v>
      </c>
      <c r="H59" s="145" t="s">
        <v>3853</v>
      </c>
      <c r="I59" s="143" t="s">
        <v>204</v>
      </c>
      <c r="J59" s="145" t="s">
        <v>3853</v>
      </c>
      <c r="K59" s="143" t="s">
        <v>478</v>
      </c>
      <c r="L59" s="143" t="s">
        <v>339</v>
      </c>
      <c r="M59" s="143" t="s">
        <v>339</v>
      </c>
      <c r="N59" s="145" t="s">
        <v>3853</v>
      </c>
      <c r="O59" s="143" t="s">
        <v>3833</v>
      </c>
      <c r="P59" s="143" t="s">
        <v>1735</v>
      </c>
      <c r="Q59" s="143" t="s">
        <v>413</v>
      </c>
      <c r="R59" s="143" t="s">
        <v>408</v>
      </c>
      <c r="S59" s="143" t="s">
        <v>1210</v>
      </c>
      <c r="T59" s="144">
        <v>2.0558000000000001</v>
      </c>
      <c r="U59" s="170" t="s">
        <v>314</v>
      </c>
      <c r="V59" s="146">
        <v>5.3999999999999999E-2</v>
      </c>
      <c r="W59" s="145" t="s">
        <v>3853</v>
      </c>
      <c r="X59" s="145" t="s">
        <v>3853</v>
      </c>
      <c r="Y59" s="166">
        <v>0</v>
      </c>
      <c r="Z59" s="146">
        <v>5.6049039383569997E-2</v>
      </c>
      <c r="AA59" s="143" t="s">
        <v>1514</v>
      </c>
      <c r="AB59" s="143" t="s">
        <v>412</v>
      </c>
      <c r="AC59" s="145" t="s">
        <v>3853</v>
      </c>
      <c r="AD59" s="145" t="s">
        <v>3853</v>
      </c>
      <c r="AE59" s="145" t="s">
        <v>3853</v>
      </c>
      <c r="AF59" s="143" t="s">
        <v>3644</v>
      </c>
      <c r="AG59" s="145" t="s">
        <v>3853</v>
      </c>
      <c r="AH59" s="145" t="s">
        <v>3853</v>
      </c>
      <c r="AI59" s="145" t="s">
        <v>3853</v>
      </c>
      <c r="AJ59" s="145" t="s">
        <v>3853</v>
      </c>
      <c r="AK59" s="143" t="s">
        <v>314</v>
      </c>
      <c r="AL59" s="145" t="s">
        <v>3853</v>
      </c>
      <c r="AM59" s="143" t="s">
        <v>889</v>
      </c>
      <c r="AN59" s="163">
        <v>45473</v>
      </c>
      <c r="AO59" s="163">
        <v>45473</v>
      </c>
      <c r="AP59" s="145" t="s">
        <v>3853</v>
      </c>
      <c r="AQ59" s="144">
        <v>1261296.56</v>
      </c>
      <c r="AR59" s="143" t="s">
        <v>3834</v>
      </c>
      <c r="AS59" s="145" t="s">
        <v>3853</v>
      </c>
      <c r="AT59" s="144">
        <v>1273.7292</v>
      </c>
      <c r="AU59" s="144">
        <v>1273.7291602</v>
      </c>
      <c r="AV59" s="145" t="s">
        <v>3853</v>
      </c>
      <c r="AW59" s="145" t="s">
        <v>3853</v>
      </c>
      <c r="AX59" s="145" t="s">
        <v>3853</v>
      </c>
      <c r="AY59" s="145" t="s">
        <v>3853</v>
      </c>
      <c r="AZ59" s="146">
        <v>1</v>
      </c>
      <c r="BA59" s="147">
        <v>4.4895799235364752E-3</v>
      </c>
      <c r="BB59" s="181"/>
    </row>
    <row r="60" spans="1:54" ht="15" x14ac:dyDescent="0.2">
      <c r="A60" s="142" t="s">
        <v>1218</v>
      </c>
      <c r="B60" s="143" t="s">
        <v>1218</v>
      </c>
      <c r="C60" s="145" t="s">
        <v>3853</v>
      </c>
      <c r="D60" s="145" t="s">
        <v>3853</v>
      </c>
      <c r="E60" s="145" t="s">
        <v>3853</v>
      </c>
      <c r="F60" s="143" t="s">
        <v>3835</v>
      </c>
      <c r="G60" s="143" t="s">
        <v>1011</v>
      </c>
      <c r="H60" s="145" t="s">
        <v>3853</v>
      </c>
      <c r="I60" s="143" t="s">
        <v>204</v>
      </c>
      <c r="J60" s="145" t="s">
        <v>3853</v>
      </c>
      <c r="K60" s="143" t="s">
        <v>478</v>
      </c>
      <c r="L60" s="143" t="s">
        <v>339</v>
      </c>
      <c r="M60" s="143" t="s">
        <v>339</v>
      </c>
      <c r="N60" s="145" t="s">
        <v>3853</v>
      </c>
      <c r="O60" s="143" t="s">
        <v>3643</v>
      </c>
      <c r="P60" s="143" t="s">
        <v>1735</v>
      </c>
      <c r="Q60" s="143" t="s">
        <v>413</v>
      </c>
      <c r="R60" s="143" t="s">
        <v>408</v>
      </c>
      <c r="S60" s="143" t="s">
        <v>1210</v>
      </c>
      <c r="T60" s="144">
        <v>1.5954000000000002</v>
      </c>
      <c r="U60" s="170" t="s">
        <v>314</v>
      </c>
      <c r="V60" s="146">
        <v>5.3999999999999999E-2</v>
      </c>
      <c r="W60" s="145" t="s">
        <v>3853</v>
      </c>
      <c r="X60" s="145" t="s">
        <v>3853</v>
      </c>
      <c r="Y60" s="166">
        <v>0</v>
      </c>
      <c r="Z60" s="146">
        <v>6.0386468878784703E-2</v>
      </c>
      <c r="AA60" s="143" t="s">
        <v>1514</v>
      </c>
      <c r="AB60" s="143" t="s">
        <v>412</v>
      </c>
      <c r="AC60" s="145" t="s">
        <v>3853</v>
      </c>
      <c r="AD60" s="145" t="s">
        <v>3853</v>
      </c>
      <c r="AE60" s="145" t="s">
        <v>3853</v>
      </c>
      <c r="AF60" s="143" t="s">
        <v>3644</v>
      </c>
      <c r="AG60" s="145" t="s">
        <v>3853</v>
      </c>
      <c r="AH60" s="145" t="s">
        <v>3853</v>
      </c>
      <c r="AI60" s="145" t="s">
        <v>3853</v>
      </c>
      <c r="AJ60" s="145" t="s">
        <v>3853</v>
      </c>
      <c r="AK60" s="143" t="s">
        <v>314</v>
      </c>
      <c r="AL60" s="145" t="s">
        <v>3853</v>
      </c>
      <c r="AM60" s="143" t="s">
        <v>889</v>
      </c>
      <c r="AN60" s="163">
        <v>45473</v>
      </c>
      <c r="AO60" s="163">
        <v>45473</v>
      </c>
      <c r="AP60" s="145" t="s">
        <v>3853</v>
      </c>
      <c r="AQ60" s="144">
        <v>31943115.170000002</v>
      </c>
      <c r="AR60" s="143" t="s">
        <v>3836</v>
      </c>
      <c r="AS60" s="145" t="s">
        <v>3853</v>
      </c>
      <c r="AT60" s="144">
        <v>32406.226500000001</v>
      </c>
      <c r="AU60" s="144">
        <v>32406.226453700001</v>
      </c>
      <c r="AV60" s="145" t="s">
        <v>3853</v>
      </c>
      <c r="AW60" s="145" t="s">
        <v>3853</v>
      </c>
      <c r="AX60" s="145" t="s">
        <v>3853</v>
      </c>
      <c r="AY60" s="145" t="s">
        <v>3853</v>
      </c>
      <c r="AZ60" s="146">
        <v>0.16545268222295806</v>
      </c>
      <c r="BA60" s="147">
        <v>4.3173552110083342E-3</v>
      </c>
      <c r="BB60" s="181"/>
    </row>
    <row r="61" spans="1:54" ht="15" x14ac:dyDescent="0.2">
      <c r="A61" s="142" t="s">
        <v>1218</v>
      </c>
      <c r="B61" s="143" t="s">
        <v>1218</v>
      </c>
      <c r="C61" s="145" t="s">
        <v>3853</v>
      </c>
      <c r="D61" s="145" t="s">
        <v>3853</v>
      </c>
      <c r="E61" s="145" t="s">
        <v>3853</v>
      </c>
      <c r="F61" s="143" t="s">
        <v>3652</v>
      </c>
      <c r="G61" s="143" t="s">
        <v>1012</v>
      </c>
      <c r="H61" s="143" t="s">
        <v>791</v>
      </c>
      <c r="I61" s="143" t="s">
        <v>204</v>
      </c>
      <c r="J61" s="145" t="s">
        <v>3853</v>
      </c>
      <c r="K61" s="143" t="s">
        <v>447</v>
      </c>
      <c r="L61" s="143" t="s">
        <v>339</v>
      </c>
      <c r="M61" s="143" t="s">
        <v>338</v>
      </c>
      <c r="N61" s="145" t="s">
        <v>3853</v>
      </c>
      <c r="O61" s="143" t="s">
        <v>3162</v>
      </c>
      <c r="P61" s="145" t="s">
        <v>3853</v>
      </c>
      <c r="Q61" s="143" t="s">
        <v>410</v>
      </c>
      <c r="R61" s="143" t="s">
        <v>410</v>
      </c>
      <c r="S61" s="143" t="s">
        <v>1210</v>
      </c>
      <c r="T61" s="144">
        <v>0.38</v>
      </c>
      <c r="U61" s="170" t="s">
        <v>823</v>
      </c>
      <c r="V61" s="146">
        <v>7.2499999999999995E-2</v>
      </c>
      <c r="W61" s="145" t="s">
        <v>3853</v>
      </c>
      <c r="X61" s="145" t="s">
        <v>3853</v>
      </c>
      <c r="Y61" s="166">
        <v>0</v>
      </c>
      <c r="Z61" s="146">
        <v>7.0400000000000004E-2</v>
      </c>
      <c r="AA61" s="143" t="s">
        <v>3653</v>
      </c>
      <c r="AB61" s="143" t="s">
        <v>412</v>
      </c>
      <c r="AC61" s="145" t="s">
        <v>3853</v>
      </c>
      <c r="AD61" s="145" t="s">
        <v>3853</v>
      </c>
      <c r="AE61" s="171">
        <v>0.88</v>
      </c>
      <c r="AF61" s="143" t="s">
        <v>3654</v>
      </c>
      <c r="AG61" s="145" t="s">
        <v>3853</v>
      </c>
      <c r="AH61" s="145" t="s">
        <v>3853</v>
      </c>
      <c r="AI61" s="145" t="s">
        <v>3853</v>
      </c>
      <c r="AJ61" s="143" t="s">
        <v>338</v>
      </c>
      <c r="AK61" s="143" t="s">
        <v>886</v>
      </c>
      <c r="AL61" s="145" t="s">
        <v>3853</v>
      </c>
      <c r="AM61" s="143" t="s">
        <v>889</v>
      </c>
      <c r="AN61" s="163">
        <v>45473</v>
      </c>
      <c r="AO61" s="163">
        <v>45473</v>
      </c>
      <c r="AP61" s="145" t="s">
        <v>3853</v>
      </c>
      <c r="AQ61" s="144">
        <v>18879000</v>
      </c>
      <c r="AR61" s="143" t="s">
        <v>3655</v>
      </c>
      <c r="AS61" s="145" t="s">
        <v>3853</v>
      </c>
      <c r="AT61" s="144">
        <v>16991.099999999999</v>
      </c>
      <c r="AU61" s="144">
        <v>16991.099999999999</v>
      </c>
      <c r="AV61" s="145" t="s">
        <v>3853</v>
      </c>
      <c r="AW61" s="145" t="s">
        <v>3853</v>
      </c>
      <c r="AX61" s="145" t="s">
        <v>3853</v>
      </c>
      <c r="AY61" s="145" t="s">
        <v>3853</v>
      </c>
      <c r="AZ61" s="146">
        <v>8.6749473065986044E-2</v>
      </c>
      <c r="BA61" s="147">
        <v>2.2636580112310369E-3</v>
      </c>
      <c r="BB61" s="181"/>
    </row>
    <row r="62" spans="1:54" ht="15" x14ac:dyDescent="0.2">
      <c r="A62" s="142" t="s">
        <v>1218</v>
      </c>
      <c r="B62" s="143" t="s">
        <v>1218</v>
      </c>
      <c r="C62" s="145" t="s">
        <v>3853</v>
      </c>
      <c r="D62" s="145" t="s">
        <v>3853</v>
      </c>
      <c r="E62" s="145" t="s">
        <v>3853</v>
      </c>
      <c r="F62" s="143" t="s">
        <v>3646</v>
      </c>
      <c r="G62" s="143" t="s">
        <v>1012</v>
      </c>
      <c r="H62" s="143" t="s">
        <v>817</v>
      </c>
      <c r="I62" s="143" t="s">
        <v>204</v>
      </c>
      <c r="J62" s="145" t="s">
        <v>3853</v>
      </c>
      <c r="K62" s="143" t="s">
        <v>447</v>
      </c>
      <c r="L62" s="143" t="s">
        <v>339</v>
      </c>
      <c r="M62" s="143" t="s">
        <v>338</v>
      </c>
      <c r="N62" s="145" t="s">
        <v>3853</v>
      </c>
      <c r="O62" s="143" t="s">
        <v>3647</v>
      </c>
      <c r="P62" s="143" t="s">
        <v>3648</v>
      </c>
      <c r="Q62" s="143" t="s">
        <v>415</v>
      </c>
      <c r="R62" s="143" t="s">
        <v>408</v>
      </c>
      <c r="S62" s="143" t="s">
        <v>1210</v>
      </c>
      <c r="T62" s="144">
        <v>0.53</v>
      </c>
      <c r="U62" s="170" t="s">
        <v>823</v>
      </c>
      <c r="V62" s="146">
        <v>7.400000000000001E-2</v>
      </c>
      <c r="W62" s="145" t="s">
        <v>3853</v>
      </c>
      <c r="X62" s="145" t="s">
        <v>3853</v>
      </c>
      <c r="Y62" s="166">
        <v>0</v>
      </c>
      <c r="Z62" s="146">
        <v>7.5999999999999998E-2</v>
      </c>
      <c r="AA62" s="143" t="s">
        <v>3649</v>
      </c>
      <c r="AB62" s="143" t="s">
        <v>412</v>
      </c>
      <c r="AC62" s="145" t="s">
        <v>3853</v>
      </c>
      <c r="AD62" s="145" t="s">
        <v>3853</v>
      </c>
      <c r="AE62" s="171">
        <v>0.55000000000000004</v>
      </c>
      <c r="AF62" s="143" t="s">
        <v>3650</v>
      </c>
      <c r="AG62" s="145" t="s">
        <v>3853</v>
      </c>
      <c r="AH62" s="145" t="s">
        <v>3853</v>
      </c>
      <c r="AI62" s="145" t="s">
        <v>3853</v>
      </c>
      <c r="AJ62" s="143" t="s">
        <v>339</v>
      </c>
      <c r="AK62" s="143" t="s">
        <v>886</v>
      </c>
      <c r="AL62" s="145" t="s">
        <v>3853</v>
      </c>
      <c r="AM62" s="143" t="s">
        <v>889</v>
      </c>
      <c r="AN62" s="163">
        <v>45473</v>
      </c>
      <c r="AO62" s="163">
        <v>45473</v>
      </c>
      <c r="AP62" s="145" t="s">
        <v>3853</v>
      </c>
      <c r="AQ62" s="144">
        <v>15392000</v>
      </c>
      <c r="AR62" s="143" t="s">
        <v>3651</v>
      </c>
      <c r="AS62" s="145" t="s">
        <v>3853</v>
      </c>
      <c r="AT62" s="144">
        <v>16084.64</v>
      </c>
      <c r="AU62" s="144">
        <v>16084.64</v>
      </c>
      <c r="AV62" s="145" t="s">
        <v>3853</v>
      </c>
      <c r="AW62" s="145" t="s">
        <v>3853</v>
      </c>
      <c r="AX62" s="145" t="s">
        <v>3853</v>
      </c>
      <c r="AY62" s="145" t="s">
        <v>3853</v>
      </c>
      <c r="AZ62" s="146">
        <v>8.2121466206195107E-2</v>
      </c>
      <c r="BA62" s="147">
        <v>2.1428938793702106E-3</v>
      </c>
      <c r="BB62" s="181"/>
    </row>
    <row r="63" spans="1:54" ht="15" x14ac:dyDescent="0.2">
      <c r="A63" s="142" t="s">
        <v>1218</v>
      </c>
      <c r="B63" s="143" t="s">
        <v>1218</v>
      </c>
      <c r="C63" s="145" t="s">
        <v>3853</v>
      </c>
      <c r="D63" s="145" t="s">
        <v>3853</v>
      </c>
      <c r="E63" s="145" t="s">
        <v>3853</v>
      </c>
      <c r="F63" s="143" t="s">
        <v>3656</v>
      </c>
      <c r="G63" s="143" t="s">
        <v>1012</v>
      </c>
      <c r="H63" s="145" t="s">
        <v>3853</v>
      </c>
      <c r="I63" s="143" t="s">
        <v>204</v>
      </c>
      <c r="J63" s="145" t="s">
        <v>3853</v>
      </c>
      <c r="K63" s="143" t="s">
        <v>485</v>
      </c>
      <c r="L63" s="143" t="s">
        <v>339</v>
      </c>
      <c r="M63" s="143" t="s">
        <v>338</v>
      </c>
      <c r="N63" s="145" t="s">
        <v>3853</v>
      </c>
      <c r="O63" s="143" t="s">
        <v>3200</v>
      </c>
      <c r="P63" s="143" t="s">
        <v>1359</v>
      </c>
      <c r="Q63" s="143" t="s">
        <v>415</v>
      </c>
      <c r="R63" s="143" t="s">
        <v>408</v>
      </c>
      <c r="S63" s="143" t="s">
        <v>1210</v>
      </c>
      <c r="T63" s="144">
        <v>10.09</v>
      </c>
      <c r="U63" s="170" t="s">
        <v>824</v>
      </c>
      <c r="V63" s="146">
        <v>0.03</v>
      </c>
      <c r="W63" s="145" t="s">
        <v>3853</v>
      </c>
      <c r="X63" s="145" t="s">
        <v>3853</v>
      </c>
      <c r="Y63" s="166">
        <v>0</v>
      </c>
      <c r="Z63" s="146">
        <v>4.1599999999999998E-2</v>
      </c>
      <c r="AA63" s="143" t="s">
        <v>3657</v>
      </c>
      <c r="AB63" s="143" t="s">
        <v>412</v>
      </c>
      <c r="AC63" s="145" t="s">
        <v>3853</v>
      </c>
      <c r="AD63" s="145" t="s">
        <v>3853</v>
      </c>
      <c r="AE63" s="171">
        <v>0.75</v>
      </c>
      <c r="AF63" s="143" t="s">
        <v>3658</v>
      </c>
      <c r="AG63" s="145" t="s">
        <v>3853</v>
      </c>
      <c r="AH63" s="145" t="s">
        <v>3853</v>
      </c>
      <c r="AI63" s="145" t="s">
        <v>3853</v>
      </c>
      <c r="AJ63" s="143" t="s">
        <v>338</v>
      </c>
      <c r="AK63" s="143" t="s">
        <v>886</v>
      </c>
      <c r="AL63" s="145" t="s">
        <v>3853</v>
      </c>
      <c r="AM63" s="143" t="s">
        <v>889</v>
      </c>
      <c r="AN63" s="163">
        <v>45473</v>
      </c>
      <c r="AO63" s="163">
        <v>45473</v>
      </c>
      <c r="AP63" s="145" t="s">
        <v>3853</v>
      </c>
      <c r="AQ63" s="144">
        <v>11313213.289999999</v>
      </c>
      <c r="AR63" s="143" t="s">
        <v>3659</v>
      </c>
      <c r="AS63" s="145" t="s">
        <v>3853</v>
      </c>
      <c r="AT63" s="144">
        <v>11464.810300000001</v>
      </c>
      <c r="AU63" s="144">
        <v>11464.8103481</v>
      </c>
      <c r="AV63" s="145" t="s">
        <v>3853</v>
      </c>
      <c r="AW63" s="145" t="s">
        <v>3853</v>
      </c>
      <c r="AX63" s="145" t="s">
        <v>3853</v>
      </c>
      <c r="AY63" s="145" t="s">
        <v>3853</v>
      </c>
      <c r="AZ63" s="146">
        <v>5.8534541995393145E-2</v>
      </c>
      <c r="BA63" s="147">
        <v>1.5274119857860507E-3</v>
      </c>
      <c r="BB63" s="181"/>
    </row>
    <row r="64" spans="1:54" ht="15" x14ac:dyDescent="0.2">
      <c r="A64" s="142" t="s">
        <v>1218</v>
      </c>
      <c r="B64" s="143" t="s">
        <v>1218</v>
      </c>
      <c r="C64" s="145" t="s">
        <v>3853</v>
      </c>
      <c r="D64" s="145" t="s">
        <v>3853</v>
      </c>
      <c r="E64" s="145" t="s">
        <v>3853</v>
      </c>
      <c r="F64" s="143" t="s">
        <v>3664</v>
      </c>
      <c r="G64" s="143" t="s">
        <v>1012</v>
      </c>
      <c r="H64" s="145" t="s">
        <v>3853</v>
      </c>
      <c r="I64" s="143" t="s">
        <v>204</v>
      </c>
      <c r="J64" s="145" t="s">
        <v>3853</v>
      </c>
      <c r="K64" s="143" t="s">
        <v>485</v>
      </c>
      <c r="L64" s="143" t="s">
        <v>339</v>
      </c>
      <c r="M64" s="143" t="s">
        <v>338</v>
      </c>
      <c r="N64" s="145" t="s">
        <v>3853</v>
      </c>
      <c r="O64" s="143" t="s">
        <v>3665</v>
      </c>
      <c r="P64" s="143" t="s">
        <v>1735</v>
      </c>
      <c r="Q64" s="143" t="s">
        <v>413</v>
      </c>
      <c r="R64" s="143" t="s">
        <v>408</v>
      </c>
      <c r="S64" s="143" t="s">
        <v>1210</v>
      </c>
      <c r="T64" s="144">
        <v>5.8</v>
      </c>
      <c r="U64" s="170" t="s">
        <v>824</v>
      </c>
      <c r="V64" s="146">
        <v>3.4099999999999998E-2</v>
      </c>
      <c r="W64" s="145" t="s">
        <v>3853</v>
      </c>
      <c r="X64" s="145" t="s">
        <v>3853</v>
      </c>
      <c r="Y64" s="166">
        <v>0</v>
      </c>
      <c r="Z64" s="146">
        <v>3.5400000000000001E-2</v>
      </c>
      <c r="AA64" s="143" t="s">
        <v>3666</v>
      </c>
      <c r="AB64" s="143" t="s">
        <v>412</v>
      </c>
      <c r="AC64" s="145" t="s">
        <v>3853</v>
      </c>
      <c r="AD64" s="145" t="s">
        <v>3853</v>
      </c>
      <c r="AE64" s="145" t="s">
        <v>3853</v>
      </c>
      <c r="AF64" s="145" t="s">
        <v>3853</v>
      </c>
      <c r="AG64" s="145" t="s">
        <v>3853</v>
      </c>
      <c r="AH64" s="145" t="s">
        <v>3853</v>
      </c>
      <c r="AI64" s="145" t="s">
        <v>3853</v>
      </c>
      <c r="AJ64" s="145" t="s">
        <v>3853</v>
      </c>
      <c r="AK64" s="143" t="s">
        <v>886</v>
      </c>
      <c r="AL64" s="145" t="s">
        <v>3853</v>
      </c>
      <c r="AM64" s="143" t="s">
        <v>889</v>
      </c>
      <c r="AN64" s="163">
        <v>45473</v>
      </c>
      <c r="AO64" s="163">
        <v>45473</v>
      </c>
      <c r="AP64" s="145" t="s">
        <v>3853</v>
      </c>
      <c r="AQ64" s="144">
        <v>7369176.7400000002</v>
      </c>
      <c r="AR64" s="143" t="s">
        <v>3667</v>
      </c>
      <c r="AS64" s="145" t="s">
        <v>3853</v>
      </c>
      <c r="AT64" s="144">
        <v>8422.2320999999993</v>
      </c>
      <c r="AU64" s="144">
        <v>8422.2320961000005</v>
      </c>
      <c r="AV64" s="145" t="s">
        <v>3853</v>
      </c>
      <c r="AW64" s="145" t="s">
        <v>3853</v>
      </c>
      <c r="AX64" s="145" t="s">
        <v>3853</v>
      </c>
      <c r="AY64" s="145" t="s">
        <v>3853</v>
      </c>
      <c r="AZ64" s="146">
        <v>4.3000405881908801E-2</v>
      </c>
      <c r="BA64" s="147">
        <v>1.12206114712338E-3</v>
      </c>
      <c r="BB64" s="181"/>
    </row>
    <row r="65" spans="1:54" ht="15" x14ac:dyDescent="0.2">
      <c r="A65" s="142" t="s">
        <v>1218</v>
      </c>
      <c r="B65" s="143" t="s">
        <v>1218</v>
      </c>
      <c r="C65" s="145" t="s">
        <v>3853</v>
      </c>
      <c r="D65" s="145" t="s">
        <v>3853</v>
      </c>
      <c r="E65" s="145" t="s">
        <v>3853</v>
      </c>
      <c r="F65" s="143" t="s">
        <v>3660</v>
      </c>
      <c r="G65" s="143" t="s">
        <v>1012</v>
      </c>
      <c r="H65" s="145" t="s">
        <v>3853</v>
      </c>
      <c r="I65" s="143" t="s">
        <v>204</v>
      </c>
      <c r="J65" s="145" t="s">
        <v>3853</v>
      </c>
      <c r="K65" s="143" t="s">
        <v>440</v>
      </c>
      <c r="L65" s="143" t="s">
        <v>339</v>
      </c>
      <c r="M65" s="143" t="s">
        <v>338</v>
      </c>
      <c r="N65" s="145" t="s">
        <v>3853</v>
      </c>
      <c r="O65" s="143" t="s">
        <v>3661</v>
      </c>
      <c r="P65" s="143" t="s">
        <v>1377</v>
      </c>
      <c r="Q65" s="143" t="s">
        <v>415</v>
      </c>
      <c r="R65" s="143" t="s">
        <v>408</v>
      </c>
      <c r="S65" s="143" t="s">
        <v>1210</v>
      </c>
      <c r="T65" s="144">
        <v>3.9</v>
      </c>
      <c r="U65" s="170" t="s">
        <v>824</v>
      </c>
      <c r="V65" s="146">
        <v>0</v>
      </c>
      <c r="W65" s="145" t="s">
        <v>3853</v>
      </c>
      <c r="X65" s="145" t="s">
        <v>3853</v>
      </c>
      <c r="Y65" s="166">
        <v>0</v>
      </c>
      <c r="Z65" s="146">
        <v>0.03</v>
      </c>
      <c r="AA65" s="143" t="s">
        <v>1771</v>
      </c>
      <c r="AB65" s="143" t="s">
        <v>412</v>
      </c>
      <c r="AC65" s="145" t="s">
        <v>3853</v>
      </c>
      <c r="AD65" s="145" t="s">
        <v>3853</v>
      </c>
      <c r="AE65" s="171">
        <v>0.75</v>
      </c>
      <c r="AF65" s="143" t="s">
        <v>3662</v>
      </c>
      <c r="AG65" s="145" t="s">
        <v>3853</v>
      </c>
      <c r="AH65" s="145" t="s">
        <v>3853</v>
      </c>
      <c r="AI65" s="145" t="s">
        <v>3853</v>
      </c>
      <c r="AJ65" s="143" t="s">
        <v>338</v>
      </c>
      <c r="AK65" s="143" t="s">
        <v>886</v>
      </c>
      <c r="AL65" s="145" t="s">
        <v>3853</v>
      </c>
      <c r="AM65" s="143" t="s">
        <v>889</v>
      </c>
      <c r="AN65" s="163">
        <v>45473</v>
      </c>
      <c r="AO65" s="163">
        <v>45473</v>
      </c>
      <c r="AP65" s="145" t="s">
        <v>3853</v>
      </c>
      <c r="AQ65" s="144">
        <v>7270425.3200000003</v>
      </c>
      <c r="AR65" s="143" t="s">
        <v>3663</v>
      </c>
      <c r="AS65" s="145" t="s">
        <v>3853</v>
      </c>
      <c r="AT65" s="144">
        <v>8370.440700000001</v>
      </c>
      <c r="AU65" s="144">
        <v>8370.4406708999995</v>
      </c>
      <c r="AV65" s="145" t="s">
        <v>3853</v>
      </c>
      <c r="AW65" s="145" t="s">
        <v>3853</v>
      </c>
      <c r="AX65" s="145" t="s">
        <v>3853</v>
      </c>
      <c r="AY65" s="145" t="s">
        <v>3853</v>
      </c>
      <c r="AZ65" s="146">
        <v>4.2735980456360192E-2</v>
      </c>
      <c r="BA65" s="147">
        <v>1.1151611774548498E-3</v>
      </c>
      <c r="BB65" s="181"/>
    </row>
    <row r="66" spans="1:54" ht="15" x14ac:dyDescent="0.2">
      <c r="A66" s="142" t="s">
        <v>1218</v>
      </c>
      <c r="B66" s="143" t="s">
        <v>1218</v>
      </c>
      <c r="C66" s="145" t="s">
        <v>3853</v>
      </c>
      <c r="D66" s="145" t="s">
        <v>3853</v>
      </c>
      <c r="E66" s="145" t="s">
        <v>3853</v>
      </c>
      <c r="F66" s="143" t="s">
        <v>3668</v>
      </c>
      <c r="G66" s="143" t="s">
        <v>1012</v>
      </c>
      <c r="H66" s="145" t="s">
        <v>3853</v>
      </c>
      <c r="I66" s="143" t="s">
        <v>204</v>
      </c>
      <c r="J66" s="145" t="s">
        <v>3853</v>
      </c>
      <c r="K66" s="143" t="s">
        <v>448</v>
      </c>
      <c r="L66" s="143" t="s">
        <v>339</v>
      </c>
      <c r="M66" s="143" t="s">
        <v>338</v>
      </c>
      <c r="N66" s="145" t="s">
        <v>3853</v>
      </c>
      <c r="O66" s="143" t="s">
        <v>3669</v>
      </c>
      <c r="P66" s="145" t="s">
        <v>3853</v>
      </c>
      <c r="Q66" s="143" t="s">
        <v>410</v>
      </c>
      <c r="R66" s="143" t="s">
        <v>410</v>
      </c>
      <c r="S66" s="143" t="s">
        <v>1210</v>
      </c>
      <c r="T66" s="144">
        <v>5.35</v>
      </c>
      <c r="U66" s="170" t="s">
        <v>823</v>
      </c>
      <c r="V66" s="146">
        <v>3.4764000000000003E-2</v>
      </c>
      <c r="W66" s="145" t="s">
        <v>3853</v>
      </c>
      <c r="X66" s="145" t="s">
        <v>3853</v>
      </c>
      <c r="Y66" s="166">
        <v>0</v>
      </c>
      <c r="Z66" s="146">
        <v>5.0500000000000003E-2</v>
      </c>
      <c r="AA66" s="143" t="s">
        <v>3670</v>
      </c>
      <c r="AB66" s="143" t="s">
        <v>412</v>
      </c>
      <c r="AC66" s="145" t="s">
        <v>3853</v>
      </c>
      <c r="AD66" s="145" t="s">
        <v>3853</v>
      </c>
      <c r="AE66" s="145" t="s">
        <v>3853</v>
      </c>
      <c r="AF66" s="145" t="s">
        <v>3853</v>
      </c>
      <c r="AG66" s="145" t="s">
        <v>3853</v>
      </c>
      <c r="AH66" s="145" t="s">
        <v>3853</v>
      </c>
      <c r="AI66" s="145" t="s">
        <v>3853</v>
      </c>
      <c r="AJ66" s="143" t="s">
        <v>339</v>
      </c>
      <c r="AK66" s="143" t="s">
        <v>886</v>
      </c>
      <c r="AL66" s="145" t="s">
        <v>3853</v>
      </c>
      <c r="AM66" s="143" t="s">
        <v>889</v>
      </c>
      <c r="AN66" s="163">
        <v>45473</v>
      </c>
      <c r="AO66" s="163">
        <v>45473</v>
      </c>
      <c r="AP66" s="145" t="s">
        <v>3853</v>
      </c>
      <c r="AQ66" s="144">
        <v>8681233.3499999996</v>
      </c>
      <c r="AR66" s="143" t="s">
        <v>3671</v>
      </c>
      <c r="AS66" s="145" t="s">
        <v>3853</v>
      </c>
      <c r="AT66" s="144">
        <v>8122.1619000000001</v>
      </c>
      <c r="AU66" s="144">
        <v>8122.1619222999998</v>
      </c>
      <c r="AV66" s="145" t="s">
        <v>3853</v>
      </c>
      <c r="AW66" s="145" t="s">
        <v>3853</v>
      </c>
      <c r="AX66" s="145" t="s">
        <v>3853</v>
      </c>
      <c r="AY66" s="145" t="s">
        <v>3853</v>
      </c>
      <c r="AZ66" s="146">
        <v>4.1468372672320876E-2</v>
      </c>
      <c r="BA66" s="147">
        <v>1.0820839677148347E-3</v>
      </c>
      <c r="BB66" s="181"/>
    </row>
    <row r="67" spans="1:54" ht="15" x14ac:dyDescent="0.2">
      <c r="A67" s="142" t="s">
        <v>1218</v>
      </c>
      <c r="B67" s="143" t="s">
        <v>1218</v>
      </c>
      <c r="C67" s="145" t="s">
        <v>3853</v>
      </c>
      <c r="D67" s="145" t="s">
        <v>3853</v>
      </c>
      <c r="E67" s="145" t="s">
        <v>3853</v>
      </c>
      <c r="F67" s="143" t="s">
        <v>3672</v>
      </c>
      <c r="G67" s="143" t="s">
        <v>1012</v>
      </c>
      <c r="H67" s="145" t="s">
        <v>3853</v>
      </c>
      <c r="I67" s="143" t="s">
        <v>204</v>
      </c>
      <c r="J67" s="145" t="s">
        <v>3853</v>
      </c>
      <c r="K67" s="143" t="s">
        <v>451</v>
      </c>
      <c r="L67" s="143" t="s">
        <v>339</v>
      </c>
      <c r="M67" s="143" t="s">
        <v>338</v>
      </c>
      <c r="N67" s="145" t="s">
        <v>3853</v>
      </c>
      <c r="O67" s="143" t="s">
        <v>3673</v>
      </c>
      <c r="P67" s="145" t="s">
        <v>3853</v>
      </c>
      <c r="Q67" s="143" t="s">
        <v>410</v>
      </c>
      <c r="R67" s="143" t="s">
        <v>410</v>
      </c>
      <c r="S67" s="143" t="s">
        <v>1211</v>
      </c>
      <c r="T67" s="144">
        <v>0.01</v>
      </c>
      <c r="U67" s="170" t="s">
        <v>314</v>
      </c>
      <c r="V67" s="143" t="s">
        <v>1266</v>
      </c>
      <c r="W67" s="145" t="s">
        <v>3853</v>
      </c>
      <c r="X67" s="145" t="s">
        <v>3853</v>
      </c>
      <c r="Y67" s="166">
        <v>0</v>
      </c>
      <c r="Z67" s="146">
        <v>1E-4</v>
      </c>
      <c r="AA67" s="143" t="s">
        <v>3673</v>
      </c>
      <c r="AB67" s="143" t="s">
        <v>412</v>
      </c>
      <c r="AC67" s="145" t="s">
        <v>3853</v>
      </c>
      <c r="AD67" s="145" t="s">
        <v>3853</v>
      </c>
      <c r="AE67" s="145" t="s">
        <v>3853</v>
      </c>
      <c r="AF67" s="145" t="s">
        <v>3853</v>
      </c>
      <c r="AG67" s="145" t="s">
        <v>3853</v>
      </c>
      <c r="AH67" s="145" t="s">
        <v>3853</v>
      </c>
      <c r="AI67" s="145" t="s">
        <v>3853</v>
      </c>
      <c r="AJ67" s="145" t="s">
        <v>3853</v>
      </c>
      <c r="AK67" s="143" t="s">
        <v>886</v>
      </c>
      <c r="AL67" s="145" t="s">
        <v>3853</v>
      </c>
      <c r="AM67" s="143" t="s">
        <v>889</v>
      </c>
      <c r="AN67" s="163">
        <v>45473</v>
      </c>
      <c r="AO67" s="163">
        <v>45473</v>
      </c>
      <c r="AP67" s="145" t="s">
        <v>3853</v>
      </c>
      <c r="AQ67" s="144">
        <v>1297199.96</v>
      </c>
      <c r="AR67" s="143" t="s">
        <v>3674</v>
      </c>
      <c r="AS67" s="143" t="s">
        <v>1212</v>
      </c>
      <c r="AT67" s="144">
        <v>7262.8670999999995</v>
      </c>
      <c r="AU67" s="144">
        <v>1932.1274524</v>
      </c>
      <c r="AV67" s="145" t="s">
        <v>3853</v>
      </c>
      <c r="AW67" s="145" t="s">
        <v>3853</v>
      </c>
      <c r="AX67" s="145" t="s">
        <v>3853</v>
      </c>
      <c r="AY67" s="145" t="s">
        <v>3853</v>
      </c>
      <c r="AZ67" s="146">
        <v>3.7081171514655849E-2</v>
      </c>
      <c r="BA67" s="147">
        <v>9.6760346775979285E-4</v>
      </c>
      <c r="BB67" s="181"/>
    </row>
    <row r="68" spans="1:54" ht="15" x14ac:dyDescent="0.2">
      <c r="A68" s="142" t="s">
        <v>1218</v>
      </c>
      <c r="B68" s="143" t="s">
        <v>1218</v>
      </c>
      <c r="C68" s="145" t="s">
        <v>3853</v>
      </c>
      <c r="D68" s="145" t="s">
        <v>3853</v>
      </c>
      <c r="E68" s="145" t="s">
        <v>3853</v>
      </c>
      <c r="F68" s="143" t="s">
        <v>3678</v>
      </c>
      <c r="G68" s="143" t="s">
        <v>1012</v>
      </c>
      <c r="H68" s="145" t="s">
        <v>3853</v>
      </c>
      <c r="I68" s="143" t="s">
        <v>204</v>
      </c>
      <c r="J68" s="145" t="s">
        <v>3853</v>
      </c>
      <c r="K68" s="143" t="s">
        <v>440</v>
      </c>
      <c r="L68" s="143" t="s">
        <v>339</v>
      </c>
      <c r="M68" s="143" t="s">
        <v>338</v>
      </c>
      <c r="N68" s="145" t="s">
        <v>3853</v>
      </c>
      <c r="O68" s="143" t="s">
        <v>3679</v>
      </c>
      <c r="P68" s="143" t="s">
        <v>1359</v>
      </c>
      <c r="Q68" s="143" t="s">
        <v>415</v>
      </c>
      <c r="R68" s="143" t="s">
        <v>408</v>
      </c>
      <c r="S68" s="143" t="s">
        <v>1210</v>
      </c>
      <c r="T68" s="144">
        <v>8.1999999999999993</v>
      </c>
      <c r="U68" s="170" t="s">
        <v>824</v>
      </c>
      <c r="V68" s="146">
        <v>0</v>
      </c>
      <c r="W68" s="145" t="s">
        <v>3853</v>
      </c>
      <c r="X68" s="145" t="s">
        <v>3853</v>
      </c>
      <c r="Y68" s="166">
        <v>0</v>
      </c>
      <c r="Z68" s="146">
        <v>4.0099999999999997E-2</v>
      </c>
      <c r="AA68" s="143" t="s">
        <v>3680</v>
      </c>
      <c r="AB68" s="143" t="s">
        <v>412</v>
      </c>
      <c r="AC68" s="145" t="s">
        <v>3853</v>
      </c>
      <c r="AD68" s="145" t="s">
        <v>3853</v>
      </c>
      <c r="AE68" s="171">
        <v>0.75</v>
      </c>
      <c r="AF68" s="143" t="s">
        <v>3662</v>
      </c>
      <c r="AG68" s="145" t="s">
        <v>3853</v>
      </c>
      <c r="AH68" s="145" t="s">
        <v>3853</v>
      </c>
      <c r="AI68" s="145" t="s">
        <v>3853</v>
      </c>
      <c r="AJ68" s="143" t="s">
        <v>338</v>
      </c>
      <c r="AK68" s="143" t="s">
        <v>886</v>
      </c>
      <c r="AL68" s="145" t="s">
        <v>3853</v>
      </c>
      <c r="AM68" s="143" t="s">
        <v>889</v>
      </c>
      <c r="AN68" s="163">
        <v>45473</v>
      </c>
      <c r="AO68" s="163">
        <v>45473</v>
      </c>
      <c r="AP68" s="145" t="s">
        <v>3853</v>
      </c>
      <c r="AQ68" s="144">
        <v>7384014.5700000003</v>
      </c>
      <c r="AR68" s="143" t="s">
        <v>3681</v>
      </c>
      <c r="AS68" s="145" t="s">
        <v>3853</v>
      </c>
      <c r="AT68" s="144">
        <v>7228.2119000000002</v>
      </c>
      <c r="AU68" s="144">
        <v>7228.2118626000001</v>
      </c>
      <c r="AV68" s="145" t="s">
        <v>3853</v>
      </c>
      <c r="AW68" s="145" t="s">
        <v>3853</v>
      </c>
      <c r="AX68" s="145" t="s">
        <v>3853</v>
      </c>
      <c r="AY68" s="145" t="s">
        <v>3853</v>
      </c>
      <c r="AZ68" s="146">
        <v>3.6904236352414924E-2</v>
      </c>
      <c r="BA68" s="147">
        <v>9.6298648643045981E-4</v>
      </c>
      <c r="BB68" s="181"/>
    </row>
    <row r="69" spans="1:54" ht="15" x14ac:dyDescent="0.2">
      <c r="A69" s="142" t="s">
        <v>1218</v>
      </c>
      <c r="B69" s="143" t="s">
        <v>1218</v>
      </c>
      <c r="C69" s="145" t="s">
        <v>3853</v>
      </c>
      <c r="D69" s="145" t="s">
        <v>3853</v>
      </c>
      <c r="E69" s="145" t="s">
        <v>3853</v>
      </c>
      <c r="F69" s="143" t="s">
        <v>3675</v>
      </c>
      <c r="G69" s="143" t="s">
        <v>1012</v>
      </c>
      <c r="H69" s="145" t="s">
        <v>3853</v>
      </c>
      <c r="I69" s="143" t="s">
        <v>204</v>
      </c>
      <c r="J69" s="145" t="s">
        <v>3853</v>
      </c>
      <c r="K69" s="143" t="s">
        <v>448</v>
      </c>
      <c r="L69" s="143" t="s">
        <v>339</v>
      </c>
      <c r="M69" s="143" t="s">
        <v>338</v>
      </c>
      <c r="N69" s="145" t="s">
        <v>3853</v>
      </c>
      <c r="O69" s="143" t="s">
        <v>3669</v>
      </c>
      <c r="P69" s="145" t="s">
        <v>3853</v>
      </c>
      <c r="Q69" s="143" t="s">
        <v>410</v>
      </c>
      <c r="R69" s="143" t="s">
        <v>410</v>
      </c>
      <c r="S69" s="143" t="s">
        <v>1210</v>
      </c>
      <c r="T69" s="144">
        <v>6.9</v>
      </c>
      <c r="U69" s="170" t="s">
        <v>823</v>
      </c>
      <c r="V69" s="146">
        <v>5.2093E-2</v>
      </c>
      <c r="W69" s="145" t="s">
        <v>3853</v>
      </c>
      <c r="X69" s="145" t="s">
        <v>3853</v>
      </c>
      <c r="Y69" s="166">
        <v>0</v>
      </c>
      <c r="Z69" s="146">
        <v>6.4299999999999996E-2</v>
      </c>
      <c r="AA69" s="143" t="s">
        <v>3676</v>
      </c>
      <c r="AB69" s="143" t="s">
        <v>412</v>
      </c>
      <c r="AC69" s="145" t="s">
        <v>3853</v>
      </c>
      <c r="AD69" s="145" t="s">
        <v>3853</v>
      </c>
      <c r="AE69" s="145" t="s">
        <v>3853</v>
      </c>
      <c r="AF69" s="145" t="s">
        <v>3853</v>
      </c>
      <c r="AG69" s="145" t="s">
        <v>3853</v>
      </c>
      <c r="AH69" s="145" t="s">
        <v>3853</v>
      </c>
      <c r="AI69" s="145" t="s">
        <v>3853</v>
      </c>
      <c r="AJ69" s="143" t="s">
        <v>339</v>
      </c>
      <c r="AK69" s="143" t="s">
        <v>886</v>
      </c>
      <c r="AL69" s="145" t="s">
        <v>3853</v>
      </c>
      <c r="AM69" s="143" t="s">
        <v>889</v>
      </c>
      <c r="AN69" s="163">
        <v>45473</v>
      </c>
      <c r="AO69" s="163">
        <v>45473</v>
      </c>
      <c r="AP69" s="145" t="s">
        <v>3853</v>
      </c>
      <c r="AQ69" s="144">
        <v>7377295.4199999999</v>
      </c>
      <c r="AR69" s="143" t="s">
        <v>3677</v>
      </c>
      <c r="AS69" s="145" t="s">
        <v>3853</v>
      </c>
      <c r="AT69" s="144">
        <v>7094.0073000000002</v>
      </c>
      <c r="AU69" s="144">
        <v>7094.0072758999995</v>
      </c>
      <c r="AV69" s="145" t="s">
        <v>3853</v>
      </c>
      <c r="AW69" s="145" t="s">
        <v>3853</v>
      </c>
      <c r="AX69" s="145" t="s">
        <v>3853</v>
      </c>
      <c r="AY69" s="145" t="s">
        <v>3853</v>
      </c>
      <c r="AZ69" s="146">
        <v>3.6219043682172845E-2</v>
      </c>
      <c r="BA69" s="147">
        <v>9.4510693255639227E-4</v>
      </c>
      <c r="BB69" s="181"/>
    </row>
    <row r="70" spans="1:54" ht="15" x14ac:dyDescent="0.2">
      <c r="A70" s="142" t="s">
        <v>1218</v>
      </c>
      <c r="B70" s="143" t="s">
        <v>1218</v>
      </c>
      <c r="C70" s="145" t="s">
        <v>3853</v>
      </c>
      <c r="D70" s="145" t="s">
        <v>3853</v>
      </c>
      <c r="E70" s="145" t="s">
        <v>3853</v>
      </c>
      <c r="F70" s="143" t="s">
        <v>3688</v>
      </c>
      <c r="G70" s="143" t="s">
        <v>1012</v>
      </c>
      <c r="H70" s="143" t="s">
        <v>812</v>
      </c>
      <c r="I70" s="143" t="s">
        <v>204</v>
      </c>
      <c r="J70" s="145" t="s">
        <v>3853</v>
      </c>
      <c r="K70" s="143" t="s">
        <v>454</v>
      </c>
      <c r="L70" s="143" t="s">
        <v>339</v>
      </c>
      <c r="M70" s="143" t="s">
        <v>338</v>
      </c>
      <c r="N70" s="145" t="s">
        <v>3853</v>
      </c>
      <c r="O70" s="143" t="s">
        <v>3689</v>
      </c>
      <c r="P70" s="143" t="s">
        <v>1366</v>
      </c>
      <c r="Q70" s="143" t="s">
        <v>413</v>
      </c>
      <c r="R70" s="143" t="s">
        <v>408</v>
      </c>
      <c r="S70" s="143" t="s">
        <v>1211</v>
      </c>
      <c r="T70" s="144">
        <v>2.69</v>
      </c>
      <c r="U70" s="170" t="s">
        <v>823</v>
      </c>
      <c r="V70" s="146">
        <v>0.110153</v>
      </c>
      <c r="W70" s="145" t="s">
        <v>3853</v>
      </c>
      <c r="X70" s="145" t="s">
        <v>3853</v>
      </c>
      <c r="Y70" s="166">
        <v>5.6783E-2</v>
      </c>
      <c r="Z70" s="146">
        <v>0.1008</v>
      </c>
      <c r="AA70" s="143" t="s">
        <v>3690</v>
      </c>
      <c r="AB70" s="143" t="s">
        <v>412</v>
      </c>
      <c r="AC70" s="145" t="s">
        <v>3853</v>
      </c>
      <c r="AD70" s="145" t="s">
        <v>3853</v>
      </c>
      <c r="AE70" s="171">
        <v>0.76</v>
      </c>
      <c r="AF70" s="143" t="s">
        <v>3689</v>
      </c>
      <c r="AG70" s="145" t="s">
        <v>3853</v>
      </c>
      <c r="AH70" s="145" t="s">
        <v>3853</v>
      </c>
      <c r="AI70" s="145" t="s">
        <v>3853</v>
      </c>
      <c r="AJ70" s="143" t="s">
        <v>339</v>
      </c>
      <c r="AK70" s="143" t="s">
        <v>886</v>
      </c>
      <c r="AL70" s="145" t="s">
        <v>3853</v>
      </c>
      <c r="AM70" s="143" t="s">
        <v>889</v>
      </c>
      <c r="AN70" s="163">
        <v>45473</v>
      </c>
      <c r="AO70" s="163">
        <v>45473</v>
      </c>
      <c r="AP70" s="145" t="s">
        <v>3853</v>
      </c>
      <c r="AQ70" s="144">
        <v>1641318.56</v>
      </c>
      <c r="AR70" s="143" t="s">
        <v>3691</v>
      </c>
      <c r="AS70" s="143" t="s">
        <v>1212</v>
      </c>
      <c r="AT70" s="144">
        <v>6221.5420999999997</v>
      </c>
      <c r="AU70" s="144">
        <v>1655.1056359000002</v>
      </c>
      <c r="AV70" s="145" t="s">
        <v>3853</v>
      </c>
      <c r="AW70" s="145" t="s">
        <v>3853</v>
      </c>
      <c r="AX70" s="145" t="s">
        <v>3853</v>
      </c>
      <c r="AY70" s="145" t="s">
        <v>3853</v>
      </c>
      <c r="AZ70" s="146">
        <v>3.1764600147318793E-2</v>
      </c>
      <c r="BA70" s="147">
        <v>8.2887179663137308E-4</v>
      </c>
      <c r="BB70" s="181"/>
    </row>
    <row r="71" spans="1:54" ht="15" x14ac:dyDescent="0.2">
      <c r="A71" s="142" t="s">
        <v>1218</v>
      </c>
      <c r="B71" s="143" t="s">
        <v>1218</v>
      </c>
      <c r="C71" s="145" t="s">
        <v>3853</v>
      </c>
      <c r="D71" s="145" t="s">
        <v>3853</v>
      </c>
      <c r="E71" s="145" t="s">
        <v>3853</v>
      </c>
      <c r="F71" s="143" t="s">
        <v>3682</v>
      </c>
      <c r="G71" s="143" t="s">
        <v>1012</v>
      </c>
      <c r="H71" s="143" t="s">
        <v>3683</v>
      </c>
      <c r="I71" s="143" t="s">
        <v>204</v>
      </c>
      <c r="J71" s="145" t="s">
        <v>3853</v>
      </c>
      <c r="K71" s="143" t="s">
        <v>443</v>
      </c>
      <c r="L71" s="143" t="s">
        <v>339</v>
      </c>
      <c r="M71" s="143" t="s">
        <v>338</v>
      </c>
      <c r="N71" s="145" t="s">
        <v>3853</v>
      </c>
      <c r="O71" s="143" t="s">
        <v>3684</v>
      </c>
      <c r="P71" s="145" t="s">
        <v>3853</v>
      </c>
      <c r="Q71" s="143" t="s">
        <v>410</v>
      </c>
      <c r="R71" s="143" t="s">
        <v>410</v>
      </c>
      <c r="S71" s="143" t="s">
        <v>1210</v>
      </c>
      <c r="T71" s="144">
        <v>2.25</v>
      </c>
      <c r="U71" s="170" t="s">
        <v>823</v>
      </c>
      <c r="V71" s="146">
        <v>0.09</v>
      </c>
      <c r="W71" s="145" t="s">
        <v>3853</v>
      </c>
      <c r="X71" s="145" t="s">
        <v>3853</v>
      </c>
      <c r="Y71" s="166">
        <v>0.03</v>
      </c>
      <c r="Z71" s="146">
        <v>8.48E-2</v>
      </c>
      <c r="AA71" s="143" t="s">
        <v>3685</v>
      </c>
      <c r="AB71" s="143" t="s">
        <v>412</v>
      </c>
      <c r="AC71" s="145" t="s">
        <v>3853</v>
      </c>
      <c r="AD71" s="145" t="s">
        <v>3853</v>
      </c>
      <c r="AE71" s="171">
        <v>0.76</v>
      </c>
      <c r="AF71" s="143" t="s">
        <v>3686</v>
      </c>
      <c r="AG71" s="145" t="s">
        <v>3853</v>
      </c>
      <c r="AH71" s="145" t="s">
        <v>3853</v>
      </c>
      <c r="AI71" s="145" t="s">
        <v>3853</v>
      </c>
      <c r="AJ71" s="143" t="s">
        <v>339</v>
      </c>
      <c r="AK71" s="143" t="s">
        <v>886</v>
      </c>
      <c r="AL71" s="145" t="s">
        <v>3853</v>
      </c>
      <c r="AM71" s="143" t="s">
        <v>889</v>
      </c>
      <c r="AN71" s="163">
        <v>45473</v>
      </c>
      <c r="AO71" s="163">
        <v>45473</v>
      </c>
      <c r="AP71" s="145" t="s">
        <v>3853</v>
      </c>
      <c r="AQ71" s="144">
        <v>5599908.3899999997</v>
      </c>
      <c r="AR71" s="143" t="s">
        <v>3687</v>
      </c>
      <c r="AS71" s="145" t="s">
        <v>3853</v>
      </c>
      <c r="AT71" s="144">
        <v>5699.5868</v>
      </c>
      <c r="AU71" s="144">
        <v>5699.5867593000003</v>
      </c>
      <c r="AV71" s="145" t="s">
        <v>3853</v>
      </c>
      <c r="AW71" s="145" t="s">
        <v>3853</v>
      </c>
      <c r="AX71" s="145" t="s">
        <v>3853</v>
      </c>
      <c r="AY71" s="145" t="s">
        <v>3853</v>
      </c>
      <c r="AZ71" s="146">
        <v>2.9099713854123011E-2</v>
      </c>
      <c r="BA71" s="147">
        <v>7.5933372344879745E-4</v>
      </c>
      <c r="BB71" s="181"/>
    </row>
    <row r="72" spans="1:54" ht="15" x14ac:dyDescent="0.2">
      <c r="A72" s="142" t="s">
        <v>1218</v>
      </c>
      <c r="B72" s="143" t="s">
        <v>1218</v>
      </c>
      <c r="C72" s="145" t="s">
        <v>3853</v>
      </c>
      <c r="D72" s="145" t="s">
        <v>3853</v>
      </c>
      <c r="E72" s="145" t="s">
        <v>3853</v>
      </c>
      <c r="F72" s="143" t="s">
        <v>3692</v>
      </c>
      <c r="G72" s="143" t="s">
        <v>1012</v>
      </c>
      <c r="H72" s="145" t="s">
        <v>3853</v>
      </c>
      <c r="I72" s="143" t="s">
        <v>204</v>
      </c>
      <c r="J72" s="145" t="s">
        <v>3853</v>
      </c>
      <c r="K72" s="143" t="s">
        <v>484</v>
      </c>
      <c r="L72" s="143" t="s">
        <v>339</v>
      </c>
      <c r="M72" s="143" t="s">
        <v>338</v>
      </c>
      <c r="N72" s="145" t="s">
        <v>3853</v>
      </c>
      <c r="O72" s="143" t="s">
        <v>3693</v>
      </c>
      <c r="P72" s="145" t="s">
        <v>3853</v>
      </c>
      <c r="Q72" s="143" t="s">
        <v>410</v>
      </c>
      <c r="R72" s="143" t="s">
        <v>410</v>
      </c>
      <c r="S72" s="143" t="s">
        <v>1210</v>
      </c>
      <c r="T72" s="144">
        <v>4.88</v>
      </c>
      <c r="U72" s="170" t="s">
        <v>824</v>
      </c>
      <c r="V72" s="146">
        <v>0</v>
      </c>
      <c r="W72" s="145" t="s">
        <v>3853</v>
      </c>
      <c r="X72" s="145" t="s">
        <v>3853</v>
      </c>
      <c r="Y72" s="166">
        <v>0</v>
      </c>
      <c r="Z72" s="146">
        <v>3.6499999999999998E-2</v>
      </c>
      <c r="AA72" s="143" t="s">
        <v>1777</v>
      </c>
      <c r="AB72" s="143" t="s">
        <v>412</v>
      </c>
      <c r="AC72" s="145" t="s">
        <v>3853</v>
      </c>
      <c r="AD72" s="145" t="s">
        <v>3853</v>
      </c>
      <c r="AE72" s="145" t="s">
        <v>3853</v>
      </c>
      <c r="AF72" s="143" t="s">
        <v>3694</v>
      </c>
      <c r="AG72" s="145" t="s">
        <v>3853</v>
      </c>
      <c r="AH72" s="145" t="s">
        <v>3853</v>
      </c>
      <c r="AI72" s="145" t="s">
        <v>3853</v>
      </c>
      <c r="AJ72" s="145" t="s">
        <v>3853</v>
      </c>
      <c r="AK72" s="143" t="s">
        <v>886</v>
      </c>
      <c r="AL72" s="145" t="s">
        <v>3853</v>
      </c>
      <c r="AM72" s="143" t="s">
        <v>889</v>
      </c>
      <c r="AN72" s="163">
        <v>45473</v>
      </c>
      <c r="AO72" s="163">
        <v>45473</v>
      </c>
      <c r="AP72" s="145" t="s">
        <v>3853</v>
      </c>
      <c r="AQ72" s="144">
        <v>4736381.42</v>
      </c>
      <c r="AR72" s="143" t="s">
        <v>3695</v>
      </c>
      <c r="AS72" s="145" t="s">
        <v>3853</v>
      </c>
      <c r="AT72" s="144">
        <v>5319.43</v>
      </c>
      <c r="AU72" s="144">
        <v>5319.4299728000005</v>
      </c>
      <c r="AV72" s="145" t="s">
        <v>3853</v>
      </c>
      <c r="AW72" s="145" t="s">
        <v>3853</v>
      </c>
      <c r="AX72" s="145" t="s">
        <v>3853</v>
      </c>
      <c r="AY72" s="145" t="s">
        <v>3853</v>
      </c>
      <c r="AZ72" s="146">
        <v>2.7158791788170628E-2</v>
      </c>
      <c r="BA72" s="147">
        <v>7.0868691686328401E-4</v>
      </c>
      <c r="BB72" s="181"/>
    </row>
    <row r="73" spans="1:54" ht="15" x14ac:dyDescent="0.2">
      <c r="A73" s="142" t="s">
        <v>1218</v>
      </c>
      <c r="B73" s="143" t="s">
        <v>1218</v>
      </c>
      <c r="C73" s="145" t="s">
        <v>3853</v>
      </c>
      <c r="D73" s="145" t="s">
        <v>3853</v>
      </c>
      <c r="E73" s="145" t="s">
        <v>3853</v>
      </c>
      <c r="F73" s="143" t="s">
        <v>3708</v>
      </c>
      <c r="G73" s="143" t="s">
        <v>1012</v>
      </c>
      <c r="H73" s="145" t="s">
        <v>3853</v>
      </c>
      <c r="I73" s="143" t="s">
        <v>204</v>
      </c>
      <c r="J73" s="145" t="s">
        <v>3853</v>
      </c>
      <c r="K73" s="143" t="s">
        <v>441</v>
      </c>
      <c r="L73" s="143" t="s">
        <v>339</v>
      </c>
      <c r="M73" s="143" t="s">
        <v>338</v>
      </c>
      <c r="N73" s="145" t="s">
        <v>3853</v>
      </c>
      <c r="O73" s="143" t="s">
        <v>3709</v>
      </c>
      <c r="P73" s="145" t="s">
        <v>3853</v>
      </c>
      <c r="Q73" s="143" t="s">
        <v>410</v>
      </c>
      <c r="R73" s="143" t="s">
        <v>410</v>
      </c>
      <c r="S73" s="143" t="s">
        <v>1210</v>
      </c>
      <c r="T73" s="144">
        <v>3.23</v>
      </c>
      <c r="U73" s="170" t="s">
        <v>824</v>
      </c>
      <c r="V73" s="146">
        <v>7.7499999999999999E-2</v>
      </c>
      <c r="W73" s="145" t="s">
        <v>3853</v>
      </c>
      <c r="X73" s="145" t="s">
        <v>3853</v>
      </c>
      <c r="Y73" s="166">
        <v>0</v>
      </c>
      <c r="Z73" s="146">
        <v>0.128</v>
      </c>
      <c r="AA73" s="143" t="s">
        <v>3710</v>
      </c>
      <c r="AB73" s="143" t="s">
        <v>412</v>
      </c>
      <c r="AC73" s="145" t="s">
        <v>3853</v>
      </c>
      <c r="AD73" s="145" t="s">
        <v>3853</v>
      </c>
      <c r="AE73" s="145" t="s">
        <v>3853</v>
      </c>
      <c r="AF73" s="145" t="s">
        <v>3853</v>
      </c>
      <c r="AG73" s="145" t="s">
        <v>3853</v>
      </c>
      <c r="AH73" s="145" t="s">
        <v>3853</v>
      </c>
      <c r="AI73" s="145" t="s">
        <v>3853</v>
      </c>
      <c r="AJ73" s="145" t="s">
        <v>3853</v>
      </c>
      <c r="AK73" s="143" t="s">
        <v>886</v>
      </c>
      <c r="AL73" s="145" t="s">
        <v>3853</v>
      </c>
      <c r="AM73" s="143" t="s">
        <v>889</v>
      </c>
      <c r="AN73" s="163">
        <v>45473</v>
      </c>
      <c r="AO73" s="163">
        <v>45473</v>
      </c>
      <c r="AP73" s="145" t="s">
        <v>3853</v>
      </c>
      <c r="AQ73" s="144">
        <v>4968002</v>
      </c>
      <c r="AR73" s="143" t="s">
        <v>3711</v>
      </c>
      <c r="AS73" s="145" t="s">
        <v>3853</v>
      </c>
      <c r="AT73" s="144">
        <v>4957.0724</v>
      </c>
      <c r="AU73" s="144">
        <v>4957.0723956000002</v>
      </c>
      <c r="AV73" s="145" t="s">
        <v>3853</v>
      </c>
      <c r="AW73" s="145" t="s">
        <v>3853</v>
      </c>
      <c r="AX73" s="145" t="s">
        <v>3853</v>
      </c>
      <c r="AY73" s="145" t="s">
        <v>3853</v>
      </c>
      <c r="AZ73" s="146">
        <v>2.5308745064665919E-2</v>
      </c>
      <c r="BA73" s="147">
        <v>6.6041142954559556E-4</v>
      </c>
      <c r="BB73" s="181"/>
    </row>
    <row r="74" spans="1:54" ht="15" x14ac:dyDescent="0.2">
      <c r="A74" s="142" t="s">
        <v>1218</v>
      </c>
      <c r="B74" s="143" t="s">
        <v>1218</v>
      </c>
      <c r="C74" s="145" t="s">
        <v>3853</v>
      </c>
      <c r="D74" s="145" t="s">
        <v>3853</v>
      </c>
      <c r="E74" s="145" t="s">
        <v>3853</v>
      </c>
      <c r="F74" s="143" t="s">
        <v>3696</v>
      </c>
      <c r="G74" s="143" t="s">
        <v>1012</v>
      </c>
      <c r="H74" s="145" t="s">
        <v>3853</v>
      </c>
      <c r="I74" s="143" t="s">
        <v>204</v>
      </c>
      <c r="J74" s="145" t="s">
        <v>3853</v>
      </c>
      <c r="K74" s="143" t="s">
        <v>448</v>
      </c>
      <c r="L74" s="143" t="s">
        <v>339</v>
      </c>
      <c r="M74" s="143" t="s">
        <v>338</v>
      </c>
      <c r="N74" s="145" t="s">
        <v>3853</v>
      </c>
      <c r="O74" s="143" t="s">
        <v>3669</v>
      </c>
      <c r="P74" s="145" t="s">
        <v>3853</v>
      </c>
      <c r="Q74" s="143" t="s">
        <v>410</v>
      </c>
      <c r="R74" s="143" t="s">
        <v>410</v>
      </c>
      <c r="S74" s="143" t="s">
        <v>1210</v>
      </c>
      <c r="T74" s="144">
        <v>6.81</v>
      </c>
      <c r="U74" s="170" t="s">
        <v>824</v>
      </c>
      <c r="V74" s="146">
        <v>1.7982999999999999E-2</v>
      </c>
      <c r="W74" s="145" t="s">
        <v>3853</v>
      </c>
      <c r="X74" s="145" t="s">
        <v>3853</v>
      </c>
      <c r="Y74" s="166">
        <v>0</v>
      </c>
      <c r="Z74" s="146">
        <v>4.9799999999999997E-2</v>
      </c>
      <c r="AA74" s="143" t="s">
        <v>3676</v>
      </c>
      <c r="AB74" s="143" t="s">
        <v>412</v>
      </c>
      <c r="AC74" s="145" t="s">
        <v>3853</v>
      </c>
      <c r="AD74" s="145" t="s">
        <v>3853</v>
      </c>
      <c r="AE74" s="145" t="s">
        <v>3853</v>
      </c>
      <c r="AF74" s="145" t="s">
        <v>3853</v>
      </c>
      <c r="AG74" s="145" t="s">
        <v>3853</v>
      </c>
      <c r="AH74" s="145" t="s">
        <v>3853</v>
      </c>
      <c r="AI74" s="145" t="s">
        <v>3853</v>
      </c>
      <c r="AJ74" s="143" t="s">
        <v>339</v>
      </c>
      <c r="AK74" s="143" t="s">
        <v>886</v>
      </c>
      <c r="AL74" s="145" t="s">
        <v>3853</v>
      </c>
      <c r="AM74" s="143" t="s">
        <v>889</v>
      </c>
      <c r="AN74" s="163">
        <v>45473</v>
      </c>
      <c r="AO74" s="163">
        <v>45473</v>
      </c>
      <c r="AP74" s="145" t="s">
        <v>3853</v>
      </c>
      <c r="AQ74" s="144">
        <v>3902116.02</v>
      </c>
      <c r="AR74" s="143" t="s">
        <v>3697</v>
      </c>
      <c r="AS74" s="145" t="s">
        <v>3853</v>
      </c>
      <c r="AT74" s="144">
        <v>4892.8633</v>
      </c>
      <c r="AU74" s="144">
        <v>4892.8632774999996</v>
      </c>
      <c r="AV74" s="145" t="s">
        <v>3853</v>
      </c>
      <c r="AW74" s="145" t="s">
        <v>3853</v>
      </c>
      <c r="AX74" s="145" t="s">
        <v>3853</v>
      </c>
      <c r="AY74" s="145" t="s">
        <v>3853</v>
      </c>
      <c r="AZ74" s="146">
        <v>2.4980920076106312E-2</v>
      </c>
      <c r="BA74" s="147">
        <v>6.5185709906487646E-4</v>
      </c>
      <c r="BB74" s="181"/>
    </row>
    <row r="75" spans="1:54" ht="15" x14ac:dyDescent="0.2">
      <c r="A75" s="142" t="s">
        <v>1218</v>
      </c>
      <c r="B75" s="143" t="s">
        <v>1218</v>
      </c>
      <c r="C75" s="145" t="s">
        <v>3853</v>
      </c>
      <c r="D75" s="145" t="s">
        <v>3853</v>
      </c>
      <c r="E75" s="145" t="s">
        <v>3853</v>
      </c>
      <c r="F75" s="143" t="s">
        <v>3698</v>
      </c>
      <c r="G75" s="143" t="s">
        <v>1012</v>
      </c>
      <c r="H75" s="145" t="s">
        <v>3853</v>
      </c>
      <c r="I75" s="143" t="s">
        <v>204</v>
      </c>
      <c r="J75" s="145" t="s">
        <v>3853</v>
      </c>
      <c r="K75" s="143" t="s">
        <v>443</v>
      </c>
      <c r="L75" s="143" t="s">
        <v>339</v>
      </c>
      <c r="M75" s="143" t="s">
        <v>338</v>
      </c>
      <c r="N75" s="145" t="s">
        <v>3853</v>
      </c>
      <c r="O75" s="143" t="s">
        <v>3699</v>
      </c>
      <c r="P75" s="145" t="s">
        <v>3853</v>
      </c>
      <c r="Q75" s="143" t="s">
        <v>410</v>
      </c>
      <c r="R75" s="143" t="s">
        <v>410</v>
      </c>
      <c r="S75" s="143" t="s">
        <v>1210</v>
      </c>
      <c r="T75" s="144">
        <v>3.12</v>
      </c>
      <c r="U75" s="170" t="s">
        <v>823</v>
      </c>
      <c r="V75" s="146">
        <v>8.5000000000000006E-2</v>
      </c>
      <c r="W75" s="145" t="s">
        <v>3853</v>
      </c>
      <c r="X75" s="145" t="s">
        <v>3853</v>
      </c>
      <c r="Y75" s="166">
        <v>0</v>
      </c>
      <c r="Z75" s="146">
        <v>7.9899999999999999E-2</v>
      </c>
      <c r="AA75" s="143" t="s">
        <v>3700</v>
      </c>
      <c r="AB75" s="143" t="s">
        <v>412</v>
      </c>
      <c r="AC75" s="145" t="s">
        <v>3853</v>
      </c>
      <c r="AD75" s="145" t="s">
        <v>3853</v>
      </c>
      <c r="AE75" s="171">
        <v>0.17</v>
      </c>
      <c r="AF75" s="143" t="s">
        <v>3701</v>
      </c>
      <c r="AG75" s="145" t="s">
        <v>3853</v>
      </c>
      <c r="AH75" s="145" t="s">
        <v>3853</v>
      </c>
      <c r="AI75" s="145" t="s">
        <v>3853</v>
      </c>
      <c r="AJ75" s="143" t="s">
        <v>338</v>
      </c>
      <c r="AK75" s="143" t="s">
        <v>886</v>
      </c>
      <c r="AL75" s="145" t="s">
        <v>3853</v>
      </c>
      <c r="AM75" s="143" t="s">
        <v>889</v>
      </c>
      <c r="AN75" s="163">
        <v>45473</v>
      </c>
      <c r="AO75" s="163">
        <v>45473</v>
      </c>
      <c r="AP75" s="145" t="s">
        <v>3853</v>
      </c>
      <c r="AQ75" s="144">
        <v>3848000</v>
      </c>
      <c r="AR75" s="143" t="s">
        <v>3702</v>
      </c>
      <c r="AS75" s="145" t="s">
        <v>3853</v>
      </c>
      <c r="AT75" s="144">
        <v>3964.5944</v>
      </c>
      <c r="AU75" s="144">
        <v>3964.5944</v>
      </c>
      <c r="AV75" s="145" t="s">
        <v>3853</v>
      </c>
      <c r="AW75" s="145" t="s">
        <v>3853</v>
      </c>
      <c r="AX75" s="145" t="s">
        <v>3853</v>
      </c>
      <c r="AY75" s="145" t="s">
        <v>3853</v>
      </c>
      <c r="AZ75" s="146">
        <v>2.0241566179962398E-2</v>
      </c>
      <c r="BA75" s="147">
        <v>5.2818745548208808E-4</v>
      </c>
      <c r="BB75" s="181"/>
    </row>
    <row r="76" spans="1:54" ht="15" x14ac:dyDescent="0.2">
      <c r="A76" s="142" t="s">
        <v>1218</v>
      </c>
      <c r="B76" s="143" t="s">
        <v>1218</v>
      </c>
      <c r="C76" s="145" t="s">
        <v>3853</v>
      </c>
      <c r="D76" s="145" t="s">
        <v>3853</v>
      </c>
      <c r="E76" s="145" t="s">
        <v>3853</v>
      </c>
      <c r="F76" s="143" t="s">
        <v>3703</v>
      </c>
      <c r="G76" s="143" t="s">
        <v>1012</v>
      </c>
      <c r="H76" s="145" t="s">
        <v>3853</v>
      </c>
      <c r="I76" s="143" t="s">
        <v>204</v>
      </c>
      <c r="J76" s="145" t="s">
        <v>3853</v>
      </c>
      <c r="K76" s="143" t="s">
        <v>443</v>
      </c>
      <c r="L76" s="143" t="s">
        <v>339</v>
      </c>
      <c r="M76" s="143" t="s">
        <v>338</v>
      </c>
      <c r="N76" s="145" t="s">
        <v>3853</v>
      </c>
      <c r="O76" s="143" t="s">
        <v>3704</v>
      </c>
      <c r="P76" s="145" t="s">
        <v>3853</v>
      </c>
      <c r="Q76" s="143" t="s">
        <v>410</v>
      </c>
      <c r="R76" s="143" t="s">
        <v>410</v>
      </c>
      <c r="S76" s="143" t="s">
        <v>1210</v>
      </c>
      <c r="T76" s="144">
        <v>1.34</v>
      </c>
      <c r="U76" s="170" t="s">
        <v>824</v>
      </c>
      <c r="V76" s="146">
        <v>9.0439000000000005E-2</v>
      </c>
      <c r="W76" s="145" t="s">
        <v>3853</v>
      </c>
      <c r="X76" s="145" t="s">
        <v>3853</v>
      </c>
      <c r="Y76" s="166">
        <v>0</v>
      </c>
      <c r="Z76" s="146">
        <v>7.7799999999999994E-2</v>
      </c>
      <c r="AA76" s="143" t="s">
        <v>3705</v>
      </c>
      <c r="AB76" s="143" t="s">
        <v>412</v>
      </c>
      <c r="AC76" s="145" t="s">
        <v>3853</v>
      </c>
      <c r="AD76" s="145" t="s">
        <v>3853</v>
      </c>
      <c r="AE76" s="171">
        <v>0</v>
      </c>
      <c r="AF76" s="143" t="s">
        <v>3706</v>
      </c>
      <c r="AG76" s="145" t="s">
        <v>3853</v>
      </c>
      <c r="AH76" s="145" t="s">
        <v>3853</v>
      </c>
      <c r="AI76" s="145" t="s">
        <v>3853</v>
      </c>
      <c r="AJ76" s="145" t="s">
        <v>3853</v>
      </c>
      <c r="AK76" s="143" t="s">
        <v>886</v>
      </c>
      <c r="AL76" s="145" t="s">
        <v>3853</v>
      </c>
      <c r="AM76" s="143" t="s">
        <v>889</v>
      </c>
      <c r="AN76" s="163">
        <v>45473</v>
      </c>
      <c r="AO76" s="163">
        <v>45473</v>
      </c>
      <c r="AP76" s="145" t="s">
        <v>3853</v>
      </c>
      <c r="AQ76" s="144">
        <v>3593904.15</v>
      </c>
      <c r="AR76" s="143" t="s">
        <v>3707</v>
      </c>
      <c r="AS76" s="145" t="s">
        <v>3853</v>
      </c>
      <c r="AT76" s="144">
        <v>3952.2163999999998</v>
      </c>
      <c r="AU76" s="144">
        <v>3952.2163938000003</v>
      </c>
      <c r="AV76" s="145" t="s">
        <v>3853</v>
      </c>
      <c r="AW76" s="145" t="s">
        <v>3853</v>
      </c>
      <c r="AX76" s="145" t="s">
        <v>3853</v>
      </c>
      <c r="AY76" s="145" t="s">
        <v>3853</v>
      </c>
      <c r="AZ76" s="146">
        <v>2.0178369240425743E-2</v>
      </c>
      <c r="BA76" s="147">
        <v>5.2653838196715594E-4</v>
      </c>
      <c r="BB76" s="181"/>
    </row>
    <row r="77" spans="1:54" ht="15" x14ac:dyDescent="0.2">
      <c r="A77" s="142" t="s">
        <v>1218</v>
      </c>
      <c r="B77" s="143" t="s">
        <v>1218</v>
      </c>
      <c r="C77" s="145" t="s">
        <v>3853</v>
      </c>
      <c r="D77" s="145" t="s">
        <v>3853</v>
      </c>
      <c r="E77" s="145" t="s">
        <v>3853</v>
      </c>
      <c r="F77" s="143" t="s">
        <v>3712</v>
      </c>
      <c r="G77" s="143" t="s">
        <v>1012</v>
      </c>
      <c r="H77" s="143" t="s">
        <v>817</v>
      </c>
      <c r="I77" s="143" t="s">
        <v>204</v>
      </c>
      <c r="J77" s="145" t="s">
        <v>3853</v>
      </c>
      <c r="K77" s="143" t="s">
        <v>446</v>
      </c>
      <c r="L77" s="143" t="s">
        <v>339</v>
      </c>
      <c r="M77" s="143" t="s">
        <v>338</v>
      </c>
      <c r="N77" s="145" t="s">
        <v>3853</v>
      </c>
      <c r="O77" s="143" t="s">
        <v>3713</v>
      </c>
      <c r="P77" s="145" t="s">
        <v>3853</v>
      </c>
      <c r="Q77" s="143" t="s">
        <v>410</v>
      </c>
      <c r="R77" s="143" t="s">
        <v>410</v>
      </c>
      <c r="S77" s="143" t="s">
        <v>1210</v>
      </c>
      <c r="T77" s="144">
        <v>1.71</v>
      </c>
      <c r="U77" s="170" t="s">
        <v>824</v>
      </c>
      <c r="V77" s="146">
        <v>0.08</v>
      </c>
      <c r="W77" s="145" t="s">
        <v>3853</v>
      </c>
      <c r="X77" s="145" t="s">
        <v>3853</v>
      </c>
      <c r="Y77" s="166">
        <v>0</v>
      </c>
      <c r="Z77" s="146">
        <v>0.25140000000000001</v>
      </c>
      <c r="AA77" s="143" t="s">
        <v>1428</v>
      </c>
      <c r="AB77" s="143" t="s">
        <v>412</v>
      </c>
      <c r="AC77" s="145" t="s">
        <v>3853</v>
      </c>
      <c r="AD77" s="145" t="s">
        <v>3853</v>
      </c>
      <c r="AE77" s="171">
        <v>0.72</v>
      </c>
      <c r="AF77" s="143" t="s">
        <v>3714</v>
      </c>
      <c r="AG77" s="145" t="s">
        <v>3853</v>
      </c>
      <c r="AH77" s="145" t="s">
        <v>3853</v>
      </c>
      <c r="AI77" s="145" t="s">
        <v>3853</v>
      </c>
      <c r="AJ77" s="143" t="s">
        <v>338</v>
      </c>
      <c r="AK77" s="143" t="s">
        <v>886</v>
      </c>
      <c r="AL77" s="145" t="s">
        <v>3853</v>
      </c>
      <c r="AM77" s="143" t="s">
        <v>889</v>
      </c>
      <c r="AN77" s="163">
        <v>45473</v>
      </c>
      <c r="AO77" s="163">
        <v>45473</v>
      </c>
      <c r="AP77" s="145" t="s">
        <v>3853</v>
      </c>
      <c r="AQ77" s="144">
        <v>4502647</v>
      </c>
      <c r="AR77" s="143" t="s">
        <v>3715</v>
      </c>
      <c r="AS77" s="145" t="s">
        <v>3853</v>
      </c>
      <c r="AT77" s="144">
        <v>3471.0906</v>
      </c>
      <c r="AU77" s="144">
        <v>3471.0905723000001</v>
      </c>
      <c r="AV77" s="145" t="s">
        <v>3853</v>
      </c>
      <c r="AW77" s="145" t="s">
        <v>3853</v>
      </c>
      <c r="AX77" s="145" t="s">
        <v>3853</v>
      </c>
      <c r="AY77" s="145" t="s">
        <v>3853</v>
      </c>
      <c r="AZ77" s="146">
        <v>1.7721941375857767E-2</v>
      </c>
      <c r="BA77" s="147">
        <v>4.6243986449938027E-4</v>
      </c>
      <c r="BB77" s="181"/>
    </row>
    <row r="78" spans="1:54" ht="15" x14ac:dyDescent="0.2">
      <c r="A78" s="142" t="s">
        <v>1218</v>
      </c>
      <c r="B78" s="143" t="s">
        <v>1218</v>
      </c>
      <c r="C78" s="145" t="s">
        <v>3853</v>
      </c>
      <c r="D78" s="145" t="s">
        <v>3853</v>
      </c>
      <c r="E78" s="145" t="s">
        <v>3853</v>
      </c>
      <c r="F78" s="143" t="s">
        <v>3720</v>
      </c>
      <c r="G78" s="143" t="s">
        <v>1012</v>
      </c>
      <c r="H78" s="145" t="s">
        <v>3853</v>
      </c>
      <c r="I78" s="143" t="s">
        <v>204</v>
      </c>
      <c r="J78" s="145" t="s">
        <v>3853</v>
      </c>
      <c r="K78" s="143" t="s">
        <v>448</v>
      </c>
      <c r="L78" s="143" t="s">
        <v>339</v>
      </c>
      <c r="M78" s="143" t="s">
        <v>338</v>
      </c>
      <c r="N78" s="145" t="s">
        <v>3853</v>
      </c>
      <c r="O78" s="143" t="s">
        <v>3669</v>
      </c>
      <c r="P78" s="145" t="s">
        <v>3853</v>
      </c>
      <c r="Q78" s="143" t="s">
        <v>410</v>
      </c>
      <c r="R78" s="143" t="s">
        <v>410</v>
      </c>
      <c r="S78" s="143" t="s">
        <v>1210</v>
      </c>
      <c r="T78" s="144">
        <v>6.35</v>
      </c>
      <c r="U78" s="170" t="s">
        <v>824</v>
      </c>
      <c r="V78" s="146">
        <v>2.3505000000000002E-2</v>
      </c>
      <c r="W78" s="145" t="s">
        <v>3853</v>
      </c>
      <c r="X78" s="145" t="s">
        <v>3853</v>
      </c>
      <c r="Y78" s="166">
        <v>0</v>
      </c>
      <c r="Z78" s="146">
        <v>2.3400000000000001E-2</v>
      </c>
      <c r="AA78" s="143" t="s">
        <v>3676</v>
      </c>
      <c r="AB78" s="143" t="s">
        <v>412</v>
      </c>
      <c r="AC78" s="145" t="s">
        <v>3853</v>
      </c>
      <c r="AD78" s="145" t="s">
        <v>3853</v>
      </c>
      <c r="AE78" s="145" t="s">
        <v>3853</v>
      </c>
      <c r="AF78" s="145" t="s">
        <v>3853</v>
      </c>
      <c r="AG78" s="145" t="s">
        <v>3853</v>
      </c>
      <c r="AH78" s="145" t="s">
        <v>3853</v>
      </c>
      <c r="AI78" s="145" t="s">
        <v>3853</v>
      </c>
      <c r="AJ78" s="143" t="s">
        <v>339</v>
      </c>
      <c r="AK78" s="143" t="s">
        <v>886</v>
      </c>
      <c r="AL78" s="145" t="s">
        <v>3853</v>
      </c>
      <c r="AM78" s="143" t="s">
        <v>889</v>
      </c>
      <c r="AN78" s="163">
        <v>45473</v>
      </c>
      <c r="AO78" s="163">
        <v>45473</v>
      </c>
      <c r="AP78" s="145" t="s">
        <v>3853</v>
      </c>
      <c r="AQ78" s="144">
        <v>2494913.9700000002</v>
      </c>
      <c r="AR78" s="143" t="s">
        <v>3721</v>
      </c>
      <c r="AS78" s="145" t="s">
        <v>3853</v>
      </c>
      <c r="AT78" s="144">
        <v>2885.8670000000002</v>
      </c>
      <c r="AU78" s="144">
        <v>2885.8669891</v>
      </c>
      <c r="AV78" s="145" t="s">
        <v>3853</v>
      </c>
      <c r="AW78" s="145" t="s">
        <v>3853</v>
      </c>
      <c r="AX78" s="145" t="s">
        <v>3853</v>
      </c>
      <c r="AY78" s="145" t="s">
        <v>3853</v>
      </c>
      <c r="AZ78" s="146">
        <v>1.4734033737831095E-2</v>
      </c>
      <c r="BA78" s="147">
        <v>3.8447280807135165E-4</v>
      </c>
      <c r="BB78" s="181"/>
    </row>
    <row r="79" spans="1:54" ht="15" x14ac:dyDescent="0.2">
      <c r="A79" s="142" t="s">
        <v>1218</v>
      </c>
      <c r="B79" s="143" t="s">
        <v>1218</v>
      </c>
      <c r="C79" s="145" t="s">
        <v>3853</v>
      </c>
      <c r="D79" s="145" t="s">
        <v>3853</v>
      </c>
      <c r="E79" s="145" t="s">
        <v>3853</v>
      </c>
      <c r="F79" s="143" t="s">
        <v>3716</v>
      </c>
      <c r="G79" s="143" t="s">
        <v>1012</v>
      </c>
      <c r="H79" s="145" t="s">
        <v>3853</v>
      </c>
      <c r="I79" s="143" t="s">
        <v>204</v>
      </c>
      <c r="J79" s="145" t="s">
        <v>3853</v>
      </c>
      <c r="K79" s="143" t="s">
        <v>443</v>
      </c>
      <c r="L79" s="143" t="s">
        <v>339</v>
      </c>
      <c r="M79" s="143" t="s">
        <v>338</v>
      </c>
      <c r="N79" s="145" t="s">
        <v>3853</v>
      </c>
      <c r="O79" s="143" t="s">
        <v>3717</v>
      </c>
      <c r="P79" s="143" t="s">
        <v>2021</v>
      </c>
      <c r="Q79" s="143" t="s">
        <v>312</v>
      </c>
      <c r="R79" s="143" t="s">
        <v>408</v>
      </c>
      <c r="S79" s="143" t="s">
        <v>1210</v>
      </c>
      <c r="T79" s="144">
        <v>7.0000000000000007E-2</v>
      </c>
      <c r="U79" s="170" t="s">
        <v>823</v>
      </c>
      <c r="V79" s="146">
        <v>8.3000000000000004E-2</v>
      </c>
      <c r="W79" s="145" t="s">
        <v>3853</v>
      </c>
      <c r="X79" s="145" t="s">
        <v>3853</v>
      </c>
      <c r="Y79" s="166">
        <v>0</v>
      </c>
      <c r="Z79" s="146">
        <v>8.3900000000000002E-2</v>
      </c>
      <c r="AA79" s="143" t="s">
        <v>3718</v>
      </c>
      <c r="AB79" s="143" t="s">
        <v>412</v>
      </c>
      <c r="AC79" s="145" t="s">
        <v>3853</v>
      </c>
      <c r="AD79" s="145" t="s">
        <v>3853</v>
      </c>
      <c r="AE79" s="171">
        <v>0.75</v>
      </c>
      <c r="AF79" s="143" t="s">
        <v>3719</v>
      </c>
      <c r="AG79" s="145" t="s">
        <v>3853</v>
      </c>
      <c r="AH79" s="145" t="s">
        <v>3853</v>
      </c>
      <c r="AI79" s="145" t="s">
        <v>3853</v>
      </c>
      <c r="AJ79" s="143" t="s">
        <v>338</v>
      </c>
      <c r="AK79" s="143" t="s">
        <v>886</v>
      </c>
      <c r="AL79" s="145" t="s">
        <v>3853</v>
      </c>
      <c r="AM79" s="143" t="s">
        <v>889</v>
      </c>
      <c r="AN79" s="163">
        <v>45473</v>
      </c>
      <c r="AO79" s="163">
        <v>45473</v>
      </c>
      <c r="AP79" s="145" t="s">
        <v>3853</v>
      </c>
      <c r="AQ79" s="144">
        <v>2565333.33</v>
      </c>
      <c r="AR79" s="143" t="s">
        <v>1573</v>
      </c>
      <c r="AS79" s="145" t="s">
        <v>3853</v>
      </c>
      <c r="AT79" s="144">
        <v>2602.7872000000002</v>
      </c>
      <c r="AU79" s="144">
        <v>2602.7871965999998</v>
      </c>
      <c r="AV79" s="145" t="s">
        <v>3853</v>
      </c>
      <c r="AW79" s="145" t="s">
        <v>3853</v>
      </c>
      <c r="AX79" s="145" t="s">
        <v>3853</v>
      </c>
      <c r="AY79" s="145" t="s">
        <v>3853</v>
      </c>
      <c r="AZ79" s="146">
        <v>1.3288746332462673E-2</v>
      </c>
      <c r="BA79" s="147">
        <v>3.4675919093842705E-4</v>
      </c>
      <c r="BB79" s="181"/>
    </row>
    <row r="80" spans="1:54" ht="15" x14ac:dyDescent="0.2">
      <c r="A80" s="142" t="s">
        <v>1218</v>
      </c>
      <c r="B80" s="143" t="s">
        <v>1218</v>
      </c>
      <c r="C80" s="145" t="s">
        <v>3853</v>
      </c>
      <c r="D80" s="145" t="s">
        <v>3853</v>
      </c>
      <c r="E80" s="145" t="s">
        <v>3853</v>
      </c>
      <c r="F80" s="143" t="s">
        <v>3727</v>
      </c>
      <c r="G80" s="143" t="s">
        <v>1012</v>
      </c>
      <c r="H80" s="145" t="s">
        <v>3853</v>
      </c>
      <c r="I80" s="143" t="s">
        <v>204</v>
      </c>
      <c r="J80" s="145" t="s">
        <v>3853</v>
      </c>
      <c r="K80" s="143" t="s">
        <v>440</v>
      </c>
      <c r="L80" s="143" t="s">
        <v>339</v>
      </c>
      <c r="M80" s="143" t="s">
        <v>338</v>
      </c>
      <c r="N80" s="145" t="s">
        <v>3853</v>
      </c>
      <c r="O80" s="143" t="s">
        <v>3728</v>
      </c>
      <c r="P80" s="143" t="s">
        <v>1359</v>
      </c>
      <c r="Q80" s="143" t="s">
        <v>415</v>
      </c>
      <c r="R80" s="143" t="s">
        <v>408</v>
      </c>
      <c r="S80" s="143" t="s">
        <v>1211</v>
      </c>
      <c r="T80" s="144">
        <v>1.28</v>
      </c>
      <c r="U80" s="170" t="s">
        <v>823</v>
      </c>
      <c r="V80" s="146">
        <v>0</v>
      </c>
      <c r="W80" s="145" t="s">
        <v>3853</v>
      </c>
      <c r="X80" s="145" t="s">
        <v>3853</v>
      </c>
      <c r="Y80" s="166">
        <v>0</v>
      </c>
      <c r="Z80" s="146">
        <v>8.48E-2</v>
      </c>
      <c r="AA80" s="143" t="s">
        <v>1514</v>
      </c>
      <c r="AB80" s="143" t="s">
        <v>412</v>
      </c>
      <c r="AC80" s="145" t="s">
        <v>3853</v>
      </c>
      <c r="AD80" s="145" t="s">
        <v>3853</v>
      </c>
      <c r="AE80" s="171">
        <v>0.35</v>
      </c>
      <c r="AF80" s="143" t="s">
        <v>3729</v>
      </c>
      <c r="AG80" s="145" t="s">
        <v>3853</v>
      </c>
      <c r="AH80" s="145" t="s">
        <v>3853</v>
      </c>
      <c r="AI80" s="145" t="s">
        <v>3853</v>
      </c>
      <c r="AJ80" s="143" t="s">
        <v>338</v>
      </c>
      <c r="AK80" s="143" t="s">
        <v>886</v>
      </c>
      <c r="AL80" s="145" t="s">
        <v>3853</v>
      </c>
      <c r="AM80" s="143" t="s">
        <v>889</v>
      </c>
      <c r="AN80" s="163">
        <v>45473</v>
      </c>
      <c r="AO80" s="163">
        <v>45473</v>
      </c>
      <c r="AP80" s="145" t="s">
        <v>3853</v>
      </c>
      <c r="AQ80" s="144">
        <v>673221.36</v>
      </c>
      <c r="AR80" s="143" t="s">
        <v>3730</v>
      </c>
      <c r="AS80" s="143" t="s">
        <v>1212</v>
      </c>
      <c r="AT80" s="144">
        <v>2562.2721000000001</v>
      </c>
      <c r="AU80" s="144">
        <v>681.63662699999998</v>
      </c>
      <c r="AV80" s="145" t="s">
        <v>3853</v>
      </c>
      <c r="AW80" s="145" t="s">
        <v>3853</v>
      </c>
      <c r="AX80" s="145" t="s">
        <v>3853</v>
      </c>
      <c r="AY80" s="145" t="s">
        <v>3853</v>
      </c>
      <c r="AZ80" s="146">
        <v>1.3081893042190047E-2</v>
      </c>
      <c r="BA80" s="147">
        <v>3.4136152002325096E-4</v>
      </c>
      <c r="BB80" s="181"/>
    </row>
    <row r="81" spans="1:54" ht="15" x14ac:dyDescent="0.2">
      <c r="A81" s="142" t="s">
        <v>1218</v>
      </c>
      <c r="B81" s="143" t="s">
        <v>1218</v>
      </c>
      <c r="C81" s="145" t="s">
        <v>3853</v>
      </c>
      <c r="D81" s="145" t="s">
        <v>3853</v>
      </c>
      <c r="E81" s="145" t="s">
        <v>3853</v>
      </c>
      <c r="F81" s="143" t="s">
        <v>3733</v>
      </c>
      <c r="G81" s="143" t="s">
        <v>1012</v>
      </c>
      <c r="H81" s="143" t="s">
        <v>812</v>
      </c>
      <c r="I81" s="143" t="s">
        <v>204</v>
      </c>
      <c r="J81" s="145" t="s">
        <v>3853</v>
      </c>
      <c r="K81" s="143" t="s">
        <v>454</v>
      </c>
      <c r="L81" s="143" t="s">
        <v>339</v>
      </c>
      <c r="M81" s="143" t="s">
        <v>338</v>
      </c>
      <c r="N81" s="145" t="s">
        <v>3853</v>
      </c>
      <c r="O81" s="143" t="s">
        <v>3734</v>
      </c>
      <c r="P81" s="143" t="s">
        <v>1366</v>
      </c>
      <c r="Q81" s="143" t="s">
        <v>413</v>
      </c>
      <c r="R81" s="143" t="s">
        <v>408</v>
      </c>
      <c r="S81" s="143" t="s">
        <v>1211</v>
      </c>
      <c r="T81" s="144">
        <v>2.68</v>
      </c>
      <c r="U81" s="170" t="s">
        <v>823</v>
      </c>
      <c r="V81" s="146">
        <v>0.107045</v>
      </c>
      <c r="W81" s="145" t="s">
        <v>3853</v>
      </c>
      <c r="X81" s="145" t="s">
        <v>3853</v>
      </c>
      <c r="Y81" s="166">
        <v>5.3644999999999998E-2</v>
      </c>
      <c r="Z81" s="146">
        <v>9.9500000000000005E-2</v>
      </c>
      <c r="AA81" s="143" t="s">
        <v>3690</v>
      </c>
      <c r="AB81" s="143" t="s">
        <v>412</v>
      </c>
      <c r="AC81" s="145" t="s">
        <v>3853</v>
      </c>
      <c r="AD81" s="145" t="s">
        <v>3853</v>
      </c>
      <c r="AE81" s="171">
        <v>0.76</v>
      </c>
      <c r="AF81" s="143" t="s">
        <v>3689</v>
      </c>
      <c r="AG81" s="145" t="s">
        <v>3853</v>
      </c>
      <c r="AH81" s="145" t="s">
        <v>3853</v>
      </c>
      <c r="AI81" s="145" t="s">
        <v>3853</v>
      </c>
      <c r="AJ81" s="143" t="s">
        <v>339</v>
      </c>
      <c r="AK81" s="143" t="s">
        <v>886</v>
      </c>
      <c r="AL81" s="145" t="s">
        <v>3853</v>
      </c>
      <c r="AM81" s="143" t="s">
        <v>889</v>
      </c>
      <c r="AN81" s="163">
        <v>45473</v>
      </c>
      <c r="AO81" s="163">
        <v>45473</v>
      </c>
      <c r="AP81" s="145" t="s">
        <v>3853</v>
      </c>
      <c r="AQ81" s="144">
        <v>618860.75</v>
      </c>
      <c r="AR81" s="143" t="s">
        <v>3735</v>
      </c>
      <c r="AS81" s="143" t="s">
        <v>1212</v>
      </c>
      <c r="AT81" s="144">
        <v>2322.5754999999999</v>
      </c>
      <c r="AU81" s="144">
        <v>617.87057279999999</v>
      </c>
      <c r="AV81" s="145" t="s">
        <v>3853</v>
      </c>
      <c r="AW81" s="145" t="s">
        <v>3853</v>
      </c>
      <c r="AX81" s="145" t="s">
        <v>3853</v>
      </c>
      <c r="AY81" s="145" t="s">
        <v>3853</v>
      </c>
      <c r="AZ81" s="146">
        <v>1.1858102142868416E-2</v>
      </c>
      <c r="BA81" s="147">
        <v>3.094276767915594E-4</v>
      </c>
      <c r="BB81" s="181"/>
    </row>
    <row r="82" spans="1:54" ht="15" x14ac:dyDescent="0.2">
      <c r="A82" s="142" t="s">
        <v>1218</v>
      </c>
      <c r="B82" s="143" t="s">
        <v>1218</v>
      </c>
      <c r="C82" s="145" t="s">
        <v>3853</v>
      </c>
      <c r="D82" s="145" t="s">
        <v>3853</v>
      </c>
      <c r="E82" s="145" t="s">
        <v>3853</v>
      </c>
      <c r="F82" s="143" t="s">
        <v>3722</v>
      </c>
      <c r="G82" s="143" t="s">
        <v>1012</v>
      </c>
      <c r="H82" s="143" t="s">
        <v>784</v>
      </c>
      <c r="I82" s="143" t="s">
        <v>204</v>
      </c>
      <c r="J82" s="145" t="s">
        <v>3853</v>
      </c>
      <c r="K82" s="143" t="s">
        <v>443</v>
      </c>
      <c r="L82" s="143" t="s">
        <v>339</v>
      </c>
      <c r="M82" s="143" t="s">
        <v>338</v>
      </c>
      <c r="N82" s="145" t="s">
        <v>3853</v>
      </c>
      <c r="O82" s="143" t="s">
        <v>3723</v>
      </c>
      <c r="P82" s="145" t="s">
        <v>3853</v>
      </c>
      <c r="Q82" s="143" t="s">
        <v>410</v>
      </c>
      <c r="R82" s="143" t="s">
        <v>410</v>
      </c>
      <c r="S82" s="143" t="s">
        <v>1210</v>
      </c>
      <c r="T82" s="144">
        <v>2.17</v>
      </c>
      <c r="U82" s="170" t="s">
        <v>823</v>
      </c>
      <c r="V82" s="146">
        <v>8.2500000000000004E-2</v>
      </c>
      <c r="W82" s="145" t="s">
        <v>3853</v>
      </c>
      <c r="X82" s="145" t="s">
        <v>3853</v>
      </c>
      <c r="Y82" s="166">
        <v>0</v>
      </c>
      <c r="Z82" s="146">
        <v>7.0699999999999999E-2</v>
      </c>
      <c r="AA82" s="143" t="s">
        <v>3724</v>
      </c>
      <c r="AB82" s="143" t="s">
        <v>412</v>
      </c>
      <c r="AC82" s="145" t="s">
        <v>3853</v>
      </c>
      <c r="AD82" s="145" t="s">
        <v>3853</v>
      </c>
      <c r="AE82" s="171">
        <v>0.62</v>
      </c>
      <c r="AF82" s="143" t="s">
        <v>3725</v>
      </c>
      <c r="AG82" s="145" t="s">
        <v>3853</v>
      </c>
      <c r="AH82" s="145" t="s">
        <v>3853</v>
      </c>
      <c r="AI82" s="145" t="s">
        <v>3853</v>
      </c>
      <c r="AJ82" s="143" t="s">
        <v>338</v>
      </c>
      <c r="AK82" s="143" t="s">
        <v>886</v>
      </c>
      <c r="AL82" s="145" t="s">
        <v>3853</v>
      </c>
      <c r="AM82" s="143" t="s">
        <v>889</v>
      </c>
      <c r="AN82" s="163">
        <v>45473</v>
      </c>
      <c r="AO82" s="163">
        <v>45473</v>
      </c>
      <c r="AP82" s="145" t="s">
        <v>3853</v>
      </c>
      <c r="AQ82" s="144">
        <v>2207232</v>
      </c>
      <c r="AR82" s="143" t="s">
        <v>3726</v>
      </c>
      <c r="AS82" s="145" t="s">
        <v>3853</v>
      </c>
      <c r="AT82" s="144">
        <v>2315.6071000000002</v>
      </c>
      <c r="AU82" s="144">
        <v>2315.6070912</v>
      </c>
      <c r="AV82" s="145" t="s">
        <v>3853</v>
      </c>
      <c r="AW82" s="145" t="s">
        <v>3853</v>
      </c>
      <c r="AX82" s="145" t="s">
        <v>3853</v>
      </c>
      <c r="AY82" s="145" t="s">
        <v>3853</v>
      </c>
      <c r="AZ82" s="146">
        <v>1.1822524438644977E-2</v>
      </c>
      <c r="BA82" s="147">
        <v>3.0849930509845025E-4</v>
      </c>
      <c r="BB82" s="181"/>
    </row>
    <row r="83" spans="1:54" ht="15" x14ac:dyDescent="0.2">
      <c r="A83" s="142" t="s">
        <v>1218</v>
      </c>
      <c r="B83" s="143" t="s">
        <v>1218</v>
      </c>
      <c r="C83" s="145" t="s">
        <v>3853</v>
      </c>
      <c r="D83" s="145" t="s">
        <v>3853</v>
      </c>
      <c r="E83" s="145" t="s">
        <v>3853</v>
      </c>
      <c r="F83" s="143" t="s">
        <v>3736</v>
      </c>
      <c r="G83" s="143" t="s">
        <v>1012</v>
      </c>
      <c r="H83" s="143" t="s">
        <v>812</v>
      </c>
      <c r="I83" s="143" t="s">
        <v>204</v>
      </c>
      <c r="J83" s="145" t="s">
        <v>3853</v>
      </c>
      <c r="K83" s="143" t="s">
        <v>454</v>
      </c>
      <c r="L83" s="143" t="s">
        <v>339</v>
      </c>
      <c r="M83" s="143" t="s">
        <v>338</v>
      </c>
      <c r="N83" s="145" t="s">
        <v>3853</v>
      </c>
      <c r="O83" s="143" t="s">
        <v>3052</v>
      </c>
      <c r="P83" s="143" t="s">
        <v>1366</v>
      </c>
      <c r="Q83" s="143" t="s">
        <v>413</v>
      </c>
      <c r="R83" s="143" t="s">
        <v>408</v>
      </c>
      <c r="S83" s="143" t="s">
        <v>1211</v>
      </c>
      <c r="T83" s="144">
        <v>2.68</v>
      </c>
      <c r="U83" s="170" t="s">
        <v>823</v>
      </c>
      <c r="V83" s="146">
        <v>0.107045</v>
      </c>
      <c r="W83" s="145" t="s">
        <v>3853</v>
      </c>
      <c r="X83" s="145" t="s">
        <v>3853</v>
      </c>
      <c r="Y83" s="166">
        <v>5.3644999999999998E-2</v>
      </c>
      <c r="Z83" s="146">
        <v>9.9400000000000002E-2</v>
      </c>
      <c r="AA83" s="143" t="s">
        <v>3690</v>
      </c>
      <c r="AB83" s="143" t="s">
        <v>412</v>
      </c>
      <c r="AC83" s="145" t="s">
        <v>3853</v>
      </c>
      <c r="AD83" s="145" t="s">
        <v>3853</v>
      </c>
      <c r="AE83" s="171">
        <v>0.76</v>
      </c>
      <c r="AF83" s="143" t="s">
        <v>3689</v>
      </c>
      <c r="AG83" s="145" t="s">
        <v>3853</v>
      </c>
      <c r="AH83" s="145" t="s">
        <v>3853</v>
      </c>
      <c r="AI83" s="145" t="s">
        <v>3853</v>
      </c>
      <c r="AJ83" s="143" t="s">
        <v>339</v>
      </c>
      <c r="AK83" s="143" t="s">
        <v>886</v>
      </c>
      <c r="AL83" s="145" t="s">
        <v>3853</v>
      </c>
      <c r="AM83" s="143" t="s">
        <v>889</v>
      </c>
      <c r="AN83" s="163">
        <v>45473</v>
      </c>
      <c r="AO83" s="163">
        <v>45473</v>
      </c>
      <c r="AP83" s="145" t="s">
        <v>3853</v>
      </c>
      <c r="AQ83" s="144">
        <v>612372.80000000005</v>
      </c>
      <c r="AR83" s="143" t="s">
        <v>1423</v>
      </c>
      <c r="AS83" s="143" t="s">
        <v>1212</v>
      </c>
      <c r="AT83" s="144">
        <v>2298.9168999999997</v>
      </c>
      <c r="AU83" s="144">
        <v>611.57671540000001</v>
      </c>
      <c r="AV83" s="145" t="s">
        <v>3853</v>
      </c>
      <c r="AW83" s="145" t="s">
        <v>3853</v>
      </c>
      <c r="AX83" s="145" t="s">
        <v>3853</v>
      </c>
      <c r="AY83" s="145" t="s">
        <v>3853</v>
      </c>
      <c r="AZ83" s="146">
        <v>1.173731114280839E-2</v>
      </c>
      <c r="BA83" s="147">
        <v>3.0627573240150528E-4</v>
      </c>
      <c r="BB83" s="181"/>
    </row>
    <row r="84" spans="1:54" ht="15" x14ac:dyDescent="0.2">
      <c r="A84" s="142" t="s">
        <v>1218</v>
      </c>
      <c r="B84" s="143" t="s">
        <v>1218</v>
      </c>
      <c r="C84" s="145" t="s">
        <v>3853</v>
      </c>
      <c r="D84" s="145" t="s">
        <v>3853</v>
      </c>
      <c r="E84" s="145" t="s">
        <v>3853</v>
      </c>
      <c r="F84" s="143" t="s">
        <v>3731</v>
      </c>
      <c r="G84" s="143" t="s">
        <v>1012</v>
      </c>
      <c r="H84" s="145" t="s">
        <v>3853</v>
      </c>
      <c r="I84" s="143" t="s">
        <v>204</v>
      </c>
      <c r="J84" s="145" t="s">
        <v>3853</v>
      </c>
      <c r="K84" s="143" t="s">
        <v>448</v>
      </c>
      <c r="L84" s="143" t="s">
        <v>339</v>
      </c>
      <c r="M84" s="143" t="s">
        <v>338</v>
      </c>
      <c r="N84" s="145" t="s">
        <v>3853</v>
      </c>
      <c r="O84" s="143" t="s">
        <v>3669</v>
      </c>
      <c r="P84" s="145" t="s">
        <v>3853</v>
      </c>
      <c r="Q84" s="143" t="s">
        <v>410</v>
      </c>
      <c r="R84" s="143" t="s">
        <v>410</v>
      </c>
      <c r="S84" s="143" t="s">
        <v>1210</v>
      </c>
      <c r="T84" s="144">
        <v>6.49</v>
      </c>
      <c r="U84" s="170" t="s">
        <v>823</v>
      </c>
      <c r="V84" s="146">
        <v>3.2063000000000001E-2</v>
      </c>
      <c r="W84" s="145" t="s">
        <v>3853</v>
      </c>
      <c r="X84" s="145" t="s">
        <v>3853</v>
      </c>
      <c r="Y84" s="166">
        <v>0</v>
      </c>
      <c r="Z84" s="146">
        <v>6.3600000000000004E-2</v>
      </c>
      <c r="AA84" s="143" t="s">
        <v>3676</v>
      </c>
      <c r="AB84" s="143" t="s">
        <v>412</v>
      </c>
      <c r="AC84" s="145" t="s">
        <v>3853</v>
      </c>
      <c r="AD84" s="145" t="s">
        <v>3853</v>
      </c>
      <c r="AE84" s="145" t="s">
        <v>3853</v>
      </c>
      <c r="AF84" s="145" t="s">
        <v>3853</v>
      </c>
      <c r="AG84" s="145" t="s">
        <v>3853</v>
      </c>
      <c r="AH84" s="145" t="s">
        <v>3853</v>
      </c>
      <c r="AI84" s="145" t="s">
        <v>3853</v>
      </c>
      <c r="AJ84" s="143" t="s">
        <v>339</v>
      </c>
      <c r="AK84" s="143" t="s">
        <v>886</v>
      </c>
      <c r="AL84" s="145" t="s">
        <v>3853</v>
      </c>
      <c r="AM84" s="143" t="s">
        <v>889</v>
      </c>
      <c r="AN84" s="163">
        <v>45473</v>
      </c>
      <c r="AO84" s="163">
        <v>45473</v>
      </c>
      <c r="AP84" s="145" t="s">
        <v>3853</v>
      </c>
      <c r="AQ84" s="144">
        <v>1973955.86</v>
      </c>
      <c r="AR84" s="143" t="s">
        <v>3732</v>
      </c>
      <c r="AS84" s="145" t="s">
        <v>3853</v>
      </c>
      <c r="AT84" s="144">
        <v>2278.3398999999999</v>
      </c>
      <c r="AU84" s="144">
        <v>2278.3398536</v>
      </c>
      <c r="AV84" s="145" t="s">
        <v>3853</v>
      </c>
      <c r="AW84" s="145" t="s">
        <v>3853</v>
      </c>
      <c r="AX84" s="145" t="s">
        <v>3853</v>
      </c>
      <c r="AY84" s="145" t="s">
        <v>3853</v>
      </c>
      <c r="AZ84" s="146">
        <v>1.1632253460110103E-2</v>
      </c>
      <c r="BA84" s="147">
        <v>3.03534336325238E-4</v>
      </c>
      <c r="BB84" s="181"/>
    </row>
    <row r="85" spans="1:54" ht="15" x14ac:dyDescent="0.2">
      <c r="A85" s="142" t="s">
        <v>1218</v>
      </c>
      <c r="B85" s="143" t="s">
        <v>1218</v>
      </c>
      <c r="C85" s="145" t="s">
        <v>3853</v>
      </c>
      <c r="D85" s="145" t="s">
        <v>3853</v>
      </c>
      <c r="E85" s="145" t="s">
        <v>3853</v>
      </c>
      <c r="F85" s="143" t="s">
        <v>3737</v>
      </c>
      <c r="G85" s="143" t="s">
        <v>1012</v>
      </c>
      <c r="H85" s="145" t="s">
        <v>3853</v>
      </c>
      <c r="I85" s="143" t="s">
        <v>204</v>
      </c>
      <c r="J85" s="145" t="s">
        <v>3853</v>
      </c>
      <c r="K85" s="143" t="s">
        <v>454</v>
      </c>
      <c r="L85" s="143" t="s">
        <v>339</v>
      </c>
      <c r="M85" s="143" t="s">
        <v>338</v>
      </c>
      <c r="N85" s="145" t="s">
        <v>3853</v>
      </c>
      <c r="O85" s="143" t="s">
        <v>3738</v>
      </c>
      <c r="P85" s="143" t="s">
        <v>1366</v>
      </c>
      <c r="Q85" s="143" t="s">
        <v>413</v>
      </c>
      <c r="R85" s="143" t="s">
        <v>408</v>
      </c>
      <c r="S85" s="143" t="s">
        <v>1211</v>
      </c>
      <c r="T85" s="144">
        <v>2.54</v>
      </c>
      <c r="U85" s="170" t="s">
        <v>823</v>
      </c>
      <c r="V85" s="146">
        <v>0.10489999999999999</v>
      </c>
      <c r="W85" s="145" t="s">
        <v>3853</v>
      </c>
      <c r="X85" s="145" t="s">
        <v>3853</v>
      </c>
      <c r="Y85" s="166">
        <v>0</v>
      </c>
      <c r="Z85" s="146">
        <v>8.4500000000000006E-2</v>
      </c>
      <c r="AA85" s="143" t="s">
        <v>1544</v>
      </c>
      <c r="AB85" s="143" t="s">
        <v>412</v>
      </c>
      <c r="AC85" s="145" t="s">
        <v>3853</v>
      </c>
      <c r="AD85" s="145" t="s">
        <v>3853</v>
      </c>
      <c r="AE85" s="145" t="s">
        <v>3853</v>
      </c>
      <c r="AF85" s="145" t="s">
        <v>3853</v>
      </c>
      <c r="AG85" s="145" t="s">
        <v>3853</v>
      </c>
      <c r="AH85" s="145" t="s">
        <v>3853</v>
      </c>
      <c r="AI85" s="145" t="s">
        <v>3853</v>
      </c>
      <c r="AJ85" s="145" t="s">
        <v>3853</v>
      </c>
      <c r="AK85" s="143" t="s">
        <v>886</v>
      </c>
      <c r="AL85" s="145" t="s">
        <v>3853</v>
      </c>
      <c r="AM85" s="143" t="s">
        <v>889</v>
      </c>
      <c r="AN85" s="163">
        <v>44861</v>
      </c>
      <c r="AO85" s="163">
        <v>44861</v>
      </c>
      <c r="AP85" s="145" t="s">
        <v>3853</v>
      </c>
      <c r="AQ85" s="144">
        <v>581814</v>
      </c>
      <c r="AR85" s="143" t="s">
        <v>1532</v>
      </c>
      <c r="AS85" s="143" t="s">
        <v>1212</v>
      </c>
      <c r="AT85" s="144">
        <v>2187.0387999999998</v>
      </c>
      <c r="AU85" s="144">
        <v>581.81399999999996</v>
      </c>
      <c r="AV85" s="145" t="s">
        <v>3853</v>
      </c>
      <c r="AW85" s="145" t="s">
        <v>3853</v>
      </c>
      <c r="AX85" s="145" t="s">
        <v>3853</v>
      </c>
      <c r="AY85" s="145" t="s">
        <v>3853</v>
      </c>
      <c r="AZ85" s="146">
        <v>1.1166108476223006E-2</v>
      </c>
      <c r="BA85" s="147">
        <v>2.9137065636410955E-4</v>
      </c>
      <c r="BB85" s="181"/>
    </row>
    <row r="86" spans="1:54" ht="15" x14ac:dyDescent="0.2">
      <c r="A86" s="142" t="s">
        <v>1218</v>
      </c>
      <c r="B86" s="143" t="s">
        <v>1218</v>
      </c>
      <c r="C86" s="145" t="s">
        <v>3853</v>
      </c>
      <c r="D86" s="145" t="s">
        <v>3853</v>
      </c>
      <c r="E86" s="145" t="s">
        <v>3853</v>
      </c>
      <c r="F86" s="143" t="s">
        <v>3739</v>
      </c>
      <c r="G86" s="143" t="s">
        <v>1012</v>
      </c>
      <c r="H86" s="143" t="s">
        <v>801</v>
      </c>
      <c r="I86" s="143" t="s">
        <v>204</v>
      </c>
      <c r="J86" s="145" t="s">
        <v>3853</v>
      </c>
      <c r="K86" s="143" t="s">
        <v>443</v>
      </c>
      <c r="L86" s="143" t="s">
        <v>339</v>
      </c>
      <c r="M86" s="143" t="s">
        <v>338</v>
      </c>
      <c r="N86" s="145" t="s">
        <v>3853</v>
      </c>
      <c r="O86" s="143" t="s">
        <v>3689</v>
      </c>
      <c r="P86" s="145" t="s">
        <v>3853</v>
      </c>
      <c r="Q86" s="143" t="s">
        <v>410</v>
      </c>
      <c r="R86" s="143" t="s">
        <v>410</v>
      </c>
      <c r="S86" s="143" t="s">
        <v>1210</v>
      </c>
      <c r="T86" s="144">
        <v>2.2999999999999998</v>
      </c>
      <c r="U86" s="170" t="s">
        <v>824</v>
      </c>
      <c r="V86" s="146">
        <v>4.7500000000000001E-2</v>
      </c>
      <c r="W86" s="145" t="s">
        <v>3853</v>
      </c>
      <c r="X86" s="145" t="s">
        <v>3853</v>
      </c>
      <c r="Y86" s="166">
        <v>4.7500000000000001E-2</v>
      </c>
      <c r="Z86" s="146">
        <v>5.5199999999999999E-2</v>
      </c>
      <c r="AA86" s="143" t="s">
        <v>3685</v>
      </c>
      <c r="AB86" s="143" t="s">
        <v>412</v>
      </c>
      <c r="AC86" s="145" t="s">
        <v>3853</v>
      </c>
      <c r="AD86" s="145" t="s">
        <v>3853</v>
      </c>
      <c r="AE86" s="171">
        <v>0.17</v>
      </c>
      <c r="AF86" s="143" t="s">
        <v>3686</v>
      </c>
      <c r="AG86" s="145" t="s">
        <v>3853</v>
      </c>
      <c r="AH86" s="145" t="s">
        <v>3853</v>
      </c>
      <c r="AI86" s="145" t="s">
        <v>3853</v>
      </c>
      <c r="AJ86" s="143" t="s">
        <v>339</v>
      </c>
      <c r="AK86" s="143" t="s">
        <v>886</v>
      </c>
      <c r="AL86" s="145" t="s">
        <v>3853</v>
      </c>
      <c r="AM86" s="143" t="s">
        <v>889</v>
      </c>
      <c r="AN86" s="163">
        <v>45473</v>
      </c>
      <c r="AO86" s="163">
        <v>45473</v>
      </c>
      <c r="AP86" s="145" t="s">
        <v>3853</v>
      </c>
      <c r="AQ86" s="144">
        <v>1608499.93</v>
      </c>
      <c r="AR86" s="143" t="s">
        <v>3740</v>
      </c>
      <c r="AS86" s="145" t="s">
        <v>3853</v>
      </c>
      <c r="AT86" s="144">
        <v>1747.4743000000001</v>
      </c>
      <c r="AU86" s="144">
        <v>1747.474324</v>
      </c>
      <c r="AV86" s="145" t="s">
        <v>3853</v>
      </c>
      <c r="AW86" s="145" t="s">
        <v>3853</v>
      </c>
      <c r="AX86" s="145" t="s">
        <v>3853</v>
      </c>
      <c r="AY86" s="145" t="s">
        <v>3853</v>
      </c>
      <c r="AZ86" s="146">
        <v>8.9218753817690549E-3</v>
      </c>
      <c r="BA86" s="147">
        <v>2.3280919144931671E-4</v>
      </c>
      <c r="BB86" s="181"/>
    </row>
    <row r="87" spans="1:54" ht="15" x14ac:dyDescent="0.2">
      <c r="A87" s="142" t="s">
        <v>1218</v>
      </c>
      <c r="B87" s="143" t="s">
        <v>1218</v>
      </c>
      <c r="C87" s="145" t="s">
        <v>3853</v>
      </c>
      <c r="D87" s="145" t="s">
        <v>3853</v>
      </c>
      <c r="E87" s="145" t="s">
        <v>3853</v>
      </c>
      <c r="F87" s="143" t="s">
        <v>3837</v>
      </c>
      <c r="G87" s="143" t="s">
        <v>1012</v>
      </c>
      <c r="H87" s="145" t="s">
        <v>3853</v>
      </c>
      <c r="I87" s="143" t="s">
        <v>204</v>
      </c>
      <c r="J87" s="145" t="s">
        <v>3853</v>
      </c>
      <c r="K87" s="143" t="s">
        <v>447</v>
      </c>
      <c r="L87" s="143" t="s">
        <v>339</v>
      </c>
      <c r="M87" s="143" t="s">
        <v>338</v>
      </c>
      <c r="N87" s="145" t="s">
        <v>3853</v>
      </c>
      <c r="O87" s="143" t="s">
        <v>3838</v>
      </c>
      <c r="P87" s="143" t="s">
        <v>1530</v>
      </c>
      <c r="Q87" s="143" t="s">
        <v>415</v>
      </c>
      <c r="R87" s="143" t="s">
        <v>408</v>
      </c>
      <c r="S87" s="143" t="s">
        <v>1210</v>
      </c>
      <c r="T87" s="144">
        <v>1.7</v>
      </c>
      <c r="U87" s="170" t="s">
        <v>824</v>
      </c>
      <c r="V87" s="146">
        <v>5.2121000000000001E-2</v>
      </c>
      <c r="W87" s="145" t="s">
        <v>3853</v>
      </c>
      <c r="X87" s="145" t="s">
        <v>3853</v>
      </c>
      <c r="Y87" s="166">
        <v>0</v>
      </c>
      <c r="Z87" s="146">
        <v>2.18E-2</v>
      </c>
      <c r="AA87" s="143" t="s">
        <v>1520</v>
      </c>
      <c r="AB87" s="143" t="s">
        <v>412</v>
      </c>
      <c r="AC87" s="145" t="s">
        <v>3853</v>
      </c>
      <c r="AD87" s="145" t="s">
        <v>3853</v>
      </c>
      <c r="AE87" s="171">
        <v>0.75</v>
      </c>
      <c r="AF87" s="143" t="s">
        <v>3662</v>
      </c>
      <c r="AG87" s="145" t="s">
        <v>3853</v>
      </c>
      <c r="AH87" s="145" t="s">
        <v>3853</v>
      </c>
      <c r="AI87" s="145" t="s">
        <v>3853</v>
      </c>
      <c r="AJ87" s="143" t="s">
        <v>339</v>
      </c>
      <c r="AK87" s="143" t="s">
        <v>886</v>
      </c>
      <c r="AL87" s="145" t="s">
        <v>3853</v>
      </c>
      <c r="AM87" s="143" t="s">
        <v>889</v>
      </c>
      <c r="AN87" s="163">
        <v>0</v>
      </c>
      <c r="AO87" s="163">
        <v>0</v>
      </c>
      <c r="AP87" s="145" t="s">
        <v>3853</v>
      </c>
      <c r="AQ87" s="144">
        <v>1102968.54</v>
      </c>
      <c r="AR87" s="143" t="s">
        <v>3839</v>
      </c>
      <c r="AS87" s="145" t="s">
        <v>3853</v>
      </c>
      <c r="AT87" s="144">
        <v>1686.2183</v>
      </c>
      <c r="AU87" s="144">
        <v>1686.218304</v>
      </c>
      <c r="AV87" s="145" t="s">
        <v>3853</v>
      </c>
      <c r="AW87" s="145" t="s">
        <v>3853</v>
      </c>
      <c r="AX87" s="145" t="s">
        <v>3853</v>
      </c>
      <c r="AY87" s="145" t="s">
        <v>3853</v>
      </c>
      <c r="AZ87" s="146">
        <v>8.6091276810834304E-3</v>
      </c>
      <c r="BA87" s="147">
        <v>2.2464829071839706E-4</v>
      </c>
      <c r="BB87" s="181"/>
    </row>
    <row r="88" spans="1:54" ht="15" x14ac:dyDescent="0.2">
      <c r="A88" s="142" t="s">
        <v>1218</v>
      </c>
      <c r="B88" s="143" t="s">
        <v>1218</v>
      </c>
      <c r="C88" s="145" t="s">
        <v>3853</v>
      </c>
      <c r="D88" s="145" t="s">
        <v>3853</v>
      </c>
      <c r="E88" s="145" t="s">
        <v>3853</v>
      </c>
      <c r="F88" s="143" t="s">
        <v>3840</v>
      </c>
      <c r="G88" s="143" t="s">
        <v>1012</v>
      </c>
      <c r="H88" s="145" t="s">
        <v>3853</v>
      </c>
      <c r="I88" s="143" t="s">
        <v>204</v>
      </c>
      <c r="J88" s="145" t="s">
        <v>3853</v>
      </c>
      <c r="K88" s="143" t="s">
        <v>447</v>
      </c>
      <c r="L88" s="143" t="s">
        <v>339</v>
      </c>
      <c r="M88" s="143" t="s">
        <v>338</v>
      </c>
      <c r="N88" s="145" t="s">
        <v>3853</v>
      </c>
      <c r="O88" s="143" t="s">
        <v>3841</v>
      </c>
      <c r="P88" s="143" t="s">
        <v>1530</v>
      </c>
      <c r="Q88" s="143" t="s">
        <v>415</v>
      </c>
      <c r="R88" s="143" t="s">
        <v>408</v>
      </c>
      <c r="S88" s="143" t="s">
        <v>1210</v>
      </c>
      <c r="T88" s="144">
        <v>1.71</v>
      </c>
      <c r="U88" s="170" t="s">
        <v>824</v>
      </c>
      <c r="V88" s="146">
        <v>3.8767999999999997E-2</v>
      </c>
      <c r="W88" s="145" t="s">
        <v>3853</v>
      </c>
      <c r="X88" s="145" t="s">
        <v>3853</v>
      </c>
      <c r="Y88" s="166">
        <v>0</v>
      </c>
      <c r="Z88" s="146">
        <v>2.18E-2</v>
      </c>
      <c r="AA88" s="143" t="s">
        <v>1520</v>
      </c>
      <c r="AB88" s="143" t="s">
        <v>412</v>
      </c>
      <c r="AC88" s="145" t="s">
        <v>3853</v>
      </c>
      <c r="AD88" s="145" t="s">
        <v>3853</v>
      </c>
      <c r="AE88" s="171">
        <v>0.75</v>
      </c>
      <c r="AF88" s="143" t="s">
        <v>3662</v>
      </c>
      <c r="AG88" s="145" t="s">
        <v>3853</v>
      </c>
      <c r="AH88" s="145" t="s">
        <v>3853</v>
      </c>
      <c r="AI88" s="145" t="s">
        <v>3853</v>
      </c>
      <c r="AJ88" s="143" t="s">
        <v>339</v>
      </c>
      <c r="AK88" s="143" t="s">
        <v>886</v>
      </c>
      <c r="AL88" s="145" t="s">
        <v>3853</v>
      </c>
      <c r="AM88" s="143" t="s">
        <v>889</v>
      </c>
      <c r="AN88" s="163">
        <v>0</v>
      </c>
      <c r="AO88" s="163">
        <v>0</v>
      </c>
      <c r="AP88" s="145" t="s">
        <v>3853</v>
      </c>
      <c r="AQ88" s="144">
        <v>1102971.25</v>
      </c>
      <c r="AR88" s="143" t="s">
        <v>3842</v>
      </c>
      <c r="AS88" s="145" t="s">
        <v>3853</v>
      </c>
      <c r="AT88" s="144">
        <v>1650.0450000000001</v>
      </c>
      <c r="AU88" s="144">
        <v>1650.0449900000001</v>
      </c>
      <c r="AV88" s="145" t="s">
        <v>3853</v>
      </c>
      <c r="AW88" s="145" t="s">
        <v>3853</v>
      </c>
      <c r="AX88" s="145" t="s">
        <v>3853</v>
      </c>
      <c r="AY88" s="145" t="s">
        <v>3853</v>
      </c>
      <c r="AZ88" s="146">
        <v>8.4244418205807869E-3</v>
      </c>
      <c r="BA88" s="147">
        <v>2.1982906112642125E-4</v>
      </c>
      <c r="BB88" s="181"/>
    </row>
    <row r="89" spans="1:54" ht="15" x14ac:dyDescent="0.2">
      <c r="A89" s="142" t="s">
        <v>1218</v>
      </c>
      <c r="B89" s="143" t="s">
        <v>1218</v>
      </c>
      <c r="C89" s="145" t="s">
        <v>3853</v>
      </c>
      <c r="D89" s="145" t="s">
        <v>3853</v>
      </c>
      <c r="E89" s="145" t="s">
        <v>3853</v>
      </c>
      <c r="F89" s="143" t="s">
        <v>3741</v>
      </c>
      <c r="G89" s="143" t="s">
        <v>1012</v>
      </c>
      <c r="H89" s="143" t="s">
        <v>812</v>
      </c>
      <c r="I89" s="143" t="s">
        <v>204</v>
      </c>
      <c r="J89" s="145" t="s">
        <v>3853</v>
      </c>
      <c r="K89" s="143" t="s">
        <v>454</v>
      </c>
      <c r="L89" s="143" t="s">
        <v>339</v>
      </c>
      <c r="M89" s="143" t="s">
        <v>338</v>
      </c>
      <c r="N89" s="145" t="s">
        <v>3853</v>
      </c>
      <c r="O89" s="143" t="s">
        <v>3742</v>
      </c>
      <c r="P89" s="143" t="s">
        <v>1366</v>
      </c>
      <c r="Q89" s="143" t="s">
        <v>413</v>
      </c>
      <c r="R89" s="143" t="s">
        <v>408</v>
      </c>
      <c r="S89" s="143" t="s">
        <v>1211</v>
      </c>
      <c r="T89" s="144">
        <v>2.67</v>
      </c>
      <c r="U89" s="170" t="s">
        <v>823</v>
      </c>
      <c r="V89" s="146">
        <v>0.107045</v>
      </c>
      <c r="W89" s="145" t="s">
        <v>3853</v>
      </c>
      <c r="X89" s="145" t="s">
        <v>3853</v>
      </c>
      <c r="Y89" s="166">
        <v>5.3644999999999998E-2</v>
      </c>
      <c r="Z89" s="146">
        <v>9.9900000000000003E-2</v>
      </c>
      <c r="AA89" s="143" t="s">
        <v>3690</v>
      </c>
      <c r="AB89" s="143" t="s">
        <v>412</v>
      </c>
      <c r="AC89" s="145" t="s">
        <v>3853</v>
      </c>
      <c r="AD89" s="145" t="s">
        <v>3853</v>
      </c>
      <c r="AE89" s="171">
        <v>0.76</v>
      </c>
      <c r="AF89" s="143" t="s">
        <v>3689</v>
      </c>
      <c r="AG89" s="145" t="s">
        <v>3853</v>
      </c>
      <c r="AH89" s="145" t="s">
        <v>3853</v>
      </c>
      <c r="AI89" s="145" t="s">
        <v>3853</v>
      </c>
      <c r="AJ89" s="143" t="s">
        <v>339</v>
      </c>
      <c r="AK89" s="143" t="s">
        <v>886</v>
      </c>
      <c r="AL89" s="145" t="s">
        <v>3853</v>
      </c>
      <c r="AM89" s="143" t="s">
        <v>889</v>
      </c>
      <c r="AN89" s="163">
        <v>45473</v>
      </c>
      <c r="AO89" s="163">
        <v>45473</v>
      </c>
      <c r="AP89" s="145" t="s">
        <v>3853</v>
      </c>
      <c r="AQ89" s="144">
        <v>339994.69</v>
      </c>
      <c r="AR89" s="143" t="s">
        <v>3743</v>
      </c>
      <c r="AS89" s="143" t="s">
        <v>1212</v>
      </c>
      <c r="AT89" s="144">
        <v>1274.7171000000001</v>
      </c>
      <c r="AU89" s="144">
        <v>339.11070380000001</v>
      </c>
      <c r="AV89" s="145" t="s">
        <v>3853</v>
      </c>
      <c r="AW89" s="145" t="s">
        <v>3853</v>
      </c>
      <c r="AX89" s="145" t="s">
        <v>3853</v>
      </c>
      <c r="AY89" s="145" t="s">
        <v>3853</v>
      </c>
      <c r="AZ89" s="146">
        <v>6.508174269003692E-3</v>
      </c>
      <c r="BA89" s="147">
        <v>1.6982559434466866E-4</v>
      </c>
      <c r="BB89" s="181"/>
    </row>
    <row r="90" spans="1:54" ht="15" x14ac:dyDescent="0.2">
      <c r="A90" s="142" t="s">
        <v>1218</v>
      </c>
      <c r="B90" s="143" t="s">
        <v>1218</v>
      </c>
      <c r="C90" s="145" t="s">
        <v>3853</v>
      </c>
      <c r="D90" s="145" t="s">
        <v>3853</v>
      </c>
      <c r="E90" s="145" t="s">
        <v>3853</v>
      </c>
      <c r="F90" s="143" t="s">
        <v>3744</v>
      </c>
      <c r="G90" s="143" t="s">
        <v>1012</v>
      </c>
      <c r="H90" s="145" t="s">
        <v>3853</v>
      </c>
      <c r="I90" s="143" t="s">
        <v>204</v>
      </c>
      <c r="J90" s="145" t="s">
        <v>3853</v>
      </c>
      <c r="K90" s="143" t="s">
        <v>440</v>
      </c>
      <c r="L90" s="143" t="s">
        <v>339</v>
      </c>
      <c r="M90" s="143" t="s">
        <v>338</v>
      </c>
      <c r="N90" s="145" t="s">
        <v>3853</v>
      </c>
      <c r="O90" s="143" t="s">
        <v>3745</v>
      </c>
      <c r="P90" s="143" t="s">
        <v>1627</v>
      </c>
      <c r="Q90" s="143" t="s">
        <v>415</v>
      </c>
      <c r="R90" s="143" t="s">
        <v>408</v>
      </c>
      <c r="S90" s="143" t="s">
        <v>1210</v>
      </c>
      <c r="T90" s="144">
        <v>8.09</v>
      </c>
      <c r="U90" s="170" t="s">
        <v>824</v>
      </c>
      <c r="V90" s="146">
        <v>0</v>
      </c>
      <c r="W90" s="145" t="s">
        <v>3853</v>
      </c>
      <c r="X90" s="145" t="s">
        <v>3853</v>
      </c>
      <c r="Y90" s="166">
        <v>0</v>
      </c>
      <c r="Z90" s="146">
        <v>4.02E-2</v>
      </c>
      <c r="AA90" s="143" t="s">
        <v>3680</v>
      </c>
      <c r="AB90" s="143" t="s">
        <v>412</v>
      </c>
      <c r="AC90" s="145" t="s">
        <v>3853</v>
      </c>
      <c r="AD90" s="145" t="s">
        <v>3853</v>
      </c>
      <c r="AE90" s="171">
        <v>0.75</v>
      </c>
      <c r="AF90" s="143" t="s">
        <v>3662</v>
      </c>
      <c r="AG90" s="145" t="s">
        <v>3853</v>
      </c>
      <c r="AH90" s="145" t="s">
        <v>3853</v>
      </c>
      <c r="AI90" s="145" t="s">
        <v>3853</v>
      </c>
      <c r="AJ90" s="143" t="s">
        <v>338</v>
      </c>
      <c r="AK90" s="143" t="s">
        <v>886</v>
      </c>
      <c r="AL90" s="145" t="s">
        <v>3853</v>
      </c>
      <c r="AM90" s="143" t="s">
        <v>889</v>
      </c>
      <c r="AN90" s="163">
        <v>45473</v>
      </c>
      <c r="AO90" s="163">
        <v>45473</v>
      </c>
      <c r="AP90" s="145" t="s">
        <v>3853</v>
      </c>
      <c r="AQ90" s="144">
        <v>1141979.94</v>
      </c>
      <c r="AR90" s="143" t="s">
        <v>3746</v>
      </c>
      <c r="AS90" s="145" t="s">
        <v>3853</v>
      </c>
      <c r="AT90" s="144">
        <v>1125.6496000000002</v>
      </c>
      <c r="AU90" s="144">
        <v>1125.6496269000002</v>
      </c>
      <c r="AV90" s="145" t="s">
        <v>3853</v>
      </c>
      <c r="AW90" s="145" t="s">
        <v>3853</v>
      </c>
      <c r="AX90" s="145" t="s">
        <v>3853</v>
      </c>
      <c r="AY90" s="145" t="s">
        <v>3853</v>
      </c>
      <c r="AZ90" s="146">
        <v>5.7470977150893884E-3</v>
      </c>
      <c r="BA90" s="147">
        <v>1.4996591131100041E-4</v>
      </c>
      <c r="BB90" s="181"/>
    </row>
    <row r="91" spans="1:54" ht="15" x14ac:dyDescent="0.2">
      <c r="A91" s="142" t="s">
        <v>1218</v>
      </c>
      <c r="B91" s="143" t="s">
        <v>1218</v>
      </c>
      <c r="C91" s="145" t="s">
        <v>3853</v>
      </c>
      <c r="D91" s="145" t="s">
        <v>3853</v>
      </c>
      <c r="E91" s="145" t="s">
        <v>3853</v>
      </c>
      <c r="F91" s="143" t="s">
        <v>3747</v>
      </c>
      <c r="G91" s="143" t="s">
        <v>1012</v>
      </c>
      <c r="H91" s="145" t="s">
        <v>3853</v>
      </c>
      <c r="I91" s="143" t="s">
        <v>204</v>
      </c>
      <c r="J91" s="145" t="s">
        <v>3853</v>
      </c>
      <c r="K91" s="143" t="s">
        <v>440</v>
      </c>
      <c r="L91" s="143" t="s">
        <v>339</v>
      </c>
      <c r="M91" s="143" t="s">
        <v>338</v>
      </c>
      <c r="N91" s="145" t="s">
        <v>3853</v>
      </c>
      <c r="O91" s="143" t="s">
        <v>3748</v>
      </c>
      <c r="P91" s="143" t="s">
        <v>1627</v>
      </c>
      <c r="Q91" s="143" t="s">
        <v>415</v>
      </c>
      <c r="R91" s="143" t="s">
        <v>408</v>
      </c>
      <c r="S91" s="143" t="s">
        <v>1210</v>
      </c>
      <c r="T91" s="144">
        <v>8.1300000000000008</v>
      </c>
      <c r="U91" s="170" t="s">
        <v>824</v>
      </c>
      <c r="V91" s="146">
        <v>0</v>
      </c>
      <c r="W91" s="145" t="s">
        <v>3853</v>
      </c>
      <c r="X91" s="145" t="s">
        <v>3853</v>
      </c>
      <c r="Y91" s="166">
        <v>0</v>
      </c>
      <c r="Z91" s="146">
        <v>4.02E-2</v>
      </c>
      <c r="AA91" s="143" t="s">
        <v>3680</v>
      </c>
      <c r="AB91" s="143" t="s">
        <v>412</v>
      </c>
      <c r="AC91" s="145" t="s">
        <v>3853</v>
      </c>
      <c r="AD91" s="145" t="s">
        <v>3853</v>
      </c>
      <c r="AE91" s="171">
        <v>0.75</v>
      </c>
      <c r="AF91" s="145" t="s">
        <v>3853</v>
      </c>
      <c r="AG91" s="145" t="s">
        <v>3853</v>
      </c>
      <c r="AH91" s="145" t="s">
        <v>3853</v>
      </c>
      <c r="AI91" s="145" t="s">
        <v>3853</v>
      </c>
      <c r="AJ91" s="143" t="s">
        <v>338</v>
      </c>
      <c r="AK91" s="143" t="s">
        <v>886</v>
      </c>
      <c r="AL91" s="145" t="s">
        <v>3853</v>
      </c>
      <c r="AM91" s="143" t="s">
        <v>889</v>
      </c>
      <c r="AN91" s="163">
        <v>45473</v>
      </c>
      <c r="AO91" s="163">
        <v>45473</v>
      </c>
      <c r="AP91" s="145" t="s">
        <v>3853</v>
      </c>
      <c r="AQ91" s="144">
        <v>827081.78</v>
      </c>
      <c r="AR91" s="143" t="s">
        <v>3749</v>
      </c>
      <c r="AS91" s="145" t="s">
        <v>3853</v>
      </c>
      <c r="AT91" s="144">
        <v>819.1418000000001</v>
      </c>
      <c r="AU91" s="144">
        <v>819.14179489999992</v>
      </c>
      <c r="AV91" s="145" t="s">
        <v>3853</v>
      </c>
      <c r="AW91" s="145" t="s">
        <v>3853</v>
      </c>
      <c r="AX91" s="145" t="s">
        <v>3853</v>
      </c>
      <c r="AY91" s="145" t="s">
        <v>3853</v>
      </c>
      <c r="AZ91" s="146">
        <v>4.182196507285697E-3</v>
      </c>
      <c r="BA91" s="147">
        <v>1.0913106781707599E-4</v>
      </c>
      <c r="BB91" s="181"/>
    </row>
    <row r="92" spans="1:54" ht="15" x14ac:dyDescent="0.2">
      <c r="A92" s="142" t="s">
        <v>1218</v>
      </c>
      <c r="B92" s="143" t="s">
        <v>1218</v>
      </c>
      <c r="C92" s="145" t="s">
        <v>3853</v>
      </c>
      <c r="D92" s="145" t="s">
        <v>3853</v>
      </c>
      <c r="E92" s="145" t="s">
        <v>3853</v>
      </c>
      <c r="F92" s="143" t="s">
        <v>3752</v>
      </c>
      <c r="G92" s="143" t="s">
        <v>1012</v>
      </c>
      <c r="H92" s="145" t="s">
        <v>3853</v>
      </c>
      <c r="I92" s="143" t="s">
        <v>204</v>
      </c>
      <c r="J92" s="145" t="s">
        <v>3853</v>
      </c>
      <c r="K92" s="143" t="s">
        <v>485</v>
      </c>
      <c r="L92" s="143" t="s">
        <v>339</v>
      </c>
      <c r="M92" s="143" t="s">
        <v>338</v>
      </c>
      <c r="N92" s="145" t="s">
        <v>3853</v>
      </c>
      <c r="O92" s="143" t="s">
        <v>3200</v>
      </c>
      <c r="P92" s="143" t="s">
        <v>1359</v>
      </c>
      <c r="Q92" s="143" t="s">
        <v>415</v>
      </c>
      <c r="R92" s="143" t="s">
        <v>408</v>
      </c>
      <c r="S92" s="143" t="s">
        <v>1210</v>
      </c>
      <c r="T92" s="144">
        <v>10.09</v>
      </c>
      <c r="U92" s="170" t="s">
        <v>824</v>
      </c>
      <c r="V92" s="146">
        <v>0.03</v>
      </c>
      <c r="W92" s="145" t="s">
        <v>3853</v>
      </c>
      <c r="X92" s="145" t="s">
        <v>3853</v>
      </c>
      <c r="Y92" s="166">
        <v>0</v>
      </c>
      <c r="Z92" s="146">
        <v>4.1599999999999998E-2</v>
      </c>
      <c r="AA92" s="143" t="s">
        <v>3657</v>
      </c>
      <c r="AB92" s="143" t="s">
        <v>412</v>
      </c>
      <c r="AC92" s="145" t="s">
        <v>3853</v>
      </c>
      <c r="AD92" s="145" t="s">
        <v>3853</v>
      </c>
      <c r="AE92" s="171">
        <v>0.75</v>
      </c>
      <c r="AF92" s="143" t="s">
        <v>3658</v>
      </c>
      <c r="AG92" s="145" t="s">
        <v>3853</v>
      </c>
      <c r="AH92" s="145" t="s">
        <v>3853</v>
      </c>
      <c r="AI92" s="145" t="s">
        <v>3853</v>
      </c>
      <c r="AJ92" s="143" t="s">
        <v>338</v>
      </c>
      <c r="AK92" s="143" t="s">
        <v>886</v>
      </c>
      <c r="AL92" s="145" t="s">
        <v>3853</v>
      </c>
      <c r="AM92" s="143" t="s">
        <v>889</v>
      </c>
      <c r="AN92" s="163">
        <v>45473</v>
      </c>
      <c r="AO92" s="163">
        <v>45473</v>
      </c>
      <c r="AP92" s="145" t="s">
        <v>3853</v>
      </c>
      <c r="AQ92" s="144">
        <v>732741.25</v>
      </c>
      <c r="AR92" s="143" t="s">
        <v>3659</v>
      </c>
      <c r="AS92" s="145" t="s">
        <v>3853</v>
      </c>
      <c r="AT92" s="144">
        <v>742.56</v>
      </c>
      <c r="AU92" s="144">
        <v>742.55998279999994</v>
      </c>
      <c r="AV92" s="145" t="s">
        <v>3853</v>
      </c>
      <c r="AW92" s="145" t="s">
        <v>3853</v>
      </c>
      <c r="AX92" s="145" t="s">
        <v>3853</v>
      </c>
      <c r="AY92" s="145" t="s">
        <v>3853</v>
      </c>
      <c r="AZ92" s="146">
        <v>3.7912017010935245E-3</v>
      </c>
      <c r="BA92" s="147">
        <v>9.8928371545786798E-5</v>
      </c>
      <c r="BB92" s="181"/>
    </row>
    <row r="93" spans="1:54" ht="15" x14ac:dyDescent="0.2">
      <c r="A93" s="142" t="s">
        <v>1218</v>
      </c>
      <c r="B93" s="143" t="s">
        <v>1218</v>
      </c>
      <c r="C93" s="145" t="s">
        <v>3853</v>
      </c>
      <c r="D93" s="145" t="s">
        <v>3853</v>
      </c>
      <c r="E93" s="145" t="s">
        <v>3853</v>
      </c>
      <c r="F93" s="143" t="s">
        <v>3750</v>
      </c>
      <c r="G93" s="143" t="s">
        <v>1012</v>
      </c>
      <c r="H93" s="143" t="s">
        <v>784</v>
      </c>
      <c r="I93" s="143" t="s">
        <v>204</v>
      </c>
      <c r="J93" s="145" t="s">
        <v>3853</v>
      </c>
      <c r="K93" s="143" t="s">
        <v>443</v>
      </c>
      <c r="L93" s="143" t="s">
        <v>339</v>
      </c>
      <c r="M93" s="143" t="s">
        <v>338</v>
      </c>
      <c r="N93" s="145" t="s">
        <v>3853</v>
      </c>
      <c r="O93" s="143" t="s">
        <v>3723</v>
      </c>
      <c r="P93" s="145" t="s">
        <v>3853</v>
      </c>
      <c r="Q93" s="143" t="s">
        <v>410</v>
      </c>
      <c r="R93" s="143" t="s">
        <v>410</v>
      </c>
      <c r="S93" s="143" t="s">
        <v>1210</v>
      </c>
      <c r="T93" s="144">
        <v>2.17</v>
      </c>
      <c r="U93" s="170" t="s">
        <v>823</v>
      </c>
      <c r="V93" s="146">
        <v>8.2500000000000004E-2</v>
      </c>
      <c r="W93" s="145" t="s">
        <v>3853</v>
      </c>
      <c r="X93" s="145" t="s">
        <v>3853</v>
      </c>
      <c r="Y93" s="166">
        <v>2.2499999999999999E-2</v>
      </c>
      <c r="Z93" s="146">
        <v>7.0400000000000004E-2</v>
      </c>
      <c r="AA93" s="143" t="s">
        <v>3724</v>
      </c>
      <c r="AB93" s="143" t="s">
        <v>412</v>
      </c>
      <c r="AC93" s="145" t="s">
        <v>3853</v>
      </c>
      <c r="AD93" s="145" t="s">
        <v>3853</v>
      </c>
      <c r="AE93" s="171">
        <v>0.62</v>
      </c>
      <c r="AF93" s="143" t="s">
        <v>3725</v>
      </c>
      <c r="AG93" s="145" t="s">
        <v>3853</v>
      </c>
      <c r="AH93" s="145" t="s">
        <v>3853</v>
      </c>
      <c r="AI93" s="145" t="s">
        <v>3853</v>
      </c>
      <c r="AJ93" s="143" t="s">
        <v>338</v>
      </c>
      <c r="AK93" s="143" t="s">
        <v>886</v>
      </c>
      <c r="AL93" s="145" t="s">
        <v>3853</v>
      </c>
      <c r="AM93" s="143" t="s">
        <v>889</v>
      </c>
      <c r="AN93" s="163">
        <v>45473</v>
      </c>
      <c r="AO93" s="163">
        <v>45473</v>
      </c>
      <c r="AP93" s="145" t="s">
        <v>3853</v>
      </c>
      <c r="AQ93" s="144">
        <v>645686</v>
      </c>
      <c r="AR93" s="143" t="s">
        <v>3751</v>
      </c>
      <c r="AS93" s="145" t="s">
        <v>3853</v>
      </c>
      <c r="AT93" s="144">
        <v>677.71199999999999</v>
      </c>
      <c r="AU93" s="144">
        <v>677.71202560000006</v>
      </c>
      <c r="AV93" s="145" t="s">
        <v>3853</v>
      </c>
      <c r="AW93" s="145" t="s">
        <v>3853</v>
      </c>
      <c r="AX93" s="145" t="s">
        <v>3853</v>
      </c>
      <c r="AY93" s="145" t="s">
        <v>3853</v>
      </c>
      <c r="AZ93" s="146">
        <v>3.4601150667868496E-3</v>
      </c>
      <c r="BA93" s="147">
        <v>9.0288931031955172E-5</v>
      </c>
      <c r="BB93" s="181"/>
    </row>
    <row r="94" spans="1:54" ht="15" x14ac:dyDescent="0.2">
      <c r="A94" s="142" t="s">
        <v>1218</v>
      </c>
      <c r="B94" s="143" t="s">
        <v>1218</v>
      </c>
      <c r="C94" s="145" t="s">
        <v>3853</v>
      </c>
      <c r="D94" s="145" t="s">
        <v>3853</v>
      </c>
      <c r="E94" s="145" t="s">
        <v>3853</v>
      </c>
      <c r="F94" s="143" t="s">
        <v>3843</v>
      </c>
      <c r="G94" s="143" t="s">
        <v>1012</v>
      </c>
      <c r="H94" s="145" t="s">
        <v>3853</v>
      </c>
      <c r="I94" s="143" t="s">
        <v>204</v>
      </c>
      <c r="J94" s="145" t="s">
        <v>3853</v>
      </c>
      <c r="K94" s="143" t="s">
        <v>447</v>
      </c>
      <c r="L94" s="143" t="s">
        <v>339</v>
      </c>
      <c r="M94" s="143" t="s">
        <v>338</v>
      </c>
      <c r="N94" s="145" t="s">
        <v>3853</v>
      </c>
      <c r="O94" s="143" t="s">
        <v>3844</v>
      </c>
      <c r="P94" s="143" t="s">
        <v>1377</v>
      </c>
      <c r="Q94" s="143" t="s">
        <v>415</v>
      </c>
      <c r="R94" s="143" t="s">
        <v>408</v>
      </c>
      <c r="S94" s="143" t="s">
        <v>1210</v>
      </c>
      <c r="T94" s="144">
        <v>1.7</v>
      </c>
      <c r="U94" s="170" t="s">
        <v>824</v>
      </c>
      <c r="V94" s="146">
        <v>4.7426000000000003E-2</v>
      </c>
      <c r="W94" s="145" t="s">
        <v>3853</v>
      </c>
      <c r="X94" s="145" t="s">
        <v>3853</v>
      </c>
      <c r="Y94" s="166">
        <v>0</v>
      </c>
      <c r="Z94" s="146">
        <v>3.9100000000000003E-2</v>
      </c>
      <c r="AA94" s="143" t="s">
        <v>1520</v>
      </c>
      <c r="AB94" s="143" t="s">
        <v>412</v>
      </c>
      <c r="AC94" s="145" t="s">
        <v>3853</v>
      </c>
      <c r="AD94" s="145" t="s">
        <v>3853</v>
      </c>
      <c r="AE94" s="171">
        <v>0.75</v>
      </c>
      <c r="AF94" s="143" t="s">
        <v>3662</v>
      </c>
      <c r="AG94" s="145" t="s">
        <v>3853</v>
      </c>
      <c r="AH94" s="145" t="s">
        <v>3853</v>
      </c>
      <c r="AI94" s="145" t="s">
        <v>3853</v>
      </c>
      <c r="AJ94" s="143" t="s">
        <v>339</v>
      </c>
      <c r="AK94" s="143" t="s">
        <v>886</v>
      </c>
      <c r="AL94" s="145" t="s">
        <v>3853</v>
      </c>
      <c r="AM94" s="143" t="s">
        <v>889</v>
      </c>
      <c r="AN94" s="163">
        <v>45473</v>
      </c>
      <c r="AO94" s="163">
        <v>45473</v>
      </c>
      <c r="AP94" s="145" t="s">
        <v>3853</v>
      </c>
      <c r="AQ94" s="144">
        <v>425981.71</v>
      </c>
      <c r="AR94" s="143" t="s">
        <v>3845</v>
      </c>
      <c r="AS94" s="145" t="s">
        <v>3853</v>
      </c>
      <c r="AT94" s="144">
        <v>590.75139999999999</v>
      </c>
      <c r="AU94" s="144">
        <v>590.75143539999999</v>
      </c>
      <c r="AV94" s="145" t="s">
        <v>3853</v>
      </c>
      <c r="AW94" s="145" t="s">
        <v>3853</v>
      </c>
      <c r="AX94" s="145" t="s">
        <v>3853</v>
      </c>
      <c r="AY94" s="145" t="s">
        <v>3853</v>
      </c>
      <c r="AZ94" s="146">
        <v>3.0161305469542216E-3</v>
      </c>
      <c r="BA94" s="147">
        <v>7.8703510629260428E-5</v>
      </c>
      <c r="BB94" s="181"/>
    </row>
    <row r="95" spans="1:54" ht="15" x14ac:dyDescent="0.2">
      <c r="A95" s="142" t="s">
        <v>1218</v>
      </c>
      <c r="B95" s="143" t="s">
        <v>1218</v>
      </c>
      <c r="C95" s="145" t="s">
        <v>3853</v>
      </c>
      <c r="D95" s="145" t="s">
        <v>3853</v>
      </c>
      <c r="E95" s="145" t="s">
        <v>3853</v>
      </c>
      <c r="F95" s="143" t="s">
        <v>3753</v>
      </c>
      <c r="G95" s="143" t="s">
        <v>1012</v>
      </c>
      <c r="H95" s="143" t="s">
        <v>784</v>
      </c>
      <c r="I95" s="143" t="s">
        <v>204</v>
      </c>
      <c r="J95" s="145" t="s">
        <v>3853</v>
      </c>
      <c r="K95" s="143" t="s">
        <v>443</v>
      </c>
      <c r="L95" s="143" t="s">
        <v>339</v>
      </c>
      <c r="M95" s="143" t="s">
        <v>338</v>
      </c>
      <c r="N95" s="145" t="s">
        <v>3853</v>
      </c>
      <c r="O95" s="143" t="s">
        <v>3754</v>
      </c>
      <c r="P95" s="145" t="s">
        <v>3853</v>
      </c>
      <c r="Q95" s="143" t="s">
        <v>410</v>
      </c>
      <c r="R95" s="143" t="s">
        <v>410</v>
      </c>
      <c r="S95" s="143" t="s">
        <v>1210</v>
      </c>
      <c r="T95" s="144">
        <v>2.17</v>
      </c>
      <c r="U95" s="170" t="s">
        <v>823</v>
      </c>
      <c r="V95" s="146">
        <v>8.2500000000000004E-2</v>
      </c>
      <c r="W95" s="145" t="s">
        <v>3853</v>
      </c>
      <c r="X95" s="145" t="s">
        <v>3853</v>
      </c>
      <c r="Y95" s="166">
        <v>2.2499999999999999E-2</v>
      </c>
      <c r="Z95" s="146">
        <v>7.0099999999999996E-2</v>
      </c>
      <c r="AA95" s="143" t="s">
        <v>3724</v>
      </c>
      <c r="AB95" s="143" t="s">
        <v>412</v>
      </c>
      <c r="AC95" s="145" t="s">
        <v>3853</v>
      </c>
      <c r="AD95" s="145" t="s">
        <v>3853</v>
      </c>
      <c r="AE95" s="171">
        <v>0.62</v>
      </c>
      <c r="AF95" s="143" t="s">
        <v>3755</v>
      </c>
      <c r="AG95" s="145" t="s">
        <v>3853</v>
      </c>
      <c r="AH95" s="145" t="s">
        <v>3853</v>
      </c>
      <c r="AI95" s="145" t="s">
        <v>3853</v>
      </c>
      <c r="AJ95" s="143" t="s">
        <v>338</v>
      </c>
      <c r="AK95" s="143" t="s">
        <v>886</v>
      </c>
      <c r="AL95" s="145" t="s">
        <v>3853</v>
      </c>
      <c r="AM95" s="143" t="s">
        <v>889</v>
      </c>
      <c r="AN95" s="163">
        <v>45473</v>
      </c>
      <c r="AO95" s="163">
        <v>45473</v>
      </c>
      <c r="AP95" s="145" t="s">
        <v>3853</v>
      </c>
      <c r="AQ95" s="144">
        <v>517489</v>
      </c>
      <c r="AR95" s="143" t="s">
        <v>3756</v>
      </c>
      <c r="AS95" s="145" t="s">
        <v>3853</v>
      </c>
      <c r="AT95" s="144">
        <v>543.46690000000001</v>
      </c>
      <c r="AU95" s="144">
        <v>543.46694779999996</v>
      </c>
      <c r="AV95" s="145" t="s">
        <v>3853</v>
      </c>
      <c r="AW95" s="145" t="s">
        <v>3853</v>
      </c>
      <c r="AX95" s="145" t="s">
        <v>3853</v>
      </c>
      <c r="AY95" s="145" t="s">
        <v>3853</v>
      </c>
      <c r="AZ95" s="146">
        <v>2.7747156658738835E-3</v>
      </c>
      <c r="BA95" s="147">
        <v>7.2403982686627103E-5</v>
      </c>
      <c r="BB95" s="181"/>
    </row>
    <row r="96" spans="1:54" ht="15" x14ac:dyDescent="0.2">
      <c r="A96" s="142" t="s">
        <v>1218</v>
      </c>
      <c r="B96" s="143" t="s">
        <v>1218</v>
      </c>
      <c r="C96" s="145" t="s">
        <v>3853</v>
      </c>
      <c r="D96" s="145" t="s">
        <v>3853</v>
      </c>
      <c r="E96" s="145" t="s">
        <v>3853</v>
      </c>
      <c r="F96" s="143" t="s">
        <v>3757</v>
      </c>
      <c r="G96" s="143" t="s">
        <v>1012</v>
      </c>
      <c r="H96" s="143" t="s">
        <v>784</v>
      </c>
      <c r="I96" s="143" t="s">
        <v>204</v>
      </c>
      <c r="J96" s="145" t="s">
        <v>3853</v>
      </c>
      <c r="K96" s="143" t="s">
        <v>443</v>
      </c>
      <c r="L96" s="143" t="s">
        <v>339</v>
      </c>
      <c r="M96" s="143" t="s">
        <v>338</v>
      </c>
      <c r="N96" s="145" t="s">
        <v>3853</v>
      </c>
      <c r="O96" s="143" t="s">
        <v>3758</v>
      </c>
      <c r="P96" s="145" t="s">
        <v>3853</v>
      </c>
      <c r="Q96" s="143" t="s">
        <v>410</v>
      </c>
      <c r="R96" s="143" t="s">
        <v>410</v>
      </c>
      <c r="S96" s="143" t="s">
        <v>1210</v>
      </c>
      <c r="T96" s="144">
        <v>2.17</v>
      </c>
      <c r="U96" s="170" t="s">
        <v>823</v>
      </c>
      <c r="V96" s="146">
        <v>8.2500000000000004E-2</v>
      </c>
      <c r="W96" s="145" t="s">
        <v>3853</v>
      </c>
      <c r="X96" s="145" t="s">
        <v>3853</v>
      </c>
      <c r="Y96" s="166">
        <v>2.2499999999999999E-2</v>
      </c>
      <c r="Z96" s="146">
        <v>7.1400000000000005E-2</v>
      </c>
      <c r="AA96" s="143" t="s">
        <v>3724</v>
      </c>
      <c r="AB96" s="143" t="s">
        <v>412</v>
      </c>
      <c r="AC96" s="145" t="s">
        <v>3853</v>
      </c>
      <c r="AD96" s="145" t="s">
        <v>3853</v>
      </c>
      <c r="AE96" s="171">
        <v>0.62</v>
      </c>
      <c r="AF96" s="143" t="s">
        <v>3725</v>
      </c>
      <c r="AG96" s="145" t="s">
        <v>3853</v>
      </c>
      <c r="AH96" s="145" t="s">
        <v>3853</v>
      </c>
      <c r="AI96" s="145" t="s">
        <v>3853</v>
      </c>
      <c r="AJ96" s="143" t="s">
        <v>338</v>
      </c>
      <c r="AK96" s="143" t="s">
        <v>886</v>
      </c>
      <c r="AL96" s="145" t="s">
        <v>3853</v>
      </c>
      <c r="AM96" s="143" t="s">
        <v>889</v>
      </c>
      <c r="AN96" s="163">
        <v>45473</v>
      </c>
      <c r="AO96" s="163">
        <v>45473</v>
      </c>
      <c r="AP96" s="145" t="s">
        <v>3853</v>
      </c>
      <c r="AQ96" s="144">
        <v>500240</v>
      </c>
      <c r="AR96" s="143" t="s">
        <v>3759</v>
      </c>
      <c r="AS96" s="145" t="s">
        <v>3853</v>
      </c>
      <c r="AT96" s="144">
        <v>524.00139999999999</v>
      </c>
      <c r="AU96" s="144">
        <v>524.00139999999999</v>
      </c>
      <c r="AV96" s="145" t="s">
        <v>3853</v>
      </c>
      <c r="AW96" s="145" t="s">
        <v>3853</v>
      </c>
      <c r="AX96" s="145" t="s">
        <v>3853</v>
      </c>
      <c r="AY96" s="145" t="s">
        <v>3853</v>
      </c>
      <c r="AZ96" s="146">
        <v>2.6753326939302916E-3</v>
      </c>
      <c r="BA96" s="147">
        <v>6.981066364192307E-5</v>
      </c>
      <c r="BB96" s="181"/>
    </row>
    <row r="97" spans="1:54" ht="15" x14ac:dyDescent="0.2">
      <c r="A97" s="142" t="s">
        <v>1218</v>
      </c>
      <c r="B97" s="143" t="s">
        <v>1218</v>
      </c>
      <c r="C97" s="145" t="s">
        <v>3853</v>
      </c>
      <c r="D97" s="145" t="s">
        <v>3853</v>
      </c>
      <c r="E97" s="145" t="s">
        <v>3853</v>
      </c>
      <c r="F97" s="143" t="s">
        <v>3760</v>
      </c>
      <c r="G97" s="143" t="s">
        <v>1012</v>
      </c>
      <c r="H97" s="143" t="s">
        <v>784</v>
      </c>
      <c r="I97" s="143" t="s">
        <v>204</v>
      </c>
      <c r="J97" s="145" t="s">
        <v>3853</v>
      </c>
      <c r="K97" s="143" t="s">
        <v>443</v>
      </c>
      <c r="L97" s="143" t="s">
        <v>339</v>
      </c>
      <c r="M97" s="143" t="s">
        <v>338</v>
      </c>
      <c r="N97" s="145" t="s">
        <v>3853</v>
      </c>
      <c r="O97" s="143" t="s">
        <v>3761</v>
      </c>
      <c r="P97" s="145" t="s">
        <v>3853</v>
      </c>
      <c r="Q97" s="143" t="s">
        <v>410</v>
      </c>
      <c r="R97" s="143" t="s">
        <v>410</v>
      </c>
      <c r="S97" s="143" t="s">
        <v>1210</v>
      </c>
      <c r="T97" s="144">
        <v>0.87</v>
      </c>
      <c r="U97" s="170" t="s">
        <v>823</v>
      </c>
      <c r="V97" s="146">
        <v>7.0000000000000007E-2</v>
      </c>
      <c r="W97" s="145" t="s">
        <v>3853</v>
      </c>
      <c r="X97" s="145" t="s">
        <v>3853</v>
      </c>
      <c r="Y97" s="166">
        <v>0.02</v>
      </c>
      <c r="Z97" s="146">
        <v>9.0700000000000003E-2</v>
      </c>
      <c r="AA97" s="143" t="s">
        <v>3762</v>
      </c>
      <c r="AB97" s="143" t="s">
        <v>412</v>
      </c>
      <c r="AC97" s="145" t="s">
        <v>3853</v>
      </c>
      <c r="AD97" s="145" t="s">
        <v>3853</v>
      </c>
      <c r="AE97" s="171">
        <v>0.67</v>
      </c>
      <c r="AF97" s="143" t="s">
        <v>3725</v>
      </c>
      <c r="AG97" s="145" t="s">
        <v>3853</v>
      </c>
      <c r="AH97" s="145" t="s">
        <v>3853</v>
      </c>
      <c r="AI97" s="145" t="s">
        <v>3853</v>
      </c>
      <c r="AJ97" s="143" t="s">
        <v>338</v>
      </c>
      <c r="AK97" s="143" t="s">
        <v>886</v>
      </c>
      <c r="AL97" s="145" t="s">
        <v>3853</v>
      </c>
      <c r="AM97" s="143" t="s">
        <v>889</v>
      </c>
      <c r="AN97" s="163">
        <v>45473</v>
      </c>
      <c r="AO97" s="163">
        <v>45473</v>
      </c>
      <c r="AP97" s="145" t="s">
        <v>3853</v>
      </c>
      <c r="AQ97" s="144">
        <v>489678.16</v>
      </c>
      <c r="AR97" s="143" t="s">
        <v>3763</v>
      </c>
      <c r="AS97" s="145" t="s">
        <v>3853</v>
      </c>
      <c r="AT97" s="144">
        <v>494.57490000000001</v>
      </c>
      <c r="AU97" s="144">
        <v>494.57494160000005</v>
      </c>
      <c r="AV97" s="145" t="s">
        <v>3853</v>
      </c>
      <c r="AW97" s="145" t="s">
        <v>3853</v>
      </c>
      <c r="AX97" s="145" t="s">
        <v>3853</v>
      </c>
      <c r="AY97" s="145" t="s">
        <v>3853</v>
      </c>
      <c r="AZ97" s="146">
        <v>2.5250934651341477E-3</v>
      </c>
      <c r="BA97" s="147">
        <v>6.5890291311743331E-5</v>
      </c>
      <c r="BB97" s="181"/>
    </row>
    <row r="98" spans="1:54" ht="15" x14ac:dyDescent="0.2">
      <c r="A98" s="142" t="s">
        <v>1218</v>
      </c>
      <c r="B98" s="143" t="s">
        <v>1218</v>
      </c>
      <c r="C98" s="145" t="s">
        <v>3853</v>
      </c>
      <c r="D98" s="145" t="s">
        <v>3853</v>
      </c>
      <c r="E98" s="145" t="s">
        <v>3853</v>
      </c>
      <c r="F98" s="143" t="s">
        <v>3766</v>
      </c>
      <c r="G98" s="143" t="s">
        <v>1012</v>
      </c>
      <c r="H98" s="145" t="s">
        <v>3853</v>
      </c>
      <c r="I98" s="143" t="s">
        <v>204</v>
      </c>
      <c r="J98" s="145" t="s">
        <v>3853</v>
      </c>
      <c r="K98" s="143" t="s">
        <v>444</v>
      </c>
      <c r="L98" s="143" t="s">
        <v>339</v>
      </c>
      <c r="M98" s="143" t="s">
        <v>338</v>
      </c>
      <c r="N98" s="145" t="s">
        <v>3853</v>
      </c>
      <c r="O98" s="143" t="s">
        <v>3767</v>
      </c>
      <c r="P98" s="145" t="s">
        <v>3853</v>
      </c>
      <c r="Q98" s="143" t="s">
        <v>410</v>
      </c>
      <c r="R98" s="143" t="s">
        <v>410</v>
      </c>
      <c r="S98" s="143" t="s">
        <v>1211</v>
      </c>
      <c r="T98" s="144">
        <v>0.01</v>
      </c>
      <c r="U98" s="170" t="s">
        <v>314</v>
      </c>
      <c r="V98" s="145" t="s">
        <v>3853</v>
      </c>
      <c r="W98" s="145" t="s">
        <v>3853</v>
      </c>
      <c r="X98" s="145" t="s">
        <v>3853</v>
      </c>
      <c r="Y98" s="166">
        <v>0</v>
      </c>
      <c r="Z98" s="146">
        <v>1E-4</v>
      </c>
      <c r="AA98" s="143" t="s">
        <v>3768</v>
      </c>
      <c r="AB98" s="143" t="s">
        <v>412</v>
      </c>
      <c r="AC98" s="145" t="s">
        <v>3853</v>
      </c>
      <c r="AD98" s="145" t="s">
        <v>3853</v>
      </c>
      <c r="AE98" s="145" t="s">
        <v>3853</v>
      </c>
      <c r="AF98" s="145" t="s">
        <v>3853</v>
      </c>
      <c r="AG98" s="145" t="s">
        <v>3853</v>
      </c>
      <c r="AH98" s="145" t="s">
        <v>3853</v>
      </c>
      <c r="AI98" s="145" t="s">
        <v>3853</v>
      </c>
      <c r="AJ98" s="145" t="s">
        <v>3853</v>
      </c>
      <c r="AK98" s="143" t="s">
        <v>886</v>
      </c>
      <c r="AL98" s="145" t="s">
        <v>3853</v>
      </c>
      <c r="AM98" s="143" t="s">
        <v>889</v>
      </c>
      <c r="AN98" s="163">
        <v>45250</v>
      </c>
      <c r="AO98" s="163">
        <v>45250</v>
      </c>
      <c r="AP98" s="145" t="s">
        <v>3853</v>
      </c>
      <c r="AQ98" s="144">
        <v>208515.78</v>
      </c>
      <c r="AR98" s="143" t="s">
        <v>3769</v>
      </c>
      <c r="AS98" s="143" t="s">
        <v>1212</v>
      </c>
      <c r="AT98" s="144">
        <v>432.55619999999999</v>
      </c>
      <c r="AU98" s="144">
        <v>115.0721439</v>
      </c>
      <c r="AV98" s="145" t="s">
        <v>3853</v>
      </c>
      <c r="AW98" s="145" t="s">
        <v>3853</v>
      </c>
      <c r="AX98" s="145" t="s">
        <v>3853</v>
      </c>
      <c r="AY98" s="145" t="s">
        <v>3853</v>
      </c>
      <c r="AZ98" s="146">
        <v>2.208451569330016E-3</v>
      </c>
      <c r="BA98" s="147">
        <v>5.7627774678550694E-5</v>
      </c>
      <c r="BB98" s="181"/>
    </row>
    <row r="99" spans="1:54" ht="15" x14ac:dyDescent="0.2">
      <c r="A99" s="142" t="s">
        <v>1218</v>
      </c>
      <c r="B99" s="143" t="s">
        <v>1218</v>
      </c>
      <c r="C99" s="145" t="s">
        <v>3853</v>
      </c>
      <c r="D99" s="145" t="s">
        <v>3853</v>
      </c>
      <c r="E99" s="145" t="s">
        <v>3853</v>
      </c>
      <c r="F99" s="143" t="s">
        <v>3764</v>
      </c>
      <c r="G99" s="143" t="s">
        <v>1012</v>
      </c>
      <c r="H99" s="143" t="s">
        <v>784</v>
      </c>
      <c r="I99" s="143" t="s">
        <v>204</v>
      </c>
      <c r="J99" s="145" t="s">
        <v>3853</v>
      </c>
      <c r="K99" s="143" t="s">
        <v>443</v>
      </c>
      <c r="L99" s="143" t="s">
        <v>339</v>
      </c>
      <c r="M99" s="143" t="s">
        <v>338</v>
      </c>
      <c r="N99" s="145" t="s">
        <v>3853</v>
      </c>
      <c r="O99" s="143" t="s">
        <v>3765</v>
      </c>
      <c r="P99" s="145" t="s">
        <v>3853</v>
      </c>
      <c r="Q99" s="143" t="s">
        <v>410</v>
      </c>
      <c r="R99" s="143" t="s">
        <v>410</v>
      </c>
      <c r="S99" s="143" t="s">
        <v>1210</v>
      </c>
      <c r="T99" s="144">
        <v>2.17</v>
      </c>
      <c r="U99" s="170" t="s">
        <v>823</v>
      </c>
      <c r="V99" s="146">
        <v>8.2500000000000004E-2</v>
      </c>
      <c r="W99" s="145" t="s">
        <v>3853</v>
      </c>
      <c r="X99" s="145" t="s">
        <v>3853</v>
      </c>
      <c r="Y99" s="166">
        <v>2.2499999999999999E-2</v>
      </c>
      <c r="Z99" s="146">
        <v>7.2599999999999998E-2</v>
      </c>
      <c r="AA99" s="143" t="s">
        <v>3724</v>
      </c>
      <c r="AB99" s="143" t="s">
        <v>412</v>
      </c>
      <c r="AC99" s="145" t="s">
        <v>3853</v>
      </c>
      <c r="AD99" s="145" t="s">
        <v>3853</v>
      </c>
      <c r="AE99" s="171">
        <v>0.62</v>
      </c>
      <c r="AF99" s="143" t="s">
        <v>3725</v>
      </c>
      <c r="AG99" s="145" t="s">
        <v>3853</v>
      </c>
      <c r="AH99" s="145" t="s">
        <v>3853</v>
      </c>
      <c r="AI99" s="145" t="s">
        <v>3853</v>
      </c>
      <c r="AJ99" s="143" t="s">
        <v>338</v>
      </c>
      <c r="AK99" s="143" t="s">
        <v>886</v>
      </c>
      <c r="AL99" s="145" t="s">
        <v>3853</v>
      </c>
      <c r="AM99" s="143" t="s">
        <v>889</v>
      </c>
      <c r="AN99" s="163">
        <v>45473</v>
      </c>
      <c r="AO99" s="163">
        <v>45473</v>
      </c>
      <c r="AP99" s="145" t="s">
        <v>3853</v>
      </c>
      <c r="AQ99" s="144">
        <v>350168</v>
      </c>
      <c r="AR99" s="143" t="s">
        <v>3651</v>
      </c>
      <c r="AS99" s="145" t="s">
        <v>3853</v>
      </c>
      <c r="AT99" s="144">
        <v>365.92559999999997</v>
      </c>
      <c r="AU99" s="144">
        <v>365.92556000000002</v>
      </c>
      <c r="AV99" s="145" t="s">
        <v>3853</v>
      </c>
      <c r="AW99" s="145" t="s">
        <v>3853</v>
      </c>
      <c r="AX99" s="145" t="s">
        <v>3853</v>
      </c>
      <c r="AY99" s="145" t="s">
        <v>3853</v>
      </c>
      <c r="AZ99" s="146">
        <v>1.8682633561909387E-3</v>
      </c>
      <c r="BA99" s="147">
        <v>4.8750835755672289E-5</v>
      </c>
      <c r="BB99" s="181"/>
    </row>
    <row r="100" spans="1:54" ht="15" x14ac:dyDescent="0.2">
      <c r="A100" s="142" t="s">
        <v>1218</v>
      </c>
      <c r="B100" s="143" t="s">
        <v>1218</v>
      </c>
      <c r="C100" s="145" t="s">
        <v>3853</v>
      </c>
      <c r="D100" s="145" t="s">
        <v>3853</v>
      </c>
      <c r="E100" s="145" t="s">
        <v>3853</v>
      </c>
      <c r="F100" s="143" t="s">
        <v>3770</v>
      </c>
      <c r="G100" s="143" t="s">
        <v>1012</v>
      </c>
      <c r="H100" s="145" t="s">
        <v>3853</v>
      </c>
      <c r="I100" s="143" t="s">
        <v>204</v>
      </c>
      <c r="J100" s="145" t="s">
        <v>3853</v>
      </c>
      <c r="K100" s="143" t="s">
        <v>485</v>
      </c>
      <c r="L100" s="143" t="s">
        <v>339</v>
      </c>
      <c r="M100" s="143" t="s">
        <v>338</v>
      </c>
      <c r="N100" s="145" t="s">
        <v>3853</v>
      </c>
      <c r="O100" s="143" t="s">
        <v>3771</v>
      </c>
      <c r="P100" s="143" t="s">
        <v>1735</v>
      </c>
      <c r="Q100" s="143" t="s">
        <v>413</v>
      </c>
      <c r="R100" s="143" t="s">
        <v>408</v>
      </c>
      <c r="S100" s="143" t="s">
        <v>1210</v>
      </c>
      <c r="T100" s="144">
        <v>5.89</v>
      </c>
      <c r="U100" s="170" t="s">
        <v>824</v>
      </c>
      <c r="V100" s="146">
        <v>3.3099999999999997E-2</v>
      </c>
      <c r="W100" s="145" t="s">
        <v>3853</v>
      </c>
      <c r="X100" s="145" t="s">
        <v>3853</v>
      </c>
      <c r="Y100" s="166">
        <v>0</v>
      </c>
      <c r="Z100" s="146">
        <v>3.44E-2</v>
      </c>
      <c r="AA100" s="143" t="s">
        <v>3666</v>
      </c>
      <c r="AB100" s="143" t="s">
        <v>412</v>
      </c>
      <c r="AC100" s="145" t="s">
        <v>3853</v>
      </c>
      <c r="AD100" s="145" t="s">
        <v>3853</v>
      </c>
      <c r="AE100" s="145" t="s">
        <v>3853</v>
      </c>
      <c r="AF100" s="145" t="s">
        <v>3853</v>
      </c>
      <c r="AG100" s="145" t="s">
        <v>3853</v>
      </c>
      <c r="AH100" s="145" t="s">
        <v>3853</v>
      </c>
      <c r="AI100" s="145" t="s">
        <v>3853</v>
      </c>
      <c r="AJ100" s="145" t="s">
        <v>3853</v>
      </c>
      <c r="AK100" s="143" t="s">
        <v>886</v>
      </c>
      <c r="AL100" s="145" t="s">
        <v>3853</v>
      </c>
      <c r="AM100" s="143" t="s">
        <v>889</v>
      </c>
      <c r="AN100" s="163">
        <v>45473</v>
      </c>
      <c r="AO100" s="163">
        <v>45473</v>
      </c>
      <c r="AP100" s="145" t="s">
        <v>3853</v>
      </c>
      <c r="AQ100" s="144">
        <v>301950.90999999997</v>
      </c>
      <c r="AR100" s="143" t="s">
        <v>3772</v>
      </c>
      <c r="AS100" s="145" t="s">
        <v>3853</v>
      </c>
      <c r="AT100" s="144">
        <v>343.2276</v>
      </c>
      <c r="AU100" s="144">
        <v>343.22759939999997</v>
      </c>
      <c r="AV100" s="145" t="s">
        <v>3853</v>
      </c>
      <c r="AW100" s="145" t="s">
        <v>3853</v>
      </c>
      <c r="AX100" s="145" t="s">
        <v>3853</v>
      </c>
      <c r="AY100" s="145" t="s">
        <v>3853</v>
      </c>
      <c r="AZ100" s="146">
        <v>1.7523770320575535E-3</v>
      </c>
      <c r="BA100" s="147">
        <v>4.572687495515982E-5</v>
      </c>
      <c r="BB100" s="181"/>
    </row>
    <row r="101" spans="1:54" ht="15" x14ac:dyDescent="0.2">
      <c r="A101" s="142" t="s">
        <v>1218</v>
      </c>
      <c r="B101" s="143" t="s">
        <v>1218</v>
      </c>
      <c r="C101" s="145" t="s">
        <v>3853</v>
      </c>
      <c r="D101" s="145" t="s">
        <v>3853</v>
      </c>
      <c r="E101" s="145" t="s">
        <v>3853</v>
      </c>
      <c r="F101" s="143" t="s">
        <v>3773</v>
      </c>
      <c r="G101" s="143" t="s">
        <v>1012</v>
      </c>
      <c r="H101" s="143" t="s">
        <v>784</v>
      </c>
      <c r="I101" s="143" t="s">
        <v>204</v>
      </c>
      <c r="J101" s="145" t="s">
        <v>3853</v>
      </c>
      <c r="K101" s="143" t="s">
        <v>443</v>
      </c>
      <c r="L101" s="143" t="s">
        <v>339</v>
      </c>
      <c r="M101" s="143" t="s">
        <v>338</v>
      </c>
      <c r="N101" s="145" t="s">
        <v>3853</v>
      </c>
      <c r="O101" s="143" t="s">
        <v>3774</v>
      </c>
      <c r="P101" s="145" t="s">
        <v>3853</v>
      </c>
      <c r="Q101" s="143" t="s">
        <v>410</v>
      </c>
      <c r="R101" s="143" t="s">
        <v>410</v>
      </c>
      <c r="S101" s="143" t="s">
        <v>1210</v>
      </c>
      <c r="T101" s="144">
        <v>2.16</v>
      </c>
      <c r="U101" s="170" t="s">
        <v>823</v>
      </c>
      <c r="V101" s="146">
        <v>8.2500000000000004E-2</v>
      </c>
      <c r="W101" s="145" t="s">
        <v>3853</v>
      </c>
      <c r="X101" s="145" t="s">
        <v>3853</v>
      </c>
      <c r="Y101" s="166">
        <v>0</v>
      </c>
      <c r="Z101" s="146">
        <v>8.5599999999999996E-2</v>
      </c>
      <c r="AA101" s="143" t="s">
        <v>3775</v>
      </c>
      <c r="AB101" s="143" t="s">
        <v>412</v>
      </c>
      <c r="AC101" s="145" t="s">
        <v>3853</v>
      </c>
      <c r="AD101" s="145" t="s">
        <v>3853</v>
      </c>
      <c r="AE101" s="171">
        <v>0.62</v>
      </c>
      <c r="AF101" s="143" t="s">
        <v>3755</v>
      </c>
      <c r="AG101" s="145" t="s">
        <v>3853</v>
      </c>
      <c r="AH101" s="145" t="s">
        <v>3853</v>
      </c>
      <c r="AI101" s="145" t="s">
        <v>3853</v>
      </c>
      <c r="AJ101" s="143" t="s">
        <v>338</v>
      </c>
      <c r="AK101" s="143" t="s">
        <v>886</v>
      </c>
      <c r="AL101" s="145" t="s">
        <v>3853</v>
      </c>
      <c r="AM101" s="143" t="s">
        <v>889</v>
      </c>
      <c r="AN101" s="163">
        <v>45473</v>
      </c>
      <c r="AO101" s="163">
        <v>45473</v>
      </c>
      <c r="AP101" s="145" t="s">
        <v>3853</v>
      </c>
      <c r="AQ101" s="144">
        <v>289794</v>
      </c>
      <c r="AR101" s="143" t="s">
        <v>3776</v>
      </c>
      <c r="AS101" s="145" t="s">
        <v>3853</v>
      </c>
      <c r="AT101" s="144">
        <v>295.06829999999997</v>
      </c>
      <c r="AU101" s="144">
        <v>295.06825079999999</v>
      </c>
      <c r="AV101" s="145" t="s">
        <v>3853</v>
      </c>
      <c r="AW101" s="145" t="s">
        <v>3853</v>
      </c>
      <c r="AX101" s="145" t="s">
        <v>3853</v>
      </c>
      <c r="AY101" s="145" t="s">
        <v>3853</v>
      </c>
      <c r="AZ101" s="146">
        <v>1.5064954755961777E-3</v>
      </c>
      <c r="BA101" s="147">
        <v>3.9310792696373326E-5</v>
      </c>
      <c r="BB101" s="181"/>
    </row>
    <row r="102" spans="1:54" ht="15" x14ac:dyDescent="0.2">
      <c r="A102" s="142" t="s">
        <v>1218</v>
      </c>
      <c r="B102" s="143" t="s">
        <v>1218</v>
      </c>
      <c r="C102" s="145" t="s">
        <v>3853</v>
      </c>
      <c r="D102" s="145" t="s">
        <v>3853</v>
      </c>
      <c r="E102" s="145" t="s">
        <v>3853</v>
      </c>
      <c r="F102" s="143" t="s">
        <v>3777</v>
      </c>
      <c r="G102" s="143" t="s">
        <v>1012</v>
      </c>
      <c r="H102" s="143" t="s">
        <v>784</v>
      </c>
      <c r="I102" s="143" t="s">
        <v>204</v>
      </c>
      <c r="J102" s="145" t="s">
        <v>3853</v>
      </c>
      <c r="K102" s="143" t="s">
        <v>443</v>
      </c>
      <c r="L102" s="143" t="s">
        <v>339</v>
      </c>
      <c r="M102" s="143" t="s">
        <v>338</v>
      </c>
      <c r="N102" s="145" t="s">
        <v>3853</v>
      </c>
      <c r="O102" s="143" t="s">
        <v>3778</v>
      </c>
      <c r="P102" s="145" t="s">
        <v>3853</v>
      </c>
      <c r="Q102" s="143" t="s">
        <v>410</v>
      </c>
      <c r="R102" s="143" t="s">
        <v>410</v>
      </c>
      <c r="S102" s="143" t="s">
        <v>1210</v>
      </c>
      <c r="T102" s="144">
        <v>0.87</v>
      </c>
      <c r="U102" s="170" t="s">
        <v>823</v>
      </c>
      <c r="V102" s="146">
        <v>7.0000000000000007E-2</v>
      </c>
      <c r="W102" s="145" t="s">
        <v>3853</v>
      </c>
      <c r="X102" s="145" t="s">
        <v>3853</v>
      </c>
      <c r="Y102" s="166">
        <v>0</v>
      </c>
      <c r="Z102" s="146">
        <v>7.7700000000000005E-2</v>
      </c>
      <c r="AA102" s="143" t="s">
        <v>3762</v>
      </c>
      <c r="AB102" s="143" t="s">
        <v>412</v>
      </c>
      <c r="AC102" s="145" t="s">
        <v>3853</v>
      </c>
      <c r="AD102" s="145" t="s">
        <v>3853</v>
      </c>
      <c r="AE102" s="171">
        <v>0.67</v>
      </c>
      <c r="AF102" s="143" t="s">
        <v>3779</v>
      </c>
      <c r="AG102" s="145" t="s">
        <v>3853</v>
      </c>
      <c r="AH102" s="145" t="s">
        <v>3853</v>
      </c>
      <c r="AI102" s="145" t="s">
        <v>3853</v>
      </c>
      <c r="AJ102" s="143" t="s">
        <v>338</v>
      </c>
      <c r="AK102" s="143" t="s">
        <v>886</v>
      </c>
      <c r="AL102" s="145" t="s">
        <v>3853</v>
      </c>
      <c r="AM102" s="143" t="s">
        <v>889</v>
      </c>
      <c r="AN102" s="163">
        <v>45473</v>
      </c>
      <c r="AO102" s="163">
        <v>45473</v>
      </c>
      <c r="AP102" s="145" t="s">
        <v>3853</v>
      </c>
      <c r="AQ102" s="144">
        <v>264983</v>
      </c>
      <c r="AR102" s="143" t="s">
        <v>3780</v>
      </c>
      <c r="AS102" s="145" t="s">
        <v>3853</v>
      </c>
      <c r="AT102" s="144">
        <v>270.44159999999999</v>
      </c>
      <c r="AU102" s="144">
        <v>270.44164979999999</v>
      </c>
      <c r="AV102" s="145" t="s">
        <v>3853</v>
      </c>
      <c r="AW102" s="145" t="s">
        <v>3853</v>
      </c>
      <c r="AX102" s="145" t="s">
        <v>3853</v>
      </c>
      <c r="AY102" s="145" t="s">
        <v>3853</v>
      </c>
      <c r="AZ102" s="146">
        <v>1.3807623176395837E-3</v>
      </c>
      <c r="BA102" s="147">
        <v>3.6029886654796252E-5</v>
      </c>
      <c r="BB102" s="181"/>
    </row>
    <row r="103" spans="1:54" ht="15" x14ac:dyDescent="0.2">
      <c r="A103" s="142" t="s">
        <v>1218</v>
      </c>
      <c r="B103" s="143" t="s">
        <v>1218</v>
      </c>
      <c r="C103" s="145" t="s">
        <v>3853</v>
      </c>
      <c r="D103" s="145" t="s">
        <v>3853</v>
      </c>
      <c r="E103" s="145" t="s">
        <v>3853</v>
      </c>
      <c r="F103" s="143" t="s">
        <v>3785</v>
      </c>
      <c r="G103" s="143" t="s">
        <v>1012</v>
      </c>
      <c r="H103" s="143" t="s">
        <v>784</v>
      </c>
      <c r="I103" s="143" t="s">
        <v>204</v>
      </c>
      <c r="J103" s="145" t="s">
        <v>3853</v>
      </c>
      <c r="K103" s="143" t="s">
        <v>443</v>
      </c>
      <c r="L103" s="143" t="s">
        <v>339</v>
      </c>
      <c r="M103" s="143" t="s">
        <v>338</v>
      </c>
      <c r="N103" s="145" t="s">
        <v>3853</v>
      </c>
      <c r="O103" s="143" t="s">
        <v>3786</v>
      </c>
      <c r="P103" s="145" t="s">
        <v>3853</v>
      </c>
      <c r="Q103" s="143" t="s">
        <v>410</v>
      </c>
      <c r="R103" s="143" t="s">
        <v>410</v>
      </c>
      <c r="S103" s="143" t="s">
        <v>1210</v>
      </c>
      <c r="T103" s="144">
        <v>0.87</v>
      </c>
      <c r="U103" s="170" t="s">
        <v>823</v>
      </c>
      <c r="V103" s="146">
        <v>7.0000000000000007E-2</v>
      </c>
      <c r="W103" s="145" t="s">
        <v>3853</v>
      </c>
      <c r="X103" s="145" t="s">
        <v>3853</v>
      </c>
      <c r="Y103" s="166">
        <v>0</v>
      </c>
      <c r="Z103" s="146">
        <v>6.9400000000000003E-2</v>
      </c>
      <c r="AA103" s="143" t="s">
        <v>3762</v>
      </c>
      <c r="AB103" s="143" t="s">
        <v>412</v>
      </c>
      <c r="AC103" s="145" t="s">
        <v>3853</v>
      </c>
      <c r="AD103" s="145" t="s">
        <v>3853</v>
      </c>
      <c r="AE103" s="171">
        <v>0.67</v>
      </c>
      <c r="AF103" s="143" t="s">
        <v>3779</v>
      </c>
      <c r="AG103" s="145" t="s">
        <v>3853</v>
      </c>
      <c r="AH103" s="145" t="s">
        <v>3853</v>
      </c>
      <c r="AI103" s="145" t="s">
        <v>3853</v>
      </c>
      <c r="AJ103" s="143" t="s">
        <v>338</v>
      </c>
      <c r="AK103" s="143" t="s">
        <v>886</v>
      </c>
      <c r="AL103" s="145" t="s">
        <v>3853</v>
      </c>
      <c r="AM103" s="143" t="s">
        <v>889</v>
      </c>
      <c r="AN103" s="163">
        <v>45473</v>
      </c>
      <c r="AO103" s="163">
        <v>45473</v>
      </c>
      <c r="AP103" s="145" t="s">
        <v>3853</v>
      </c>
      <c r="AQ103" s="144">
        <v>101977</v>
      </c>
      <c r="AR103" s="143" t="s">
        <v>3787</v>
      </c>
      <c r="AS103" s="145" t="s">
        <v>3853</v>
      </c>
      <c r="AT103" s="144">
        <v>104.78139999999999</v>
      </c>
      <c r="AU103" s="144">
        <v>104.7813675</v>
      </c>
      <c r="AV103" s="145" t="s">
        <v>3853</v>
      </c>
      <c r="AW103" s="145" t="s">
        <v>3853</v>
      </c>
      <c r="AX103" s="145" t="s">
        <v>3853</v>
      </c>
      <c r="AY103" s="145" t="s">
        <v>3853</v>
      </c>
      <c r="AZ103" s="146">
        <v>5.3496997944561776E-4</v>
      </c>
      <c r="BA103" s="147">
        <v>1.3959613089742183E-5</v>
      </c>
      <c r="BB103" s="181"/>
    </row>
    <row r="104" spans="1:54" ht="15" x14ac:dyDescent="0.2">
      <c r="A104" s="142" t="s">
        <v>1218</v>
      </c>
      <c r="B104" s="143" t="s">
        <v>1218</v>
      </c>
      <c r="C104" s="145" t="s">
        <v>3853</v>
      </c>
      <c r="D104" s="145" t="s">
        <v>3853</v>
      </c>
      <c r="E104" s="145" t="s">
        <v>3853</v>
      </c>
      <c r="F104" s="143" t="s">
        <v>3788</v>
      </c>
      <c r="G104" s="143" t="s">
        <v>1012</v>
      </c>
      <c r="H104" s="143" t="s">
        <v>784</v>
      </c>
      <c r="I104" s="143" t="s">
        <v>204</v>
      </c>
      <c r="J104" s="145" t="s">
        <v>3853</v>
      </c>
      <c r="K104" s="143" t="s">
        <v>443</v>
      </c>
      <c r="L104" s="143" t="s">
        <v>339</v>
      </c>
      <c r="M104" s="143" t="s">
        <v>338</v>
      </c>
      <c r="N104" s="145" t="s">
        <v>3853</v>
      </c>
      <c r="O104" s="143" t="s">
        <v>3758</v>
      </c>
      <c r="P104" s="145" t="s">
        <v>3853</v>
      </c>
      <c r="Q104" s="143" t="s">
        <v>410</v>
      </c>
      <c r="R104" s="143" t="s">
        <v>410</v>
      </c>
      <c r="S104" s="143" t="s">
        <v>1210</v>
      </c>
      <c r="T104" s="144">
        <v>0.87</v>
      </c>
      <c r="U104" s="170" t="s">
        <v>823</v>
      </c>
      <c r="V104" s="146">
        <v>7.0000000000000007E-2</v>
      </c>
      <c r="W104" s="145" t="s">
        <v>3853</v>
      </c>
      <c r="X104" s="145" t="s">
        <v>3853</v>
      </c>
      <c r="Y104" s="166">
        <v>0</v>
      </c>
      <c r="Z104" s="146">
        <v>7.1199999999999999E-2</v>
      </c>
      <c r="AA104" s="143" t="s">
        <v>3789</v>
      </c>
      <c r="AB104" s="143" t="s">
        <v>412</v>
      </c>
      <c r="AC104" s="145" t="s">
        <v>3853</v>
      </c>
      <c r="AD104" s="145" t="s">
        <v>3853</v>
      </c>
      <c r="AE104" s="171">
        <v>0.67</v>
      </c>
      <c r="AF104" s="143" t="s">
        <v>3779</v>
      </c>
      <c r="AG104" s="145" t="s">
        <v>3853</v>
      </c>
      <c r="AH104" s="145" t="s">
        <v>3853</v>
      </c>
      <c r="AI104" s="145" t="s">
        <v>3853</v>
      </c>
      <c r="AJ104" s="143" t="s">
        <v>338</v>
      </c>
      <c r="AK104" s="143" t="s">
        <v>886</v>
      </c>
      <c r="AL104" s="145" t="s">
        <v>3853</v>
      </c>
      <c r="AM104" s="143" t="s">
        <v>889</v>
      </c>
      <c r="AN104" s="163">
        <v>45473</v>
      </c>
      <c r="AO104" s="163">
        <v>45473</v>
      </c>
      <c r="AP104" s="145" t="s">
        <v>3853</v>
      </c>
      <c r="AQ104" s="144">
        <v>98213</v>
      </c>
      <c r="AR104" s="143" t="s">
        <v>3790</v>
      </c>
      <c r="AS104" s="145" t="s">
        <v>3853</v>
      </c>
      <c r="AT104" s="144">
        <v>100.76649999999999</v>
      </c>
      <c r="AU104" s="144">
        <v>100.766538</v>
      </c>
      <c r="AV104" s="145" t="s">
        <v>3853</v>
      </c>
      <c r="AW104" s="145" t="s">
        <v>3853</v>
      </c>
      <c r="AX104" s="145" t="s">
        <v>3853</v>
      </c>
      <c r="AY104" s="145" t="s">
        <v>3853</v>
      </c>
      <c r="AZ104" s="146">
        <v>5.1447193378790417E-4</v>
      </c>
      <c r="BA104" s="147">
        <v>1.3424733007734443E-5</v>
      </c>
      <c r="BB104" s="181"/>
    </row>
    <row r="105" spans="1:54" ht="15" x14ac:dyDescent="0.2">
      <c r="A105" s="142" t="s">
        <v>1218</v>
      </c>
      <c r="B105" s="143" t="s">
        <v>1218</v>
      </c>
      <c r="C105" s="145" t="s">
        <v>3853</v>
      </c>
      <c r="D105" s="145" t="s">
        <v>3853</v>
      </c>
      <c r="E105" s="145" t="s">
        <v>3853</v>
      </c>
      <c r="F105" s="143" t="s">
        <v>3791</v>
      </c>
      <c r="G105" s="143" t="s">
        <v>1012</v>
      </c>
      <c r="H105" s="143" t="s">
        <v>784</v>
      </c>
      <c r="I105" s="143" t="s">
        <v>204</v>
      </c>
      <c r="J105" s="145" t="s">
        <v>3853</v>
      </c>
      <c r="K105" s="143" t="s">
        <v>443</v>
      </c>
      <c r="L105" s="143" t="s">
        <v>339</v>
      </c>
      <c r="M105" s="143" t="s">
        <v>338</v>
      </c>
      <c r="N105" s="145" t="s">
        <v>3853</v>
      </c>
      <c r="O105" s="143" t="s">
        <v>3792</v>
      </c>
      <c r="P105" s="145" t="s">
        <v>3853</v>
      </c>
      <c r="Q105" s="143" t="s">
        <v>410</v>
      </c>
      <c r="R105" s="143" t="s">
        <v>410</v>
      </c>
      <c r="S105" s="143" t="s">
        <v>1210</v>
      </c>
      <c r="T105" s="144">
        <v>0.87</v>
      </c>
      <c r="U105" s="170" t="s">
        <v>823</v>
      </c>
      <c r="V105" s="146">
        <v>7.0000000000000007E-2</v>
      </c>
      <c r="W105" s="145" t="s">
        <v>3853</v>
      </c>
      <c r="X105" s="145" t="s">
        <v>3853</v>
      </c>
      <c r="Y105" s="166">
        <v>0</v>
      </c>
      <c r="Z105" s="146">
        <v>7.0499999999999993E-2</v>
      </c>
      <c r="AA105" s="143" t="s">
        <v>3762</v>
      </c>
      <c r="AB105" s="143" t="s">
        <v>412</v>
      </c>
      <c r="AC105" s="145" t="s">
        <v>3853</v>
      </c>
      <c r="AD105" s="145" t="s">
        <v>3853</v>
      </c>
      <c r="AE105" s="171">
        <v>0.67</v>
      </c>
      <c r="AF105" s="143" t="s">
        <v>3779</v>
      </c>
      <c r="AG105" s="145" t="s">
        <v>3853</v>
      </c>
      <c r="AH105" s="145" t="s">
        <v>3853</v>
      </c>
      <c r="AI105" s="145" t="s">
        <v>3853</v>
      </c>
      <c r="AJ105" s="143" t="s">
        <v>338</v>
      </c>
      <c r="AK105" s="143" t="s">
        <v>886</v>
      </c>
      <c r="AL105" s="145" t="s">
        <v>3853</v>
      </c>
      <c r="AM105" s="143" t="s">
        <v>889</v>
      </c>
      <c r="AN105" s="163">
        <v>45473</v>
      </c>
      <c r="AO105" s="163">
        <v>45473</v>
      </c>
      <c r="AP105" s="145" t="s">
        <v>3853</v>
      </c>
      <c r="AQ105" s="144">
        <v>88382</v>
      </c>
      <c r="AR105" s="143" t="s">
        <v>3793</v>
      </c>
      <c r="AS105" s="145" t="s">
        <v>3853</v>
      </c>
      <c r="AT105" s="144">
        <v>90.733000000000004</v>
      </c>
      <c r="AU105" s="144">
        <v>90.732961200000005</v>
      </c>
      <c r="AV105" s="145" t="s">
        <v>3853</v>
      </c>
      <c r="AW105" s="145" t="s">
        <v>3853</v>
      </c>
      <c r="AX105" s="145" t="s">
        <v>3853</v>
      </c>
      <c r="AY105" s="145" t="s">
        <v>3853</v>
      </c>
      <c r="AZ105" s="146">
        <v>4.6324467361245339E-4</v>
      </c>
      <c r="BA105" s="147">
        <v>1.2087998687730332E-5</v>
      </c>
      <c r="BB105" s="181"/>
    </row>
    <row r="106" spans="1:54" ht="15" x14ac:dyDescent="0.2">
      <c r="A106" s="142" t="s">
        <v>1218</v>
      </c>
      <c r="B106" s="143" t="s">
        <v>1218</v>
      </c>
      <c r="C106" s="145" t="s">
        <v>3853</v>
      </c>
      <c r="D106" s="145" t="s">
        <v>3853</v>
      </c>
      <c r="E106" s="145" t="s">
        <v>3853</v>
      </c>
      <c r="F106" s="143" t="s">
        <v>3794</v>
      </c>
      <c r="G106" s="143" t="s">
        <v>1012</v>
      </c>
      <c r="H106" s="145" t="s">
        <v>3853</v>
      </c>
      <c r="I106" s="143" t="s">
        <v>204</v>
      </c>
      <c r="J106" s="145" t="s">
        <v>3853</v>
      </c>
      <c r="K106" s="143" t="s">
        <v>454</v>
      </c>
      <c r="L106" s="143" t="s">
        <v>339</v>
      </c>
      <c r="M106" s="143" t="s">
        <v>338</v>
      </c>
      <c r="N106" s="145" t="s">
        <v>3853</v>
      </c>
      <c r="O106" s="143" t="s">
        <v>3795</v>
      </c>
      <c r="P106" s="143" t="s">
        <v>1735</v>
      </c>
      <c r="Q106" s="143" t="s">
        <v>413</v>
      </c>
      <c r="R106" s="143" t="s">
        <v>408</v>
      </c>
      <c r="S106" s="143" t="s">
        <v>1210</v>
      </c>
      <c r="T106" s="144">
        <v>5.89</v>
      </c>
      <c r="U106" s="170" t="s">
        <v>824</v>
      </c>
      <c r="V106" s="146">
        <v>3.3099999999999997E-2</v>
      </c>
      <c r="W106" s="145" t="s">
        <v>3853</v>
      </c>
      <c r="X106" s="145" t="s">
        <v>3853</v>
      </c>
      <c r="Y106" s="166">
        <v>0</v>
      </c>
      <c r="Z106" s="146">
        <v>3.44E-2</v>
      </c>
      <c r="AA106" s="143" t="s">
        <v>3666</v>
      </c>
      <c r="AB106" s="143" t="s">
        <v>412</v>
      </c>
      <c r="AC106" s="145" t="s">
        <v>3853</v>
      </c>
      <c r="AD106" s="145" t="s">
        <v>3853</v>
      </c>
      <c r="AE106" s="145" t="s">
        <v>3853</v>
      </c>
      <c r="AF106" s="145" t="s">
        <v>3853</v>
      </c>
      <c r="AG106" s="145" t="s">
        <v>3853</v>
      </c>
      <c r="AH106" s="145" t="s">
        <v>3853</v>
      </c>
      <c r="AI106" s="145" t="s">
        <v>3853</v>
      </c>
      <c r="AJ106" s="145" t="s">
        <v>3853</v>
      </c>
      <c r="AK106" s="143" t="s">
        <v>886</v>
      </c>
      <c r="AL106" s="145" t="s">
        <v>3853</v>
      </c>
      <c r="AM106" s="143" t="s">
        <v>889</v>
      </c>
      <c r="AN106" s="163">
        <v>45473</v>
      </c>
      <c r="AO106" s="163">
        <v>45473</v>
      </c>
      <c r="AP106" s="145" t="s">
        <v>3853</v>
      </c>
      <c r="AQ106" s="144">
        <v>74697.039999999994</v>
      </c>
      <c r="AR106" s="143" t="s">
        <v>3796</v>
      </c>
      <c r="AS106" s="145" t="s">
        <v>3853</v>
      </c>
      <c r="AT106" s="144">
        <v>85.169600000000003</v>
      </c>
      <c r="AU106" s="144">
        <v>85.169565000000006</v>
      </c>
      <c r="AV106" s="145" t="s">
        <v>3853</v>
      </c>
      <c r="AW106" s="145" t="s">
        <v>3853</v>
      </c>
      <c r="AX106" s="145" t="s">
        <v>3853</v>
      </c>
      <c r="AY106" s="145" t="s">
        <v>3853</v>
      </c>
      <c r="AZ106" s="146">
        <v>4.3484029201777658E-4</v>
      </c>
      <c r="BA106" s="147">
        <v>1.1346809102613828E-5</v>
      </c>
      <c r="BB106" s="181"/>
    </row>
    <row r="107" spans="1:54" ht="15" x14ac:dyDescent="0.2">
      <c r="A107" s="142" t="s">
        <v>1218</v>
      </c>
      <c r="B107" s="143" t="s">
        <v>1218</v>
      </c>
      <c r="C107" s="145" t="s">
        <v>3853</v>
      </c>
      <c r="D107" s="145" t="s">
        <v>3853</v>
      </c>
      <c r="E107" s="145" t="s">
        <v>3853</v>
      </c>
      <c r="F107" s="143" t="s">
        <v>3797</v>
      </c>
      <c r="G107" s="143" t="s">
        <v>1012</v>
      </c>
      <c r="H107" s="143" t="s">
        <v>784</v>
      </c>
      <c r="I107" s="143" t="s">
        <v>204</v>
      </c>
      <c r="J107" s="145" t="s">
        <v>3853</v>
      </c>
      <c r="K107" s="143" t="s">
        <v>443</v>
      </c>
      <c r="L107" s="143" t="s">
        <v>339</v>
      </c>
      <c r="M107" s="143" t="s">
        <v>338</v>
      </c>
      <c r="N107" s="145" t="s">
        <v>3853</v>
      </c>
      <c r="O107" s="143" t="s">
        <v>3798</v>
      </c>
      <c r="P107" s="145" t="s">
        <v>3853</v>
      </c>
      <c r="Q107" s="143" t="s">
        <v>410</v>
      </c>
      <c r="R107" s="143" t="s">
        <v>410</v>
      </c>
      <c r="S107" s="143" t="s">
        <v>1210</v>
      </c>
      <c r="T107" s="144">
        <v>0.87</v>
      </c>
      <c r="U107" s="170" t="s">
        <v>823</v>
      </c>
      <c r="V107" s="146">
        <v>7.0000000000000007E-2</v>
      </c>
      <c r="W107" s="145" t="s">
        <v>3853</v>
      </c>
      <c r="X107" s="145" t="s">
        <v>3853</v>
      </c>
      <c r="Y107" s="166">
        <v>0</v>
      </c>
      <c r="Z107" s="146">
        <v>7.1599999999999997E-2</v>
      </c>
      <c r="AA107" s="143" t="s">
        <v>3789</v>
      </c>
      <c r="AB107" s="143" t="s">
        <v>412</v>
      </c>
      <c r="AC107" s="145" t="s">
        <v>3853</v>
      </c>
      <c r="AD107" s="145" t="s">
        <v>3853</v>
      </c>
      <c r="AE107" s="171">
        <v>0.67</v>
      </c>
      <c r="AF107" s="143" t="s">
        <v>3779</v>
      </c>
      <c r="AG107" s="145" t="s">
        <v>3853</v>
      </c>
      <c r="AH107" s="145" t="s">
        <v>3853</v>
      </c>
      <c r="AI107" s="145" t="s">
        <v>3853</v>
      </c>
      <c r="AJ107" s="143" t="s">
        <v>338</v>
      </c>
      <c r="AK107" s="143" t="s">
        <v>886</v>
      </c>
      <c r="AL107" s="145" t="s">
        <v>3853</v>
      </c>
      <c r="AM107" s="143" t="s">
        <v>889</v>
      </c>
      <c r="AN107" s="163">
        <v>45473</v>
      </c>
      <c r="AO107" s="163">
        <v>45473</v>
      </c>
      <c r="AP107" s="145" t="s">
        <v>3853</v>
      </c>
      <c r="AQ107" s="144">
        <v>65453</v>
      </c>
      <c r="AR107" s="143" t="s">
        <v>3799</v>
      </c>
      <c r="AS107" s="145" t="s">
        <v>3853</v>
      </c>
      <c r="AT107" s="144">
        <v>67.135100000000008</v>
      </c>
      <c r="AU107" s="144">
        <v>67.135142099999996</v>
      </c>
      <c r="AV107" s="145" t="s">
        <v>3853</v>
      </c>
      <c r="AW107" s="145" t="s">
        <v>3853</v>
      </c>
      <c r="AX107" s="145" t="s">
        <v>3853</v>
      </c>
      <c r="AY107" s="145" t="s">
        <v>3853</v>
      </c>
      <c r="AZ107" s="146">
        <v>3.4276404714145026E-4</v>
      </c>
      <c r="BA107" s="147">
        <v>8.9441532478650029E-6</v>
      </c>
      <c r="BB107" s="181"/>
    </row>
    <row r="108" spans="1:54" ht="15" x14ac:dyDescent="0.2">
      <c r="A108" s="142" t="s">
        <v>1218</v>
      </c>
      <c r="B108" s="143" t="s">
        <v>1218</v>
      </c>
      <c r="C108" s="145" t="s">
        <v>3853</v>
      </c>
      <c r="D108" s="145" t="s">
        <v>3853</v>
      </c>
      <c r="E108" s="145" t="s">
        <v>3853</v>
      </c>
      <c r="F108" s="143" t="s">
        <v>3800</v>
      </c>
      <c r="G108" s="143" t="s">
        <v>1012</v>
      </c>
      <c r="H108" s="143" t="s">
        <v>784</v>
      </c>
      <c r="I108" s="143" t="s">
        <v>204</v>
      </c>
      <c r="J108" s="145" t="s">
        <v>3853</v>
      </c>
      <c r="K108" s="143" t="s">
        <v>443</v>
      </c>
      <c r="L108" s="143" t="s">
        <v>339</v>
      </c>
      <c r="M108" s="143" t="s">
        <v>338</v>
      </c>
      <c r="N108" s="145" t="s">
        <v>3853</v>
      </c>
      <c r="O108" s="143" t="s">
        <v>3801</v>
      </c>
      <c r="P108" s="145" t="s">
        <v>3853</v>
      </c>
      <c r="Q108" s="143" t="s">
        <v>410</v>
      </c>
      <c r="R108" s="143" t="s">
        <v>410</v>
      </c>
      <c r="S108" s="143" t="s">
        <v>1210</v>
      </c>
      <c r="T108" s="144">
        <v>0.87</v>
      </c>
      <c r="U108" s="170" t="s">
        <v>823</v>
      </c>
      <c r="V108" s="146">
        <v>7.0000000000000007E-2</v>
      </c>
      <c r="W108" s="145" t="s">
        <v>3853</v>
      </c>
      <c r="X108" s="145" t="s">
        <v>3853</v>
      </c>
      <c r="Y108" s="166">
        <v>0</v>
      </c>
      <c r="Z108" s="146">
        <v>7.1999999999999995E-2</v>
      </c>
      <c r="AA108" s="143" t="s">
        <v>3762</v>
      </c>
      <c r="AB108" s="143" t="s">
        <v>412</v>
      </c>
      <c r="AC108" s="145" t="s">
        <v>3853</v>
      </c>
      <c r="AD108" s="145" t="s">
        <v>3853</v>
      </c>
      <c r="AE108" s="171">
        <v>0.67</v>
      </c>
      <c r="AF108" s="143" t="s">
        <v>3779</v>
      </c>
      <c r="AG108" s="145" t="s">
        <v>3853</v>
      </c>
      <c r="AH108" s="145" t="s">
        <v>3853</v>
      </c>
      <c r="AI108" s="145" t="s">
        <v>3853</v>
      </c>
      <c r="AJ108" s="143" t="s">
        <v>338</v>
      </c>
      <c r="AK108" s="143" t="s">
        <v>886</v>
      </c>
      <c r="AL108" s="145" t="s">
        <v>3853</v>
      </c>
      <c r="AM108" s="143" t="s">
        <v>889</v>
      </c>
      <c r="AN108" s="163">
        <v>45473</v>
      </c>
      <c r="AO108" s="163">
        <v>45473</v>
      </c>
      <c r="AP108" s="145" t="s">
        <v>3853</v>
      </c>
      <c r="AQ108" s="144">
        <v>65304.62</v>
      </c>
      <c r="AR108" s="143" t="s">
        <v>3802</v>
      </c>
      <c r="AS108" s="145" t="s">
        <v>3853</v>
      </c>
      <c r="AT108" s="144">
        <v>66.956800000000001</v>
      </c>
      <c r="AU108" s="144">
        <v>66.956826899999996</v>
      </c>
      <c r="AV108" s="145" t="s">
        <v>3853</v>
      </c>
      <c r="AW108" s="145" t="s">
        <v>3853</v>
      </c>
      <c r="AX108" s="145" t="s">
        <v>3853</v>
      </c>
      <c r="AY108" s="145" t="s">
        <v>3853</v>
      </c>
      <c r="AZ108" s="146">
        <v>3.4185364399779572E-4</v>
      </c>
      <c r="BA108" s="147">
        <v>8.9203970070862729E-6</v>
      </c>
      <c r="BB108" s="181"/>
    </row>
    <row r="109" spans="1:54" ht="15" x14ac:dyDescent="0.2">
      <c r="A109" s="142" t="s">
        <v>1218</v>
      </c>
      <c r="B109" s="143" t="s">
        <v>1218</v>
      </c>
      <c r="C109" s="145" t="s">
        <v>3853</v>
      </c>
      <c r="D109" s="145" t="s">
        <v>3853</v>
      </c>
      <c r="E109" s="145" t="s">
        <v>3853</v>
      </c>
      <c r="F109" s="143" t="s">
        <v>3803</v>
      </c>
      <c r="G109" s="143" t="s">
        <v>1012</v>
      </c>
      <c r="H109" s="143" t="s">
        <v>784</v>
      </c>
      <c r="I109" s="143" t="s">
        <v>204</v>
      </c>
      <c r="J109" s="145" t="s">
        <v>3853</v>
      </c>
      <c r="K109" s="143" t="s">
        <v>443</v>
      </c>
      <c r="L109" s="143" t="s">
        <v>339</v>
      </c>
      <c r="M109" s="143" t="s">
        <v>338</v>
      </c>
      <c r="N109" s="145" t="s">
        <v>3853</v>
      </c>
      <c r="O109" s="143" t="s">
        <v>3804</v>
      </c>
      <c r="P109" s="145" t="s">
        <v>3853</v>
      </c>
      <c r="Q109" s="143" t="s">
        <v>410</v>
      </c>
      <c r="R109" s="143" t="s">
        <v>410</v>
      </c>
      <c r="S109" s="143" t="s">
        <v>1210</v>
      </c>
      <c r="T109" s="144">
        <v>0.87</v>
      </c>
      <c r="U109" s="170" t="s">
        <v>823</v>
      </c>
      <c r="V109" s="146">
        <v>7.0000000000000007E-2</v>
      </c>
      <c r="W109" s="145" t="s">
        <v>3853</v>
      </c>
      <c r="X109" s="145" t="s">
        <v>3853</v>
      </c>
      <c r="Y109" s="166">
        <v>0</v>
      </c>
      <c r="Z109" s="146">
        <v>7.2599999999999998E-2</v>
      </c>
      <c r="AA109" s="143" t="s">
        <v>3789</v>
      </c>
      <c r="AB109" s="143" t="s">
        <v>412</v>
      </c>
      <c r="AC109" s="145" t="s">
        <v>3853</v>
      </c>
      <c r="AD109" s="145" t="s">
        <v>3853</v>
      </c>
      <c r="AE109" s="171">
        <v>0.67</v>
      </c>
      <c r="AF109" s="143" t="s">
        <v>3805</v>
      </c>
      <c r="AG109" s="145" t="s">
        <v>3853</v>
      </c>
      <c r="AH109" s="145" t="s">
        <v>3853</v>
      </c>
      <c r="AI109" s="145" t="s">
        <v>3853</v>
      </c>
      <c r="AJ109" s="143" t="s">
        <v>338</v>
      </c>
      <c r="AK109" s="143" t="s">
        <v>886</v>
      </c>
      <c r="AL109" s="145" t="s">
        <v>3853</v>
      </c>
      <c r="AM109" s="143" t="s">
        <v>889</v>
      </c>
      <c r="AN109" s="163">
        <v>45473</v>
      </c>
      <c r="AO109" s="163">
        <v>45473</v>
      </c>
      <c r="AP109" s="145" t="s">
        <v>3853</v>
      </c>
      <c r="AQ109" s="144">
        <v>49101</v>
      </c>
      <c r="AR109" s="143" t="s">
        <v>3806</v>
      </c>
      <c r="AS109" s="145" t="s">
        <v>3853</v>
      </c>
      <c r="AT109" s="144">
        <v>50.3187</v>
      </c>
      <c r="AU109" s="144">
        <v>50.318704799999999</v>
      </c>
      <c r="AV109" s="145" t="s">
        <v>3853</v>
      </c>
      <c r="AW109" s="145" t="s">
        <v>3853</v>
      </c>
      <c r="AX109" s="145" t="s">
        <v>3853</v>
      </c>
      <c r="AY109" s="145" t="s">
        <v>3853</v>
      </c>
      <c r="AZ109" s="146">
        <v>2.5690632900535589E-4</v>
      </c>
      <c r="BA109" s="147">
        <v>6.7037648672122248E-6</v>
      </c>
      <c r="BB109" s="181"/>
    </row>
    <row r="110" spans="1:54" ht="15" x14ac:dyDescent="0.2">
      <c r="A110" s="142" t="s">
        <v>1218</v>
      </c>
      <c r="B110" s="143" t="s">
        <v>1218</v>
      </c>
      <c r="C110" s="145" t="s">
        <v>3853</v>
      </c>
      <c r="D110" s="145" t="s">
        <v>3853</v>
      </c>
      <c r="E110" s="145" t="s">
        <v>3853</v>
      </c>
      <c r="F110" s="143" t="s">
        <v>3807</v>
      </c>
      <c r="G110" s="143" t="s">
        <v>1012</v>
      </c>
      <c r="H110" s="143" t="s">
        <v>784</v>
      </c>
      <c r="I110" s="143" t="s">
        <v>204</v>
      </c>
      <c r="J110" s="145" t="s">
        <v>3853</v>
      </c>
      <c r="K110" s="143" t="s">
        <v>443</v>
      </c>
      <c r="L110" s="143" t="s">
        <v>339</v>
      </c>
      <c r="M110" s="143" t="s">
        <v>338</v>
      </c>
      <c r="N110" s="145" t="s">
        <v>3853</v>
      </c>
      <c r="O110" s="143" t="s">
        <v>3808</v>
      </c>
      <c r="P110" s="145" t="s">
        <v>3853</v>
      </c>
      <c r="Q110" s="143" t="s">
        <v>410</v>
      </c>
      <c r="R110" s="143" t="s">
        <v>410</v>
      </c>
      <c r="S110" s="143" t="s">
        <v>1210</v>
      </c>
      <c r="T110" s="144">
        <v>0.87</v>
      </c>
      <c r="U110" s="170" t="s">
        <v>823</v>
      </c>
      <c r="V110" s="146">
        <v>7.0000000000000007E-2</v>
      </c>
      <c r="W110" s="145" t="s">
        <v>3853</v>
      </c>
      <c r="X110" s="145" t="s">
        <v>3853</v>
      </c>
      <c r="Y110" s="166">
        <v>0</v>
      </c>
      <c r="Z110" s="146">
        <v>7.3400000000000007E-2</v>
      </c>
      <c r="AA110" s="143" t="s">
        <v>3762</v>
      </c>
      <c r="AB110" s="143" t="s">
        <v>412</v>
      </c>
      <c r="AC110" s="145" t="s">
        <v>3853</v>
      </c>
      <c r="AD110" s="145" t="s">
        <v>3853</v>
      </c>
      <c r="AE110" s="171">
        <v>0.67</v>
      </c>
      <c r="AF110" s="143" t="s">
        <v>3779</v>
      </c>
      <c r="AG110" s="145" t="s">
        <v>3853</v>
      </c>
      <c r="AH110" s="145" t="s">
        <v>3853</v>
      </c>
      <c r="AI110" s="145" t="s">
        <v>3853</v>
      </c>
      <c r="AJ110" s="143" t="s">
        <v>338</v>
      </c>
      <c r="AK110" s="143" t="s">
        <v>886</v>
      </c>
      <c r="AL110" s="145" t="s">
        <v>3853</v>
      </c>
      <c r="AM110" s="143" t="s">
        <v>889</v>
      </c>
      <c r="AN110" s="163">
        <v>45473</v>
      </c>
      <c r="AO110" s="163">
        <v>45473</v>
      </c>
      <c r="AP110" s="145" t="s">
        <v>3853</v>
      </c>
      <c r="AQ110" s="144">
        <v>49099</v>
      </c>
      <c r="AR110" s="143" t="s">
        <v>3809</v>
      </c>
      <c r="AS110" s="145" t="s">
        <v>3853</v>
      </c>
      <c r="AT110" s="144">
        <v>50.287199999999999</v>
      </c>
      <c r="AU110" s="144">
        <v>50.287195799999999</v>
      </c>
      <c r="AV110" s="145" t="s">
        <v>3853</v>
      </c>
      <c r="AW110" s="145" t="s">
        <v>3853</v>
      </c>
      <c r="AX110" s="145" t="s">
        <v>3853</v>
      </c>
      <c r="AY110" s="145" t="s">
        <v>3853</v>
      </c>
      <c r="AZ110" s="146">
        <v>2.5674545718735493E-4</v>
      </c>
      <c r="BA110" s="147">
        <v>6.6995670459837059E-6</v>
      </c>
      <c r="BB110" s="181"/>
    </row>
    <row r="111" spans="1:54" ht="15" x14ac:dyDescent="0.2">
      <c r="A111" s="142" t="s">
        <v>1218</v>
      </c>
      <c r="B111" s="143" t="s">
        <v>1218</v>
      </c>
      <c r="C111" s="145" t="s">
        <v>3853</v>
      </c>
      <c r="D111" s="145" t="s">
        <v>3853</v>
      </c>
      <c r="E111" s="145" t="s">
        <v>3853</v>
      </c>
      <c r="F111" s="143" t="s">
        <v>3810</v>
      </c>
      <c r="G111" s="143" t="s">
        <v>1012</v>
      </c>
      <c r="H111" s="143" t="s">
        <v>784</v>
      </c>
      <c r="I111" s="143" t="s">
        <v>204</v>
      </c>
      <c r="J111" s="145" t="s">
        <v>3853</v>
      </c>
      <c r="K111" s="143" t="s">
        <v>443</v>
      </c>
      <c r="L111" s="143" t="s">
        <v>339</v>
      </c>
      <c r="M111" s="143" t="s">
        <v>338</v>
      </c>
      <c r="N111" s="145" t="s">
        <v>3853</v>
      </c>
      <c r="O111" s="143" t="s">
        <v>3811</v>
      </c>
      <c r="P111" s="145" t="s">
        <v>3853</v>
      </c>
      <c r="Q111" s="143" t="s">
        <v>410</v>
      </c>
      <c r="R111" s="143" t="s">
        <v>410</v>
      </c>
      <c r="S111" s="143" t="s">
        <v>1210</v>
      </c>
      <c r="T111" s="144">
        <v>0.87</v>
      </c>
      <c r="U111" s="170" t="s">
        <v>823</v>
      </c>
      <c r="V111" s="146">
        <v>7.0000000000000007E-2</v>
      </c>
      <c r="W111" s="145" t="s">
        <v>3853</v>
      </c>
      <c r="X111" s="145" t="s">
        <v>3853</v>
      </c>
      <c r="Y111" s="166">
        <v>0</v>
      </c>
      <c r="Z111" s="146">
        <v>7.9799999999999996E-2</v>
      </c>
      <c r="AA111" s="143" t="s">
        <v>3762</v>
      </c>
      <c r="AB111" s="143" t="s">
        <v>412</v>
      </c>
      <c r="AC111" s="145" t="s">
        <v>3853</v>
      </c>
      <c r="AD111" s="145" t="s">
        <v>3853</v>
      </c>
      <c r="AE111" s="171">
        <v>0.67</v>
      </c>
      <c r="AF111" s="143" t="s">
        <v>3779</v>
      </c>
      <c r="AG111" s="145" t="s">
        <v>3853</v>
      </c>
      <c r="AH111" s="145" t="s">
        <v>3853</v>
      </c>
      <c r="AI111" s="145" t="s">
        <v>3853</v>
      </c>
      <c r="AJ111" s="143" t="s">
        <v>338</v>
      </c>
      <c r="AK111" s="143" t="s">
        <v>886</v>
      </c>
      <c r="AL111" s="145" t="s">
        <v>3853</v>
      </c>
      <c r="AM111" s="143" t="s">
        <v>889</v>
      </c>
      <c r="AN111" s="163">
        <v>45473</v>
      </c>
      <c r="AO111" s="163">
        <v>45473</v>
      </c>
      <c r="AP111" s="145" t="s">
        <v>3853</v>
      </c>
      <c r="AQ111" s="144">
        <v>49071</v>
      </c>
      <c r="AR111" s="143" t="s">
        <v>3812</v>
      </c>
      <c r="AS111" s="145" t="s">
        <v>3853</v>
      </c>
      <c r="AT111" s="144">
        <v>49.998400000000004</v>
      </c>
      <c r="AU111" s="144">
        <v>49.998441899999996</v>
      </c>
      <c r="AV111" s="145" t="s">
        <v>3853</v>
      </c>
      <c r="AW111" s="145" t="s">
        <v>3853</v>
      </c>
      <c r="AX111" s="145" t="s">
        <v>3853</v>
      </c>
      <c r="AY111" s="145" t="s">
        <v>3853</v>
      </c>
      <c r="AZ111" s="146">
        <v>2.5527120015451135E-4</v>
      </c>
      <c r="BA111" s="147">
        <v>6.6610974896271899E-6</v>
      </c>
      <c r="BB111" s="181"/>
    </row>
    <row r="112" spans="1:54" ht="15" x14ac:dyDescent="0.2">
      <c r="A112" s="142" t="s">
        <v>1218</v>
      </c>
      <c r="B112" s="143" t="s">
        <v>1218</v>
      </c>
      <c r="C112" s="145" t="s">
        <v>3853</v>
      </c>
      <c r="D112" s="145" t="s">
        <v>3853</v>
      </c>
      <c r="E112" s="145" t="s">
        <v>3853</v>
      </c>
      <c r="F112" s="143" t="s">
        <v>3813</v>
      </c>
      <c r="G112" s="143" t="s">
        <v>1012</v>
      </c>
      <c r="H112" s="143" t="s">
        <v>784</v>
      </c>
      <c r="I112" s="143" t="s">
        <v>204</v>
      </c>
      <c r="J112" s="145" t="s">
        <v>3853</v>
      </c>
      <c r="K112" s="143" t="s">
        <v>443</v>
      </c>
      <c r="L112" s="143" t="s">
        <v>339</v>
      </c>
      <c r="M112" s="143" t="s">
        <v>338</v>
      </c>
      <c r="N112" s="145" t="s">
        <v>3853</v>
      </c>
      <c r="O112" s="143" t="s">
        <v>3814</v>
      </c>
      <c r="P112" s="145" t="s">
        <v>3853</v>
      </c>
      <c r="Q112" s="143" t="s">
        <v>410</v>
      </c>
      <c r="R112" s="143" t="s">
        <v>410</v>
      </c>
      <c r="S112" s="143" t="s">
        <v>1210</v>
      </c>
      <c r="T112" s="144">
        <v>0.87</v>
      </c>
      <c r="U112" s="170" t="s">
        <v>823</v>
      </c>
      <c r="V112" s="146">
        <v>7.0000000000000007E-2</v>
      </c>
      <c r="W112" s="145" t="s">
        <v>3853</v>
      </c>
      <c r="X112" s="145" t="s">
        <v>3853</v>
      </c>
      <c r="Y112" s="166">
        <v>0</v>
      </c>
      <c r="Z112" s="146">
        <v>8.2900000000000001E-2</v>
      </c>
      <c r="AA112" s="143" t="s">
        <v>3762</v>
      </c>
      <c r="AB112" s="143" t="s">
        <v>412</v>
      </c>
      <c r="AC112" s="145" t="s">
        <v>3853</v>
      </c>
      <c r="AD112" s="145" t="s">
        <v>3853</v>
      </c>
      <c r="AE112" s="171">
        <v>0.67</v>
      </c>
      <c r="AF112" s="143" t="s">
        <v>3779</v>
      </c>
      <c r="AG112" s="145" t="s">
        <v>3853</v>
      </c>
      <c r="AH112" s="145" t="s">
        <v>3853</v>
      </c>
      <c r="AI112" s="145" t="s">
        <v>3853</v>
      </c>
      <c r="AJ112" s="143" t="s">
        <v>338</v>
      </c>
      <c r="AK112" s="143" t="s">
        <v>886</v>
      </c>
      <c r="AL112" s="145" t="s">
        <v>3853</v>
      </c>
      <c r="AM112" s="143" t="s">
        <v>889</v>
      </c>
      <c r="AN112" s="163">
        <v>45473</v>
      </c>
      <c r="AO112" s="163">
        <v>45473</v>
      </c>
      <c r="AP112" s="145" t="s">
        <v>3853</v>
      </c>
      <c r="AQ112" s="144">
        <v>49062</v>
      </c>
      <c r="AR112" s="143" t="s">
        <v>3815</v>
      </c>
      <c r="AS112" s="145" t="s">
        <v>3853</v>
      </c>
      <c r="AT112" s="144">
        <v>49.699800000000003</v>
      </c>
      <c r="AU112" s="144">
        <v>49.699806000000002</v>
      </c>
      <c r="AV112" s="145" t="s">
        <v>3853</v>
      </c>
      <c r="AW112" s="145" t="s">
        <v>3853</v>
      </c>
      <c r="AX112" s="145" t="s">
        <v>3853</v>
      </c>
      <c r="AY112" s="145" t="s">
        <v>3853</v>
      </c>
      <c r="AZ112" s="146">
        <v>2.5374648974944126E-4</v>
      </c>
      <c r="BA112" s="147">
        <v>6.6213113929367933E-6</v>
      </c>
      <c r="BB112" s="181"/>
    </row>
    <row r="113" spans="1:54" ht="15" x14ac:dyDescent="0.2">
      <c r="A113" s="142" t="s">
        <v>1218</v>
      </c>
      <c r="B113" s="143" t="s">
        <v>1218</v>
      </c>
      <c r="C113" s="145" t="s">
        <v>3853</v>
      </c>
      <c r="D113" s="145" t="s">
        <v>3853</v>
      </c>
      <c r="E113" s="145" t="s">
        <v>3853</v>
      </c>
      <c r="F113" s="143" t="s">
        <v>3816</v>
      </c>
      <c r="G113" s="143" t="s">
        <v>1012</v>
      </c>
      <c r="H113" s="143" t="s">
        <v>784</v>
      </c>
      <c r="I113" s="143" t="s">
        <v>204</v>
      </c>
      <c r="J113" s="145" t="s">
        <v>3853</v>
      </c>
      <c r="K113" s="143" t="s">
        <v>443</v>
      </c>
      <c r="L113" s="143" t="s">
        <v>339</v>
      </c>
      <c r="M113" s="143" t="s">
        <v>338</v>
      </c>
      <c r="N113" s="145" t="s">
        <v>3853</v>
      </c>
      <c r="O113" s="143" t="s">
        <v>3817</v>
      </c>
      <c r="P113" s="145" t="s">
        <v>3853</v>
      </c>
      <c r="Q113" s="143" t="s">
        <v>410</v>
      </c>
      <c r="R113" s="143" t="s">
        <v>410</v>
      </c>
      <c r="S113" s="143" t="s">
        <v>1210</v>
      </c>
      <c r="T113" s="144">
        <v>0.87</v>
      </c>
      <c r="U113" s="170" t="s">
        <v>823</v>
      </c>
      <c r="V113" s="146">
        <v>7.0000000000000007E-2</v>
      </c>
      <c r="W113" s="145" t="s">
        <v>3853</v>
      </c>
      <c r="X113" s="145" t="s">
        <v>3853</v>
      </c>
      <c r="Y113" s="166">
        <v>0</v>
      </c>
      <c r="Z113" s="146">
        <v>7.1900000000000006E-2</v>
      </c>
      <c r="AA113" s="143" t="s">
        <v>3789</v>
      </c>
      <c r="AB113" s="143" t="s">
        <v>412</v>
      </c>
      <c r="AC113" s="145" t="s">
        <v>3853</v>
      </c>
      <c r="AD113" s="145" t="s">
        <v>3853</v>
      </c>
      <c r="AE113" s="171">
        <v>0.67</v>
      </c>
      <c r="AF113" s="143" t="s">
        <v>3779</v>
      </c>
      <c r="AG113" s="145" t="s">
        <v>3853</v>
      </c>
      <c r="AH113" s="145" t="s">
        <v>3853</v>
      </c>
      <c r="AI113" s="145" t="s">
        <v>3853</v>
      </c>
      <c r="AJ113" s="143" t="s">
        <v>338</v>
      </c>
      <c r="AK113" s="143" t="s">
        <v>886</v>
      </c>
      <c r="AL113" s="145" t="s">
        <v>3853</v>
      </c>
      <c r="AM113" s="143" t="s">
        <v>889</v>
      </c>
      <c r="AN113" s="163">
        <v>45473</v>
      </c>
      <c r="AO113" s="163">
        <v>45473</v>
      </c>
      <c r="AP113" s="145" t="s">
        <v>3853</v>
      </c>
      <c r="AQ113" s="144">
        <v>42541</v>
      </c>
      <c r="AR113" s="143" t="s">
        <v>3818</v>
      </c>
      <c r="AS113" s="145" t="s">
        <v>3853</v>
      </c>
      <c r="AT113" s="144">
        <v>43.621499999999997</v>
      </c>
      <c r="AU113" s="144">
        <v>43.621541399999998</v>
      </c>
      <c r="AV113" s="145" t="s">
        <v>3853</v>
      </c>
      <c r="AW113" s="145" t="s">
        <v>3853</v>
      </c>
      <c r="AX113" s="145" t="s">
        <v>3853</v>
      </c>
      <c r="AY113" s="145" t="s">
        <v>3853</v>
      </c>
      <c r="AZ113" s="146">
        <v>2.2271340471047166E-4</v>
      </c>
      <c r="BA113" s="147">
        <v>5.8115278970965E-6</v>
      </c>
      <c r="BB113" s="181"/>
    </row>
    <row r="114" spans="1:54" ht="15" x14ac:dyDescent="0.2">
      <c r="A114" s="142" t="s">
        <v>1218</v>
      </c>
      <c r="B114" s="143" t="s">
        <v>1218</v>
      </c>
      <c r="C114" s="145" t="s">
        <v>3853</v>
      </c>
      <c r="D114" s="145" t="s">
        <v>3853</v>
      </c>
      <c r="E114" s="145" t="s">
        <v>3853</v>
      </c>
      <c r="F114" s="143" t="s">
        <v>3819</v>
      </c>
      <c r="G114" s="143" t="s">
        <v>1012</v>
      </c>
      <c r="H114" s="143" t="s">
        <v>784</v>
      </c>
      <c r="I114" s="143" t="s">
        <v>204</v>
      </c>
      <c r="J114" s="145" t="s">
        <v>3853</v>
      </c>
      <c r="K114" s="143" t="s">
        <v>443</v>
      </c>
      <c r="L114" s="143" t="s">
        <v>339</v>
      </c>
      <c r="M114" s="143" t="s">
        <v>338</v>
      </c>
      <c r="N114" s="145" t="s">
        <v>3853</v>
      </c>
      <c r="O114" s="143" t="s">
        <v>3820</v>
      </c>
      <c r="P114" s="145" t="s">
        <v>3853</v>
      </c>
      <c r="Q114" s="143" t="s">
        <v>410</v>
      </c>
      <c r="R114" s="143" t="s">
        <v>410</v>
      </c>
      <c r="S114" s="143" t="s">
        <v>1210</v>
      </c>
      <c r="T114" s="144">
        <v>0.87</v>
      </c>
      <c r="U114" s="170" t="s">
        <v>823</v>
      </c>
      <c r="V114" s="146">
        <v>7.0000000000000007E-2</v>
      </c>
      <c r="W114" s="145" t="s">
        <v>3853</v>
      </c>
      <c r="X114" s="145" t="s">
        <v>3853</v>
      </c>
      <c r="Y114" s="166">
        <v>0</v>
      </c>
      <c r="Z114" s="146">
        <v>7.7799999999999994E-2</v>
      </c>
      <c r="AA114" s="143" t="s">
        <v>3762</v>
      </c>
      <c r="AB114" s="143" t="s">
        <v>412</v>
      </c>
      <c r="AC114" s="145" t="s">
        <v>3853</v>
      </c>
      <c r="AD114" s="145" t="s">
        <v>3853</v>
      </c>
      <c r="AE114" s="171">
        <v>0.67</v>
      </c>
      <c r="AF114" s="143" t="s">
        <v>3779</v>
      </c>
      <c r="AG114" s="145" t="s">
        <v>3853</v>
      </c>
      <c r="AH114" s="145" t="s">
        <v>3853</v>
      </c>
      <c r="AI114" s="145" t="s">
        <v>3853</v>
      </c>
      <c r="AJ114" s="143" t="s">
        <v>338</v>
      </c>
      <c r="AK114" s="143" t="s">
        <v>886</v>
      </c>
      <c r="AL114" s="145" t="s">
        <v>3853</v>
      </c>
      <c r="AM114" s="143" t="s">
        <v>889</v>
      </c>
      <c r="AN114" s="163">
        <v>45473</v>
      </c>
      <c r="AO114" s="163">
        <v>45473</v>
      </c>
      <c r="AP114" s="145" t="s">
        <v>3853</v>
      </c>
      <c r="AQ114" s="144">
        <v>35984</v>
      </c>
      <c r="AR114" s="143" t="s">
        <v>3821</v>
      </c>
      <c r="AS114" s="145" t="s">
        <v>3853</v>
      </c>
      <c r="AT114" s="144">
        <v>36.721699999999998</v>
      </c>
      <c r="AU114" s="144">
        <v>36.721671999999998</v>
      </c>
      <c r="AV114" s="145" t="s">
        <v>3853</v>
      </c>
      <c r="AW114" s="145" t="s">
        <v>3853</v>
      </c>
      <c r="AX114" s="145" t="s">
        <v>3853</v>
      </c>
      <c r="AY114" s="145" t="s">
        <v>3853</v>
      </c>
      <c r="AZ114" s="146">
        <v>1.8748554808705579E-4</v>
      </c>
      <c r="BA114" s="147">
        <v>4.8922851968735661E-6</v>
      </c>
      <c r="BB114" s="181"/>
    </row>
    <row r="115" spans="1:54" ht="15" x14ac:dyDescent="0.2">
      <c r="A115" s="142" t="s">
        <v>1218</v>
      </c>
      <c r="B115" s="143" t="s">
        <v>1218</v>
      </c>
      <c r="C115" s="145" t="s">
        <v>3853</v>
      </c>
      <c r="D115" s="145" t="s">
        <v>3853</v>
      </c>
      <c r="E115" s="145" t="s">
        <v>3853</v>
      </c>
      <c r="F115" s="143" t="s">
        <v>3825</v>
      </c>
      <c r="G115" s="143" t="s">
        <v>1012</v>
      </c>
      <c r="H115" s="143" t="s">
        <v>817</v>
      </c>
      <c r="I115" s="143" t="s">
        <v>204</v>
      </c>
      <c r="J115" s="145" t="s">
        <v>3853</v>
      </c>
      <c r="K115" s="143" t="s">
        <v>446</v>
      </c>
      <c r="L115" s="143" t="s">
        <v>339</v>
      </c>
      <c r="M115" s="143" t="s">
        <v>338</v>
      </c>
      <c r="N115" s="145" t="s">
        <v>3853</v>
      </c>
      <c r="O115" s="143" t="s">
        <v>3826</v>
      </c>
      <c r="P115" s="145" t="s">
        <v>3853</v>
      </c>
      <c r="Q115" s="143" t="s">
        <v>410</v>
      </c>
      <c r="R115" s="143" t="s">
        <v>410</v>
      </c>
      <c r="S115" s="143" t="s">
        <v>1210</v>
      </c>
      <c r="T115" s="144">
        <v>0.25</v>
      </c>
      <c r="U115" s="170" t="s">
        <v>823</v>
      </c>
      <c r="V115" s="146">
        <v>0.13500000000000001</v>
      </c>
      <c r="W115" s="145" t="s">
        <v>3853</v>
      </c>
      <c r="X115" s="145" t="s">
        <v>3853</v>
      </c>
      <c r="Y115" s="166">
        <v>0</v>
      </c>
      <c r="Z115" s="146">
        <v>0.15190000000000001</v>
      </c>
      <c r="AA115" s="143" t="s">
        <v>3827</v>
      </c>
      <c r="AB115" s="143" t="s">
        <v>412</v>
      </c>
      <c r="AC115" s="145" t="s">
        <v>3853</v>
      </c>
      <c r="AD115" s="145" t="s">
        <v>3853</v>
      </c>
      <c r="AE115" s="171">
        <v>0.72</v>
      </c>
      <c r="AF115" s="143" t="s">
        <v>3714</v>
      </c>
      <c r="AG115" s="145" t="s">
        <v>3853</v>
      </c>
      <c r="AH115" s="145" t="s">
        <v>3853</v>
      </c>
      <c r="AI115" s="145" t="s">
        <v>3853</v>
      </c>
      <c r="AJ115" s="143" t="s">
        <v>338</v>
      </c>
      <c r="AK115" s="143" t="s">
        <v>886</v>
      </c>
      <c r="AL115" s="145" t="s">
        <v>3853</v>
      </c>
      <c r="AM115" s="143" t="s">
        <v>889</v>
      </c>
      <c r="AN115" s="163">
        <v>45379</v>
      </c>
      <c r="AO115" s="163">
        <v>45379</v>
      </c>
      <c r="AP115" s="145" t="s">
        <v>3853</v>
      </c>
      <c r="AQ115" s="144">
        <v>31980</v>
      </c>
      <c r="AR115" s="143" t="s">
        <v>3828</v>
      </c>
      <c r="AS115" s="145" t="s">
        <v>3853</v>
      </c>
      <c r="AT115" s="144">
        <v>35.347499999999997</v>
      </c>
      <c r="AU115" s="144">
        <v>35.347493999999998</v>
      </c>
      <c r="AV115" s="145" t="s">
        <v>3853</v>
      </c>
      <c r="AW115" s="145" t="s">
        <v>3853</v>
      </c>
      <c r="AX115" s="145" t="s">
        <v>3853</v>
      </c>
      <c r="AY115" s="145" t="s">
        <v>3853</v>
      </c>
      <c r="AZ115" s="146">
        <v>1.8046956810936922E-4</v>
      </c>
      <c r="BA115" s="147">
        <v>4.7092088193254712E-6</v>
      </c>
      <c r="BB115" s="181"/>
    </row>
    <row r="116" spans="1:54" ht="15" x14ac:dyDescent="0.2">
      <c r="A116" s="142" t="s">
        <v>1218</v>
      </c>
      <c r="B116" s="143" t="s">
        <v>1218</v>
      </c>
      <c r="C116" s="145" t="s">
        <v>3853</v>
      </c>
      <c r="D116" s="145" t="s">
        <v>3853</v>
      </c>
      <c r="E116" s="145" t="s">
        <v>3853</v>
      </c>
      <c r="F116" s="143" t="s">
        <v>3781</v>
      </c>
      <c r="G116" s="143" t="s">
        <v>1012</v>
      </c>
      <c r="H116" s="143" t="s">
        <v>793</v>
      </c>
      <c r="I116" s="143" t="s">
        <v>204</v>
      </c>
      <c r="J116" s="145" t="s">
        <v>3853</v>
      </c>
      <c r="K116" s="143" t="s">
        <v>447</v>
      </c>
      <c r="L116" s="143" t="s">
        <v>339</v>
      </c>
      <c r="M116" s="143" t="s">
        <v>338</v>
      </c>
      <c r="N116" s="145" t="s">
        <v>3853</v>
      </c>
      <c r="O116" s="143" t="s">
        <v>3782</v>
      </c>
      <c r="P116" s="145" t="s">
        <v>3853</v>
      </c>
      <c r="Q116" s="143" t="s">
        <v>410</v>
      </c>
      <c r="R116" s="143" t="s">
        <v>410</v>
      </c>
      <c r="S116" s="143" t="s">
        <v>1210</v>
      </c>
      <c r="T116" s="144">
        <v>0.01</v>
      </c>
      <c r="U116" s="170" t="s">
        <v>824</v>
      </c>
      <c r="V116" s="146">
        <v>0</v>
      </c>
      <c r="W116" s="145" t="s">
        <v>3853</v>
      </c>
      <c r="X116" s="145" t="s">
        <v>3853</v>
      </c>
      <c r="Y116" s="166">
        <v>0</v>
      </c>
      <c r="Z116" s="146">
        <v>1E-4</v>
      </c>
      <c r="AA116" s="143" t="s">
        <v>3783</v>
      </c>
      <c r="AB116" s="143" t="s">
        <v>412</v>
      </c>
      <c r="AC116" s="145" t="s">
        <v>3853</v>
      </c>
      <c r="AD116" s="145" t="s">
        <v>3853</v>
      </c>
      <c r="AE116" s="145" t="s">
        <v>3853</v>
      </c>
      <c r="AF116" s="143" t="s">
        <v>3694</v>
      </c>
      <c r="AG116" s="145" t="s">
        <v>3853</v>
      </c>
      <c r="AH116" s="145" t="s">
        <v>3853</v>
      </c>
      <c r="AI116" s="145" t="s">
        <v>3853</v>
      </c>
      <c r="AJ116" s="145" t="s">
        <v>3853</v>
      </c>
      <c r="AK116" s="143" t="s">
        <v>314</v>
      </c>
      <c r="AL116" s="145" t="s">
        <v>3853</v>
      </c>
      <c r="AM116" s="143" t="s">
        <v>888</v>
      </c>
      <c r="AN116" s="163">
        <v>45473</v>
      </c>
      <c r="AO116" s="163">
        <v>45473</v>
      </c>
      <c r="AP116" s="145" t="s">
        <v>3853</v>
      </c>
      <c r="AQ116" s="144">
        <v>884740.96</v>
      </c>
      <c r="AR116" s="143" t="s">
        <v>3784</v>
      </c>
      <c r="AS116" s="145" t="s">
        <v>3853</v>
      </c>
      <c r="AT116" s="144">
        <v>34.2395</v>
      </c>
      <c r="AU116" s="144">
        <v>34.239475200000001</v>
      </c>
      <c r="AV116" s="145" t="s">
        <v>3853</v>
      </c>
      <c r="AW116" s="145" t="s">
        <v>3853</v>
      </c>
      <c r="AX116" s="145" t="s">
        <v>3853</v>
      </c>
      <c r="AY116" s="145" t="s">
        <v>3853</v>
      </c>
      <c r="AZ116" s="146">
        <v>1.7481248580091473E-4</v>
      </c>
      <c r="BA116" s="147">
        <v>4.5615917879460905E-6</v>
      </c>
      <c r="BB116" s="181"/>
    </row>
    <row r="117" spans="1:54" ht="15" x14ac:dyDescent="0.2">
      <c r="A117" s="142" t="s">
        <v>1218</v>
      </c>
      <c r="B117" s="143" t="s">
        <v>1218</v>
      </c>
      <c r="C117" s="145" t="s">
        <v>3853</v>
      </c>
      <c r="D117" s="145" t="s">
        <v>3853</v>
      </c>
      <c r="E117" s="145" t="s">
        <v>3853</v>
      </c>
      <c r="F117" s="143" t="s">
        <v>3822</v>
      </c>
      <c r="G117" s="143" t="s">
        <v>1012</v>
      </c>
      <c r="H117" s="143" t="s">
        <v>784</v>
      </c>
      <c r="I117" s="143" t="s">
        <v>204</v>
      </c>
      <c r="J117" s="145" t="s">
        <v>3853</v>
      </c>
      <c r="K117" s="143" t="s">
        <v>443</v>
      </c>
      <c r="L117" s="143" t="s">
        <v>339</v>
      </c>
      <c r="M117" s="143" t="s">
        <v>338</v>
      </c>
      <c r="N117" s="145" t="s">
        <v>3853</v>
      </c>
      <c r="O117" s="143" t="s">
        <v>3823</v>
      </c>
      <c r="P117" s="145" t="s">
        <v>3853</v>
      </c>
      <c r="Q117" s="143" t="s">
        <v>410</v>
      </c>
      <c r="R117" s="143" t="s">
        <v>410</v>
      </c>
      <c r="S117" s="143" t="s">
        <v>1210</v>
      </c>
      <c r="T117" s="144">
        <v>0.87</v>
      </c>
      <c r="U117" s="170" t="s">
        <v>823</v>
      </c>
      <c r="V117" s="146">
        <v>7.0000000000000007E-2</v>
      </c>
      <c r="W117" s="145" t="s">
        <v>3853</v>
      </c>
      <c r="X117" s="145" t="s">
        <v>3853</v>
      </c>
      <c r="Y117" s="166">
        <v>0</v>
      </c>
      <c r="Z117" s="146">
        <v>7.0999999999999994E-2</v>
      </c>
      <c r="AA117" s="143" t="s">
        <v>3789</v>
      </c>
      <c r="AB117" s="143" t="s">
        <v>412</v>
      </c>
      <c r="AC117" s="145" t="s">
        <v>3853</v>
      </c>
      <c r="AD117" s="145" t="s">
        <v>3853</v>
      </c>
      <c r="AE117" s="171">
        <v>0.67</v>
      </c>
      <c r="AF117" s="143" t="s">
        <v>3779</v>
      </c>
      <c r="AG117" s="145" t="s">
        <v>3853</v>
      </c>
      <c r="AH117" s="145" t="s">
        <v>3853</v>
      </c>
      <c r="AI117" s="145" t="s">
        <v>3853</v>
      </c>
      <c r="AJ117" s="143" t="s">
        <v>338</v>
      </c>
      <c r="AK117" s="143" t="s">
        <v>886</v>
      </c>
      <c r="AL117" s="145" t="s">
        <v>3853</v>
      </c>
      <c r="AM117" s="143" t="s">
        <v>889</v>
      </c>
      <c r="AN117" s="163">
        <v>45473</v>
      </c>
      <c r="AO117" s="163">
        <v>45473</v>
      </c>
      <c r="AP117" s="145" t="s">
        <v>3853</v>
      </c>
      <c r="AQ117" s="144">
        <v>32644.9</v>
      </c>
      <c r="AR117" s="143" t="s">
        <v>3824</v>
      </c>
      <c r="AS117" s="145" t="s">
        <v>3853</v>
      </c>
      <c r="AT117" s="144">
        <v>33.5002</v>
      </c>
      <c r="AU117" s="144">
        <v>33.5001964</v>
      </c>
      <c r="AV117" s="145" t="s">
        <v>3853</v>
      </c>
      <c r="AW117" s="145" t="s">
        <v>3853</v>
      </c>
      <c r="AX117" s="145" t="s">
        <v>3853</v>
      </c>
      <c r="AY117" s="145" t="s">
        <v>3853</v>
      </c>
      <c r="AZ117" s="146">
        <v>1.7103803659398469E-4</v>
      </c>
      <c r="BA117" s="147">
        <v>4.463100559316347E-6</v>
      </c>
      <c r="BB117" s="181"/>
    </row>
    <row r="118" spans="1:54" ht="15" x14ac:dyDescent="0.2">
      <c r="A118" s="142" t="s">
        <v>1218</v>
      </c>
      <c r="B118" s="143" t="s">
        <v>1218</v>
      </c>
      <c r="C118" s="145" t="s">
        <v>3853</v>
      </c>
      <c r="D118" s="145" t="s">
        <v>3853</v>
      </c>
      <c r="E118" s="145" t="s">
        <v>3853</v>
      </c>
      <c r="F118" s="143" t="s">
        <v>3829</v>
      </c>
      <c r="G118" s="143" t="s">
        <v>1012</v>
      </c>
      <c r="H118" s="143" t="s">
        <v>793</v>
      </c>
      <c r="I118" s="143" t="s">
        <v>204</v>
      </c>
      <c r="J118" s="145" t="s">
        <v>3853</v>
      </c>
      <c r="K118" s="143" t="s">
        <v>447</v>
      </c>
      <c r="L118" s="143" t="s">
        <v>339</v>
      </c>
      <c r="M118" s="143" t="s">
        <v>338</v>
      </c>
      <c r="N118" s="145" t="s">
        <v>3853</v>
      </c>
      <c r="O118" s="143" t="s">
        <v>3782</v>
      </c>
      <c r="P118" s="145" t="s">
        <v>3853</v>
      </c>
      <c r="Q118" s="143" t="s">
        <v>410</v>
      </c>
      <c r="R118" s="143" t="s">
        <v>410</v>
      </c>
      <c r="S118" s="143" t="s">
        <v>1210</v>
      </c>
      <c r="T118" s="144">
        <v>0.01</v>
      </c>
      <c r="U118" s="170" t="s">
        <v>823</v>
      </c>
      <c r="V118" s="146">
        <v>0</v>
      </c>
      <c r="W118" s="145" t="s">
        <v>3853</v>
      </c>
      <c r="X118" s="145" t="s">
        <v>3853</v>
      </c>
      <c r="Y118" s="166">
        <v>0</v>
      </c>
      <c r="Z118" s="146">
        <v>1E-4</v>
      </c>
      <c r="AA118" s="143" t="s">
        <v>3830</v>
      </c>
      <c r="AB118" s="143" t="s">
        <v>412</v>
      </c>
      <c r="AC118" s="145" t="s">
        <v>3853</v>
      </c>
      <c r="AD118" s="145" t="s">
        <v>3853</v>
      </c>
      <c r="AE118" s="145" t="s">
        <v>3853</v>
      </c>
      <c r="AF118" s="143" t="s">
        <v>3694</v>
      </c>
      <c r="AG118" s="145" t="s">
        <v>3853</v>
      </c>
      <c r="AH118" s="145" t="s">
        <v>3853</v>
      </c>
      <c r="AI118" s="145" t="s">
        <v>3853</v>
      </c>
      <c r="AJ118" s="145" t="s">
        <v>3853</v>
      </c>
      <c r="AK118" s="143" t="s">
        <v>314</v>
      </c>
      <c r="AL118" s="145" t="s">
        <v>3853</v>
      </c>
      <c r="AM118" s="143" t="s">
        <v>888</v>
      </c>
      <c r="AN118" s="163">
        <v>45473</v>
      </c>
      <c r="AO118" s="163">
        <v>45473</v>
      </c>
      <c r="AP118" s="145" t="s">
        <v>3853</v>
      </c>
      <c r="AQ118" s="144">
        <v>68011.539999999994</v>
      </c>
      <c r="AR118" s="143" t="s">
        <v>3831</v>
      </c>
      <c r="AS118" s="145" t="s">
        <v>3853</v>
      </c>
      <c r="AT118" s="144">
        <v>2.7069000000000001</v>
      </c>
      <c r="AU118" s="144">
        <v>2.7068592999999996</v>
      </c>
      <c r="AV118" s="145" t="s">
        <v>3853</v>
      </c>
      <c r="AW118" s="145" t="s">
        <v>3853</v>
      </c>
      <c r="AX118" s="145" t="s">
        <v>3853</v>
      </c>
      <c r="AY118" s="145" t="s">
        <v>3853</v>
      </c>
      <c r="AZ118" s="146">
        <v>1.3820095064167008E-5</v>
      </c>
      <c r="BA118" s="147">
        <v>3.606243104690675E-7</v>
      </c>
      <c r="BB118" s="181"/>
    </row>
    <row r="119" spans="1:54" ht="15" x14ac:dyDescent="0.2">
      <c r="A119" s="154" t="s">
        <v>1205</v>
      </c>
      <c r="B119" s="155" t="s">
        <v>1206</v>
      </c>
      <c r="C119" s="145" t="s">
        <v>3853</v>
      </c>
      <c r="D119" s="145" t="s">
        <v>3853</v>
      </c>
      <c r="E119" s="145" t="s">
        <v>3853</v>
      </c>
      <c r="F119" s="145" t="s">
        <v>3853</v>
      </c>
      <c r="G119" s="145" t="s">
        <v>3853</v>
      </c>
      <c r="H119" s="145" t="s">
        <v>3853</v>
      </c>
      <c r="I119" s="145" t="s">
        <v>3853</v>
      </c>
      <c r="J119" s="145" t="s">
        <v>3853</v>
      </c>
      <c r="K119" s="145" t="s">
        <v>3853</v>
      </c>
      <c r="L119" s="145" t="s">
        <v>3853</v>
      </c>
      <c r="M119" s="145" t="s">
        <v>3853</v>
      </c>
      <c r="N119" s="145" t="s">
        <v>3853</v>
      </c>
      <c r="O119" s="145" t="s">
        <v>3853</v>
      </c>
      <c r="P119" s="145" t="s">
        <v>3853</v>
      </c>
      <c r="Q119" s="145" t="s">
        <v>3853</v>
      </c>
      <c r="R119" s="145" t="s">
        <v>3853</v>
      </c>
      <c r="S119" s="145" t="s">
        <v>3853</v>
      </c>
      <c r="T119" s="145" t="s">
        <v>3853</v>
      </c>
      <c r="U119" s="145" t="s">
        <v>3853</v>
      </c>
      <c r="V119" s="145" t="s">
        <v>3853</v>
      </c>
      <c r="W119" s="145" t="s">
        <v>3853</v>
      </c>
      <c r="X119" s="145" t="s">
        <v>3853</v>
      </c>
      <c r="Y119" s="145" t="s">
        <v>3853</v>
      </c>
      <c r="Z119" s="145" t="s">
        <v>3853</v>
      </c>
      <c r="AA119" s="145" t="s">
        <v>3853</v>
      </c>
      <c r="AB119" s="145" t="s">
        <v>3853</v>
      </c>
      <c r="AC119" s="145" t="s">
        <v>3853</v>
      </c>
      <c r="AD119" s="145" t="s">
        <v>3853</v>
      </c>
      <c r="AE119" s="145" t="s">
        <v>3853</v>
      </c>
      <c r="AF119" s="145" t="s">
        <v>3853</v>
      </c>
      <c r="AG119" s="145" t="s">
        <v>3853</v>
      </c>
      <c r="AH119" s="145" t="s">
        <v>3853</v>
      </c>
      <c r="AI119" s="145" t="s">
        <v>3853</v>
      </c>
      <c r="AJ119" s="145" t="s">
        <v>3853</v>
      </c>
      <c r="AK119" s="145" t="s">
        <v>3853</v>
      </c>
      <c r="AL119" s="145" t="s">
        <v>3853</v>
      </c>
      <c r="AM119" s="145" t="s">
        <v>3853</v>
      </c>
      <c r="AN119" s="145" t="s">
        <v>3853</v>
      </c>
      <c r="AO119" s="145" t="s">
        <v>3853</v>
      </c>
      <c r="AP119" s="145" t="s">
        <v>3853</v>
      </c>
      <c r="AQ119" s="145" t="s">
        <v>3853</v>
      </c>
      <c r="AR119" s="145" t="s">
        <v>3853</v>
      </c>
      <c r="AS119" s="145" t="s">
        <v>3853</v>
      </c>
      <c r="AT119" s="145" t="s">
        <v>3853</v>
      </c>
      <c r="AU119" s="145" t="s">
        <v>3853</v>
      </c>
      <c r="AV119" s="145" t="s">
        <v>3853</v>
      </c>
      <c r="AW119" s="145" t="s">
        <v>3853</v>
      </c>
      <c r="AX119" s="145" t="s">
        <v>3853</v>
      </c>
      <c r="AY119" s="145" t="s">
        <v>3853</v>
      </c>
      <c r="AZ119" s="145" t="s">
        <v>3853</v>
      </c>
      <c r="BA119" s="156" t="s">
        <v>3853</v>
      </c>
      <c r="BB119" s="181"/>
    </row>
    <row r="120" spans="1:54" ht="15" x14ac:dyDescent="0.2">
      <c r="A120" s="154" t="s">
        <v>1205</v>
      </c>
      <c r="B120" s="155" t="s">
        <v>1213</v>
      </c>
      <c r="C120" s="145" t="s">
        <v>3853</v>
      </c>
      <c r="D120" s="145" t="s">
        <v>3853</v>
      </c>
      <c r="E120" s="145" t="s">
        <v>3853</v>
      </c>
      <c r="F120" s="145" t="s">
        <v>3853</v>
      </c>
      <c r="G120" s="145" t="s">
        <v>3853</v>
      </c>
      <c r="H120" s="145" t="s">
        <v>3853</v>
      </c>
      <c r="I120" s="145" t="s">
        <v>3853</v>
      </c>
      <c r="J120" s="145" t="s">
        <v>3853</v>
      </c>
      <c r="K120" s="145" t="s">
        <v>3853</v>
      </c>
      <c r="L120" s="145" t="s">
        <v>3853</v>
      </c>
      <c r="M120" s="145" t="s">
        <v>3853</v>
      </c>
      <c r="N120" s="145" t="s">
        <v>3853</v>
      </c>
      <c r="O120" s="145" t="s">
        <v>3853</v>
      </c>
      <c r="P120" s="145" t="s">
        <v>3853</v>
      </c>
      <c r="Q120" s="145" t="s">
        <v>3853</v>
      </c>
      <c r="R120" s="145" t="s">
        <v>3853</v>
      </c>
      <c r="S120" s="145" t="s">
        <v>3853</v>
      </c>
      <c r="T120" s="145" t="s">
        <v>3853</v>
      </c>
      <c r="U120" s="145" t="s">
        <v>3853</v>
      </c>
      <c r="V120" s="145" t="s">
        <v>3853</v>
      </c>
      <c r="W120" s="145" t="s">
        <v>3853</v>
      </c>
      <c r="X120" s="145" t="s">
        <v>3853</v>
      </c>
      <c r="Y120" s="145" t="s">
        <v>3853</v>
      </c>
      <c r="Z120" s="145" t="s">
        <v>3853</v>
      </c>
      <c r="AA120" s="145" t="s">
        <v>3853</v>
      </c>
      <c r="AB120" s="145" t="s">
        <v>3853</v>
      </c>
      <c r="AC120" s="145" t="s">
        <v>3853</v>
      </c>
      <c r="AD120" s="145" t="s">
        <v>3853</v>
      </c>
      <c r="AE120" s="145" t="s">
        <v>3853</v>
      </c>
      <c r="AF120" s="145" t="s">
        <v>3853</v>
      </c>
      <c r="AG120" s="145" t="s">
        <v>3853</v>
      </c>
      <c r="AH120" s="145" t="s">
        <v>3853</v>
      </c>
      <c r="AI120" s="145" t="s">
        <v>3853</v>
      </c>
      <c r="AJ120" s="145" t="s">
        <v>3853</v>
      </c>
      <c r="AK120" s="145" t="s">
        <v>3853</v>
      </c>
      <c r="AL120" s="145" t="s">
        <v>3853</v>
      </c>
      <c r="AM120" s="145" t="s">
        <v>3853</v>
      </c>
      <c r="AN120" s="145" t="s">
        <v>3853</v>
      </c>
      <c r="AO120" s="145" t="s">
        <v>3853</v>
      </c>
      <c r="AP120" s="145" t="s">
        <v>3853</v>
      </c>
      <c r="AQ120" s="145" t="s">
        <v>3853</v>
      </c>
      <c r="AR120" s="145" t="s">
        <v>3853</v>
      </c>
      <c r="AS120" s="145" t="s">
        <v>3853</v>
      </c>
      <c r="AT120" s="145" t="s">
        <v>3853</v>
      </c>
      <c r="AU120" s="145" t="s">
        <v>3853</v>
      </c>
      <c r="AV120" s="145" t="s">
        <v>3853</v>
      </c>
      <c r="AW120" s="145" t="s">
        <v>3853</v>
      </c>
      <c r="AX120" s="145" t="s">
        <v>3853</v>
      </c>
      <c r="AY120" s="145" t="s">
        <v>3853</v>
      </c>
      <c r="AZ120" s="145" t="s">
        <v>3853</v>
      </c>
      <c r="BA120" s="156" t="s">
        <v>3853</v>
      </c>
      <c r="BB120" s="181"/>
    </row>
    <row r="121" spans="1:54" ht="15" x14ac:dyDescent="0.2">
      <c r="A121" s="157" t="s">
        <v>1218</v>
      </c>
      <c r="B121" s="158" t="s">
        <v>1220</v>
      </c>
      <c r="C121" s="151" t="s">
        <v>3853</v>
      </c>
      <c r="D121" s="151" t="s">
        <v>3853</v>
      </c>
      <c r="E121" s="151" t="s">
        <v>3853</v>
      </c>
      <c r="F121" s="151" t="s">
        <v>3853</v>
      </c>
      <c r="G121" s="151" t="s">
        <v>3853</v>
      </c>
      <c r="H121" s="151" t="s">
        <v>3853</v>
      </c>
      <c r="I121" s="151" t="s">
        <v>3853</v>
      </c>
      <c r="J121" s="151" t="s">
        <v>3853</v>
      </c>
      <c r="K121" s="151" t="s">
        <v>3853</v>
      </c>
      <c r="L121" s="151" t="s">
        <v>3853</v>
      </c>
      <c r="M121" s="151" t="s">
        <v>3853</v>
      </c>
      <c r="N121" s="151" t="s">
        <v>3853</v>
      </c>
      <c r="O121" s="151" t="s">
        <v>3853</v>
      </c>
      <c r="P121" s="151" t="s">
        <v>3853</v>
      </c>
      <c r="Q121" s="151" t="s">
        <v>3853</v>
      </c>
      <c r="R121" s="151" t="s">
        <v>3853</v>
      </c>
      <c r="S121" s="151" t="s">
        <v>3853</v>
      </c>
      <c r="T121" s="151" t="s">
        <v>3853</v>
      </c>
      <c r="U121" s="151" t="s">
        <v>3853</v>
      </c>
      <c r="V121" s="151" t="s">
        <v>3853</v>
      </c>
      <c r="W121" s="151" t="s">
        <v>3853</v>
      </c>
      <c r="X121" s="151" t="s">
        <v>3853</v>
      </c>
      <c r="Y121" s="151" t="s">
        <v>3853</v>
      </c>
      <c r="Z121" s="151" t="s">
        <v>3853</v>
      </c>
      <c r="AA121" s="151" t="s">
        <v>3853</v>
      </c>
      <c r="AB121" s="151" t="s">
        <v>3853</v>
      </c>
      <c r="AC121" s="151" t="s">
        <v>3853</v>
      </c>
      <c r="AD121" s="151" t="s">
        <v>3853</v>
      </c>
      <c r="AE121" s="151" t="s">
        <v>3853</v>
      </c>
      <c r="AF121" s="151" t="s">
        <v>3853</v>
      </c>
      <c r="AG121" s="151" t="s">
        <v>3853</v>
      </c>
      <c r="AH121" s="151" t="s">
        <v>3853</v>
      </c>
      <c r="AI121" s="151" t="s">
        <v>3853</v>
      </c>
      <c r="AJ121" s="151" t="s">
        <v>3853</v>
      </c>
      <c r="AK121" s="151" t="s">
        <v>3853</v>
      </c>
      <c r="AL121" s="151" t="s">
        <v>3853</v>
      </c>
      <c r="AM121" s="151" t="s">
        <v>3853</v>
      </c>
      <c r="AN121" s="151" t="s">
        <v>3853</v>
      </c>
      <c r="AO121" s="151" t="s">
        <v>3853</v>
      </c>
      <c r="AP121" s="151" t="s">
        <v>3853</v>
      </c>
      <c r="AQ121" s="151" t="s">
        <v>3853</v>
      </c>
      <c r="AR121" s="151" t="s">
        <v>3853</v>
      </c>
      <c r="AS121" s="151" t="s">
        <v>3853</v>
      </c>
      <c r="AT121" s="151" t="s">
        <v>3853</v>
      </c>
      <c r="AU121" s="151" t="s">
        <v>3853</v>
      </c>
      <c r="AV121" s="151" t="s">
        <v>3853</v>
      </c>
      <c r="AW121" s="151" t="s">
        <v>3853</v>
      </c>
      <c r="AX121" s="151" t="s">
        <v>3853</v>
      </c>
      <c r="AY121" s="151" t="s">
        <v>3853</v>
      </c>
      <c r="AZ121" s="151" t="s">
        <v>3853</v>
      </c>
      <c r="BA121" s="159" t="s">
        <v>3853</v>
      </c>
      <c r="BB121" s="181"/>
    </row>
    <row r="122" spans="1:54" x14ac:dyDescent="0.2">
      <c r="A122" s="181" t="s">
        <v>3870</v>
      </c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  <c r="AJ122" s="181"/>
      <c r="AK122" s="181"/>
      <c r="AL122" s="181"/>
      <c r="AM122" s="181"/>
      <c r="AN122" s="181"/>
      <c r="AO122" s="181"/>
      <c r="AP122" s="181"/>
      <c r="AQ122" s="181"/>
      <c r="AR122" s="181"/>
      <c r="AS122" s="181"/>
      <c r="AT122" s="181"/>
      <c r="AU122" s="181"/>
      <c r="AV122" s="181"/>
      <c r="AW122" s="181"/>
      <c r="AX122" s="181"/>
      <c r="AY122" s="181"/>
      <c r="AZ122" s="181"/>
      <c r="BA122" s="181"/>
    </row>
    <row r="123" spans="1:54" x14ac:dyDescent="0.2">
      <c r="A123" s="2" t="s">
        <v>3869</v>
      </c>
    </row>
    <row r="124" spans="1:54" x14ac:dyDescent="0.2">
      <c r="A124" s="176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22:BA122"/>
    <mergeCell ref="BB2:BB121"/>
  </mergeCells>
  <dataValidations count="12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J4:AJ7 AJ9 AJ11:AJ14 AJ16:AJ17 AJ20:AJ21">
      <formula1>Repayment_Rights</formula1>
    </dataValidation>
    <dataValidation type="list" allowBlank="1" showInputMessage="1" showErrorMessage="1" sqref="H4:H5 H13:H14 H20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125" style="2" bestFit="1" customWidth="1"/>
    <col min="4" max="4" width="11.25" style="2" customWidth="1"/>
    <col min="5" max="5" width="18.125" style="4" customWidth="1"/>
    <col min="6" max="6" width="29.25" style="2" bestFit="1" customWidth="1"/>
    <col min="7" max="7" width="12.75" style="2" customWidth="1"/>
    <col min="8" max="8" width="15.5" style="2" customWidth="1"/>
    <col min="9" max="9" width="12.125" style="2" bestFit="1" customWidth="1"/>
    <col min="10" max="10" width="10.625" style="2" customWidth="1"/>
    <col min="11" max="11" width="19.875" style="2" customWidth="1"/>
    <col min="12" max="12" width="15.125" style="2" customWidth="1"/>
    <col min="13" max="13" width="9" style="2" customWidth="1"/>
    <col min="14" max="14" width="12" style="2" customWidth="1"/>
    <col min="15" max="15" width="6.5" style="2" bestFit="1" customWidth="1"/>
    <col min="16" max="16" width="9.75" style="2" bestFit="1" customWidth="1"/>
    <col min="17" max="17" width="19" style="2" customWidth="1"/>
    <col min="18" max="18" width="11.75" style="2" customWidth="1"/>
    <col min="19" max="19" width="6.5" style="2" customWidth="1"/>
    <col min="20" max="20" width="11.1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0.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3896</v>
      </c>
    </row>
    <row r="2" spans="1:3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56</v>
      </c>
      <c r="M2" s="140" t="s">
        <v>96</v>
      </c>
      <c r="N2" s="140" t="s">
        <v>97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62</v>
      </c>
      <c r="U2" s="140" t="s">
        <v>74</v>
      </c>
      <c r="V2" s="140" t="s">
        <v>103</v>
      </c>
      <c r="W2" s="140" t="s">
        <v>104</v>
      </c>
      <c r="X2" s="140" t="s">
        <v>106</v>
      </c>
      <c r="Y2" s="140" t="s">
        <v>76</v>
      </c>
      <c r="Z2" s="140" t="s">
        <v>61</v>
      </c>
      <c r="AA2" s="140" t="s">
        <v>77</v>
      </c>
      <c r="AB2" s="140" t="s">
        <v>63</v>
      </c>
      <c r="AC2" s="140" t="s">
        <v>64</v>
      </c>
      <c r="AD2" s="141" t="s">
        <v>65</v>
      </c>
      <c r="AE2" s="181" t="s">
        <v>3871</v>
      </c>
    </row>
    <row r="3" spans="1:31" ht="15" x14ac:dyDescent="0.2">
      <c r="A3" s="142" t="s">
        <v>1205</v>
      </c>
      <c r="B3" s="143" t="s">
        <v>1205</v>
      </c>
      <c r="C3" s="143" t="s">
        <v>1861</v>
      </c>
      <c r="D3" s="143" t="s">
        <v>1862</v>
      </c>
      <c r="E3" s="143" t="s">
        <v>309</v>
      </c>
      <c r="F3" s="143" t="s">
        <v>3846</v>
      </c>
      <c r="G3" s="143" t="s">
        <v>3847</v>
      </c>
      <c r="H3" s="143" t="s">
        <v>312</v>
      </c>
      <c r="I3" s="143" t="s">
        <v>976</v>
      </c>
      <c r="J3" s="143" t="s">
        <v>204</v>
      </c>
      <c r="K3" s="143" t="s">
        <v>204</v>
      </c>
      <c r="L3" s="143" t="s">
        <v>339</v>
      </c>
      <c r="M3" s="145" t="s">
        <v>3853</v>
      </c>
      <c r="N3" s="143" t="s">
        <v>3077</v>
      </c>
      <c r="O3" s="143" t="s">
        <v>3848</v>
      </c>
      <c r="P3" s="143" t="s">
        <v>413</v>
      </c>
      <c r="Q3" s="143" t="s">
        <v>409</v>
      </c>
      <c r="R3" s="143" t="s">
        <v>1211</v>
      </c>
      <c r="S3" s="144">
        <v>0.01</v>
      </c>
      <c r="T3" s="145" t="s">
        <v>3853</v>
      </c>
      <c r="U3" s="146">
        <v>1E-4</v>
      </c>
      <c r="V3" s="143" t="s">
        <v>887</v>
      </c>
      <c r="W3" s="143" t="s">
        <v>889</v>
      </c>
      <c r="X3" s="160">
        <v>45471</v>
      </c>
      <c r="Y3" s="144">
        <v>1292352</v>
      </c>
      <c r="Z3" s="143" t="s">
        <v>1212</v>
      </c>
      <c r="AA3" s="143" t="s">
        <v>3849</v>
      </c>
      <c r="AB3" s="144">
        <v>4364.7330999999995</v>
      </c>
      <c r="AC3" s="146">
        <v>1</v>
      </c>
      <c r="AD3" s="147">
        <v>6.5903054922262852E-3</v>
      </c>
      <c r="AE3" s="181"/>
    </row>
    <row r="4" spans="1:31" ht="15" x14ac:dyDescent="0.2">
      <c r="A4" s="142" t="s">
        <v>1218</v>
      </c>
      <c r="B4" s="143" t="s">
        <v>1218</v>
      </c>
      <c r="C4" s="143" t="s">
        <v>1861</v>
      </c>
      <c r="D4" s="143" t="s">
        <v>1862</v>
      </c>
      <c r="E4" s="143" t="s">
        <v>309</v>
      </c>
      <c r="F4" s="143" t="s">
        <v>3846</v>
      </c>
      <c r="G4" s="143" t="s">
        <v>3847</v>
      </c>
      <c r="H4" s="143" t="s">
        <v>312</v>
      </c>
      <c r="I4" s="143" t="s">
        <v>976</v>
      </c>
      <c r="J4" s="143" t="s">
        <v>204</v>
      </c>
      <c r="K4" s="143" t="s">
        <v>204</v>
      </c>
      <c r="L4" s="143" t="s">
        <v>339</v>
      </c>
      <c r="M4" s="145" t="s">
        <v>3853</v>
      </c>
      <c r="N4" s="143" t="s">
        <v>3077</v>
      </c>
      <c r="O4" s="143" t="s">
        <v>3848</v>
      </c>
      <c r="P4" s="143" t="s">
        <v>413</v>
      </c>
      <c r="Q4" s="143" t="s">
        <v>409</v>
      </c>
      <c r="R4" s="143" t="s">
        <v>1211</v>
      </c>
      <c r="S4" s="144">
        <v>0.01</v>
      </c>
      <c r="T4" s="145" t="s">
        <v>3853</v>
      </c>
      <c r="U4" s="146">
        <v>1E-4</v>
      </c>
      <c r="V4" s="143" t="s">
        <v>887</v>
      </c>
      <c r="W4" s="143" t="s">
        <v>889</v>
      </c>
      <c r="X4" s="160">
        <v>45471</v>
      </c>
      <c r="Y4" s="144">
        <v>13091812</v>
      </c>
      <c r="Z4" s="143" t="s">
        <v>1212</v>
      </c>
      <c r="AA4" s="143" t="s">
        <v>3849</v>
      </c>
      <c r="AB4" s="144">
        <v>44215.713100000001</v>
      </c>
      <c r="AC4" s="146">
        <v>1</v>
      </c>
      <c r="AD4" s="147">
        <v>5.8906870703573132E-3</v>
      </c>
      <c r="AE4" s="181"/>
    </row>
    <row r="5" spans="1:31" ht="15" x14ac:dyDescent="0.2">
      <c r="A5" s="154" t="s">
        <v>1205</v>
      </c>
      <c r="B5" s="155" t="s">
        <v>1206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45" t="s">
        <v>3853</v>
      </c>
      <c r="S5" s="145" t="s">
        <v>3853</v>
      </c>
      <c r="T5" s="145" t="s">
        <v>3853</v>
      </c>
      <c r="U5" s="145" t="s">
        <v>3853</v>
      </c>
      <c r="V5" s="145" t="s">
        <v>3853</v>
      </c>
      <c r="W5" s="145" t="s">
        <v>3853</v>
      </c>
      <c r="X5" s="145" t="s">
        <v>3853</v>
      </c>
      <c r="Y5" s="145" t="s">
        <v>3853</v>
      </c>
      <c r="Z5" s="145" t="s">
        <v>3853</v>
      </c>
      <c r="AA5" s="145" t="s">
        <v>3853</v>
      </c>
      <c r="AB5" s="145" t="s">
        <v>3853</v>
      </c>
      <c r="AC5" s="145" t="s">
        <v>3853</v>
      </c>
      <c r="AD5" s="156" t="s">
        <v>3853</v>
      </c>
      <c r="AE5" s="181"/>
    </row>
    <row r="6" spans="1:31" ht="15" x14ac:dyDescent="0.2">
      <c r="A6" s="154" t="s">
        <v>1205</v>
      </c>
      <c r="B6" s="155" t="s">
        <v>1213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45" t="s">
        <v>3853</v>
      </c>
      <c r="S6" s="145" t="s">
        <v>3853</v>
      </c>
      <c r="T6" s="145" t="s">
        <v>3853</v>
      </c>
      <c r="U6" s="145" t="s">
        <v>3853</v>
      </c>
      <c r="V6" s="145" t="s">
        <v>3853</v>
      </c>
      <c r="W6" s="145" t="s">
        <v>3853</v>
      </c>
      <c r="X6" s="145" t="s">
        <v>3853</v>
      </c>
      <c r="Y6" s="145" t="s">
        <v>3853</v>
      </c>
      <c r="Z6" s="145" t="s">
        <v>3853</v>
      </c>
      <c r="AA6" s="145" t="s">
        <v>3853</v>
      </c>
      <c r="AB6" s="145" t="s">
        <v>3853</v>
      </c>
      <c r="AC6" s="145" t="s">
        <v>3853</v>
      </c>
      <c r="AD6" s="156" t="s">
        <v>3853</v>
      </c>
      <c r="AE6" s="181"/>
    </row>
    <row r="7" spans="1:31" ht="15" x14ac:dyDescent="0.2">
      <c r="A7" s="154" t="s">
        <v>1218</v>
      </c>
      <c r="B7" s="155" t="s">
        <v>1219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45" t="s">
        <v>3853</v>
      </c>
      <c r="W7" s="145" t="s">
        <v>3853</v>
      </c>
      <c r="X7" s="145" t="s">
        <v>3853</v>
      </c>
      <c r="Y7" s="145" t="s">
        <v>3853</v>
      </c>
      <c r="Z7" s="145" t="s">
        <v>3853</v>
      </c>
      <c r="AA7" s="145" t="s">
        <v>3853</v>
      </c>
      <c r="AB7" s="145" t="s">
        <v>3853</v>
      </c>
      <c r="AC7" s="145" t="s">
        <v>3853</v>
      </c>
      <c r="AD7" s="156" t="s">
        <v>3853</v>
      </c>
      <c r="AE7" s="181"/>
    </row>
    <row r="8" spans="1:31" ht="15" x14ac:dyDescent="0.2">
      <c r="A8" s="157" t="s">
        <v>1218</v>
      </c>
      <c r="B8" s="158" t="s">
        <v>1220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1" t="s">
        <v>3853</v>
      </c>
      <c r="S8" s="151" t="s">
        <v>3853</v>
      </c>
      <c r="T8" s="151" t="s">
        <v>3853</v>
      </c>
      <c r="U8" s="151" t="s">
        <v>3853</v>
      </c>
      <c r="V8" s="151" t="s">
        <v>3853</v>
      </c>
      <c r="W8" s="151" t="s">
        <v>3853</v>
      </c>
      <c r="X8" s="151" t="s">
        <v>3853</v>
      </c>
      <c r="Y8" s="151" t="s">
        <v>3853</v>
      </c>
      <c r="Z8" s="151" t="s">
        <v>3853</v>
      </c>
      <c r="AA8" s="151" t="s">
        <v>3853</v>
      </c>
      <c r="AB8" s="151" t="s">
        <v>3853</v>
      </c>
      <c r="AC8" s="151" t="s">
        <v>3853</v>
      </c>
      <c r="AD8" s="159" t="s">
        <v>3853</v>
      </c>
      <c r="AE8" s="181"/>
    </row>
    <row r="9" spans="1:31" x14ac:dyDescent="0.2">
      <c r="A9" s="185" t="s">
        <v>3870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</row>
    <row r="10" spans="1:31" x14ac:dyDescent="0.2">
      <c r="A10" s="99" t="s">
        <v>3869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8"/>
      <c r="Y10" s="99"/>
      <c r="Z10" s="99"/>
      <c r="AA10" s="99"/>
      <c r="AB10" s="99"/>
      <c r="AC10" s="99"/>
      <c r="AD10" s="99"/>
    </row>
    <row r="11" spans="1:31" x14ac:dyDescent="0.2">
      <c r="A11" s="179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8"/>
      <c r="Y11" s="99"/>
      <c r="Z11" s="99"/>
      <c r="AA11" s="99"/>
      <c r="AB11" s="99"/>
      <c r="AC11" s="99"/>
      <c r="AD11" s="99"/>
    </row>
    <row r="12" spans="1:31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8"/>
      <c r="Y12" s="99"/>
      <c r="Z12" s="99"/>
      <c r="AA12" s="99"/>
      <c r="AB12" s="99"/>
      <c r="AC12" s="99"/>
      <c r="AD12" s="99"/>
    </row>
    <row r="13" spans="1:31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8"/>
      <c r="Y13" s="99"/>
      <c r="Z13" s="99"/>
      <c r="AA13" s="99"/>
      <c r="AB13" s="99"/>
      <c r="AC13" s="99"/>
      <c r="AD13" s="99"/>
    </row>
    <row r="14" spans="1:31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8"/>
      <c r="Y14" s="99"/>
      <c r="Z14" s="99"/>
      <c r="AA14" s="99"/>
      <c r="AB14" s="99"/>
      <c r="AC14" s="99"/>
      <c r="AD14" s="99"/>
    </row>
    <row r="15" spans="1:31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8"/>
      <c r="Y15" s="99"/>
      <c r="Z15" s="99"/>
      <c r="AA15" s="99"/>
      <c r="AB15" s="99"/>
      <c r="AC15" s="99"/>
      <c r="AD15" s="99"/>
    </row>
    <row r="16" spans="1:31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8"/>
      <c r="Y16" s="99"/>
      <c r="Z16" s="99"/>
      <c r="AA16" s="99"/>
      <c r="AB16" s="99"/>
      <c r="AC16" s="99"/>
      <c r="AD16" s="99"/>
    </row>
    <row r="17" spans="1:30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8"/>
      <c r="Y17" s="99"/>
      <c r="Z17" s="99"/>
      <c r="AA17" s="99"/>
      <c r="AB17" s="99"/>
      <c r="AC17" s="99"/>
      <c r="AD17" s="99"/>
    </row>
    <row r="18" spans="1:30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8"/>
      <c r="Y18" s="99"/>
      <c r="Z18" s="99"/>
      <c r="AA18" s="99"/>
      <c r="AB18" s="99"/>
      <c r="AC18" s="99"/>
      <c r="AD18" s="99"/>
    </row>
    <row r="19" spans="1:30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8"/>
      <c r="Y19" s="99"/>
      <c r="Z19" s="99"/>
      <c r="AA19" s="99"/>
      <c r="AB19" s="99"/>
      <c r="AC19" s="99"/>
      <c r="AD19" s="99"/>
    </row>
    <row r="20" spans="1:30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8"/>
      <c r="Y20" s="99"/>
      <c r="Z20" s="99"/>
      <c r="AA20" s="99"/>
      <c r="AB20" s="99"/>
      <c r="AC20" s="99"/>
      <c r="AD20" s="99"/>
    </row>
    <row r="21" spans="1:30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8"/>
      <c r="P21" s="99"/>
      <c r="Q21" s="99"/>
      <c r="R21" s="98"/>
      <c r="S21" s="98"/>
      <c r="T21" s="98"/>
      <c r="U21" s="98"/>
      <c r="V21" s="99"/>
      <c r="W21" s="99"/>
      <c r="X21" s="98"/>
      <c r="Y21" s="98"/>
      <c r="Z21" s="98"/>
      <c r="AA21" s="98"/>
      <c r="AB21" s="98"/>
      <c r="AC21" s="98"/>
      <c r="AD21" s="98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D9"/>
    <mergeCell ref="AE2:AE8"/>
  </mergeCells>
  <dataValidations count="11">
    <dataValidation type="list" allowBlank="1" showInputMessage="1" showErrorMessage="1" sqref="J3:J4 J10:J21">
      <formula1>israel_abroad</formula1>
    </dataValidation>
    <dataValidation type="list" allowBlank="1" showInputMessage="1" showErrorMessage="1" sqref="L3:L4 L10:L21">
      <formula1>Holding_interest</formula1>
    </dataValidation>
    <dataValidation type="list" allowBlank="1" showInputMessage="1" showErrorMessage="1" sqref="P3:P4 P10:P21">
      <formula1>Rating_Agency</formula1>
    </dataValidation>
    <dataValidation type="list" allowBlank="1" showInputMessage="1" showErrorMessage="1" sqref="Q3:Q4 Q10:Q21">
      <formula1>What_is_rated</formula1>
    </dataValidation>
    <dataValidation type="list" allowBlank="1" showInputMessage="1" showErrorMessage="1" sqref="V3:V4 V10:V21">
      <formula1>Valuation</formula1>
    </dataValidation>
    <dataValidation type="list" allowBlank="1" showInputMessage="1" showErrorMessage="1" sqref="W3:W4 W10:W21">
      <formula1>Dependence_Independence</formula1>
    </dataValidation>
    <dataValidation type="list" allowBlank="1" showInputMessage="1" showErrorMessage="1" sqref="K3:K4 K10:K21">
      <formula1>Country_list</formula1>
    </dataValidation>
    <dataValidation type="list" allowBlank="1" showInputMessage="1" showErrorMessage="1" sqref="H3:H4 H10:H21">
      <formula1>Type_of_Security_ID_Fund</formula1>
    </dataValidation>
    <dataValidation type="list" allowBlank="1" showInputMessage="1" showErrorMessage="1" sqref="M10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 E10:E21">
      <formula1>Issuer_Number_Type_2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I3:I4 I10:I21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X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" style="2" customWidth="1"/>
    <col min="4" max="4" width="13.75" style="2" customWidth="1"/>
    <col min="5" max="5" width="16.5" style="4" customWidth="1"/>
    <col min="6" max="6" width="11.5" style="2" customWidth="1"/>
    <col min="7" max="7" width="17" style="2" customWidth="1"/>
    <col min="8" max="8" width="10.625" style="2" customWidth="1"/>
    <col min="9" max="9" width="19.875" style="2" customWidth="1"/>
    <col min="10" max="10" width="15.125" style="2" customWidth="1"/>
    <col min="11" max="11" width="10.25" style="2" customWidth="1"/>
    <col min="12" max="12" width="9" style="2" customWidth="1"/>
    <col min="13" max="13" width="11.75" style="2" customWidth="1"/>
    <col min="14" max="14" width="6.5" style="2" customWidth="1"/>
    <col min="15" max="15" width="11.125" style="2" customWidth="1"/>
    <col min="16" max="16" width="12.25" style="2" customWidth="1"/>
    <col min="17" max="17" width="10.25" style="2" customWidth="1"/>
    <col min="18" max="18" width="10.5" style="2" customWidth="1"/>
    <col min="19" max="19" width="10.625" style="2" customWidth="1"/>
    <col min="20" max="20" width="17.875" style="2" customWidth="1"/>
    <col min="21" max="21" width="21.75" style="2" customWidth="1"/>
    <col min="22" max="22" width="20.125" style="2" customWidth="1"/>
    <col min="23" max="23" width="9" style="2"/>
    <col min="25" max="16384" width="9" style="2"/>
  </cols>
  <sheetData>
    <row r="1" spans="1:23" x14ac:dyDescent="0.2">
      <c r="A1" s="2" t="s">
        <v>3897</v>
      </c>
    </row>
    <row r="2" spans="1:23" ht="66.75" customHeight="1" x14ac:dyDescent="0.2">
      <c r="A2" s="139" t="s">
        <v>49</v>
      </c>
      <c r="B2" s="140" t="s">
        <v>50</v>
      </c>
      <c r="C2" s="140" t="s">
        <v>51</v>
      </c>
      <c r="D2" s="140" t="s">
        <v>52</v>
      </c>
      <c r="E2" s="140" t="s">
        <v>53</v>
      </c>
      <c r="F2" s="140" t="s">
        <v>54</v>
      </c>
      <c r="G2" s="140" t="s">
        <v>173</v>
      </c>
      <c r="H2" s="140" t="s">
        <v>55</v>
      </c>
      <c r="I2" s="140" t="s">
        <v>69</v>
      </c>
      <c r="J2" s="140" t="s">
        <v>56</v>
      </c>
      <c r="K2" s="140" t="s">
        <v>57</v>
      </c>
      <c r="L2" s="140" t="s">
        <v>58</v>
      </c>
      <c r="M2" s="140" t="s">
        <v>59</v>
      </c>
      <c r="N2" s="140" t="s">
        <v>72</v>
      </c>
      <c r="O2" s="140" t="s">
        <v>62</v>
      </c>
      <c r="P2" s="140" t="s">
        <v>74</v>
      </c>
      <c r="Q2" s="140" t="s">
        <v>60</v>
      </c>
      <c r="R2" s="140" t="s">
        <v>61</v>
      </c>
      <c r="S2" s="140" t="s">
        <v>174</v>
      </c>
      <c r="T2" s="140" t="s">
        <v>63</v>
      </c>
      <c r="U2" s="140" t="s">
        <v>64</v>
      </c>
      <c r="V2" s="141" t="s">
        <v>65</v>
      </c>
      <c r="W2" s="181" t="s">
        <v>3871</v>
      </c>
    </row>
    <row r="3" spans="1:23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45" t="s">
        <v>3853</v>
      </c>
      <c r="S3" s="145" t="s">
        <v>3853</v>
      </c>
      <c r="T3" s="145" t="s">
        <v>3853</v>
      </c>
      <c r="U3" s="145" t="s">
        <v>3853</v>
      </c>
      <c r="V3" s="156" t="s">
        <v>3853</v>
      </c>
      <c r="W3" s="181"/>
    </row>
    <row r="4" spans="1:23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45" t="s">
        <v>3853</v>
      </c>
      <c r="S4" s="145" t="s">
        <v>3853</v>
      </c>
      <c r="T4" s="145" t="s">
        <v>3853</v>
      </c>
      <c r="U4" s="145" t="s">
        <v>3853</v>
      </c>
      <c r="V4" s="156" t="s">
        <v>3853</v>
      </c>
      <c r="W4" s="181"/>
    </row>
    <row r="5" spans="1:23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45" t="s">
        <v>3853</v>
      </c>
      <c r="S5" s="145" t="s">
        <v>3853</v>
      </c>
      <c r="T5" s="145" t="s">
        <v>3853</v>
      </c>
      <c r="U5" s="145" t="s">
        <v>3853</v>
      </c>
      <c r="V5" s="156" t="s">
        <v>3853</v>
      </c>
      <c r="W5" s="181"/>
    </row>
    <row r="6" spans="1:23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45" t="s">
        <v>3853</v>
      </c>
      <c r="S6" s="145" t="s">
        <v>3853</v>
      </c>
      <c r="T6" s="145" t="s">
        <v>3853</v>
      </c>
      <c r="U6" s="145" t="s">
        <v>3853</v>
      </c>
      <c r="V6" s="156" t="s">
        <v>3853</v>
      </c>
      <c r="W6" s="181"/>
    </row>
    <row r="7" spans="1:23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56" t="s">
        <v>3853</v>
      </c>
      <c r="W7" s="181"/>
    </row>
    <row r="8" spans="1:23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1" t="s">
        <v>3853</v>
      </c>
      <c r="S8" s="151" t="s">
        <v>3853</v>
      </c>
      <c r="T8" s="151" t="s">
        <v>3853</v>
      </c>
      <c r="U8" s="151" t="s">
        <v>3853</v>
      </c>
      <c r="V8" s="159" t="s">
        <v>3853</v>
      </c>
      <c r="W8" s="181"/>
    </row>
    <row r="9" spans="1:23" x14ac:dyDescent="0.2">
      <c r="A9" s="185" t="s">
        <v>3870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</row>
    <row r="10" spans="1:23" x14ac:dyDescent="0.2">
      <c r="A10" s="99" t="s">
        <v>3869</v>
      </c>
      <c r="B10" s="99"/>
      <c r="C10" s="99"/>
      <c r="D10" s="98"/>
      <c r="E10" s="16"/>
      <c r="F10" s="99"/>
      <c r="G10" s="99"/>
      <c r="H10" s="16"/>
      <c r="I10" s="16"/>
      <c r="J10" s="99"/>
      <c r="K10" s="99"/>
      <c r="L10" s="98"/>
      <c r="M10" s="16"/>
      <c r="N10" s="99"/>
      <c r="O10" s="99"/>
      <c r="P10" s="99"/>
      <c r="Q10" s="98"/>
      <c r="R10" s="99"/>
      <c r="S10" s="99"/>
      <c r="T10" s="99"/>
      <c r="U10" s="99"/>
      <c r="V10" s="99"/>
    </row>
    <row r="11" spans="1:23" x14ac:dyDescent="0.2">
      <c r="A11" s="179"/>
      <c r="B11" s="99"/>
      <c r="C11" s="99"/>
      <c r="D11" s="98"/>
      <c r="E11" s="16"/>
      <c r="F11" s="99"/>
      <c r="G11" s="99"/>
      <c r="H11" s="16"/>
      <c r="I11" s="16"/>
      <c r="J11" s="99"/>
      <c r="K11" s="99"/>
      <c r="L11" s="98"/>
      <c r="M11" s="16"/>
      <c r="N11" s="99"/>
      <c r="O11" s="99"/>
      <c r="P11" s="99"/>
      <c r="Q11" s="98"/>
      <c r="R11" s="99"/>
      <c r="S11" s="99"/>
      <c r="T11" s="99"/>
      <c r="U11" s="99"/>
      <c r="V11" s="99"/>
    </row>
    <row r="12" spans="1:23" x14ac:dyDescent="0.2">
      <c r="A12" s="99"/>
      <c r="B12" s="99"/>
      <c r="C12" s="99"/>
      <c r="D12" s="98"/>
      <c r="E12" s="16"/>
      <c r="F12" s="99"/>
      <c r="G12" s="99"/>
      <c r="H12" s="16"/>
      <c r="I12" s="16"/>
      <c r="J12" s="99"/>
      <c r="K12" s="99"/>
      <c r="L12" s="98"/>
      <c r="M12" s="16"/>
      <c r="N12" s="99"/>
      <c r="O12" s="99"/>
      <c r="P12" s="99"/>
      <c r="Q12" s="98"/>
      <c r="R12" s="99"/>
      <c r="S12" s="99"/>
      <c r="T12" s="99"/>
      <c r="U12" s="99"/>
      <c r="V12" s="99"/>
    </row>
    <row r="13" spans="1:23" x14ac:dyDescent="0.2">
      <c r="A13" s="99"/>
      <c r="B13" s="99"/>
      <c r="C13" s="99"/>
      <c r="D13" s="98"/>
      <c r="E13" s="16"/>
      <c r="F13" s="99"/>
      <c r="G13" s="99"/>
      <c r="H13" s="16"/>
      <c r="I13" s="16"/>
      <c r="J13" s="99"/>
      <c r="K13" s="99"/>
      <c r="L13" s="98"/>
      <c r="M13" s="16"/>
      <c r="N13" s="99"/>
      <c r="O13" s="99"/>
      <c r="P13" s="99"/>
      <c r="Q13" s="98"/>
      <c r="R13" s="99"/>
      <c r="S13" s="99"/>
      <c r="T13" s="99"/>
      <c r="U13" s="99"/>
      <c r="V13" s="99"/>
    </row>
    <row r="14" spans="1:23" x14ac:dyDescent="0.2">
      <c r="A14" s="99"/>
      <c r="B14" s="99"/>
      <c r="C14" s="99"/>
      <c r="D14" s="98"/>
      <c r="E14" s="16"/>
      <c r="F14" s="99"/>
      <c r="G14" s="99"/>
      <c r="H14" s="16"/>
      <c r="I14" s="16"/>
      <c r="J14" s="99"/>
      <c r="K14" s="99"/>
      <c r="L14" s="98"/>
      <c r="M14" s="16"/>
      <c r="N14" s="99"/>
      <c r="O14" s="99"/>
      <c r="P14" s="99"/>
      <c r="Q14" s="98"/>
      <c r="R14" s="99"/>
      <c r="S14" s="99"/>
      <c r="T14" s="99"/>
      <c r="U14" s="99"/>
      <c r="V14" s="99"/>
    </row>
    <row r="15" spans="1:23" x14ac:dyDescent="0.2">
      <c r="A15" s="99"/>
      <c r="B15" s="99"/>
      <c r="C15" s="99"/>
      <c r="D15" s="98"/>
      <c r="E15" s="16"/>
      <c r="F15" s="99"/>
      <c r="G15" s="99"/>
      <c r="H15" s="16"/>
      <c r="I15" s="16"/>
      <c r="J15" s="99"/>
      <c r="K15" s="99"/>
      <c r="L15" s="98"/>
      <c r="M15" s="16"/>
      <c r="N15" s="99"/>
      <c r="O15" s="99"/>
      <c r="P15" s="99"/>
      <c r="Q15" s="98"/>
      <c r="R15" s="99"/>
      <c r="S15" s="99"/>
      <c r="T15" s="99"/>
      <c r="U15" s="99"/>
      <c r="V15" s="99"/>
    </row>
    <row r="16" spans="1:23" x14ac:dyDescent="0.2">
      <c r="A16" s="99"/>
      <c r="B16" s="99"/>
      <c r="C16" s="99"/>
      <c r="D16" s="98"/>
      <c r="E16" s="16"/>
      <c r="F16" s="99"/>
      <c r="G16" s="99"/>
      <c r="H16" s="16"/>
      <c r="I16" s="16"/>
      <c r="J16" s="99"/>
      <c r="K16" s="99"/>
      <c r="L16" s="98"/>
      <c r="M16" s="16"/>
      <c r="N16" s="99"/>
      <c r="O16" s="99"/>
      <c r="P16" s="99"/>
      <c r="Q16" s="98"/>
      <c r="R16" s="99"/>
      <c r="S16" s="99"/>
      <c r="T16" s="99"/>
      <c r="U16" s="99"/>
      <c r="V16" s="99"/>
    </row>
    <row r="17" spans="1:22" x14ac:dyDescent="0.2">
      <c r="A17" s="99"/>
      <c r="B17" s="99"/>
      <c r="C17" s="99"/>
      <c r="D17" s="98"/>
      <c r="E17" s="16"/>
      <c r="F17" s="99"/>
      <c r="G17" s="99"/>
      <c r="H17" s="16"/>
      <c r="I17" s="16"/>
      <c r="J17" s="99"/>
      <c r="K17" s="99"/>
      <c r="L17" s="98"/>
      <c r="M17" s="16"/>
      <c r="N17" s="99"/>
      <c r="O17" s="99"/>
      <c r="P17" s="99"/>
      <c r="Q17" s="98"/>
      <c r="R17" s="99"/>
      <c r="S17" s="99"/>
      <c r="T17" s="99"/>
      <c r="U17" s="99"/>
      <c r="V17" s="99"/>
    </row>
    <row r="18" spans="1:22" x14ac:dyDescent="0.2">
      <c r="A18" s="99"/>
      <c r="B18" s="99"/>
      <c r="C18" s="99"/>
      <c r="D18" s="98"/>
      <c r="E18" s="16"/>
      <c r="F18" s="99"/>
      <c r="G18" s="99"/>
      <c r="H18" s="16"/>
      <c r="I18" s="16"/>
      <c r="J18" s="99"/>
      <c r="K18" s="99"/>
      <c r="L18" s="98"/>
      <c r="M18" s="16"/>
      <c r="N18" s="99"/>
      <c r="O18" s="99"/>
      <c r="P18" s="99"/>
      <c r="Q18" s="98"/>
      <c r="R18" s="99"/>
      <c r="S18" s="99"/>
      <c r="T18" s="99"/>
      <c r="U18" s="99"/>
      <c r="V18" s="99"/>
    </row>
    <row r="19" spans="1:22" x14ac:dyDescent="0.2">
      <c r="A19" s="99"/>
      <c r="B19" s="99"/>
      <c r="C19" s="99"/>
      <c r="D19" s="98"/>
      <c r="E19" s="16"/>
      <c r="F19" s="99"/>
      <c r="G19" s="99"/>
      <c r="H19" s="16"/>
      <c r="I19" s="16"/>
      <c r="J19" s="99"/>
      <c r="K19" s="99"/>
      <c r="L19" s="98"/>
      <c r="M19" s="16"/>
      <c r="N19" s="99"/>
      <c r="O19" s="99"/>
      <c r="P19" s="99"/>
      <c r="Q19" s="98"/>
      <c r="R19" s="99"/>
      <c r="S19" s="99"/>
      <c r="T19" s="99"/>
      <c r="U19" s="99"/>
      <c r="V19" s="99"/>
    </row>
    <row r="20" spans="1:22" x14ac:dyDescent="0.2">
      <c r="A20" s="99"/>
      <c r="B20" s="99"/>
      <c r="C20" s="99"/>
      <c r="D20" s="98"/>
      <c r="E20" s="16"/>
      <c r="F20" s="99"/>
      <c r="G20" s="99"/>
      <c r="H20" s="16"/>
      <c r="I20" s="16"/>
      <c r="J20" s="99"/>
      <c r="K20" s="99"/>
      <c r="L20" s="98"/>
      <c r="M20" s="16"/>
      <c r="N20" s="99"/>
      <c r="O20" s="99"/>
      <c r="P20" s="99"/>
      <c r="Q20" s="98"/>
      <c r="R20" s="99"/>
      <c r="S20" s="99"/>
      <c r="T20" s="99"/>
      <c r="U20" s="99"/>
      <c r="V20" s="99"/>
    </row>
    <row r="21" spans="1:22" x14ac:dyDescent="0.2">
      <c r="A21" s="98"/>
      <c r="B21" s="98"/>
      <c r="C21" s="98"/>
      <c r="D21" s="98"/>
      <c r="E21" s="16"/>
      <c r="F21" s="99"/>
      <c r="G21" s="98"/>
      <c r="H21" s="16"/>
      <c r="I21" s="16"/>
      <c r="J21" s="99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</row>
    <row r="22" spans="1:22" x14ac:dyDescent="0.2">
      <c r="A22" s="98"/>
      <c r="B22" s="98"/>
      <c r="C22" s="98"/>
      <c r="D22" s="98"/>
      <c r="F22" s="98"/>
      <c r="G22" s="98"/>
      <c r="H22" s="98"/>
      <c r="I22" s="98"/>
      <c r="J22" s="98"/>
      <c r="K22" s="98"/>
      <c r="L22"/>
      <c r="M22" s="98"/>
      <c r="N22" s="98"/>
      <c r="O22" s="98"/>
      <c r="P22" s="98"/>
      <c r="Q22" s="98"/>
      <c r="R22" s="98"/>
      <c r="S22" s="98"/>
      <c r="T22" s="98"/>
      <c r="U22" s="98"/>
      <c r="V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10:H21">
      <formula1>israel_abroad</formula1>
    </dataValidation>
    <dataValidation type="list" allowBlank="1" showInputMessage="1" showErrorMessage="1" sqref="J10:J21">
      <formula1>Holding_interest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E10:E21">
      <formula1>Issuer_Number_Banks</formula1>
    </dataValidation>
    <dataValidation type="list" allowBlank="1" showInputMessage="1" showErrorMessage="1" sqref="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8.875" style="2" customWidth="1"/>
    <col min="4" max="4" width="11.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3898</v>
      </c>
    </row>
    <row r="2" spans="1:25" ht="66.75" customHeight="1" x14ac:dyDescent="0.2">
      <c r="A2" s="139" t="s">
        <v>49</v>
      </c>
      <c r="B2" s="140" t="s">
        <v>50</v>
      </c>
      <c r="C2" s="140" t="s">
        <v>175</v>
      </c>
      <c r="D2" s="140" t="s">
        <v>54</v>
      </c>
      <c r="E2" s="140" t="s">
        <v>176</v>
      </c>
      <c r="F2" s="140" t="s">
        <v>56</v>
      </c>
      <c r="G2" s="140" t="s">
        <v>97</v>
      </c>
      <c r="H2" s="140" t="s">
        <v>177</v>
      </c>
      <c r="I2" s="140" t="s">
        <v>178</v>
      </c>
      <c r="J2" s="140" t="s">
        <v>179</v>
      </c>
      <c r="K2" s="140" t="s">
        <v>180</v>
      </c>
      <c r="L2" s="140" t="s">
        <v>181</v>
      </c>
      <c r="M2" s="140" t="s">
        <v>103</v>
      </c>
      <c r="N2" s="140" t="s">
        <v>105</v>
      </c>
      <c r="O2" s="140" t="s">
        <v>104</v>
      </c>
      <c r="P2" s="140" t="s">
        <v>106</v>
      </c>
      <c r="Q2" s="140" t="s">
        <v>59</v>
      </c>
      <c r="R2" s="140" t="s">
        <v>172</v>
      </c>
      <c r="S2" s="140" t="s">
        <v>63</v>
      </c>
      <c r="T2" s="140" t="s">
        <v>78</v>
      </c>
      <c r="U2" s="140" t="s">
        <v>88</v>
      </c>
      <c r="V2" s="140" t="s">
        <v>17</v>
      </c>
      <c r="W2" s="140" t="s">
        <v>64</v>
      </c>
      <c r="X2" s="141" t="s">
        <v>65</v>
      </c>
      <c r="Y2" s="181" t="s">
        <v>3871</v>
      </c>
    </row>
    <row r="3" spans="1:25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45" t="s">
        <v>3853</v>
      </c>
      <c r="S3" s="145" t="s">
        <v>3853</v>
      </c>
      <c r="T3" s="145" t="s">
        <v>3853</v>
      </c>
      <c r="U3" s="145" t="s">
        <v>3853</v>
      </c>
      <c r="V3" s="145" t="s">
        <v>3853</v>
      </c>
      <c r="W3" s="145" t="s">
        <v>3853</v>
      </c>
      <c r="X3" s="156" t="s">
        <v>3853</v>
      </c>
      <c r="Y3" s="181"/>
    </row>
    <row r="4" spans="1:25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45" t="s">
        <v>3853</v>
      </c>
      <c r="S4" s="145" t="s">
        <v>3853</v>
      </c>
      <c r="T4" s="145" t="s">
        <v>3853</v>
      </c>
      <c r="U4" s="145" t="s">
        <v>3853</v>
      </c>
      <c r="V4" s="145" t="s">
        <v>3853</v>
      </c>
      <c r="W4" s="145" t="s">
        <v>3853</v>
      </c>
      <c r="X4" s="156" t="s">
        <v>3853</v>
      </c>
      <c r="Y4" s="181"/>
    </row>
    <row r="5" spans="1:25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45" t="s">
        <v>3853</v>
      </c>
      <c r="S5" s="145" t="s">
        <v>3853</v>
      </c>
      <c r="T5" s="145" t="s">
        <v>3853</v>
      </c>
      <c r="U5" s="145" t="s">
        <v>3853</v>
      </c>
      <c r="V5" s="145" t="s">
        <v>3853</v>
      </c>
      <c r="W5" s="145" t="s">
        <v>3853</v>
      </c>
      <c r="X5" s="156" t="s">
        <v>3853</v>
      </c>
      <c r="Y5" s="181"/>
    </row>
    <row r="6" spans="1:25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45" t="s">
        <v>3853</v>
      </c>
      <c r="S6" s="145" t="s">
        <v>3853</v>
      </c>
      <c r="T6" s="145" t="s">
        <v>3853</v>
      </c>
      <c r="U6" s="145" t="s">
        <v>3853</v>
      </c>
      <c r="V6" s="145" t="s">
        <v>3853</v>
      </c>
      <c r="W6" s="145" t="s">
        <v>3853</v>
      </c>
      <c r="X6" s="156" t="s">
        <v>3853</v>
      </c>
      <c r="Y6" s="181"/>
    </row>
    <row r="7" spans="1:25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45" t="s">
        <v>3853</v>
      </c>
      <c r="W7" s="145" t="s">
        <v>3853</v>
      </c>
      <c r="X7" s="156" t="s">
        <v>3853</v>
      </c>
      <c r="Y7" s="181"/>
    </row>
    <row r="8" spans="1:25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1" t="s">
        <v>3853</v>
      </c>
      <c r="S8" s="151" t="s">
        <v>3853</v>
      </c>
      <c r="T8" s="151" t="s">
        <v>3853</v>
      </c>
      <c r="U8" s="151" t="s">
        <v>3853</v>
      </c>
      <c r="V8" s="151" t="s">
        <v>3853</v>
      </c>
      <c r="W8" s="151" t="s">
        <v>3853</v>
      </c>
      <c r="X8" s="159" t="s">
        <v>3853</v>
      </c>
      <c r="Y8" s="181"/>
    </row>
    <row r="9" spans="1:25" x14ac:dyDescent="0.2">
      <c r="A9" s="185" t="s">
        <v>3870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</row>
    <row r="10" spans="1:25" x14ac:dyDescent="0.2">
      <c r="A10" s="99" t="s">
        <v>3869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</row>
    <row r="11" spans="1:25" x14ac:dyDescent="0.2">
      <c r="A11" s="17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</row>
    <row r="12" spans="1:25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</row>
    <row r="13" spans="1:25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9"/>
      <c r="E21" s="99"/>
      <c r="F21" s="99"/>
      <c r="G21" s="98"/>
      <c r="H21" s="99"/>
      <c r="I21" s="99"/>
      <c r="J21" s="98"/>
      <c r="K21" s="98"/>
      <c r="L21" s="99"/>
      <c r="M21" s="99"/>
      <c r="N21" s="98"/>
      <c r="O21" s="99"/>
      <c r="P21" s="98"/>
      <c r="Q21" s="98"/>
      <c r="R21" s="98"/>
      <c r="S21" s="98"/>
      <c r="T21" s="98"/>
      <c r="U21" s="98"/>
      <c r="V21" s="99"/>
      <c r="W21" s="98"/>
      <c r="X21" s="98"/>
    </row>
    <row r="22" spans="1:24" x14ac:dyDescent="0.2">
      <c r="A22" s="98"/>
      <c r="B22" s="98"/>
      <c r="C22" s="98"/>
      <c r="D22" s="99"/>
      <c r="E22" s="99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10:F21">
      <formula1>Holding_interest</formula1>
    </dataValidation>
    <dataValidation type="list" allowBlank="1" showInputMessage="1" showErrorMessage="1" sqref="V10:V21">
      <formula1>In_the_books</formula1>
    </dataValidation>
    <dataValidation type="list" allowBlank="1" showInputMessage="1" showErrorMessage="1" sqref="L10:L21">
      <formula1>Valuation_Method</formula1>
    </dataValidation>
    <dataValidation type="list" allowBlank="1" showInputMessage="1" showErrorMessage="1" sqref="O10:O21">
      <formula1>Dependence_Independence</formula1>
    </dataValidation>
    <dataValidation type="list" allowBlank="1" showInputMessage="1" showErrorMessage="1" sqref="E10:E22">
      <formula1>Country_list</formula1>
    </dataValidation>
    <dataValidation type="list" allowBlank="1" showInputMessage="1" showErrorMessage="1" sqref="I10:I21">
      <formula1>real_estate_lifestage</formula1>
    </dataValidation>
    <dataValidation type="list" allowBlank="1" showInputMessage="1" showErrorMessage="1" sqref="M10:M21">
      <formula1>Valuation_Realestate</formula1>
    </dataValidation>
    <dataValidation type="list" allowBlank="1" showInputMessage="1" showErrorMessage="1" sqref="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3899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56</v>
      </c>
      <c r="N2" s="140" t="s">
        <v>59</v>
      </c>
      <c r="O2" s="140" t="s">
        <v>103</v>
      </c>
      <c r="P2" s="140" t="s">
        <v>104</v>
      </c>
      <c r="Q2" s="140" t="s">
        <v>106</v>
      </c>
      <c r="R2" s="140" t="s">
        <v>107</v>
      </c>
      <c r="S2" s="140" t="s">
        <v>182</v>
      </c>
      <c r="T2" s="140" t="s">
        <v>183</v>
      </c>
      <c r="U2" s="140" t="s">
        <v>63</v>
      </c>
      <c r="V2" s="140" t="s">
        <v>64</v>
      </c>
      <c r="W2" s="141" t="s">
        <v>65</v>
      </c>
      <c r="X2" s="181" t="s">
        <v>3871</v>
      </c>
    </row>
    <row r="3" spans="1:24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45" t="s">
        <v>3853</v>
      </c>
      <c r="S3" s="145" t="s">
        <v>3853</v>
      </c>
      <c r="T3" s="145" t="s">
        <v>3853</v>
      </c>
      <c r="U3" s="145" t="s">
        <v>3853</v>
      </c>
      <c r="V3" s="145" t="s">
        <v>3853</v>
      </c>
      <c r="W3" s="156" t="s">
        <v>3853</v>
      </c>
      <c r="X3" s="181"/>
    </row>
    <row r="4" spans="1:24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45" t="s">
        <v>3853</v>
      </c>
      <c r="S4" s="145" t="s">
        <v>3853</v>
      </c>
      <c r="T4" s="145" t="s">
        <v>3853</v>
      </c>
      <c r="U4" s="145" t="s">
        <v>3853</v>
      </c>
      <c r="V4" s="145" t="s">
        <v>3853</v>
      </c>
      <c r="W4" s="156" t="s">
        <v>3853</v>
      </c>
      <c r="X4" s="181"/>
    </row>
    <row r="5" spans="1:24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45" t="s">
        <v>3853</v>
      </c>
      <c r="S5" s="145" t="s">
        <v>3853</v>
      </c>
      <c r="T5" s="145" t="s">
        <v>3853</v>
      </c>
      <c r="U5" s="145" t="s">
        <v>3853</v>
      </c>
      <c r="V5" s="145" t="s">
        <v>3853</v>
      </c>
      <c r="W5" s="156" t="s">
        <v>3853</v>
      </c>
      <c r="X5" s="181"/>
    </row>
    <row r="6" spans="1:24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45" t="s">
        <v>3853</v>
      </c>
      <c r="S6" s="145" t="s">
        <v>3853</v>
      </c>
      <c r="T6" s="145" t="s">
        <v>3853</v>
      </c>
      <c r="U6" s="145" t="s">
        <v>3853</v>
      </c>
      <c r="V6" s="145" t="s">
        <v>3853</v>
      </c>
      <c r="W6" s="156" t="s">
        <v>3853</v>
      </c>
      <c r="X6" s="181"/>
    </row>
    <row r="7" spans="1:24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45" t="s">
        <v>3853</v>
      </c>
      <c r="U7" s="145" t="s">
        <v>3853</v>
      </c>
      <c r="V7" s="145" t="s">
        <v>3853</v>
      </c>
      <c r="W7" s="156" t="s">
        <v>3853</v>
      </c>
      <c r="X7" s="181"/>
    </row>
    <row r="8" spans="1:24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1" t="s">
        <v>3853</v>
      </c>
      <c r="S8" s="151" t="s">
        <v>3853</v>
      </c>
      <c r="T8" s="151" t="s">
        <v>3853</v>
      </c>
      <c r="U8" s="151" t="s">
        <v>3853</v>
      </c>
      <c r="V8" s="151" t="s">
        <v>3853</v>
      </c>
      <c r="W8" s="159" t="s">
        <v>3853</v>
      </c>
      <c r="X8" s="181"/>
    </row>
    <row r="9" spans="1:24" x14ac:dyDescent="0.2">
      <c r="A9" s="185" t="s">
        <v>3870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</row>
    <row r="10" spans="1:24" x14ac:dyDescent="0.2">
      <c r="A10" s="99" t="s">
        <v>3869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16"/>
      <c r="O10" s="99"/>
      <c r="P10" s="99"/>
      <c r="Q10" s="99"/>
      <c r="R10" s="99"/>
      <c r="S10" s="99"/>
      <c r="T10" s="99"/>
      <c r="U10" s="99"/>
      <c r="V10" s="99"/>
      <c r="W10" s="99"/>
    </row>
    <row r="11" spans="1:24" x14ac:dyDescent="0.2">
      <c r="A11" s="179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16"/>
      <c r="O11" s="99"/>
      <c r="P11" s="99"/>
      <c r="Q11" s="99"/>
      <c r="R11" s="99"/>
      <c r="S11" s="99"/>
      <c r="T11" s="99"/>
      <c r="U11" s="99"/>
      <c r="V11" s="99"/>
      <c r="W11" s="99"/>
    </row>
    <row r="12" spans="1:24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16"/>
      <c r="O12" s="99"/>
      <c r="P12" s="99"/>
      <c r="Q12" s="99"/>
      <c r="R12" s="99"/>
      <c r="S12" s="99"/>
      <c r="T12" s="99"/>
      <c r="U12" s="99"/>
      <c r="V12" s="99"/>
      <c r="W12" s="99"/>
    </row>
    <row r="13" spans="1:24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16"/>
      <c r="O13" s="99"/>
      <c r="P13" s="99"/>
      <c r="Q13" s="99"/>
      <c r="R13" s="99"/>
      <c r="S13" s="99"/>
      <c r="T13" s="99"/>
      <c r="U13" s="99"/>
      <c r="V13" s="99"/>
      <c r="W13" s="99"/>
    </row>
    <row r="14" spans="1:24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16"/>
      <c r="O14" s="99"/>
      <c r="P14" s="99"/>
      <c r="Q14" s="99"/>
      <c r="R14" s="99"/>
      <c r="S14" s="99"/>
      <c r="T14" s="99"/>
      <c r="U14" s="99"/>
      <c r="V14" s="99"/>
      <c r="W14" s="99"/>
    </row>
    <row r="15" spans="1:24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16"/>
      <c r="O15" s="99"/>
      <c r="P15" s="99"/>
      <c r="Q15" s="99"/>
      <c r="R15" s="99"/>
      <c r="S15" s="99"/>
      <c r="T15" s="99"/>
      <c r="U15" s="99"/>
      <c r="V15" s="99"/>
      <c r="W15" s="99"/>
    </row>
    <row r="16" spans="1:24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  <c r="U16" s="99"/>
      <c r="V16" s="99"/>
      <c r="W16" s="99"/>
    </row>
    <row r="17" spans="1:23" ht="15" x14ac:dyDescent="0.25">
      <c r="A17" s="23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  <c r="U17" s="99"/>
      <c r="V17" s="99"/>
      <c r="W17" s="99"/>
    </row>
    <row r="18" spans="1:23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  <c r="U18" s="99"/>
      <c r="V18" s="99"/>
      <c r="W18" s="99"/>
    </row>
    <row r="19" spans="1:23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  <c r="U19" s="99"/>
      <c r="V19" s="99"/>
      <c r="W19" s="99"/>
    </row>
    <row r="20" spans="1:23" x14ac:dyDescent="0.2">
      <c r="A20" s="99"/>
      <c r="B20" s="99"/>
      <c r="C20" s="99"/>
      <c r="D20" s="99"/>
      <c r="E20" s="16"/>
      <c r="F20" s="99"/>
      <c r="G20" s="99"/>
      <c r="H20" s="99"/>
      <c r="I20" s="98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  <c r="U20" s="99"/>
      <c r="V20" s="99"/>
      <c r="W20" s="99"/>
    </row>
    <row r="21" spans="1:23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9"/>
      <c r="Q21" s="98"/>
      <c r="R21" s="98"/>
      <c r="S21" s="98"/>
      <c r="T21" s="98"/>
      <c r="U21" s="98"/>
      <c r="V21" s="98"/>
      <c r="W21" s="98"/>
    </row>
    <row r="22" spans="1:23" customFormat="1" x14ac:dyDescent="0.2"/>
    <row r="23" spans="1:23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9">
    <dataValidation type="list" allowBlank="1" showInputMessage="1" showErrorMessage="1" sqref="J10:J21">
      <formula1>israel_abroad</formula1>
    </dataValidation>
    <dataValidation type="list" allowBlank="1" showInputMessage="1" showErrorMessage="1" sqref="M10:M21">
      <formula1>Holding_interest</formula1>
    </dataValidation>
    <dataValidation type="list" allowBlank="1" showInputMessage="1" showErrorMessage="1" sqref="O10:O21">
      <formula1>Valuation</formula1>
    </dataValidation>
    <dataValidation type="list" allowBlank="1" showInputMessage="1" showErrorMessage="1" sqref="P10:P21">
      <formula1>Dependence_Independence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25" style="2" customWidth="1"/>
    <col min="4" max="4" width="14.875" style="2" customWidth="1"/>
    <col min="5" max="5" width="11.5" style="2" customWidth="1"/>
    <col min="6" max="6" width="10.625" style="2" customWidth="1"/>
    <col min="7" max="7" width="19.875" style="2" customWidth="1"/>
    <col min="8" max="8" width="15.125" style="2" customWidth="1"/>
    <col min="9" max="9" width="11.5" style="2" customWidth="1"/>
    <col min="10" max="10" width="11.75" style="2" customWidth="1"/>
    <col min="11" max="11" width="16.375" style="2" customWidth="1"/>
    <col min="12" max="12" width="10.25" style="2" customWidth="1"/>
    <col min="13" max="13" width="10.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3900</v>
      </c>
    </row>
    <row r="2" spans="1:19" ht="66.75" customHeight="1" x14ac:dyDescent="0.2">
      <c r="A2" s="139" t="s">
        <v>49</v>
      </c>
      <c r="B2" s="140" t="s">
        <v>50</v>
      </c>
      <c r="C2" s="140" t="s">
        <v>184</v>
      </c>
      <c r="D2" s="140" t="s">
        <v>185</v>
      </c>
      <c r="E2" s="140" t="s">
        <v>54</v>
      </c>
      <c r="F2" s="140" t="s">
        <v>55</v>
      </c>
      <c r="G2" s="140" t="s">
        <v>69</v>
      </c>
      <c r="H2" s="140" t="s">
        <v>56</v>
      </c>
      <c r="I2" s="140" t="s">
        <v>186</v>
      </c>
      <c r="J2" s="140" t="s">
        <v>59</v>
      </c>
      <c r="K2" s="140" t="s">
        <v>106</v>
      </c>
      <c r="L2" s="140" t="s">
        <v>60</v>
      </c>
      <c r="M2" s="140" t="s">
        <v>61</v>
      </c>
      <c r="N2" s="140" t="s">
        <v>63</v>
      </c>
      <c r="O2" s="140" t="s">
        <v>78</v>
      </c>
      <c r="P2" s="140" t="s">
        <v>17</v>
      </c>
      <c r="Q2" s="140" t="s">
        <v>64</v>
      </c>
      <c r="R2" s="141" t="s">
        <v>65</v>
      </c>
      <c r="S2" s="181" t="s">
        <v>3871</v>
      </c>
    </row>
    <row r="3" spans="1:19" ht="15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56" t="s">
        <v>3853</v>
      </c>
      <c r="S3" s="181"/>
    </row>
    <row r="4" spans="1:19" ht="15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56" t="s">
        <v>3853</v>
      </c>
      <c r="S4" s="181"/>
    </row>
    <row r="5" spans="1:19" ht="15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56" t="s">
        <v>3853</v>
      </c>
      <c r="S5" s="181"/>
    </row>
    <row r="6" spans="1:19" ht="15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56" t="s">
        <v>3853</v>
      </c>
      <c r="S6" s="181"/>
    </row>
    <row r="7" spans="1:19" ht="15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56" t="s">
        <v>3853</v>
      </c>
      <c r="S7" s="181"/>
    </row>
    <row r="8" spans="1:19" ht="15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9" t="s">
        <v>3853</v>
      </c>
      <c r="S8" s="181"/>
    </row>
    <row r="9" spans="1:19" x14ac:dyDescent="0.2">
      <c r="A9" s="185" t="s">
        <v>3870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</row>
    <row r="10" spans="1:19" x14ac:dyDescent="0.2">
      <c r="A10" s="99" t="s">
        <v>3869</v>
      </c>
      <c r="B10" s="99"/>
      <c r="C10" s="99"/>
      <c r="D10" s="99"/>
      <c r="E10" s="99"/>
      <c r="F10" s="16"/>
      <c r="G10" s="16"/>
      <c r="H10" s="99"/>
      <c r="I10" s="99"/>
      <c r="J10" s="16"/>
      <c r="K10" s="99"/>
      <c r="L10" s="98"/>
      <c r="M10" s="99"/>
      <c r="N10" s="99"/>
      <c r="O10" s="99"/>
      <c r="P10" s="16"/>
      <c r="Q10" s="99"/>
      <c r="R10" s="99"/>
    </row>
    <row r="11" spans="1:19" x14ac:dyDescent="0.2">
      <c r="A11" s="179"/>
      <c r="B11" s="99"/>
      <c r="C11" s="99"/>
      <c r="D11" s="99"/>
      <c r="E11" s="99"/>
      <c r="F11" s="16"/>
      <c r="G11" s="16"/>
      <c r="H11" s="99"/>
      <c r="I11" s="99"/>
      <c r="J11" s="16"/>
      <c r="K11" s="99"/>
      <c r="L11" s="98"/>
      <c r="M11" s="99"/>
      <c r="N11" s="99"/>
      <c r="O11" s="99"/>
      <c r="P11" s="16"/>
      <c r="Q11" s="99"/>
      <c r="R11" s="99"/>
    </row>
    <row r="12" spans="1:19" x14ac:dyDescent="0.2">
      <c r="A12" s="99"/>
      <c r="B12" s="99"/>
      <c r="C12" s="99"/>
      <c r="D12" s="99"/>
      <c r="E12" s="99"/>
      <c r="F12" s="16"/>
      <c r="G12" s="16"/>
      <c r="H12" s="99"/>
      <c r="I12" s="99"/>
      <c r="J12" s="16"/>
      <c r="K12" s="99"/>
      <c r="L12" s="98"/>
      <c r="M12" s="99"/>
      <c r="N12" s="99"/>
      <c r="O12" s="99"/>
      <c r="P12" s="16"/>
      <c r="Q12" s="99"/>
      <c r="R12" s="99"/>
    </row>
    <row r="13" spans="1:19" x14ac:dyDescent="0.2">
      <c r="A13" s="99"/>
      <c r="B13" s="99"/>
      <c r="C13" s="99"/>
      <c r="D13" s="99"/>
      <c r="E13" s="99"/>
      <c r="F13" s="16"/>
      <c r="G13" s="16"/>
      <c r="H13" s="99"/>
      <c r="I13" s="99"/>
      <c r="J13" s="16"/>
      <c r="K13" s="99"/>
      <c r="L13" s="98"/>
      <c r="M13" s="99"/>
      <c r="N13" s="99"/>
      <c r="O13" s="99"/>
      <c r="P13" s="16"/>
      <c r="Q13" s="99"/>
      <c r="R13" s="99"/>
    </row>
    <row r="14" spans="1:19" x14ac:dyDescent="0.2">
      <c r="A14" s="99"/>
      <c r="B14" s="99"/>
      <c r="C14" s="99"/>
      <c r="D14" s="99"/>
      <c r="E14" s="99"/>
      <c r="F14" s="16"/>
      <c r="G14" s="16"/>
      <c r="H14" s="99"/>
      <c r="I14" s="99"/>
      <c r="J14" s="16"/>
      <c r="K14" s="99"/>
      <c r="L14" s="98"/>
      <c r="M14" s="99"/>
      <c r="N14" s="99"/>
      <c r="O14" s="99"/>
      <c r="P14" s="16"/>
      <c r="Q14" s="99"/>
      <c r="R14" s="99"/>
    </row>
    <row r="15" spans="1:19" x14ac:dyDescent="0.2">
      <c r="A15" s="99"/>
      <c r="B15" s="99"/>
      <c r="C15" s="99"/>
      <c r="D15" s="99"/>
      <c r="E15" s="99"/>
      <c r="F15" s="16"/>
      <c r="G15" s="16"/>
      <c r="H15" s="99"/>
      <c r="I15" s="99"/>
      <c r="J15" s="16"/>
      <c r="K15" s="99"/>
      <c r="L15" s="98"/>
      <c r="M15" s="99"/>
      <c r="N15" s="99"/>
      <c r="O15" s="99"/>
      <c r="P15" s="16"/>
      <c r="Q15" s="99"/>
      <c r="R15" s="99"/>
    </row>
    <row r="16" spans="1:19" x14ac:dyDescent="0.2">
      <c r="A16" s="99"/>
      <c r="B16" s="99"/>
      <c r="C16" s="99"/>
      <c r="D16" s="99"/>
      <c r="E16" s="99"/>
      <c r="F16" s="16"/>
      <c r="G16" s="16"/>
      <c r="H16" s="99"/>
      <c r="I16" s="99"/>
      <c r="J16" s="16"/>
      <c r="K16" s="99"/>
      <c r="L16" s="98"/>
      <c r="M16" s="99"/>
      <c r="N16" s="99"/>
      <c r="O16" s="99"/>
      <c r="P16" s="16"/>
      <c r="Q16" s="99"/>
      <c r="R16" s="99"/>
    </row>
    <row r="17" spans="1:18" x14ac:dyDescent="0.2">
      <c r="A17" s="99"/>
      <c r="B17" s="99"/>
      <c r="C17" s="99"/>
      <c r="D17" s="99"/>
      <c r="E17" s="99"/>
      <c r="F17" s="16"/>
      <c r="G17" s="16"/>
      <c r="H17" s="99"/>
      <c r="I17" s="99"/>
      <c r="J17" s="16"/>
      <c r="K17" s="99"/>
      <c r="L17" s="98"/>
      <c r="M17" s="99"/>
      <c r="N17" s="99"/>
      <c r="O17" s="99"/>
      <c r="P17" s="16"/>
      <c r="Q17" s="99"/>
      <c r="R17" s="99"/>
    </row>
    <row r="18" spans="1:18" x14ac:dyDescent="0.2">
      <c r="A18" s="99"/>
      <c r="B18" s="99"/>
      <c r="C18" s="99"/>
      <c r="D18" s="99"/>
      <c r="E18" s="99"/>
      <c r="F18" s="16"/>
      <c r="G18" s="16"/>
      <c r="H18" s="99"/>
      <c r="I18" s="99"/>
      <c r="J18" s="16"/>
      <c r="K18" s="99"/>
      <c r="L18" s="98"/>
      <c r="M18" s="99"/>
      <c r="N18" s="99"/>
      <c r="O18" s="99"/>
      <c r="P18" s="16"/>
      <c r="Q18" s="99"/>
      <c r="R18" s="99"/>
    </row>
    <row r="19" spans="1:18" x14ac:dyDescent="0.2">
      <c r="A19" s="99"/>
      <c r="B19" s="99"/>
      <c r="C19" s="99"/>
      <c r="D19" s="99"/>
      <c r="E19" s="99"/>
      <c r="F19" s="16"/>
      <c r="G19" s="16"/>
      <c r="H19" s="99"/>
      <c r="I19" s="99"/>
      <c r="J19" s="16"/>
      <c r="K19" s="99"/>
      <c r="L19" s="98"/>
      <c r="M19" s="99"/>
      <c r="N19" s="99"/>
      <c r="O19" s="99"/>
      <c r="P19" s="16"/>
      <c r="Q19" s="99"/>
      <c r="R19" s="99"/>
    </row>
    <row r="20" spans="1:18" x14ac:dyDescent="0.2">
      <c r="A20" s="99"/>
      <c r="B20" s="99"/>
      <c r="C20" s="99"/>
      <c r="D20" s="99"/>
      <c r="E20" s="99"/>
      <c r="F20" s="16"/>
      <c r="G20" s="16"/>
      <c r="H20" s="99"/>
      <c r="I20" s="99"/>
      <c r="J20" s="16"/>
      <c r="K20" s="99"/>
      <c r="L20" s="98"/>
      <c r="M20" s="99"/>
      <c r="N20" s="99"/>
      <c r="O20" s="99"/>
      <c r="P20" s="16"/>
      <c r="Q20" s="99"/>
      <c r="R20" s="99"/>
    </row>
    <row r="21" spans="1:18" x14ac:dyDescent="0.2">
      <c r="A21" s="98"/>
      <c r="B21" s="98"/>
      <c r="C21" s="98"/>
      <c r="D21" s="98"/>
      <c r="E21" s="99"/>
      <c r="F21" s="16"/>
      <c r="G21" s="16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10:F21">
      <formula1>israel_abroad</formula1>
    </dataValidation>
    <dataValidation type="list" allowBlank="1" showInputMessage="1" showErrorMessage="1" sqref="H10:H21">
      <formula1>Holding_interest</formula1>
    </dataValidation>
    <dataValidation type="list" allowBlank="1" showInputMessage="1" showErrorMessage="1" sqref="P10:P21">
      <formula1>In_the_books</formula1>
    </dataValidation>
    <dataValidation type="list" allowBlank="1" showInputMessage="1" showErrorMessage="1" sqref="G10:G21">
      <formula1>Country_list</formula1>
    </dataValidation>
    <dataValidation type="list" allowBlank="1" showInputMessage="1" showErrorMessage="1" sqref="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22.875" style="2" customWidth="1"/>
    <col min="8" max="8" width="10.625" style="2" customWidth="1"/>
    <col min="9" max="9" width="19.875" style="2" customWidth="1"/>
    <col min="10" max="10" width="15.125" style="2" customWidth="1"/>
    <col min="11" max="11" width="6.25" style="2" customWidth="1"/>
    <col min="12" max="12" width="9" style="2" customWidth="1"/>
    <col min="13" max="13" width="17.125" style="2" customWidth="1"/>
    <col min="14" max="14" width="11.75" style="2" customWidth="1"/>
    <col min="15" max="15" width="10.5" style="2" customWidth="1"/>
    <col min="16" max="16" width="11.125" style="2" customWidth="1"/>
    <col min="17" max="17" width="10.37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3901</v>
      </c>
    </row>
    <row r="2" spans="1:22" ht="66.75" customHeight="1" x14ac:dyDescent="0.2">
      <c r="A2" s="139" t="s">
        <v>49</v>
      </c>
      <c r="B2" s="140" t="s">
        <v>50</v>
      </c>
      <c r="C2" s="140" t="s">
        <v>150</v>
      </c>
      <c r="D2" s="140" t="s">
        <v>151</v>
      </c>
      <c r="E2" s="140" t="s">
        <v>152</v>
      </c>
      <c r="F2" s="140" t="s">
        <v>153</v>
      </c>
      <c r="G2" s="140" t="s">
        <v>187</v>
      </c>
      <c r="H2" s="140" t="s">
        <v>55</v>
      </c>
      <c r="I2" s="140" t="s">
        <v>69</v>
      </c>
      <c r="J2" s="140" t="s">
        <v>56</v>
      </c>
      <c r="K2" s="140" t="s">
        <v>71</v>
      </c>
      <c r="L2" s="140" t="s">
        <v>58</v>
      </c>
      <c r="M2" s="140" t="s">
        <v>158</v>
      </c>
      <c r="N2" s="140" t="s">
        <v>59</v>
      </c>
      <c r="O2" s="140" t="s">
        <v>61</v>
      </c>
      <c r="P2" s="140" t="s">
        <v>62</v>
      </c>
      <c r="Q2" s="140" t="s">
        <v>159</v>
      </c>
      <c r="R2" s="140" t="s">
        <v>188</v>
      </c>
      <c r="S2" s="140" t="s">
        <v>189</v>
      </c>
      <c r="T2" s="141" t="s">
        <v>190</v>
      </c>
      <c r="U2" s="181" t="s">
        <v>3871</v>
      </c>
      <c r="V2" s="98"/>
    </row>
    <row r="3" spans="1:22" ht="14.1" customHeight="1" x14ac:dyDescent="0.2">
      <c r="A3" s="154" t="s">
        <v>1205</v>
      </c>
      <c r="B3" s="155" t="s">
        <v>1206</v>
      </c>
      <c r="C3" s="145" t="s">
        <v>3853</v>
      </c>
      <c r="D3" s="145" t="s">
        <v>3853</v>
      </c>
      <c r="E3" s="145" t="s">
        <v>3853</v>
      </c>
      <c r="F3" s="145" t="s">
        <v>3853</v>
      </c>
      <c r="G3" s="145" t="s">
        <v>3853</v>
      </c>
      <c r="H3" s="145" t="s">
        <v>3853</v>
      </c>
      <c r="I3" s="145" t="s">
        <v>3853</v>
      </c>
      <c r="J3" s="145" t="s">
        <v>3853</v>
      </c>
      <c r="K3" s="145" t="s">
        <v>3853</v>
      </c>
      <c r="L3" s="145" t="s">
        <v>3853</v>
      </c>
      <c r="M3" s="145" t="s">
        <v>3853</v>
      </c>
      <c r="N3" s="145" t="s">
        <v>3853</v>
      </c>
      <c r="O3" s="145" t="s">
        <v>3853</v>
      </c>
      <c r="P3" s="145" t="s">
        <v>3853</v>
      </c>
      <c r="Q3" s="145" t="s">
        <v>3853</v>
      </c>
      <c r="R3" s="145" t="s">
        <v>3853</v>
      </c>
      <c r="S3" s="145" t="s">
        <v>3853</v>
      </c>
      <c r="T3" s="156" t="s">
        <v>3853</v>
      </c>
      <c r="U3" s="181"/>
      <c r="V3" s="98"/>
    </row>
    <row r="4" spans="1:22" ht="14.1" customHeight="1" x14ac:dyDescent="0.2">
      <c r="A4" s="154" t="s">
        <v>1205</v>
      </c>
      <c r="B4" s="155" t="s">
        <v>1213</v>
      </c>
      <c r="C4" s="145" t="s">
        <v>3853</v>
      </c>
      <c r="D4" s="145" t="s">
        <v>3853</v>
      </c>
      <c r="E4" s="145" t="s">
        <v>3853</v>
      </c>
      <c r="F4" s="145" t="s">
        <v>3853</v>
      </c>
      <c r="G4" s="145" t="s">
        <v>3853</v>
      </c>
      <c r="H4" s="145" t="s">
        <v>3853</v>
      </c>
      <c r="I4" s="145" t="s">
        <v>3853</v>
      </c>
      <c r="J4" s="145" t="s">
        <v>3853</v>
      </c>
      <c r="K4" s="145" t="s">
        <v>3853</v>
      </c>
      <c r="L4" s="145" t="s">
        <v>3853</v>
      </c>
      <c r="M4" s="145" t="s">
        <v>3853</v>
      </c>
      <c r="N4" s="145" t="s">
        <v>3853</v>
      </c>
      <c r="O4" s="145" t="s">
        <v>3853</v>
      </c>
      <c r="P4" s="145" t="s">
        <v>3853</v>
      </c>
      <c r="Q4" s="145" t="s">
        <v>3853</v>
      </c>
      <c r="R4" s="145" t="s">
        <v>3853</v>
      </c>
      <c r="S4" s="145" t="s">
        <v>3853</v>
      </c>
      <c r="T4" s="156" t="s">
        <v>3853</v>
      </c>
      <c r="U4" s="181"/>
      <c r="V4" s="98"/>
    </row>
    <row r="5" spans="1:22" ht="14.1" customHeight="1" x14ac:dyDescent="0.2">
      <c r="A5" s="154" t="s">
        <v>1205</v>
      </c>
      <c r="B5" s="155" t="s">
        <v>1205</v>
      </c>
      <c r="C5" s="145" t="s">
        <v>3853</v>
      </c>
      <c r="D5" s="145" t="s">
        <v>3853</v>
      </c>
      <c r="E5" s="145" t="s">
        <v>3853</v>
      </c>
      <c r="F5" s="145" t="s">
        <v>3853</v>
      </c>
      <c r="G5" s="145" t="s">
        <v>3853</v>
      </c>
      <c r="H5" s="145" t="s">
        <v>3853</v>
      </c>
      <c r="I5" s="145" t="s">
        <v>3853</v>
      </c>
      <c r="J5" s="145" t="s">
        <v>3853</v>
      </c>
      <c r="K5" s="145" t="s">
        <v>3853</v>
      </c>
      <c r="L5" s="145" t="s">
        <v>3853</v>
      </c>
      <c r="M5" s="145" t="s">
        <v>3853</v>
      </c>
      <c r="N5" s="145" t="s">
        <v>3853</v>
      </c>
      <c r="O5" s="145" t="s">
        <v>3853</v>
      </c>
      <c r="P5" s="145" t="s">
        <v>3853</v>
      </c>
      <c r="Q5" s="145" t="s">
        <v>3853</v>
      </c>
      <c r="R5" s="145" t="s">
        <v>3853</v>
      </c>
      <c r="S5" s="145" t="s">
        <v>3853</v>
      </c>
      <c r="T5" s="156" t="s">
        <v>3853</v>
      </c>
      <c r="U5" s="181"/>
      <c r="V5" s="98"/>
    </row>
    <row r="6" spans="1:22" ht="14.1" customHeight="1" x14ac:dyDescent="0.2">
      <c r="A6" s="154" t="s">
        <v>1218</v>
      </c>
      <c r="B6" s="155" t="s">
        <v>1219</v>
      </c>
      <c r="C6" s="145" t="s">
        <v>3853</v>
      </c>
      <c r="D6" s="145" t="s">
        <v>3853</v>
      </c>
      <c r="E6" s="145" t="s">
        <v>3853</v>
      </c>
      <c r="F6" s="145" t="s">
        <v>3853</v>
      </c>
      <c r="G6" s="145" t="s">
        <v>3853</v>
      </c>
      <c r="H6" s="145" t="s">
        <v>3853</v>
      </c>
      <c r="I6" s="145" t="s">
        <v>3853</v>
      </c>
      <c r="J6" s="145" t="s">
        <v>3853</v>
      </c>
      <c r="K6" s="145" t="s">
        <v>3853</v>
      </c>
      <c r="L6" s="145" t="s">
        <v>3853</v>
      </c>
      <c r="M6" s="145" t="s">
        <v>3853</v>
      </c>
      <c r="N6" s="145" t="s">
        <v>3853</v>
      </c>
      <c r="O6" s="145" t="s">
        <v>3853</v>
      </c>
      <c r="P6" s="145" t="s">
        <v>3853</v>
      </c>
      <c r="Q6" s="145" t="s">
        <v>3853</v>
      </c>
      <c r="R6" s="145" t="s">
        <v>3853</v>
      </c>
      <c r="S6" s="145" t="s">
        <v>3853</v>
      </c>
      <c r="T6" s="156" t="s">
        <v>3853</v>
      </c>
      <c r="U6" s="181"/>
      <c r="V6" s="98"/>
    </row>
    <row r="7" spans="1:22" ht="14.1" customHeight="1" x14ac:dyDescent="0.2">
      <c r="A7" s="154" t="s">
        <v>1218</v>
      </c>
      <c r="B7" s="155" t="s">
        <v>1220</v>
      </c>
      <c r="C7" s="145" t="s">
        <v>3853</v>
      </c>
      <c r="D7" s="145" t="s">
        <v>3853</v>
      </c>
      <c r="E7" s="145" t="s">
        <v>3853</v>
      </c>
      <c r="F7" s="145" t="s">
        <v>3853</v>
      </c>
      <c r="G7" s="145" t="s">
        <v>3853</v>
      </c>
      <c r="H7" s="145" t="s">
        <v>3853</v>
      </c>
      <c r="I7" s="145" t="s">
        <v>3853</v>
      </c>
      <c r="J7" s="145" t="s">
        <v>3853</v>
      </c>
      <c r="K7" s="145" t="s">
        <v>3853</v>
      </c>
      <c r="L7" s="145" t="s">
        <v>3853</v>
      </c>
      <c r="M7" s="145" t="s">
        <v>3853</v>
      </c>
      <c r="N7" s="145" t="s">
        <v>3853</v>
      </c>
      <c r="O7" s="145" t="s">
        <v>3853</v>
      </c>
      <c r="P7" s="145" t="s">
        <v>3853</v>
      </c>
      <c r="Q7" s="145" t="s">
        <v>3853</v>
      </c>
      <c r="R7" s="145" t="s">
        <v>3853</v>
      </c>
      <c r="S7" s="145" t="s">
        <v>3853</v>
      </c>
      <c r="T7" s="156" t="s">
        <v>3853</v>
      </c>
      <c r="U7" s="181"/>
      <c r="V7" s="98"/>
    </row>
    <row r="8" spans="1:22" ht="14.1" customHeight="1" x14ac:dyDescent="0.2">
      <c r="A8" s="157" t="s">
        <v>1218</v>
      </c>
      <c r="B8" s="158" t="s">
        <v>1218</v>
      </c>
      <c r="C8" s="151" t="s">
        <v>3853</v>
      </c>
      <c r="D8" s="151" t="s">
        <v>3853</v>
      </c>
      <c r="E8" s="151" t="s">
        <v>3853</v>
      </c>
      <c r="F8" s="151" t="s">
        <v>3853</v>
      </c>
      <c r="G8" s="151" t="s">
        <v>3853</v>
      </c>
      <c r="H8" s="151" t="s">
        <v>3853</v>
      </c>
      <c r="I8" s="151" t="s">
        <v>3853</v>
      </c>
      <c r="J8" s="151" t="s">
        <v>3853</v>
      </c>
      <c r="K8" s="151" t="s">
        <v>3853</v>
      </c>
      <c r="L8" s="151" t="s">
        <v>3853</v>
      </c>
      <c r="M8" s="151" t="s">
        <v>3853</v>
      </c>
      <c r="N8" s="151" t="s">
        <v>3853</v>
      </c>
      <c r="O8" s="151" t="s">
        <v>3853</v>
      </c>
      <c r="P8" s="151" t="s">
        <v>3853</v>
      </c>
      <c r="Q8" s="151" t="s">
        <v>3853</v>
      </c>
      <c r="R8" s="151" t="s">
        <v>3853</v>
      </c>
      <c r="S8" s="151" t="s">
        <v>3853</v>
      </c>
      <c r="T8" s="159" t="s">
        <v>3853</v>
      </c>
      <c r="U8" s="181"/>
      <c r="V8" s="98"/>
    </row>
    <row r="9" spans="1:22" ht="14.1" customHeight="1" x14ac:dyDescent="0.2">
      <c r="A9" s="181" t="s">
        <v>3870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98"/>
      <c r="V9" s="98"/>
    </row>
    <row r="10" spans="1:22" ht="14.1" customHeight="1" x14ac:dyDescent="0.2">
      <c r="A10" s="98" t="s">
        <v>3869</v>
      </c>
      <c r="B10" s="98"/>
      <c r="C10" s="98"/>
      <c r="D10" s="99"/>
      <c r="E10" s="98"/>
      <c r="F10" s="98"/>
      <c r="G10"/>
      <c r="H10" s="16"/>
      <c r="I10" s="16"/>
      <c r="J10" s="99"/>
      <c r="K10" s="99"/>
      <c r="L10" s="99"/>
      <c r="M10" s="99"/>
      <c r="N10" s="98"/>
      <c r="O10" s="98"/>
      <c r="P10" s="98"/>
      <c r="Q10" s="99"/>
      <c r="R10" s="98"/>
      <c r="S10" s="98"/>
      <c r="T10" s="98"/>
      <c r="U10" s="98"/>
      <c r="V10" s="98"/>
    </row>
    <row r="11" spans="1:22" ht="13.5" customHeight="1" x14ac:dyDescent="0.2">
      <c r="A11" s="101"/>
      <c r="B11" s="98"/>
      <c r="C11" s="98"/>
      <c r="D11" s="99"/>
      <c r="E11" s="98"/>
      <c r="F11" s="98"/>
      <c r="G11"/>
      <c r="H11" s="16"/>
      <c r="I11" s="16"/>
      <c r="J11" s="99"/>
      <c r="K11" s="99"/>
      <c r="L11" s="99"/>
      <c r="M11" s="99"/>
      <c r="N11" s="98"/>
      <c r="O11" s="98"/>
      <c r="P11" s="98"/>
      <c r="Q11" s="99"/>
      <c r="R11" s="98"/>
      <c r="S11" s="98"/>
      <c r="T11" s="98"/>
      <c r="U11" s="98"/>
      <c r="V11" s="98"/>
    </row>
    <row r="12" spans="1:22" ht="13.5" customHeight="1" x14ac:dyDescent="0.2">
      <c r="A12" s="98"/>
      <c r="B12" s="98"/>
      <c r="C12" s="98"/>
      <c r="D12" s="99"/>
      <c r="E12" s="98"/>
      <c r="F12" s="98"/>
      <c r="G12"/>
      <c r="H12" s="16"/>
      <c r="I12" s="16"/>
      <c r="J12" s="99"/>
      <c r="K12" s="99"/>
      <c r="L12" s="99"/>
      <c r="M12" s="99"/>
      <c r="N12" s="98"/>
      <c r="O12" s="98"/>
      <c r="P12" s="98"/>
      <c r="Q12" s="99"/>
      <c r="R12" s="98"/>
      <c r="S12" s="98"/>
      <c r="T12" s="98"/>
      <c r="U12" s="98"/>
      <c r="V12" s="98"/>
    </row>
    <row r="13" spans="1:22" ht="14.1" customHeight="1" x14ac:dyDescent="0.2">
      <c r="A13" s="98"/>
      <c r="B13" s="98"/>
      <c r="C13" s="98"/>
      <c r="D13" s="99"/>
      <c r="E13" s="98"/>
      <c r="F13" s="98"/>
      <c r="G13"/>
      <c r="H13" s="16"/>
      <c r="I13" s="16"/>
      <c r="J13" s="99"/>
      <c r="K13" s="99"/>
      <c r="L13" s="99"/>
      <c r="M13" s="99"/>
      <c r="N13" s="98"/>
      <c r="O13" s="98"/>
      <c r="P13" s="98"/>
      <c r="Q13" s="99"/>
      <c r="R13" s="98"/>
      <c r="S13" s="98"/>
      <c r="T13" s="98"/>
      <c r="U13" s="98"/>
      <c r="V13" s="98"/>
    </row>
    <row r="14" spans="1:22" ht="14.1" customHeight="1" x14ac:dyDescent="0.2">
      <c r="A14" s="98"/>
      <c r="B14" s="98"/>
      <c r="C14" s="98"/>
      <c r="D14" s="99"/>
      <c r="E14" s="98"/>
      <c r="F14" s="98"/>
      <c r="G14"/>
      <c r="H14" s="16"/>
      <c r="I14" s="16"/>
      <c r="J14" s="99"/>
      <c r="K14" s="99"/>
      <c r="L14" s="99"/>
      <c r="M14" s="99"/>
      <c r="N14" s="98"/>
      <c r="O14" s="98"/>
      <c r="P14" s="98"/>
      <c r="Q14" s="99"/>
      <c r="R14" s="98"/>
      <c r="S14" s="98"/>
      <c r="T14" s="98"/>
      <c r="U14" s="98"/>
      <c r="V14" s="98"/>
    </row>
    <row r="15" spans="1:22" ht="14.1" customHeight="1" x14ac:dyDescent="0.2">
      <c r="A15" s="98"/>
      <c r="B15" s="98"/>
      <c r="C15" s="98"/>
      <c r="D15" s="99"/>
      <c r="E15" s="98"/>
      <c r="F15" s="98"/>
      <c r="G15"/>
      <c r="H15" s="16"/>
      <c r="I15" s="16"/>
      <c r="J15" s="99"/>
      <c r="K15" s="99"/>
      <c r="L15" s="99"/>
      <c r="M15" s="99"/>
      <c r="N15" s="98"/>
      <c r="O15" s="98"/>
      <c r="P15" s="98"/>
      <c r="Q15" s="99"/>
      <c r="R15" s="98"/>
      <c r="S15" s="98"/>
      <c r="T15" s="98"/>
      <c r="U15" s="98"/>
      <c r="V15" s="98"/>
    </row>
    <row r="16" spans="1:22" ht="14.1" customHeight="1" x14ac:dyDescent="0.2">
      <c r="A16" s="98"/>
      <c r="B16" s="98"/>
      <c r="C16" s="98"/>
      <c r="D16" s="99"/>
      <c r="E16" s="98"/>
      <c r="F16" s="98"/>
      <c r="G16"/>
      <c r="H16" s="16"/>
      <c r="I16" s="16"/>
      <c r="J16" s="99"/>
      <c r="K16" s="99"/>
      <c r="L16" s="99"/>
      <c r="M16" s="99"/>
      <c r="N16" s="98"/>
      <c r="O16" s="98"/>
      <c r="P16" s="98"/>
      <c r="Q16" s="99"/>
      <c r="R16" s="98"/>
      <c r="S16" s="98"/>
      <c r="T16" s="98"/>
      <c r="U16" s="98"/>
      <c r="V16" s="98"/>
    </row>
    <row r="17" spans="1:22" ht="14.1" customHeight="1" x14ac:dyDescent="0.2">
      <c r="A17" s="98"/>
      <c r="B17" s="98"/>
      <c r="C17" s="98"/>
      <c r="D17" s="99"/>
      <c r="E17" s="98"/>
      <c r="F17" s="98"/>
      <c r="G17"/>
      <c r="H17" s="16"/>
      <c r="I17" s="16"/>
      <c r="J17" s="99"/>
      <c r="K17" s="99"/>
      <c r="L17" s="99"/>
      <c r="M17" s="99"/>
      <c r="N17" s="98"/>
      <c r="O17" s="98"/>
      <c r="P17" s="98"/>
      <c r="Q17" s="99"/>
      <c r="R17" s="98"/>
      <c r="S17" s="98"/>
      <c r="T17" s="98"/>
      <c r="U17" s="98"/>
      <c r="V17" s="98"/>
    </row>
    <row r="18" spans="1:22" ht="14.1" customHeight="1" x14ac:dyDescent="0.2">
      <c r="D18" s="99"/>
      <c r="E18" s="98"/>
      <c r="F18" s="98"/>
      <c r="G18"/>
      <c r="H18" s="16"/>
      <c r="I18" s="16"/>
      <c r="J18" s="99"/>
      <c r="K18" s="99"/>
      <c r="L18" s="99"/>
      <c r="M18" s="99"/>
      <c r="N18" s="98"/>
      <c r="O18" s="98"/>
      <c r="P18" s="98"/>
      <c r="Q18" s="99"/>
    </row>
    <row r="19" spans="1:22" ht="14.1" customHeight="1" x14ac:dyDescent="0.2">
      <c r="D19" s="99"/>
      <c r="E19" s="98"/>
      <c r="F19" s="98"/>
      <c r="G19"/>
      <c r="H19" s="16"/>
      <c r="I19" s="16"/>
      <c r="J19" s="99"/>
      <c r="K19" s="99"/>
      <c r="L19" s="99"/>
      <c r="M19" s="99"/>
      <c r="N19" s="98"/>
      <c r="O19" s="98"/>
      <c r="P19" s="98"/>
      <c r="Q19" s="99"/>
    </row>
    <row r="20" spans="1:22" ht="14.1" customHeight="1" x14ac:dyDescent="0.2">
      <c r="D20" s="99"/>
      <c r="E20" s="98"/>
      <c r="F20" s="98"/>
      <c r="G20"/>
      <c r="H20" s="16"/>
      <c r="I20" s="16"/>
      <c r="J20" s="99"/>
      <c r="K20" s="99"/>
      <c r="L20" s="99"/>
      <c r="M20" s="99"/>
      <c r="N20" s="98"/>
      <c r="O20" s="98"/>
      <c r="P20" s="98"/>
      <c r="Q20" s="99"/>
    </row>
    <row r="21" spans="1:22" ht="14.1" customHeight="1" x14ac:dyDescent="0.2">
      <c r="D21" s="99"/>
      <c r="E21" s="98"/>
      <c r="F21" s="98"/>
      <c r="G21"/>
      <c r="H21" s="16"/>
      <c r="I21" s="16"/>
      <c r="J21" s="99"/>
      <c r="K21" s="98"/>
      <c r="L21" s="99"/>
      <c r="M21" s="99"/>
      <c r="N21" s="98"/>
      <c r="O21" s="98"/>
      <c r="P21" s="98"/>
      <c r="Q21" s="99"/>
    </row>
    <row r="22" spans="1:22" ht="14.1" customHeight="1" x14ac:dyDescent="0.2">
      <c r="D22" s="4"/>
      <c r="E22" s="98"/>
      <c r="F22" s="98"/>
      <c r="G22" s="98"/>
      <c r="H22" s="98"/>
      <c r="I22" s="98"/>
      <c r="J22"/>
      <c r="K22" s="98"/>
      <c r="L22" s="98"/>
      <c r="M22" s="98"/>
      <c r="N22" s="98"/>
      <c r="O22" s="98"/>
      <c r="P22" s="98"/>
      <c r="Q22" s="98"/>
    </row>
    <row r="23" spans="1:22" ht="14.1" customHeight="1" x14ac:dyDescent="0.2">
      <c r="D23" s="4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10:H21">
      <formula1>israel_abroad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D10:D21">
      <formula1>issuer_number_loan</formula1>
    </dataValidation>
    <dataValidation type="list" allowBlank="1" showInputMessage="1" showErrorMessage="1" sqref="L10:L21">
      <formula1>Rating_Agency</formula1>
    </dataValidation>
    <dataValidation type="list" allowBlank="1" showInputMessage="1" showErrorMessage="1" sqref="Q10:Q21">
      <formula1>Type_of_Interest_Rate</formula1>
    </dataValidation>
    <dataValidation type="list" allowBlank="1" showInputMessage="1" showErrorMessage="1" sqref="J10:J21">
      <formula1>Holding_interest</formula1>
    </dataValidation>
    <dataValidation type="list" allowBlank="1" showInputMessage="1" showErrorMessage="1" sqref="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15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.75" style="2" bestFit="1" customWidth="1"/>
    <col min="4" max="4" width="58" style="2" bestFit="1" customWidth="1"/>
    <col min="5" max="5" width="27.5" style="2" customWidth="1"/>
    <col min="6" max="6" width="30.25" style="2" customWidth="1"/>
    <col min="7" max="7" width="48.125" style="2" bestFit="1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3902</v>
      </c>
    </row>
    <row r="2" spans="1:22" ht="66.75" customHeight="1" x14ac:dyDescent="0.2">
      <c r="A2" s="139" t="s">
        <v>49</v>
      </c>
      <c r="B2" s="140" t="s">
        <v>50</v>
      </c>
      <c r="C2" s="140" t="s">
        <v>54</v>
      </c>
      <c r="D2" s="140" t="s">
        <v>108</v>
      </c>
      <c r="E2" s="140" t="s">
        <v>109</v>
      </c>
      <c r="F2" s="140" t="s">
        <v>110</v>
      </c>
      <c r="G2" s="140" t="s">
        <v>111</v>
      </c>
      <c r="H2" s="140" t="s">
        <v>112</v>
      </c>
      <c r="I2" s="140" t="s">
        <v>113</v>
      </c>
      <c r="J2" s="140" t="s">
        <v>59</v>
      </c>
      <c r="K2" s="140" t="s">
        <v>191</v>
      </c>
      <c r="L2" s="140" t="s">
        <v>192</v>
      </c>
      <c r="M2" s="140" t="s">
        <v>193</v>
      </c>
      <c r="N2" s="140" t="s">
        <v>194</v>
      </c>
      <c r="O2" s="140" t="s">
        <v>195</v>
      </c>
      <c r="P2" s="140" t="s">
        <v>196</v>
      </c>
      <c r="Q2" s="141" t="s">
        <v>197</v>
      </c>
      <c r="R2" s="181" t="s">
        <v>3871</v>
      </c>
      <c r="S2" s="98"/>
      <c r="T2" s="98"/>
      <c r="U2" s="98"/>
      <c r="V2" s="98"/>
    </row>
    <row r="3" spans="1:22" ht="14.1" customHeight="1" x14ac:dyDescent="0.2">
      <c r="A3" s="142" t="s">
        <v>1205</v>
      </c>
      <c r="B3" s="143" t="s">
        <v>1205</v>
      </c>
      <c r="C3" s="169" t="s">
        <v>1068</v>
      </c>
      <c r="D3" s="143" t="s">
        <v>314</v>
      </c>
      <c r="E3" s="145" t="s">
        <v>3853</v>
      </c>
      <c r="F3" s="145" t="s">
        <v>3853</v>
      </c>
      <c r="G3" s="143" t="s">
        <v>3558</v>
      </c>
      <c r="H3" s="143" t="s">
        <v>3559</v>
      </c>
      <c r="I3" s="143" t="s">
        <v>136</v>
      </c>
      <c r="J3" s="143" t="s">
        <v>1211</v>
      </c>
      <c r="K3" s="161">
        <v>45313</v>
      </c>
      <c r="L3" s="144">
        <v>353.5845774</v>
      </c>
      <c r="M3" s="144">
        <v>1329.1244264466</v>
      </c>
      <c r="N3" s="144">
        <v>99.043867400000011</v>
      </c>
      <c r="O3" s="144">
        <v>372.30589755660003</v>
      </c>
      <c r="P3" s="165">
        <v>0.280113652377871</v>
      </c>
      <c r="Q3" s="172">
        <v>44377</v>
      </c>
      <c r="R3" s="181"/>
      <c r="S3" s="98"/>
      <c r="T3" s="98"/>
      <c r="U3" s="98"/>
      <c r="V3" s="16"/>
    </row>
    <row r="4" spans="1:22" ht="13.5" customHeight="1" x14ac:dyDescent="0.2">
      <c r="A4" s="142" t="s">
        <v>1205</v>
      </c>
      <c r="B4" s="143" t="s">
        <v>1205</v>
      </c>
      <c r="C4" s="169" t="s">
        <v>1068</v>
      </c>
      <c r="D4" s="143" t="s">
        <v>3434</v>
      </c>
      <c r="E4" s="145" t="s">
        <v>3853</v>
      </c>
      <c r="F4" s="145" t="s">
        <v>3853</v>
      </c>
      <c r="G4" s="143" t="s">
        <v>3435</v>
      </c>
      <c r="H4" s="143" t="s">
        <v>3436</v>
      </c>
      <c r="I4" s="143" t="s">
        <v>312</v>
      </c>
      <c r="J4" s="143" t="s">
        <v>1210</v>
      </c>
      <c r="K4" s="161">
        <v>45131</v>
      </c>
      <c r="L4" s="144">
        <v>1041.7190000000001</v>
      </c>
      <c r="M4" s="144">
        <v>1041.7190000000001</v>
      </c>
      <c r="N4" s="144">
        <v>453.29</v>
      </c>
      <c r="O4" s="144">
        <v>453.29</v>
      </c>
      <c r="P4" s="165">
        <v>0.43513653874029368</v>
      </c>
      <c r="Q4" s="172">
        <v>46996</v>
      </c>
      <c r="R4" s="181"/>
      <c r="S4" s="98"/>
      <c r="T4" s="98"/>
      <c r="U4" s="98"/>
      <c r="V4" s="16"/>
    </row>
    <row r="5" spans="1:22" ht="13.5" customHeight="1" x14ac:dyDescent="0.2">
      <c r="A5" s="142" t="s">
        <v>1205</v>
      </c>
      <c r="B5" s="143" t="s">
        <v>1205</v>
      </c>
      <c r="C5" s="169" t="s">
        <v>1068</v>
      </c>
      <c r="D5" s="143" t="s">
        <v>3414</v>
      </c>
      <c r="E5" s="145" t="s">
        <v>3853</v>
      </c>
      <c r="F5" s="145" t="s">
        <v>3853</v>
      </c>
      <c r="G5" s="143" t="s">
        <v>3415</v>
      </c>
      <c r="H5" s="143" t="s">
        <v>3416</v>
      </c>
      <c r="I5" s="143" t="s">
        <v>312</v>
      </c>
      <c r="J5" s="143" t="s">
        <v>1210</v>
      </c>
      <c r="K5" s="161">
        <v>45250</v>
      </c>
      <c r="L5" s="144">
        <v>1734.6690000000001</v>
      </c>
      <c r="M5" s="144">
        <v>1734.6690000000001</v>
      </c>
      <c r="N5" s="144">
        <v>520.40099999999995</v>
      </c>
      <c r="O5" s="144">
        <v>520.40099999999995</v>
      </c>
      <c r="P5" s="165">
        <v>0.30000017294365666</v>
      </c>
      <c r="Q5" s="172">
        <v>46691</v>
      </c>
      <c r="R5" s="181"/>
      <c r="S5" s="98"/>
      <c r="T5" s="98"/>
      <c r="U5" s="98"/>
      <c r="V5" s="16"/>
    </row>
    <row r="6" spans="1:22" ht="14.1" customHeight="1" x14ac:dyDescent="0.2">
      <c r="A6" s="142" t="s">
        <v>1205</v>
      </c>
      <c r="B6" s="143" t="s">
        <v>1205</v>
      </c>
      <c r="C6" s="169" t="s">
        <v>1068</v>
      </c>
      <c r="D6" s="143" t="s">
        <v>3519</v>
      </c>
      <c r="E6" s="145" t="s">
        <v>3853</v>
      </c>
      <c r="F6" s="145" t="s">
        <v>3853</v>
      </c>
      <c r="G6" s="143" t="s">
        <v>3520</v>
      </c>
      <c r="H6" s="143" t="s">
        <v>3521</v>
      </c>
      <c r="I6" s="143" t="s">
        <v>312</v>
      </c>
      <c r="J6" s="143" t="s">
        <v>1211</v>
      </c>
      <c r="K6" s="161">
        <v>44767</v>
      </c>
      <c r="L6" s="144">
        <v>272.09008519999998</v>
      </c>
      <c r="M6" s="144">
        <v>1022.7866302667999</v>
      </c>
      <c r="N6" s="144">
        <v>8.4550851999999725</v>
      </c>
      <c r="O6" s="144">
        <v>31.782665266799892</v>
      </c>
      <c r="P6" s="165">
        <v>3.1074580294923489E-2</v>
      </c>
      <c r="Q6" s="172">
        <v>45657</v>
      </c>
      <c r="R6" s="181"/>
      <c r="S6" s="98"/>
      <c r="T6" s="98"/>
      <c r="U6" s="98"/>
      <c r="V6" s="16"/>
    </row>
    <row r="7" spans="1:22" ht="14.1" customHeight="1" x14ac:dyDescent="0.2">
      <c r="A7" s="142" t="s">
        <v>1205</v>
      </c>
      <c r="B7" s="143" t="s">
        <v>1205</v>
      </c>
      <c r="C7" s="169" t="s">
        <v>1068</v>
      </c>
      <c r="D7" s="143" t="s">
        <v>3285</v>
      </c>
      <c r="E7" s="145" t="s">
        <v>3853</v>
      </c>
      <c r="F7" s="145" t="s">
        <v>3853</v>
      </c>
      <c r="G7" s="143" t="s">
        <v>3286</v>
      </c>
      <c r="H7" s="143" t="s">
        <v>3287</v>
      </c>
      <c r="I7" s="143" t="s">
        <v>312</v>
      </c>
      <c r="J7" s="143" t="s">
        <v>1211</v>
      </c>
      <c r="K7" s="161">
        <v>45251</v>
      </c>
      <c r="L7" s="144">
        <v>366.35300000000001</v>
      </c>
      <c r="M7" s="144">
        <v>1377.1209269999999</v>
      </c>
      <c r="N7" s="144">
        <v>108.90300000000001</v>
      </c>
      <c r="O7" s="144">
        <v>409.366377</v>
      </c>
      <c r="P7" s="165">
        <v>0.2972624763547726</v>
      </c>
      <c r="Q7" s="172">
        <v>45291</v>
      </c>
      <c r="R7" s="181"/>
      <c r="S7" s="98"/>
      <c r="T7" s="98"/>
      <c r="U7" s="98"/>
      <c r="V7" s="16"/>
    </row>
    <row r="8" spans="1:22" ht="14.1" customHeight="1" x14ac:dyDescent="0.2">
      <c r="A8" s="142" t="s">
        <v>1205</v>
      </c>
      <c r="B8" s="143" t="s">
        <v>1205</v>
      </c>
      <c r="C8" s="169" t="s">
        <v>1068</v>
      </c>
      <c r="D8" s="143" t="s">
        <v>3437</v>
      </c>
      <c r="E8" s="145" t="s">
        <v>3853</v>
      </c>
      <c r="F8" s="145" t="s">
        <v>3853</v>
      </c>
      <c r="G8" s="143" t="s">
        <v>3423</v>
      </c>
      <c r="H8" s="143" t="s">
        <v>3438</v>
      </c>
      <c r="I8" s="143" t="s">
        <v>312</v>
      </c>
      <c r="J8" s="143" t="s">
        <v>1210</v>
      </c>
      <c r="K8" s="161">
        <v>45369</v>
      </c>
      <c r="L8" s="144">
        <v>538.46699999999998</v>
      </c>
      <c r="M8" s="144">
        <v>538.46699999999998</v>
      </c>
      <c r="N8" s="144">
        <v>238.1</v>
      </c>
      <c r="O8" s="144">
        <v>238.1</v>
      </c>
      <c r="P8" s="165">
        <v>0.44218122930467418</v>
      </c>
      <c r="Q8" s="172">
        <v>45473</v>
      </c>
      <c r="R8" s="181"/>
      <c r="S8" s="98"/>
      <c r="T8" s="98"/>
      <c r="U8" s="98"/>
      <c r="V8" s="16"/>
    </row>
    <row r="9" spans="1:22" ht="14.1" customHeight="1" x14ac:dyDescent="0.2">
      <c r="A9" s="142" t="s">
        <v>1205</v>
      </c>
      <c r="B9" s="143" t="s">
        <v>1205</v>
      </c>
      <c r="C9" s="169" t="s">
        <v>1068</v>
      </c>
      <c r="D9" s="143" t="s">
        <v>314</v>
      </c>
      <c r="E9" s="145" t="s">
        <v>3853</v>
      </c>
      <c r="F9" s="145" t="s">
        <v>3853</v>
      </c>
      <c r="G9" s="143" t="s">
        <v>3569</v>
      </c>
      <c r="H9" s="143" t="s">
        <v>3570</v>
      </c>
      <c r="I9" s="143" t="s">
        <v>312</v>
      </c>
      <c r="J9" s="143" t="s">
        <v>1214</v>
      </c>
      <c r="K9" s="161">
        <v>45350</v>
      </c>
      <c r="L9" s="144">
        <v>306.88968070000004</v>
      </c>
      <c r="M9" s="144">
        <v>1233.7578943501401</v>
      </c>
      <c r="N9" s="144">
        <v>78.520950700000014</v>
      </c>
      <c r="O9" s="144">
        <v>315.66992600414005</v>
      </c>
      <c r="P9" s="169">
        <v>0.25586051157177281</v>
      </c>
      <c r="Q9" s="172">
        <v>46203</v>
      </c>
      <c r="R9" s="181"/>
      <c r="S9" s="98"/>
      <c r="T9" s="98"/>
      <c r="U9" s="98"/>
      <c r="V9" s="98"/>
    </row>
    <row r="10" spans="1:22" ht="14.1" customHeight="1" x14ac:dyDescent="0.2">
      <c r="A10" s="142" t="s">
        <v>1205</v>
      </c>
      <c r="B10" s="143" t="s">
        <v>1205</v>
      </c>
      <c r="C10" s="169" t="s">
        <v>1068</v>
      </c>
      <c r="D10" s="143" t="s">
        <v>3227</v>
      </c>
      <c r="E10" s="145" t="s">
        <v>3853</v>
      </c>
      <c r="F10" s="145" t="s">
        <v>3853</v>
      </c>
      <c r="G10" s="143" t="s">
        <v>3228</v>
      </c>
      <c r="H10" s="143" t="s">
        <v>3229</v>
      </c>
      <c r="I10" s="143" t="s">
        <v>312</v>
      </c>
      <c r="J10" s="143" t="s">
        <v>1211</v>
      </c>
      <c r="K10" s="161">
        <v>45159</v>
      </c>
      <c r="L10" s="144">
        <v>362.315</v>
      </c>
      <c r="M10" s="144">
        <v>1361.9420849999999</v>
      </c>
      <c r="N10" s="144">
        <v>236.22998999999999</v>
      </c>
      <c r="O10" s="144">
        <v>887.98853240999995</v>
      </c>
      <c r="P10" s="169">
        <v>0.65200168361784638</v>
      </c>
      <c r="Q10" s="172">
        <v>47848</v>
      </c>
      <c r="R10" s="181"/>
      <c r="S10" s="98"/>
      <c r="T10" s="98"/>
      <c r="U10" s="98"/>
      <c r="V10" s="98"/>
    </row>
    <row r="11" spans="1:22" ht="14.1" customHeight="1" x14ac:dyDescent="0.2">
      <c r="A11" s="142" t="s">
        <v>1205</v>
      </c>
      <c r="B11" s="143" t="s">
        <v>1205</v>
      </c>
      <c r="C11" s="169" t="s">
        <v>1068</v>
      </c>
      <c r="D11" s="143" t="s">
        <v>3562</v>
      </c>
      <c r="E11" s="145" t="s">
        <v>3853</v>
      </c>
      <c r="F11" s="145" t="s">
        <v>3853</v>
      </c>
      <c r="G11" s="143" t="s">
        <v>3563</v>
      </c>
      <c r="H11" s="143" t="s">
        <v>3564</v>
      </c>
      <c r="I11" s="143" t="s">
        <v>312</v>
      </c>
      <c r="J11" s="143" t="s">
        <v>1211</v>
      </c>
      <c r="K11" s="161">
        <v>45294</v>
      </c>
      <c r="L11" s="144">
        <v>380.11399999999998</v>
      </c>
      <c r="M11" s="144">
        <v>1428.848526</v>
      </c>
      <c r="N11" s="144">
        <v>6.665</v>
      </c>
      <c r="O11" s="144">
        <v>25.053735</v>
      </c>
      <c r="P11" s="169">
        <v>1.753421342018447E-2</v>
      </c>
      <c r="Q11" s="172">
        <v>48060</v>
      </c>
      <c r="R11" s="181"/>
      <c r="S11" s="98"/>
      <c r="T11" s="98"/>
      <c r="U11" s="98"/>
      <c r="V11" s="98"/>
    </row>
    <row r="12" spans="1:22" ht="14.1" customHeight="1" x14ac:dyDescent="0.2">
      <c r="A12" s="142" t="s">
        <v>1205</v>
      </c>
      <c r="B12" s="143" t="s">
        <v>1205</v>
      </c>
      <c r="C12" s="170" t="s">
        <v>1068</v>
      </c>
      <c r="D12" s="143" t="s">
        <v>3455</v>
      </c>
      <c r="E12" s="145" t="s">
        <v>3853</v>
      </c>
      <c r="F12" s="145" t="s">
        <v>3853</v>
      </c>
      <c r="G12" s="143" t="s">
        <v>3456</v>
      </c>
      <c r="H12" s="143" t="s">
        <v>3457</v>
      </c>
      <c r="I12" s="143" t="s">
        <v>312</v>
      </c>
      <c r="J12" s="143" t="s">
        <v>1214</v>
      </c>
      <c r="K12" s="161">
        <v>45222</v>
      </c>
      <c r="L12" s="144">
        <v>342</v>
      </c>
      <c r="M12" s="144">
        <v>1374.9083999999998</v>
      </c>
      <c r="N12" s="144">
        <v>90.629989999999992</v>
      </c>
      <c r="O12" s="144">
        <v>364.35068579799997</v>
      </c>
      <c r="P12" s="169">
        <v>0.2649999707602339</v>
      </c>
      <c r="Q12" s="172">
        <v>48305</v>
      </c>
      <c r="R12" s="181"/>
    </row>
    <row r="13" spans="1:22" ht="14.1" customHeight="1" x14ac:dyDescent="0.2">
      <c r="A13" s="142" t="s">
        <v>1205</v>
      </c>
      <c r="B13" s="143" t="s">
        <v>1205</v>
      </c>
      <c r="C13" s="170" t="s">
        <v>1068</v>
      </c>
      <c r="D13" s="143" t="s">
        <v>3269</v>
      </c>
      <c r="E13" s="145" t="s">
        <v>3853</v>
      </c>
      <c r="F13" s="145" t="s">
        <v>3853</v>
      </c>
      <c r="G13" s="143" t="s">
        <v>3270</v>
      </c>
      <c r="H13" s="143" t="s">
        <v>3271</v>
      </c>
      <c r="I13" s="143" t="s">
        <v>312</v>
      </c>
      <c r="J13" s="143" t="s">
        <v>1211</v>
      </c>
      <c r="K13" s="161">
        <v>44754</v>
      </c>
      <c r="L13" s="144">
        <v>273.60000000000002</v>
      </c>
      <c r="M13" s="144">
        <v>1028.4624000000001</v>
      </c>
      <c r="N13" s="144">
        <v>-1.0000000009313225E-5</v>
      </c>
      <c r="O13" s="144">
        <v>-3.7590000035008411E-5</v>
      </c>
      <c r="P13" s="169">
        <v>-3.6549707636378741E-8</v>
      </c>
      <c r="Q13" s="172">
        <v>47664</v>
      </c>
      <c r="R13" s="181"/>
    </row>
    <row r="14" spans="1:22" ht="14.1" customHeight="1" x14ac:dyDescent="0.2">
      <c r="A14" s="142" t="s">
        <v>1205</v>
      </c>
      <c r="B14" s="143" t="s">
        <v>1205</v>
      </c>
      <c r="C14" s="170" t="s">
        <v>1068</v>
      </c>
      <c r="D14" s="143" t="s">
        <v>314</v>
      </c>
      <c r="E14" s="145" t="s">
        <v>3853</v>
      </c>
      <c r="F14" s="145" t="s">
        <v>3853</v>
      </c>
      <c r="G14" s="143" t="s">
        <v>3554</v>
      </c>
      <c r="H14" s="143" t="s">
        <v>3555</v>
      </c>
      <c r="I14" s="143" t="s">
        <v>312</v>
      </c>
      <c r="J14" s="143" t="s">
        <v>1211</v>
      </c>
      <c r="K14" s="160">
        <v>44699</v>
      </c>
      <c r="L14" s="144">
        <v>25</v>
      </c>
      <c r="M14" s="144">
        <v>93.974999999999994</v>
      </c>
      <c r="N14" s="144">
        <v>0.48047999999999957</v>
      </c>
      <c r="O14" s="144">
        <v>1.8061243199999983</v>
      </c>
      <c r="P14" s="169">
        <v>1.9219199999999981E-2</v>
      </c>
      <c r="Q14" s="172">
        <v>45291</v>
      </c>
      <c r="R14" s="181"/>
    </row>
    <row r="15" spans="1:22" ht="14.1" customHeight="1" x14ac:dyDescent="0.2">
      <c r="A15" s="142" t="s">
        <v>1205</v>
      </c>
      <c r="B15" s="143" t="s">
        <v>1205</v>
      </c>
      <c r="C15" s="170" t="s">
        <v>1068</v>
      </c>
      <c r="D15" s="143" t="s">
        <v>3470</v>
      </c>
      <c r="E15" s="145" t="s">
        <v>3853</v>
      </c>
      <c r="F15" s="145" t="s">
        <v>3853</v>
      </c>
      <c r="G15" s="143" t="s">
        <v>3471</v>
      </c>
      <c r="H15" s="143" t="s">
        <v>3472</v>
      </c>
      <c r="I15" s="143" t="s">
        <v>312</v>
      </c>
      <c r="J15" s="143" t="s">
        <v>1211</v>
      </c>
      <c r="K15" s="160">
        <v>45259</v>
      </c>
      <c r="L15" s="144">
        <v>456</v>
      </c>
      <c r="M15" s="144">
        <v>1714.104</v>
      </c>
      <c r="N15" s="144">
        <v>367.09499</v>
      </c>
      <c r="O15" s="144">
        <v>1379.91006741</v>
      </c>
      <c r="P15" s="169">
        <v>0.80503287280701752</v>
      </c>
      <c r="Q15" s="172">
        <v>48307</v>
      </c>
      <c r="R15" s="181"/>
    </row>
    <row r="16" spans="1:22" ht="14.1" customHeight="1" x14ac:dyDescent="0.2">
      <c r="A16" s="142" t="s">
        <v>1205</v>
      </c>
      <c r="B16" s="143" t="s">
        <v>1205</v>
      </c>
      <c r="C16" s="170" t="s">
        <v>1068</v>
      </c>
      <c r="D16" s="143" t="s">
        <v>3321</v>
      </c>
      <c r="E16" s="145" t="s">
        <v>3853</v>
      </c>
      <c r="F16" s="145" t="s">
        <v>3853</v>
      </c>
      <c r="G16" s="143" t="s">
        <v>3322</v>
      </c>
      <c r="H16" s="143" t="s">
        <v>3323</v>
      </c>
      <c r="I16" s="143" t="s">
        <v>312</v>
      </c>
      <c r="J16" s="143" t="s">
        <v>1211</v>
      </c>
      <c r="K16" s="160">
        <v>45365</v>
      </c>
      <c r="L16" s="144">
        <v>341.99799999999999</v>
      </c>
      <c r="M16" s="144">
        <v>1285.5704820000001</v>
      </c>
      <c r="N16" s="144">
        <v>232.86099999999999</v>
      </c>
      <c r="O16" s="144">
        <v>875.32449899999995</v>
      </c>
      <c r="P16" s="169">
        <v>0.6808840987374194</v>
      </c>
      <c r="Q16" s="172">
        <v>47848</v>
      </c>
      <c r="R16" s="181"/>
    </row>
    <row r="17" spans="1:18" ht="14.1" customHeight="1" x14ac:dyDescent="0.2">
      <c r="A17" s="142" t="s">
        <v>1205</v>
      </c>
      <c r="B17" s="143" t="s">
        <v>1205</v>
      </c>
      <c r="C17" s="170" t="s">
        <v>1068</v>
      </c>
      <c r="D17" s="143" t="s">
        <v>3470</v>
      </c>
      <c r="E17" s="145" t="s">
        <v>3853</v>
      </c>
      <c r="F17" s="145" t="s">
        <v>3853</v>
      </c>
      <c r="G17" s="143" t="s">
        <v>3478</v>
      </c>
      <c r="H17" s="143" t="s">
        <v>3479</v>
      </c>
      <c r="I17" s="143" t="s">
        <v>312</v>
      </c>
      <c r="J17" s="143" t="s">
        <v>1211</v>
      </c>
      <c r="K17" s="160">
        <v>44651</v>
      </c>
      <c r="L17" s="144">
        <v>45.6</v>
      </c>
      <c r="M17" s="144">
        <v>171.41039999999998</v>
      </c>
      <c r="N17" s="144">
        <v>45.599990000000005</v>
      </c>
      <c r="O17" s="144">
        <v>171.41036241</v>
      </c>
      <c r="P17" s="169">
        <v>0.99999978070175444</v>
      </c>
      <c r="Q17" s="172">
        <v>48307</v>
      </c>
      <c r="R17" s="181"/>
    </row>
    <row r="18" spans="1:18" ht="14.1" customHeight="1" x14ac:dyDescent="0.2">
      <c r="A18" s="142" t="s">
        <v>1205</v>
      </c>
      <c r="B18" s="143" t="s">
        <v>1205</v>
      </c>
      <c r="C18" s="170" t="s">
        <v>1068</v>
      </c>
      <c r="D18" s="143" t="s">
        <v>3411</v>
      </c>
      <c r="E18" s="145" t="s">
        <v>3853</v>
      </c>
      <c r="F18" s="145" t="s">
        <v>3853</v>
      </c>
      <c r="G18" s="143" t="s">
        <v>3412</v>
      </c>
      <c r="H18" s="143" t="s">
        <v>3413</v>
      </c>
      <c r="I18" s="143" t="s">
        <v>312</v>
      </c>
      <c r="J18" s="143" t="s">
        <v>1210</v>
      </c>
      <c r="K18" s="160">
        <v>45271</v>
      </c>
      <c r="L18" s="144">
        <v>1728.3779999999999</v>
      </c>
      <c r="M18" s="144">
        <v>1728.3779999999999</v>
      </c>
      <c r="N18" s="144">
        <v>571.98</v>
      </c>
      <c r="O18" s="144">
        <v>571.98</v>
      </c>
      <c r="P18" s="169">
        <v>0.33093455251108267</v>
      </c>
      <c r="Q18" s="172">
        <v>46721</v>
      </c>
      <c r="R18" s="181"/>
    </row>
    <row r="19" spans="1:18" ht="14.1" customHeight="1" x14ac:dyDescent="0.2">
      <c r="A19" s="142" t="s">
        <v>1205</v>
      </c>
      <c r="B19" s="143" t="s">
        <v>1205</v>
      </c>
      <c r="C19" s="170" t="s">
        <v>1068</v>
      </c>
      <c r="D19" s="143" t="s">
        <v>3575</v>
      </c>
      <c r="E19" s="145" t="s">
        <v>3853</v>
      </c>
      <c r="F19" s="145" t="s">
        <v>3853</v>
      </c>
      <c r="G19" s="143" t="s">
        <v>3576</v>
      </c>
      <c r="H19" s="143" t="s">
        <v>3577</v>
      </c>
      <c r="I19" s="143" t="s">
        <v>312</v>
      </c>
      <c r="J19" s="143" t="s">
        <v>1211</v>
      </c>
      <c r="K19" s="160">
        <v>45362</v>
      </c>
      <c r="L19" s="144">
        <v>150.965</v>
      </c>
      <c r="M19" s="144">
        <v>567.4774349999999</v>
      </c>
      <c r="N19" s="144">
        <v>30.192</v>
      </c>
      <c r="O19" s="144">
        <v>113.49172800000001</v>
      </c>
      <c r="P19" s="169">
        <v>0.19999337594806746</v>
      </c>
      <c r="Q19" s="172">
        <v>48883</v>
      </c>
      <c r="R19" s="181"/>
    </row>
    <row r="20" spans="1:18" ht="14.1" customHeight="1" x14ac:dyDescent="0.2">
      <c r="A20" s="142" t="s">
        <v>1205</v>
      </c>
      <c r="B20" s="143" t="s">
        <v>1205</v>
      </c>
      <c r="C20" s="170" t="s">
        <v>1068</v>
      </c>
      <c r="D20" s="143" t="s">
        <v>3528</v>
      </c>
      <c r="E20" s="145" t="s">
        <v>3853</v>
      </c>
      <c r="F20" s="145" t="s">
        <v>3853</v>
      </c>
      <c r="G20" s="143" t="s">
        <v>3529</v>
      </c>
      <c r="H20" s="143" t="s">
        <v>3530</v>
      </c>
      <c r="I20" s="143" t="s">
        <v>312</v>
      </c>
      <c r="J20" s="143" t="s">
        <v>1211</v>
      </c>
      <c r="K20" s="160">
        <v>45449</v>
      </c>
      <c r="L20" s="144">
        <v>75</v>
      </c>
      <c r="M20" s="144">
        <v>281.92500000000001</v>
      </c>
      <c r="N20" s="144">
        <v>38.840000000000003</v>
      </c>
      <c r="O20" s="144">
        <v>145.99956</v>
      </c>
      <c r="P20" s="169">
        <v>0.5178666666666667</v>
      </c>
      <c r="Q20" s="172">
        <v>49101</v>
      </c>
      <c r="R20" s="181"/>
    </row>
    <row r="21" spans="1:18" ht="14.1" customHeight="1" x14ac:dyDescent="0.2">
      <c r="A21" s="142" t="s">
        <v>1205</v>
      </c>
      <c r="B21" s="143" t="s">
        <v>1205</v>
      </c>
      <c r="C21" s="170" t="s">
        <v>1068</v>
      </c>
      <c r="D21" s="143" t="s">
        <v>3318</v>
      </c>
      <c r="E21" s="145" t="s">
        <v>3853</v>
      </c>
      <c r="F21" s="145" t="s">
        <v>3853</v>
      </c>
      <c r="G21" s="143" t="s">
        <v>3319</v>
      </c>
      <c r="H21" s="143" t="s">
        <v>3320</v>
      </c>
      <c r="I21" s="143" t="s">
        <v>312</v>
      </c>
      <c r="J21" s="143" t="s">
        <v>1211</v>
      </c>
      <c r="K21" s="160">
        <v>45370</v>
      </c>
      <c r="L21" s="144">
        <v>311.21300000000002</v>
      </c>
      <c r="M21" s="144">
        <v>1169.849667</v>
      </c>
      <c r="N21" s="144">
        <v>92.317999999999998</v>
      </c>
      <c r="O21" s="144">
        <v>347.02336199999996</v>
      </c>
      <c r="P21" s="169">
        <v>0.29663927920748812</v>
      </c>
      <c r="Q21" s="172">
        <v>47093</v>
      </c>
      <c r="R21" s="181"/>
    </row>
    <row r="22" spans="1:18" ht="14.1" customHeight="1" x14ac:dyDescent="0.2">
      <c r="A22" s="142" t="s">
        <v>1205</v>
      </c>
      <c r="B22" s="143" t="s">
        <v>1205</v>
      </c>
      <c r="C22" s="170" t="s">
        <v>1068</v>
      </c>
      <c r="D22" s="143" t="s">
        <v>3537</v>
      </c>
      <c r="E22" s="145" t="s">
        <v>3853</v>
      </c>
      <c r="F22" s="145" t="s">
        <v>3853</v>
      </c>
      <c r="G22" s="143" t="s">
        <v>3538</v>
      </c>
      <c r="H22" s="143" t="s">
        <v>3539</v>
      </c>
      <c r="I22" s="143" t="s">
        <v>312</v>
      </c>
      <c r="J22" s="143" t="s">
        <v>1211</v>
      </c>
      <c r="K22" s="160">
        <v>45140</v>
      </c>
      <c r="L22" s="144">
        <v>255.22800000000001</v>
      </c>
      <c r="M22" s="144">
        <v>959.40205200000003</v>
      </c>
      <c r="N22" s="144">
        <v>22.970549999999989</v>
      </c>
      <c r="O22" s="144">
        <v>86.346297449999952</v>
      </c>
      <c r="P22" s="169">
        <v>9.0000117541962438E-2</v>
      </c>
      <c r="Q22" s="173">
        <v>46842</v>
      </c>
      <c r="R22" s="181"/>
    </row>
    <row r="23" spans="1:18" ht="15" x14ac:dyDescent="0.2">
      <c r="A23" s="142" t="s">
        <v>1205</v>
      </c>
      <c r="B23" s="143" t="s">
        <v>1205</v>
      </c>
      <c r="C23" s="170" t="s">
        <v>1068</v>
      </c>
      <c r="D23" s="143" t="s">
        <v>3389</v>
      </c>
      <c r="E23" s="145" t="s">
        <v>3853</v>
      </c>
      <c r="F23" s="145" t="s">
        <v>3853</v>
      </c>
      <c r="G23" s="143" t="s">
        <v>3390</v>
      </c>
      <c r="H23" s="143" t="s">
        <v>3391</v>
      </c>
      <c r="I23" s="143" t="s">
        <v>312</v>
      </c>
      <c r="J23" s="143" t="s">
        <v>1211</v>
      </c>
      <c r="K23" s="163">
        <v>45281</v>
      </c>
      <c r="L23" s="144">
        <v>505.53841999999997</v>
      </c>
      <c r="M23" s="144">
        <v>1900.3189207799999</v>
      </c>
      <c r="N23" s="144">
        <v>85.689419999999984</v>
      </c>
      <c r="O23" s="144">
        <v>322.1065297799999</v>
      </c>
      <c r="P23" s="170">
        <v>0.16950130120674109</v>
      </c>
      <c r="Q23" s="174">
        <v>47938</v>
      </c>
      <c r="R23" s="181"/>
    </row>
    <row r="24" spans="1:18" ht="15" x14ac:dyDescent="0.2">
      <c r="A24" s="142" t="s">
        <v>1205</v>
      </c>
      <c r="B24" s="143" t="s">
        <v>1205</v>
      </c>
      <c r="C24" s="170" t="s">
        <v>1068</v>
      </c>
      <c r="D24" s="143" t="s">
        <v>3551</v>
      </c>
      <c r="E24" s="145" t="s">
        <v>3853</v>
      </c>
      <c r="F24" s="145" t="s">
        <v>3853</v>
      </c>
      <c r="G24" s="143" t="s">
        <v>3552</v>
      </c>
      <c r="H24" s="143" t="s">
        <v>3553</v>
      </c>
      <c r="I24" s="143" t="s">
        <v>312</v>
      </c>
      <c r="J24" s="143" t="s">
        <v>1211</v>
      </c>
      <c r="K24" s="163">
        <v>45365</v>
      </c>
      <c r="L24" s="144">
        <v>217.38900000000001</v>
      </c>
      <c r="M24" s="144">
        <v>817.1652509999999</v>
      </c>
      <c r="N24" s="144">
        <v>104.34671</v>
      </c>
      <c r="O24" s="144">
        <v>392.23928289000003</v>
      </c>
      <c r="P24" s="170">
        <v>0.47999995399951245</v>
      </c>
      <c r="Q24" s="174">
        <v>45688</v>
      </c>
      <c r="R24" s="181"/>
    </row>
    <row r="25" spans="1:18" ht="15" x14ac:dyDescent="0.2">
      <c r="A25" s="142" t="s">
        <v>1205</v>
      </c>
      <c r="B25" s="143" t="s">
        <v>1205</v>
      </c>
      <c r="C25" s="170" t="s">
        <v>1068</v>
      </c>
      <c r="D25" s="143" t="s">
        <v>314</v>
      </c>
      <c r="E25" s="145" t="s">
        <v>3853</v>
      </c>
      <c r="F25" s="145" t="s">
        <v>3853</v>
      </c>
      <c r="G25" s="143" t="s">
        <v>3586</v>
      </c>
      <c r="H25" s="143" t="s">
        <v>3587</v>
      </c>
      <c r="I25" s="143" t="s">
        <v>312</v>
      </c>
      <c r="J25" s="143" t="s">
        <v>1211</v>
      </c>
      <c r="K25" s="163">
        <v>45225</v>
      </c>
      <c r="L25" s="144">
        <v>159.6</v>
      </c>
      <c r="M25" s="144">
        <v>599.93640000000005</v>
      </c>
      <c r="N25" s="144">
        <v>104.4</v>
      </c>
      <c r="O25" s="144">
        <v>392.43959999999998</v>
      </c>
      <c r="P25" s="170">
        <v>0.65413533834586457</v>
      </c>
      <c r="Q25" s="174">
        <v>49309</v>
      </c>
      <c r="R25" s="181"/>
    </row>
    <row r="26" spans="1:18" ht="15" x14ac:dyDescent="0.2">
      <c r="A26" s="142" t="s">
        <v>1205</v>
      </c>
      <c r="B26" s="143" t="s">
        <v>1205</v>
      </c>
      <c r="C26" s="170" t="s">
        <v>1068</v>
      </c>
      <c r="D26" s="143" t="s">
        <v>3498</v>
      </c>
      <c r="E26" s="145" t="s">
        <v>3853</v>
      </c>
      <c r="F26" s="145" t="s">
        <v>3853</v>
      </c>
      <c r="G26" s="143" t="s">
        <v>3499</v>
      </c>
      <c r="H26" s="143" t="s">
        <v>3500</v>
      </c>
      <c r="I26" s="143" t="s">
        <v>312</v>
      </c>
      <c r="J26" s="143" t="s">
        <v>1211</v>
      </c>
      <c r="K26" s="163">
        <v>45362</v>
      </c>
      <c r="L26" s="144">
        <v>637.06075999999996</v>
      </c>
      <c r="M26" s="144">
        <v>2394.7113968399999</v>
      </c>
      <c r="N26" s="144">
        <v>105.26404000000004</v>
      </c>
      <c r="O26" s="144">
        <v>395.68752636000011</v>
      </c>
      <c r="P26" s="170">
        <v>0.16523390955675882</v>
      </c>
      <c r="Q26" s="174">
        <v>46748</v>
      </c>
      <c r="R26" s="181"/>
    </row>
    <row r="27" spans="1:18" ht="15" x14ac:dyDescent="0.2">
      <c r="A27" s="142" t="s">
        <v>1205</v>
      </c>
      <c r="B27" s="143" t="s">
        <v>1205</v>
      </c>
      <c r="C27" s="170" t="s">
        <v>1068</v>
      </c>
      <c r="D27" s="143" t="s">
        <v>3483</v>
      </c>
      <c r="E27" s="145" t="s">
        <v>3853</v>
      </c>
      <c r="F27" s="145" t="s">
        <v>3853</v>
      </c>
      <c r="G27" s="143" t="s">
        <v>3484</v>
      </c>
      <c r="H27" s="143" t="s">
        <v>3485</v>
      </c>
      <c r="I27" s="143" t="s">
        <v>312</v>
      </c>
      <c r="J27" s="143" t="s">
        <v>1210</v>
      </c>
      <c r="K27" s="163">
        <v>45378</v>
      </c>
      <c r="L27" s="144">
        <v>798</v>
      </c>
      <c r="M27" s="144">
        <v>798</v>
      </c>
      <c r="N27" s="144">
        <v>249.49199999999999</v>
      </c>
      <c r="O27" s="144">
        <v>249.49199999999999</v>
      </c>
      <c r="P27" s="170">
        <v>0.31264661654135339</v>
      </c>
      <c r="Q27" s="174">
        <v>45107</v>
      </c>
      <c r="R27" s="181"/>
    </row>
    <row r="28" spans="1:18" ht="15" x14ac:dyDescent="0.2">
      <c r="A28" s="142" t="s">
        <v>1205</v>
      </c>
      <c r="B28" s="143" t="s">
        <v>1205</v>
      </c>
      <c r="C28" s="170" t="s">
        <v>1068</v>
      </c>
      <c r="D28" s="143" t="s">
        <v>3425</v>
      </c>
      <c r="E28" s="145" t="s">
        <v>3853</v>
      </c>
      <c r="F28" s="145" t="s">
        <v>3853</v>
      </c>
      <c r="G28" s="143" t="s">
        <v>3426</v>
      </c>
      <c r="H28" s="143" t="s">
        <v>3427</v>
      </c>
      <c r="I28" s="143" t="s">
        <v>312</v>
      </c>
      <c r="J28" s="143" t="s">
        <v>1210</v>
      </c>
      <c r="K28" s="163">
        <v>45382</v>
      </c>
      <c r="L28" s="144">
        <v>1140</v>
      </c>
      <c r="M28" s="144">
        <v>1140</v>
      </c>
      <c r="N28" s="144">
        <v>670.83</v>
      </c>
      <c r="O28" s="144">
        <v>670.83</v>
      </c>
      <c r="P28" s="170">
        <v>0.58844736842105261</v>
      </c>
      <c r="Q28" s="174">
        <v>48944</v>
      </c>
      <c r="R28" s="181"/>
    </row>
    <row r="29" spans="1:18" ht="15" x14ac:dyDescent="0.2">
      <c r="A29" s="142" t="s">
        <v>1205</v>
      </c>
      <c r="B29" s="143" t="s">
        <v>1205</v>
      </c>
      <c r="C29" s="170" t="s">
        <v>1068</v>
      </c>
      <c r="D29" s="143" t="s">
        <v>3464</v>
      </c>
      <c r="E29" s="145" t="s">
        <v>3853</v>
      </c>
      <c r="F29" s="145" t="s">
        <v>3853</v>
      </c>
      <c r="G29" s="143" t="s">
        <v>3465</v>
      </c>
      <c r="H29" s="143" t="s">
        <v>3466</v>
      </c>
      <c r="I29" s="143" t="s">
        <v>312</v>
      </c>
      <c r="J29" s="143" t="s">
        <v>1214</v>
      </c>
      <c r="K29" s="163">
        <v>45369</v>
      </c>
      <c r="L29" s="144">
        <v>342</v>
      </c>
      <c r="M29" s="144">
        <v>1374.9083999999998</v>
      </c>
      <c r="N29" s="144">
        <v>188.46441000000002</v>
      </c>
      <c r="O29" s="144">
        <v>757.66462108199994</v>
      </c>
      <c r="P29" s="170">
        <v>0.55106552631578953</v>
      </c>
      <c r="Q29" s="174">
        <v>48884</v>
      </c>
      <c r="R29" s="181"/>
    </row>
    <row r="30" spans="1:18" ht="15" x14ac:dyDescent="0.2">
      <c r="A30" s="142" t="s">
        <v>1205</v>
      </c>
      <c r="B30" s="143" t="s">
        <v>1205</v>
      </c>
      <c r="C30" s="170" t="s">
        <v>1068</v>
      </c>
      <c r="D30" s="143" t="s">
        <v>3242</v>
      </c>
      <c r="E30" s="145" t="s">
        <v>3853</v>
      </c>
      <c r="F30" s="145" t="s">
        <v>3853</v>
      </c>
      <c r="G30" s="143" t="s">
        <v>3243</v>
      </c>
      <c r="H30" s="143" t="s">
        <v>3244</v>
      </c>
      <c r="I30" s="143" t="s">
        <v>312</v>
      </c>
      <c r="J30" s="143" t="s">
        <v>1211</v>
      </c>
      <c r="K30" s="163">
        <v>45316</v>
      </c>
      <c r="L30" s="144">
        <v>228</v>
      </c>
      <c r="M30" s="144">
        <v>857.05200000000002</v>
      </c>
      <c r="N30" s="144">
        <v>168.15</v>
      </c>
      <c r="O30" s="144">
        <v>632.07584999999995</v>
      </c>
      <c r="P30" s="170">
        <v>0.73749999999999993</v>
      </c>
      <c r="Q30" s="174">
        <v>47515</v>
      </c>
      <c r="R30" s="181"/>
    </row>
    <row r="31" spans="1:18" ht="15" x14ac:dyDescent="0.2">
      <c r="A31" s="142" t="s">
        <v>1205</v>
      </c>
      <c r="B31" s="143" t="s">
        <v>1205</v>
      </c>
      <c r="C31" s="170" t="s">
        <v>1068</v>
      </c>
      <c r="D31" s="143" t="s">
        <v>3342</v>
      </c>
      <c r="E31" s="145" t="s">
        <v>3853</v>
      </c>
      <c r="F31" s="145" t="s">
        <v>3853</v>
      </c>
      <c r="G31" s="143" t="s">
        <v>3343</v>
      </c>
      <c r="H31" s="143" t="s">
        <v>3344</v>
      </c>
      <c r="I31" s="143" t="s">
        <v>312</v>
      </c>
      <c r="J31" s="143" t="s">
        <v>1214</v>
      </c>
      <c r="K31" s="163">
        <v>45369</v>
      </c>
      <c r="L31" s="144">
        <v>342</v>
      </c>
      <c r="M31" s="144">
        <v>1374.9083999999998</v>
      </c>
      <c r="N31" s="144">
        <v>282.55328000000003</v>
      </c>
      <c r="O31" s="144">
        <v>1135.9206962560002</v>
      </c>
      <c r="P31" s="170">
        <v>0.82617918128654977</v>
      </c>
      <c r="Q31" s="174">
        <v>49021</v>
      </c>
      <c r="R31" s="181"/>
    </row>
    <row r="32" spans="1:18" ht="15" x14ac:dyDescent="0.2">
      <c r="A32" s="142" t="s">
        <v>1205</v>
      </c>
      <c r="B32" s="143" t="s">
        <v>1205</v>
      </c>
      <c r="C32" s="170" t="s">
        <v>1068</v>
      </c>
      <c r="D32" s="143" t="s">
        <v>3300</v>
      </c>
      <c r="E32" s="145" t="s">
        <v>3853</v>
      </c>
      <c r="F32" s="145" t="s">
        <v>3853</v>
      </c>
      <c r="G32" s="143" t="s">
        <v>3351</v>
      </c>
      <c r="H32" s="143" t="s">
        <v>3352</v>
      </c>
      <c r="I32" s="143" t="s">
        <v>312</v>
      </c>
      <c r="J32" s="143" t="s">
        <v>1214</v>
      </c>
      <c r="K32" s="163">
        <v>45306</v>
      </c>
      <c r="L32" s="144">
        <v>188.85196999999999</v>
      </c>
      <c r="M32" s="144">
        <v>759.22268979399996</v>
      </c>
      <c r="N32" s="144">
        <v>151.16643999999999</v>
      </c>
      <c r="O32" s="144">
        <v>607.71932208800001</v>
      </c>
      <c r="P32" s="170">
        <v>0.8004493678302641</v>
      </c>
      <c r="Q32" s="174">
        <v>50040</v>
      </c>
      <c r="R32" s="181"/>
    </row>
    <row r="33" spans="1:18" ht="15" x14ac:dyDescent="0.2">
      <c r="A33" s="142" t="s">
        <v>1205</v>
      </c>
      <c r="B33" s="143" t="s">
        <v>1205</v>
      </c>
      <c r="C33" s="170" t="s">
        <v>1068</v>
      </c>
      <c r="D33" s="143" t="s">
        <v>3475</v>
      </c>
      <c r="E33" s="145" t="s">
        <v>3853</v>
      </c>
      <c r="F33" s="145" t="s">
        <v>3853</v>
      </c>
      <c r="G33" s="143" t="s">
        <v>3476</v>
      </c>
      <c r="H33" s="143" t="s">
        <v>3477</v>
      </c>
      <c r="I33" s="143" t="s">
        <v>312</v>
      </c>
      <c r="J33" s="143" t="s">
        <v>1210</v>
      </c>
      <c r="K33" s="163">
        <v>45356</v>
      </c>
      <c r="L33" s="144">
        <v>1140</v>
      </c>
      <c r="M33" s="144">
        <v>1140</v>
      </c>
      <c r="N33" s="144">
        <v>925.779</v>
      </c>
      <c r="O33" s="144">
        <v>925.779</v>
      </c>
      <c r="P33" s="170">
        <v>0.81208684210526316</v>
      </c>
      <c r="Q33" s="174">
        <v>47848</v>
      </c>
      <c r="R33" s="181"/>
    </row>
    <row r="34" spans="1:18" ht="15" x14ac:dyDescent="0.2">
      <c r="A34" s="142" t="s">
        <v>1205</v>
      </c>
      <c r="B34" s="143" t="s">
        <v>1205</v>
      </c>
      <c r="C34" s="170" t="s">
        <v>1068</v>
      </c>
      <c r="D34" s="143" t="s">
        <v>3336</v>
      </c>
      <c r="E34" s="145" t="s">
        <v>3853</v>
      </c>
      <c r="F34" s="145" t="s">
        <v>3853</v>
      </c>
      <c r="G34" s="143" t="s">
        <v>3337</v>
      </c>
      <c r="H34" s="143" t="s">
        <v>3338</v>
      </c>
      <c r="I34" s="143" t="s">
        <v>312</v>
      </c>
      <c r="J34" s="143" t="s">
        <v>1211</v>
      </c>
      <c r="K34" s="163">
        <v>45342</v>
      </c>
      <c r="L34" s="144">
        <v>348</v>
      </c>
      <c r="M34" s="144">
        <v>1308.1320000000001</v>
      </c>
      <c r="N34" s="144">
        <v>244.286</v>
      </c>
      <c r="O34" s="144">
        <v>918.271074</v>
      </c>
      <c r="P34" s="170">
        <v>0.70197126436781609</v>
      </c>
      <c r="Q34" s="174">
        <v>48822</v>
      </c>
      <c r="R34" s="181"/>
    </row>
    <row r="35" spans="1:18" ht="15" x14ac:dyDescent="0.2">
      <c r="A35" s="142" t="s">
        <v>1205</v>
      </c>
      <c r="B35" s="143" t="s">
        <v>1205</v>
      </c>
      <c r="C35" s="170" t="s">
        <v>1068</v>
      </c>
      <c r="D35" s="143" t="s">
        <v>3366</v>
      </c>
      <c r="E35" s="145" t="s">
        <v>3853</v>
      </c>
      <c r="F35" s="145" t="s">
        <v>3853</v>
      </c>
      <c r="G35" s="143" t="s">
        <v>3367</v>
      </c>
      <c r="H35" s="143" t="s">
        <v>3368</v>
      </c>
      <c r="I35" s="143" t="s">
        <v>312</v>
      </c>
      <c r="J35" s="143" t="s">
        <v>1211</v>
      </c>
      <c r="K35" s="163">
        <v>45147</v>
      </c>
      <c r="L35" s="144">
        <v>613.07100000000003</v>
      </c>
      <c r="M35" s="144">
        <v>2304.5338889999998</v>
      </c>
      <c r="N35" s="144">
        <v>104.22499999999999</v>
      </c>
      <c r="O35" s="144">
        <v>391.78177499999998</v>
      </c>
      <c r="P35" s="170">
        <v>0.17000477921806773</v>
      </c>
      <c r="Q35" s="174">
        <v>47573</v>
      </c>
      <c r="R35" s="181"/>
    </row>
    <row r="36" spans="1:18" ht="15" x14ac:dyDescent="0.2">
      <c r="A36" s="142" t="s">
        <v>1205</v>
      </c>
      <c r="B36" s="143" t="s">
        <v>1205</v>
      </c>
      <c r="C36" s="170" t="s">
        <v>1068</v>
      </c>
      <c r="D36" s="143" t="s">
        <v>3251</v>
      </c>
      <c r="E36" s="145" t="s">
        <v>3853</v>
      </c>
      <c r="F36" s="145" t="s">
        <v>3853</v>
      </c>
      <c r="G36" s="143" t="s">
        <v>3252</v>
      </c>
      <c r="H36" s="143" t="s">
        <v>3253</v>
      </c>
      <c r="I36" s="143" t="s">
        <v>312</v>
      </c>
      <c r="J36" s="143" t="s">
        <v>1211</v>
      </c>
      <c r="K36" s="163">
        <v>45362</v>
      </c>
      <c r="L36" s="144">
        <v>619.274</v>
      </c>
      <c r="M36" s="144">
        <v>2327.850966</v>
      </c>
      <c r="N36" s="144">
        <v>142.43299999999999</v>
      </c>
      <c r="O36" s="144">
        <v>535.40564700000004</v>
      </c>
      <c r="P36" s="170">
        <v>0.22999996770411804</v>
      </c>
      <c r="Q36" s="174">
        <v>47483</v>
      </c>
      <c r="R36" s="181"/>
    </row>
    <row r="37" spans="1:18" ht="15" x14ac:dyDescent="0.2">
      <c r="A37" s="142" t="s">
        <v>1205</v>
      </c>
      <c r="B37" s="143" t="s">
        <v>1205</v>
      </c>
      <c r="C37" s="170" t="s">
        <v>1068</v>
      </c>
      <c r="D37" s="143" t="s">
        <v>3548</v>
      </c>
      <c r="E37" s="145" t="s">
        <v>3853</v>
      </c>
      <c r="F37" s="145" t="s">
        <v>3853</v>
      </c>
      <c r="G37" s="143" t="s">
        <v>3549</v>
      </c>
      <c r="H37" s="143" t="s">
        <v>3550</v>
      </c>
      <c r="I37" s="143" t="s">
        <v>312</v>
      </c>
      <c r="J37" s="143" t="s">
        <v>1211</v>
      </c>
      <c r="K37" s="163">
        <v>45369</v>
      </c>
      <c r="L37" s="144">
        <v>228.77</v>
      </c>
      <c r="M37" s="144">
        <v>859.94642999999996</v>
      </c>
      <c r="N37" s="144">
        <v>135.87799999999999</v>
      </c>
      <c r="O37" s="144">
        <v>510.76540199999999</v>
      </c>
      <c r="P37" s="170">
        <v>0.59395025571534732</v>
      </c>
      <c r="Q37" s="174">
        <v>48286</v>
      </c>
      <c r="R37" s="181"/>
    </row>
    <row r="38" spans="1:18" ht="15" x14ac:dyDescent="0.2">
      <c r="A38" s="142" t="s">
        <v>1205</v>
      </c>
      <c r="B38" s="143" t="s">
        <v>1205</v>
      </c>
      <c r="C38" s="170" t="s">
        <v>1068</v>
      </c>
      <c r="D38" s="143" t="s">
        <v>314</v>
      </c>
      <c r="E38" s="145" t="s">
        <v>3853</v>
      </c>
      <c r="F38" s="145" t="s">
        <v>3853</v>
      </c>
      <c r="G38" s="143" t="s">
        <v>3543</v>
      </c>
      <c r="H38" s="143" t="s">
        <v>3544</v>
      </c>
      <c r="I38" s="143" t="s">
        <v>312</v>
      </c>
      <c r="J38" s="143" t="s">
        <v>1214</v>
      </c>
      <c r="K38" s="163">
        <v>45365</v>
      </c>
      <c r="L38" s="144">
        <v>368.86</v>
      </c>
      <c r="M38" s="144">
        <v>1482.8909720000001</v>
      </c>
      <c r="N38" s="144">
        <v>246.08699999999999</v>
      </c>
      <c r="O38" s="144">
        <v>989.31895739999993</v>
      </c>
      <c r="P38" s="170">
        <v>0.66715556037521007</v>
      </c>
      <c r="Q38" s="174">
        <v>47664</v>
      </c>
      <c r="R38" s="181"/>
    </row>
    <row r="39" spans="1:18" ht="15" x14ac:dyDescent="0.2">
      <c r="A39" s="142" t="s">
        <v>1205</v>
      </c>
      <c r="B39" s="143" t="s">
        <v>1205</v>
      </c>
      <c r="C39" s="170" t="s">
        <v>1068</v>
      </c>
      <c r="D39" s="143" t="s">
        <v>3580</v>
      </c>
      <c r="E39" s="145" t="s">
        <v>3853</v>
      </c>
      <c r="F39" s="145" t="s">
        <v>3853</v>
      </c>
      <c r="G39" s="143" t="s">
        <v>3581</v>
      </c>
      <c r="H39" s="143" t="s">
        <v>3582</v>
      </c>
      <c r="I39" s="143" t="s">
        <v>312</v>
      </c>
      <c r="J39" s="143" t="s">
        <v>1211</v>
      </c>
      <c r="K39" s="163">
        <v>45369</v>
      </c>
      <c r="L39" s="144">
        <v>456</v>
      </c>
      <c r="M39" s="144">
        <v>1714.104</v>
      </c>
      <c r="N39" s="144">
        <v>383.03998999999999</v>
      </c>
      <c r="O39" s="144">
        <v>1439.8473224100001</v>
      </c>
      <c r="P39" s="170">
        <v>0.83999997807017546</v>
      </c>
      <c r="Q39" s="174">
        <v>49490</v>
      </c>
      <c r="R39" s="181"/>
    </row>
    <row r="40" spans="1:18" ht="15" x14ac:dyDescent="0.2">
      <c r="A40" s="142" t="s">
        <v>1205</v>
      </c>
      <c r="B40" s="143" t="s">
        <v>1205</v>
      </c>
      <c r="C40" s="170" t="s">
        <v>1068</v>
      </c>
      <c r="D40" s="143" t="s">
        <v>3251</v>
      </c>
      <c r="E40" s="145" t="s">
        <v>3853</v>
      </c>
      <c r="F40" s="145" t="s">
        <v>3853</v>
      </c>
      <c r="G40" s="143" t="s">
        <v>3444</v>
      </c>
      <c r="H40" s="143" t="s">
        <v>3445</v>
      </c>
      <c r="I40" s="143" t="s">
        <v>312</v>
      </c>
      <c r="J40" s="143" t="s">
        <v>1211</v>
      </c>
      <c r="K40" s="163">
        <v>45271</v>
      </c>
      <c r="L40" s="144">
        <v>580</v>
      </c>
      <c r="M40" s="144">
        <v>2180.2199999999998</v>
      </c>
      <c r="N40" s="144">
        <v>58</v>
      </c>
      <c r="O40" s="144">
        <v>218.02199999999999</v>
      </c>
      <c r="P40" s="170">
        <v>0.1</v>
      </c>
      <c r="Q40" s="174">
        <v>47745</v>
      </c>
      <c r="R40" s="181"/>
    </row>
    <row r="41" spans="1:18" ht="15" x14ac:dyDescent="0.2">
      <c r="A41" s="142" t="s">
        <v>1205</v>
      </c>
      <c r="B41" s="143" t="s">
        <v>1205</v>
      </c>
      <c r="C41" s="170" t="s">
        <v>1068</v>
      </c>
      <c r="D41" s="143" t="s">
        <v>3212</v>
      </c>
      <c r="E41" s="145" t="s">
        <v>3853</v>
      </c>
      <c r="F41" s="145" t="s">
        <v>3853</v>
      </c>
      <c r="G41" s="143" t="s">
        <v>3213</v>
      </c>
      <c r="H41" s="143" t="s">
        <v>3214</v>
      </c>
      <c r="I41" s="143" t="s">
        <v>312</v>
      </c>
      <c r="J41" s="143" t="s">
        <v>1211</v>
      </c>
      <c r="K41" s="163">
        <v>45169</v>
      </c>
      <c r="L41" s="144">
        <v>475.61399999999998</v>
      </c>
      <c r="M41" s="144">
        <v>1787.8330259999998</v>
      </c>
      <c r="N41" s="144">
        <v>90.674000000000007</v>
      </c>
      <c r="O41" s="144">
        <v>340.84356600000001</v>
      </c>
      <c r="P41" s="170">
        <v>0.19064619628522289</v>
      </c>
      <c r="Q41" s="174">
        <v>46265</v>
      </c>
      <c r="R41" s="181"/>
    </row>
    <row r="42" spans="1:18" ht="15" x14ac:dyDescent="0.2">
      <c r="A42" s="142" t="s">
        <v>1205</v>
      </c>
      <c r="B42" s="143" t="s">
        <v>1205</v>
      </c>
      <c r="C42" s="170" t="s">
        <v>1068</v>
      </c>
      <c r="D42" s="143" t="s">
        <v>3534</v>
      </c>
      <c r="E42" s="145" t="s">
        <v>3853</v>
      </c>
      <c r="F42" s="145" t="s">
        <v>3853</v>
      </c>
      <c r="G42" s="143" t="s">
        <v>3535</v>
      </c>
      <c r="H42" s="143" t="s">
        <v>3536</v>
      </c>
      <c r="I42" s="143" t="s">
        <v>312</v>
      </c>
      <c r="J42" s="143" t="s">
        <v>1211</v>
      </c>
      <c r="K42" s="163">
        <v>45250</v>
      </c>
      <c r="L42" s="144">
        <v>380.471</v>
      </c>
      <c r="M42" s="144">
        <v>1430.1904890000001</v>
      </c>
      <c r="N42" s="144">
        <v>26.24</v>
      </c>
      <c r="O42" s="144">
        <v>98.636160000000004</v>
      </c>
      <c r="P42" s="170">
        <v>6.8967148613166315E-2</v>
      </c>
      <c r="Q42" s="174">
        <v>46965</v>
      </c>
      <c r="R42" s="181"/>
    </row>
    <row r="43" spans="1:18" ht="15" x14ac:dyDescent="0.2">
      <c r="A43" s="142" t="s">
        <v>1205</v>
      </c>
      <c r="B43" s="143" t="s">
        <v>1205</v>
      </c>
      <c r="C43" s="170" t="s">
        <v>1068</v>
      </c>
      <c r="D43" s="143" t="s">
        <v>3333</v>
      </c>
      <c r="E43" s="145" t="s">
        <v>3853</v>
      </c>
      <c r="F43" s="145" t="s">
        <v>3853</v>
      </c>
      <c r="G43" s="143" t="s">
        <v>3334</v>
      </c>
      <c r="H43" s="143" t="s">
        <v>3335</v>
      </c>
      <c r="I43" s="143" t="s">
        <v>312</v>
      </c>
      <c r="J43" s="143" t="s">
        <v>1211</v>
      </c>
      <c r="K43" s="163">
        <v>45257</v>
      </c>
      <c r="L43" s="144">
        <v>206.04</v>
      </c>
      <c r="M43" s="144">
        <v>774.50436000000002</v>
      </c>
      <c r="N43" s="144">
        <v>35.661999999999999</v>
      </c>
      <c r="O43" s="144">
        <v>134.05345799999998</v>
      </c>
      <c r="P43" s="170">
        <v>0.1730828965249466</v>
      </c>
      <c r="Q43" s="174">
        <v>46752</v>
      </c>
      <c r="R43" s="181"/>
    </row>
    <row r="44" spans="1:18" ht="15" x14ac:dyDescent="0.2">
      <c r="A44" s="142" t="s">
        <v>1205</v>
      </c>
      <c r="B44" s="143" t="s">
        <v>1205</v>
      </c>
      <c r="C44" s="170" t="s">
        <v>1068</v>
      </c>
      <c r="D44" s="143" t="s">
        <v>3330</v>
      </c>
      <c r="E44" s="145" t="s">
        <v>3853</v>
      </c>
      <c r="F44" s="145" t="s">
        <v>3853</v>
      </c>
      <c r="G44" s="143" t="s">
        <v>3331</v>
      </c>
      <c r="H44" s="143" t="s">
        <v>3332</v>
      </c>
      <c r="I44" s="143" t="s">
        <v>312</v>
      </c>
      <c r="J44" s="143" t="s">
        <v>1211</v>
      </c>
      <c r="K44" s="163">
        <v>45362</v>
      </c>
      <c r="L44" s="144">
        <v>116</v>
      </c>
      <c r="M44" s="144">
        <v>436.04399999999998</v>
      </c>
      <c r="N44" s="144">
        <v>11.02</v>
      </c>
      <c r="O44" s="144">
        <v>41.42418</v>
      </c>
      <c r="P44" s="170">
        <v>9.5000000000000001E-2</v>
      </c>
      <c r="Q44" s="174">
        <v>47073</v>
      </c>
      <c r="R44" s="181"/>
    </row>
    <row r="45" spans="1:18" ht="15" x14ac:dyDescent="0.2">
      <c r="A45" s="142" t="s">
        <v>1205</v>
      </c>
      <c r="B45" s="143" t="s">
        <v>1205</v>
      </c>
      <c r="C45" s="170" t="s">
        <v>1068</v>
      </c>
      <c r="D45" s="143" t="s">
        <v>3230</v>
      </c>
      <c r="E45" s="145" t="s">
        <v>3853</v>
      </c>
      <c r="F45" s="145" t="s">
        <v>3853</v>
      </c>
      <c r="G45" s="143" t="s">
        <v>3231</v>
      </c>
      <c r="H45" s="143" t="s">
        <v>3232</v>
      </c>
      <c r="I45" s="143" t="s">
        <v>312</v>
      </c>
      <c r="J45" s="143" t="s">
        <v>1210</v>
      </c>
      <c r="K45" s="163">
        <v>45341</v>
      </c>
      <c r="L45" s="144">
        <v>1516.3520000000001</v>
      </c>
      <c r="M45" s="144">
        <v>1516.3520000000001</v>
      </c>
      <c r="N45" s="144">
        <v>1137.0519999999999</v>
      </c>
      <c r="O45" s="144">
        <v>1137.0519999999999</v>
      </c>
      <c r="P45" s="170">
        <v>0.74986019077364618</v>
      </c>
      <c r="Q45" s="174">
        <v>48290</v>
      </c>
      <c r="R45" s="181"/>
    </row>
    <row r="46" spans="1:18" ht="15" x14ac:dyDescent="0.2">
      <c r="A46" s="142" t="s">
        <v>1205</v>
      </c>
      <c r="B46" s="143" t="s">
        <v>1205</v>
      </c>
      <c r="C46" s="170" t="s">
        <v>1068</v>
      </c>
      <c r="D46" s="143" t="s">
        <v>3248</v>
      </c>
      <c r="E46" s="145" t="s">
        <v>3853</v>
      </c>
      <c r="F46" s="145" t="s">
        <v>3853</v>
      </c>
      <c r="G46" s="143" t="s">
        <v>3249</v>
      </c>
      <c r="H46" s="143" t="s">
        <v>3250</v>
      </c>
      <c r="I46" s="143" t="s">
        <v>312</v>
      </c>
      <c r="J46" s="143" t="s">
        <v>1211</v>
      </c>
      <c r="K46" s="163">
        <v>44993</v>
      </c>
      <c r="L46" s="144">
        <v>328.49979999999999</v>
      </c>
      <c r="M46" s="144">
        <v>1234.8307482</v>
      </c>
      <c r="N46" s="144">
        <v>9.6170899999999673</v>
      </c>
      <c r="O46" s="144">
        <v>36.150641309999877</v>
      </c>
      <c r="P46" s="170">
        <v>2.9275786469276286E-2</v>
      </c>
      <c r="Q46" s="174">
        <v>46842</v>
      </c>
      <c r="R46" s="181"/>
    </row>
    <row r="47" spans="1:18" ht="15" x14ac:dyDescent="0.2">
      <c r="A47" s="142" t="s">
        <v>1205</v>
      </c>
      <c r="B47" s="143" t="s">
        <v>1205</v>
      </c>
      <c r="C47" s="170" t="s">
        <v>1068</v>
      </c>
      <c r="D47" s="143" t="s">
        <v>3218</v>
      </c>
      <c r="E47" s="145" t="s">
        <v>3853</v>
      </c>
      <c r="F47" s="145" t="s">
        <v>3853</v>
      </c>
      <c r="G47" s="143" t="s">
        <v>3219</v>
      </c>
      <c r="H47" s="143" t="s">
        <v>3220</v>
      </c>
      <c r="I47" s="143" t="s">
        <v>312</v>
      </c>
      <c r="J47" s="143" t="s">
        <v>1211</v>
      </c>
      <c r="K47" s="163">
        <v>45216</v>
      </c>
      <c r="L47" s="144">
        <v>370.88499999999999</v>
      </c>
      <c r="M47" s="144">
        <v>1394.1567149999998</v>
      </c>
      <c r="N47" s="144">
        <v>105.69</v>
      </c>
      <c r="O47" s="144">
        <v>397.28870999999998</v>
      </c>
      <c r="P47" s="170">
        <v>0.28496703830028175</v>
      </c>
      <c r="Q47" s="174">
        <v>46934</v>
      </c>
      <c r="R47" s="181"/>
    </row>
    <row r="48" spans="1:18" ht="15" x14ac:dyDescent="0.2">
      <c r="A48" s="142" t="s">
        <v>1205</v>
      </c>
      <c r="B48" s="143" t="s">
        <v>1205</v>
      </c>
      <c r="C48" s="170" t="s">
        <v>1068</v>
      </c>
      <c r="D48" s="143" t="s">
        <v>3446</v>
      </c>
      <c r="E48" s="145" t="s">
        <v>3853</v>
      </c>
      <c r="F48" s="145" t="s">
        <v>3853</v>
      </c>
      <c r="G48" s="143" t="s">
        <v>3447</v>
      </c>
      <c r="H48" s="143" t="s">
        <v>3448</v>
      </c>
      <c r="I48" s="143" t="s">
        <v>312</v>
      </c>
      <c r="J48" s="143" t="s">
        <v>1214</v>
      </c>
      <c r="K48" s="163">
        <v>44816</v>
      </c>
      <c r="L48" s="144">
        <v>493.44400000000002</v>
      </c>
      <c r="M48" s="144">
        <v>1983.7435688</v>
      </c>
      <c r="N48" s="144">
        <v>35.69309999999998</v>
      </c>
      <c r="O48" s="144">
        <v>143.4934006199999</v>
      </c>
      <c r="P48" s="170">
        <v>7.2334651956452972E-2</v>
      </c>
      <c r="Q48" s="174">
        <v>46568</v>
      </c>
      <c r="R48" s="181"/>
    </row>
    <row r="49" spans="1:18" ht="15" x14ac:dyDescent="0.2">
      <c r="A49" s="142" t="s">
        <v>1205</v>
      </c>
      <c r="B49" s="143" t="s">
        <v>1205</v>
      </c>
      <c r="C49" s="170" t="s">
        <v>1068</v>
      </c>
      <c r="D49" s="143" t="s">
        <v>3458</v>
      </c>
      <c r="E49" s="145" t="s">
        <v>3853</v>
      </c>
      <c r="F49" s="145" t="s">
        <v>3853</v>
      </c>
      <c r="G49" s="143" t="s">
        <v>3459</v>
      </c>
      <c r="H49" s="143" t="s">
        <v>3460</v>
      </c>
      <c r="I49" s="143" t="s">
        <v>312</v>
      </c>
      <c r="J49" s="143" t="s">
        <v>1211</v>
      </c>
      <c r="K49" s="163">
        <v>45342</v>
      </c>
      <c r="L49" s="144">
        <v>237.322</v>
      </c>
      <c r="M49" s="144">
        <v>892.09339799999998</v>
      </c>
      <c r="N49" s="144">
        <v>24.437999999999999</v>
      </c>
      <c r="O49" s="144">
        <v>91.862442000000001</v>
      </c>
      <c r="P49" s="170">
        <v>0.10297401842222803</v>
      </c>
      <c r="Q49" s="174">
        <v>47848</v>
      </c>
      <c r="R49" s="181"/>
    </row>
    <row r="50" spans="1:18" ht="15" x14ac:dyDescent="0.2">
      <c r="A50" s="142" t="s">
        <v>1205</v>
      </c>
      <c r="B50" s="143" t="s">
        <v>1205</v>
      </c>
      <c r="C50" s="170" t="s">
        <v>1068</v>
      </c>
      <c r="D50" s="143" t="s">
        <v>3236</v>
      </c>
      <c r="E50" s="145" t="s">
        <v>3853</v>
      </c>
      <c r="F50" s="145" t="s">
        <v>3853</v>
      </c>
      <c r="G50" s="143" t="s">
        <v>3237</v>
      </c>
      <c r="H50" s="143" t="s">
        <v>3238</v>
      </c>
      <c r="I50" s="143" t="s">
        <v>312</v>
      </c>
      <c r="J50" s="143" t="s">
        <v>1211</v>
      </c>
      <c r="K50" s="163">
        <v>45215</v>
      </c>
      <c r="L50" s="144">
        <v>342</v>
      </c>
      <c r="M50" s="144">
        <v>1285.578</v>
      </c>
      <c r="N50" s="144">
        <v>265.05</v>
      </c>
      <c r="O50" s="144">
        <v>996.32294999999999</v>
      </c>
      <c r="P50" s="170">
        <v>0.77499999999999991</v>
      </c>
      <c r="Q50" s="174">
        <v>48869</v>
      </c>
      <c r="R50" s="181"/>
    </row>
    <row r="51" spans="1:18" ht="15" x14ac:dyDescent="0.2">
      <c r="A51" s="142" t="s">
        <v>1205</v>
      </c>
      <c r="B51" s="143" t="s">
        <v>1205</v>
      </c>
      <c r="C51" s="170" t="s">
        <v>1068</v>
      </c>
      <c r="D51" s="143" t="s">
        <v>3431</v>
      </c>
      <c r="E51" s="145" t="s">
        <v>3853</v>
      </c>
      <c r="F51" s="145" t="s">
        <v>3853</v>
      </c>
      <c r="G51" s="143" t="s">
        <v>3432</v>
      </c>
      <c r="H51" s="143" t="s">
        <v>3433</v>
      </c>
      <c r="I51" s="143" t="s">
        <v>312</v>
      </c>
      <c r="J51" s="143" t="s">
        <v>1210</v>
      </c>
      <c r="K51" s="163">
        <v>44938</v>
      </c>
      <c r="L51" s="144">
        <v>1076.8491200000001</v>
      </c>
      <c r="M51" s="144">
        <v>1076.8491200000001</v>
      </c>
      <c r="N51" s="144">
        <v>80.785120000000106</v>
      </c>
      <c r="O51" s="144">
        <v>80.785120000000106</v>
      </c>
      <c r="P51" s="170">
        <v>7.5019906224188679E-2</v>
      </c>
      <c r="Q51" s="174">
        <v>45838</v>
      </c>
      <c r="R51" s="181"/>
    </row>
    <row r="52" spans="1:18" ht="15" x14ac:dyDescent="0.2">
      <c r="A52" s="142" t="s">
        <v>1205</v>
      </c>
      <c r="B52" s="143" t="s">
        <v>1205</v>
      </c>
      <c r="C52" s="170" t="s">
        <v>1068</v>
      </c>
      <c r="D52" s="143" t="s">
        <v>3428</v>
      </c>
      <c r="E52" s="145" t="s">
        <v>3853</v>
      </c>
      <c r="F52" s="145" t="s">
        <v>3853</v>
      </c>
      <c r="G52" s="143" t="s">
        <v>3429</v>
      </c>
      <c r="H52" s="143" t="s">
        <v>3430</v>
      </c>
      <c r="I52" s="143" t="s">
        <v>312</v>
      </c>
      <c r="J52" s="143" t="s">
        <v>1210</v>
      </c>
      <c r="K52" s="163">
        <v>45350</v>
      </c>
      <c r="L52" s="144">
        <v>1140</v>
      </c>
      <c r="M52" s="144">
        <v>1140</v>
      </c>
      <c r="N52" s="144">
        <v>798</v>
      </c>
      <c r="O52" s="144">
        <v>798</v>
      </c>
      <c r="P52" s="170">
        <v>0.7</v>
      </c>
      <c r="Q52" s="174">
        <v>48944</v>
      </c>
      <c r="R52" s="181"/>
    </row>
    <row r="53" spans="1:18" ht="15" x14ac:dyDescent="0.2">
      <c r="A53" s="142" t="s">
        <v>1205</v>
      </c>
      <c r="B53" s="143" t="s">
        <v>1205</v>
      </c>
      <c r="C53" s="170" t="s">
        <v>1068</v>
      </c>
      <c r="D53" s="143" t="s">
        <v>3588</v>
      </c>
      <c r="E53" s="145" t="s">
        <v>3853</v>
      </c>
      <c r="F53" s="145" t="s">
        <v>3853</v>
      </c>
      <c r="G53" s="143" t="s">
        <v>3589</v>
      </c>
      <c r="H53" s="143" t="s">
        <v>3590</v>
      </c>
      <c r="I53" s="143" t="s">
        <v>312</v>
      </c>
      <c r="J53" s="143" t="s">
        <v>1211</v>
      </c>
      <c r="K53" s="163">
        <v>44462</v>
      </c>
      <c r="L53" s="144">
        <v>125.00000034246575</v>
      </c>
      <c r="M53" s="144">
        <v>469.8750012873287</v>
      </c>
      <c r="N53" s="144">
        <v>33.750000342465746</v>
      </c>
      <c r="O53" s="144">
        <v>126.86625128732875</v>
      </c>
      <c r="P53" s="170">
        <v>0.27000000199999996</v>
      </c>
      <c r="Q53" s="174">
        <v>46009</v>
      </c>
      <c r="R53" s="181"/>
    </row>
    <row r="54" spans="1:18" ht="15" x14ac:dyDescent="0.2">
      <c r="A54" s="142" t="s">
        <v>1205</v>
      </c>
      <c r="B54" s="143" t="s">
        <v>1205</v>
      </c>
      <c r="C54" s="170" t="s">
        <v>1068</v>
      </c>
      <c r="D54" s="143" t="s">
        <v>3461</v>
      </c>
      <c r="E54" s="145" t="s">
        <v>3853</v>
      </c>
      <c r="F54" s="145" t="s">
        <v>3853</v>
      </c>
      <c r="G54" s="143" t="s">
        <v>3462</v>
      </c>
      <c r="H54" s="143" t="s">
        <v>3463</v>
      </c>
      <c r="I54" s="143" t="s">
        <v>312</v>
      </c>
      <c r="J54" s="143" t="s">
        <v>1211</v>
      </c>
      <c r="K54" s="163">
        <v>45054</v>
      </c>
      <c r="L54" s="144">
        <v>464</v>
      </c>
      <c r="M54" s="144">
        <v>1744.1759999999999</v>
      </c>
      <c r="N54" s="144">
        <v>260.30020999999994</v>
      </c>
      <c r="O54" s="144">
        <v>978.46848938999983</v>
      </c>
      <c r="P54" s="170">
        <v>0.56099183189655166</v>
      </c>
      <c r="Q54" s="174">
        <v>47299</v>
      </c>
      <c r="R54" s="181"/>
    </row>
    <row r="55" spans="1:18" ht="15" x14ac:dyDescent="0.2">
      <c r="A55" s="142" t="s">
        <v>1205</v>
      </c>
      <c r="B55" s="143" t="s">
        <v>1205</v>
      </c>
      <c r="C55" s="170" t="s">
        <v>1068</v>
      </c>
      <c r="D55" s="143" t="s">
        <v>3449</v>
      </c>
      <c r="E55" s="145" t="s">
        <v>3853</v>
      </c>
      <c r="F55" s="145" t="s">
        <v>3853</v>
      </c>
      <c r="G55" s="143" t="s">
        <v>3450</v>
      </c>
      <c r="H55" s="143" t="s">
        <v>3451</v>
      </c>
      <c r="I55" s="143" t="s">
        <v>312</v>
      </c>
      <c r="J55" s="143" t="s">
        <v>1214</v>
      </c>
      <c r="K55" s="163">
        <v>45203</v>
      </c>
      <c r="L55" s="144">
        <v>350.63799999999998</v>
      </c>
      <c r="M55" s="144">
        <v>1409.6348876</v>
      </c>
      <c r="N55" s="144">
        <v>50.48673999999999</v>
      </c>
      <c r="O55" s="144">
        <v>202.96679214799994</v>
      </c>
      <c r="P55" s="170">
        <v>0.14398536382251778</v>
      </c>
      <c r="Q55" s="174">
        <v>46265</v>
      </c>
      <c r="R55" s="181"/>
    </row>
    <row r="56" spans="1:18" ht="15" x14ac:dyDescent="0.2">
      <c r="A56" s="142" t="s">
        <v>1205</v>
      </c>
      <c r="B56" s="143" t="s">
        <v>1205</v>
      </c>
      <c r="C56" s="170" t="s">
        <v>1068</v>
      </c>
      <c r="D56" s="143" t="s">
        <v>3495</v>
      </c>
      <c r="E56" s="145" t="s">
        <v>3853</v>
      </c>
      <c r="F56" s="145" t="s">
        <v>3853</v>
      </c>
      <c r="G56" s="143" t="s">
        <v>3496</v>
      </c>
      <c r="H56" s="143" t="s">
        <v>3497</v>
      </c>
      <c r="I56" s="143" t="s">
        <v>312</v>
      </c>
      <c r="J56" s="143" t="s">
        <v>1211</v>
      </c>
      <c r="K56" s="163">
        <v>45362</v>
      </c>
      <c r="L56" s="144">
        <v>628.80999999999995</v>
      </c>
      <c r="M56" s="144">
        <v>2363.69679</v>
      </c>
      <c r="N56" s="144">
        <v>78.579609999999988</v>
      </c>
      <c r="O56" s="144">
        <v>295.38075398999996</v>
      </c>
      <c r="P56" s="170">
        <v>0.12496558578903004</v>
      </c>
      <c r="Q56" s="174">
        <v>47360</v>
      </c>
      <c r="R56" s="181"/>
    </row>
    <row r="57" spans="1:18" ht="15" x14ac:dyDescent="0.2">
      <c r="A57" s="142" t="s">
        <v>1205</v>
      </c>
      <c r="B57" s="143" t="s">
        <v>1205</v>
      </c>
      <c r="C57" s="170" t="s">
        <v>1068</v>
      </c>
      <c r="D57" s="143" t="s">
        <v>3251</v>
      </c>
      <c r="E57" s="145" t="s">
        <v>3853</v>
      </c>
      <c r="F57" s="145" t="s">
        <v>3853</v>
      </c>
      <c r="G57" s="143" t="s">
        <v>3356</v>
      </c>
      <c r="H57" s="143" t="s">
        <v>3357</v>
      </c>
      <c r="I57" s="143" t="s">
        <v>312</v>
      </c>
      <c r="J57" s="143" t="s">
        <v>1211</v>
      </c>
      <c r="K57" s="163">
        <v>45371</v>
      </c>
      <c r="L57" s="144">
        <v>75</v>
      </c>
      <c r="M57" s="144">
        <v>281.92500000000001</v>
      </c>
      <c r="N57" s="144">
        <v>60.75</v>
      </c>
      <c r="O57" s="144">
        <v>228.35925</v>
      </c>
      <c r="P57" s="170">
        <v>0.81</v>
      </c>
      <c r="Q57" s="174">
        <v>49023</v>
      </c>
      <c r="R57" s="181"/>
    </row>
    <row r="58" spans="1:18" ht="15" x14ac:dyDescent="0.2">
      <c r="A58" s="142" t="s">
        <v>1205</v>
      </c>
      <c r="B58" s="143" t="s">
        <v>1205</v>
      </c>
      <c r="C58" s="170" t="s">
        <v>1068</v>
      </c>
      <c r="D58" s="143" t="s">
        <v>3507</v>
      </c>
      <c r="E58" s="145" t="s">
        <v>3853</v>
      </c>
      <c r="F58" s="145" t="s">
        <v>3853</v>
      </c>
      <c r="G58" s="143" t="s">
        <v>3508</v>
      </c>
      <c r="H58" s="143" t="s">
        <v>3509</v>
      </c>
      <c r="I58" s="143" t="s">
        <v>312</v>
      </c>
      <c r="J58" s="143" t="s">
        <v>1211</v>
      </c>
      <c r="K58" s="163">
        <v>45187</v>
      </c>
      <c r="L58" s="144">
        <v>487.85599999999999</v>
      </c>
      <c r="M58" s="144">
        <v>1833.850704</v>
      </c>
      <c r="N58" s="144">
        <v>112.10828999999998</v>
      </c>
      <c r="O58" s="144">
        <v>421.41506210999989</v>
      </c>
      <c r="P58" s="170">
        <v>0.22979791167885599</v>
      </c>
      <c r="Q58" s="174">
        <v>46142</v>
      </c>
      <c r="R58" s="181"/>
    </row>
    <row r="59" spans="1:18" ht="15" x14ac:dyDescent="0.2">
      <c r="A59" s="142" t="s">
        <v>1205</v>
      </c>
      <c r="B59" s="143" t="s">
        <v>1205</v>
      </c>
      <c r="C59" s="170" t="s">
        <v>1068</v>
      </c>
      <c r="D59" s="143" t="s">
        <v>3525</v>
      </c>
      <c r="E59" s="145" t="s">
        <v>3853</v>
      </c>
      <c r="F59" s="145" t="s">
        <v>3853</v>
      </c>
      <c r="G59" s="143" t="s">
        <v>3526</v>
      </c>
      <c r="H59" s="143" t="s">
        <v>3527</v>
      </c>
      <c r="I59" s="143" t="s">
        <v>312</v>
      </c>
      <c r="J59" s="143" t="s">
        <v>1211</v>
      </c>
      <c r="K59" s="163">
        <v>45322</v>
      </c>
      <c r="L59" s="144">
        <v>50</v>
      </c>
      <c r="M59" s="144">
        <v>187.95</v>
      </c>
      <c r="N59" s="144">
        <v>14.140000000000002</v>
      </c>
      <c r="O59" s="144">
        <v>53.152260000000005</v>
      </c>
      <c r="P59" s="170">
        <v>0.2828</v>
      </c>
      <c r="Q59" s="174">
        <v>48884</v>
      </c>
      <c r="R59" s="181"/>
    </row>
    <row r="60" spans="1:18" ht="15" x14ac:dyDescent="0.2">
      <c r="A60" s="142" t="s">
        <v>1205</v>
      </c>
      <c r="B60" s="143" t="s">
        <v>1205</v>
      </c>
      <c r="C60" s="170" t="s">
        <v>1068</v>
      </c>
      <c r="D60" s="143" t="s">
        <v>3480</v>
      </c>
      <c r="E60" s="145" t="s">
        <v>3853</v>
      </c>
      <c r="F60" s="145" t="s">
        <v>3853</v>
      </c>
      <c r="G60" s="143" t="s">
        <v>3488</v>
      </c>
      <c r="H60" s="143" t="s">
        <v>3489</v>
      </c>
      <c r="I60" s="143" t="s">
        <v>312</v>
      </c>
      <c r="J60" s="143" t="s">
        <v>1210</v>
      </c>
      <c r="K60" s="163">
        <v>45250</v>
      </c>
      <c r="L60" s="144">
        <v>1596</v>
      </c>
      <c r="M60" s="144">
        <v>1596</v>
      </c>
      <c r="N60" s="144">
        <v>1586.114</v>
      </c>
      <c r="O60" s="144">
        <v>1586.114</v>
      </c>
      <c r="P60" s="170">
        <v>0.99380576441102753</v>
      </c>
      <c r="Q60" s="174">
        <v>48913</v>
      </c>
      <c r="R60" s="181"/>
    </row>
    <row r="61" spans="1:18" ht="15" x14ac:dyDescent="0.2">
      <c r="A61" s="142" t="s">
        <v>1205</v>
      </c>
      <c r="B61" s="143" t="s">
        <v>1205</v>
      </c>
      <c r="C61" s="170" t="s">
        <v>1068</v>
      </c>
      <c r="D61" s="143" t="s">
        <v>3254</v>
      </c>
      <c r="E61" s="145" t="s">
        <v>3853</v>
      </c>
      <c r="F61" s="145" t="s">
        <v>3853</v>
      </c>
      <c r="G61" s="143" t="s">
        <v>3277</v>
      </c>
      <c r="H61" s="143" t="s">
        <v>3278</v>
      </c>
      <c r="I61" s="143" t="s">
        <v>312</v>
      </c>
      <c r="J61" s="143" t="s">
        <v>1211</v>
      </c>
      <c r="K61" s="163">
        <v>45298</v>
      </c>
      <c r="L61" s="144">
        <v>576.31299999999999</v>
      </c>
      <c r="M61" s="144">
        <v>2166.3605669999997</v>
      </c>
      <c r="N61" s="144">
        <v>245.85799</v>
      </c>
      <c r="O61" s="144">
        <v>924.18018441000004</v>
      </c>
      <c r="P61" s="170">
        <v>0.42660496986880397</v>
      </c>
      <c r="Q61" s="174">
        <v>47907</v>
      </c>
      <c r="R61" s="181"/>
    </row>
    <row r="62" spans="1:18" ht="15" x14ac:dyDescent="0.2">
      <c r="A62" s="142" t="s">
        <v>1205</v>
      </c>
      <c r="B62" s="143" t="s">
        <v>1205</v>
      </c>
      <c r="C62" s="170" t="s">
        <v>1068</v>
      </c>
      <c r="D62" s="143" t="s">
        <v>3303</v>
      </c>
      <c r="E62" s="145" t="s">
        <v>3853</v>
      </c>
      <c r="F62" s="145" t="s">
        <v>3853</v>
      </c>
      <c r="G62" s="143" t="s">
        <v>3304</v>
      </c>
      <c r="H62" s="143" t="s">
        <v>3305</v>
      </c>
      <c r="I62" s="143" t="s">
        <v>312</v>
      </c>
      <c r="J62" s="143" t="s">
        <v>1214</v>
      </c>
      <c r="K62" s="163">
        <v>45356</v>
      </c>
      <c r="L62" s="144">
        <v>276</v>
      </c>
      <c r="M62" s="144">
        <v>1109.5752</v>
      </c>
      <c r="N62" s="144">
        <v>115.92</v>
      </c>
      <c r="O62" s="144">
        <v>466.02158399999996</v>
      </c>
      <c r="P62" s="170">
        <v>0.42</v>
      </c>
      <c r="Q62" s="174">
        <v>48265</v>
      </c>
      <c r="R62" s="181"/>
    </row>
    <row r="63" spans="1:18" ht="15" x14ac:dyDescent="0.2">
      <c r="A63" s="142" t="s">
        <v>1205</v>
      </c>
      <c r="B63" s="143" t="s">
        <v>1205</v>
      </c>
      <c r="C63" s="170" t="s">
        <v>1068</v>
      </c>
      <c r="D63" s="143" t="s">
        <v>314</v>
      </c>
      <c r="E63" s="145" t="s">
        <v>3853</v>
      </c>
      <c r="F63" s="145" t="s">
        <v>3853</v>
      </c>
      <c r="G63" s="143" t="s">
        <v>3560</v>
      </c>
      <c r="H63" s="143" t="s">
        <v>3561</v>
      </c>
      <c r="I63" s="143" t="s">
        <v>312</v>
      </c>
      <c r="J63" s="143" t="s">
        <v>1211</v>
      </c>
      <c r="K63" s="163">
        <v>45316</v>
      </c>
      <c r="L63" s="144">
        <v>759.24573999999996</v>
      </c>
      <c r="M63" s="144">
        <v>2854.0047366600002</v>
      </c>
      <c r="N63" s="144">
        <v>163.19403000000003</v>
      </c>
      <c r="O63" s="144">
        <v>613.44635877000007</v>
      </c>
      <c r="P63" s="170">
        <v>0.21494230576782691</v>
      </c>
      <c r="Q63" s="174">
        <v>47422</v>
      </c>
      <c r="R63" s="181"/>
    </row>
    <row r="64" spans="1:18" ht="15" x14ac:dyDescent="0.2">
      <c r="A64" s="142" t="s">
        <v>1205</v>
      </c>
      <c r="B64" s="143" t="s">
        <v>1205</v>
      </c>
      <c r="C64" s="170" t="s">
        <v>1068</v>
      </c>
      <c r="D64" s="143" t="s">
        <v>3297</v>
      </c>
      <c r="E64" s="145" t="s">
        <v>3853</v>
      </c>
      <c r="F64" s="145" t="s">
        <v>3853</v>
      </c>
      <c r="G64" s="143" t="s">
        <v>3298</v>
      </c>
      <c r="H64" s="143" t="s">
        <v>3299</v>
      </c>
      <c r="I64" s="143" t="s">
        <v>312</v>
      </c>
      <c r="J64" s="143" t="s">
        <v>1214</v>
      </c>
      <c r="K64" s="163">
        <v>44893</v>
      </c>
      <c r="L64" s="144">
        <v>282.21577819999999</v>
      </c>
      <c r="M64" s="144">
        <v>1134.5638715196401</v>
      </c>
      <c r="N64" s="144">
        <v>21.821198200000012</v>
      </c>
      <c r="O64" s="144">
        <v>87.725581003640045</v>
      </c>
      <c r="P64" s="170">
        <v>7.7320971701787047E-2</v>
      </c>
      <c r="Q64" s="174">
        <v>46965</v>
      </c>
      <c r="R64" s="181"/>
    </row>
    <row r="65" spans="1:18" ht="15" x14ac:dyDescent="0.2">
      <c r="A65" s="142" t="s">
        <v>1205</v>
      </c>
      <c r="B65" s="143" t="s">
        <v>1205</v>
      </c>
      <c r="C65" s="170" t="s">
        <v>1068</v>
      </c>
      <c r="D65" s="143" t="s">
        <v>3257</v>
      </c>
      <c r="E65" s="145" t="s">
        <v>3853</v>
      </c>
      <c r="F65" s="145" t="s">
        <v>3853</v>
      </c>
      <c r="G65" s="143" t="s">
        <v>3258</v>
      </c>
      <c r="H65" s="143" t="s">
        <v>3259</v>
      </c>
      <c r="I65" s="143" t="s">
        <v>312</v>
      </c>
      <c r="J65" s="143" t="s">
        <v>1211</v>
      </c>
      <c r="K65" s="163">
        <v>44706</v>
      </c>
      <c r="L65" s="144">
        <v>306.72764339999998</v>
      </c>
      <c r="M65" s="144">
        <v>1152.9892115406001</v>
      </c>
      <c r="N65" s="144">
        <v>8.376653400000011</v>
      </c>
      <c r="O65" s="144">
        <v>31.487840130600038</v>
      </c>
      <c r="P65" s="170">
        <v>2.7309743938129866E-2</v>
      </c>
      <c r="Q65" s="174">
        <v>47542</v>
      </c>
      <c r="R65" s="181"/>
    </row>
    <row r="66" spans="1:18" ht="15" x14ac:dyDescent="0.2">
      <c r="A66" s="142" t="s">
        <v>1205</v>
      </c>
      <c r="B66" s="143" t="s">
        <v>1205</v>
      </c>
      <c r="C66" s="170" t="s">
        <v>1068</v>
      </c>
      <c r="D66" s="143" t="s">
        <v>3254</v>
      </c>
      <c r="E66" s="145" t="s">
        <v>3853</v>
      </c>
      <c r="F66" s="145" t="s">
        <v>3853</v>
      </c>
      <c r="G66" s="143" t="s">
        <v>3272</v>
      </c>
      <c r="H66" s="143" t="s">
        <v>3273</v>
      </c>
      <c r="I66" s="143" t="s">
        <v>312</v>
      </c>
      <c r="J66" s="143" t="s">
        <v>1211</v>
      </c>
      <c r="K66" s="163">
        <v>45316</v>
      </c>
      <c r="L66" s="144">
        <v>426.50200000000001</v>
      </c>
      <c r="M66" s="144">
        <v>1603.221018</v>
      </c>
      <c r="N66" s="144">
        <v>77.432000000000002</v>
      </c>
      <c r="O66" s="144">
        <v>291.06688799999995</v>
      </c>
      <c r="P66" s="170">
        <v>0.18155131746158282</v>
      </c>
      <c r="Q66" s="174">
        <v>49096</v>
      </c>
      <c r="R66" s="181"/>
    </row>
    <row r="67" spans="1:18" ht="15" x14ac:dyDescent="0.2">
      <c r="A67" s="142" t="s">
        <v>1205</v>
      </c>
      <c r="B67" s="143" t="s">
        <v>1205</v>
      </c>
      <c r="C67" s="170" t="s">
        <v>1068</v>
      </c>
      <c r="D67" s="143" t="s">
        <v>3540</v>
      </c>
      <c r="E67" s="145" t="s">
        <v>3853</v>
      </c>
      <c r="F67" s="145" t="s">
        <v>3853</v>
      </c>
      <c r="G67" s="143" t="s">
        <v>3541</v>
      </c>
      <c r="H67" s="143" t="s">
        <v>3542</v>
      </c>
      <c r="I67" s="143" t="s">
        <v>312</v>
      </c>
      <c r="J67" s="143" t="s">
        <v>1211</v>
      </c>
      <c r="K67" s="163">
        <v>45225</v>
      </c>
      <c r="L67" s="144">
        <v>232</v>
      </c>
      <c r="M67" s="144">
        <v>872.08799999999997</v>
      </c>
      <c r="N67" s="144">
        <v>69.599999999999994</v>
      </c>
      <c r="O67" s="144">
        <v>261.62639999999999</v>
      </c>
      <c r="P67" s="170">
        <v>0.3</v>
      </c>
      <c r="Q67" s="174">
        <v>47081</v>
      </c>
      <c r="R67" s="181"/>
    </row>
    <row r="68" spans="1:18" ht="15" x14ac:dyDescent="0.2">
      <c r="A68" s="142" t="s">
        <v>1205</v>
      </c>
      <c r="B68" s="143" t="s">
        <v>1205</v>
      </c>
      <c r="C68" s="170" t="s">
        <v>1068</v>
      </c>
      <c r="D68" s="143" t="s">
        <v>314</v>
      </c>
      <c r="E68" s="145" t="s">
        <v>3853</v>
      </c>
      <c r="F68" s="145" t="s">
        <v>3853</v>
      </c>
      <c r="G68" s="143" t="s">
        <v>3573</v>
      </c>
      <c r="H68" s="143" t="s">
        <v>3574</v>
      </c>
      <c r="I68" s="143" t="s">
        <v>312</v>
      </c>
      <c r="J68" s="143" t="s">
        <v>1211</v>
      </c>
      <c r="K68" s="163">
        <v>45369</v>
      </c>
      <c r="L68" s="144">
        <v>301.7619277</v>
      </c>
      <c r="M68" s="144">
        <v>1134.3230862242999</v>
      </c>
      <c r="N68" s="144">
        <v>51.004687700000012</v>
      </c>
      <c r="O68" s="144">
        <v>191.72662106430005</v>
      </c>
      <c r="P68" s="170">
        <v>0.16902293834332507</v>
      </c>
      <c r="Q68" s="174">
        <v>47149</v>
      </c>
      <c r="R68" s="181"/>
    </row>
    <row r="69" spans="1:18" ht="15" x14ac:dyDescent="0.2">
      <c r="A69" s="142" t="s">
        <v>1205</v>
      </c>
      <c r="B69" s="143" t="s">
        <v>1205</v>
      </c>
      <c r="C69" s="170" t="s">
        <v>1068</v>
      </c>
      <c r="D69" s="143" t="s">
        <v>3294</v>
      </c>
      <c r="E69" s="145" t="s">
        <v>3853</v>
      </c>
      <c r="F69" s="145" t="s">
        <v>3853</v>
      </c>
      <c r="G69" s="143" t="s">
        <v>3295</v>
      </c>
      <c r="H69" s="143" t="s">
        <v>3296</v>
      </c>
      <c r="I69" s="143" t="s">
        <v>312</v>
      </c>
      <c r="J69" s="143" t="s">
        <v>1211</v>
      </c>
      <c r="K69" s="163">
        <v>45316</v>
      </c>
      <c r="L69" s="144">
        <v>470.75099</v>
      </c>
      <c r="M69" s="144">
        <v>1769.5529714100001</v>
      </c>
      <c r="N69" s="144">
        <v>93.476380000000006</v>
      </c>
      <c r="O69" s="144">
        <v>351.37771242000002</v>
      </c>
      <c r="P69" s="170">
        <v>0.19856863179406165</v>
      </c>
      <c r="Q69" s="174">
        <v>45291</v>
      </c>
      <c r="R69" s="181"/>
    </row>
    <row r="70" spans="1:18" ht="15" x14ac:dyDescent="0.2">
      <c r="A70" s="142" t="s">
        <v>1205</v>
      </c>
      <c r="B70" s="143" t="s">
        <v>1205</v>
      </c>
      <c r="C70" s="170" t="s">
        <v>1068</v>
      </c>
      <c r="D70" s="143" t="s">
        <v>3312</v>
      </c>
      <c r="E70" s="145" t="s">
        <v>3853</v>
      </c>
      <c r="F70" s="145" t="s">
        <v>3853</v>
      </c>
      <c r="G70" s="143" t="s">
        <v>3313</v>
      </c>
      <c r="H70" s="143" t="s">
        <v>3314</v>
      </c>
      <c r="I70" s="143" t="s">
        <v>312</v>
      </c>
      <c r="J70" s="143" t="s">
        <v>1211</v>
      </c>
      <c r="K70" s="163">
        <v>44991</v>
      </c>
      <c r="L70" s="144">
        <v>273.60000000000002</v>
      </c>
      <c r="M70" s="144">
        <v>1028.4624000000001</v>
      </c>
      <c r="N70" s="144">
        <v>68.400000000000006</v>
      </c>
      <c r="O70" s="144">
        <v>257.11560000000003</v>
      </c>
      <c r="P70" s="170">
        <v>0.25</v>
      </c>
      <c r="Q70" s="174">
        <v>48352</v>
      </c>
      <c r="R70" s="181"/>
    </row>
    <row r="71" spans="1:18" ht="15" x14ac:dyDescent="0.2">
      <c r="A71" s="142" t="s">
        <v>1205</v>
      </c>
      <c r="B71" s="143" t="s">
        <v>1205</v>
      </c>
      <c r="C71" s="170" t="s">
        <v>1068</v>
      </c>
      <c r="D71" s="143" t="s">
        <v>3380</v>
      </c>
      <c r="E71" s="145" t="s">
        <v>3853</v>
      </c>
      <c r="F71" s="145" t="s">
        <v>3853</v>
      </c>
      <c r="G71" s="143" t="s">
        <v>3381</v>
      </c>
      <c r="H71" s="143" t="s">
        <v>3382</v>
      </c>
      <c r="I71" s="143" t="s">
        <v>312</v>
      </c>
      <c r="J71" s="143" t="s">
        <v>1210</v>
      </c>
      <c r="K71" s="163">
        <v>45237</v>
      </c>
      <c r="L71" s="144">
        <v>1015.18751</v>
      </c>
      <c r="M71" s="144">
        <v>1015.18751</v>
      </c>
      <c r="N71" s="144">
        <v>340.76751000000002</v>
      </c>
      <c r="O71" s="144">
        <v>340.76751000000002</v>
      </c>
      <c r="P71" s="170">
        <v>0.33566952572141084</v>
      </c>
      <c r="Q71" s="174">
        <v>47026</v>
      </c>
      <c r="R71" s="181"/>
    </row>
    <row r="72" spans="1:18" ht="15" x14ac:dyDescent="0.2">
      <c r="A72" s="142" t="s">
        <v>1205</v>
      </c>
      <c r="B72" s="143" t="s">
        <v>1205</v>
      </c>
      <c r="C72" s="170" t="s">
        <v>1068</v>
      </c>
      <c r="D72" s="143" t="s">
        <v>3324</v>
      </c>
      <c r="E72" s="145" t="s">
        <v>3853</v>
      </c>
      <c r="F72" s="145" t="s">
        <v>3853</v>
      </c>
      <c r="G72" s="143" t="s">
        <v>3325</v>
      </c>
      <c r="H72" s="143" t="s">
        <v>3326</v>
      </c>
      <c r="I72" s="143" t="s">
        <v>312</v>
      </c>
      <c r="J72" s="143" t="s">
        <v>1211</v>
      </c>
      <c r="K72" s="163">
        <v>45362</v>
      </c>
      <c r="L72" s="144">
        <v>162.4</v>
      </c>
      <c r="M72" s="144">
        <v>610.46159999999998</v>
      </c>
      <c r="N72" s="144">
        <v>24.522399999999994</v>
      </c>
      <c r="O72" s="144">
        <v>92.179701599999973</v>
      </c>
      <c r="P72" s="170">
        <v>0.15099999999999997</v>
      </c>
      <c r="Q72" s="174">
        <v>47082</v>
      </c>
      <c r="R72" s="181"/>
    </row>
    <row r="73" spans="1:18" ht="15" x14ac:dyDescent="0.2">
      <c r="A73" s="142" t="s">
        <v>1205</v>
      </c>
      <c r="B73" s="143" t="s">
        <v>1205</v>
      </c>
      <c r="C73" s="170" t="s">
        <v>1068</v>
      </c>
      <c r="D73" s="143" t="s">
        <v>3282</v>
      </c>
      <c r="E73" s="145" t="s">
        <v>3853</v>
      </c>
      <c r="F73" s="145" t="s">
        <v>3853</v>
      </c>
      <c r="G73" s="143" t="s">
        <v>3283</v>
      </c>
      <c r="H73" s="143" t="s">
        <v>3284</v>
      </c>
      <c r="I73" s="143" t="s">
        <v>312</v>
      </c>
      <c r="J73" s="143" t="s">
        <v>1211</v>
      </c>
      <c r="K73" s="163">
        <v>45350</v>
      </c>
      <c r="L73" s="144">
        <v>356.358</v>
      </c>
      <c r="M73" s="144">
        <v>1339.549722</v>
      </c>
      <c r="N73" s="144">
        <v>78.334989999999991</v>
      </c>
      <c r="O73" s="144">
        <v>294.46122740999994</v>
      </c>
      <c r="P73" s="170">
        <v>0.21982105074110861</v>
      </c>
      <c r="Q73" s="174">
        <v>45291</v>
      </c>
      <c r="R73" s="181"/>
    </row>
    <row r="74" spans="1:18" ht="15" x14ac:dyDescent="0.2">
      <c r="A74" s="142" t="s">
        <v>1205</v>
      </c>
      <c r="B74" s="143" t="s">
        <v>1205</v>
      </c>
      <c r="C74" s="170" t="s">
        <v>1068</v>
      </c>
      <c r="D74" s="143" t="s">
        <v>3372</v>
      </c>
      <c r="E74" s="145" t="s">
        <v>3853</v>
      </c>
      <c r="F74" s="145" t="s">
        <v>3853</v>
      </c>
      <c r="G74" s="143" t="s">
        <v>3373</v>
      </c>
      <c r="H74" s="143" t="s">
        <v>3374</v>
      </c>
      <c r="I74" s="143" t="s">
        <v>312</v>
      </c>
      <c r="J74" s="143" t="s">
        <v>1210</v>
      </c>
      <c r="K74" s="163">
        <v>45172</v>
      </c>
      <c r="L74" s="144">
        <v>1118.393</v>
      </c>
      <c r="M74" s="144">
        <v>1118.393</v>
      </c>
      <c r="N74" s="144">
        <v>47.47</v>
      </c>
      <c r="O74" s="144">
        <v>47.47</v>
      </c>
      <c r="P74" s="170">
        <v>4.2444829322071935E-2</v>
      </c>
      <c r="Q74" s="174">
        <v>47238</v>
      </c>
      <c r="R74" s="181"/>
    </row>
    <row r="75" spans="1:18" ht="15" x14ac:dyDescent="0.2">
      <c r="A75" s="142" t="s">
        <v>1205</v>
      </c>
      <c r="B75" s="143" t="s">
        <v>1205</v>
      </c>
      <c r="C75" s="170" t="s">
        <v>1068</v>
      </c>
      <c r="D75" s="143" t="s">
        <v>3534</v>
      </c>
      <c r="E75" s="145" t="s">
        <v>3853</v>
      </c>
      <c r="F75" s="145" t="s">
        <v>3853</v>
      </c>
      <c r="G75" s="143" t="s">
        <v>3556</v>
      </c>
      <c r="H75" s="143" t="s">
        <v>3557</v>
      </c>
      <c r="I75" s="143" t="s">
        <v>312</v>
      </c>
      <c r="J75" s="143" t="s">
        <v>1211</v>
      </c>
      <c r="K75" s="163">
        <v>45197</v>
      </c>
      <c r="L75" s="144">
        <v>247.25700000000001</v>
      </c>
      <c r="M75" s="144">
        <v>929.43906299999992</v>
      </c>
      <c r="N75" s="144">
        <v>75.042000000000002</v>
      </c>
      <c r="O75" s="144">
        <v>282.08287799999999</v>
      </c>
      <c r="P75" s="170">
        <v>0.3034979798347468</v>
      </c>
      <c r="Q75" s="174">
        <v>46022</v>
      </c>
      <c r="R75" s="181"/>
    </row>
    <row r="76" spans="1:18" ht="15" x14ac:dyDescent="0.2">
      <c r="A76" s="142" t="s">
        <v>1205</v>
      </c>
      <c r="B76" s="143" t="s">
        <v>1205</v>
      </c>
      <c r="C76" s="170" t="s">
        <v>1068</v>
      </c>
      <c r="D76" s="143" t="s">
        <v>3339</v>
      </c>
      <c r="E76" s="145" t="s">
        <v>3853</v>
      </c>
      <c r="F76" s="145" t="s">
        <v>3853</v>
      </c>
      <c r="G76" s="143" t="s">
        <v>3340</v>
      </c>
      <c r="H76" s="143" t="s">
        <v>3341</v>
      </c>
      <c r="I76" s="143" t="s">
        <v>312</v>
      </c>
      <c r="J76" s="143" t="s">
        <v>1211</v>
      </c>
      <c r="K76" s="163">
        <v>45365</v>
      </c>
      <c r="L76" s="144">
        <v>193.8</v>
      </c>
      <c r="M76" s="144">
        <v>728.49419999999998</v>
      </c>
      <c r="N76" s="144">
        <v>94.485969999999995</v>
      </c>
      <c r="O76" s="144">
        <v>355.17276122999999</v>
      </c>
      <c r="P76" s="170">
        <v>0.48754370485036125</v>
      </c>
      <c r="Q76" s="174">
        <v>48055</v>
      </c>
      <c r="R76" s="181"/>
    </row>
    <row r="77" spans="1:18" ht="15" x14ac:dyDescent="0.2">
      <c r="A77" s="142" t="s">
        <v>1205</v>
      </c>
      <c r="B77" s="143" t="s">
        <v>1205</v>
      </c>
      <c r="C77" s="170" t="s">
        <v>1068</v>
      </c>
      <c r="D77" s="143" t="s">
        <v>3327</v>
      </c>
      <c r="E77" s="145" t="s">
        <v>3853</v>
      </c>
      <c r="F77" s="145" t="s">
        <v>3853</v>
      </c>
      <c r="G77" s="143" t="s">
        <v>3328</v>
      </c>
      <c r="H77" s="143" t="s">
        <v>3329</v>
      </c>
      <c r="I77" s="143" t="s">
        <v>312</v>
      </c>
      <c r="J77" s="143" t="s">
        <v>1211</v>
      </c>
      <c r="K77" s="163">
        <v>45291</v>
      </c>
      <c r="L77" s="144">
        <v>233.78800000000001</v>
      </c>
      <c r="M77" s="144">
        <v>878.80909199999996</v>
      </c>
      <c r="N77" s="144">
        <v>124.38200000000001</v>
      </c>
      <c r="O77" s="144">
        <v>467.55193799999995</v>
      </c>
      <c r="P77" s="170">
        <v>0.53202901774257016</v>
      </c>
      <c r="Q77" s="174">
        <v>47083</v>
      </c>
      <c r="R77" s="181"/>
    </row>
    <row r="78" spans="1:18" ht="15" x14ac:dyDescent="0.2">
      <c r="A78" s="142" t="s">
        <v>1205</v>
      </c>
      <c r="B78" s="143" t="s">
        <v>1205</v>
      </c>
      <c r="C78" s="170" t="s">
        <v>1068</v>
      </c>
      <c r="D78" s="143" t="s">
        <v>3531</v>
      </c>
      <c r="E78" s="145" t="s">
        <v>3853</v>
      </c>
      <c r="F78" s="145" t="s">
        <v>3853</v>
      </c>
      <c r="G78" s="143" t="s">
        <v>3532</v>
      </c>
      <c r="H78" s="143" t="s">
        <v>3533</v>
      </c>
      <c r="I78" s="143" t="s">
        <v>312</v>
      </c>
      <c r="J78" s="143" t="s">
        <v>1211</v>
      </c>
      <c r="K78" s="163">
        <v>45350</v>
      </c>
      <c r="L78" s="144">
        <v>50</v>
      </c>
      <c r="M78" s="144">
        <v>187.95</v>
      </c>
      <c r="N78" s="144">
        <v>48.1</v>
      </c>
      <c r="O78" s="144">
        <v>180.80789999999999</v>
      </c>
      <c r="P78" s="170">
        <v>0.96199999999999997</v>
      </c>
      <c r="Q78" s="174">
        <v>49003</v>
      </c>
      <c r="R78" s="181"/>
    </row>
    <row r="79" spans="1:18" ht="15" x14ac:dyDescent="0.2">
      <c r="A79" s="142" t="s">
        <v>1205</v>
      </c>
      <c r="B79" s="143" t="s">
        <v>1205</v>
      </c>
      <c r="C79" s="170" t="s">
        <v>1068</v>
      </c>
      <c r="D79" s="143" t="s">
        <v>3467</v>
      </c>
      <c r="E79" s="145" t="s">
        <v>3853</v>
      </c>
      <c r="F79" s="145" t="s">
        <v>3853</v>
      </c>
      <c r="G79" s="143" t="s">
        <v>3468</v>
      </c>
      <c r="H79" s="143" t="s">
        <v>3469</v>
      </c>
      <c r="I79" s="143" t="s">
        <v>312</v>
      </c>
      <c r="J79" s="143" t="s">
        <v>1211</v>
      </c>
      <c r="K79" s="163">
        <v>45281</v>
      </c>
      <c r="L79" s="144">
        <v>182.4</v>
      </c>
      <c r="M79" s="144">
        <v>685.64159999999993</v>
      </c>
      <c r="N79" s="144">
        <v>82.08</v>
      </c>
      <c r="O79" s="144">
        <v>308.53871999999996</v>
      </c>
      <c r="P79" s="170">
        <v>0.44999999999999996</v>
      </c>
      <c r="Q79" s="174">
        <v>47543</v>
      </c>
      <c r="R79" s="181"/>
    </row>
    <row r="80" spans="1:18" ht="15" x14ac:dyDescent="0.2">
      <c r="A80" s="142" t="s">
        <v>1205</v>
      </c>
      <c r="B80" s="143" t="s">
        <v>1205</v>
      </c>
      <c r="C80" s="170" t="s">
        <v>1068</v>
      </c>
      <c r="D80" s="143" t="s">
        <v>314</v>
      </c>
      <c r="E80" s="145" t="s">
        <v>3853</v>
      </c>
      <c r="F80" s="145" t="s">
        <v>3853</v>
      </c>
      <c r="G80" s="143" t="s">
        <v>3565</v>
      </c>
      <c r="H80" s="143" t="s">
        <v>3566</v>
      </c>
      <c r="I80" s="143" t="s">
        <v>312</v>
      </c>
      <c r="J80" s="143" t="s">
        <v>1211</v>
      </c>
      <c r="K80" s="163">
        <v>45378</v>
      </c>
      <c r="L80" s="144">
        <v>370.88499999999999</v>
      </c>
      <c r="M80" s="144">
        <v>1394.1567149999998</v>
      </c>
      <c r="N80" s="144">
        <v>14.215999999999999</v>
      </c>
      <c r="O80" s="144">
        <v>53.437943999999995</v>
      </c>
      <c r="P80" s="170">
        <v>3.8329940547609097E-2</v>
      </c>
      <c r="Q80" s="174">
        <v>47269</v>
      </c>
      <c r="R80" s="181"/>
    </row>
    <row r="81" spans="1:18" ht="15" x14ac:dyDescent="0.2">
      <c r="A81" s="142" t="s">
        <v>1205</v>
      </c>
      <c r="B81" s="143" t="s">
        <v>1205</v>
      </c>
      <c r="C81" s="170" t="s">
        <v>1068</v>
      </c>
      <c r="D81" s="143" t="s">
        <v>314</v>
      </c>
      <c r="E81" s="145" t="s">
        <v>3853</v>
      </c>
      <c r="F81" s="145" t="s">
        <v>3853</v>
      </c>
      <c r="G81" s="143" t="s">
        <v>3567</v>
      </c>
      <c r="H81" s="143" t="s">
        <v>3568</v>
      </c>
      <c r="I81" s="143" t="s">
        <v>312</v>
      </c>
      <c r="J81" s="143" t="s">
        <v>1211</v>
      </c>
      <c r="K81" s="163">
        <v>45362</v>
      </c>
      <c r="L81" s="144">
        <v>477.97399999999999</v>
      </c>
      <c r="M81" s="144">
        <v>1796.704266</v>
      </c>
      <c r="N81" s="144">
        <v>39.924999999999997</v>
      </c>
      <c r="O81" s="144">
        <v>150.07807499999998</v>
      </c>
      <c r="P81" s="170">
        <v>8.3529648056170414E-2</v>
      </c>
      <c r="Q81" s="174">
        <v>47543</v>
      </c>
      <c r="R81" s="181"/>
    </row>
    <row r="82" spans="1:18" ht="15" x14ac:dyDescent="0.2">
      <c r="A82" s="142" t="s">
        <v>1205</v>
      </c>
      <c r="B82" s="143" t="s">
        <v>1205</v>
      </c>
      <c r="C82" s="170" t="s">
        <v>1068</v>
      </c>
      <c r="D82" s="143" t="s">
        <v>3486</v>
      </c>
      <c r="E82" s="145" t="s">
        <v>3853</v>
      </c>
      <c r="F82" s="145" t="s">
        <v>3853</v>
      </c>
      <c r="G82" s="143" t="s">
        <v>3486</v>
      </c>
      <c r="H82" s="143" t="s">
        <v>3487</v>
      </c>
      <c r="I82" s="143" t="s">
        <v>312</v>
      </c>
      <c r="J82" s="143" t="s">
        <v>1210</v>
      </c>
      <c r="K82" s="163">
        <v>45362</v>
      </c>
      <c r="L82" s="144">
        <v>604.16499999999996</v>
      </c>
      <c r="M82" s="144">
        <v>604.16499999999996</v>
      </c>
      <c r="N82" s="144">
        <v>215.28998999999999</v>
      </c>
      <c r="O82" s="144">
        <v>215.28998999999999</v>
      </c>
      <c r="P82" s="170">
        <v>0.35634303542906326</v>
      </c>
      <c r="Q82" s="174">
        <v>46905</v>
      </c>
      <c r="R82" s="181"/>
    </row>
    <row r="83" spans="1:18" ht="15" x14ac:dyDescent="0.2">
      <c r="A83" s="142" t="s">
        <v>1205</v>
      </c>
      <c r="B83" s="143" t="s">
        <v>1205</v>
      </c>
      <c r="C83" s="170" t="s">
        <v>1068</v>
      </c>
      <c r="D83" s="143" t="s">
        <v>3245</v>
      </c>
      <c r="E83" s="145" t="s">
        <v>3853</v>
      </c>
      <c r="F83" s="145" t="s">
        <v>3853</v>
      </c>
      <c r="G83" s="143" t="s">
        <v>3246</v>
      </c>
      <c r="H83" s="143" t="s">
        <v>3247</v>
      </c>
      <c r="I83" s="143" t="s">
        <v>312</v>
      </c>
      <c r="J83" s="143" t="s">
        <v>1211</v>
      </c>
      <c r="K83" s="163">
        <v>45250</v>
      </c>
      <c r="L83" s="144">
        <v>570</v>
      </c>
      <c r="M83" s="144">
        <v>2142.63</v>
      </c>
      <c r="N83" s="144">
        <v>20.65</v>
      </c>
      <c r="O83" s="144">
        <v>77.623349999999988</v>
      </c>
      <c r="P83" s="170">
        <v>3.6228070175438595E-2</v>
      </c>
      <c r="Q83" s="174">
        <v>47664</v>
      </c>
      <c r="R83" s="181"/>
    </row>
    <row r="84" spans="1:18" ht="15" x14ac:dyDescent="0.2">
      <c r="A84" s="142" t="s">
        <v>1205</v>
      </c>
      <c r="B84" s="143" t="s">
        <v>1205</v>
      </c>
      <c r="C84" s="170" t="s">
        <v>1068</v>
      </c>
      <c r="D84" s="143" t="s">
        <v>3288</v>
      </c>
      <c r="E84" s="145" t="s">
        <v>3853</v>
      </c>
      <c r="F84" s="145" t="s">
        <v>3853</v>
      </c>
      <c r="G84" s="143" t="s">
        <v>3289</v>
      </c>
      <c r="H84" s="143" t="s">
        <v>3290</v>
      </c>
      <c r="I84" s="143" t="s">
        <v>312</v>
      </c>
      <c r="J84" s="143" t="s">
        <v>1211</v>
      </c>
      <c r="K84" s="163">
        <v>45279</v>
      </c>
      <c r="L84" s="144">
        <v>386.51288</v>
      </c>
      <c r="M84" s="144">
        <v>1452.90191592</v>
      </c>
      <c r="N84" s="144">
        <v>157.61770000000001</v>
      </c>
      <c r="O84" s="144">
        <v>592.48493430000008</v>
      </c>
      <c r="P84" s="170">
        <v>0.40779417234426968</v>
      </c>
      <c r="Q84" s="174">
        <v>47817</v>
      </c>
      <c r="R84" s="181"/>
    </row>
    <row r="85" spans="1:18" ht="15" x14ac:dyDescent="0.2">
      <c r="A85" s="142" t="s">
        <v>1205</v>
      </c>
      <c r="B85" s="143" t="s">
        <v>1205</v>
      </c>
      <c r="C85" s="170" t="s">
        <v>1068</v>
      </c>
      <c r="D85" s="143" t="s">
        <v>3254</v>
      </c>
      <c r="E85" s="145" t="s">
        <v>3853</v>
      </c>
      <c r="F85" s="145" t="s">
        <v>3853</v>
      </c>
      <c r="G85" s="143" t="s">
        <v>3255</v>
      </c>
      <c r="H85" s="143" t="s">
        <v>3256</v>
      </c>
      <c r="I85" s="143" t="s">
        <v>312</v>
      </c>
      <c r="J85" s="143" t="s">
        <v>1211</v>
      </c>
      <c r="K85" s="163">
        <v>45320</v>
      </c>
      <c r="L85" s="144">
        <v>584.51800000000003</v>
      </c>
      <c r="M85" s="144">
        <v>2197.2031619999998</v>
      </c>
      <c r="N85" s="144">
        <v>107.666</v>
      </c>
      <c r="O85" s="144">
        <v>404.71649400000001</v>
      </c>
      <c r="P85" s="170">
        <v>0.18419620952648166</v>
      </c>
      <c r="Q85" s="174">
        <v>47046</v>
      </c>
      <c r="R85" s="181"/>
    </row>
    <row r="86" spans="1:18" ht="15" x14ac:dyDescent="0.2">
      <c r="A86" s="142" t="s">
        <v>1205</v>
      </c>
      <c r="B86" s="143" t="s">
        <v>1205</v>
      </c>
      <c r="C86" s="170" t="s">
        <v>1068</v>
      </c>
      <c r="D86" s="143" t="s">
        <v>3345</v>
      </c>
      <c r="E86" s="145" t="s">
        <v>3853</v>
      </c>
      <c r="F86" s="145" t="s">
        <v>3853</v>
      </c>
      <c r="G86" s="143" t="s">
        <v>3346</v>
      </c>
      <c r="H86" s="143" t="s">
        <v>3347</v>
      </c>
      <c r="I86" s="143" t="s">
        <v>312</v>
      </c>
      <c r="J86" s="143" t="s">
        <v>1211</v>
      </c>
      <c r="K86" s="163">
        <v>45230</v>
      </c>
      <c r="L86" s="144">
        <v>233.78800000000001</v>
      </c>
      <c r="M86" s="144">
        <v>878.80909199999996</v>
      </c>
      <c r="N86" s="144">
        <v>179.23996</v>
      </c>
      <c r="O86" s="144">
        <v>673.76300963999995</v>
      </c>
      <c r="P86" s="170">
        <v>0.76667733159956886</v>
      </c>
      <c r="Q86" s="174">
        <v>45291</v>
      </c>
      <c r="R86" s="181"/>
    </row>
    <row r="87" spans="1:18" ht="15" x14ac:dyDescent="0.2">
      <c r="A87" s="142" t="s">
        <v>1205</v>
      </c>
      <c r="B87" s="143" t="s">
        <v>1205</v>
      </c>
      <c r="C87" s="170" t="s">
        <v>1068</v>
      </c>
      <c r="D87" s="143" t="s">
        <v>3578</v>
      </c>
      <c r="E87" s="145" t="s">
        <v>3853</v>
      </c>
      <c r="F87" s="145" t="s">
        <v>3853</v>
      </c>
      <c r="G87" s="143" t="s">
        <v>3576</v>
      </c>
      <c r="H87" s="143" t="s">
        <v>3579</v>
      </c>
      <c r="I87" s="143" t="s">
        <v>312</v>
      </c>
      <c r="J87" s="143" t="s">
        <v>1211</v>
      </c>
      <c r="K87" s="163">
        <v>45362</v>
      </c>
      <c r="L87" s="144">
        <v>90.578999999999994</v>
      </c>
      <c r="M87" s="144">
        <v>340.48646100000002</v>
      </c>
      <c r="N87" s="144">
        <v>27.175999999999998</v>
      </c>
      <c r="O87" s="144">
        <v>102.154584</v>
      </c>
      <c r="P87" s="170">
        <v>0.30002539219907481</v>
      </c>
      <c r="Q87" s="174">
        <v>48883</v>
      </c>
      <c r="R87" s="181"/>
    </row>
    <row r="88" spans="1:18" ht="15" x14ac:dyDescent="0.2">
      <c r="A88" s="142" t="s">
        <v>1205</v>
      </c>
      <c r="B88" s="143" t="s">
        <v>1205</v>
      </c>
      <c r="C88" s="170" t="s">
        <v>1068</v>
      </c>
      <c r="D88" s="143" t="s">
        <v>3411</v>
      </c>
      <c r="E88" s="145" t="s">
        <v>3853</v>
      </c>
      <c r="F88" s="145" t="s">
        <v>3853</v>
      </c>
      <c r="G88" s="143" t="s">
        <v>3417</v>
      </c>
      <c r="H88" s="143" t="s">
        <v>3418</v>
      </c>
      <c r="I88" s="143" t="s">
        <v>312</v>
      </c>
      <c r="J88" s="143" t="s">
        <v>1210</v>
      </c>
      <c r="K88" s="163">
        <v>45271</v>
      </c>
      <c r="L88" s="144">
        <v>1280</v>
      </c>
      <c r="M88" s="144">
        <v>1280</v>
      </c>
      <c r="N88" s="144">
        <v>166.13800000000001</v>
      </c>
      <c r="O88" s="144">
        <v>166.13800000000001</v>
      </c>
      <c r="P88" s="170">
        <v>0.12979531250000001</v>
      </c>
      <c r="Q88" s="174">
        <v>45291</v>
      </c>
      <c r="R88" s="181"/>
    </row>
    <row r="89" spans="1:18" ht="15" x14ac:dyDescent="0.2">
      <c r="A89" s="142" t="s">
        <v>1205</v>
      </c>
      <c r="B89" s="143" t="s">
        <v>1205</v>
      </c>
      <c r="C89" s="170" t="s">
        <v>1068</v>
      </c>
      <c r="D89" s="143" t="s">
        <v>3441</v>
      </c>
      <c r="E89" s="145" t="s">
        <v>3853</v>
      </c>
      <c r="F89" s="145" t="s">
        <v>3853</v>
      </c>
      <c r="G89" s="143" t="s">
        <v>3442</v>
      </c>
      <c r="H89" s="143" t="s">
        <v>3443</v>
      </c>
      <c r="I89" s="143" t="s">
        <v>312</v>
      </c>
      <c r="J89" s="143" t="s">
        <v>1214</v>
      </c>
      <c r="K89" s="163">
        <v>45046</v>
      </c>
      <c r="L89" s="144">
        <v>746.33312799999987</v>
      </c>
      <c r="M89" s="144">
        <v>3000.4084411855997</v>
      </c>
      <c r="N89" s="144">
        <v>91.947797999999949</v>
      </c>
      <c r="O89" s="144">
        <v>369.64853751959976</v>
      </c>
      <c r="P89" s="170">
        <v>0.12319940593605802</v>
      </c>
      <c r="Q89" s="174">
        <v>45961</v>
      </c>
      <c r="R89" s="181"/>
    </row>
    <row r="90" spans="1:18" ht="15" x14ac:dyDescent="0.2">
      <c r="A90" s="142" t="s">
        <v>1205</v>
      </c>
      <c r="B90" s="143" t="s">
        <v>1205</v>
      </c>
      <c r="C90" s="170" t="s">
        <v>1068</v>
      </c>
      <c r="D90" s="143" t="s">
        <v>3321</v>
      </c>
      <c r="E90" s="145" t="s">
        <v>3853</v>
      </c>
      <c r="F90" s="145" t="s">
        <v>3853</v>
      </c>
      <c r="G90" s="143" t="s">
        <v>3392</v>
      </c>
      <c r="H90" s="143" t="s">
        <v>3393</v>
      </c>
      <c r="I90" s="143" t="s">
        <v>312</v>
      </c>
      <c r="J90" s="143" t="s">
        <v>1211</v>
      </c>
      <c r="K90" s="163">
        <v>45337</v>
      </c>
      <c r="L90" s="144">
        <v>414</v>
      </c>
      <c r="M90" s="144">
        <v>1556.2260000000001</v>
      </c>
      <c r="N90" s="144">
        <v>194.58698999999999</v>
      </c>
      <c r="O90" s="144">
        <v>731.45249540999998</v>
      </c>
      <c r="P90" s="170">
        <v>0.47001688405797099</v>
      </c>
      <c r="Q90" s="174">
        <v>48303</v>
      </c>
      <c r="R90" s="181"/>
    </row>
    <row r="91" spans="1:18" ht="15" x14ac:dyDescent="0.2">
      <c r="A91" s="142" t="s">
        <v>1205</v>
      </c>
      <c r="B91" s="143" t="s">
        <v>1205</v>
      </c>
      <c r="C91" s="170" t="s">
        <v>1068</v>
      </c>
      <c r="D91" s="143" t="s">
        <v>3480</v>
      </c>
      <c r="E91" s="145" t="s">
        <v>3853</v>
      </c>
      <c r="F91" s="145" t="s">
        <v>3853</v>
      </c>
      <c r="G91" s="143" t="s">
        <v>3481</v>
      </c>
      <c r="H91" s="143" t="s">
        <v>3482</v>
      </c>
      <c r="I91" s="143" t="s">
        <v>312</v>
      </c>
      <c r="J91" s="143" t="s">
        <v>1210</v>
      </c>
      <c r="K91" s="163">
        <v>45306</v>
      </c>
      <c r="L91" s="144">
        <v>2505.9119999999998</v>
      </c>
      <c r="M91" s="144">
        <v>2505.9119999999998</v>
      </c>
      <c r="N91" s="144">
        <v>300.39620000000019</v>
      </c>
      <c r="O91" s="144">
        <v>300.39620000000019</v>
      </c>
      <c r="P91" s="170">
        <v>0.11987499960094376</v>
      </c>
      <c r="Q91" s="174">
        <v>46507</v>
      </c>
      <c r="R91" s="181"/>
    </row>
    <row r="92" spans="1:18" ht="15" x14ac:dyDescent="0.2">
      <c r="A92" s="142" t="s">
        <v>1205</v>
      </c>
      <c r="B92" s="143" t="s">
        <v>1205</v>
      </c>
      <c r="C92" s="170" t="s">
        <v>1068</v>
      </c>
      <c r="D92" s="143" t="s">
        <v>3353</v>
      </c>
      <c r="E92" s="145" t="s">
        <v>3853</v>
      </c>
      <c r="F92" s="145" t="s">
        <v>3853</v>
      </c>
      <c r="G92" s="143" t="s">
        <v>3354</v>
      </c>
      <c r="H92" s="143" t="s">
        <v>3355</v>
      </c>
      <c r="I92" s="143" t="s">
        <v>312</v>
      </c>
      <c r="J92" s="143" t="s">
        <v>1211</v>
      </c>
      <c r="K92" s="163">
        <v>45342</v>
      </c>
      <c r="L92" s="144">
        <v>364.8</v>
      </c>
      <c r="M92" s="144">
        <v>1371.2831999999999</v>
      </c>
      <c r="N92" s="144">
        <v>331.59861999999998</v>
      </c>
      <c r="O92" s="144">
        <v>1246.47921258</v>
      </c>
      <c r="P92" s="170">
        <v>0.90898744517543861</v>
      </c>
      <c r="Q92" s="174">
        <v>44742</v>
      </c>
      <c r="R92" s="181"/>
    </row>
    <row r="93" spans="1:18" ht="15" x14ac:dyDescent="0.2">
      <c r="A93" s="142" t="s">
        <v>1205</v>
      </c>
      <c r="B93" s="143" t="s">
        <v>1205</v>
      </c>
      <c r="C93" s="170" t="s">
        <v>1068</v>
      </c>
      <c r="D93" s="143" t="s">
        <v>3372</v>
      </c>
      <c r="E93" s="145" t="s">
        <v>3853</v>
      </c>
      <c r="F93" s="145" t="s">
        <v>3853</v>
      </c>
      <c r="G93" s="143" t="s">
        <v>3375</v>
      </c>
      <c r="H93" s="143" t="s">
        <v>3376</v>
      </c>
      <c r="I93" s="143" t="s">
        <v>312</v>
      </c>
      <c r="J93" s="143" t="s">
        <v>1210</v>
      </c>
      <c r="K93" s="163">
        <v>45279</v>
      </c>
      <c r="L93" s="144">
        <v>1554.4349999999999</v>
      </c>
      <c r="M93" s="144">
        <v>1554.4349999999999</v>
      </c>
      <c r="N93" s="144">
        <v>534.08998999999994</v>
      </c>
      <c r="O93" s="144">
        <v>534.08998999999994</v>
      </c>
      <c r="P93" s="170">
        <v>0.34359107328386196</v>
      </c>
      <c r="Q93" s="174">
        <v>48669</v>
      </c>
      <c r="R93" s="181"/>
    </row>
    <row r="94" spans="1:18" ht="15" x14ac:dyDescent="0.2">
      <c r="A94" s="142" t="s">
        <v>1205</v>
      </c>
      <c r="B94" s="143" t="s">
        <v>1205</v>
      </c>
      <c r="C94" s="170" t="s">
        <v>1068</v>
      </c>
      <c r="D94" s="143" t="s">
        <v>3419</v>
      </c>
      <c r="E94" s="145" t="s">
        <v>3853</v>
      </c>
      <c r="F94" s="145" t="s">
        <v>3853</v>
      </c>
      <c r="G94" s="143" t="s">
        <v>3420</v>
      </c>
      <c r="H94" s="143" t="s">
        <v>3421</v>
      </c>
      <c r="I94" s="143" t="s">
        <v>312</v>
      </c>
      <c r="J94" s="143" t="s">
        <v>1210</v>
      </c>
      <c r="K94" s="163">
        <v>45243</v>
      </c>
      <c r="L94" s="144">
        <v>928</v>
      </c>
      <c r="M94" s="144">
        <v>928</v>
      </c>
      <c r="N94" s="144">
        <v>309.90699000000001</v>
      </c>
      <c r="O94" s="144">
        <v>309.90699000000001</v>
      </c>
      <c r="P94" s="170">
        <v>0.33395149784482758</v>
      </c>
      <c r="Q94" s="174">
        <v>48304</v>
      </c>
      <c r="R94" s="181"/>
    </row>
    <row r="95" spans="1:18" ht="15" x14ac:dyDescent="0.2">
      <c r="A95" s="142" t="s">
        <v>1205</v>
      </c>
      <c r="B95" s="143" t="s">
        <v>1205</v>
      </c>
      <c r="C95" s="170" t="s">
        <v>1068</v>
      </c>
      <c r="D95" s="143" t="s">
        <v>3263</v>
      </c>
      <c r="E95" s="145" t="s">
        <v>3853</v>
      </c>
      <c r="F95" s="145" t="s">
        <v>3853</v>
      </c>
      <c r="G95" s="143" t="s">
        <v>3264</v>
      </c>
      <c r="H95" s="143" t="s">
        <v>3265</v>
      </c>
      <c r="I95" s="143" t="s">
        <v>312</v>
      </c>
      <c r="J95" s="143" t="s">
        <v>1214</v>
      </c>
      <c r="K95" s="163">
        <v>45378</v>
      </c>
      <c r="L95" s="144">
        <v>387.79300000000001</v>
      </c>
      <c r="M95" s="144">
        <v>1559.0054186</v>
      </c>
      <c r="N95" s="144">
        <v>47.44159999999998</v>
      </c>
      <c r="O95" s="144">
        <v>190.7247203199999</v>
      </c>
      <c r="P95" s="170">
        <v>0.12233743259935062</v>
      </c>
      <c r="Q95" s="174">
        <v>48518</v>
      </c>
      <c r="R95" s="181"/>
    </row>
    <row r="96" spans="1:18" ht="15" x14ac:dyDescent="0.2">
      <c r="A96" s="142" t="s">
        <v>1205</v>
      </c>
      <c r="B96" s="143" t="s">
        <v>1205</v>
      </c>
      <c r="C96" s="170" t="s">
        <v>1068</v>
      </c>
      <c r="D96" s="143" t="s">
        <v>3300</v>
      </c>
      <c r="E96" s="145" t="s">
        <v>3853</v>
      </c>
      <c r="F96" s="145" t="s">
        <v>3853</v>
      </c>
      <c r="G96" s="143" t="s">
        <v>3301</v>
      </c>
      <c r="H96" s="143" t="s">
        <v>3302</v>
      </c>
      <c r="I96" s="143" t="s">
        <v>312</v>
      </c>
      <c r="J96" s="143" t="s">
        <v>1214</v>
      </c>
      <c r="K96" s="163">
        <v>45299</v>
      </c>
      <c r="L96" s="144">
        <v>216.798</v>
      </c>
      <c r="M96" s="144">
        <v>871.57131960000004</v>
      </c>
      <c r="N96" s="144">
        <v>6.3389400000000027</v>
      </c>
      <c r="O96" s="144">
        <v>25.483806588000011</v>
      </c>
      <c r="P96" s="170">
        <v>2.9238922868292154E-2</v>
      </c>
      <c r="Q96" s="174">
        <v>48052</v>
      </c>
      <c r="R96" s="181"/>
    </row>
    <row r="97" spans="1:18" ht="15" x14ac:dyDescent="0.2">
      <c r="A97" s="142" t="s">
        <v>1205</v>
      </c>
      <c r="B97" s="143" t="s">
        <v>1205</v>
      </c>
      <c r="C97" s="170" t="s">
        <v>1068</v>
      </c>
      <c r="D97" s="143" t="s">
        <v>3279</v>
      </c>
      <c r="E97" s="145" t="s">
        <v>3853</v>
      </c>
      <c r="F97" s="145" t="s">
        <v>3853</v>
      </c>
      <c r="G97" s="143" t="s">
        <v>3280</v>
      </c>
      <c r="H97" s="143" t="s">
        <v>3281</v>
      </c>
      <c r="I97" s="143" t="s">
        <v>312</v>
      </c>
      <c r="J97" s="143" t="s">
        <v>1214</v>
      </c>
      <c r="K97" s="163">
        <v>45217</v>
      </c>
      <c r="L97" s="144">
        <v>343.49056999999999</v>
      </c>
      <c r="M97" s="144">
        <v>1380.9007895140001</v>
      </c>
      <c r="N97" s="144">
        <v>59.328320000000005</v>
      </c>
      <c r="O97" s="144">
        <v>238.51171206400002</v>
      </c>
      <c r="P97" s="170">
        <v>0.17272183047121206</v>
      </c>
      <c r="Q97" s="174">
        <v>47664</v>
      </c>
      <c r="R97" s="181"/>
    </row>
    <row r="98" spans="1:18" ht="15" x14ac:dyDescent="0.2">
      <c r="A98" s="142" t="s">
        <v>1205</v>
      </c>
      <c r="B98" s="143" t="s">
        <v>1205</v>
      </c>
      <c r="C98" s="170" t="s">
        <v>1068</v>
      </c>
      <c r="D98" s="143" t="s">
        <v>3291</v>
      </c>
      <c r="E98" s="145" t="s">
        <v>3853</v>
      </c>
      <c r="F98" s="145" t="s">
        <v>3853</v>
      </c>
      <c r="G98" s="143" t="s">
        <v>3292</v>
      </c>
      <c r="H98" s="143" t="s">
        <v>3293</v>
      </c>
      <c r="I98" s="143" t="s">
        <v>312</v>
      </c>
      <c r="J98" s="143" t="s">
        <v>1211</v>
      </c>
      <c r="K98" s="163">
        <v>45316</v>
      </c>
      <c r="L98" s="144">
        <v>246.465</v>
      </c>
      <c r="M98" s="144">
        <v>926.46193499999993</v>
      </c>
      <c r="N98" s="144">
        <v>7.391</v>
      </c>
      <c r="O98" s="144">
        <v>27.782769000000002</v>
      </c>
      <c r="P98" s="170">
        <v>2.9988030754873919E-2</v>
      </c>
      <c r="Q98" s="174">
        <v>47573</v>
      </c>
      <c r="R98" s="181"/>
    </row>
    <row r="99" spans="1:18" ht="15" x14ac:dyDescent="0.2">
      <c r="A99" s="142" t="s">
        <v>1205</v>
      </c>
      <c r="B99" s="143" t="s">
        <v>1205</v>
      </c>
      <c r="C99" s="170" t="s">
        <v>1068</v>
      </c>
      <c r="D99" s="143" t="s">
        <v>3315</v>
      </c>
      <c r="E99" s="145" t="s">
        <v>3853</v>
      </c>
      <c r="F99" s="145" t="s">
        <v>3853</v>
      </c>
      <c r="G99" s="143" t="s">
        <v>3316</v>
      </c>
      <c r="H99" s="143" t="s">
        <v>3317</v>
      </c>
      <c r="I99" s="143" t="s">
        <v>312</v>
      </c>
      <c r="J99" s="143" t="s">
        <v>1211</v>
      </c>
      <c r="K99" s="163">
        <v>45362</v>
      </c>
      <c r="L99" s="144">
        <v>338.76259999999996</v>
      </c>
      <c r="M99" s="144">
        <v>1273.4086133999999</v>
      </c>
      <c r="N99" s="144">
        <v>58.21296999999997</v>
      </c>
      <c r="O99" s="144">
        <v>218.82255422999989</v>
      </c>
      <c r="P99" s="170">
        <v>0.17184001421644532</v>
      </c>
      <c r="Q99" s="174">
        <v>45621</v>
      </c>
      <c r="R99" s="181"/>
    </row>
    <row r="100" spans="1:18" ht="15" x14ac:dyDescent="0.2">
      <c r="A100" s="142" t="s">
        <v>1205</v>
      </c>
      <c r="B100" s="143" t="s">
        <v>1205</v>
      </c>
      <c r="C100" s="170" t="s">
        <v>1068</v>
      </c>
      <c r="D100" s="143" t="s">
        <v>3215</v>
      </c>
      <c r="E100" s="145" t="s">
        <v>3853</v>
      </c>
      <c r="F100" s="145" t="s">
        <v>3853</v>
      </c>
      <c r="G100" s="143" t="s">
        <v>3216</v>
      </c>
      <c r="H100" s="143" t="s">
        <v>3217</v>
      </c>
      <c r="I100" s="143" t="s">
        <v>312</v>
      </c>
      <c r="J100" s="143" t="s">
        <v>1211</v>
      </c>
      <c r="K100" s="163">
        <v>44496</v>
      </c>
      <c r="L100" s="144">
        <v>275</v>
      </c>
      <c r="M100" s="144">
        <v>1033.7249999999999</v>
      </c>
      <c r="N100" s="144">
        <v>29.5</v>
      </c>
      <c r="O100" s="144">
        <v>110.8905</v>
      </c>
      <c r="P100" s="170">
        <v>0.10727272727272727</v>
      </c>
      <c r="Q100" s="174">
        <v>45657</v>
      </c>
      <c r="R100" s="181"/>
    </row>
    <row r="101" spans="1:18" ht="15" x14ac:dyDescent="0.2">
      <c r="A101" s="142" t="s">
        <v>1205</v>
      </c>
      <c r="B101" s="143" t="s">
        <v>1205</v>
      </c>
      <c r="C101" s="170" t="s">
        <v>1068</v>
      </c>
      <c r="D101" s="143" t="s">
        <v>3239</v>
      </c>
      <c r="E101" s="145" t="s">
        <v>3853</v>
      </c>
      <c r="F101" s="145" t="s">
        <v>3853</v>
      </c>
      <c r="G101" s="143" t="s">
        <v>3240</v>
      </c>
      <c r="H101" s="143" t="s">
        <v>3241</v>
      </c>
      <c r="I101" s="143" t="s">
        <v>312</v>
      </c>
      <c r="J101" s="143" t="s">
        <v>1211</v>
      </c>
      <c r="K101" s="163">
        <v>43038</v>
      </c>
      <c r="L101" s="144">
        <v>200</v>
      </c>
      <c r="M101" s="144">
        <v>751.8</v>
      </c>
      <c r="N101" s="144">
        <v>18.053000000000001</v>
      </c>
      <c r="O101" s="144">
        <v>67.861227</v>
      </c>
      <c r="P101" s="170">
        <v>9.0264999999999998E-2</v>
      </c>
      <c r="Q101" s="174">
        <v>45153</v>
      </c>
      <c r="R101" s="181"/>
    </row>
    <row r="102" spans="1:18" ht="15" x14ac:dyDescent="0.2">
      <c r="A102" s="142" t="s">
        <v>1205</v>
      </c>
      <c r="B102" s="143" t="s">
        <v>1205</v>
      </c>
      <c r="C102" s="170" t="s">
        <v>1068</v>
      </c>
      <c r="D102" s="143" t="s">
        <v>3422</v>
      </c>
      <c r="E102" s="145" t="s">
        <v>3853</v>
      </c>
      <c r="F102" s="145" t="s">
        <v>3853</v>
      </c>
      <c r="G102" s="143" t="s">
        <v>3423</v>
      </c>
      <c r="H102" s="143" t="s">
        <v>3424</v>
      </c>
      <c r="I102" s="143" t="s">
        <v>312</v>
      </c>
      <c r="J102" s="143" t="s">
        <v>1210</v>
      </c>
      <c r="K102" s="163">
        <v>45316</v>
      </c>
      <c r="L102" s="144">
        <v>1365.4970000000001</v>
      </c>
      <c r="M102" s="144">
        <v>1365.4970000000001</v>
      </c>
      <c r="N102" s="144">
        <v>728.57399999999996</v>
      </c>
      <c r="O102" s="144">
        <v>728.57399999999996</v>
      </c>
      <c r="P102" s="170">
        <v>0.5335595757442162</v>
      </c>
      <c r="Q102" s="174">
        <v>47118</v>
      </c>
      <c r="R102" s="181"/>
    </row>
    <row r="103" spans="1:18" ht="15" x14ac:dyDescent="0.2">
      <c r="A103" s="142" t="s">
        <v>1205</v>
      </c>
      <c r="B103" s="143" t="s">
        <v>1205</v>
      </c>
      <c r="C103" s="170" t="s">
        <v>1068</v>
      </c>
      <c r="D103" s="143" t="s">
        <v>3348</v>
      </c>
      <c r="E103" s="145" t="s">
        <v>3853</v>
      </c>
      <c r="F103" s="145" t="s">
        <v>3853</v>
      </c>
      <c r="G103" s="143" t="s">
        <v>3349</v>
      </c>
      <c r="H103" s="143" t="s">
        <v>3350</v>
      </c>
      <c r="I103" s="143" t="s">
        <v>312</v>
      </c>
      <c r="J103" s="143" t="s">
        <v>1211</v>
      </c>
      <c r="K103" s="163">
        <v>45356</v>
      </c>
      <c r="L103" s="144">
        <v>139.19999999999999</v>
      </c>
      <c r="M103" s="144">
        <v>523.25279999999998</v>
      </c>
      <c r="N103" s="144">
        <v>92.496989999999997</v>
      </c>
      <c r="O103" s="144">
        <v>347.69618541</v>
      </c>
      <c r="P103" s="170">
        <v>0.66448987068965515</v>
      </c>
      <c r="Q103" s="174">
        <v>47118</v>
      </c>
      <c r="R103" s="181"/>
    </row>
    <row r="104" spans="1:18" ht="15" x14ac:dyDescent="0.2">
      <c r="A104" s="142" t="s">
        <v>1205</v>
      </c>
      <c r="B104" s="143" t="s">
        <v>1205</v>
      </c>
      <c r="C104" s="170" t="s">
        <v>1068</v>
      </c>
      <c r="D104" s="143" t="s">
        <v>3348</v>
      </c>
      <c r="E104" s="145" t="s">
        <v>3853</v>
      </c>
      <c r="F104" s="145" t="s">
        <v>3853</v>
      </c>
      <c r="G104" s="143" t="s">
        <v>3358</v>
      </c>
      <c r="H104" s="143" t="s">
        <v>3359</v>
      </c>
      <c r="I104" s="143" t="s">
        <v>312</v>
      </c>
      <c r="J104" s="143" t="s">
        <v>1211</v>
      </c>
      <c r="K104" s="163">
        <v>45379</v>
      </c>
      <c r="L104" s="144">
        <v>92.8</v>
      </c>
      <c r="M104" s="144">
        <v>348.83519999999999</v>
      </c>
      <c r="N104" s="144">
        <v>88.130989999999997</v>
      </c>
      <c r="O104" s="144">
        <v>331.28439140999996</v>
      </c>
      <c r="P104" s="170">
        <v>0.94968739224137921</v>
      </c>
      <c r="Q104" s="174">
        <v>47118</v>
      </c>
      <c r="R104" s="181"/>
    </row>
    <row r="105" spans="1:18" ht="15" x14ac:dyDescent="0.2">
      <c r="A105" s="142" t="s">
        <v>1205</v>
      </c>
      <c r="B105" s="143" t="s">
        <v>1205</v>
      </c>
      <c r="C105" s="170" t="s">
        <v>1068</v>
      </c>
      <c r="D105" s="143" t="s">
        <v>3233</v>
      </c>
      <c r="E105" s="145" t="s">
        <v>3853</v>
      </c>
      <c r="F105" s="145" t="s">
        <v>3853</v>
      </c>
      <c r="G105" s="143" t="s">
        <v>3234</v>
      </c>
      <c r="H105" s="143" t="s">
        <v>3235</v>
      </c>
      <c r="I105" s="143" t="s">
        <v>312</v>
      </c>
      <c r="J105" s="143" t="s">
        <v>1211</v>
      </c>
      <c r="K105" s="163">
        <v>45265</v>
      </c>
      <c r="L105" s="144">
        <v>348</v>
      </c>
      <c r="M105" s="144">
        <v>1308.1320000000001</v>
      </c>
      <c r="N105" s="144">
        <v>285.41199</v>
      </c>
      <c r="O105" s="144">
        <v>1072.8636704099999</v>
      </c>
      <c r="P105" s="170">
        <v>0.82014939655172414</v>
      </c>
      <c r="Q105" s="174">
        <v>47118</v>
      </c>
      <c r="R105" s="181"/>
    </row>
    <row r="106" spans="1:18" ht="15" x14ac:dyDescent="0.2">
      <c r="A106" s="142" t="s">
        <v>1218</v>
      </c>
      <c r="B106" s="143" t="s">
        <v>1218</v>
      </c>
      <c r="C106" s="170" t="s">
        <v>1068</v>
      </c>
      <c r="D106" s="143" t="s">
        <v>314</v>
      </c>
      <c r="E106" s="145" t="s">
        <v>3853</v>
      </c>
      <c r="F106" s="145" t="s">
        <v>3853</v>
      </c>
      <c r="G106" s="143" t="s">
        <v>3558</v>
      </c>
      <c r="H106" s="143" t="s">
        <v>3559</v>
      </c>
      <c r="I106" s="143" t="s">
        <v>136</v>
      </c>
      <c r="J106" s="143" t="s">
        <v>1211</v>
      </c>
      <c r="K106" s="163">
        <v>45313</v>
      </c>
      <c r="L106" s="144">
        <v>2983.7575742000004</v>
      </c>
      <c r="M106" s="144">
        <v>11215.9447214178</v>
      </c>
      <c r="N106" s="144">
        <v>835.7912342000003</v>
      </c>
      <c r="O106" s="144">
        <v>3141.7392493578009</v>
      </c>
      <c r="P106" s="170">
        <v>0.28011365314224335</v>
      </c>
      <c r="Q106" s="174">
        <v>44377</v>
      </c>
      <c r="R106" s="181"/>
    </row>
    <row r="107" spans="1:18" ht="15" x14ac:dyDescent="0.2">
      <c r="A107" s="142" t="s">
        <v>1218</v>
      </c>
      <c r="B107" s="143" t="s">
        <v>1218</v>
      </c>
      <c r="C107" s="170" t="s">
        <v>1068</v>
      </c>
      <c r="D107" s="143" t="s">
        <v>3434</v>
      </c>
      <c r="E107" s="145" t="s">
        <v>3853</v>
      </c>
      <c r="F107" s="145" t="s">
        <v>3853</v>
      </c>
      <c r="G107" s="143" t="s">
        <v>3435</v>
      </c>
      <c r="H107" s="143" t="s">
        <v>3436</v>
      </c>
      <c r="I107" s="143" t="s">
        <v>312</v>
      </c>
      <c r="J107" s="143" t="s">
        <v>1210</v>
      </c>
      <c r="K107" s="163">
        <v>45131</v>
      </c>
      <c r="L107" s="144">
        <v>10178.564</v>
      </c>
      <c r="M107" s="144">
        <v>10178.564</v>
      </c>
      <c r="N107" s="144">
        <v>4429.0659999999998</v>
      </c>
      <c r="O107" s="144">
        <v>4429.0659999999998</v>
      </c>
      <c r="P107" s="170">
        <v>0.43513662634532729</v>
      </c>
      <c r="Q107" s="174">
        <v>46996</v>
      </c>
      <c r="R107" s="181"/>
    </row>
    <row r="108" spans="1:18" ht="15" x14ac:dyDescent="0.2">
      <c r="A108" s="142" t="s">
        <v>1218</v>
      </c>
      <c r="B108" s="143" t="s">
        <v>1218</v>
      </c>
      <c r="C108" s="170" t="s">
        <v>1068</v>
      </c>
      <c r="D108" s="143" t="s">
        <v>3414</v>
      </c>
      <c r="E108" s="145" t="s">
        <v>3853</v>
      </c>
      <c r="F108" s="145" t="s">
        <v>3853</v>
      </c>
      <c r="G108" s="143" t="s">
        <v>3415</v>
      </c>
      <c r="H108" s="143" t="s">
        <v>3416</v>
      </c>
      <c r="I108" s="143" t="s">
        <v>312</v>
      </c>
      <c r="J108" s="143" t="s">
        <v>1210</v>
      </c>
      <c r="K108" s="163">
        <v>45250</v>
      </c>
      <c r="L108" s="144">
        <v>17555.528999999999</v>
      </c>
      <c r="M108" s="144">
        <v>17555.528999999999</v>
      </c>
      <c r="N108" s="144">
        <v>5266.6589999999997</v>
      </c>
      <c r="O108" s="144">
        <v>5266.6589999999997</v>
      </c>
      <c r="P108" s="170">
        <v>0.30000001708863344</v>
      </c>
      <c r="Q108" s="174">
        <v>46691</v>
      </c>
      <c r="R108" s="181"/>
    </row>
    <row r="109" spans="1:18" ht="15" x14ac:dyDescent="0.2">
      <c r="A109" s="142" t="s">
        <v>1218</v>
      </c>
      <c r="B109" s="143" t="s">
        <v>1218</v>
      </c>
      <c r="C109" s="170" t="s">
        <v>1068</v>
      </c>
      <c r="D109" s="143" t="s">
        <v>3519</v>
      </c>
      <c r="E109" s="145" t="s">
        <v>3853</v>
      </c>
      <c r="F109" s="145" t="s">
        <v>3853</v>
      </c>
      <c r="G109" s="143" t="s">
        <v>3520</v>
      </c>
      <c r="H109" s="143" t="s">
        <v>3521</v>
      </c>
      <c r="I109" s="143" t="s">
        <v>312</v>
      </c>
      <c r="J109" s="143" t="s">
        <v>1211</v>
      </c>
      <c r="K109" s="163">
        <v>44767</v>
      </c>
      <c r="L109" s="144">
        <v>2686.6908301750004</v>
      </c>
      <c r="M109" s="144">
        <v>10099.270830627825</v>
      </c>
      <c r="N109" s="144">
        <v>83.483830175000236</v>
      </c>
      <c r="O109" s="144">
        <v>313.8157176278259</v>
      </c>
      <c r="P109" s="170">
        <v>3.1073106453995098E-2</v>
      </c>
      <c r="Q109" s="174">
        <v>45657</v>
      </c>
      <c r="R109" s="181"/>
    </row>
    <row r="110" spans="1:18" ht="15" x14ac:dyDescent="0.2">
      <c r="A110" s="142" t="s">
        <v>1218</v>
      </c>
      <c r="B110" s="143" t="s">
        <v>1218</v>
      </c>
      <c r="C110" s="170" t="s">
        <v>1068</v>
      </c>
      <c r="D110" s="143" t="s">
        <v>3285</v>
      </c>
      <c r="E110" s="145" t="s">
        <v>3853</v>
      </c>
      <c r="F110" s="145" t="s">
        <v>3853</v>
      </c>
      <c r="G110" s="143" t="s">
        <v>3286</v>
      </c>
      <c r="H110" s="143" t="s">
        <v>3287</v>
      </c>
      <c r="I110" s="143" t="s">
        <v>312</v>
      </c>
      <c r="J110" s="143" t="s">
        <v>1211</v>
      </c>
      <c r="K110" s="163">
        <v>45251</v>
      </c>
      <c r="L110" s="144">
        <v>3730.7449999999999</v>
      </c>
      <c r="M110" s="144">
        <v>14023.870455</v>
      </c>
      <c r="N110" s="144">
        <v>1109.008</v>
      </c>
      <c r="O110" s="144">
        <v>4168.7610719999993</v>
      </c>
      <c r="P110" s="170">
        <v>0.29726180695812765</v>
      </c>
      <c r="Q110" s="174">
        <v>45291</v>
      </c>
      <c r="R110" s="181"/>
    </row>
    <row r="111" spans="1:18" ht="15" x14ac:dyDescent="0.2">
      <c r="A111" s="142" t="s">
        <v>1218</v>
      </c>
      <c r="B111" s="143" t="s">
        <v>1218</v>
      </c>
      <c r="C111" s="170" t="s">
        <v>1068</v>
      </c>
      <c r="D111" s="143" t="s">
        <v>3437</v>
      </c>
      <c r="E111" s="145" t="s">
        <v>3853</v>
      </c>
      <c r="F111" s="145" t="s">
        <v>3853</v>
      </c>
      <c r="G111" s="143" t="s">
        <v>3423</v>
      </c>
      <c r="H111" s="143" t="s">
        <v>3438</v>
      </c>
      <c r="I111" s="143" t="s">
        <v>312</v>
      </c>
      <c r="J111" s="143" t="s">
        <v>1210</v>
      </c>
      <c r="K111" s="163">
        <v>45369</v>
      </c>
      <c r="L111" s="144">
        <v>5195.0860000000002</v>
      </c>
      <c r="M111" s="144">
        <v>5195.0860000000002</v>
      </c>
      <c r="N111" s="144">
        <v>2297.1680000000001</v>
      </c>
      <c r="O111" s="144">
        <v>2297.1680000000001</v>
      </c>
      <c r="P111" s="170">
        <v>0.44218093790940133</v>
      </c>
      <c r="Q111" s="174">
        <v>45473</v>
      </c>
      <c r="R111" s="181"/>
    </row>
    <row r="112" spans="1:18" ht="15" x14ac:dyDescent="0.2">
      <c r="A112" s="142" t="s">
        <v>1218</v>
      </c>
      <c r="B112" s="143" t="s">
        <v>1218</v>
      </c>
      <c r="C112" s="170" t="s">
        <v>1068</v>
      </c>
      <c r="D112" s="143" t="s">
        <v>314</v>
      </c>
      <c r="E112" s="145" t="s">
        <v>3853</v>
      </c>
      <c r="F112" s="145" t="s">
        <v>3853</v>
      </c>
      <c r="G112" s="143" t="s">
        <v>3569</v>
      </c>
      <c r="H112" s="143" t="s">
        <v>3570</v>
      </c>
      <c r="I112" s="143" t="s">
        <v>312</v>
      </c>
      <c r="J112" s="143" t="s">
        <v>1214</v>
      </c>
      <c r="K112" s="163">
        <v>45350</v>
      </c>
      <c r="L112" s="144">
        <v>3070.7811312651002</v>
      </c>
      <c r="M112" s="144">
        <v>12345.154303911955</v>
      </c>
      <c r="N112" s="144">
        <v>785.69193126509992</v>
      </c>
      <c r="O112" s="144">
        <v>3158.6387020719544</v>
      </c>
      <c r="P112" s="170">
        <v>0.25586060929761234</v>
      </c>
      <c r="Q112" s="174">
        <v>46203</v>
      </c>
      <c r="R112" s="181"/>
    </row>
    <row r="113" spans="1:18" ht="15" x14ac:dyDescent="0.2">
      <c r="A113" s="142" t="s">
        <v>1218</v>
      </c>
      <c r="B113" s="143" t="s">
        <v>1218</v>
      </c>
      <c r="C113" s="170" t="s">
        <v>1068</v>
      </c>
      <c r="D113" s="143" t="s">
        <v>3227</v>
      </c>
      <c r="E113" s="145" t="s">
        <v>3853</v>
      </c>
      <c r="F113" s="145" t="s">
        <v>3853</v>
      </c>
      <c r="G113" s="143" t="s">
        <v>3228</v>
      </c>
      <c r="H113" s="143" t="s">
        <v>3229</v>
      </c>
      <c r="I113" s="143" t="s">
        <v>312</v>
      </c>
      <c r="J113" s="143" t="s">
        <v>1211</v>
      </c>
      <c r="K113" s="163">
        <v>45159</v>
      </c>
      <c r="L113" s="144">
        <v>3699.5680000000002</v>
      </c>
      <c r="M113" s="144">
        <v>13906.676111999999</v>
      </c>
      <c r="N113" s="144">
        <v>2412.1189899999999</v>
      </c>
      <c r="O113" s="144">
        <v>9067.1552834100003</v>
      </c>
      <c r="P113" s="170">
        <v>0.65200017677739674</v>
      </c>
      <c r="Q113" s="174">
        <v>47848</v>
      </c>
      <c r="R113" s="181"/>
    </row>
    <row r="114" spans="1:18" ht="15" x14ac:dyDescent="0.2">
      <c r="A114" s="142" t="s">
        <v>1218</v>
      </c>
      <c r="B114" s="143" t="s">
        <v>1218</v>
      </c>
      <c r="C114" s="170" t="s">
        <v>1068</v>
      </c>
      <c r="D114" s="143" t="s">
        <v>3562</v>
      </c>
      <c r="E114" s="145" t="s">
        <v>3853</v>
      </c>
      <c r="F114" s="145" t="s">
        <v>3853</v>
      </c>
      <c r="G114" s="143" t="s">
        <v>3563</v>
      </c>
      <c r="H114" s="143" t="s">
        <v>3564</v>
      </c>
      <c r="I114" s="143" t="s">
        <v>312</v>
      </c>
      <c r="J114" s="143" t="s">
        <v>1211</v>
      </c>
      <c r="K114" s="163">
        <v>45294</v>
      </c>
      <c r="L114" s="144">
        <v>3787.14</v>
      </c>
      <c r="M114" s="144">
        <v>14235.859259999999</v>
      </c>
      <c r="N114" s="144">
        <v>60.801000000000002</v>
      </c>
      <c r="O114" s="144">
        <v>228.55095900000001</v>
      </c>
      <c r="P114" s="170">
        <v>1.6054595288265024E-2</v>
      </c>
      <c r="Q114" s="174">
        <v>48060</v>
      </c>
      <c r="R114" s="181"/>
    </row>
    <row r="115" spans="1:18" ht="15" x14ac:dyDescent="0.2">
      <c r="A115" s="142" t="s">
        <v>1218</v>
      </c>
      <c r="B115" s="143" t="s">
        <v>1218</v>
      </c>
      <c r="C115" s="170" t="s">
        <v>1068</v>
      </c>
      <c r="D115" s="143" t="s">
        <v>3455</v>
      </c>
      <c r="E115" s="145" t="s">
        <v>3853</v>
      </c>
      <c r="F115" s="145" t="s">
        <v>3853</v>
      </c>
      <c r="G115" s="143" t="s">
        <v>3456</v>
      </c>
      <c r="H115" s="143" t="s">
        <v>3457</v>
      </c>
      <c r="I115" s="143" t="s">
        <v>312</v>
      </c>
      <c r="J115" s="143" t="s">
        <v>1214</v>
      </c>
      <c r="K115" s="163">
        <v>45222</v>
      </c>
      <c r="L115" s="144">
        <v>2886</v>
      </c>
      <c r="M115" s="144">
        <v>11602.297199999999</v>
      </c>
      <c r="N115" s="144">
        <v>764.78999000000022</v>
      </c>
      <c r="O115" s="144">
        <v>3074.6087177980007</v>
      </c>
      <c r="P115" s="170">
        <v>0.26499999653499662</v>
      </c>
      <c r="Q115" s="174">
        <v>48305</v>
      </c>
      <c r="R115" s="181"/>
    </row>
    <row r="116" spans="1:18" ht="15" x14ac:dyDescent="0.2">
      <c r="A116" s="142" t="s">
        <v>1218</v>
      </c>
      <c r="B116" s="143" t="s">
        <v>1218</v>
      </c>
      <c r="C116" s="170" t="s">
        <v>1068</v>
      </c>
      <c r="D116" s="143" t="s">
        <v>314</v>
      </c>
      <c r="E116" s="145" t="s">
        <v>3853</v>
      </c>
      <c r="F116" s="145" t="s">
        <v>3853</v>
      </c>
      <c r="G116" s="143" t="s">
        <v>3554</v>
      </c>
      <c r="H116" s="143" t="s">
        <v>3555</v>
      </c>
      <c r="I116" s="143" t="s">
        <v>312</v>
      </c>
      <c r="J116" s="143" t="s">
        <v>1211</v>
      </c>
      <c r="K116" s="163">
        <v>44699</v>
      </c>
      <c r="L116" s="144">
        <v>316</v>
      </c>
      <c r="M116" s="144">
        <v>1187.8440000000001</v>
      </c>
      <c r="N116" s="144">
        <v>6.0732700000000186</v>
      </c>
      <c r="O116" s="144">
        <v>22.82942193000007</v>
      </c>
      <c r="P116" s="170">
        <v>1.9219208860759552E-2</v>
      </c>
      <c r="Q116" s="174">
        <v>45291</v>
      </c>
      <c r="R116" s="181"/>
    </row>
    <row r="117" spans="1:18" ht="15" x14ac:dyDescent="0.2">
      <c r="A117" s="142" t="s">
        <v>1218</v>
      </c>
      <c r="B117" s="143" t="s">
        <v>1218</v>
      </c>
      <c r="C117" s="170" t="s">
        <v>1068</v>
      </c>
      <c r="D117" s="143" t="s">
        <v>3470</v>
      </c>
      <c r="E117" s="145" t="s">
        <v>3853</v>
      </c>
      <c r="F117" s="145" t="s">
        <v>3853</v>
      </c>
      <c r="G117" s="143" t="s">
        <v>3471</v>
      </c>
      <c r="H117" s="143" t="s">
        <v>3472</v>
      </c>
      <c r="I117" s="143" t="s">
        <v>312</v>
      </c>
      <c r="J117" s="143" t="s">
        <v>1211</v>
      </c>
      <c r="K117" s="163">
        <v>45259</v>
      </c>
      <c r="L117" s="144">
        <v>3848</v>
      </c>
      <c r="M117" s="144">
        <v>14464.632</v>
      </c>
      <c r="N117" s="144">
        <v>3097.7629900000002</v>
      </c>
      <c r="O117" s="144">
        <v>11644.49107941</v>
      </c>
      <c r="P117" s="170">
        <v>0.80503196205821204</v>
      </c>
      <c r="Q117" s="174">
        <v>48307</v>
      </c>
      <c r="R117" s="181"/>
    </row>
    <row r="118" spans="1:18" ht="15" x14ac:dyDescent="0.2">
      <c r="A118" s="142" t="s">
        <v>1218</v>
      </c>
      <c r="B118" s="143" t="s">
        <v>1218</v>
      </c>
      <c r="C118" s="170" t="s">
        <v>1068</v>
      </c>
      <c r="D118" s="143" t="s">
        <v>3321</v>
      </c>
      <c r="E118" s="145" t="s">
        <v>3853</v>
      </c>
      <c r="F118" s="145" t="s">
        <v>3853</v>
      </c>
      <c r="G118" s="143" t="s">
        <v>3322</v>
      </c>
      <c r="H118" s="143" t="s">
        <v>3323</v>
      </c>
      <c r="I118" s="143" t="s">
        <v>312</v>
      </c>
      <c r="J118" s="143" t="s">
        <v>1211</v>
      </c>
      <c r="K118" s="163">
        <v>45365</v>
      </c>
      <c r="L118" s="144">
        <v>2886</v>
      </c>
      <c r="M118" s="144">
        <v>10848.474</v>
      </c>
      <c r="N118" s="144">
        <v>1965.059</v>
      </c>
      <c r="O118" s="144">
        <v>7386.6567809999997</v>
      </c>
      <c r="P118" s="170">
        <v>0.68089362439362433</v>
      </c>
      <c r="Q118" s="174">
        <v>47848</v>
      </c>
      <c r="R118" s="181"/>
    </row>
    <row r="119" spans="1:18" ht="15" x14ac:dyDescent="0.2">
      <c r="A119" s="142" t="s">
        <v>1218</v>
      </c>
      <c r="B119" s="143" t="s">
        <v>1218</v>
      </c>
      <c r="C119" s="170" t="s">
        <v>1068</v>
      </c>
      <c r="D119" s="143" t="s">
        <v>3470</v>
      </c>
      <c r="E119" s="145" t="s">
        <v>3853</v>
      </c>
      <c r="F119" s="145" t="s">
        <v>3853</v>
      </c>
      <c r="G119" s="143" t="s">
        <v>3478</v>
      </c>
      <c r="H119" s="143" t="s">
        <v>3479</v>
      </c>
      <c r="I119" s="143" t="s">
        <v>312</v>
      </c>
      <c r="J119" s="143" t="s">
        <v>1211</v>
      </c>
      <c r="K119" s="163">
        <v>44651</v>
      </c>
      <c r="L119" s="144">
        <v>384.8</v>
      </c>
      <c r="M119" s="144">
        <v>1446.4631999999999</v>
      </c>
      <c r="N119" s="144">
        <v>384.79998999999998</v>
      </c>
      <c r="O119" s="144">
        <v>1446.4631624099998</v>
      </c>
      <c r="P119" s="170">
        <v>0.99999997401247398</v>
      </c>
      <c r="Q119" s="174">
        <v>48307</v>
      </c>
      <c r="R119" s="181"/>
    </row>
    <row r="120" spans="1:18" ht="15" x14ac:dyDescent="0.2">
      <c r="A120" s="142" t="s">
        <v>1218</v>
      </c>
      <c r="B120" s="143" t="s">
        <v>1218</v>
      </c>
      <c r="C120" s="170" t="s">
        <v>1068</v>
      </c>
      <c r="D120" s="143" t="s">
        <v>3411</v>
      </c>
      <c r="E120" s="145" t="s">
        <v>3853</v>
      </c>
      <c r="F120" s="145" t="s">
        <v>3853</v>
      </c>
      <c r="G120" s="143" t="s">
        <v>3412</v>
      </c>
      <c r="H120" s="143" t="s">
        <v>3413</v>
      </c>
      <c r="I120" s="143" t="s">
        <v>312</v>
      </c>
      <c r="J120" s="143" t="s">
        <v>1210</v>
      </c>
      <c r="K120" s="163">
        <v>45271</v>
      </c>
      <c r="L120" s="144">
        <v>17468.848999999998</v>
      </c>
      <c r="M120" s="144">
        <v>17468.848999999998</v>
      </c>
      <c r="N120" s="144">
        <v>5781.0469999999996</v>
      </c>
      <c r="O120" s="144">
        <v>5781.0469999999996</v>
      </c>
      <c r="P120" s="170">
        <v>0.33093462540090651</v>
      </c>
      <c r="Q120" s="174">
        <v>46721</v>
      </c>
      <c r="R120" s="181"/>
    </row>
    <row r="121" spans="1:18" ht="15" x14ac:dyDescent="0.2">
      <c r="A121" s="142" t="s">
        <v>1218</v>
      </c>
      <c r="B121" s="143" t="s">
        <v>1218</v>
      </c>
      <c r="C121" s="170" t="s">
        <v>1068</v>
      </c>
      <c r="D121" s="143" t="s">
        <v>3575</v>
      </c>
      <c r="E121" s="145" t="s">
        <v>3853</v>
      </c>
      <c r="F121" s="145" t="s">
        <v>3853</v>
      </c>
      <c r="G121" s="143" t="s">
        <v>3576</v>
      </c>
      <c r="H121" s="143" t="s">
        <v>3577</v>
      </c>
      <c r="I121" s="143" t="s">
        <v>312</v>
      </c>
      <c r="J121" s="143" t="s">
        <v>1211</v>
      </c>
      <c r="K121" s="163">
        <v>45362</v>
      </c>
      <c r="L121" s="144">
        <v>1541.4860000000001</v>
      </c>
      <c r="M121" s="144">
        <v>5794.445874</v>
      </c>
      <c r="N121" s="144">
        <v>308.29300000000001</v>
      </c>
      <c r="O121" s="144">
        <v>1158.8733869999999</v>
      </c>
      <c r="P121" s="170">
        <v>0.19999727535637687</v>
      </c>
      <c r="Q121" s="174">
        <v>48883</v>
      </c>
      <c r="R121" s="181"/>
    </row>
    <row r="122" spans="1:18" ht="15" x14ac:dyDescent="0.2">
      <c r="A122" s="142" t="s">
        <v>1218</v>
      </c>
      <c r="B122" s="143" t="s">
        <v>1218</v>
      </c>
      <c r="C122" s="170" t="s">
        <v>1068</v>
      </c>
      <c r="D122" s="143" t="s">
        <v>3528</v>
      </c>
      <c r="E122" s="145" t="s">
        <v>3853</v>
      </c>
      <c r="F122" s="145" t="s">
        <v>3853</v>
      </c>
      <c r="G122" s="143" t="s">
        <v>3529</v>
      </c>
      <c r="H122" s="143" t="s">
        <v>3530</v>
      </c>
      <c r="I122" s="143" t="s">
        <v>312</v>
      </c>
      <c r="J122" s="143" t="s">
        <v>1211</v>
      </c>
      <c r="K122" s="163">
        <v>45449</v>
      </c>
      <c r="L122" s="144">
        <v>2700</v>
      </c>
      <c r="M122" s="144">
        <v>10149.299999999999</v>
      </c>
      <c r="N122" s="144">
        <v>1398.2439999999999</v>
      </c>
      <c r="O122" s="144">
        <v>5255.9991959999998</v>
      </c>
      <c r="P122" s="170">
        <v>0.51786814814814808</v>
      </c>
      <c r="Q122" s="174">
        <v>49101</v>
      </c>
      <c r="R122" s="181"/>
    </row>
    <row r="123" spans="1:18" ht="15" x14ac:dyDescent="0.2">
      <c r="A123" s="142" t="s">
        <v>1218</v>
      </c>
      <c r="B123" s="143" t="s">
        <v>1218</v>
      </c>
      <c r="C123" s="170" t="s">
        <v>1068</v>
      </c>
      <c r="D123" s="143" t="s">
        <v>3318</v>
      </c>
      <c r="E123" s="145" t="s">
        <v>3853</v>
      </c>
      <c r="F123" s="145" t="s">
        <v>3853</v>
      </c>
      <c r="G123" s="143" t="s">
        <v>3319</v>
      </c>
      <c r="H123" s="143" t="s">
        <v>3320</v>
      </c>
      <c r="I123" s="143" t="s">
        <v>312</v>
      </c>
      <c r="J123" s="143" t="s">
        <v>1211</v>
      </c>
      <c r="K123" s="163">
        <v>45370</v>
      </c>
      <c r="L123" s="144">
        <v>3267.7449999999999</v>
      </c>
      <c r="M123" s="144">
        <v>12283.453455000001</v>
      </c>
      <c r="N123" s="144">
        <v>969.33</v>
      </c>
      <c r="O123" s="144">
        <v>3643.7114699999997</v>
      </c>
      <c r="P123" s="170">
        <v>0.2966357534018107</v>
      </c>
      <c r="Q123" s="174">
        <v>47093</v>
      </c>
      <c r="R123" s="181"/>
    </row>
    <row r="124" spans="1:18" ht="15" x14ac:dyDescent="0.2">
      <c r="A124" s="142" t="s">
        <v>1218</v>
      </c>
      <c r="B124" s="143" t="s">
        <v>1218</v>
      </c>
      <c r="C124" s="170" t="s">
        <v>1068</v>
      </c>
      <c r="D124" s="143" t="s">
        <v>3537</v>
      </c>
      <c r="E124" s="145" t="s">
        <v>3853</v>
      </c>
      <c r="F124" s="145" t="s">
        <v>3853</v>
      </c>
      <c r="G124" s="143" t="s">
        <v>3538</v>
      </c>
      <c r="H124" s="143" t="s">
        <v>3539</v>
      </c>
      <c r="I124" s="143" t="s">
        <v>312</v>
      </c>
      <c r="J124" s="143" t="s">
        <v>1211</v>
      </c>
      <c r="K124" s="163">
        <v>45140</v>
      </c>
      <c r="L124" s="144">
        <v>2559.5479999999998</v>
      </c>
      <c r="M124" s="144">
        <v>9621.3409319999992</v>
      </c>
      <c r="N124" s="144">
        <v>230.3599500000002</v>
      </c>
      <c r="O124" s="144">
        <v>865.92305205000059</v>
      </c>
      <c r="P124" s="170">
        <v>9.0000246137208667E-2</v>
      </c>
      <c r="Q124" s="174">
        <v>46842</v>
      </c>
      <c r="R124" s="181"/>
    </row>
    <row r="125" spans="1:18" ht="15" x14ac:dyDescent="0.2">
      <c r="A125" s="142" t="s">
        <v>1218</v>
      </c>
      <c r="B125" s="143" t="s">
        <v>1218</v>
      </c>
      <c r="C125" s="170" t="s">
        <v>1068</v>
      </c>
      <c r="D125" s="143" t="s">
        <v>3389</v>
      </c>
      <c r="E125" s="145" t="s">
        <v>3853</v>
      </c>
      <c r="F125" s="145" t="s">
        <v>3853</v>
      </c>
      <c r="G125" s="143" t="s">
        <v>3390</v>
      </c>
      <c r="H125" s="143" t="s">
        <v>3391</v>
      </c>
      <c r="I125" s="143" t="s">
        <v>312</v>
      </c>
      <c r="J125" s="143" t="s">
        <v>1211</v>
      </c>
      <c r="K125" s="163">
        <v>45281</v>
      </c>
      <c r="L125" s="144">
        <v>5064.3395199999995</v>
      </c>
      <c r="M125" s="144">
        <v>19036.852255679998</v>
      </c>
      <c r="N125" s="144">
        <v>858.40451999999959</v>
      </c>
      <c r="O125" s="144">
        <v>3226.7425906799981</v>
      </c>
      <c r="P125" s="170">
        <v>0.16949979688565578</v>
      </c>
      <c r="Q125" s="174">
        <v>47938</v>
      </c>
      <c r="R125" s="181"/>
    </row>
    <row r="126" spans="1:18" ht="15" x14ac:dyDescent="0.2">
      <c r="A126" s="142" t="s">
        <v>1218</v>
      </c>
      <c r="B126" s="143" t="s">
        <v>1218</v>
      </c>
      <c r="C126" s="170" t="s">
        <v>1068</v>
      </c>
      <c r="D126" s="143" t="s">
        <v>3551</v>
      </c>
      <c r="E126" s="145" t="s">
        <v>3853</v>
      </c>
      <c r="F126" s="145" t="s">
        <v>3853</v>
      </c>
      <c r="G126" s="143" t="s">
        <v>3552</v>
      </c>
      <c r="H126" s="143" t="s">
        <v>3553</v>
      </c>
      <c r="I126" s="143" t="s">
        <v>312</v>
      </c>
      <c r="J126" s="143" t="s">
        <v>1211</v>
      </c>
      <c r="K126" s="163">
        <v>45365</v>
      </c>
      <c r="L126" s="144">
        <v>2219.7399999999998</v>
      </c>
      <c r="M126" s="144">
        <v>8344.0026600000001</v>
      </c>
      <c r="N126" s="144">
        <v>1065.4386100000002</v>
      </c>
      <c r="O126" s="144">
        <v>4004.9837349900004</v>
      </c>
      <c r="P126" s="170">
        <v>0.47998351608746975</v>
      </c>
      <c r="Q126" s="174">
        <v>45688</v>
      </c>
      <c r="R126" s="181"/>
    </row>
    <row r="127" spans="1:18" ht="15" x14ac:dyDescent="0.2">
      <c r="A127" s="142" t="s">
        <v>1218</v>
      </c>
      <c r="B127" s="143" t="s">
        <v>1218</v>
      </c>
      <c r="C127" s="170" t="s">
        <v>1068</v>
      </c>
      <c r="D127" s="143" t="s">
        <v>314</v>
      </c>
      <c r="E127" s="145" t="s">
        <v>3853</v>
      </c>
      <c r="F127" s="145" t="s">
        <v>3853</v>
      </c>
      <c r="G127" s="143" t="s">
        <v>3586</v>
      </c>
      <c r="H127" s="143" t="s">
        <v>3587</v>
      </c>
      <c r="I127" s="143" t="s">
        <v>312</v>
      </c>
      <c r="J127" s="143" t="s">
        <v>1211</v>
      </c>
      <c r="K127" s="163">
        <v>45225</v>
      </c>
      <c r="L127" s="144">
        <v>1346.8</v>
      </c>
      <c r="M127" s="144">
        <v>5062.6212000000005</v>
      </c>
      <c r="N127" s="144">
        <v>880.98900000000003</v>
      </c>
      <c r="O127" s="144">
        <v>3311.637651</v>
      </c>
      <c r="P127" s="170">
        <v>0.65413498663498659</v>
      </c>
      <c r="Q127" s="174">
        <v>49309</v>
      </c>
      <c r="R127" s="181"/>
    </row>
    <row r="128" spans="1:18" ht="15" x14ac:dyDescent="0.2">
      <c r="A128" s="142" t="s">
        <v>1218</v>
      </c>
      <c r="B128" s="143" t="s">
        <v>1218</v>
      </c>
      <c r="C128" s="170" t="s">
        <v>1068</v>
      </c>
      <c r="D128" s="143" t="s">
        <v>3498</v>
      </c>
      <c r="E128" s="145" t="s">
        <v>3853</v>
      </c>
      <c r="F128" s="145" t="s">
        <v>3853</v>
      </c>
      <c r="G128" s="143" t="s">
        <v>3499</v>
      </c>
      <c r="H128" s="143" t="s">
        <v>3500</v>
      </c>
      <c r="I128" s="143" t="s">
        <v>312</v>
      </c>
      <c r="J128" s="143" t="s">
        <v>1211</v>
      </c>
      <c r="K128" s="163">
        <v>45362</v>
      </c>
      <c r="L128" s="144">
        <v>6398.0562199999995</v>
      </c>
      <c r="M128" s="144">
        <v>24050.293330979999</v>
      </c>
      <c r="N128" s="144">
        <v>1057.1004599999999</v>
      </c>
      <c r="O128" s="144">
        <v>3973.6406291399999</v>
      </c>
      <c r="P128" s="170">
        <v>0.16522212741669218</v>
      </c>
      <c r="Q128" s="174">
        <v>46748</v>
      </c>
      <c r="R128" s="181"/>
    </row>
    <row r="129" spans="1:18" ht="15" x14ac:dyDescent="0.2">
      <c r="A129" s="142" t="s">
        <v>1218</v>
      </c>
      <c r="B129" s="143" t="s">
        <v>1218</v>
      </c>
      <c r="C129" s="170" t="s">
        <v>1068</v>
      </c>
      <c r="D129" s="143" t="s">
        <v>3483</v>
      </c>
      <c r="E129" s="145" t="s">
        <v>3853</v>
      </c>
      <c r="F129" s="145" t="s">
        <v>3853</v>
      </c>
      <c r="G129" s="143" t="s">
        <v>3484</v>
      </c>
      <c r="H129" s="143" t="s">
        <v>3485</v>
      </c>
      <c r="I129" s="143" t="s">
        <v>312</v>
      </c>
      <c r="J129" s="143" t="s">
        <v>1210</v>
      </c>
      <c r="K129" s="163">
        <v>45378</v>
      </c>
      <c r="L129" s="144">
        <v>6734</v>
      </c>
      <c r="M129" s="144">
        <v>6734</v>
      </c>
      <c r="N129" s="144">
        <v>2107.3359999999998</v>
      </c>
      <c r="O129" s="144">
        <v>2107.3359999999998</v>
      </c>
      <c r="P129" s="170">
        <v>0.31293970893970896</v>
      </c>
      <c r="Q129" s="174">
        <v>45107</v>
      </c>
      <c r="R129" s="181"/>
    </row>
    <row r="130" spans="1:18" ht="15" x14ac:dyDescent="0.2">
      <c r="A130" s="142" t="s">
        <v>1218</v>
      </c>
      <c r="B130" s="143" t="s">
        <v>1218</v>
      </c>
      <c r="C130" s="170" t="s">
        <v>1068</v>
      </c>
      <c r="D130" s="143" t="s">
        <v>3425</v>
      </c>
      <c r="E130" s="145" t="s">
        <v>3853</v>
      </c>
      <c r="F130" s="145" t="s">
        <v>3853</v>
      </c>
      <c r="G130" s="143" t="s">
        <v>3426</v>
      </c>
      <c r="H130" s="143" t="s">
        <v>3427</v>
      </c>
      <c r="I130" s="143" t="s">
        <v>312</v>
      </c>
      <c r="J130" s="143" t="s">
        <v>1210</v>
      </c>
      <c r="K130" s="163">
        <v>45382</v>
      </c>
      <c r="L130" s="144">
        <v>9620</v>
      </c>
      <c r="M130" s="144">
        <v>9620</v>
      </c>
      <c r="N130" s="144">
        <v>5660.8450000000003</v>
      </c>
      <c r="O130" s="144">
        <v>5660.8450000000003</v>
      </c>
      <c r="P130" s="170">
        <v>0.58844542619542617</v>
      </c>
      <c r="Q130" s="174">
        <v>48944</v>
      </c>
      <c r="R130" s="181"/>
    </row>
    <row r="131" spans="1:18" ht="15" x14ac:dyDescent="0.2">
      <c r="A131" s="142" t="s">
        <v>1218</v>
      </c>
      <c r="B131" s="143" t="s">
        <v>1218</v>
      </c>
      <c r="C131" s="170" t="s">
        <v>1068</v>
      </c>
      <c r="D131" s="143" t="s">
        <v>3464</v>
      </c>
      <c r="E131" s="145" t="s">
        <v>3853</v>
      </c>
      <c r="F131" s="145" t="s">
        <v>3853</v>
      </c>
      <c r="G131" s="143" t="s">
        <v>3465</v>
      </c>
      <c r="H131" s="143" t="s">
        <v>3466</v>
      </c>
      <c r="I131" s="143" t="s">
        <v>312</v>
      </c>
      <c r="J131" s="143" t="s">
        <v>1214</v>
      </c>
      <c r="K131" s="163">
        <v>45369</v>
      </c>
      <c r="L131" s="144">
        <v>2886</v>
      </c>
      <c r="M131" s="144">
        <v>11602.297199999999</v>
      </c>
      <c r="N131" s="144">
        <v>1590.3750600000001</v>
      </c>
      <c r="O131" s="144">
        <v>6393.6258162120002</v>
      </c>
      <c r="P131" s="170">
        <v>0.55106550935550946</v>
      </c>
      <c r="Q131" s="174">
        <v>48884</v>
      </c>
      <c r="R131" s="181"/>
    </row>
    <row r="132" spans="1:18" ht="15" x14ac:dyDescent="0.2">
      <c r="A132" s="142" t="s">
        <v>1218</v>
      </c>
      <c r="B132" s="143" t="s">
        <v>1218</v>
      </c>
      <c r="C132" s="170" t="s">
        <v>1068</v>
      </c>
      <c r="D132" s="143" t="s">
        <v>3242</v>
      </c>
      <c r="E132" s="145" t="s">
        <v>3853</v>
      </c>
      <c r="F132" s="145" t="s">
        <v>3853</v>
      </c>
      <c r="G132" s="143" t="s">
        <v>3243</v>
      </c>
      <c r="H132" s="143" t="s">
        <v>3244</v>
      </c>
      <c r="I132" s="143" t="s">
        <v>312</v>
      </c>
      <c r="J132" s="143" t="s">
        <v>1211</v>
      </c>
      <c r="K132" s="163">
        <v>45316</v>
      </c>
      <c r="L132" s="144">
        <v>1924</v>
      </c>
      <c r="M132" s="144">
        <v>7232.3159999999998</v>
      </c>
      <c r="N132" s="144">
        <v>1418.95</v>
      </c>
      <c r="O132" s="144">
        <v>5333.8330500000002</v>
      </c>
      <c r="P132" s="170">
        <v>0.73749999999999993</v>
      </c>
      <c r="Q132" s="174">
        <v>47515</v>
      </c>
      <c r="R132" s="181"/>
    </row>
    <row r="133" spans="1:18" ht="15" x14ac:dyDescent="0.2">
      <c r="A133" s="142" t="s">
        <v>1218</v>
      </c>
      <c r="B133" s="143" t="s">
        <v>1218</v>
      </c>
      <c r="C133" s="170" t="s">
        <v>1068</v>
      </c>
      <c r="D133" s="143" t="s">
        <v>3342</v>
      </c>
      <c r="E133" s="145" t="s">
        <v>3853</v>
      </c>
      <c r="F133" s="145" t="s">
        <v>3853</v>
      </c>
      <c r="G133" s="143" t="s">
        <v>3343</v>
      </c>
      <c r="H133" s="143" t="s">
        <v>3344</v>
      </c>
      <c r="I133" s="143" t="s">
        <v>312</v>
      </c>
      <c r="J133" s="143" t="s">
        <v>1214</v>
      </c>
      <c r="K133" s="163">
        <v>45369</v>
      </c>
      <c r="L133" s="144">
        <v>2886</v>
      </c>
      <c r="M133" s="144">
        <v>11602.297199999999</v>
      </c>
      <c r="N133" s="144">
        <v>2384.3531499999999</v>
      </c>
      <c r="O133" s="144">
        <v>9585.576533630001</v>
      </c>
      <c r="P133" s="170">
        <v>0.82617919265419271</v>
      </c>
      <c r="Q133" s="174">
        <v>49021</v>
      </c>
      <c r="R133" s="181"/>
    </row>
    <row r="134" spans="1:18" ht="15" x14ac:dyDescent="0.2">
      <c r="A134" s="142" t="s">
        <v>1218</v>
      </c>
      <c r="B134" s="143" t="s">
        <v>1218</v>
      </c>
      <c r="C134" s="170" t="s">
        <v>1068</v>
      </c>
      <c r="D134" s="143" t="s">
        <v>3300</v>
      </c>
      <c r="E134" s="145" t="s">
        <v>3853</v>
      </c>
      <c r="F134" s="145" t="s">
        <v>3853</v>
      </c>
      <c r="G134" s="143" t="s">
        <v>3351</v>
      </c>
      <c r="H134" s="143" t="s">
        <v>3352</v>
      </c>
      <c r="I134" s="143" t="s">
        <v>312</v>
      </c>
      <c r="J134" s="143" t="s">
        <v>1214</v>
      </c>
      <c r="K134" s="163">
        <v>45306</v>
      </c>
      <c r="L134" s="144">
        <v>1593.64572</v>
      </c>
      <c r="M134" s="144">
        <v>6406.7745235439997</v>
      </c>
      <c r="N134" s="144">
        <v>1275.6328399999998</v>
      </c>
      <c r="O134" s="144">
        <v>5128.299143367999</v>
      </c>
      <c r="P134" s="170">
        <v>0.80044944995679457</v>
      </c>
      <c r="Q134" s="174">
        <v>50040</v>
      </c>
      <c r="R134" s="181"/>
    </row>
    <row r="135" spans="1:18" ht="15" x14ac:dyDescent="0.2">
      <c r="A135" s="142" t="s">
        <v>1218</v>
      </c>
      <c r="B135" s="143" t="s">
        <v>1218</v>
      </c>
      <c r="C135" s="170" t="s">
        <v>1068</v>
      </c>
      <c r="D135" s="143" t="s">
        <v>3475</v>
      </c>
      <c r="E135" s="145" t="s">
        <v>3853</v>
      </c>
      <c r="F135" s="145" t="s">
        <v>3853</v>
      </c>
      <c r="G135" s="143" t="s">
        <v>3476</v>
      </c>
      <c r="H135" s="143" t="s">
        <v>3477</v>
      </c>
      <c r="I135" s="143" t="s">
        <v>312</v>
      </c>
      <c r="J135" s="143" t="s">
        <v>1210</v>
      </c>
      <c r="K135" s="163">
        <v>45356</v>
      </c>
      <c r="L135" s="144">
        <v>9620</v>
      </c>
      <c r="M135" s="144">
        <v>9620</v>
      </c>
      <c r="N135" s="144">
        <v>7812.2759999999998</v>
      </c>
      <c r="O135" s="144">
        <v>7812.2759999999998</v>
      </c>
      <c r="P135" s="170">
        <v>0.81208690228690228</v>
      </c>
      <c r="Q135" s="174">
        <v>47848</v>
      </c>
      <c r="R135" s="181"/>
    </row>
    <row r="136" spans="1:18" ht="15" x14ac:dyDescent="0.2">
      <c r="A136" s="142" t="s">
        <v>1218</v>
      </c>
      <c r="B136" s="143" t="s">
        <v>1218</v>
      </c>
      <c r="C136" s="170" t="s">
        <v>1068</v>
      </c>
      <c r="D136" s="143" t="s">
        <v>3336</v>
      </c>
      <c r="E136" s="145" t="s">
        <v>3853</v>
      </c>
      <c r="F136" s="145" t="s">
        <v>3853</v>
      </c>
      <c r="G136" s="143" t="s">
        <v>3337</v>
      </c>
      <c r="H136" s="143" t="s">
        <v>3338</v>
      </c>
      <c r="I136" s="143" t="s">
        <v>312</v>
      </c>
      <c r="J136" s="143" t="s">
        <v>1211</v>
      </c>
      <c r="K136" s="163">
        <v>45342</v>
      </c>
      <c r="L136" s="144">
        <v>3654</v>
      </c>
      <c r="M136" s="144">
        <v>13735.386</v>
      </c>
      <c r="N136" s="144">
        <v>2564.9679999999998</v>
      </c>
      <c r="O136" s="144">
        <v>9641.7147119999991</v>
      </c>
      <c r="P136" s="170">
        <v>0.70196168582375473</v>
      </c>
      <c r="Q136" s="174">
        <v>48822</v>
      </c>
      <c r="R136" s="181"/>
    </row>
    <row r="137" spans="1:18" ht="15" x14ac:dyDescent="0.2">
      <c r="A137" s="142" t="s">
        <v>1218</v>
      </c>
      <c r="B137" s="143" t="s">
        <v>1218</v>
      </c>
      <c r="C137" s="170" t="s">
        <v>1068</v>
      </c>
      <c r="D137" s="143" t="s">
        <v>3366</v>
      </c>
      <c r="E137" s="145" t="s">
        <v>3853</v>
      </c>
      <c r="F137" s="145" t="s">
        <v>3853</v>
      </c>
      <c r="G137" s="143" t="s">
        <v>3367</v>
      </c>
      <c r="H137" s="143" t="s">
        <v>3368</v>
      </c>
      <c r="I137" s="143" t="s">
        <v>312</v>
      </c>
      <c r="J137" s="143" t="s">
        <v>1211</v>
      </c>
      <c r="K137" s="163">
        <v>45147</v>
      </c>
      <c r="L137" s="144">
        <v>6248.4579999999996</v>
      </c>
      <c r="M137" s="144">
        <v>23487.953621999997</v>
      </c>
      <c r="N137" s="144">
        <v>1062.239</v>
      </c>
      <c r="O137" s="144">
        <v>3992.9564009999999</v>
      </c>
      <c r="P137" s="170">
        <v>0.17000018244501286</v>
      </c>
      <c r="Q137" s="174">
        <v>47573</v>
      </c>
      <c r="R137" s="181"/>
    </row>
    <row r="138" spans="1:18" ht="15" x14ac:dyDescent="0.2">
      <c r="A138" s="142" t="s">
        <v>1218</v>
      </c>
      <c r="B138" s="143" t="s">
        <v>1218</v>
      </c>
      <c r="C138" s="170" t="s">
        <v>1068</v>
      </c>
      <c r="D138" s="143" t="s">
        <v>3251</v>
      </c>
      <c r="E138" s="145" t="s">
        <v>3853</v>
      </c>
      <c r="F138" s="145" t="s">
        <v>3853</v>
      </c>
      <c r="G138" s="143" t="s">
        <v>3252</v>
      </c>
      <c r="H138" s="143" t="s">
        <v>3253</v>
      </c>
      <c r="I138" s="143" t="s">
        <v>312</v>
      </c>
      <c r="J138" s="143" t="s">
        <v>1211</v>
      </c>
      <c r="K138" s="163">
        <v>45362</v>
      </c>
      <c r="L138" s="144">
        <v>6270.902</v>
      </c>
      <c r="M138" s="144">
        <v>23572.320618000002</v>
      </c>
      <c r="N138" s="144">
        <v>1442.306</v>
      </c>
      <c r="O138" s="144">
        <v>5421.6282539999993</v>
      </c>
      <c r="P138" s="170">
        <v>0.22999976717862916</v>
      </c>
      <c r="Q138" s="174">
        <v>47483</v>
      </c>
      <c r="R138" s="181"/>
    </row>
    <row r="139" spans="1:18" ht="15" x14ac:dyDescent="0.2">
      <c r="A139" s="142" t="s">
        <v>1218</v>
      </c>
      <c r="B139" s="143" t="s">
        <v>1218</v>
      </c>
      <c r="C139" s="170" t="s">
        <v>1068</v>
      </c>
      <c r="D139" s="143" t="s">
        <v>3548</v>
      </c>
      <c r="E139" s="145" t="s">
        <v>3853</v>
      </c>
      <c r="F139" s="145" t="s">
        <v>3853</v>
      </c>
      <c r="G139" s="143" t="s">
        <v>3549</v>
      </c>
      <c r="H139" s="143" t="s">
        <v>3550</v>
      </c>
      <c r="I139" s="143" t="s">
        <v>312</v>
      </c>
      <c r="J139" s="143" t="s">
        <v>1211</v>
      </c>
      <c r="K139" s="163">
        <v>45369</v>
      </c>
      <c r="L139" s="144">
        <v>2425.88</v>
      </c>
      <c r="M139" s="144">
        <v>9118.88292</v>
      </c>
      <c r="N139" s="144">
        <v>1440.845</v>
      </c>
      <c r="O139" s="144">
        <v>5416.1363549999996</v>
      </c>
      <c r="P139" s="170">
        <v>0.59394735106435603</v>
      </c>
      <c r="Q139" s="174">
        <v>48286</v>
      </c>
      <c r="R139" s="181"/>
    </row>
    <row r="140" spans="1:18" ht="15" x14ac:dyDescent="0.2">
      <c r="A140" s="142" t="s">
        <v>1218</v>
      </c>
      <c r="B140" s="143" t="s">
        <v>1218</v>
      </c>
      <c r="C140" s="170" t="s">
        <v>1068</v>
      </c>
      <c r="D140" s="143" t="s">
        <v>314</v>
      </c>
      <c r="E140" s="145" t="s">
        <v>3853</v>
      </c>
      <c r="F140" s="145" t="s">
        <v>3853</v>
      </c>
      <c r="G140" s="143" t="s">
        <v>3543</v>
      </c>
      <c r="H140" s="143" t="s">
        <v>3544</v>
      </c>
      <c r="I140" s="143" t="s">
        <v>312</v>
      </c>
      <c r="J140" s="143" t="s">
        <v>1214</v>
      </c>
      <c r="K140" s="163">
        <v>45365</v>
      </c>
      <c r="L140" s="144">
        <v>3739.0239999999999</v>
      </c>
      <c r="M140" s="144">
        <v>15031.6242848</v>
      </c>
      <c r="N140" s="144">
        <v>2494.509</v>
      </c>
      <c r="O140" s="144">
        <v>10028.4250818</v>
      </c>
      <c r="P140" s="170">
        <v>0.66715511855500265</v>
      </c>
      <c r="Q140" s="174">
        <v>47664</v>
      </c>
      <c r="R140" s="181"/>
    </row>
    <row r="141" spans="1:18" ht="15" x14ac:dyDescent="0.2">
      <c r="A141" s="142" t="s">
        <v>1218</v>
      </c>
      <c r="B141" s="143" t="s">
        <v>1218</v>
      </c>
      <c r="C141" s="170" t="s">
        <v>1068</v>
      </c>
      <c r="D141" s="143" t="s">
        <v>3580</v>
      </c>
      <c r="E141" s="145" t="s">
        <v>3853</v>
      </c>
      <c r="F141" s="145" t="s">
        <v>3853</v>
      </c>
      <c r="G141" s="143" t="s">
        <v>3581</v>
      </c>
      <c r="H141" s="143" t="s">
        <v>3582</v>
      </c>
      <c r="I141" s="143" t="s">
        <v>312</v>
      </c>
      <c r="J141" s="143" t="s">
        <v>1211</v>
      </c>
      <c r="K141" s="163">
        <v>45369</v>
      </c>
      <c r="L141" s="144">
        <v>3848</v>
      </c>
      <c r="M141" s="144">
        <v>14464.632</v>
      </c>
      <c r="N141" s="144">
        <v>3232.3199900000004</v>
      </c>
      <c r="O141" s="144">
        <v>12150.290842410001</v>
      </c>
      <c r="P141" s="170">
        <v>0.83999999740124742</v>
      </c>
      <c r="Q141" s="174">
        <v>49490</v>
      </c>
      <c r="R141" s="181"/>
    </row>
    <row r="142" spans="1:18" ht="15" x14ac:dyDescent="0.2">
      <c r="A142" s="142" t="s">
        <v>1218</v>
      </c>
      <c r="B142" s="143" t="s">
        <v>1218</v>
      </c>
      <c r="C142" s="170" t="s">
        <v>1068</v>
      </c>
      <c r="D142" s="143" t="s">
        <v>3251</v>
      </c>
      <c r="E142" s="145" t="s">
        <v>3853</v>
      </c>
      <c r="F142" s="145" t="s">
        <v>3853</v>
      </c>
      <c r="G142" s="143" t="s">
        <v>3444</v>
      </c>
      <c r="H142" s="143" t="s">
        <v>3445</v>
      </c>
      <c r="I142" s="143" t="s">
        <v>312</v>
      </c>
      <c r="J142" s="143" t="s">
        <v>1211</v>
      </c>
      <c r="K142" s="163">
        <v>45271</v>
      </c>
      <c r="L142" s="144">
        <v>6090</v>
      </c>
      <c r="M142" s="144">
        <v>22892.31</v>
      </c>
      <c r="N142" s="144">
        <v>609</v>
      </c>
      <c r="O142" s="144">
        <v>2289.2310000000002</v>
      </c>
      <c r="P142" s="170">
        <v>0.1</v>
      </c>
      <c r="Q142" s="174">
        <v>47745</v>
      </c>
      <c r="R142" s="181"/>
    </row>
    <row r="143" spans="1:18" ht="15" x14ac:dyDescent="0.2">
      <c r="A143" s="142" t="s">
        <v>1218</v>
      </c>
      <c r="B143" s="143" t="s">
        <v>1218</v>
      </c>
      <c r="C143" s="170" t="s">
        <v>1068</v>
      </c>
      <c r="D143" s="143" t="s">
        <v>3212</v>
      </c>
      <c r="E143" s="145" t="s">
        <v>3853</v>
      </c>
      <c r="F143" s="145" t="s">
        <v>3853</v>
      </c>
      <c r="G143" s="143" t="s">
        <v>3213</v>
      </c>
      <c r="H143" s="143" t="s">
        <v>3214</v>
      </c>
      <c r="I143" s="143" t="s">
        <v>312</v>
      </c>
      <c r="J143" s="143" t="s">
        <v>1211</v>
      </c>
      <c r="K143" s="163">
        <v>45169</v>
      </c>
      <c r="L143" s="144">
        <v>4709.0600000000004</v>
      </c>
      <c r="M143" s="144">
        <v>17701.356540000001</v>
      </c>
      <c r="N143" s="144">
        <v>897.755</v>
      </c>
      <c r="O143" s="144">
        <v>3374.6610449999998</v>
      </c>
      <c r="P143" s="170">
        <v>0.19064420500057336</v>
      </c>
      <c r="Q143" s="174">
        <v>46265</v>
      </c>
      <c r="R143" s="181"/>
    </row>
    <row r="144" spans="1:18" ht="15" x14ac:dyDescent="0.2">
      <c r="A144" s="142" t="s">
        <v>1218</v>
      </c>
      <c r="B144" s="143" t="s">
        <v>1218</v>
      </c>
      <c r="C144" s="170" t="s">
        <v>1068</v>
      </c>
      <c r="D144" s="143" t="s">
        <v>3534</v>
      </c>
      <c r="E144" s="145" t="s">
        <v>3853</v>
      </c>
      <c r="F144" s="145" t="s">
        <v>3853</v>
      </c>
      <c r="G144" s="143" t="s">
        <v>3535</v>
      </c>
      <c r="H144" s="143" t="s">
        <v>3536</v>
      </c>
      <c r="I144" s="143" t="s">
        <v>312</v>
      </c>
      <c r="J144" s="143" t="s">
        <v>1211</v>
      </c>
      <c r="K144" s="163">
        <v>45250</v>
      </c>
      <c r="L144" s="144">
        <v>3808.7939999999999</v>
      </c>
      <c r="M144" s="144">
        <v>14317.256646</v>
      </c>
      <c r="N144" s="144">
        <v>262.70499999999998</v>
      </c>
      <c r="O144" s="144">
        <v>987.50809500000003</v>
      </c>
      <c r="P144" s="170">
        <v>6.89732760553603E-2</v>
      </c>
      <c r="Q144" s="174">
        <v>46965</v>
      </c>
      <c r="R144" s="181"/>
    </row>
    <row r="145" spans="1:18" ht="15" x14ac:dyDescent="0.2">
      <c r="A145" s="142" t="s">
        <v>1218</v>
      </c>
      <c r="B145" s="143" t="s">
        <v>1218</v>
      </c>
      <c r="C145" s="170" t="s">
        <v>1068</v>
      </c>
      <c r="D145" s="143" t="s">
        <v>3333</v>
      </c>
      <c r="E145" s="145" t="s">
        <v>3853</v>
      </c>
      <c r="F145" s="145" t="s">
        <v>3853</v>
      </c>
      <c r="G145" s="143" t="s">
        <v>3334</v>
      </c>
      <c r="H145" s="143" t="s">
        <v>3335</v>
      </c>
      <c r="I145" s="143" t="s">
        <v>312</v>
      </c>
      <c r="J145" s="143" t="s">
        <v>1211</v>
      </c>
      <c r="K145" s="163">
        <v>45257</v>
      </c>
      <c r="L145" s="144">
        <v>2048.9789999999998</v>
      </c>
      <c r="M145" s="144">
        <v>7702.1120609999998</v>
      </c>
      <c r="N145" s="144">
        <v>354.59500000000003</v>
      </c>
      <c r="O145" s="144">
        <v>1332.922605</v>
      </c>
      <c r="P145" s="170">
        <v>0.17305936273627012</v>
      </c>
      <c r="Q145" s="174">
        <v>46752</v>
      </c>
      <c r="R145" s="181"/>
    </row>
    <row r="146" spans="1:18" ht="15" x14ac:dyDescent="0.2">
      <c r="A146" s="142" t="s">
        <v>1218</v>
      </c>
      <c r="B146" s="143" t="s">
        <v>1218</v>
      </c>
      <c r="C146" s="170" t="s">
        <v>1068</v>
      </c>
      <c r="D146" s="143" t="s">
        <v>3330</v>
      </c>
      <c r="E146" s="145" t="s">
        <v>3853</v>
      </c>
      <c r="F146" s="145" t="s">
        <v>3853</v>
      </c>
      <c r="G146" s="143" t="s">
        <v>3331</v>
      </c>
      <c r="H146" s="143" t="s">
        <v>3332</v>
      </c>
      <c r="I146" s="143" t="s">
        <v>312</v>
      </c>
      <c r="J146" s="143" t="s">
        <v>1211</v>
      </c>
      <c r="K146" s="163">
        <v>45362</v>
      </c>
      <c r="L146" s="144">
        <v>1218</v>
      </c>
      <c r="M146" s="144">
        <v>4578.4620000000004</v>
      </c>
      <c r="N146" s="144">
        <v>115.71</v>
      </c>
      <c r="O146" s="144">
        <v>434.95389</v>
      </c>
      <c r="P146" s="170">
        <v>9.5000000000000001E-2</v>
      </c>
      <c r="Q146" s="174">
        <v>47073</v>
      </c>
      <c r="R146" s="181"/>
    </row>
    <row r="147" spans="1:18" ht="15" x14ac:dyDescent="0.2">
      <c r="A147" s="142" t="s">
        <v>1218</v>
      </c>
      <c r="B147" s="143" t="s">
        <v>1218</v>
      </c>
      <c r="C147" s="170" t="s">
        <v>1068</v>
      </c>
      <c r="D147" s="143" t="s">
        <v>3230</v>
      </c>
      <c r="E147" s="145" t="s">
        <v>3853</v>
      </c>
      <c r="F147" s="145" t="s">
        <v>3853</v>
      </c>
      <c r="G147" s="143" t="s">
        <v>3231</v>
      </c>
      <c r="H147" s="143" t="s">
        <v>3232</v>
      </c>
      <c r="I147" s="143" t="s">
        <v>312</v>
      </c>
      <c r="J147" s="143" t="s">
        <v>1210</v>
      </c>
      <c r="K147" s="163">
        <v>45341</v>
      </c>
      <c r="L147" s="144">
        <v>15921.696</v>
      </c>
      <c r="M147" s="144">
        <v>15921.696</v>
      </c>
      <c r="N147" s="144">
        <v>11939.043</v>
      </c>
      <c r="O147" s="144">
        <v>11939.043</v>
      </c>
      <c r="P147" s="170">
        <v>0.74986000235150829</v>
      </c>
      <c r="Q147" s="174">
        <v>48290</v>
      </c>
      <c r="R147" s="181"/>
    </row>
    <row r="148" spans="1:18" ht="15" x14ac:dyDescent="0.2">
      <c r="A148" s="142" t="s">
        <v>1218</v>
      </c>
      <c r="B148" s="143" t="s">
        <v>1218</v>
      </c>
      <c r="C148" s="170" t="s">
        <v>1068</v>
      </c>
      <c r="D148" s="143" t="s">
        <v>3248</v>
      </c>
      <c r="E148" s="145" t="s">
        <v>3853</v>
      </c>
      <c r="F148" s="145" t="s">
        <v>3853</v>
      </c>
      <c r="G148" s="143" t="s">
        <v>3249</v>
      </c>
      <c r="H148" s="143" t="s">
        <v>3250</v>
      </c>
      <c r="I148" s="143" t="s">
        <v>312</v>
      </c>
      <c r="J148" s="143" t="s">
        <v>1211</v>
      </c>
      <c r="K148" s="163">
        <v>44993</v>
      </c>
      <c r="L148" s="144">
        <v>3283.0783799999999</v>
      </c>
      <c r="M148" s="144">
        <v>12341.09163042</v>
      </c>
      <c r="N148" s="144">
        <v>96.114659999999702</v>
      </c>
      <c r="O148" s="144">
        <v>361.29500693999881</v>
      </c>
      <c r="P148" s="170">
        <v>2.9275773793740401E-2</v>
      </c>
      <c r="Q148" s="174">
        <v>46842</v>
      </c>
      <c r="R148" s="181"/>
    </row>
    <row r="149" spans="1:18" ht="15" x14ac:dyDescent="0.2">
      <c r="A149" s="142" t="s">
        <v>1218</v>
      </c>
      <c r="B149" s="143" t="s">
        <v>1218</v>
      </c>
      <c r="C149" s="170" t="s">
        <v>1068</v>
      </c>
      <c r="D149" s="143" t="s">
        <v>3218</v>
      </c>
      <c r="E149" s="145" t="s">
        <v>3853</v>
      </c>
      <c r="F149" s="145" t="s">
        <v>3853</v>
      </c>
      <c r="G149" s="143" t="s">
        <v>3219</v>
      </c>
      <c r="H149" s="143" t="s">
        <v>3220</v>
      </c>
      <c r="I149" s="143" t="s">
        <v>312</v>
      </c>
      <c r="J149" s="143" t="s">
        <v>1211</v>
      </c>
      <c r="K149" s="163">
        <v>45216</v>
      </c>
      <c r="L149" s="144">
        <v>3757.55</v>
      </c>
      <c r="M149" s="144">
        <v>14124.630449999999</v>
      </c>
      <c r="N149" s="144">
        <v>1070.7819999999999</v>
      </c>
      <c r="O149" s="144">
        <v>4025.0695379999997</v>
      </c>
      <c r="P149" s="170">
        <v>0.28496813082992906</v>
      </c>
      <c r="Q149" s="174">
        <v>46934</v>
      </c>
      <c r="R149" s="181"/>
    </row>
    <row r="150" spans="1:18" ht="15" x14ac:dyDescent="0.2">
      <c r="A150" s="142" t="s">
        <v>1218</v>
      </c>
      <c r="B150" s="143" t="s">
        <v>1218</v>
      </c>
      <c r="C150" s="170" t="s">
        <v>1068</v>
      </c>
      <c r="D150" s="143" t="s">
        <v>3446</v>
      </c>
      <c r="E150" s="145" t="s">
        <v>3853</v>
      </c>
      <c r="F150" s="145" t="s">
        <v>3853</v>
      </c>
      <c r="G150" s="143" t="s">
        <v>3447</v>
      </c>
      <c r="H150" s="143" t="s">
        <v>3448</v>
      </c>
      <c r="I150" s="143" t="s">
        <v>312</v>
      </c>
      <c r="J150" s="143" t="s">
        <v>1214</v>
      </c>
      <c r="K150" s="163">
        <v>44816</v>
      </c>
      <c r="L150" s="144">
        <v>4997.7659999999996</v>
      </c>
      <c r="M150" s="144">
        <v>20092.018873199999</v>
      </c>
      <c r="N150" s="144">
        <v>361.51324000000022</v>
      </c>
      <c r="O150" s="144">
        <v>1453.3555274480009</v>
      </c>
      <c r="P150" s="170">
        <v>7.2334967263373323E-2</v>
      </c>
      <c r="Q150" s="174">
        <v>46568</v>
      </c>
      <c r="R150" s="181"/>
    </row>
    <row r="151" spans="1:18" ht="15" x14ac:dyDescent="0.2">
      <c r="A151" s="142" t="s">
        <v>1218</v>
      </c>
      <c r="B151" s="143" t="s">
        <v>1218</v>
      </c>
      <c r="C151" s="170" t="s">
        <v>1068</v>
      </c>
      <c r="D151" s="143" t="s">
        <v>3458</v>
      </c>
      <c r="E151" s="145" t="s">
        <v>3853</v>
      </c>
      <c r="F151" s="145" t="s">
        <v>3853</v>
      </c>
      <c r="G151" s="143" t="s">
        <v>3459</v>
      </c>
      <c r="H151" s="143" t="s">
        <v>3460</v>
      </c>
      <c r="I151" s="143" t="s">
        <v>312</v>
      </c>
      <c r="J151" s="143" t="s">
        <v>1211</v>
      </c>
      <c r="K151" s="163">
        <v>45342</v>
      </c>
      <c r="L151" s="144">
        <v>2002.664</v>
      </c>
      <c r="M151" s="144">
        <v>7528.0139760000002</v>
      </c>
      <c r="N151" s="144">
        <v>206.22200000000001</v>
      </c>
      <c r="O151" s="144">
        <v>775.18849799999998</v>
      </c>
      <c r="P151" s="170">
        <v>0.10297383884665626</v>
      </c>
      <c r="Q151" s="174">
        <v>47848</v>
      </c>
      <c r="R151" s="181"/>
    </row>
    <row r="152" spans="1:18" ht="15" x14ac:dyDescent="0.2">
      <c r="A152" s="142" t="s">
        <v>1218</v>
      </c>
      <c r="B152" s="143" t="s">
        <v>1218</v>
      </c>
      <c r="C152" s="170" t="s">
        <v>1068</v>
      </c>
      <c r="D152" s="143" t="s">
        <v>3236</v>
      </c>
      <c r="E152" s="145" t="s">
        <v>3853</v>
      </c>
      <c r="F152" s="145" t="s">
        <v>3853</v>
      </c>
      <c r="G152" s="143" t="s">
        <v>3237</v>
      </c>
      <c r="H152" s="143" t="s">
        <v>3238</v>
      </c>
      <c r="I152" s="143" t="s">
        <v>312</v>
      </c>
      <c r="J152" s="143" t="s">
        <v>1211</v>
      </c>
      <c r="K152" s="163">
        <v>45215</v>
      </c>
      <c r="L152" s="144">
        <v>2886</v>
      </c>
      <c r="M152" s="144">
        <v>10848.474</v>
      </c>
      <c r="N152" s="144">
        <v>2236.65</v>
      </c>
      <c r="O152" s="144">
        <v>8407.5673499999994</v>
      </c>
      <c r="P152" s="170">
        <v>0.77499999999999991</v>
      </c>
      <c r="Q152" s="174">
        <v>48869</v>
      </c>
      <c r="R152" s="181"/>
    </row>
    <row r="153" spans="1:18" ht="15" x14ac:dyDescent="0.2">
      <c r="A153" s="142" t="s">
        <v>1218</v>
      </c>
      <c r="B153" s="143" t="s">
        <v>1218</v>
      </c>
      <c r="C153" s="170" t="s">
        <v>1068</v>
      </c>
      <c r="D153" s="143" t="s">
        <v>3431</v>
      </c>
      <c r="E153" s="145" t="s">
        <v>3853</v>
      </c>
      <c r="F153" s="145" t="s">
        <v>3853</v>
      </c>
      <c r="G153" s="143" t="s">
        <v>3432</v>
      </c>
      <c r="H153" s="143" t="s">
        <v>3433</v>
      </c>
      <c r="I153" s="143" t="s">
        <v>312</v>
      </c>
      <c r="J153" s="143" t="s">
        <v>1210</v>
      </c>
      <c r="K153" s="163">
        <v>44938</v>
      </c>
      <c r="L153" s="144">
        <v>10398.926460000001</v>
      </c>
      <c r="M153" s="144">
        <v>10398.926460000001</v>
      </c>
      <c r="N153" s="144">
        <v>780.11846000000094</v>
      </c>
      <c r="O153" s="144">
        <v>780.11846000000094</v>
      </c>
      <c r="P153" s="170">
        <v>7.5019134234746848E-2</v>
      </c>
      <c r="Q153" s="174">
        <v>45838</v>
      </c>
      <c r="R153" s="181"/>
    </row>
    <row r="154" spans="1:18" ht="15" x14ac:dyDescent="0.2">
      <c r="A154" s="142" t="s">
        <v>1218</v>
      </c>
      <c r="B154" s="143" t="s">
        <v>1218</v>
      </c>
      <c r="C154" s="170" t="s">
        <v>1068</v>
      </c>
      <c r="D154" s="143" t="s">
        <v>3428</v>
      </c>
      <c r="E154" s="145" t="s">
        <v>3853</v>
      </c>
      <c r="F154" s="145" t="s">
        <v>3853</v>
      </c>
      <c r="G154" s="143" t="s">
        <v>3429</v>
      </c>
      <c r="H154" s="143" t="s">
        <v>3430</v>
      </c>
      <c r="I154" s="143" t="s">
        <v>312</v>
      </c>
      <c r="J154" s="143" t="s">
        <v>1210</v>
      </c>
      <c r="K154" s="163">
        <v>45350</v>
      </c>
      <c r="L154" s="144">
        <v>9620</v>
      </c>
      <c r="M154" s="144">
        <v>9620</v>
      </c>
      <c r="N154" s="144">
        <v>6734</v>
      </c>
      <c r="O154" s="144">
        <v>6734</v>
      </c>
      <c r="P154" s="170">
        <v>0.7</v>
      </c>
      <c r="Q154" s="174">
        <v>48944</v>
      </c>
      <c r="R154" s="181"/>
    </row>
    <row r="155" spans="1:18" ht="15" x14ac:dyDescent="0.2">
      <c r="A155" s="142" t="s">
        <v>1218</v>
      </c>
      <c r="B155" s="143" t="s">
        <v>1218</v>
      </c>
      <c r="C155" s="170" t="s">
        <v>1068</v>
      </c>
      <c r="D155" s="143" t="s">
        <v>3588</v>
      </c>
      <c r="E155" s="145" t="s">
        <v>3853</v>
      </c>
      <c r="F155" s="145" t="s">
        <v>3853</v>
      </c>
      <c r="G155" s="143" t="s">
        <v>3589</v>
      </c>
      <c r="H155" s="143" t="s">
        <v>3590</v>
      </c>
      <c r="I155" s="143" t="s">
        <v>312</v>
      </c>
      <c r="J155" s="143" t="s">
        <v>1211</v>
      </c>
      <c r="K155" s="163">
        <v>44462</v>
      </c>
      <c r="L155" s="144">
        <v>1473.0000040356163</v>
      </c>
      <c r="M155" s="144">
        <v>5537.007015169881</v>
      </c>
      <c r="N155" s="144">
        <v>397.71000403561629</v>
      </c>
      <c r="O155" s="144">
        <v>1494.9919051698816</v>
      </c>
      <c r="P155" s="170">
        <v>0.27000000199999996</v>
      </c>
      <c r="Q155" s="174">
        <v>46009</v>
      </c>
      <c r="R155" s="181"/>
    </row>
    <row r="156" spans="1:18" ht="15" x14ac:dyDescent="0.2">
      <c r="A156" s="142" t="s">
        <v>1218</v>
      </c>
      <c r="B156" s="143" t="s">
        <v>1218</v>
      </c>
      <c r="C156" s="170" t="s">
        <v>1068</v>
      </c>
      <c r="D156" s="143" t="s">
        <v>3461</v>
      </c>
      <c r="E156" s="145" t="s">
        <v>3853</v>
      </c>
      <c r="F156" s="145" t="s">
        <v>3853</v>
      </c>
      <c r="G156" s="143" t="s">
        <v>3462</v>
      </c>
      <c r="H156" s="143" t="s">
        <v>3463</v>
      </c>
      <c r="I156" s="143" t="s">
        <v>312</v>
      </c>
      <c r="J156" s="143" t="s">
        <v>1211</v>
      </c>
      <c r="K156" s="163">
        <v>45054</v>
      </c>
      <c r="L156" s="144">
        <v>4872</v>
      </c>
      <c r="M156" s="144">
        <v>18313.848000000002</v>
      </c>
      <c r="N156" s="144">
        <v>2733.1525200000001</v>
      </c>
      <c r="O156" s="144">
        <v>10273.92032268</v>
      </c>
      <c r="P156" s="170">
        <v>0.5609918965517241</v>
      </c>
      <c r="Q156" s="174">
        <v>47299</v>
      </c>
      <c r="R156" s="181"/>
    </row>
    <row r="157" spans="1:18" ht="15" x14ac:dyDescent="0.2">
      <c r="A157" s="142" t="s">
        <v>1218</v>
      </c>
      <c r="B157" s="143" t="s">
        <v>1218</v>
      </c>
      <c r="C157" s="170" t="s">
        <v>1068</v>
      </c>
      <c r="D157" s="143" t="s">
        <v>3449</v>
      </c>
      <c r="E157" s="145" t="s">
        <v>3853</v>
      </c>
      <c r="F157" s="145" t="s">
        <v>3853</v>
      </c>
      <c r="G157" s="143" t="s">
        <v>3450</v>
      </c>
      <c r="H157" s="143" t="s">
        <v>3451</v>
      </c>
      <c r="I157" s="143" t="s">
        <v>312</v>
      </c>
      <c r="J157" s="143" t="s">
        <v>1214</v>
      </c>
      <c r="K157" s="163">
        <v>45203</v>
      </c>
      <c r="L157" s="144">
        <v>3661.3760000000002</v>
      </c>
      <c r="M157" s="144">
        <v>14719.463795199999</v>
      </c>
      <c r="N157" s="144">
        <v>527.1841800000002</v>
      </c>
      <c r="O157" s="144">
        <v>2119.3858404360008</v>
      </c>
      <c r="P157" s="170">
        <v>0.14398526127881983</v>
      </c>
      <c r="Q157" s="174">
        <v>46265</v>
      </c>
      <c r="R157" s="181"/>
    </row>
    <row r="158" spans="1:18" ht="15" x14ac:dyDescent="0.2">
      <c r="A158" s="142" t="s">
        <v>1218</v>
      </c>
      <c r="B158" s="143" t="s">
        <v>1218</v>
      </c>
      <c r="C158" s="170" t="s">
        <v>1068</v>
      </c>
      <c r="D158" s="143" t="s">
        <v>3495</v>
      </c>
      <c r="E158" s="145" t="s">
        <v>3853</v>
      </c>
      <c r="F158" s="145" t="s">
        <v>3853</v>
      </c>
      <c r="G158" s="143" t="s">
        <v>3496</v>
      </c>
      <c r="H158" s="143" t="s">
        <v>3497</v>
      </c>
      <c r="I158" s="143" t="s">
        <v>312</v>
      </c>
      <c r="J158" s="143" t="s">
        <v>1211</v>
      </c>
      <c r="K158" s="163">
        <v>45362</v>
      </c>
      <c r="L158" s="144">
        <v>6291.3029999999999</v>
      </c>
      <c r="M158" s="144">
        <v>23649.007976999997</v>
      </c>
      <c r="N158" s="144">
        <v>786.19871000000001</v>
      </c>
      <c r="O158" s="144">
        <v>2955.3209508899999</v>
      </c>
      <c r="P158" s="170">
        <v>0.12496595856216114</v>
      </c>
      <c r="Q158" s="174">
        <v>47360</v>
      </c>
      <c r="R158" s="181"/>
    </row>
    <row r="159" spans="1:18" ht="15" x14ac:dyDescent="0.2">
      <c r="A159" s="142" t="s">
        <v>1218</v>
      </c>
      <c r="B159" s="143" t="s">
        <v>1218</v>
      </c>
      <c r="C159" s="170" t="s">
        <v>1068</v>
      </c>
      <c r="D159" s="143" t="s">
        <v>3251</v>
      </c>
      <c r="E159" s="145" t="s">
        <v>3853</v>
      </c>
      <c r="F159" s="145" t="s">
        <v>3853</v>
      </c>
      <c r="G159" s="143" t="s">
        <v>3356</v>
      </c>
      <c r="H159" s="143" t="s">
        <v>3357</v>
      </c>
      <c r="I159" s="143" t="s">
        <v>312</v>
      </c>
      <c r="J159" s="143" t="s">
        <v>1211</v>
      </c>
      <c r="K159" s="163">
        <v>45371</v>
      </c>
      <c r="L159" s="144">
        <v>2700</v>
      </c>
      <c r="M159" s="144">
        <v>10149.299999999999</v>
      </c>
      <c r="N159" s="144">
        <v>2187</v>
      </c>
      <c r="O159" s="144">
        <v>8220.9330000000009</v>
      </c>
      <c r="P159" s="170">
        <v>0.81</v>
      </c>
      <c r="Q159" s="174">
        <v>49023</v>
      </c>
      <c r="R159" s="181"/>
    </row>
    <row r="160" spans="1:18" ht="15" x14ac:dyDescent="0.2">
      <c r="A160" s="142" t="s">
        <v>1218</v>
      </c>
      <c r="B160" s="143" t="s">
        <v>1218</v>
      </c>
      <c r="C160" s="170" t="s">
        <v>1068</v>
      </c>
      <c r="D160" s="143" t="s">
        <v>3507</v>
      </c>
      <c r="E160" s="145" t="s">
        <v>3853</v>
      </c>
      <c r="F160" s="145" t="s">
        <v>3853</v>
      </c>
      <c r="G160" s="143" t="s">
        <v>3508</v>
      </c>
      <c r="H160" s="143" t="s">
        <v>3509</v>
      </c>
      <c r="I160" s="143" t="s">
        <v>312</v>
      </c>
      <c r="J160" s="143" t="s">
        <v>1211</v>
      </c>
      <c r="K160" s="163">
        <v>45187</v>
      </c>
      <c r="L160" s="144">
        <v>4968.625</v>
      </c>
      <c r="M160" s="144">
        <v>18677.061375000001</v>
      </c>
      <c r="N160" s="144">
        <v>1141.77991</v>
      </c>
      <c r="O160" s="144">
        <v>4291.9506816900002</v>
      </c>
      <c r="P160" s="170">
        <v>0.2297979642255151</v>
      </c>
      <c r="Q160" s="174">
        <v>46142</v>
      </c>
      <c r="R160" s="181"/>
    </row>
    <row r="161" spans="1:18" ht="15" x14ac:dyDescent="0.2">
      <c r="A161" s="142" t="s">
        <v>1218</v>
      </c>
      <c r="B161" s="143" t="s">
        <v>1218</v>
      </c>
      <c r="C161" s="170" t="s">
        <v>1068</v>
      </c>
      <c r="D161" s="143" t="s">
        <v>3525</v>
      </c>
      <c r="E161" s="145" t="s">
        <v>3853</v>
      </c>
      <c r="F161" s="145" t="s">
        <v>3853</v>
      </c>
      <c r="G161" s="143" t="s">
        <v>3526</v>
      </c>
      <c r="H161" s="143" t="s">
        <v>3527</v>
      </c>
      <c r="I161" s="143" t="s">
        <v>312</v>
      </c>
      <c r="J161" s="143" t="s">
        <v>1211</v>
      </c>
      <c r="K161" s="163">
        <v>45322</v>
      </c>
      <c r="L161" s="144">
        <v>1800</v>
      </c>
      <c r="M161" s="144">
        <v>6766.2</v>
      </c>
      <c r="N161" s="144">
        <v>509.04498999999998</v>
      </c>
      <c r="O161" s="144">
        <v>1913.50011741</v>
      </c>
      <c r="P161" s="170">
        <v>0.28280277222222222</v>
      </c>
      <c r="Q161" s="174">
        <v>48884</v>
      </c>
      <c r="R161" s="181"/>
    </row>
    <row r="162" spans="1:18" ht="15" x14ac:dyDescent="0.2">
      <c r="A162" s="142" t="s">
        <v>1218</v>
      </c>
      <c r="B162" s="143" t="s">
        <v>1218</v>
      </c>
      <c r="C162" s="170" t="s">
        <v>1068</v>
      </c>
      <c r="D162" s="143" t="s">
        <v>3480</v>
      </c>
      <c r="E162" s="145" t="s">
        <v>3853</v>
      </c>
      <c r="F162" s="145" t="s">
        <v>3853</v>
      </c>
      <c r="G162" s="143" t="s">
        <v>3488</v>
      </c>
      <c r="H162" s="143" t="s">
        <v>3489</v>
      </c>
      <c r="I162" s="143" t="s">
        <v>312</v>
      </c>
      <c r="J162" s="143" t="s">
        <v>1210</v>
      </c>
      <c r="K162" s="163">
        <v>45250</v>
      </c>
      <c r="L162" s="144">
        <v>13468</v>
      </c>
      <c r="M162" s="144">
        <v>13468</v>
      </c>
      <c r="N162" s="144">
        <v>13384.58</v>
      </c>
      <c r="O162" s="144">
        <v>13384.58</v>
      </c>
      <c r="P162" s="170">
        <v>0.99380605880605877</v>
      </c>
      <c r="Q162" s="174">
        <v>48913</v>
      </c>
      <c r="R162" s="181"/>
    </row>
    <row r="163" spans="1:18" ht="15" x14ac:dyDescent="0.2">
      <c r="A163" s="142" t="s">
        <v>1218</v>
      </c>
      <c r="B163" s="143" t="s">
        <v>1218</v>
      </c>
      <c r="C163" s="170" t="s">
        <v>1068</v>
      </c>
      <c r="D163" s="143" t="s">
        <v>3254</v>
      </c>
      <c r="E163" s="145" t="s">
        <v>3853</v>
      </c>
      <c r="F163" s="145" t="s">
        <v>3853</v>
      </c>
      <c r="G163" s="143" t="s">
        <v>3277</v>
      </c>
      <c r="H163" s="143" t="s">
        <v>3278</v>
      </c>
      <c r="I163" s="143" t="s">
        <v>312</v>
      </c>
      <c r="J163" s="143" t="s">
        <v>1211</v>
      </c>
      <c r="K163" s="163">
        <v>45298</v>
      </c>
      <c r="L163" s="144">
        <v>5918.6469999999999</v>
      </c>
      <c r="M163" s="144">
        <v>22248.194072999999</v>
      </c>
      <c r="N163" s="144">
        <v>2524.9709900000003</v>
      </c>
      <c r="O163" s="144">
        <v>9491.3659514100018</v>
      </c>
      <c r="P163" s="170">
        <v>0.42661287115112634</v>
      </c>
      <c r="Q163" s="174">
        <v>47907</v>
      </c>
      <c r="R163" s="181"/>
    </row>
    <row r="164" spans="1:18" ht="15" x14ac:dyDescent="0.2">
      <c r="A164" s="142" t="s">
        <v>1218</v>
      </c>
      <c r="B164" s="143" t="s">
        <v>1218</v>
      </c>
      <c r="C164" s="170" t="s">
        <v>1068</v>
      </c>
      <c r="D164" s="143" t="s">
        <v>3303</v>
      </c>
      <c r="E164" s="145" t="s">
        <v>3853</v>
      </c>
      <c r="F164" s="145" t="s">
        <v>3853</v>
      </c>
      <c r="G164" s="143" t="s">
        <v>3304</v>
      </c>
      <c r="H164" s="143" t="s">
        <v>3305</v>
      </c>
      <c r="I164" s="143" t="s">
        <v>312</v>
      </c>
      <c r="J164" s="143" t="s">
        <v>1214</v>
      </c>
      <c r="K164" s="163">
        <v>45356</v>
      </c>
      <c r="L164" s="144">
        <v>2916</v>
      </c>
      <c r="M164" s="144">
        <v>11722.903199999999</v>
      </c>
      <c r="N164" s="144">
        <v>1224.72</v>
      </c>
      <c r="O164" s="144">
        <v>4923.6193439999997</v>
      </c>
      <c r="P164" s="170">
        <v>0.42</v>
      </c>
      <c r="Q164" s="174">
        <v>48265</v>
      </c>
      <c r="R164" s="181"/>
    </row>
    <row r="165" spans="1:18" ht="15" x14ac:dyDescent="0.2">
      <c r="A165" s="142" t="s">
        <v>1218</v>
      </c>
      <c r="B165" s="143" t="s">
        <v>1218</v>
      </c>
      <c r="C165" s="170" t="s">
        <v>1068</v>
      </c>
      <c r="D165" s="143" t="s">
        <v>314</v>
      </c>
      <c r="E165" s="145" t="s">
        <v>3853</v>
      </c>
      <c r="F165" s="145" t="s">
        <v>3853</v>
      </c>
      <c r="G165" s="143" t="s">
        <v>3560</v>
      </c>
      <c r="H165" s="143" t="s">
        <v>3561</v>
      </c>
      <c r="I165" s="143" t="s">
        <v>312</v>
      </c>
      <c r="J165" s="143" t="s">
        <v>1211</v>
      </c>
      <c r="K165" s="163">
        <v>45316</v>
      </c>
      <c r="L165" s="144">
        <v>7689.89444</v>
      </c>
      <c r="M165" s="144">
        <v>28906.313199960001</v>
      </c>
      <c r="N165" s="144">
        <v>1652.8837400000002</v>
      </c>
      <c r="O165" s="144">
        <v>6213.1899786600006</v>
      </c>
      <c r="P165" s="170">
        <v>0.21494231850600021</v>
      </c>
      <c r="Q165" s="174">
        <v>47422</v>
      </c>
      <c r="R165" s="181"/>
    </row>
    <row r="166" spans="1:18" ht="15" x14ac:dyDescent="0.2">
      <c r="A166" s="142" t="s">
        <v>1218</v>
      </c>
      <c r="B166" s="143" t="s">
        <v>1218</v>
      </c>
      <c r="C166" s="170" t="s">
        <v>1068</v>
      </c>
      <c r="D166" s="143" t="s">
        <v>3297</v>
      </c>
      <c r="E166" s="145" t="s">
        <v>3853</v>
      </c>
      <c r="F166" s="145" t="s">
        <v>3853</v>
      </c>
      <c r="G166" s="143" t="s">
        <v>3298</v>
      </c>
      <c r="H166" s="143" t="s">
        <v>3299</v>
      </c>
      <c r="I166" s="143" t="s">
        <v>312</v>
      </c>
      <c r="J166" s="143" t="s">
        <v>1214</v>
      </c>
      <c r="K166" s="163">
        <v>44893</v>
      </c>
      <c r="L166" s="144">
        <v>2823.3607364358745</v>
      </c>
      <c r="M166" s="144">
        <v>11350.4748326195</v>
      </c>
      <c r="N166" s="144">
        <v>218.30620643587457</v>
      </c>
      <c r="O166" s="144">
        <v>877.63461111350296</v>
      </c>
      <c r="P166" s="170">
        <v>7.7321400563024681E-2</v>
      </c>
      <c r="Q166" s="174">
        <v>46965</v>
      </c>
      <c r="R166" s="181"/>
    </row>
    <row r="167" spans="1:18" ht="15" x14ac:dyDescent="0.2">
      <c r="A167" s="142" t="s">
        <v>1218</v>
      </c>
      <c r="B167" s="143" t="s">
        <v>1218</v>
      </c>
      <c r="C167" s="170" t="s">
        <v>1068</v>
      </c>
      <c r="D167" s="143" t="s">
        <v>3257</v>
      </c>
      <c r="E167" s="145" t="s">
        <v>3853</v>
      </c>
      <c r="F167" s="145" t="s">
        <v>3853</v>
      </c>
      <c r="G167" s="143" t="s">
        <v>3258</v>
      </c>
      <c r="H167" s="143" t="s">
        <v>3259</v>
      </c>
      <c r="I167" s="143" t="s">
        <v>312</v>
      </c>
      <c r="J167" s="143" t="s">
        <v>1211</v>
      </c>
      <c r="K167" s="163">
        <v>44706</v>
      </c>
      <c r="L167" s="144">
        <v>3108.115434298024</v>
      </c>
      <c r="M167" s="144">
        <v>11683.405917526272</v>
      </c>
      <c r="N167" s="144">
        <v>84.881834298023961</v>
      </c>
      <c r="O167" s="144">
        <v>319.07081512627201</v>
      </c>
      <c r="P167" s="170">
        <v>2.7309743184359799E-2</v>
      </c>
      <c r="Q167" s="174">
        <v>47542</v>
      </c>
      <c r="R167" s="181"/>
    </row>
    <row r="168" spans="1:18" ht="15" x14ac:dyDescent="0.2">
      <c r="A168" s="142" t="s">
        <v>1218</v>
      </c>
      <c r="B168" s="143" t="s">
        <v>1218</v>
      </c>
      <c r="C168" s="170" t="s">
        <v>1068</v>
      </c>
      <c r="D168" s="143" t="s">
        <v>3254</v>
      </c>
      <c r="E168" s="145" t="s">
        <v>3853</v>
      </c>
      <c r="F168" s="145" t="s">
        <v>3853</v>
      </c>
      <c r="G168" s="143" t="s">
        <v>3272</v>
      </c>
      <c r="H168" s="143" t="s">
        <v>3273</v>
      </c>
      <c r="I168" s="143" t="s">
        <v>312</v>
      </c>
      <c r="J168" s="143" t="s">
        <v>1211</v>
      </c>
      <c r="K168" s="163">
        <v>45316</v>
      </c>
      <c r="L168" s="144">
        <v>3599.0949999999998</v>
      </c>
      <c r="M168" s="144">
        <v>13528.998105000001</v>
      </c>
      <c r="N168" s="144">
        <v>653.44600000000003</v>
      </c>
      <c r="O168" s="144">
        <v>2456.3035140000002</v>
      </c>
      <c r="P168" s="170">
        <v>0.18155841954713614</v>
      </c>
      <c r="Q168" s="174">
        <v>49096</v>
      </c>
      <c r="R168" s="181"/>
    </row>
    <row r="169" spans="1:18" ht="15" x14ac:dyDescent="0.2">
      <c r="A169" s="142" t="s">
        <v>1218</v>
      </c>
      <c r="B169" s="143" t="s">
        <v>1218</v>
      </c>
      <c r="C169" s="170" t="s">
        <v>1068</v>
      </c>
      <c r="D169" s="143" t="s">
        <v>3540</v>
      </c>
      <c r="E169" s="145" t="s">
        <v>3853</v>
      </c>
      <c r="F169" s="145" t="s">
        <v>3853</v>
      </c>
      <c r="G169" s="143" t="s">
        <v>3541</v>
      </c>
      <c r="H169" s="143" t="s">
        <v>3542</v>
      </c>
      <c r="I169" s="143" t="s">
        <v>312</v>
      </c>
      <c r="J169" s="143" t="s">
        <v>1211</v>
      </c>
      <c r="K169" s="163">
        <v>45225</v>
      </c>
      <c r="L169" s="144">
        <v>2436</v>
      </c>
      <c r="M169" s="144">
        <v>9156.9240000000009</v>
      </c>
      <c r="N169" s="144">
        <v>730.8</v>
      </c>
      <c r="O169" s="144">
        <v>2747.0771999999997</v>
      </c>
      <c r="P169" s="170">
        <v>0.3</v>
      </c>
      <c r="Q169" s="174">
        <v>47081</v>
      </c>
      <c r="R169" s="181"/>
    </row>
    <row r="170" spans="1:18" ht="15" x14ac:dyDescent="0.2">
      <c r="A170" s="142" t="s">
        <v>1218</v>
      </c>
      <c r="B170" s="143" t="s">
        <v>1218</v>
      </c>
      <c r="C170" s="170" t="s">
        <v>1068</v>
      </c>
      <c r="D170" s="143" t="s">
        <v>314</v>
      </c>
      <c r="E170" s="145" t="s">
        <v>3853</v>
      </c>
      <c r="F170" s="145" t="s">
        <v>3853</v>
      </c>
      <c r="G170" s="143" t="s">
        <v>3573</v>
      </c>
      <c r="H170" s="143" t="s">
        <v>3574</v>
      </c>
      <c r="I170" s="143" t="s">
        <v>312</v>
      </c>
      <c r="J170" s="143" t="s">
        <v>1211</v>
      </c>
      <c r="K170" s="163">
        <v>45369</v>
      </c>
      <c r="L170" s="144">
        <v>3018.9129691569069</v>
      </c>
      <c r="M170" s="144">
        <v>11348.093851060814</v>
      </c>
      <c r="N170" s="144">
        <v>510.2640591569068</v>
      </c>
      <c r="O170" s="144">
        <v>1918.0825983708125</v>
      </c>
      <c r="P170" s="170">
        <v>0.1690224476061688</v>
      </c>
      <c r="Q170" s="174">
        <v>47149</v>
      </c>
      <c r="R170" s="181"/>
    </row>
    <row r="171" spans="1:18" ht="15" x14ac:dyDescent="0.2">
      <c r="A171" s="142" t="s">
        <v>1218</v>
      </c>
      <c r="B171" s="143" t="s">
        <v>1218</v>
      </c>
      <c r="C171" s="170" t="s">
        <v>1068</v>
      </c>
      <c r="D171" s="143" t="s">
        <v>3294</v>
      </c>
      <c r="E171" s="145" t="s">
        <v>3853</v>
      </c>
      <c r="F171" s="145" t="s">
        <v>3853</v>
      </c>
      <c r="G171" s="143" t="s">
        <v>3295</v>
      </c>
      <c r="H171" s="143" t="s">
        <v>3296</v>
      </c>
      <c r="I171" s="143" t="s">
        <v>312</v>
      </c>
      <c r="J171" s="143" t="s">
        <v>1211</v>
      </c>
      <c r="K171" s="163">
        <v>45316</v>
      </c>
      <c r="L171" s="144">
        <v>4908.8028299999996</v>
      </c>
      <c r="M171" s="144">
        <v>18452.18983797</v>
      </c>
      <c r="N171" s="144">
        <v>974.7344300000002</v>
      </c>
      <c r="O171" s="144">
        <v>3664.0267223700007</v>
      </c>
      <c r="P171" s="170">
        <v>0.19856866607942372</v>
      </c>
      <c r="Q171" s="174">
        <v>45291</v>
      </c>
      <c r="R171" s="181"/>
    </row>
    <row r="172" spans="1:18" ht="15" x14ac:dyDescent="0.2">
      <c r="A172" s="142" t="s">
        <v>1218</v>
      </c>
      <c r="B172" s="143" t="s">
        <v>1218</v>
      </c>
      <c r="C172" s="170" t="s">
        <v>1068</v>
      </c>
      <c r="D172" s="143" t="s">
        <v>3312</v>
      </c>
      <c r="E172" s="145" t="s">
        <v>3853</v>
      </c>
      <c r="F172" s="145" t="s">
        <v>3853</v>
      </c>
      <c r="G172" s="143" t="s">
        <v>3313</v>
      </c>
      <c r="H172" s="143" t="s">
        <v>3314</v>
      </c>
      <c r="I172" s="143" t="s">
        <v>312</v>
      </c>
      <c r="J172" s="143" t="s">
        <v>1211</v>
      </c>
      <c r="K172" s="163">
        <v>44991</v>
      </c>
      <c r="L172" s="144">
        <v>2308.8000000000002</v>
      </c>
      <c r="M172" s="144">
        <v>8678.779199999999</v>
      </c>
      <c r="N172" s="144">
        <v>577.20000000000005</v>
      </c>
      <c r="O172" s="144">
        <v>2169.6947999999998</v>
      </c>
      <c r="P172" s="170">
        <v>0.25</v>
      </c>
      <c r="Q172" s="174">
        <v>48352</v>
      </c>
      <c r="R172" s="181"/>
    </row>
    <row r="173" spans="1:18" ht="15" x14ac:dyDescent="0.2">
      <c r="A173" s="142" t="s">
        <v>1218</v>
      </c>
      <c r="B173" s="143" t="s">
        <v>1218</v>
      </c>
      <c r="C173" s="170" t="s">
        <v>1068</v>
      </c>
      <c r="D173" s="143" t="s">
        <v>3380</v>
      </c>
      <c r="E173" s="145" t="s">
        <v>3853</v>
      </c>
      <c r="F173" s="145" t="s">
        <v>3853</v>
      </c>
      <c r="G173" s="143" t="s">
        <v>3381</v>
      </c>
      <c r="H173" s="143" t="s">
        <v>3382</v>
      </c>
      <c r="I173" s="143" t="s">
        <v>312</v>
      </c>
      <c r="J173" s="143" t="s">
        <v>1210</v>
      </c>
      <c r="K173" s="163">
        <v>45237</v>
      </c>
      <c r="L173" s="144">
        <v>10101.6059</v>
      </c>
      <c r="M173" s="144">
        <v>10101.6059</v>
      </c>
      <c r="N173" s="144">
        <v>3390.7939000000006</v>
      </c>
      <c r="O173" s="144">
        <v>3390.7939000000006</v>
      </c>
      <c r="P173" s="170">
        <v>0.33566879697811219</v>
      </c>
      <c r="Q173" s="174">
        <v>47026</v>
      </c>
      <c r="R173" s="181"/>
    </row>
    <row r="174" spans="1:18" ht="15" x14ac:dyDescent="0.2">
      <c r="A174" s="142" t="s">
        <v>1218</v>
      </c>
      <c r="B174" s="143" t="s">
        <v>1218</v>
      </c>
      <c r="C174" s="170" t="s">
        <v>1068</v>
      </c>
      <c r="D174" s="143" t="s">
        <v>3324</v>
      </c>
      <c r="E174" s="145" t="s">
        <v>3853</v>
      </c>
      <c r="F174" s="145" t="s">
        <v>3853</v>
      </c>
      <c r="G174" s="143" t="s">
        <v>3325</v>
      </c>
      <c r="H174" s="143" t="s">
        <v>3326</v>
      </c>
      <c r="I174" s="143" t="s">
        <v>312</v>
      </c>
      <c r="J174" s="143" t="s">
        <v>1211</v>
      </c>
      <c r="K174" s="163">
        <v>45362</v>
      </c>
      <c r="L174" s="144">
        <v>1705.2</v>
      </c>
      <c r="M174" s="144">
        <v>6409.8468000000003</v>
      </c>
      <c r="N174" s="144">
        <v>257.48519999999996</v>
      </c>
      <c r="O174" s="144">
        <v>967.88686679999989</v>
      </c>
      <c r="P174" s="170">
        <v>0.15099999999999997</v>
      </c>
      <c r="Q174" s="174">
        <v>47082</v>
      </c>
      <c r="R174" s="181"/>
    </row>
    <row r="175" spans="1:18" ht="15" x14ac:dyDescent="0.2">
      <c r="A175" s="142" t="s">
        <v>1218</v>
      </c>
      <c r="B175" s="143" t="s">
        <v>1218</v>
      </c>
      <c r="C175" s="170" t="s">
        <v>1068</v>
      </c>
      <c r="D175" s="143" t="s">
        <v>3490</v>
      </c>
      <c r="E175" s="145" t="s">
        <v>3853</v>
      </c>
      <c r="F175" s="145" t="s">
        <v>3853</v>
      </c>
      <c r="G175" s="143" t="s">
        <v>3493</v>
      </c>
      <c r="H175" s="143" t="s">
        <v>3494</v>
      </c>
      <c r="I175" s="143" t="s">
        <v>312</v>
      </c>
      <c r="J175" s="143" t="s">
        <v>1210</v>
      </c>
      <c r="K175" s="163">
        <v>42528</v>
      </c>
      <c r="L175" s="144">
        <v>5871.0236330000007</v>
      </c>
      <c r="M175" s="144">
        <v>5871.0236330000007</v>
      </c>
      <c r="N175" s="144">
        <v>3.0000004917383195E-6</v>
      </c>
      <c r="O175" s="144">
        <v>3.0000004917383195E-6</v>
      </c>
      <c r="P175" s="170">
        <v>5.1098423022449439E-10</v>
      </c>
      <c r="Q175" s="174">
        <v>46180</v>
      </c>
      <c r="R175" s="181"/>
    </row>
    <row r="176" spans="1:18" ht="15" x14ac:dyDescent="0.2">
      <c r="A176" s="142" t="s">
        <v>1218</v>
      </c>
      <c r="B176" s="143" t="s">
        <v>1218</v>
      </c>
      <c r="C176" s="170" t="s">
        <v>1068</v>
      </c>
      <c r="D176" s="143" t="s">
        <v>3282</v>
      </c>
      <c r="E176" s="145" t="s">
        <v>3853</v>
      </c>
      <c r="F176" s="145" t="s">
        <v>3853</v>
      </c>
      <c r="G176" s="143" t="s">
        <v>3283</v>
      </c>
      <c r="H176" s="143" t="s">
        <v>3284</v>
      </c>
      <c r="I176" s="143" t="s">
        <v>312</v>
      </c>
      <c r="J176" s="143" t="s">
        <v>1211</v>
      </c>
      <c r="K176" s="163">
        <v>45350</v>
      </c>
      <c r="L176" s="144">
        <v>3680.0720000000001</v>
      </c>
      <c r="M176" s="144">
        <v>13833.390648000001</v>
      </c>
      <c r="N176" s="144">
        <v>808.96299000000033</v>
      </c>
      <c r="O176" s="144">
        <v>3040.8918794100009</v>
      </c>
      <c r="P176" s="170">
        <v>0.21982259857959308</v>
      </c>
      <c r="Q176" s="174">
        <v>45291</v>
      </c>
      <c r="R176" s="181"/>
    </row>
    <row r="177" spans="1:18" ht="15" x14ac:dyDescent="0.2">
      <c r="A177" s="142" t="s">
        <v>1218</v>
      </c>
      <c r="B177" s="143" t="s">
        <v>1218</v>
      </c>
      <c r="C177" s="170" t="s">
        <v>1068</v>
      </c>
      <c r="D177" s="143" t="s">
        <v>3372</v>
      </c>
      <c r="E177" s="145" t="s">
        <v>3853</v>
      </c>
      <c r="F177" s="145" t="s">
        <v>3853</v>
      </c>
      <c r="G177" s="143" t="s">
        <v>3373</v>
      </c>
      <c r="H177" s="143" t="s">
        <v>3374</v>
      </c>
      <c r="I177" s="143" t="s">
        <v>312</v>
      </c>
      <c r="J177" s="143" t="s">
        <v>1210</v>
      </c>
      <c r="K177" s="163">
        <v>45172</v>
      </c>
      <c r="L177" s="144">
        <v>11192.04</v>
      </c>
      <c r="M177" s="144">
        <v>11192.04</v>
      </c>
      <c r="N177" s="144">
        <v>475.04899999999998</v>
      </c>
      <c r="O177" s="144">
        <v>475.04899999999998</v>
      </c>
      <c r="P177" s="170">
        <v>4.2445255735326176E-2</v>
      </c>
      <c r="Q177" s="174">
        <v>47238</v>
      </c>
      <c r="R177" s="181"/>
    </row>
    <row r="178" spans="1:18" ht="15" x14ac:dyDescent="0.2">
      <c r="A178" s="142" t="s">
        <v>1218</v>
      </c>
      <c r="B178" s="143" t="s">
        <v>1218</v>
      </c>
      <c r="C178" s="170" t="s">
        <v>1068</v>
      </c>
      <c r="D178" s="143" t="s">
        <v>3534</v>
      </c>
      <c r="E178" s="145" t="s">
        <v>3853</v>
      </c>
      <c r="F178" s="145" t="s">
        <v>3853</v>
      </c>
      <c r="G178" s="143" t="s">
        <v>3556</v>
      </c>
      <c r="H178" s="143" t="s">
        <v>3557</v>
      </c>
      <c r="I178" s="143" t="s">
        <v>312</v>
      </c>
      <c r="J178" s="143" t="s">
        <v>1211</v>
      </c>
      <c r="K178" s="163">
        <v>45197</v>
      </c>
      <c r="L178" s="144">
        <v>2505.0329999999999</v>
      </c>
      <c r="M178" s="144">
        <v>9416.4190469999994</v>
      </c>
      <c r="N178" s="144">
        <v>760.26900000000001</v>
      </c>
      <c r="O178" s="144">
        <v>2857.8511710000002</v>
      </c>
      <c r="P178" s="170">
        <v>0.30349660064358436</v>
      </c>
      <c r="Q178" s="174">
        <v>46022</v>
      </c>
      <c r="R178" s="181"/>
    </row>
    <row r="179" spans="1:18" ht="15" x14ac:dyDescent="0.2">
      <c r="A179" s="142" t="s">
        <v>1218</v>
      </c>
      <c r="B179" s="143" t="s">
        <v>1218</v>
      </c>
      <c r="C179" s="170" t="s">
        <v>1068</v>
      </c>
      <c r="D179" s="143" t="s">
        <v>3339</v>
      </c>
      <c r="E179" s="145" t="s">
        <v>3853</v>
      </c>
      <c r="F179" s="145" t="s">
        <v>3853</v>
      </c>
      <c r="G179" s="143" t="s">
        <v>3340</v>
      </c>
      <c r="H179" s="143" t="s">
        <v>3341</v>
      </c>
      <c r="I179" s="143" t="s">
        <v>312</v>
      </c>
      <c r="J179" s="143" t="s">
        <v>1211</v>
      </c>
      <c r="K179" s="163">
        <v>45365</v>
      </c>
      <c r="L179" s="144">
        <v>1635.4</v>
      </c>
      <c r="M179" s="144">
        <v>6147.4685999999992</v>
      </c>
      <c r="N179" s="144">
        <v>797.32893999999999</v>
      </c>
      <c r="O179" s="144">
        <v>2997.1594854599998</v>
      </c>
      <c r="P179" s="170">
        <v>0.48754368350250699</v>
      </c>
      <c r="Q179" s="174">
        <v>48055</v>
      </c>
      <c r="R179" s="181"/>
    </row>
    <row r="180" spans="1:18" ht="15" x14ac:dyDescent="0.2">
      <c r="A180" s="142" t="s">
        <v>1218</v>
      </c>
      <c r="B180" s="143" t="s">
        <v>1218</v>
      </c>
      <c r="C180" s="170" t="s">
        <v>1068</v>
      </c>
      <c r="D180" s="143" t="s">
        <v>3327</v>
      </c>
      <c r="E180" s="145" t="s">
        <v>3853</v>
      </c>
      <c r="F180" s="145" t="s">
        <v>3853</v>
      </c>
      <c r="G180" s="143" t="s">
        <v>3328</v>
      </c>
      <c r="H180" s="143" t="s">
        <v>3329</v>
      </c>
      <c r="I180" s="143" t="s">
        <v>312</v>
      </c>
      <c r="J180" s="143" t="s">
        <v>1211</v>
      </c>
      <c r="K180" s="163">
        <v>45291</v>
      </c>
      <c r="L180" s="144">
        <v>2439.9090000000001</v>
      </c>
      <c r="M180" s="144">
        <v>9171.6179310000007</v>
      </c>
      <c r="N180" s="144">
        <v>1298.0050000000001</v>
      </c>
      <c r="O180" s="144">
        <v>4879.2007949999997</v>
      </c>
      <c r="P180" s="170">
        <v>0.5319891028722793</v>
      </c>
      <c r="Q180" s="174">
        <v>47083</v>
      </c>
      <c r="R180" s="181"/>
    </row>
    <row r="181" spans="1:18" ht="15" x14ac:dyDescent="0.2">
      <c r="A181" s="142" t="s">
        <v>1218</v>
      </c>
      <c r="B181" s="143" t="s">
        <v>1218</v>
      </c>
      <c r="C181" s="170" t="s">
        <v>1068</v>
      </c>
      <c r="D181" s="143" t="s">
        <v>3531</v>
      </c>
      <c r="E181" s="145" t="s">
        <v>3853</v>
      </c>
      <c r="F181" s="145" t="s">
        <v>3853</v>
      </c>
      <c r="G181" s="143" t="s">
        <v>3532</v>
      </c>
      <c r="H181" s="143" t="s">
        <v>3533</v>
      </c>
      <c r="I181" s="143" t="s">
        <v>312</v>
      </c>
      <c r="J181" s="143" t="s">
        <v>1211</v>
      </c>
      <c r="K181" s="163">
        <v>45350</v>
      </c>
      <c r="L181" s="144">
        <v>1800</v>
      </c>
      <c r="M181" s="144">
        <v>6766.2</v>
      </c>
      <c r="N181" s="144">
        <v>1731.6</v>
      </c>
      <c r="O181" s="144">
        <v>6509.0843999999997</v>
      </c>
      <c r="P181" s="170">
        <v>0.96199999999999997</v>
      </c>
      <c r="Q181" s="174">
        <v>49003</v>
      </c>
      <c r="R181" s="181"/>
    </row>
    <row r="182" spans="1:18" ht="15" x14ac:dyDescent="0.2">
      <c r="A182" s="142" t="s">
        <v>1218</v>
      </c>
      <c r="B182" s="143" t="s">
        <v>1218</v>
      </c>
      <c r="C182" s="170" t="s">
        <v>1068</v>
      </c>
      <c r="D182" s="143" t="s">
        <v>3467</v>
      </c>
      <c r="E182" s="145" t="s">
        <v>3853</v>
      </c>
      <c r="F182" s="145" t="s">
        <v>3853</v>
      </c>
      <c r="G182" s="143" t="s">
        <v>3468</v>
      </c>
      <c r="H182" s="143" t="s">
        <v>3469</v>
      </c>
      <c r="I182" s="143" t="s">
        <v>312</v>
      </c>
      <c r="J182" s="143" t="s">
        <v>1211</v>
      </c>
      <c r="K182" s="163">
        <v>45281</v>
      </c>
      <c r="L182" s="144">
        <v>1539.2</v>
      </c>
      <c r="M182" s="144">
        <v>5785.8527999999997</v>
      </c>
      <c r="N182" s="144">
        <v>692.64</v>
      </c>
      <c r="O182" s="144">
        <v>2603.6337599999997</v>
      </c>
      <c r="P182" s="170">
        <v>0.44999999999999996</v>
      </c>
      <c r="Q182" s="174">
        <v>47543</v>
      </c>
      <c r="R182" s="181"/>
    </row>
    <row r="183" spans="1:18" ht="15" x14ac:dyDescent="0.2">
      <c r="A183" s="142" t="s">
        <v>1218</v>
      </c>
      <c r="B183" s="143" t="s">
        <v>1218</v>
      </c>
      <c r="C183" s="170" t="s">
        <v>1068</v>
      </c>
      <c r="D183" s="143" t="s">
        <v>314</v>
      </c>
      <c r="E183" s="145" t="s">
        <v>3853</v>
      </c>
      <c r="F183" s="145" t="s">
        <v>3853</v>
      </c>
      <c r="G183" s="143" t="s">
        <v>3565</v>
      </c>
      <c r="H183" s="143" t="s">
        <v>3566</v>
      </c>
      <c r="I183" s="143" t="s">
        <v>312</v>
      </c>
      <c r="J183" s="143" t="s">
        <v>1211</v>
      </c>
      <c r="K183" s="163">
        <v>45378</v>
      </c>
      <c r="L183" s="144">
        <v>3757.55</v>
      </c>
      <c r="M183" s="144">
        <v>14124.630449999999</v>
      </c>
      <c r="N183" s="144">
        <v>144.06870000000018</v>
      </c>
      <c r="O183" s="144">
        <v>541.55424330000062</v>
      </c>
      <c r="P183" s="170">
        <v>3.8341126531915792E-2</v>
      </c>
      <c r="Q183" s="174">
        <v>47269</v>
      </c>
      <c r="R183" s="181"/>
    </row>
    <row r="184" spans="1:18" ht="15" x14ac:dyDescent="0.2">
      <c r="A184" s="142" t="s">
        <v>1218</v>
      </c>
      <c r="B184" s="143" t="s">
        <v>1218</v>
      </c>
      <c r="C184" s="170" t="s">
        <v>1068</v>
      </c>
      <c r="D184" s="143" t="s">
        <v>314</v>
      </c>
      <c r="E184" s="145" t="s">
        <v>3853</v>
      </c>
      <c r="F184" s="145" t="s">
        <v>3853</v>
      </c>
      <c r="G184" s="143" t="s">
        <v>3567</v>
      </c>
      <c r="H184" s="143" t="s">
        <v>3568</v>
      </c>
      <c r="I184" s="143" t="s">
        <v>312</v>
      </c>
      <c r="J184" s="143" t="s">
        <v>1211</v>
      </c>
      <c r="K184" s="163">
        <v>45362</v>
      </c>
      <c r="L184" s="144">
        <v>4033.4389999999999</v>
      </c>
      <c r="M184" s="144">
        <v>15161.697200999999</v>
      </c>
      <c r="N184" s="144">
        <v>336.9</v>
      </c>
      <c r="O184" s="144">
        <v>1266.4070999999999</v>
      </c>
      <c r="P184" s="170">
        <v>8.352673735737666E-2</v>
      </c>
      <c r="Q184" s="174">
        <v>47543</v>
      </c>
      <c r="R184" s="181"/>
    </row>
    <row r="185" spans="1:18" ht="15" x14ac:dyDescent="0.2">
      <c r="A185" s="142" t="s">
        <v>1218</v>
      </c>
      <c r="B185" s="143" t="s">
        <v>1218</v>
      </c>
      <c r="C185" s="170" t="s">
        <v>1068</v>
      </c>
      <c r="D185" s="143" t="s">
        <v>3486</v>
      </c>
      <c r="E185" s="145" t="s">
        <v>3853</v>
      </c>
      <c r="F185" s="145" t="s">
        <v>3853</v>
      </c>
      <c r="G185" s="143" t="s">
        <v>3486</v>
      </c>
      <c r="H185" s="143" t="s">
        <v>3487</v>
      </c>
      <c r="I185" s="143" t="s">
        <v>312</v>
      </c>
      <c r="J185" s="143" t="s">
        <v>1210</v>
      </c>
      <c r="K185" s="163">
        <v>45362</v>
      </c>
      <c r="L185" s="144">
        <v>6167.5029999999997</v>
      </c>
      <c r="M185" s="144">
        <v>6167.5029999999997</v>
      </c>
      <c r="N185" s="144">
        <v>2197.7549900000004</v>
      </c>
      <c r="O185" s="144">
        <v>2197.7549900000004</v>
      </c>
      <c r="P185" s="170">
        <v>0.35634437307934835</v>
      </c>
      <c r="Q185" s="174">
        <v>46905</v>
      </c>
      <c r="R185" s="181"/>
    </row>
    <row r="186" spans="1:18" ht="15" x14ac:dyDescent="0.2">
      <c r="A186" s="142" t="s">
        <v>1218</v>
      </c>
      <c r="B186" s="143" t="s">
        <v>1218</v>
      </c>
      <c r="C186" s="170" t="s">
        <v>1068</v>
      </c>
      <c r="D186" s="143" t="s">
        <v>3245</v>
      </c>
      <c r="E186" s="145" t="s">
        <v>3853</v>
      </c>
      <c r="F186" s="145" t="s">
        <v>3853</v>
      </c>
      <c r="G186" s="143" t="s">
        <v>3246</v>
      </c>
      <c r="H186" s="143" t="s">
        <v>3247</v>
      </c>
      <c r="I186" s="143" t="s">
        <v>312</v>
      </c>
      <c r="J186" s="143" t="s">
        <v>1211</v>
      </c>
      <c r="K186" s="163">
        <v>45250</v>
      </c>
      <c r="L186" s="144">
        <v>4810</v>
      </c>
      <c r="M186" s="144">
        <v>18080.79</v>
      </c>
      <c r="N186" s="144">
        <v>174.21799999999999</v>
      </c>
      <c r="O186" s="144">
        <v>654.88546199999996</v>
      </c>
      <c r="P186" s="170">
        <v>3.6219958419958419E-2</v>
      </c>
      <c r="Q186" s="174">
        <v>47664</v>
      </c>
      <c r="R186" s="181"/>
    </row>
    <row r="187" spans="1:18" ht="15" x14ac:dyDescent="0.2">
      <c r="A187" s="142" t="s">
        <v>1218</v>
      </c>
      <c r="B187" s="143" t="s">
        <v>1218</v>
      </c>
      <c r="C187" s="170" t="s">
        <v>1068</v>
      </c>
      <c r="D187" s="143" t="s">
        <v>3288</v>
      </c>
      <c r="E187" s="145" t="s">
        <v>3853</v>
      </c>
      <c r="F187" s="145" t="s">
        <v>3853</v>
      </c>
      <c r="G187" s="143" t="s">
        <v>3289</v>
      </c>
      <c r="H187" s="143" t="s">
        <v>3290</v>
      </c>
      <c r="I187" s="143" t="s">
        <v>312</v>
      </c>
      <c r="J187" s="143" t="s">
        <v>1211</v>
      </c>
      <c r="K187" s="163">
        <v>45279</v>
      </c>
      <c r="L187" s="144">
        <v>3949.3562499999998</v>
      </c>
      <c r="M187" s="144">
        <v>14845.630143749999</v>
      </c>
      <c r="N187" s="144">
        <v>1610.53008</v>
      </c>
      <c r="O187" s="144">
        <v>6053.9825707199998</v>
      </c>
      <c r="P187" s="170">
        <v>0.40779559453518538</v>
      </c>
      <c r="Q187" s="174">
        <v>47817</v>
      </c>
      <c r="R187" s="181"/>
    </row>
    <row r="188" spans="1:18" ht="15" x14ac:dyDescent="0.2">
      <c r="A188" s="142" t="s">
        <v>1218</v>
      </c>
      <c r="B188" s="143" t="s">
        <v>1218</v>
      </c>
      <c r="C188" s="170" t="s">
        <v>1068</v>
      </c>
      <c r="D188" s="143" t="s">
        <v>3254</v>
      </c>
      <c r="E188" s="145" t="s">
        <v>3853</v>
      </c>
      <c r="F188" s="145" t="s">
        <v>3853</v>
      </c>
      <c r="G188" s="143" t="s">
        <v>3255</v>
      </c>
      <c r="H188" s="143" t="s">
        <v>3256</v>
      </c>
      <c r="I188" s="143" t="s">
        <v>312</v>
      </c>
      <c r="J188" s="143" t="s">
        <v>1211</v>
      </c>
      <c r="K188" s="163">
        <v>45320</v>
      </c>
      <c r="L188" s="144">
        <v>5912.0889999999999</v>
      </c>
      <c r="M188" s="144">
        <v>22223.542550999999</v>
      </c>
      <c r="N188" s="144">
        <v>1088.8969999999999</v>
      </c>
      <c r="O188" s="144">
        <v>4093.1638229999999</v>
      </c>
      <c r="P188" s="170">
        <v>0.18418142893315714</v>
      </c>
      <c r="Q188" s="174">
        <v>47046</v>
      </c>
      <c r="R188" s="181"/>
    </row>
    <row r="189" spans="1:18" ht="15" x14ac:dyDescent="0.2">
      <c r="A189" s="142" t="s">
        <v>1218</v>
      </c>
      <c r="B189" s="143" t="s">
        <v>1218</v>
      </c>
      <c r="C189" s="170" t="s">
        <v>1068</v>
      </c>
      <c r="D189" s="143" t="s">
        <v>3345</v>
      </c>
      <c r="E189" s="145" t="s">
        <v>3853</v>
      </c>
      <c r="F189" s="145" t="s">
        <v>3853</v>
      </c>
      <c r="G189" s="143" t="s">
        <v>3346</v>
      </c>
      <c r="H189" s="143" t="s">
        <v>3347</v>
      </c>
      <c r="I189" s="143" t="s">
        <v>312</v>
      </c>
      <c r="J189" s="143" t="s">
        <v>1211</v>
      </c>
      <c r="K189" s="163">
        <v>45230</v>
      </c>
      <c r="L189" s="144">
        <v>2439.9090000000001</v>
      </c>
      <c r="M189" s="144">
        <v>9171.6179310000007</v>
      </c>
      <c r="N189" s="144">
        <v>1870.6227900000001</v>
      </c>
      <c r="O189" s="144">
        <v>7031.6710676100001</v>
      </c>
      <c r="P189" s="170">
        <v>0.76667727771814442</v>
      </c>
      <c r="Q189" s="174">
        <v>45291</v>
      </c>
      <c r="R189" s="181"/>
    </row>
    <row r="190" spans="1:18" ht="15" x14ac:dyDescent="0.2">
      <c r="A190" s="142" t="s">
        <v>1218</v>
      </c>
      <c r="B190" s="143" t="s">
        <v>1218</v>
      </c>
      <c r="C190" s="170" t="s">
        <v>1068</v>
      </c>
      <c r="D190" s="143" t="s">
        <v>3578</v>
      </c>
      <c r="E190" s="145" t="s">
        <v>3853</v>
      </c>
      <c r="F190" s="145" t="s">
        <v>3853</v>
      </c>
      <c r="G190" s="143" t="s">
        <v>3576</v>
      </c>
      <c r="H190" s="143" t="s">
        <v>3579</v>
      </c>
      <c r="I190" s="143" t="s">
        <v>312</v>
      </c>
      <c r="J190" s="143" t="s">
        <v>1211</v>
      </c>
      <c r="K190" s="163">
        <v>45362</v>
      </c>
      <c r="L190" s="144">
        <v>924.89200000000005</v>
      </c>
      <c r="M190" s="144">
        <v>3476.6690279999998</v>
      </c>
      <c r="N190" s="144">
        <v>277.46699999999998</v>
      </c>
      <c r="O190" s="144">
        <v>1042.9984529999999</v>
      </c>
      <c r="P190" s="170">
        <v>0.29999935127560839</v>
      </c>
      <c r="Q190" s="174">
        <v>48883</v>
      </c>
      <c r="R190" s="181"/>
    </row>
    <row r="191" spans="1:18" ht="15" x14ac:dyDescent="0.2">
      <c r="A191" s="142" t="s">
        <v>1218</v>
      </c>
      <c r="B191" s="143" t="s">
        <v>1218</v>
      </c>
      <c r="C191" s="170" t="s">
        <v>1068</v>
      </c>
      <c r="D191" s="143" t="s">
        <v>3411</v>
      </c>
      <c r="E191" s="145" t="s">
        <v>3853</v>
      </c>
      <c r="F191" s="145" t="s">
        <v>3853</v>
      </c>
      <c r="G191" s="143" t="s">
        <v>3417</v>
      </c>
      <c r="H191" s="143" t="s">
        <v>3418</v>
      </c>
      <c r="I191" s="143" t="s">
        <v>312</v>
      </c>
      <c r="J191" s="143" t="s">
        <v>1210</v>
      </c>
      <c r="K191" s="163">
        <v>45271</v>
      </c>
      <c r="L191" s="144">
        <v>12760</v>
      </c>
      <c r="M191" s="144">
        <v>12760</v>
      </c>
      <c r="N191" s="144">
        <v>1656.1669999999999</v>
      </c>
      <c r="O191" s="144">
        <v>1656.1669999999999</v>
      </c>
      <c r="P191" s="170">
        <v>0.12979365203761756</v>
      </c>
      <c r="Q191" s="174">
        <v>45291</v>
      </c>
      <c r="R191" s="181"/>
    </row>
    <row r="192" spans="1:18" ht="15" x14ac:dyDescent="0.2">
      <c r="A192" s="142" t="s">
        <v>1218</v>
      </c>
      <c r="B192" s="143" t="s">
        <v>1218</v>
      </c>
      <c r="C192" s="170" t="s">
        <v>1068</v>
      </c>
      <c r="D192" s="143" t="s">
        <v>3441</v>
      </c>
      <c r="E192" s="145" t="s">
        <v>3853</v>
      </c>
      <c r="F192" s="145" t="s">
        <v>3853</v>
      </c>
      <c r="G192" s="143" t="s">
        <v>3442</v>
      </c>
      <c r="H192" s="143" t="s">
        <v>3443</v>
      </c>
      <c r="I192" s="143" t="s">
        <v>312</v>
      </c>
      <c r="J192" s="143" t="s">
        <v>1214</v>
      </c>
      <c r="K192" s="163">
        <v>45046</v>
      </c>
      <c r="L192" s="144">
        <v>7428.1902369621303</v>
      </c>
      <c r="M192" s="144">
        <v>29862.810390635153</v>
      </c>
      <c r="N192" s="144">
        <v>915.1453669621302</v>
      </c>
      <c r="O192" s="144">
        <v>3679.0674042611554</v>
      </c>
      <c r="P192" s="170">
        <v>0.12319896741583621</v>
      </c>
      <c r="Q192" s="174">
        <v>45961</v>
      </c>
      <c r="R192" s="181"/>
    </row>
    <row r="193" spans="1:18" ht="15" x14ac:dyDescent="0.2">
      <c r="A193" s="142" t="s">
        <v>1218</v>
      </c>
      <c r="B193" s="143" t="s">
        <v>1218</v>
      </c>
      <c r="C193" s="170" t="s">
        <v>1068</v>
      </c>
      <c r="D193" s="143" t="s">
        <v>3321</v>
      </c>
      <c r="E193" s="145" t="s">
        <v>3853</v>
      </c>
      <c r="F193" s="145" t="s">
        <v>3853</v>
      </c>
      <c r="G193" s="143" t="s">
        <v>3392</v>
      </c>
      <c r="H193" s="143" t="s">
        <v>3393</v>
      </c>
      <c r="I193" s="143" t="s">
        <v>312</v>
      </c>
      <c r="J193" s="143" t="s">
        <v>1211</v>
      </c>
      <c r="K193" s="163">
        <v>45337</v>
      </c>
      <c r="L193" s="144">
        <v>4374</v>
      </c>
      <c r="M193" s="144">
        <v>16441.866000000002</v>
      </c>
      <c r="N193" s="144">
        <v>2055.8329900000003</v>
      </c>
      <c r="O193" s="144">
        <v>7727.8762094100002</v>
      </c>
      <c r="P193" s="170">
        <v>0.47001211476909011</v>
      </c>
      <c r="Q193" s="174">
        <v>48303</v>
      </c>
      <c r="R193" s="181"/>
    </row>
    <row r="194" spans="1:18" ht="15" x14ac:dyDescent="0.2">
      <c r="A194" s="142" t="s">
        <v>1218</v>
      </c>
      <c r="B194" s="143" t="s">
        <v>1218</v>
      </c>
      <c r="C194" s="170" t="s">
        <v>1068</v>
      </c>
      <c r="D194" s="143" t="s">
        <v>3480</v>
      </c>
      <c r="E194" s="145" t="s">
        <v>3853</v>
      </c>
      <c r="F194" s="145" t="s">
        <v>3853</v>
      </c>
      <c r="G194" s="143" t="s">
        <v>3481</v>
      </c>
      <c r="H194" s="143" t="s">
        <v>3482</v>
      </c>
      <c r="I194" s="143" t="s">
        <v>312</v>
      </c>
      <c r="J194" s="143" t="s">
        <v>1210</v>
      </c>
      <c r="K194" s="163">
        <v>45306</v>
      </c>
      <c r="L194" s="144">
        <v>25117.541000000001</v>
      </c>
      <c r="M194" s="144">
        <v>25117.541000000001</v>
      </c>
      <c r="N194" s="144">
        <v>3010.9656000000014</v>
      </c>
      <c r="O194" s="144">
        <v>3010.9656000000014</v>
      </c>
      <c r="P194" s="170">
        <v>0.11987501483525005</v>
      </c>
      <c r="Q194" s="174">
        <v>46507</v>
      </c>
      <c r="R194" s="181"/>
    </row>
    <row r="195" spans="1:18" ht="15" x14ac:dyDescent="0.2">
      <c r="A195" s="142" t="s">
        <v>1218</v>
      </c>
      <c r="B195" s="143" t="s">
        <v>1218</v>
      </c>
      <c r="C195" s="170" t="s">
        <v>1068</v>
      </c>
      <c r="D195" s="143" t="s">
        <v>3353</v>
      </c>
      <c r="E195" s="145" t="s">
        <v>3853</v>
      </c>
      <c r="F195" s="145" t="s">
        <v>3853</v>
      </c>
      <c r="G195" s="143" t="s">
        <v>3354</v>
      </c>
      <c r="H195" s="143" t="s">
        <v>3355</v>
      </c>
      <c r="I195" s="143" t="s">
        <v>312</v>
      </c>
      <c r="J195" s="143" t="s">
        <v>1211</v>
      </c>
      <c r="K195" s="163">
        <v>45342</v>
      </c>
      <c r="L195" s="144">
        <v>3078.4</v>
      </c>
      <c r="M195" s="144">
        <v>11571.705599999999</v>
      </c>
      <c r="N195" s="144">
        <v>2798.2271299999998</v>
      </c>
      <c r="O195" s="144">
        <v>10518.535781669998</v>
      </c>
      <c r="P195" s="170">
        <v>0.90898750324844069</v>
      </c>
      <c r="Q195" s="174">
        <v>44742</v>
      </c>
      <c r="R195" s="181"/>
    </row>
    <row r="196" spans="1:18" ht="15" x14ac:dyDescent="0.2">
      <c r="A196" s="142" t="s">
        <v>1218</v>
      </c>
      <c r="B196" s="143" t="s">
        <v>1218</v>
      </c>
      <c r="C196" s="170" t="s">
        <v>1068</v>
      </c>
      <c r="D196" s="143" t="s">
        <v>3372</v>
      </c>
      <c r="E196" s="145" t="s">
        <v>3853</v>
      </c>
      <c r="F196" s="145" t="s">
        <v>3853</v>
      </c>
      <c r="G196" s="143" t="s">
        <v>3375</v>
      </c>
      <c r="H196" s="143" t="s">
        <v>3376</v>
      </c>
      <c r="I196" s="143" t="s">
        <v>312</v>
      </c>
      <c r="J196" s="143" t="s">
        <v>1210</v>
      </c>
      <c r="K196" s="163">
        <v>45279</v>
      </c>
      <c r="L196" s="144">
        <v>15580.59</v>
      </c>
      <c r="M196" s="144">
        <v>15580.59</v>
      </c>
      <c r="N196" s="144">
        <v>5353.3479900000002</v>
      </c>
      <c r="O196" s="144">
        <v>5353.3479900000002</v>
      </c>
      <c r="P196" s="170">
        <v>0.34359083898620013</v>
      </c>
      <c r="Q196" s="174">
        <v>48669</v>
      </c>
      <c r="R196" s="181"/>
    </row>
    <row r="197" spans="1:18" ht="15" x14ac:dyDescent="0.2">
      <c r="A197" s="142" t="s">
        <v>1218</v>
      </c>
      <c r="B197" s="143" t="s">
        <v>1218</v>
      </c>
      <c r="C197" s="170" t="s">
        <v>1068</v>
      </c>
      <c r="D197" s="143" t="s">
        <v>3419</v>
      </c>
      <c r="E197" s="145" t="s">
        <v>3853</v>
      </c>
      <c r="F197" s="145" t="s">
        <v>3853</v>
      </c>
      <c r="G197" s="143" t="s">
        <v>3420</v>
      </c>
      <c r="H197" s="143" t="s">
        <v>3421</v>
      </c>
      <c r="I197" s="143" t="s">
        <v>312</v>
      </c>
      <c r="J197" s="143" t="s">
        <v>1210</v>
      </c>
      <c r="K197" s="163">
        <v>45243</v>
      </c>
      <c r="L197" s="144">
        <v>9744</v>
      </c>
      <c r="M197" s="144">
        <v>9744</v>
      </c>
      <c r="N197" s="144">
        <v>3259.0329900000002</v>
      </c>
      <c r="O197" s="144">
        <v>3259.0329900000002</v>
      </c>
      <c r="P197" s="170">
        <v>0.33446561884236453</v>
      </c>
      <c r="Q197" s="174">
        <v>48304</v>
      </c>
      <c r="R197" s="181"/>
    </row>
    <row r="198" spans="1:18" ht="15" x14ac:dyDescent="0.2">
      <c r="A198" s="142" t="s">
        <v>1218</v>
      </c>
      <c r="B198" s="143" t="s">
        <v>1218</v>
      </c>
      <c r="C198" s="170" t="s">
        <v>1068</v>
      </c>
      <c r="D198" s="143" t="s">
        <v>3263</v>
      </c>
      <c r="E198" s="145" t="s">
        <v>3853</v>
      </c>
      <c r="F198" s="145" t="s">
        <v>3853</v>
      </c>
      <c r="G198" s="143" t="s">
        <v>3264</v>
      </c>
      <c r="H198" s="143" t="s">
        <v>3265</v>
      </c>
      <c r="I198" s="143" t="s">
        <v>312</v>
      </c>
      <c r="J198" s="143" t="s">
        <v>1214</v>
      </c>
      <c r="K198" s="163">
        <v>45378</v>
      </c>
      <c r="L198" s="144">
        <v>3958.7069999999999</v>
      </c>
      <c r="M198" s="144">
        <v>15914.793881400001</v>
      </c>
      <c r="N198" s="144">
        <v>484.29514000000012</v>
      </c>
      <c r="O198" s="144">
        <v>1946.9633218280005</v>
      </c>
      <c r="P198" s="170">
        <v>0.12233669731051076</v>
      </c>
      <c r="Q198" s="174">
        <v>48518</v>
      </c>
      <c r="R198" s="181"/>
    </row>
    <row r="199" spans="1:18" ht="15" x14ac:dyDescent="0.2">
      <c r="A199" s="142" t="s">
        <v>1218</v>
      </c>
      <c r="B199" s="143" t="s">
        <v>1218</v>
      </c>
      <c r="C199" s="170" t="s">
        <v>1068</v>
      </c>
      <c r="D199" s="143" t="s">
        <v>3300</v>
      </c>
      <c r="E199" s="145" t="s">
        <v>3853</v>
      </c>
      <c r="F199" s="145" t="s">
        <v>3853</v>
      </c>
      <c r="G199" s="143" t="s">
        <v>3301</v>
      </c>
      <c r="H199" s="143" t="s">
        <v>3302</v>
      </c>
      <c r="I199" s="143" t="s">
        <v>312</v>
      </c>
      <c r="J199" s="143" t="s">
        <v>1214</v>
      </c>
      <c r="K199" s="163">
        <v>45299</v>
      </c>
      <c r="L199" s="144">
        <v>2213.6959999999999</v>
      </c>
      <c r="M199" s="144">
        <v>8899.5006591999991</v>
      </c>
      <c r="N199" s="144">
        <v>64.719049999999811</v>
      </c>
      <c r="O199" s="144">
        <v>260.18352480999926</v>
      </c>
      <c r="P199" s="170">
        <v>2.9235744203359365E-2</v>
      </c>
      <c r="Q199" s="174">
        <v>48052</v>
      </c>
      <c r="R199" s="181"/>
    </row>
    <row r="200" spans="1:18" ht="15" x14ac:dyDescent="0.2">
      <c r="A200" s="142" t="s">
        <v>1218</v>
      </c>
      <c r="B200" s="143" t="s">
        <v>1218</v>
      </c>
      <c r="C200" s="170" t="s">
        <v>1068</v>
      </c>
      <c r="D200" s="143" t="s">
        <v>3279</v>
      </c>
      <c r="E200" s="145" t="s">
        <v>3853</v>
      </c>
      <c r="F200" s="145" t="s">
        <v>3853</v>
      </c>
      <c r="G200" s="143" t="s">
        <v>3280</v>
      </c>
      <c r="H200" s="143" t="s">
        <v>3281</v>
      </c>
      <c r="I200" s="143" t="s">
        <v>312</v>
      </c>
      <c r="J200" s="143" t="s">
        <v>1214</v>
      </c>
      <c r="K200" s="163">
        <v>45217</v>
      </c>
      <c r="L200" s="144">
        <v>3490.77423</v>
      </c>
      <c r="M200" s="144">
        <v>14033.610559445999</v>
      </c>
      <c r="N200" s="144">
        <v>602.93314000000009</v>
      </c>
      <c r="O200" s="144">
        <v>2423.9118094280002</v>
      </c>
      <c r="P200" s="170">
        <v>0.17272189499347831</v>
      </c>
      <c r="Q200" s="174">
        <v>47664</v>
      </c>
      <c r="R200" s="181"/>
    </row>
    <row r="201" spans="1:18" ht="15" x14ac:dyDescent="0.2">
      <c r="A201" s="142" t="s">
        <v>1218</v>
      </c>
      <c r="B201" s="143" t="s">
        <v>1218</v>
      </c>
      <c r="C201" s="170" t="s">
        <v>1068</v>
      </c>
      <c r="D201" s="143" t="s">
        <v>3291</v>
      </c>
      <c r="E201" s="145" t="s">
        <v>3853</v>
      </c>
      <c r="F201" s="145" t="s">
        <v>3853</v>
      </c>
      <c r="G201" s="143" t="s">
        <v>3292</v>
      </c>
      <c r="H201" s="143" t="s">
        <v>3293</v>
      </c>
      <c r="I201" s="143" t="s">
        <v>312</v>
      </c>
      <c r="J201" s="143" t="s">
        <v>1211</v>
      </c>
      <c r="K201" s="163">
        <v>45316</v>
      </c>
      <c r="L201" s="144">
        <v>2495.3710000000001</v>
      </c>
      <c r="M201" s="144">
        <v>9380.0995889999995</v>
      </c>
      <c r="N201" s="144">
        <v>74.861000000000004</v>
      </c>
      <c r="O201" s="144">
        <v>281.40249900000003</v>
      </c>
      <c r="P201" s="170">
        <v>2.9999947903538195E-2</v>
      </c>
      <c r="Q201" s="174">
        <v>47573</v>
      </c>
      <c r="R201" s="181"/>
    </row>
    <row r="202" spans="1:18" ht="15" x14ac:dyDescent="0.2">
      <c r="A202" s="142" t="s">
        <v>1218</v>
      </c>
      <c r="B202" s="143" t="s">
        <v>1218</v>
      </c>
      <c r="C202" s="170" t="s">
        <v>1068</v>
      </c>
      <c r="D202" s="143" t="s">
        <v>3315</v>
      </c>
      <c r="E202" s="145" t="s">
        <v>3853</v>
      </c>
      <c r="F202" s="145" t="s">
        <v>3853</v>
      </c>
      <c r="G202" s="143" t="s">
        <v>3316</v>
      </c>
      <c r="H202" s="143" t="s">
        <v>3317</v>
      </c>
      <c r="I202" s="143" t="s">
        <v>312</v>
      </c>
      <c r="J202" s="143" t="s">
        <v>1211</v>
      </c>
      <c r="K202" s="163">
        <v>45362</v>
      </c>
      <c r="L202" s="144">
        <v>3385.64419</v>
      </c>
      <c r="M202" s="144">
        <v>12726.636510210001</v>
      </c>
      <c r="N202" s="144">
        <v>581.79071999999974</v>
      </c>
      <c r="O202" s="144">
        <v>2186.9513164799992</v>
      </c>
      <c r="P202" s="170">
        <v>0.17184047919695891</v>
      </c>
      <c r="Q202" s="174">
        <v>45621</v>
      </c>
      <c r="R202" s="181"/>
    </row>
    <row r="203" spans="1:18" ht="15" x14ac:dyDescent="0.2">
      <c r="A203" s="142" t="s">
        <v>1218</v>
      </c>
      <c r="B203" s="143" t="s">
        <v>1218</v>
      </c>
      <c r="C203" s="170" t="s">
        <v>1068</v>
      </c>
      <c r="D203" s="143" t="s">
        <v>3215</v>
      </c>
      <c r="E203" s="145" t="s">
        <v>3853</v>
      </c>
      <c r="F203" s="145" t="s">
        <v>3853</v>
      </c>
      <c r="G203" s="143" t="s">
        <v>3216</v>
      </c>
      <c r="H203" s="143" t="s">
        <v>3217</v>
      </c>
      <c r="I203" s="143" t="s">
        <v>312</v>
      </c>
      <c r="J203" s="143" t="s">
        <v>1211</v>
      </c>
      <c r="K203" s="163">
        <v>44496</v>
      </c>
      <c r="L203" s="144">
        <v>2650</v>
      </c>
      <c r="M203" s="144">
        <v>9961.35</v>
      </c>
      <c r="N203" s="144">
        <v>284.26899999999995</v>
      </c>
      <c r="O203" s="144">
        <v>1068.5671709999999</v>
      </c>
      <c r="P203" s="170">
        <v>0.10727132075471697</v>
      </c>
      <c r="Q203" s="174">
        <v>45657</v>
      </c>
      <c r="R203" s="181"/>
    </row>
    <row r="204" spans="1:18" ht="15" x14ac:dyDescent="0.2">
      <c r="A204" s="142" t="s">
        <v>1218</v>
      </c>
      <c r="B204" s="143" t="s">
        <v>1218</v>
      </c>
      <c r="C204" s="170" t="s">
        <v>1068</v>
      </c>
      <c r="D204" s="143" t="s">
        <v>3239</v>
      </c>
      <c r="E204" s="145" t="s">
        <v>3853</v>
      </c>
      <c r="F204" s="145" t="s">
        <v>3853</v>
      </c>
      <c r="G204" s="143" t="s">
        <v>3240</v>
      </c>
      <c r="H204" s="143" t="s">
        <v>3241</v>
      </c>
      <c r="I204" s="143" t="s">
        <v>312</v>
      </c>
      <c r="J204" s="143" t="s">
        <v>1211</v>
      </c>
      <c r="K204" s="163">
        <v>43038</v>
      </c>
      <c r="L204" s="144">
        <v>2533.3349414069171</v>
      </c>
      <c r="M204" s="144">
        <v>9522.8060447486023</v>
      </c>
      <c r="N204" s="144">
        <v>228.71979140691738</v>
      </c>
      <c r="O204" s="144">
        <v>859.75769589860249</v>
      </c>
      <c r="P204" s="170">
        <v>9.0284070877692607E-2</v>
      </c>
      <c r="Q204" s="174">
        <v>45153</v>
      </c>
      <c r="R204" s="181"/>
    </row>
    <row r="205" spans="1:18" ht="15" x14ac:dyDescent="0.2">
      <c r="A205" s="142" t="s">
        <v>1218</v>
      </c>
      <c r="B205" s="143" t="s">
        <v>1218</v>
      </c>
      <c r="C205" s="170" t="s">
        <v>1068</v>
      </c>
      <c r="D205" s="143" t="s">
        <v>3422</v>
      </c>
      <c r="E205" s="145" t="s">
        <v>3853</v>
      </c>
      <c r="F205" s="145" t="s">
        <v>3853</v>
      </c>
      <c r="G205" s="143" t="s">
        <v>3423</v>
      </c>
      <c r="H205" s="143" t="s">
        <v>3424</v>
      </c>
      <c r="I205" s="143" t="s">
        <v>312</v>
      </c>
      <c r="J205" s="143" t="s">
        <v>1210</v>
      </c>
      <c r="K205" s="163">
        <v>45316</v>
      </c>
      <c r="L205" s="144">
        <v>14337.72</v>
      </c>
      <c r="M205" s="144">
        <v>14337.72</v>
      </c>
      <c r="N205" s="144">
        <v>7650.0680000000002</v>
      </c>
      <c r="O205" s="144">
        <v>7650.0680000000002</v>
      </c>
      <c r="P205" s="170">
        <v>0.53356237951361862</v>
      </c>
      <c r="Q205" s="174">
        <v>47118</v>
      </c>
      <c r="R205" s="181"/>
    </row>
    <row r="206" spans="1:18" ht="15" x14ac:dyDescent="0.2">
      <c r="A206" s="142" t="s">
        <v>1218</v>
      </c>
      <c r="B206" s="143" t="s">
        <v>1218</v>
      </c>
      <c r="C206" s="170" t="s">
        <v>1068</v>
      </c>
      <c r="D206" s="143" t="s">
        <v>3348</v>
      </c>
      <c r="E206" s="145" t="s">
        <v>3853</v>
      </c>
      <c r="F206" s="145" t="s">
        <v>3853</v>
      </c>
      <c r="G206" s="143" t="s">
        <v>3349</v>
      </c>
      <c r="H206" s="143" t="s">
        <v>3350</v>
      </c>
      <c r="I206" s="143" t="s">
        <v>312</v>
      </c>
      <c r="J206" s="143" t="s">
        <v>1211</v>
      </c>
      <c r="K206" s="163">
        <v>45356</v>
      </c>
      <c r="L206" s="144">
        <v>1461.6</v>
      </c>
      <c r="M206" s="144">
        <v>5494.1543999999994</v>
      </c>
      <c r="N206" s="144">
        <v>976.26198999999997</v>
      </c>
      <c r="O206" s="144">
        <v>3669.7688204099995</v>
      </c>
      <c r="P206" s="170">
        <v>0.66794060618500273</v>
      </c>
      <c r="Q206" s="174">
        <v>47118</v>
      </c>
      <c r="R206" s="181"/>
    </row>
    <row r="207" spans="1:18" ht="15" x14ac:dyDescent="0.2">
      <c r="A207" s="142" t="s">
        <v>1218</v>
      </c>
      <c r="B207" s="143" t="s">
        <v>1218</v>
      </c>
      <c r="C207" s="170" t="s">
        <v>1068</v>
      </c>
      <c r="D207" s="143" t="s">
        <v>3348</v>
      </c>
      <c r="E207" s="145" t="s">
        <v>3853</v>
      </c>
      <c r="F207" s="145" t="s">
        <v>3853</v>
      </c>
      <c r="G207" s="143" t="s">
        <v>3358</v>
      </c>
      <c r="H207" s="143" t="s">
        <v>3359</v>
      </c>
      <c r="I207" s="143" t="s">
        <v>312</v>
      </c>
      <c r="J207" s="143" t="s">
        <v>1211</v>
      </c>
      <c r="K207" s="163">
        <v>45379</v>
      </c>
      <c r="L207" s="144">
        <v>974.4</v>
      </c>
      <c r="M207" s="144">
        <v>3662.7696000000001</v>
      </c>
      <c r="N207" s="144">
        <v>925.37398999999994</v>
      </c>
      <c r="O207" s="144">
        <v>3478.48082841</v>
      </c>
      <c r="P207" s="170">
        <v>0.94968595032840719</v>
      </c>
      <c r="Q207" s="174">
        <v>47118</v>
      </c>
      <c r="R207" s="181"/>
    </row>
    <row r="208" spans="1:18" ht="15" x14ac:dyDescent="0.2">
      <c r="A208" s="142" t="s">
        <v>1218</v>
      </c>
      <c r="B208" s="143" t="s">
        <v>1218</v>
      </c>
      <c r="C208" s="170" t="s">
        <v>1068</v>
      </c>
      <c r="D208" s="143" t="s">
        <v>3233</v>
      </c>
      <c r="E208" s="145" t="s">
        <v>3853</v>
      </c>
      <c r="F208" s="145" t="s">
        <v>3853</v>
      </c>
      <c r="G208" s="143" t="s">
        <v>3234</v>
      </c>
      <c r="H208" s="143" t="s">
        <v>3235</v>
      </c>
      <c r="I208" s="143" t="s">
        <v>312</v>
      </c>
      <c r="J208" s="143" t="s">
        <v>1211</v>
      </c>
      <c r="K208" s="163">
        <v>45265</v>
      </c>
      <c r="L208" s="144">
        <v>3654</v>
      </c>
      <c r="M208" s="144">
        <v>13735.386</v>
      </c>
      <c r="N208" s="144">
        <v>2996.8239900000003</v>
      </c>
      <c r="O208" s="144">
        <v>11265.061378410001</v>
      </c>
      <c r="P208" s="170">
        <v>0.82014887520525459</v>
      </c>
      <c r="Q208" s="174">
        <v>47118</v>
      </c>
      <c r="R208" s="181"/>
    </row>
    <row r="209" spans="1:18" ht="14.1" customHeight="1" x14ac:dyDescent="0.2">
      <c r="A209" s="154" t="s">
        <v>1205</v>
      </c>
      <c r="B209" s="155" t="s">
        <v>1206</v>
      </c>
      <c r="C209" s="145" t="s">
        <v>3853</v>
      </c>
      <c r="D209" s="145" t="s">
        <v>3853</v>
      </c>
      <c r="E209" s="145" t="s">
        <v>3853</v>
      </c>
      <c r="F209" s="145" t="s">
        <v>3853</v>
      </c>
      <c r="G209" s="145" t="s">
        <v>3853</v>
      </c>
      <c r="H209" s="145" t="s">
        <v>3853</v>
      </c>
      <c r="I209" s="145" t="s">
        <v>3853</v>
      </c>
      <c r="J209" s="145" t="s">
        <v>3853</v>
      </c>
      <c r="K209" s="145" t="s">
        <v>3853</v>
      </c>
      <c r="L209" s="145" t="s">
        <v>3853</v>
      </c>
      <c r="M209" s="145" t="s">
        <v>3853</v>
      </c>
      <c r="N209" s="145" t="s">
        <v>3853</v>
      </c>
      <c r="O209" s="145" t="s">
        <v>3853</v>
      </c>
      <c r="P209" s="145" t="s">
        <v>3853</v>
      </c>
      <c r="Q209" s="156" t="s">
        <v>3853</v>
      </c>
      <c r="R209" s="181"/>
    </row>
    <row r="210" spans="1:18" ht="14.1" customHeight="1" x14ac:dyDescent="0.2">
      <c r="A210" s="154" t="s">
        <v>1205</v>
      </c>
      <c r="B210" s="155" t="s">
        <v>1213</v>
      </c>
      <c r="C210" s="145" t="s">
        <v>3853</v>
      </c>
      <c r="D210" s="145" t="s">
        <v>3853</v>
      </c>
      <c r="E210" s="145" t="s">
        <v>3853</v>
      </c>
      <c r="F210" s="145" t="s">
        <v>3853</v>
      </c>
      <c r="G210" s="145" t="s">
        <v>3853</v>
      </c>
      <c r="H210" s="145" t="s">
        <v>3853</v>
      </c>
      <c r="I210" s="145" t="s">
        <v>3853</v>
      </c>
      <c r="J210" s="145" t="s">
        <v>3853</v>
      </c>
      <c r="K210" s="145" t="s">
        <v>3853</v>
      </c>
      <c r="L210" s="145" t="s">
        <v>3853</v>
      </c>
      <c r="M210" s="145" t="s">
        <v>3853</v>
      </c>
      <c r="N210" s="145" t="s">
        <v>3853</v>
      </c>
      <c r="O210" s="145" t="s">
        <v>3853</v>
      </c>
      <c r="P210" s="145" t="s">
        <v>3853</v>
      </c>
      <c r="Q210" s="156" t="s">
        <v>3853</v>
      </c>
      <c r="R210" s="181"/>
    </row>
    <row r="211" spans="1:18" ht="14.1" customHeight="1" x14ac:dyDescent="0.2">
      <c r="A211" s="154" t="s">
        <v>1218</v>
      </c>
      <c r="B211" s="155" t="s">
        <v>1219</v>
      </c>
      <c r="C211" s="145" t="s">
        <v>3853</v>
      </c>
      <c r="D211" s="145" t="s">
        <v>3853</v>
      </c>
      <c r="E211" s="145" t="s">
        <v>3853</v>
      </c>
      <c r="F211" s="145" t="s">
        <v>3853</v>
      </c>
      <c r="G211" s="145" t="s">
        <v>3853</v>
      </c>
      <c r="H211" s="145" t="s">
        <v>3853</v>
      </c>
      <c r="I211" s="145" t="s">
        <v>3853</v>
      </c>
      <c r="J211" s="145" t="s">
        <v>3853</v>
      </c>
      <c r="K211" s="145" t="s">
        <v>3853</v>
      </c>
      <c r="L211" s="145" t="s">
        <v>3853</v>
      </c>
      <c r="M211" s="145" t="s">
        <v>3853</v>
      </c>
      <c r="N211" s="145" t="s">
        <v>3853</v>
      </c>
      <c r="O211" s="145" t="s">
        <v>3853</v>
      </c>
      <c r="P211" s="145" t="s">
        <v>3853</v>
      </c>
      <c r="Q211" s="156" t="s">
        <v>3853</v>
      </c>
      <c r="R211" s="181"/>
    </row>
    <row r="212" spans="1:18" ht="14.1" customHeight="1" x14ac:dyDescent="0.2">
      <c r="A212" s="157" t="s">
        <v>1218</v>
      </c>
      <c r="B212" s="158" t="s">
        <v>1220</v>
      </c>
      <c r="C212" s="151" t="s">
        <v>3853</v>
      </c>
      <c r="D212" s="151" t="s">
        <v>3853</v>
      </c>
      <c r="E212" s="151" t="s">
        <v>3853</v>
      </c>
      <c r="F212" s="151" t="s">
        <v>3853</v>
      </c>
      <c r="G212" s="151" t="s">
        <v>3853</v>
      </c>
      <c r="H212" s="151" t="s">
        <v>3853</v>
      </c>
      <c r="I212" s="151" t="s">
        <v>3853</v>
      </c>
      <c r="J212" s="151" t="s">
        <v>3853</v>
      </c>
      <c r="K212" s="151" t="s">
        <v>3853</v>
      </c>
      <c r="L212" s="151" t="s">
        <v>3853</v>
      </c>
      <c r="M212" s="151" t="s">
        <v>3853</v>
      </c>
      <c r="N212" s="151" t="s">
        <v>3853</v>
      </c>
      <c r="O212" s="151" t="s">
        <v>3853</v>
      </c>
      <c r="P212" s="151" t="s">
        <v>3853</v>
      </c>
      <c r="Q212" s="159" t="s">
        <v>3853</v>
      </c>
      <c r="R212" s="181"/>
    </row>
    <row r="213" spans="1:18" ht="14.1" customHeight="1" x14ac:dyDescent="0.2">
      <c r="A213" s="181" t="s">
        <v>3870</v>
      </c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</row>
    <row r="214" spans="1:18" ht="14.1" customHeight="1" x14ac:dyDescent="0.2">
      <c r="A214" s="2" t="s">
        <v>3869</v>
      </c>
    </row>
    <row r="215" spans="1:18" ht="14.1" customHeight="1" x14ac:dyDescent="0.2">
      <c r="A215" s="176"/>
    </row>
  </sheetData>
  <sheetProtection formatColumns="0"/>
  <dataConsolidate/>
  <mergeCells count="2">
    <mergeCell ref="A213:Q213"/>
    <mergeCell ref="R2:R212"/>
  </mergeCells>
  <dataValidations count="1">
    <dataValidation type="list" allowBlank="1" showInputMessage="1" showErrorMessage="1" sqref="I3:I14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6" customFormat="1" ht="45" x14ac:dyDescent="0.2">
      <c r="A1" s="35" t="s">
        <v>198</v>
      </c>
      <c r="B1" s="35" t="s">
        <v>199</v>
      </c>
      <c r="C1" s="35" t="s">
        <v>200</v>
      </c>
      <c r="D1" s="35" t="s">
        <v>201</v>
      </c>
      <c r="E1" s="97" t="s">
        <v>202</v>
      </c>
      <c r="F1"/>
      <c r="G1"/>
      <c r="H1"/>
    </row>
    <row r="2" spans="1:8" x14ac:dyDescent="0.2">
      <c r="A2" s="62"/>
      <c r="B2" s="62" t="s">
        <v>203</v>
      </c>
      <c r="C2" s="17" t="s">
        <v>204</v>
      </c>
      <c r="D2" s="17"/>
    </row>
    <row r="3" spans="1:8" x14ac:dyDescent="0.2">
      <c r="A3" s="63"/>
      <c r="B3" s="63"/>
      <c r="C3" s="17" t="s">
        <v>205</v>
      </c>
      <c r="D3" s="17"/>
    </row>
    <row r="4" spans="1:8" ht="42.75" x14ac:dyDescent="0.2">
      <c r="A4" s="102"/>
      <c r="B4" s="72" t="s">
        <v>206</v>
      </c>
      <c r="C4" s="18" t="s">
        <v>204</v>
      </c>
      <c r="D4" s="18"/>
    </row>
    <row r="5" spans="1:8" x14ac:dyDescent="0.2">
      <c r="A5" s="103"/>
      <c r="B5" s="73"/>
      <c r="C5" s="18" t="s">
        <v>207</v>
      </c>
      <c r="D5" s="18"/>
    </row>
    <row r="6" spans="1:8" x14ac:dyDescent="0.2">
      <c r="A6" s="103"/>
      <c r="B6" s="73"/>
      <c r="C6" s="18" t="s">
        <v>208</v>
      </c>
      <c r="D6" s="18"/>
    </row>
    <row r="7" spans="1:8" x14ac:dyDescent="0.2">
      <c r="A7" s="103"/>
      <c r="B7" s="73"/>
      <c r="C7" s="18" t="s">
        <v>209</v>
      </c>
      <c r="D7" s="18"/>
    </row>
    <row r="8" spans="1:8" x14ac:dyDescent="0.2">
      <c r="A8" s="103"/>
      <c r="B8" s="73"/>
      <c r="C8" s="18" t="s">
        <v>210</v>
      </c>
      <c r="D8" s="18"/>
    </row>
    <row r="9" spans="1:8" x14ac:dyDescent="0.2">
      <c r="A9" s="103"/>
      <c r="B9" s="73"/>
      <c r="C9" s="18" t="s">
        <v>211</v>
      </c>
      <c r="D9" s="18"/>
    </row>
    <row r="10" spans="1:8" x14ac:dyDescent="0.2">
      <c r="A10" s="103"/>
      <c r="B10" s="73"/>
      <c r="C10" s="18" t="s">
        <v>212</v>
      </c>
      <c r="D10" s="18"/>
    </row>
    <row r="11" spans="1:8" x14ac:dyDescent="0.2">
      <c r="A11" s="103"/>
      <c r="B11" s="73"/>
      <c r="C11" s="18" t="s">
        <v>213</v>
      </c>
      <c r="D11" s="18"/>
      <c r="E11" t="s">
        <v>214</v>
      </c>
    </row>
    <row r="12" spans="1:8" x14ac:dyDescent="0.2">
      <c r="A12" s="103"/>
      <c r="B12" s="73"/>
      <c r="C12" s="18" t="s">
        <v>215</v>
      </c>
      <c r="D12" s="18"/>
      <c r="E12" t="s">
        <v>214</v>
      </c>
    </row>
    <row r="13" spans="1:8" x14ac:dyDescent="0.2">
      <c r="A13" s="103"/>
      <c r="B13" s="73"/>
      <c r="C13" s="18" t="s">
        <v>216</v>
      </c>
      <c r="D13" s="18"/>
    </row>
    <row r="14" spans="1:8" x14ac:dyDescent="0.2">
      <c r="A14" s="103"/>
      <c r="B14" s="73"/>
      <c r="C14" s="18" t="s">
        <v>217</v>
      </c>
      <c r="D14" s="18"/>
    </row>
    <row r="15" spans="1:8" x14ac:dyDescent="0.2">
      <c r="A15" s="103"/>
      <c r="B15" s="73"/>
      <c r="C15" s="18" t="s">
        <v>218</v>
      </c>
      <c r="D15" s="18"/>
    </row>
    <row r="16" spans="1:8" x14ac:dyDescent="0.2">
      <c r="A16" s="103"/>
      <c r="B16" s="73"/>
      <c r="C16" s="18" t="s">
        <v>219</v>
      </c>
      <c r="D16" s="18"/>
    </row>
    <row r="17" spans="1:4" x14ac:dyDescent="0.2">
      <c r="A17" s="103"/>
      <c r="B17" s="73"/>
      <c r="C17" s="18" t="s">
        <v>220</v>
      </c>
      <c r="D17" s="18"/>
    </row>
    <row r="18" spans="1:4" x14ac:dyDescent="0.2">
      <c r="A18" s="103"/>
      <c r="B18" s="73"/>
      <c r="C18" s="18" t="s">
        <v>221</v>
      </c>
      <c r="D18" s="18"/>
    </row>
    <row r="19" spans="1:4" x14ac:dyDescent="0.2">
      <c r="A19" s="103"/>
      <c r="B19" s="73"/>
      <c r="C19" s="18" t="s">
        <v>222</v>
      </c>
      <c r="D19" s="18"/>
    </row>
    <row r="20" spans="1:4" x14ac:dyDescent="0.2">
      <c r="A20" s="103"/>
      <c r="B20" s="73"/>
      <c r="C20" s="18" t="s">
        <v>223</v>
      </c>
      <c r="D20" s="18"/>
    </row>
    <row r="21" spans="1:4" x14ac:dyDescent="0.2">
      <c r="A21" s="103"/>
      <c r="B21" s="73"/>
      <c r="C21" s="18" t="s">
        <v>224</v>
      </c>
      <c r="D21" s="18"/>
    </row>
    <row r="22" spans="1:4" x14ac:dyDescent="0.2">
      <c r="A22" s="103"/>
      <c r="B22" s="73"/>
      <c r="C22" s="18" t="s">
        <v>225</v>
      </c>
      <c r="D22" s="18"/>
    </row>
    <row r="23" spans="1:4" x14ac:dyDescent="0.2">
      <c r="A23" s="103"/>
      <c r="B23" s="73"/>
      <c r="C23" s="18" t="s">
        <v>226</v>
      </c>
      <c r="D23" s="18"/>
    </row>
    <row r="24" spans="1:4" x14ac:dyDescent="0.2">
      <c r="A24" s="103"/>
      <c r="B24" s="73"/>
      <c r="C24" s="18" t="s">
        <v>227</v>
      </c>
      <c r="D24" s="18"/>
    </row>
    <row r="25" spans="1:4" x14ac:dyDescent="0.2">
      <c r="A25" s="103"/>
      <c r="B25" s="73"/>
      <c r="C25" s="18" t="s">
        <v>228</v>
      </c>
      <c r="D25" s="18"/>
    </row>
    <row r="26" spans="1:4" x14ac:dyDescent="0.2">
      <c r="A26" s="103"/>
      <c r="B26" s="73"/>
      <c r="C26" s="18" t="s">
        <v>229</v>
      </c>
      <c r="D26" s="18"/>
    </row>
    <row r="27" spans="1:4" x14ac:dyDescent="0.2">
      <c r="A27" s="103"/>
      <c r="B27" s="73"/>
      <c r="C27" s="18" t="s">
        <v>230</v>
      </c>
      <c r="D27" s="18"/>
    </row>
    <row r="28" spans="1:4" x14ac:dyDescent="0.2">
      <c r="A28" s="103"/>
      <c r="B28" s="73"/>
      <c r="C28" s="18" t="s">
        <v>231</v>
      </c>
      <c r="D28" s="18"/>
    </row>
    <row r="29" spans="1:4" x14ac:dyDescent="0.2">
      <c r="A29" s="103"/>
      <c r="B29" s="73"/>
      <c r="C29" s="18" t="s">
        <v>232</v>
      </c>
      <c r="D29" s="18"/>
    </row>
    <row r="30" spans="1:4" x14ac:dyDescent="0.2">
      <c r="A30" s="103"/>
      <c r="B30" s="73"/>
      <c r="C30" s="18" t="s">
        <v>233</v>
      </c>
      <c r="D30" s="18"/>
    </row>
    <row r="31" spans="1:4" x14ac:dyDescent="0.2">
      <c r="A31" s="103"/>
      <c r="B31" s="73"/>
      <c r="C31" s="18" t="s">
        <v>234</v>
      </c>
      <c r="D31" s="18"/>
    </row>
    <row r="32" spans="1:4" x14ac:dyDescent="0.2">
      <c r="A32" s="103"/>
      <c r="B32" s="73"/>
      <c r="C32" s="18" t="s">
        <v>235</v>
      </c>
      <c r="D32" s="18"/>
    </row>
    <row r="33" spans="1:5" x14ac:dyDescent="0.2">
      <c r="A33" s="103"/>
      <c r="B33" s="73"/>
      <c r="C33" s="18" t="s">
        <v>236</v>
      </c>
      <c r="D33" s="18"/>
    </row>
    <row r="34" spans="1:5" x14ac:dyDescent="0.2">
      <c r="A34" s="103"/>
      <c r="B34" s="73"/>
      <c r="C34" s="18" t="s">
        <v>237</v>
      </c>
      <c r="D34" s="18"/>
    </row>
    <row r="35" spans="1:5" x14ac:dyDescent="0.2">
      <c r="A35" s="103"/>
      <c r="B35" s="73"/>
      <c r="C35" s="18" t="s">
        <v>238</v>
      </c>
      <c r="D35" s="18"/>
    </row>
    <row r="36" spans="1:5" x14ac:dyDescent="0.2">
      <c r="A36" s="103"/>
      <c r="B36" s="73"/>
      <c r="C36" s="18" t="s">
        <v>239</v>
      </c>
      <c r="D36" s="18"/>
      <c r="E36" t="s">
        <v>214</v>
      </c>
    </row>
    <row r="37" spans="1:5" x14ac:dyDescent="0.2">
      <c r="A37" s="103"/>
      <c r="B37" s="73"/>
      <c r="C37" s="98" t="s">
        <v>240</v>
      </c>
      <c r="D37" s="18"/>
      <c r="E37" t="s">
        <v>214</v>
      </c>
    </row>
    <row r="38" spans="1:5" x14ac:dyDescent="0.2">
      <c r="A38" s="103"/>
      <c r="B38" s="73"/>
      <c r="C38" s="18" t="s">
        <v>241</v>
      </c>
      <c r="D38" s="18"/>
    </row>
    <row r="39" spans="1:5" x14ac:dyDescent="0.2">
      <c r="A39" s="103"/>
      <c r="B39" s="73"/>
      <c r="C39" s="18" t="s">
        <v>242</v>
      </c>
      <c r="D39" s="18"/>
    </row>
    <row r="40" spans="1:5" x14ac:dyDescent="0.2">
      <c r="A40" s="103"/>
      <c r="B40" s="73"/>
      <c r="C40" s="18" t="s">
        <v>243</v>
      </c>
      <c r="D40" s="18"/>
      <c r="E40" t="s">
        <v>214</v>
      </c>
    </row>
    <row r="41" spans="1:5" x14ac:dyDescent="0.2">
      <c r="A41" s="103"/>
      <c r="B41" s="73"/>
      <c r="C41" s="18" t="s">
        <v>244</v>
      </c>
      <c r="D41" s="18"/>
    </row>
    <row r="42" spans="1:5" x14ac:dyDescent="0.2">
      <c r="A42" s="103"/>
      <c r="B42" s="73"/>
      <c r="C42" s="18" t="s">
        <v>245</v>
      </c>
      <c r="D42" s="18"/>
    </row>
    <row r="43" spans="1:5" x14ac:dyDescent="0.2">
      <c r="A43" s="103"/>
      <c r="B43" s="73"/>
      <c r="C43" s="18" t="s">
        <v>246</v>
      </c>
      <c r="D43" s="18"/>
    </row>
    <row r="44" spans="1:5" x14ac:dyDescent="0.2">
      <c r="A44" s="103"/>
      <c r="B44" s="73"/>
      <c r="C44" s="18" t="s">
        <v>247</v>
      </c>
      <c r="D44" s="18"/>
    </row>
    <row r="45" spans="1:5" x14ac:dyDescent="0.2">
      <c r="A45" s="103"/>
      <c r="B45" s="73"/>
      <c r="C45" s="18" t="s">
        <v>248</v>
      </c>
      <c r="D45" s="18"/>
    </row>
    <row r="46" spans="1:5" x14ac:dyDescent="0.2">
      <c r="A46" s="103"/>
      <c r="B46" s="73"/>
      <c r="C46" s="18" t="s">
        <v>249</v>
      </c>
      <c r="D46" s="18"/>
      <c r="E46" t="s">
        <v>214</v>
      </c>
    </row>
    <row r="47" spans="1:5" x14ac:dyDescent="0.2">
      <c r="A47" s="103"/>
      <c r="B47" s="73"/>
      <c r="C47" s="18" t="s">
        <v>250</v>
      </c>
      <c r="D47" s="18"/>
    </row>
    <row r="48" spans="1:5" x14ac:dyDescent="0.2">
      <c r="A48" s="103"/>
      <c r="B48" s="73"/>
      <c r="C48" s="18" t="s">
        <v>251</v>
      </c>
      <c r="D48" s="18"/>
    </row>
    <row r="49" spans="1:5" x14ac:dyDescent="0.2">
      <c r="A49" s="103"/>
      <c r="B49" s="73"/>
      <c r="C49" s="18" t="s">
        <v>252</v>
      </c>
      <c r="D49" s="18"/>
    </row>
    <row r="50" spans="1:5" x14ac:dyDescent="0.2">
      <c r="A50" s="103"/>
      <c r="B50" s="73"/>
      <c r="C50" s="18" t="s">
        <v>253</v>
      </c>
      <c r="D50" s="18"/>
    </row>
    <row r="51" spans="1:5" x14ac:dyDescent="0.2">
      <c r="A51" s="103"/>
      <c r="B51" s="73"/>
      <c r="C51" s="18" t="s">
        <v>254</v>
      </c>
      <c r="D51" s="18"/>
    </row>
    <row r="52" spans="1:5" x14ac:dyDescent="0.2">
      <c r="A52" s="103"/>
      <c r="B52" s="73"/>
      <c r="C52" s="18" t="s">
        <v>255</v>
      </c>
      <c r="D52" s="18"/>
    </row>
    <row r="53" spans="1:5" x14ac:dyDescent="0.2">
      <c r="A53" s="103"/>
      <c r="B53" s="73"/>
      <c r="C53" s="18" t="s">
        <v>256</v>
      </c>
      <c r="D53" s="18"/>
    </row>
    <row r="54" spans="1:5" x14ac:dyDescent="0.2">
      <c r="A54" s="103"/>
      <c r="B54" s="73"/>
      <c r="C54" s="18" t="s">
        <v>257</v>
      </c>
      <c r="D54" s="18"/>
    </row>
    <row r="55" spans="1:5" x14ac:dyDescent="0.2">
      <c r="A55" s="103"/>
      <c r="B55" s="73"/>
      <c r="C55" s="18" t="s">
        <v>258</v>
      </c>
      <c r="D55" s="18"/>
    </row>
    <row r="56" spans="1:5" x14ac:dyDescent="0.2">
      <c r="A56" s="103"/>
      <c r="B56" s="73"/>
      <c r="C56" s="18" t="s">
        <v>259</v>
      </c>
      <c r="D56" s="18"/>
    </row>
    <row r="57" spans="1:5" x14ac:dyDescent="0.2">
      <c r="A57" s="103"/>
      <c r="B57" s="73"/>
      <c r="C57" s="18" t="s">
        <v>260</v>
      </c>
      <c r="D57" s="18"/>
    </row>
    <row r="58" spans="1:5" x14ac:dyDescent="0.2">
      <c r="A58" s="103"/>
      <c r="B58" s="73"/>
      <c r="C58" s="18" t="s">
        <v>261</v>
      </c>
      <c r="D58" s="18"/>
    </row>
    <row r="59" spans="1:5" x14ac:dyDescent="0.2">
      <c r="A59" s="103"/>
      <c r="B59" s="73"/>
      <c r="C59" s="18" t="s">
        <v>262</v>
      </c>
      <c r="D59" s="18"/>
    </row>
    <row r="60" spans="1:5" x14ac:dyDescent="0.2">
      <c r="A60" s="103"/>
      <c r="B60" s="73"/>
      <c r="C60" s="18" t="s">
        <v>263</v>
      </c>
      <c r="D60" s="18"/>
    </row>
    <row r="61" spans="1:5" x14ac:dyDescent="0.2">
      <c r="A61" s="103"/>
      <c r="B61" s="73"/>
      <c r="C61" s="18" t="s">
        <v>264</v>
      </c>
      <c r="D61" s="18"/>
    </row>
    <row r="62" spans="1:5" x14ac:dyDescent="0.2">
      <c r="A62" s="103"/>
      <c r="B62" s="73"/>
      <c r="C62" s="18" t="s">
        <v>265</v>
      </c>
      <c r="D62" s="18"/>
    </row>
    <row r="63" spans="1:5" x14ac:dyDescent="0.2">
      <c r="A63" s="103"/>
      <c r="B63" s="73"/>
      <c r="C63" s="18" t="s">
        <v>266</v>
      </c>
      <c r="D63" s="18"/>
      <c r="E63" t="s">
        <v>214</v>
      </c>
    </row>
    <row r="64" spans="1:5" x14ac:dyDescent="0.2">
      <c r="A64" s="103"/>
      <c r="B64" s="73"/>
      <c r="C64" s="18" t="s">
        <v>267</v>
      </c>
      <c r="D64" s="18"/>
    </row>
    <row r="65" spans="1:4" x14ac:dyDescent="0.2">
      <c r="A65" s="103"/>
      <c r="B65" s="73"/>
      <c r="C65" s="18" t="s">
        <v>268</v>
      </c>
      <c r="D65" s="18"/>
    </row>
    <row r="66" spans="1:4" x14ac:dyDescent="0.2">
      <c r="A66" s="103"/>
      <c r="B66" s="73"/>
      <c r="C66" s="18" t="s">
        <v>269</v>
      </c>
      <c r="D66" s="18"/>
    </row>
    <row r="67" spans="1:4" x14ac:dyDescent="0.2">
      <c r="A67" s="103"/>
      <c r="B67" s="73"/>
      <c r="C67" s="18" t="s">
        <v>270</v>
      </c>
      <c r="D67" s="18"/>
    </row>
    <row r="68" spans="1:4" x14ac:dyDescent="0.2">
      <c r="A68" s="103"/>
      <c r="B68" s="73"/>
      <c r="C68" s="18" t="s">
        <v>271</v>
      </c>
      <c r="D68" s="18"/>
    </row>
    <row r="69" spans="1:4" x14ac:dyDescent="0.2">
      <c r="A69" s="103"/>
      <c r="B69" s="73"/>
      <c r="C69" s="18" t="s">
        <v>272</v>
      </c>
      <c r="D69" s="18"/>
    </row>
    <row r="70" spans="1:4" x14ac:dyDescent="0.2">
      <c r="A70" s="103"/>
      <c r="B70" s="73"/>
      <c r="C70" s="18" t="s">
        <v>273</v>
      </c>
      <c r="D70" s="18"/>
    </row>
    <row r="71" spans="1:4" x14ac:dyDescent="0.2">
      <c r="A71" s="103"/>
      <c r="B71" s="73"/>
      <c r="C71" s="18" t="s">
        <v>274</v>
      </c>
      <c r="D71" s="18"/>
    </row>
    <row r="72" spans="1:4" x14ac:dyDescent="0.2">
      <c r="A72" s="103"/>
      <c r="B72" s="73"/>
      <c r="C72" s="18" t="s">
        <v>275</v>
      </c>
      <c r="D72" s="18"/>
    </row>
    <row r="73" spans="1:4" x14ac:dyDescent="0.2">
      <c r="A73" s="103"/>
      <c r="B73" s="73"/>
      <c r="C73" s="18" t="s">
        <v>276</v>
      </c>
      <c r="D73" s="18"/>
    </row>
    <row r="74" spans="1:4" x14ac:dyDescent="0.2">
      <c r="A74" s="103"/>
      <c r="B74" s="73"/>
      <c r="C74" s="18" t="s">
        <v>277</v>
      </c>
      <c r="D74" s="18"/>
    </row>
    <row r="75" spans="1:4" x14ac:dyDescent="0.2">
      <c r="A75" s="103"/>
      <c r="B75" s="73"/>
      <c r="C75" s="18" t="s">
        <v>278</v>
      </c>
      <c r="D75" s="18"/>
    </row>
    <row r="76" spans="1:4" x14ac:dyDescent="0.2">
      <c r="A76" s="103"/>
      <c r="B76" s="73"/>
      <c r="C76" s="18" t="s">
        <v>279</v>
      </c>
      <c r="D76" s="18"/>
    </row>
    <row r="77" spans="1:4" x14ac:dyDescent="0.2">
      <c r="A77" s="103"/>
      <c r="B77" s="73"/>
      <c r="C77" s="18" t="s">
        <v>280</v>
      </c>
      <c r="D77" s="18"/>
    </row>
    <row r="78" spans="1:4" x14ac:dyDescent="0.2">
      <c r="A78" s="103"/>
      <c r="B78" s="73"/>
      <c r="C78" s="18" t="s">
        <v>281</v>
      </c>
      <c r="D78" s="18"/>
    </row>
    <row r="79" spans="1:4" x14ac:dyDescent="0.2">
      <c r="A79" s="103"/>
      <c r="B79" s="73"/>
      <c r="C79" s="18" t="s">
        <v>282</v>
      </c>
      <c r="D79" s="18"/>
    </row>
    <row r="80" spans="1:4" x14ac:dyDescent="0.2">
      <c r="A80" s="103"/>
      <c r="B80" s="73"/>
      <c r="C80" s="18" t="s">
        <v>283</v>
      </c>
      <c r="D80" s="18"/>
    </row>
    <row r="81" spans="1:5" x14ac:dyDescent="0.2">
      <c r="A81" s="103"/>
      <c r="B81" s="73"/>
      <c r="C81" s="18" t="s">
        <v>284</v>
      </c>
      <c r="D81" s="18"/>
    </row>
    <row r="82" spans="1:5" x14ac:dyDescent="0.2">
      <c r="A82" s="103"/>
      <c r="B82" s="73"/>
      <c r="C82" s="18" t="s">
        <v>285</v>
      </c>
      <c r="D82" s="18"/>
    </row>
    <row r="83" spans="1:5" x14ac:dyDescent="0.2">
      <c r="A83" s="103"/>
      <c r="B83" s="73"/>
      <c r="C83" s="18" t="s">
        <v>286</v>
      </c>
      <c r="D83" s="18"/>
    </row>
    <row r="84" spans="1:5" x14ac:dyDescent="0.2">
      <c r="A84" s="103"/>
      <c r="B84" s="73"/>
      <c r="C84" s="18" t="s">
        <v>287</v>
      </c>
      <c r="D84" s="18"/>
    </row>
    <row r="85" spans="1:5" x14ac:dyDescent="0.2">
      <c r="A85" s="103"/>
      <c r="B85" s="73"/>
      <c r="C85" s="18" t="s">
        <v>288</v>
      </c>
      <c r="D85" s="18"/>
    </row>
    <row r="86" spans="1:5" x14ac:dyDescent="0.2">
      <c r="A86" s="103"/>
      <c r="B86" s="73"/>
      <c r="C86" s="18" t="s">
        <v>289</v>
      </c>
      <c r="D86" s="18"/>
    </row>
    <row r="87" spans="1:5" x14ac:dyDescent="0.2">
      <c r="A87" s="103"/>
      <c r="B87" s="73"/>
      <c r="C87" s="18" t="s">
        <v>290</v>
      </c>
      <c r="D87" s="18"/>
    </row>
    <row r="88" spans="1:5" x14ac:dyDescent="0.2">
      <c r="A88" s="103"/>
      <c r="B88" s="73"/>
      <c r="C88" s="18" t="s">
        <v>291</v>
      </c>
      <c r="D88" s="18"/>
    </row>
    <row r="89" spans="1:5" x14ac:dyDescent="0.2">
      <c r="A89" s="103"/>
      <c r="B89" s="73"/>
      <c r="C89" s="18" t="s">
        <v>292</v>
      </c>
      <c r="D89" s="18"/>
    </row>
    <row r="90" spans="1:5" x14ac:dyDescent="0.2">
      <c r="A90" s="103"/>
      <c r="B90" s="73"/>
      <c r="C90" s="18" t="s">
        <v>293</v>
      </c>
      <c r="D90" s="18"/>
    </row>
    <row r="91" spans="1:5" x14ac:dyDescent="0.2">
      <c r="A91" s="103"/>
      <c r="B91" s="73"/>
      <c r="C91" s="18" t="s">
        <v>294</v>
      </c>
      <c r="D91" s="18"/>
    </row>
    <row r="92" spans="1:5" x14ac:dyDescent="0.2">
      <c r="A92" s="103"/>
      <c r="B92" s="73"/>
      <c r="C92" s="18" t="s">
        <v>295</v>
      </c>
      <c r="D92" s="18"/>
    </row>
    <row r="93" spans="1:5" x14ac:dyDescent="0.2">
      <c r="A93" s="103"/>
      <c r="B93" s="73"/>
      <c r="C93" s="18" t="s">
        <v>296</v>
      </c>
      <c r="D93" s="18"/>
    </row>
    <row r="94" spans="1:5" x14ac:dyDescent="0.2">
      <c r="A94" s="103"/>
      <c r="B94" s="73"/>
      <c r="C94" s="18" t="s">
        <v>297</v>
      </c>
      <c r="D94" s="18" t="s">
        <v>298</v>
      </c>
      <c r="E94" t="s">
        <v>214</v>
      </c>
    </row>
    <row r="95" spans="1:5" x14ac:dyDescent="0.2">
      <c r="A95" s="103"/>
      <c r="B95" s="73"/>
      <c r="C95" s="18" t="s">
        <v>299</v>
      </c>
      <c r="D95" s="18" t="s">
        <v>300</v>
      </c>
      <c r="E95" t="s">
        <v>214</v>
      </c>
    </row>
    <row r="96" spans="1:5" x14ac:dyDescent="0.2">
      <c r="A96" s="103"/>
      <c r="B96" s="73"/>
      <c r="C96" s="18" t="s">
        <v>301</v>
      </c>
      <c r="D96" s="18" t="s">
        <v>300</v>
      </c>
      <c r="E96" t="s">
        <v>214</v>
      </c>
    </row>
    <row r="97" spans="1:5" x14ac:dyDescent="0.2">
      <c r="A97" s="103"/>
      <c r="B97" s="73"/>
      <c r="C97" s="18" t="s">
        <v>302</v>
      </c>
      <c r="D97" s="18" t="s">
        <v>300</v>
      </c>
      <c r="E97" t="s">
        <v>214</v>
      </c>
    </row>
    <row r="98" spans="1:5" x14ac:dyDescent="0.2">
      <c r="A98" s="103"/>
      <c r="B98" s="73"/>
      <c r="C98" s="18" t="s">
        <v>303</v>
      </c>
      <c r="D98" s="18" t="s">
        <v>300</v>
      </c>
      <c r="E98" t="s">
        <v>214</v>
      </c>
    </row>
    <row r="99" spans="1:5" x14ac:dyDescent="0.2">
      <c r="A99" s="103"/>
      <c r="B99" s="73"/>
      <c r="C99" s="18" t="s">
        <v>304</v>
      </c>
      <c r="D99" s="18" t="s">
        <v>300</v>
      </c>
      <c r="E99" t="s">
        <v>214</v>
      </c>
    </row>
    <row r="100" spans="1:5" x14ac:dyDescent="0.2">
      <c r="A100" s="103"/>
      <c r="B100" s="73"/>
      <c r="C100" s="18" t="s">
        <v>305</v>
      </c>
      <c r="D100" s="18" t="s">
        <v>300</v>
      </c>
      <c r="E100" t="s">
        <v>214</v>
      </c>
    </row>
    <row r="101" spans="1:5" x14ac:dyDescent="0.2">
      <c r="A101" s="103"/>
      <c r="B101" s="73"/>
      <c r="C101" s="18" t="s">
        <v>306</v>
      </c>
      <c r="D101" s="18" t="s">
        <v>300</v>
      </c>
      <c r="E101" t="s">
        <v>214</v>
      </c>
    </row>
    <row r="102" spans="1:5" x14ac:dyDescent="0.2">
      <c r="A102" s="103"/>
      <c r="B102" s="73"/>
      <c r="C102" s="18" t="s">
        <v>307</v>
      </c>
      <c r="D102" s="18" t="s">
        <v>300</v>
      </c>
      <c r="E102" t="s">
        <v>214</v>
      </c>
    </row>
    <row r="103" spans="1:5" x14ac:dyDescent="0.2">
      <c r="A103" s="103"/>
      <c r="B103" s="73"/>
      <c r="C103" s="18" t="s">
        <v>308</v>
      </c>
      <c r="D103" s="18" t="s">
        <v>300</v>
      </c>
      <c r="E103" t="s">
        <v>214</v>
      </c>
    </row>
    <row r="104" spans="1:5" x14ac:dyDescent="0.2">
      <c r="A104" s="54"/>
      <c r="B104" s="54" t="s">
        <v>81</v>
      </c>
      <c r="C104" s="17" t="s">
        <v>309</v>
      </c>
      <c r="D104" s="17"/>
    </row>
    <row r="105" spans="1:5" x14ac:dyDescent="0.2">
      <c r="A105" s="55"/>
      <c r="B105" s="55"/>
      <c r="C105" s="17" t="s">
        <v>80</v>
      </c>
      <c r="D105" s="17"/>
    </row>
    <row r="106" spans="1:5" x14ac:dyDescent="0.2">
      <c r="A106" s="55"/>
      <c r="B106" s="55"/>
      <c r="C106" s="17" t="s">
        <v>310</v>
      </c>
      <c r="D106" s="17"/>
    </row>
    <row r="107" spans="1:5" x14ac:dyDescent="0.2">
      <c r="A107" s="55"/>
      <c r="B107" s="55"/>
      <c r="C107" s="17" t="s">
        <v>311</v>
      </c>
      <c r="D107" s="17"/>
    </row>
    <row r="108" spans="1:5" x14ac:dyDescent="0.2">
      <c r="A108" s="55"/>
      <c r="B108" s="55"/>
      <c r="C108" s="17" t="s">
        <v>312</v>
      </c>
      <c r="D108" s="17"/>
    </row>
    <row r="109" spans="1:5" x14ac:dyDescent="0.2">
      <c r="A109" s="55"/>
      <c r="B109" s="55"/>
      <c r="C109" s="17" t="s">
        <v>313</v>
      </c>
      <c r="D109" s="17"/>
    </row>
    <row r="110" spans="1:5" x14ac:dyDescent="0.2">
      <c r="A110" s="56"/>
      <c r="B110" s="56"/>
      <c r="C110" s="17" t="s">
        <v>314</v>
      </c>
      <c r="D110" s="17"/>
    </row>
    <row r="111" spans="1:5" x14ac:dyDescent="0.2">
      <c r="A111" s="103"/>
      <c r="B111" s="48" t="s">
        <v>53</v>
      </c>
      <c r="C111" s="18" t="s">
        <v>309</v>
      </c>
      <c r="D111" s="18"/>
    </row>
    <row r="112" spans="1:5" x14ac:dyDescent="0.2">
      <c r="A112" s="103"/>
      <c r="B112" s="49"/>
      <c r="C112" s="18" t="s">
        <v>315</v>
      </c>
      <c r="D112" s="18"/>
    </row>
    <row r="113" spans="1:4" x14ac:dyDescent="0.2">
      <c r="A113" s="103"/>
      <c r="B113" s="50"/>
      <c r="C113" s="18" t="s">
        <v>316</v>
      </c>
      <c r="D113" s="18"/>
    </row>
    <row r="114" spans="1:4" x14ac:dyDescent="0.2">
      <c r="A114" s="104"/>
      <c r="B114" s="104" t="s">
        <v>317</v>
      </c>
      <c r="C114" s="17" t="s">
        <v>309</v>
      </c>
      <c r="D114" s="17"/>
    </row>
    <row r="115" spans="1:4" x14ac:dyDescent="0.2">
      <c r="A115" s="104"/>
      <c r="B115" s="104"/>
      <c r="C115" s="17" t="s">
        <v>310</v>
      </c>
      <c r="D115" s="17"/>
    </row>
    <row r="116" spans="1:4" x14ac:dyDescent="0.2">
      <c r="A116" s="104"/>
      <c r="B116" s="104"/>
      <c r="C116" s="17" t="s">
        <v>311</v>
      </c>
      <c r="D116" s="17"/>
    </row>
    <row r="117" spans="1:4" x14ac:dyDescent="0.2">
      <c r="A117" s="104"/>
      <c r="B117" s="104"/>
      <c r="C117" s="17" t="s">
        <v>313</v>
      </c>
      <c r="D117" s="17"/>
    </row>
    <row r="118" spans="1:4" x14ac:dyDescent="0.2">
      <c r="A118" s="102"/>
      <c r="B118" s="66" t="s">
        <v>151</v>
      </c>
      <c r="C118" s="18" t="s">
        <v>309</v>
      </c>
      <c r="D118" s="18"/>
    </row>
    <row r="119" spans="1:4" x14ac:dyDescent="0.2">
      <c r="A119" s="101"/>
      <c r="B119" s="83"/>
      <c r="C119" s="18" t="s">
        <v>318</v>
      </c>
      <c r="D119" s="18"/>
    </row>
    <row r="120" spans="1:4" x14ac:dyDescent="0.2">
      <c r="A120" s="101"/>
      <c r="B120" s="83"/>
      <c r="C120" s="18" t="s">
        <v>311</v>
      </c>
      <c r="D120" s="18"/>
    </row>
    <row r="121" spans="1:4" x14ac:dyDescent="0.2">
      <c r="A121" s="101"/>
      <c r="B121" s="83"/>
      <c r="C121" s="18" t="s">
        <v>312</v>
      </c>
      <c r="D121" s="18"/>
    </row>
    <row r="122" spans="1:4" x14ac:dyDescent="0.2">
      <c r="A122" s="101"/>
      <c r="B122" s="83"/>
      <c r="C122" s="18" t="s">
        <v>310</v>
      </c>
      <c r="D122" s="18"/>
    </row>
    <row r="123" spans="1:4" x14ac:dyDescent="0.2">
      <c r="A123" s="101"/>
      <c r="B123" s="83"/>
      <c r="C123" s="18" t="s">
        <v>319</v>
      </c>
      <c r="D123" s="18"/>
    </row>
    <row r="124" spans="1:4" x14ac:dyDescent="0.2">
      <c r="A124" s="101"/>
      <c r="B124" s="83"/>
      <c r="C124" s="18" t="s">
        <v>320</v>
      </c>
      <c r="D124" s="18"/>
    </row>
    <row r="125" spans="1:4" x14ac:dyDescent="0.2">
      <c r="A125" s="101"/>
      <c r="B125" s="83"/>
      <c r="C125" s="18" t="s">
        <v>313</v>
      </c>
      <c r="D125" s="18"/>
    </row>
    <row r="126" spans="1:4" x14ac:dyDescent="0.2">
      <c r="A126" s="103"/>
      <c r="B126" s="67"/>
      <c r="C126" s="18" t="s">
        <v>314</v>
      </c>
      <c r="D126" s="18"/>
    </row>
    <row r="127" spans="1:4" x14ac:dyDescent="0.2">
      <c r="A127" s="54"/>
      <c r="B127" s="54" t="s">
        <v>82</v>
      </c>
      <c r="C127" s="17" t="s">
        <v>321</v>
      </c>
      <c r="D127" s="17"/>
    </row>
    <row r="128" spans="1:4" x14ac:dyDescent="0.2">
      <c r="A128" s="55"/>
      <c r="B128" s="55"/>
      <c r="C128" s="17" t="s">
        <v>322</v>
      </c>
      <c r="D128" s="17"/>
    </row>
    <row r="129" spans="1:5" x14ac:dyDescent="0.2">
      <c r="A129" s="55"/>
      <c r="B129" s="55"/>
      <c r="C129" s="17" t="s">
        <v>323</v>
      </c>
      <c r="D129" s="17"/>
    </row>
    <row r="130" spans="1:5" x14ac:dyDescent="0.2">
      <c r="A130" s="55"/>
      <c r="B130" s="55"/>
      <c r="C130" s="17" t="s">
        <v>136</v>
      </c>
      <c r="D130" s="17"/>
    </row>
    <row r="131" spans="1:5" x14ac:dyDescent="0.2">
      <c r="A131" s="55"/>
      <c r="B131" s="55"/>
      <c r="C131" s="17" t="s">
        <v>312</v>
      </c>
      <c r="D131" s="17"/>
    </row>
    <row r="132" spans="1:5" x14ac:dyDescent="0.2">
      <c r="A132" s="103"/>
      <c r="B132" s="49" t="s">
        <v>324</v>
      </c>
      <c r="C132" s="18" t="s">
        <v>321</v>
      </c>
      <c r="D132" s="18"/>
    </row>
    <row r="133" spans="1:5" x14ac:dyDescent="0.2">
      <c r="A133" s="103"/>
      <c r="B133" s="49"/>
      <c r="C133" s="18" t="s">
        <v>312</v>
      </c>
      <c r="D133" s="18"/>
    </row>
    <row r="134" spans="1:5" x14ac:dyDescent="0.2">
      <c r="A134" s="105"/>
      <c r="B134" s="50"/>
      <c r="C134" s="18" t="s">
        <v>314</v>
      </c>
      <c r="D134" s="18"/>
    </row>
    <row r="135" spans="1:5" x14ac:dyDescent="0.2">
      <c r="A135" s="58"/>
      <c r="B135" s="58" t="s">
        <v>89</v>
      </c>
      <c r="C135" s="17" t="s">
        <v>325</v>
      </c>
      <c r="D135" s="17"/>
    </row>
    <row r="136" spans="1:5" x14ac:dyDescent="0.2">
      <c r="A136" s="59"/>
      <c r="B136" s="59"/>
      <c r="C136" s="17" t="s">
        <v>326</v>
      </c>
      <c r="D136" s="17"/>
      <c r="E136" t="s">
        <v>214</v>
      </c>
    </row>
    <row r="137" spans="1:5" x14ac:dyDescent="0.2">
      <c r="A137" s="59"/>
      <c r="B137" s="59"/>
      <c r="C137" s="17" t="s">
        <v>327</v>
      </c>
      <c r="D137" s="17" t="s">
        <v>328</v>
      </c>
    </row>
    <row r="138" spans="1:5" x14ac:dyDescent="0.2">
      <c r="A138" s="59"/>
      <c r="B138" s="59"/>
      <c r="C138" s="17" t="s">
        <v>329</v>
      </c>
      <c r="D138" s="17" t="s">
        <v>330</v>
      </c>
    </row>
    <row r="139" spans="1:5" x14ac:dyDescent="0.2">
      <c r="A139" s="59"/>
      <c r="B139" s="59"/>
      <c r="C139" s="17" t="s">
        <v>331</v>
      </c>
      <c r="D139" s="17"/>
    </row>
    <row r="140" spans="1:5" x14ac:dyDescent="0.2">
      <c r="A140" s="59"/>
      <c r="B140" s="59"/>
      <c r="C140" s="17" t="s">
        <v>332</v>
      </c>
      <c r="D140" s="17"/>
    </row>
    <row r="141" spans="1:5" x14ac:dyDescent="0.2">
      <c r="A141" s="59"/>
      <c r="B141" s="59"/>
      <c r="C141" s="17" t="s">
        <v>333</v>
      </c>
      <c r="D141" s="17"/>
    </row>
    <row r="142" spans="1:5" x14ac:dyDescent="0.2">
      <c r="A142" s="59"/>
      <c r="B142" s="59"/>
      <c r="C142" s="17" t="s">
        <v>334</v>
      </c>
      <c r="D142" s="17"/>
    </row>
    <row r="143" spans="1:5" x14ac:dyDescent="0.2">
      <c r="A143" s="59"/>
      <c r="B143" s="59"/>
      <c r="C143" s="17" t="s">
        <v>335</v>
      </c>
      <c r="D143" s="17"/>
    </row>
    <row r="144" spans="1:5" x14ac:dyDescent="0.2">
      <c r="A144" s="59"/>
      <c r="B144" s="59"/>
      <c r="C144" s="17" t="s">
        <v>336</v>
      </c>
      <c r="D144" s="17"/>
    </row>
    <row r="145" spans="1:4" x14ac:dyDescent="0.2">
      <c r="A145" s="59"/>
      <c r="B145" s="59"/>
      <c r="C145" s="17" t="s">
        <v>314</v>
      </c>
      <c r="D145" s="17"/>
    </row>
    <row r="146" spans="1:4" x14ac:dyDescent="0.2">
      <c r="A146" s="102"/>
      <c r="B146" s="51" t="s">
        <v>337</v>
      </c>
      <c r="C146" s="18" t="s">
        <v>338</v>
      </c>
      <c r="D146" s="18"/>
    </row>
    <row r="147" spans="1:4" x14ac:dyDescent="0.2">
      <c r="A147" s="105"/>
      <c r="B147" s="53"/>
      <c r="C147" s="18" t="s">
        <v>339</v>
      </c>
      <c r="D147" s="18"/>
    </row>
    <row r="148" spans="1:4" x14ac:dyDescent="0.2">
      <c r="A148" s="106"/>
      <c r="B148" s="107" t="s">
        <v>70</v>
      </c>
      <c r="C148" s="17" t="s">
        <v>340</v>
      </c>
      <c r="D148" s="17" t="s">
        <v>341</v>
      </c>
    </row>
    <row r="149" spans="1:4" x14ac:dyDescent="0.2">
      <c r="A149" s="108"/>
      <c r="B149" s="108"/>
      <c r="C149" s="17" t="s">
        <v>342</v>
      </c>
      <c r="D149" s="17" t="s">
        <v>343</v>
      </c>
    </row>
    <row r="150" spans="1:4" x14ac:dyDescent="0.2">
      <c r="A150" s="108"/>
      <c r="B150" s="108"/>
      <c r="C150" s="17" t="s">
        <v>344</v>
      </c>
      <c r="D150" s="17" t="s">
        <v>345</v>
      </c>
    </row>
    <row r="151" spans="1:4" x14ac:dyDescent="0.2">
      <c r="A151" s="108"/>
      <c r="B151" s="108"/>
      <c r="C151" s="17" t="s">
        <v>346</v>
      </c>
      <c r="D151" s="17" t="s">
        <v>347</v>
      </c>
    </row>
    <row r="152" spans="1:4" x14ac:dyDescent="0.2">
      <c r="A152" s="108"/>
      <c r="B152" s="108"/>
      <c r="C152" s="17" t="s">
        <v>348</v>
      </c>
      <c r="D152" s="17" t="s">
        <v>349</v>
      </c>
    </row>
    <row r="153" spans="1:4" x14ac:dyDescent="0.2">
      <c r="A153" s="108"/>
      <c r="B153" s="108"/>
      <c r="C153" s="17" t="s">
        <v>350</v>
      </c>
      <c r="D153" s="17" t="s">
        <v>351</v>
      </c>
    </row>
    <row r="154" spans="1:4" x14ac:dyDescent="0.2">
      <c r="A154" s="108"/>
      <c r="B154" s="108"/>
      <c r="C154" s="17" t="s">
        <v>352</v>
      </c>
      <c r="D154" s="17" t="s">
        <v>353</v>
      </c>
    </row>
    <row r="155" spans="1:4" x14ac:dyDescent="0.2">
      <c r="A155" s="108"/>
      <c r="B155" s="108"/>
      <c r="C155" s="17" t="s">
        <v>354</v>
      </c>
      <c r="D155" s="17" t="s">
        <v>355</v>
      </c>
    </row>
    <row r="156" spans="1:4" x14ac:dyDescent="0.2">
      <c r="A156" s="108"/>
      <c r="B156" s="108"/>
      <c r="C156" s="17" t="s">
        <v>356</v>
      </c>
      <c r="D156" s="17" t="s">
        <v>357</v>
      </c>
    </row>
    <row r="157" spans="1:4" x14ac:dyDescent="0.2">
      <c r="A157" s="108"/>
      <c r="B157" s="108"/>
      <c r="C157" s="17" t="s">
        <v>358</v>
      </c>
      <c r="D157" s="17" t="s">
        <v>359</v>
      </c>
    </row>
    <row r="158" spans="1:4" x14ac:dyDescent="0.2">
      <c r="A158" s="108"/>
      <c r="B158" s="108"/>
      <c r="C158" s="17" t="s">
        <v>360</v>
      </c>
      <c r="D158" s="17" t="s">
        <v>361</v>
      </c>
    </row>
    <row r="159" spans="1:4" x14ac:dyDescent="0.2">
      <c r="A159" s="108"/>
      <c r="B159" s="108"/>
      <c r="C159" s="17" t="s">
        <v>362</v>
      </c>
      <c r="D159" s="17" t="s">
        <v>363</v>
      </c>
    </row>
    <row r="160" spans="1:4" x14ac:dyDescent="0.2">
      <c r="A160" s="108"/>
      <c r="B160" s="108"/>
      <c r="C160" s="17" t="s">
        <v>364</v>
      </c>
      <c r="D160" s="17" t="s">
        <v>365</v>
      </c>
    </row>
    <row r="161" spans="1:4" x14ac:dyDescent="0.2">
      <c r="A161" s="108"/>
      <c r="B161" s="108"/>
      <c r="C161" s="17" t="s">
        <v>366</v>
      </c>
      <c r="D161" s="17" t="s">
        <v>367</v>
      </c>
    </row>
    <row r="162" spans="1:4" x14ac:dyDescent="0.2">
      <c r="A162" s="108"/>
      <c r="B162" s="108"/>
      <c r="C162" s="17" t="s">
        <v>368</v>
      </c>
      <c r="D162" s="17" t="s">
        <v>369</v>
      </c>
    </row>
    <row r="163" spans="1:4" x14ac:dyDescent="0.2">
      <c r="A163" s="108"/>
      <c r="B163" s="108"/>
      <c r="C163" s="17" t="s">
        <v>370</v>
      </c>
      <c r="D163" s="17" t="s">
        <v>371</v>
      </c>
    </row>
    <row r="164" spans="1:4" x14ac:dyDescent="0.2">
      <c r="A164" s="108"/>
      <c r="B164" s="108"/>
      <c r="C164" s="17" t="s">
        <v>372</v>
      </c>
      <c r="D164" s="17" t="s">
        <v>373</v>
      </c>
    </row>
    <row r="165" spans="1:4" x14ac:dyDescent="0.2">
      <c r="A165" s="108"/>
      <c r="B165" s="108"/>
      <c r="C165" s="17" t="s">
        <v>374</v>
      </c>
      <c r="D165" s="17" t="s">
        <v>375</v>
      </c>
    </row>
    <row r="166" spans="1:4" x14ac:dyDescent="0.2">
      <c r="A166" s="108"/>
      <c r="B166" s="108"/>
      <c r="C166" s="17" t="s">
        <v>376</v>
      </c>
      <c r="D166" s="17" t="s">
        <v>377</v>
      </c>
    </row>
    <row r="167" spans="1:4" x14ac:dyDescent="0.2">
      <c r="A167" s="108"/>
      <c r="B167" s="108"/>
      <c r="C167" s="17" t="s">
        <v>378</v>
      </c>
      <c r="D167" s="17" t="s">
        <v>379</v>
      </c>
    </row>
    <row r="168" spans="1:4" x14ac:dyDescent="0.2">
      <c r="A168" s="108"/>
      <c r="B168" s="108"/>
      <c r="C168" s="17" t="s">
        <v>380</v>
      </c>
      <c r="D168" s="17" t="s">
        <v>381</v>
      </c>
    </row>
    <row r="169" spans="1:4" x14ac:dyDescent="0.2">
      <c r="A169" s="108"/>
      <c r="B169" s="108"/>
      <c r="C169" s="17" t="s">
        <v>382</v>
      </c>
      <c r="D169" s="17" t="s">
        <v>383</v>
      </c>
    </row>
    <row r="170" spans="1:4" x14ac:dyDescent="0.2">
      <c r="A170" s="108"/>
      <c r="B170" s="108"/>
      <c r="C170" s="17" t="s">
        <v>384</v>
      </c>
      <c r="D170" s="17" t="s">
        <v>385</v>
      </c>
    </row>
    <row r="171" spans="1:4" x14ac:dyDescent="0.2">
      <c r="A171" s="108"/>
      <c r="B171" s="108"/>
      <c r="C171" s="17" t="s">
        <v>386</v>
      </c>
      <c r="D171" s="17" t="s">
        <v>387</v>
      </c>
    </row>
    <row r="172" spans="1:4" x14ac:dyDescent="0.2">
      <c r="A172" s="108"/>
      <c r="B172" s="108"/>
      <c r="C172" s="17" t="s">
        <v>388</v>
      </c>
      <c r="D172" s="17" t="s">
        <v>389</v>
      </c>
    </row>
    <row r="173" spans="1:4" x14ac:dyDescent="0.2">
      <c r="A173" s="108"/>
      <c r="B173" s="108"/>
      <c r="C173" s="17" t="s">
        <v>390</v>
      </c>
      <c r="D173" s="17" t="s">
        <v>391</v>
      </c>
    </row>
    <row r="174" spans="1:4" x14ac:dyDescent="0.2">
      <c r="A174" s="108"/>
      <c r="B174" s="108"/>
      <c r="C174" s="17" t="s">
        <v>392</v>
      </c>
      <c r="D174" s="17" t="s">
        <v>393</v>
      </c>
    </row>
    <row r="175" spans="1:4" x14ac:dyDescent="0.2">
      <c r="A175" s="108"/>
      <c r="B175" s="108"/>
      <c r="C175" s="17" t="s">
        <v>394</v>
      </c>
      <c r="D175" s="17" t="s">
        <v>395</v>
      </c>
    </row>
    <row r="176" spans="1:4" x14ac:dyDescent="0.2">
      <c r="A176" s="108"/>
      <c r="B176" s="108"/>
      <c r="C176" s="17" t="s">
        <v>396</v>
      </c>
      <c r="D176" s="17" t="s">
        <v>397</v>
      </c>
    </row>
    <row r="177" spans="1:5" x14ac:dyDescent="0.2">
      <c r="A177" s="108"/>
      <c r="B177" s="108"/>
      <c r="C177" s="17" t="s">
        <v>398</v>
      </c>
      <c r="D177" s="17" t="s">
        <v>399</v>
      </c>
    </row>
    <row r="178" spans="1:5" x14ac:dyDescent="0.2">
      <c r="A178" s="108"/>
      <c r="B178" s="108"/>
      <c r="C178" s="17" t="s">
        <v>400</v>
      </c>
      <c r="D178" s="17" t="s">
        <v>401</v>
      </c>
    </row>
    <row r="179" spans="1:5" x14ac:dyDescent="0.2">
      <c r="A179" s="108"/>
      <c r="B179" s="108"/>
      <c r="C179" s="17" t="s">
        <v>402</v>
      </c>
      <c r="D179" s="17" t="s">
        <v>403</v>
      </c>
    </row>
    <row r="180" spans="1:5" x14ac:dyDescent="0.2">
      <c r="A180" s="108"/>
      <c r="B180" s="108"/>
      <c r="C180" s="17" t="s">
        <v>404</v>
      </c>
      <c r="D180" s="17" t="s">
        <v>405</v>
      </c>
      <c r="E180" t="s">
        <v>214</v>
      </c>
    </row>
    <row r="181" spans="1:5" x14ac:dyDescent="0.2">
      <c r="A181" s="108"/>
      <c r="B181" s="108"/>
      <c r="C181" s="17" t="s">
        <v>314</v>
      </c>
      <c r="D181" s="17" t="s">
        <v>314</v>
      </c>
    </row>
    <row r="182" spans="1:5" x14ac:dyDescent="0.2">
      <c r="A182" s="102"/>
      <c r="B182" s="51" t="s">
        <v>406</v>
      </c>
      <c r="C182" s="38" t="s">
        <v>407</v>
      </c>
      <c r="D182" s="38"/>
    </row>
    <row r="183" spans="1:5" x14ac:dyDescent="0.2">
      <c r="A183" s="103"/>
      <c r="B183" s="52"/>
      <c r="C183" s="38" t="s">
        <v>408</v>
      </c>
      <c r="D183" s="38"/>
    </row>
    <row r="184" spans="1:5" x14ac:dyDescent="0.2">
      <c r="A184" s="103"/>
      <c r="B184" s="52"/>
      <c r="C184" s="38" t="s">
        <v>409</v>
      </c>
      <c r="D184" s="38"/>
    </row>
    <row r="185" spans="1:5" x14ac:dyDescent="0.2">
      <c r="A185" s="105"/>
      <c r="B185" s="53"/>
      <c r="C185" s="39" t="s">
        <v>410</v>
      </c>
      <c r="D185" s="39"/>
    </row>
    <row r="186" spans="1:5" x14ac:dyDescent="0.2">
      <c r="A186" s="54"/>
      <c r="B186" s="54" t="s">
        <v>86</v>
      </c>
      <c r="C186" s="37" t="s">
        <v>411</v>
      </c>
      <c r="D186" s="37"/>
    </row>
    <row r="187" spans="1:5" x14ac:dyDescent="0.2">
      <c r="A187" s="55"/>
      <c r="B187" s="55"/>
      <c r="C187" s="37" t="s">
        <v>412</v>
      </c>
      <c r="D187" s="37"/>
    </row>
    <row r="188" spans="1:5" x14ac:dyDescent="0.2">
      <c r="A188" s="102"/>
      <c r="B188" s="51" t="s">
        <v>58</v>
      </c>
      <c r="C188" s="39" t="s">
        <v>413</v>
      </c>
      <c r="D188" s="39" t="s">
        <v>414</v>
      </c>
    </row>
    <row r="189" spans="1:5" x14ac:dyDescent="0.2">
      <c r="A189" s="103"/>
      <c r="B189" s="52"/>
      <c r="C189" s="39" t="s">
        <v>415</v>
      </c>
      <c r="D189" s="39" t="s">
        <v>416</v>
      </c>
    </row>
    <row r="190" spans="1:5" x14ac:dyDescent="0.2">
      <c r="A190" s="103"/>
      <c r="B190" s="52"/>
      <c r="C190" s="39" t="s">
        <v>312</v>
      </c>
      <c r="D190" s="39" t="s">
        <v>312</v>
      </c>
    </row>
    <row r="191" spans="1:5" x14ac:dyDescent="0.2">
      <c r="A191" s="103"/>
      <c r="B191" s="52"/>
      <c r="C191" s="39" t="s">
        <v>417</v>
      </c>
      <c r="D191" s="39" t="s">
        <v>418</v>
      </c>
    </row>
    <row r="192" spans="1:5" x14ac:dyDescent="0.2">
      <c r="A192" s="103"/>
      <c r="B192" s="52"/>
      <c r="C192" s="39" t="s">
        <v>419</v>
      </c>
      <c r="D192" s="39" t="s">
        <v>420</v>
      </c>
    </row>
    <row r="193" spans="1:4" x14ac:dyDescent="0.2">
      <c r="A193" s="103"/>
      <c r="B193" s="52"/>
      <c r="C193" s="39" t="s">
        <v>421</v>
      </c>
      <c r="D193" s="39" t="s">
        <v>422</v>
      </c>
    </row>
    <row r="194" spans="1:4" x14ac:dyDescent="0.2">
      <c r="A194" s="103"/>
      <c r="B194" s="52"/>
      <c r="C194" s="39" t="s">
        <v>423</v>
      </c>
      <c r="D194" s="39" t="s">
        <v>424</v>
      </c>
    </row>
    <row r="195" spans="1:4" x14ac:dyDescent="0.2">
      <c r="A195" s="103"/>
      <c r="B195" s="52"/>
      <c r="C195" s="39" t="s">
        <v>425</v>
      </c>
      <c r="D195" s="39" t="s">
        <v>426</v>
      </c>
    </row>
    <row r="196" spans="1:4" x14ac:dyDescent="0.2">
      <c r="A196" s="103"/>
      <c r="B196" s="52"/>
      <c r="C196" s="39" t="s">
        <v>427</v>
      </c>
      <c r="D196" s="39" t="s">
        <v>428</v>
      </c>
    </row>
    <row r="197" spans="1:4" x14ac:dyDescent="0.2">
      <c r="A197" s="103"/>
      <c r="B197" s="52"/>
      <c r="C197" s="39" t="s">
        <v>429</v>
      </c>
      <c r="D197" s="39" t="s">
        <v>430</v>
      </c>
    </row>
    <row r="198" spans="1:4" x14ac:dyDescent="0.2">
      <c r="A198" s="103"/>
      <c r="B198" s="52"/>
      <c r="C198" s="39" t="s">
        <v>431</v>
      </c>
      <c r="D198" s="39" t="s">
        <v>432</v>
      </c>
    </row>
    <row r="199" spans="1:4" x14ac:dyDescent="0.2">
      <c r="A199" s="103"/>
      <c r="B199" s="52"/>
      <c r="C199" s="39" t="s">
        <v>433</v>
      </c>
      <c r="D199" s="39" t="s">
        <v>434</v>
      </c>
    </row>
    <row r="200" spans="1:4" x14ac:dyDescent="0.2">
      <c r="A200" s="103"/>
      <c r="B200" s="52"/>
      <c r="C200" s="39" t="s">
        <v>314</v>
      </c>
      <c r="D200" s="39" t="s">
        <v>314</v>
      </c>
    </row>
    <row r="201" spans="1:4" x14ac:dyDescent="0.2">
      <c r="A201" s="105"/>
      <c r="B201" s="53"/>
      <c r="C201" s="39" t="s">
        <v>410</v>
      </c>
      <c r="D201" s="39" t="s">
        <v>435</v>
      </c>
    </row>
    <row r="202" spans="1:4" x14ac:dyDescent="0.2">
      <c r="A202" s="107"/>
      <c r="B202" s="107" t="s">
        <v>83</v>
      </c>
      <c r="C202" s="17" t="s">
        <v>436</v>
      </c>
      <c r="D202" s="17"/>
    </row>
    <row r="203" spans="1:4" x14ac:dyDescent="0.2">
      <c r="A203" s="108"/>
      <c r="B203" s="108"/>
      <c r="C203" s="17" t="s">
        <v>437</v>
      </c>
      <c r="D203" s="17"/>
    </row>
    <row r="204" spans="1:4" x14ac:dyDescent="0.2">
      <c r="A204" s="108"/>
      <c r="B204" s="108"/>
      <c r="C204" s="17" t="s">
        <v>438</v>
      </c>
      <c r="D204" s="17"/>
    </row>
    <row r="205" spans="1:4" x14ac:dyDescent="0.2">
      <c r="A205" s="108"/>
      <c r="B205" s="108"/>
      <c r="C205" s="17" t="s">
        <v>439</v>
      </c>
      <c r="D205" s="17"/>
    </row>
    <row r="206" spans="1:4" x14ac:dyDescent="0.2">
      <c r="A206" s="108"/>
      <c r="B206" s="108"/>
      <c r="C206" s="17" t="s">
        <v>440</v>
      </c>
      <c r="D206" s="17"/>
    </row>
    <row r="207" spans="1:4" x14ac:dyDescent="0.2">
      <c r="A207" s="108"/>
      <c r="B207" s="108"/>
      <c r="C207" s="17" t="s">
        <v>441</v>
      </c>
      <c r="D207" s="17"/>
    </row>
    <row r="208" spans="1:4" x14ac:dyDescent="0.2">
      <c r="A208" s="108"/>
      <c r="B208" s="108"/>
      <c r="C208" s="17" t="s">
        <v>442</v>
      </c>
      <c r="D208" s="17"/>
    </row>
    <row r="209" spans="1:5" x14ac:dyDescent="0.2">
      <c r="A209" s="108"/>
      <c r="B209" s="108"/>
      <c r="C209" s="17" t="s">
        <v>443</v>
      </c>
      <c r="D209" s="17"/>
    </row>
    <row r="210" spans="1:5" x14ac:dyDescent="0.2">
      <c r="A210" s="108"/>
      <c r="B210" s="108"/>
      <c r="C210" s="17" t="s">
        <v>444</v>
      </c>
      <c r="D210" s="17"/>
    </row>
    <row r="211" spans="1:5" x14ac:dyDescent="0.2">
      <c r="A211" s="108"/>
      <c r="B211" s="108"/>
      <c r="C211" s="17" t="s">
        <v>445</v>
      </c>
      <c r="D211" s="17"/>
    </row>
    <row r="212" spans="1:5" x14ac:dyDescent="0.2">
      <c r="A212" s="108"/>
      <c r="B212" s="108"/>
      <c r="C212" s="17" t="s">
        <v>446</v>
      </c>
      <c r="D212" s="17"/>
    </row>
    <row r="213" spans="1:5" x14ac:dyDescent="0.2">
      <c r="A213" s="108"/>
      <c r="B213" s="108"/>
      <c r="C213" s="17" t="s">
        <v>447</v>
      </c>
      <c r="D213" s="17"/>
    </row>
    <row r="214" spans="1:5" x14ac:dyDescent="0.2">
      <c r="A214" s="108"/>
      <c r="B214" s="108"/>
      <c r="C214" s="17" t="s">
        <v>448</v>
      </c>
      <c r="D214" s="17"/>
    </row>
    <row r="215" spans="1:5" x14ac:dyDescent="0.2">
      <c r="A215" s="108"/>
      <c r="B215" s="108"/>
      <c r="C215" s="17" t="s">
        <v>449</v>
      </c>
      <c r="D215" s="17"/>
    </row>
    <row r="216" spans="1:5" x14ac:dyDescent="0.2">
      <c r="A216" s="108"/>
      <c r="B216" s="108"/>
      <c r="C216" s="17" t="s">
        <v>450</v>
      </c>
      <c r="D216" s="17"/>
    </row>
    <row r="217" spans="1:5" x14ac:dyDescent="0.2">
      <c r="A217" s="108"/>
      <c r="B217" s="108"/>
      <c r="C217" s="17" t="s">
        <v>451</v>
      </c>
      <c r="D217" s="17"/>
    </row>
    <row r="218" spans="1:5" x14ac:dyDescent="0.2">
      <c r="A218" s="108"/>
      <c r="B218" s="108"/>
      <c r="C218" s="17" t="s">
        <v>452</v>
      </c>
      <c r="D218" s="17" t="s">
        <v>453</v>
      </c>
      <c r="E218" t="s">
        <v>214</v>
      </c>
    </row>
    <row r="219" spans="1:5" x14ac:dyDescent="0.2">
      <c r="A219" s="108"/>
      <c r="B219" s="108"/>
      <c r="C219" s="17" t="s">
        <v>454</v>
      </c>
      <c r="D219" s="17"/>
    </row>
    <row r="220" spans="1:5" x14ac:dyDescent="0.2">
      <c r="A220" s="108"/>
      <c r="B220" s="108"/>
      <c r="C220" s="17" t="s">
        <v>455</v>
      </c>
      <c r="D220" s="17"/>
    </row>
    <row r="221" spans="1:5" x14ac:dyDescent="0.2">
      <c r="A221" s="108"/>
      <c r="B221" s="108"/>
      <c r="C221" s="17" t="s">
        <v>456</v>
      </c>
      <c r="D221" s="17"/>
    </row>
    <row r="222" spans="1:5" x14ac:dyDescent="0.2">
      <c r="A222" s="108"/>
      <c r="B222" s="108"/>
      <c r="C222" s="17" t="s">
        <v>457</v>
      </c>
      <c r="D222" s="17"/>
    </row>
    <row r="223" spans="1:5" x14ac:dyDescent="0.2">
      <c r="A223" s="108"/>
      <c r="B223" s="108"/>
      <c r="C223" s="17" t="s">
        <v>458</v>
      </c>
      <c r="D223" s="17"/>
    </row>
    <row r="224" spans="1:5" x14ac:dyDescent="0.2">
      <c r="A224" s="108"/>
      <c r="B224" s="108"/>
      <c r="C224" s="17" t="s">
        <v>459</v>
      </c>
      <c r="D224" s="17"/>
    </row>
    <row r="225" spans="1:4" x14ac:dyDescent="0.2">
      <c r="A225" s="108"/>
      <c r="B225" s="108"/>
      <c r="C225" s="17" t="s">
        <v>460</v>
      </c>
      <c r="D225" s="17"/>
    </row>
    <row r="226" spans="1:4" x14ac:dyDescent="0.2">
      <c r="A226" s="108"/>
      <c r="B226" s="108"/>
      <c r="C226" s="17" t="s">
        <v>461</v>
      </c>
      <c r="D226" s="17"/>
    </row>
    <row r="227" spans="1:4" x14ac:dyDescent="0.2">
      <c r="A227" s="108"/>
      <c r="B227" s="108"/>
      <c r="C227" s="17" t="s">
        <v>462</v>
      </c>
      <c r="D227" s="17"/>
    </row>
    <row r="228" spans="1:4" x14ac:dyDescent="0.2">
      <c r="A228" s="108"/>
      <c r="B228" s="108"/>
      <c r="C228" s="17" t="s">
        <v>463</v>
      </c>
      <c r="D228" s="17"/>
    </row>
    <row r="229" spans="1:4" x14ac:dyDescent="0.2">
      <c r="A229" s="108"/>
      <c r="B229" s="108"/>
      <c r="C229" s="17" t="s">
        <v>464</v>
      </c>
      <c r="D229" s="17"/>
    </row>
    <row r="230" spans="1:4" x14ac:dyDescent="0.2">
      <c r="A230" s="108"/>
      <c r="B230" s="108"/>
      <c r="C230" s="17" t="s">
        <v>465</v>
      </c>
      <c r="D230" s="17"/>
    </row>
    <row r="231" spans="1:4" x14ac:dyDescent="0.2">
      <c r="A231" s="108"/>
      <c r="B231" s="108"/>
      <c r="C231" s="17" t="s">
        <v>466</v>
      </c>
      <c r="D231" s="17"/>
    </row>
    <row r="232" spans="1:4" x14ac:dyDescent="0.2">
      <c r="A232" s="108"/>
      <c r="B232" s="108"/>
      <c r="C232" s="17" t="s">
        <v>467</v>
      </c>
      <c r="D232" s="17"/>
    </row>
    <row r="233" spans="1:4" x14ac:dyDescent="0.2">
      <c r="A233" s="108"/>
      <c r="B233" s="108"/>
      <c r="C233" s="17" t="s">
        <v>468</v>
      </c>
      <c r="D233" s="17"/>
    </row>
    <row r="234" spans="1:4" x14ac:dyDescent="0.2">
      <c r="A234" s="108"/>
      <c r="B234" s="108"/>
      <c r="C234" s="17" t="s">
        <v>469</v>
      </c>
      <c r="D234" s="17"/>
    </row>
    <row r="235" spans="1:4" x14ac:dyDescent="0.2">
      <c r="A235" s="108"/>
      <c r="B235" s="108"/>
      <c r="C235" s="17" t="s">
        <v>470</v>
      </c>
      <c r="D235" s="17"/>
    </row>
    <row r="236" spans="1:4" x14ac:dyDescent="0.2">
      <c r="A236" s="108"/>
      <c r="B236" s="108"/>
      <c r="C236" s="17" t="s">
        <v>471</v>
      </c>
      <c r="D236" s="17"/>
    </row>
    <row r="237" spans="1:4" x14ac:dyDescent="0.2">
      <c r="A237" s="108"/>
      <c r="B237" s="108"/>
      <c r="C237" s="17" t="s">
        <v>472</v>
      </c>
      <c r="D237" s="17"/>
    </row>
    <row r="238" spans="1:4" x14ac:dyDescent="0.2">
      <c r="A238" s="108"/>
      <c r="B238" s="108"/>
      <c r="C238" s="17" t="s">
        <v>24</v>
      </c>
      <c r="D238" s="17"/>
    </row>
    <row r="239" spans="1:4" x14ac:dyDescent="0.2">
      <c r="A239" s="108"/>
      <c r="B239" s="108"/>
      <c r="C239" s="17" t="s">
        <v>473</v>
      </c>
      <c r="D239" s="17"/>
    </row>
    <row r="240" spans="1:4" x14ac:dyDescent="0.2">
      <c r="A240" s="108"/>
      <c r="B240" s="108"/>
      <c r="C240" s="17" t="s">
        <v>474</v>
      </c>
      <c r="D240" s="17"/>
    </row>
    <row r="241" spans="1:4" x14ac:dyDescent="0.2">
      <c r="A241" s="108"/>
      <c r="B241" s="108"/>
      <c r="C241" s="17" t="s">
        <v>475</v>
      </c>
      <c r="D241" s="17"/>
    </row>
    <row r="242" spans="1:4" x14ac:dyDescent="0.2">
      <c r="A242" s="108"/>
      <c r="B242" s="108"/>
      <c r="C242" s="17" t="s">
        <v>476</v>
      </c>
      <c r="D242" s="17"/>
    </row>
    <row r="243" spans="1:4" x14ac:dyDescent="0.2">
      <c r="A243" s="108"/>
      <c r="B243" s="108"/>
      <c r="C243" s="17" t="s">
        <v>477</v>
      </c>
      <c r="D243" s="17"/>
    </row>
    <row r="244" spans="1:4" x14ac:dyDescent="0.2">
      <c r="A244" s="108"/>
      <c r="B244" s="108"/>
      <c r="C244" s="17" t="s">
        <v>478</v>
      </c>
      <c r="D244" s="17"/>
    </row>
    <row r="245" spans="1:4" x14ac:dyDescent="0.2">
      <c r="A245" s="108"/>
      <c r="B245" s="108"/>
      <c r="C245" s="17" t="s">
        <v>479</v>
      </c>
      <c r="D245" s="17"/>
    </row>
    <row r="246" spans="1:4" x14ac:dyDescent="0.2">
      <c r="A246" s="108"/>
      <c r="B246" s="108"/>
      <c r="C246" s="17" t="s">
        <v>480</v>
      </c>
      <c r="D246" s="17"/>
    </row>
    <row r="247" spans="1:4" x14ac:dyDescent="0.2">
      <c r="A247" s="108"/>
      <c r="B247" s="108"/>
      <c r="C247" s="17" t="s">
        <v>481</v>
      </c>
      <c r="D247" s="17"/>
    </row>
    <row r="248" spans="1:4" x14ac:dyDescent="0.2">
      <c r="A248" s="108"/>
      <c r="B248" s="108"/>
      <c r="C248" s="17" t="s">
        <v>482</v>
      </c>
      <c r="D248" s="17"/>
    </row>
    <row r="249" spans="1:4" x14ac:dyDescent="0.2">
      <c r="A249" s="108"/>
      <c r="B249" s="108"/>
      <c r="C249" s="17" t="s">
        <v>483</v>
      </c>
      <c r="D249" s="17"/>
    </row>
    <row r="250" spans="1:4" x14ac:dyDescent="0.2">
      <c r="A250" s="108"/>
      <c r="B250" s="108"/>
      <c r="C250" s="17" t="s">
        <v>484</v>
      </c>
      <c r="D250" s="17"/>
    </row>
    <row r="251" spans="1:4" x14ac:dyDescent="0.2">
      <c r="A251" s="108"/>
      <c r="B251" s="108"/>
      <c r="C251" s="17" t="s">
        <v>485</v>
      </c>
      <c r="D251" s="17"/>
    </row>
    <row r="252" spans="1:4" x14ac:dyDescent="0.2">
      <c r="A252" s="108"/>
      <c r="B252" s="108"/>
      <c r="C252" s="17" t="s">
        <v>314</v>
      </c>
      <c r="D252" s="17"/>
    </row>
    <row r="253" spans="1:4" x14ac:dyDescent="0.2">
      <c r="A253" s="108"/>
      <c r="B253" s="108"/>
      <c r="C253" s="17" t="s">
        <v>486</v>
      </c>
      <c r="D253" s="17"/>
    </row>
    <row r="254" spans="1:4" x14ac:dyDescent="0.2">
      <c r="A254" s="108"/>
      <c r="B254" s="108"/>
      <c r="C254" s="17" t="s">
        <v>487</v>
      </c>
      <c r="D254" s="17"/>
    </row>
    <row r="255" spans="1:4" x14ac:dyDescent="0.2">
      <c r="A255" s="108"/>
      <c r="B255" s="108"/>
      <c r="C255" s="17" t="s">
        <v>488</v>
      </c>
      <c r="D255" s="17"/>
    </row>
    <row r="256" spans="1:4" x14ac:dyDescent="0.2">
      <c r="A256" s="108"/>
      <c r="B256" s="108"/>
      <c r="C256" s="17" t="s">
        <v>489</v>
      </c>
      <c r="D256" s="17"/>
    </row>
    <row r="257" spans="1:5" x14ac:dyDescent="0.2">
      <c r="A257" s="108"/>
      <c r="B257" s="108"/>
      <c r="C257" s="17" t="s">
        <v>490</v>
      </c>
      <c r="D257" s="17"/>
    </row>
    <row r="258" spans="1:5" x14ac:dyDescent="0.2">
      <c r="A258" s="108"/>
      <c r="B258" s="108"/>
      <c r="C258" s="17" t="s">
        <v>491</v>
      </c>
      <c r="D258" s="17"/>
    </row>
    <row r="259" spans="1:5" x14ac:dyDescent="0.2">
      <c r="A259" s="108"/>
      <c r="B259" s="108"/>
      <c r="C259" s="17" t="s">
        <v>492</v>
      </c>
      <c r="D259" s="17"/>
    </row>
    <row r="260" spans="1:5" x14ac:dyDescent="0.2">
      <c r="A260" s="108"/>
      <c r="B260" s="108"/>
      <c r="C260" s="17" t="s">
        <v>493</v>
      </c>
      <c r="D260" s="17"/>
    </row>
    <row r="261" spans="1:5" x14ac:dyDescent="0.2">
      <c r="A261" s="108"/>
      <c r="B261" s="108"/>
      <c r="C261" s="17" t="s">
        <v>494</v>
      </c>
      <c r="D261" s="17"/>
    </row>
    <row r="262" spans="1:5" x14ac:dyDescent="0.2">
      <c r="A262" s="108"/>
      <c r="B262" s="108"/>
      <c r="C262" s="17" t="s">
        <v>495</v>
      </c>
      <c r="D262" s="17"/>
    </row>
    <row r="263" spans="1:5" x14ac:dyDescent="0.2">
      <c r="A263" s="108"/>
      <c r="B263" s="108"/>
      <c r="C263" s="17" t="s">
        <v>496</v>
      </c>
      <c r="D263" s="17"/>
    </row>
    <row r="264" spans="1:5" x14ac:dyDescent="0.2">
      <c r="A264" s="108"/>
      <c r="B264" s="108"/>
      <c r="C264" s="17" t="s">
        <v>497</v>
      </c>
      <c r="D264" s="17"/>
    </row>
    <row r="265" spans="1:5" x14ac:dyDescent="0.2">
      <c r="A265" s="108"/>
      <c r="B265" s="108"/>
      <c r="C265" s="17" t="s">
        <v>498</v>
      </c>
      <c r="D265" s="17"/>
    </row>
    <row r="266" spans="1:5" x14ac:dyDescent="0.2">
      <c r="A266" s="108"/>
      <c r="B266" s="108"/>
      <c r="C266" s="17" t="s">
        <v>499</v>
      </c>
      <c r="D266" s="17"/>
    </row>
    <row r="267" spans="1:5" x14ac:dyDescent="0.2">
      <c r="A267" s="108"/>
      <c r="B267" s="108"/>
      <c r="C267" s="17" t="s">
        <v>500</v>
      </c>
      <c r="D267" s="17"/>
    </row>
    <row r="268" spans="1:5" x14ac:dyDescent="0.2">
      <c r="A268" s="108"/>
      <c r="B268" s="108"/>
      <c r="C268" s="17" t="s">
        <v>501</v>
      </c>
      <c r="D268" s="17"/>
    </row>
    <row r="269" spans="1:5" x14ac:dyDescent="0.2">
      <c r="A269" s="108"/>
      <c r="B269" s="108"/>
      <c r="C269" s="17" t="s">
        <v>502</v>
      </c>
      <c r="D269" s="17"/>
    </row>
    <row r="270" spans="1:5" x14ac:dyDescent="0.2">
      <c r="A270" s="108"/>
      <c r="B270" s="108"/>
      <c r="C270" s="17" t="s">
        <v>503</v>
      </c>
      <c r="D270" s="17" t="s">
        <v>504</v>
      </c>
      <c r="E270" t="s">
        <v>214</v>
      </c>
    </row>
    <row r="271" spans="1:5" x14ac:dyDescent="0.2">
      <c r="A271" s="108"/>
      <c r="B271" s="108"/>
      <c r="C271" s="17" t="s">
        <v>505</v>
      </c>
      <c r="D271" s="17" t="s">
        <v>506</v>
      </c>
      <c r="E271" t="s">
        <v>214</v>
      </c>
    </row>
    <row r="272" spans="1:5" x14ac:dyDescent="0.2">
      <c r="A272" s="108"/>
      <c r="B272" s="108"/>
      <c r="C272" s="17" t="s">
        <v>507</v>
      </c>
      <c r="D272" s="17" t="s">
        <v>508</v>
      </c>
      <c r="E272" t="s">
        <v>214</v>
      </c>
    </row>
    <row r="273" spans="1:5" x14ac:dyDescent="0.2">
      <c r="A273" s="108"/>
      <c r="B273" s="108"/>
      <c r="C273" s="17" t="s">
        <v>509</v>
      </c>
      <c r="D273" s="17"/>
    </row>
    <row r="274" spans="1:5" x14ac:dyDescent="0.2">
      <c r="A274" s="108"/>
      <c r="B274" s="108"/>
      <c r="C274" s="17" t="s">
        <v>510</v>
      </c>
      <c r="D274" s="17" t="s">
        <v>511</v>
      </c>
      <c r="E274" t="s">
        <v>214</v>
      </c>
    </row>
    <row r="275" spans="1:5" x14ac:dyDescent="0.2">
      <c r="A275" s="108"/>
      <c r="B275" s="108"/>
      <c r="C275" s="17" t="s">
        <v>512</v>
      </c>
      <c r="D275" s="17"/>
    </row>
    <row r="276" spans="1:5" x14ac:dyDescent="0.2">
      <c r="A276" s="108"/>
      <c r="B276" s="108"/>
      <c r="C276" s="17" t="s">
        <v>513</v>
      </c>
      <c r="D276" s="17"/>
    </row>
    <row r="277" spans="1:5" x14ac:dyDescent="0.2">
      <c r="A277" s="108"/>
      <c r="B277" s="108"/>
      <c r="C277" s="17" t="s">
        <v>514</v>
      </c>
      <c r="D277" s="17"/>
    </row>
    <row r="278" spans="1:5" x14ac:dyDescent="0.2">
      <c r="A278" s="108"/>
      <c r="B278" s="108"/>
      <c r="C278" s="17" t="s">
        <v>515</v>
      </c>
      <c r="D278" s="17"/>
    </row>
    <row r="279" spans="1:5" x14ac:dyDescent="0.2">
      <c r="A279" s="108"/>
      <c r="B279" s="108"/>
      <c r="C279" s="17" t="s">
        <v>516</v>
      </c>
      <c r="D279" s="17"/>
    </row>
    <row r="280" spans="1:5" x14ac:dyDescent="0.2">
      <c r="A280" s="108"/>
      <c r="B280" s="108"/>
      <c r="C280" s="17" t="s">
        <v>517</v>
      </c>
      <c r="D280" s="17"/>
    </row>
    <row r="281" spans="1:5" x14ac:dyDescent="0.2">
      <c r="A281" s="108"/>
      <c r="B281" s="108"/>
      <c r="C281" s="17" t="s">
        <v>518</v>
      </c>
      <c r="D281" s="17"/>
    </row>
    <row r="282" spans="1:5" x14ac:dyDescent="0.2">
      <c r="A282" s="108"/>
      <c r="B282" s="108"/>
      <c r="C282" s="17" t="s">
        <v>519</v>
      </c>
      <c r="D282" s="17" t="s">
        <v>520</v>
      </c>
      <c r="E282" t="s">
        <v>214</v>
      </c>
    </row>
    <row r="283" spans="1:5" x14ac:dyDescent="0.2">
      <c r="A283" s="108"/>
      <c r="B283" s="108"/>
      <c r="C283" s="17" t="s">
        <v>521</v>
      </c>
      <c r="D283" s="17"/>
    </row>
    <row r="284" spans="1:5" x14ac:dyDescent="0.2">
      <c r="A284" s="108"/>
      <c r="B284" s="108"/>
      <c r="C284" s="17" t="s">
        <v>522</v>
      </c>
      <c r="D284" s="17" t="s">
        <v>523</v>
      </c>
      <c r="E284" t="s">
        <v>214</v>
      </c>
    </row>
    <row r="285" spans="1:5" x14ac:dyDescent="0.2">
      <c r="A285" s="108"/>
      <c r="B285" s="108"/>
      <c r="C285" s="17" t="s">
        <v>524</v>
      </c>
      <c r="D285" s="17"/>
    </row>
    <row r="286" spans="1:5" x14ac:dyDescent="0.2">
      <c r="A286" s="108"/>
      <c r="B286" s="108"/>
      <c r="C286" s="17" t="s">
        <v>525</v>
      </c>
      <c r="D286" s="17"/>
    </row>
    <row r="287" spans="1:5" x14ac:dyDescent="0.2">
      <c r="A287" s="108"/>
      <c r="B287" s="108"/>
      <c r="C287" s="17" t="s">
        <v>526</v>
      </c>
      <c r="D287" s="17"/>
    </row>
    <row r="288" spans="1:5" x14ac:dyDescent="0.2">
      <c r="A288" s="108"/>
      <c r="B288" s="108"/>
      <c r="C288" s="17" t="s">
        <v>527</v>
      </c>
      <c r="D288" s="17"/>
    </row>
    <row r="289" spans="1:5" x14ac:dyDescent="0.2">
      <c r="A289" s="108"/>
      <c r="B289" s="108"/>
      <c r="C289" s="17" t="s">
        <v>528</v>
      </c>
      <c r="D289" s="17" t="s">
        <v>529</v>
      </c>
      <c r="E289" t="s">
        <v>214</v>
      </c>
    </row>
    <row r="290" spans="1:5" x14ac:dyDescent="0.2">
      <c r="A290" s="108"/>
      <c r="B290" s="108"/>
      <c r="C290" s="17" t="s">
        <v>530</v>
      </c>
      <c r="D290" s="17"/>
    </row>
    <row r="291" spans="1:5" x14ac:dyDescent="0.2">
      <c r="A291" s="108"/>
      <c r="B291" s="108"/>
      <c r="C291" s="17" t="s">
        <v>531</v>
      </c>
      <c r="D291" s="17"/>
    </row>
    <row r="292" spans="1:5" x14ac:dyDescent="0.2">
      <c r="A292" s="108"/>
      <c r="B292" s="108"/>
      <c r="C292" s="17" t="s">
        <v>532</v>
      </c>
      <c r="D292" s="17"/>
    </row>
    <row r="293" spans="1:5" x14ac:dyDescent="0.2">
      <c r="A293" s="108"/>
      <c r="B293" s="108"/>
      <c r="C293" s="17" t="s">
        <v>533</v>
      </c>
      <c r="D293" s="17"/>
    </row>
    <row r="294" spans="1:5" x14ac:dyDescent="0.2">
      <c r="A294" s="108"/>
      <c r="B294" s="108"/>
      <c r="C294" s="17" t="s">
        <v>534</v>
      </c>
      <c r="D294" s="17"/>
    </row>
    <row r="295" spans="1:5" x14ac:dyDescent="0.2">
      <c r="A295" s="108"/>
      <c r="B295" s="108"/>
      <c r="C295" s="17" t="s">
        <v>535</v>
      </c>
      <c r="D295" s="17"/>
    </row>
    <row r="296" spans="1:5" x14ac:dyDescent="0.2">
      <c r="A296" s="108"/>
      <c r="B296" s="108"/>
      <c r="C296" s="17" t="s">
        <v>536</v>
      </c>
      <c r="D296" s="17"/>
    </row>
    <row r="297" spans="1:5" x14ac:dyDescent="0.2">
      <c r="A297" s="108"/>
      <c r="B297" s="108"/>
      <c r="C297" s="17" t="s">
        <v>537</v>
      </c>
      <c r="D297" s="17" t="s">
        <v>538</v>
      </c>
      <c r="E297" t="s">
        <v>214</v>
      </c>
    </row>
    <row r="298" spans="1:5" x14ac:dyDescent="0.2">
      <c r="A298" s="108"/>
      <c r="B298" s="108"/>
      <c r="C298" s="17" t="s">
        <v>539</v>
      </c>
      <c r="D298" s="17"/>
    </row>
    <row r="299" spans="1:5" x14ac:dyDescent="0.2">
      <c r="A299" s="108"/>
      <c r="B299" s="108"/>
      <c r="C299" s="17" t="s">
        <v>540</v>
      </c>
      <c r="D299" s="17"/>
    </row>
    <row r="300" spans="1:5" x14ac:dyDescent="0.2">
      <c r="A300" s="108"/>
      <c r="B300" s="108"/>
      <c r="C300" s="17" t="s">
        <v>541</v>
      </c>
      <c r="D300" s="17"/>
      <c r="E300" t="s">
        <v>214</v>
      </c>
    </row>
    <row r="301" spans="1:5" x14ac:dyDescent="0.2">
      <c r="A301" s="108"/>
      <c r="B301" s="108"/>
      <c r="C301" s="17" t="s">
        <v>542</v>
      </c>
      <c r="D301" s="17"/>
    </row>
    <row r="302" spans="1:5" x14ac:dyDescent="0.2">
      <c r="A302" s="108"/>
      <c r="B302" s="108"/>
      <c r="C302" s="17" t="s">
        <v>543</v>
      </c>
      <c r="D302" s="17"/>
    </row>
    <row r="303" spans="1:5" x14ac:dyDescent="0.2">
      <c r="A303" s="108"/>
      <c r="B303" s="108"/>
      <c r="C303" s="17" t="s">
        <v>544</v>
      </c>
      <c r="D303" s="17"/>
    </row>
    <row r="304" spans="1:5" x14ac:dyDescent="0.2">
      <c r="A304" s="108"/>
      <c r="B304" s="108"/>
      <c r="C304" s="17" t="s">
        <v>545</v>
      </c>
      <c r="D304" s="17"/>
    </row>
    <row r="305" spans="1:5" x14ac:dyDescent="0.2">
      <c r="A305" s="108"/>
      <c r="B305" s="108"/>
      <c r="C305" s="17" t="s">
        <v>546</v>
      </c>
      <c r="D305" s="17"/>
    </row>
    <row r="306" spans="1:5" x14ac:dyDescent="0.2">
      <c r="A306" s="108"/>
      <c r="B306" s="108"/>
      <c r="C306" s="17" t="s">
        <v>547</v>
      </c>
      <c r="D306" s="17"/>
    </row>
    <row r="307" spans="1:5" x14ac:dyDescent="0.2">
      <c r="A307" s="108"/>
      <c r="B307" s="108"/>
      <c r="C307" s="17" t="s">
        <v>548</v>
      </c>
      <c r="D307" s="17"/>
    </row>
    <row r="308" spans="1:5" x14ac:dyDescent="0.2">
      <c r="A308" s="108"/>
      <c r="B308" s="108"/>
      <c r="C308" s="17" t="s">
        <v>549</v>
      </c>
      <c r="D308" s="17"/>
    </row>
    <row r="309" spans="1:5" x14ac:dyDescent="0.2">
      <c r="A309" s="108"/>
      <c r="B309" s="108"/>
      <c r="C309" s="17" t="s">
        <v>550</v>
      </c>
      <c r="D309" s="17"/>
    </row>
    <row r="310" spans="1:5" x14ac:dyDescent="0.2">
      <c r="A310" s="108"/>
      <c r="B310" s="108"/>
      <c r="C310" s="17" t="s">
        <v>551</v>
      </c>
      <c r="D310" s="17"/>
      <c r="E310" t="s">
        <v>214</v>
      </c>
    </row>
    <row r="311" spans="1:5" x14ac:dyDescent="0.2">
      <c r="A311" s="108"/>
      <c r="B311" s="108"/>
      <c r="C311" s="17" t="s">
        <v>552</v>
      </c>
      <c r="D311" s="17"/>
      <c r="E311" t="s">
        <v>214</v>
      </c>
    </row>
    <row r="312" spans="1:5" x14ac:dyDescent="0.2">
      <c r="A312" s="108"/>
      <c r="B312" s="108"/>
      <c r="C312" s="17" t="s">
        <v>553</v>
      </c>
      <c r="D312" s="17"/>
      <c r="E312" t="s">
        <v>214</v>
      </c>
    </row>
    <row r="313" spans="1:5" x14ac:dyDescent="0.2">
      <c r="A313" s="108"/>
      <c r="B313" s="108"/>
      <c r="C313" s="17" t="s">
        <v>554</v>
      </c>
      <c r="D313" s="17"/>
    </row>
    <row r="314" spans="1:5" x14ac:dyDescent="0.2">
      <c r="A314" s="108"/>
      <c r="B314" s="108"/>
      <c r="C314" s="17" t="s">
        <v>555</v>
      </c>
      <c r="D314" s="17"/>
    </row>
    <row r="315" spans="1:5" x14ac:dyDescent="0.2">
      <c r="A315" s="108"/>
      <c r="B315" s="108"/>
      <c r="C315" s="17" t="s">
        <v>556</v>
      </c>
      <c r="D315" s="17"/>
    </row>
    <row r="316" spans="1:5" x14ac:dyDescent="0.2">
      <c r="A316" s="108"/>
      <c r="B316" s="108"/>
      <c r="C316" s="17" t="s">
        <v>557</v>
      </c>
      <c r="D316" s="17"/>
    </row>
    <row r="317" spans="1:5" x14ac:dyDescent="0.2">
      <c r="A317" s="108"/>
      <c r="B317" s="108"/>
      <c r="C317" s="17" t="s">
        <v>558</v>
      </c>
      <c r="D317" s="17"/>
    </row>
    <row r="318" spans="1:5" x14ac:dyDescent="0.2">
      <c r="A318" s="108"/>
      <c r="B318" s="108"/>
      <c r="C318" s="17" t="s">
        <v>559</v>
      </c>
      <c r="D318" s="93" t="s">
        <v>560</v>
      </c>
      <c r="E318" t="s">
        <v>214</v>
      </c>
    </row>
    <row r="319" spans="1:5" x14ac:dyDescent="0.2">
      <c r="A319" s="108"/>
      <c r="B319" s="108"/>
      <c r="C319" s="17" t="s">
        <v>561</v>
      </c>
      <c r="D319" s="17"/>
    </row>
    <row r="320" spans="1:5" x14ac:dyDescent="0.2">
      <c r="A320" s="108"/>
      <c r="B320" s="108"/>
      <c r="C320" s="17" t="s">
        <v>562</v>
      </c>
      <c r="D320" s="17"/>
    </row>
    <row r="321" spans="1:5" x14ac:dyDescent="0.2">
      <c r="A321" s="108"/>
      <c r="B321" s="108"/>
      <c r="C321" s="17" t="s">
        <v>563</v>
      </c>
      <c r="D321" s="17"/>
    </row>
    <row r="322" spans="1:5" x14ac:dyDescent="0.2">
      <c r="A322" s="108"/>
      <c r="B322" s="108"/>
      <c r="C322" s="17" t="s">
        <v>564</v>
      </c>
      <c r="D322" s="17"/>
    </row>
    <row r="323" spans="1:5" x14ac:dyDescent="0.2">
      <c r="A323" s="108"/>
      <c r="B323" s="108"/>
      <c r="C323" s="17" t="s">
        <v>565</v>
      </c>
      <c r="D323" s="17"/>
    </row>
    <row r="324" spans="1:5" x14ac:dyDescent="0.2">
      <c r="A324" s="108"/>
      <c r="B324" s="108"/>
      <c r="C324" s="17" t="s">
        <v>566</v>
      </c>
      <c r="D324" s="17"/>
    </row>
    <row r="325" spans="1:5" x14ac:dyDescent="0.2">
      <c r="A325" s="108"/>
      <c r="B325" s="108"/>
      <c r="C325" s="17" t="s">
        <v>567</v>
      </c>
      <c r="D325" s="17"/>
    </row>
    <row r="326" spans="1:5" x14ac:dyDescent="0.2">
      <c r="A326" s="108"/>
      <c r="B326" s="108"/>
      <c r="C326" s="17" t="s">
        <v>568</v>
      </c>
      <c r="D326" s="17"/>
    </row>
    <row r="327" spans="1:5" x14ac:dyDescent="0.2">
      <c r="A327" s="108"/>
      <c r="B327" s="108"/>
      <c r="C327" s="17" t="s">
        <v>569</v>
      </c>
      <c r="D327" s="17"/>
    </row>
    <row r="328" spans="1:5" x14ac:dyDescent="0.2">
      <c r="A328" s="102"/>
      <c r="B328" s="109" t="s">
        <v>90</v>
      </c>
      <c r="C328" s="39" t="s">
        <v>570</v>
      </c>
      <c r="D328" s="39"/>
      <c r="E328" t="s">
        <v>214</v>
      </c>
    </row>
    <row r="329" spans="1:5" x14ac:dyDescent="0.2">
      <c r="A329" s="103"/>
      <c r="B329" s="110"/>
      <c r="C329" s="39" t="s">
        <v>571</v>
      </c>
      <c r="D329" s="39"/>
      <c r="E329" t="s">
        <v>214</v>
      </c>
    </row>
    <row r="330" spans="1:5" x14ac:dyDescent="0.2">
      <c r="A330" s="103"/>
      <c r="B330" s="110"/>
      <c r="C330" s="95" t="s">
        <v>572</v>
      </c>
      <c r="D330" s="39"/>
      <c r="E330" t="s">
        <v>214</v>
      </c>
    </row>
    <row r="331" spans="1:5" x14ac:dyDescent="0.2">
      <c r="A331" s="103"/>
      <c r="B331" s="110"/>
      <c r="C331" s="94" t="s">
        <v>573</v>
      </c>
      <c r="D331" s="39"/>
      <c r="E331" t="s">
        <v>214</v>
      </c>
    </row>
    <row r="332" spans="1:5" x14ac:dyDescent="0.2">
      <c r="A332" s="103"/>
      <c r="B332" s="110"/>
      <c r="C332" s="94" t="s">
        <v>574</v>
      </c>
      <c r="D332" s="39"/>
      <c r="E332" t="s">
        <v>214</v>
      </c>
    </row>
    <row r="333" spans="1:5" x14ac:dyDescent="0.2">
      <c r="A333" s="103"/>
      <c r="B333" s="110"/>
      <c r="C333" s="94" t="s">
        <v>575</v>
      </c>
      <c r="D333" s="39"/>
      <c r="E333" t="s">
        <v>214</v>
      </c>
    </row>
    <row r="334" spans="1:5" x14ac:dyDescent="0.2">
      <c r="A334" s="103"/>
      <c r="B334" s="110"/>
      <c r="C334" s="94" t="s">
        <v>576</v>
      </c>
      <c r="D334" s="39"/>
      <c r="E334" t="s">
        <v>214</v>
      </c>
    </row>
    <row r="335" spans="1:5" x14ac:dyDescent="0.2">
      <c r="A335" s="103"/>
      <c r="B335" s="110"/>
      <c r="C335" s="39" t="s">
        <v>577</v>
      </c>
      <c r="D335" s="39"/>
      <c r="E335" t="s">
        <v>214</v>
      </c>
    </row>
    <row r="336" spans="1:5" x14ac:dyDescent="0.2">
      <c r="A336" s="103"/>
      <c r="B336" s="110"/>
      <c r="C336" s="39" t="s">
        <v>578</v>
      </c>
      <c r="D336" s="39"/>
      <c r="E336" t="s">
        <v>214</v>
      </c>
    </row>
    <row r="337" spans="1:5" x14ac:dyDescent="0.2">
      <c r="A337" s="103"/>
      <c r="B337" s="110"/>
      <c r="C337" s="39" t="s">
        <v>579</v>
      </c>
      <c r="D337" s="39"/>
      <c r="E337" t="s">
        <v>214</v>
      </c>
    </row>
    <row r="338" spans="1:5" x14ac:dyDescent="0.2">
      <c r="A338" s="103"/>
      <c r="B338" s="110"/>
      <c r="C338" s="39" t="s">
        <v>580</v>
      </c>
      <c r="D338" s="39"/>
      <c r="E338" t="s">
        <v>214</v>
      </c>
    </row>
    <row r="339" spans="1:5" x14ac:dyDescent="0.2">
      <c r="A339" s="103"/>
      <c r="B339" s="110"/>
      <c r="C339" s="39" t="s">
        <v>581</v>
      </c>
      <c r="D339" s="39"/>
      <c r="E339" t="s">
        <v>214</v>
      </c>
    </row>
    <row r="340" spans="1:5" x14ac:dyDescent="0.2">
      <c r="A340" s="103"/>
      <c r="B340" s="110"/>
      <c r="C340" s="39" t="s">
        <v>582</v>
      </c>
      <c r="D340" s="39"/>
      <c r="E340" t="s">
        <v>214</v>
      </c>
    </row>
    <row r="341" spans="1:5" x14ac:dyDescent="0.2">
      <c r="A341" s="103"/>
      <c r="B341" s="110"/>
      <c r="C341" s="39" t="s">
        <v>583</v>
      </c>
      <c r="D341" s="39"/>
      <c r="E341" t="s">
        <v>214</v>
      </c>
    </row>
    <row r="342" spans="1:5" x14ac:dyDescent="0.2">
      <c r="A342" s="103"/>
      <c r="B342" s="110"/>
      <c r="C342" s="39" t="s">
        <v>584</v>
      </c>
      <c r="D342" s="39"/>
      <c r="E342" t="s">
        <v>214</v>
      </c>
    </row>
    <row r="343" spans="1:5" x14ac:dyDescent="0.2">
      <c r="A343" s="103"/>
      <c r="B343" s="110"/>
      <c r="C343" s="39" t="s">
        <v>585</v>
      </c>
      <c r="D343" s="39"/>
      <c r="E343" t="s">
        <v>214</v>
      </c>
    </row>
    <row r="344" spans="1:5" x14ac:dyDescent="0.2">
      <c r="A344" s="103"/>
      <c r="B344" s="110"/>
      <c r="C344" s="39" t="s">
        <v>586</v>
      </c>
      <c r="D344" s="39"/>
      <c r="E344" t="s">
        <v>214</v>
      </c>
    </row>
    <row r="345" spans="1:5" x14ac:dyDescent="0.2">
      <c r="A345" s="103"/>
      <c r="B345" s="110"/>
      <c r="C345" s="39" t="s">
        <v>587</v>
      </c>
      <c r="D345" s="39"/>
      <c r="E345" t="s">
        <v>214</v>
      </c>
    </row>
    <row r="346" spans="1:5" x14ac:dyDescent="0.2">
      <c r="A346" s="103"/>
      <c r="B346" s="110"/>
      <c r="C346" s="39" t="s">
        <v>588</v>
      </c>
      <c r="D346" s="39"/>
      <c r="E346" t="s">
        <v>214</v>
      </c>
    </row>
    <row r="347" spans="1:5" x14ac:dyDescent="0.2">
      <c r="A347" s="103"/>
      <c r="B347" s="110"/>
      <c r="C347" s="39" t="s">
        <v>589</v>
      </c>
      <c r="D347" s="39"/>
      <c r="E347" t="s">
        <v>214</v>
      </c>
    </row>
    <row r="348" spans="1:5" x14ac:dyDescent="0.2">
      <c r="A348" s="103"/>
      <c r="B348" s="110"/>
      <c r="C348" s="39" t="s">
        <v>590</v>
      </c>
      <c r="D348" s="39"/>
      <c r="E348" t="s">
        <v>214</v>
      </c>
    </row>
    <row r="349" spans="1:5" x14ac:dyDescent="0.2">
      <c r="A349" s="103"/>
      <c r="B349" s="110"/>
      <c r="C349" s="39" t="s">
        <v>591</v>
      </c>
      <c r="D349" s="39"/>
      <c r="E349" t="s">
        <v>214</v>
      </c>
    </row>
    <row r="350" spans="1:5" x14ac:dyDescent="0.2">
      <c r="A350" s="103"/>
      <c r="B350" s="110"/>
      <c r="C350" s="39" t="s">
        <v>592</v>
      </c>
      <c r="D350" s="39"/>
      <c r="E350" t="s">
        <v>214</v>
      </c>
    </row>
    <row r="351" spans="1:5" x14ac:dyDescent="0.2">
      <c r="A351" s="103"/>
      <c r="B351" s="110"/>
      <c r="C351" s="39" t="s">
        <v>593</v>
      </c>
      <c r="D351" s="39"/>
      <c r="E351" t="s">
        <v>214</v>
      </c>
    </row>
    <row r="352" spans="1:5" x14ac:dyDescent="0.2">
      <c r="A352" s="103"/>
      <c r="B352" s="110"/>
      <c r="C352" s="39" t="s">
        <v>594</v>
      </c>
      <c r="D352" s="39"/>
      <c r="E352" t="s">
        <v>214</v>
      </c>
    </row>
    <row r="353" spans="1:5" x14ac:dyDescent="0.2">
      <c r="A353" s="103"/>
      <c r="B353" s="110"/>
      <c r="C353" s="39" t="s">
        <v>595</v>
      </c>
      <c r="D353" s="39"/>
      <c r="E353" t="s">
        <v>214</v>
      </c>
    </row>
    <row r="354" spans="1:5" x14ac:dyDescent="0.2">
      <c r="A354" s="103"/>
      <c r="B354" s="110"/>
      <c r="C354" s="39" t="s">
        <v>596</v>
      </c>
      <c r="D354" s="39"/>
      <c r="E354" t="s">
        <v>214</v>
      </c>
    </row>
    <row r="355" spans="1:5" x14ac:dyDescent="0.2">
      <c r="A355" s="103"/>
      <c r="B355" s="110"/>
      <c r="C355" s="39" t="s">
        <v>597</v>
      </c>
      <c r="D355" s="39"/>
      <c r="E355" t="s">
        <v>214</v>
      </c>
    </row>
    <row r="356" spans="1:5" x14ac:dyDescent="0.2">
      <c r="A356" s="103"/>
      <c r="B356" s="110"/>
      <c r="C356" s="39" t="s">
        <v>598</v>
      </c>
      <c r="D356" s="39"/>
      <c r="E356" t="s">
        <v>214</v>
      </c>
    </row>
    <row r="357" spans="1:5" x14ac:dyDescent="0.2">
      <c r="A357" s="103"/>
      <c r="B357" s="110"/>
      <c r="C357" s="39" t="s">
        <v>599</v>
      </c>
      <c r="D357" s="39"/>
      <c r="E357" t="s">
        <v>214</v>
      </c>
    </row>
    <row r="358" spans="1:5" x14ac:dyDescent="0.2">
      <c r="A358" s="103"/>
      <c r="B358" s="110"/>
      <c r="C358" s="39" t="s">
        <v>600</v>
      </c>
      <c r="D358" s="39"/>
      <c r="E358" t="s">
        <v>214</v>
      </c>
    </row>
    <row r="359" spans="1:5" x14ac:dyDescent="0.2">
      <c r="A359" s="103"/>
      <c r="B359" s="110"/>
      <c r="C359" s="39" t="s">
        <v>601</v>
      </c>
      <c r="D359" s="39"/>
      <c r="E359" t="s">
        <v>214</v>
      </c>
    </row>
    <row r="360" spans="1:5" x14ac:dyDescent="0.2">
      <c r="A360" s="103"/>
      <c r="B360" s="110"/>
      <c r="C360" s="39" t="s">
        <v>602</v>
      </c>
      <c r="D360" s="39"/>
      <c r="E360" t="s">
        <v>214</v>
      </c>
    </row>
    <row r="361" spans="1:5" x14ac:dyDescent="0.2">
      <c r="A361" s="103"/>
      <c r="B361" s="110"/>
      <c r="C361" s="39" t="s">
        <v>603</v>
      </c>
      <c r="D361" s="39"/>
      <c r="E361" t="s">
        <v>214</v>
      </c>
    </row>
    <row r="362" spans="1:5" x14ac:dyDescent="0.2">
      <c r="A362" s="103"/>
      <c r="B362" s="110"/>
      <c r="C362" s="39" t="s">
        <v>604</v>
      </c>
      <c r="D362" s="39"/>
      <c r="E362" t="s">
        <v>214</v>
      </c>
    </row>
    <row r="363" spans="1:5" x14ac:dyDescent="0.2">
      <c r="A363" s="103"/>
      <c r="B363" s="110"/>
      <c r="C363" s="39" t="s">
        <v>605</v>
      </c>
      <c r="D363" s="39"/>
      <c r="E363" t="s">
        <v>214</v>
      </c>
    </row>
    <row r="364" spans="1:5" x14ac:dyDescent="0.2">
      <c r="A364" s="103"/>
      <c r="B364" s="110"/>
      <c r="C364" s="39" t="s">
        <v>606</v>
      </c>
      <c r="D364" s="39"/>
      <c r="E364" t="s">
        <v>214</v>
      </c>
    </row>
    <row r="365" spans="1:5" x14ac:dyDescent="0.2">
      <c r="A365" s="103"/>
      <c r="B365" s="110"/>
      <c r="C365" s="39" t="s">
        <v>607</v>
      </c>
      <c r="D365" s="39"/>
      <c r="E365" t="s">
        <v>214</v>
      </c>
    </row>
    <row r="366" spans="1:5" x14ac:dyDescent="0.2">
      <c r="A366" s="103"/>
      <c r="B366" s="110"/>
      <c r="C366" s="39" t="s">
        <v>608</v>
      </c>
      <c r="D366" s="39"/>
      <c r="E366" t="s">
        <v>214</v>
      </c>
    </row>
    <row r="367" spans="1:5" x14ac:dyDescent="0.2">
      <c r="A367" s="103"/>
      <c r="B367" s="110"/>
      <c r="C367" s="39" t="s">
        <v>609</v>
      </c>
      <c r="D367" s="39"/>
      <c r="E367" t="s">
        <v>214</v>
      </c>
    </row>
    <row r="368" spans="1:5" x14ac:dyDescent="0.2">
      <c r="A368" s="103"/>
      <c r="B368" s="110"/>
      <c r="C368" s="39" t="s">
        <v>610</v>
      </c>
      <c r="D368" s="39"/>
      <c r="E368" t="s">
        <v>214</v>
      </c>
    </row>
    <row r="369" spans="1:5" x14ac:dyDescent="0.2">
      <c r="A369" s="103"/>
      <c r="B369" s="110"/>
      <c r="C369" s="39" t="s">
        <v>611</v>
      </c>
      <c r="D369" s="39"/>
      <c r="E369" t="s">
        <v>214</v>
      </c>
    </row>
    <row r="370" spans="1:5" x14ac:dyDescent="0.2">
      <c r="A370" s="103"/>
      <c r="B370" s="110"/>
      <c r="C370" s="39" t="s">
        <v>612</v>
      </c>
      <c r="D370" s="39"/>
      <c r="E370" t="s">
        <v>214</v>
      </c>
    </row>
    <row r="371" spans="1:5" x14ac:dyDescent="0.2">
      <c r="A371" s="103"/>
      <c r="B371" s="110"/>
      <c r="C371" s="39" t="s">
        <v>613</v>
      </c>
      <c r="D371" s="39"/>
      <c r="E371" t="s">
        <v>214</v>
      </c>
    </row>
    <row r="372" spans="1:5" x14ac:dyDescent="0.2">
      <c r="A372" s="103"/>
      <c r="B372" s="110"/>
      <c r="C372" s="39" t="s">
        <v>614</v>
      </c>
      <c r="D372" s="39"/>
      <c r="E372" t="s">
        <v>214</v>
      </c>
    </row>
    <row r="373" spans="1:5" x14ac:dyDescent="0.2">
      <c r="A373" s="103"/>
      <c r="B373" s="110"/>
      <c r="C373" s="39" t="s">
        <v>615</v>
      </c>
      <c r="D373" s="39"/>
      <c r="E373" t="s">
        <v>214</v>
      </c>
    </row>
    <row r="374" spans="1:5" x14ac:dyDescent="0.2">
      <c r="A374" s="103"/>
      <c r="B374" s="110"/>
      <c r="C374" s="39" t="s">
        <v>616</v>
      </c>
      <c r="D374" s="39"/>
      <c r="E374" t="s">
        <v>214</v>
      </c>
    </row>
    <row r="375" spans="1:5" x14ac:dyDescent="0.2">
      <c r="A375" s="103"/>
      <c r="B375" s="110"/>
      <c r="C375" s="39" t="s">
        <v>617</v>
      </c>
      <c r="D375" s="39"/>
      <c r="E375" t="s">
        <v>214</v>
      </c>
    </row>
    <row r="376" spans="1:5" x14ac:dyDescent="0.2">
      <c r="A376" s="103"/>
      <c r="B376" s="110"/>
      <c r="C376" s="39" t="s">
        <v>618</v>
      </c>
      <c r="D376" s="39"/>
      <c r="E376" t="s">
        <v>214</v>
      </c>
    </row>
    <row r="377" spans="1:5" x14ac:dyDescent="0.2">
      <c r="A377" s="103"/>
      <c r="B377" s="110"/>
      <c r="C377" s="39" t="s">
        <v>619</v>
      </c>
      <c r="D377" s="39"/>
      <c r="E377" t="s">
        <v>214</v>
      </c>
    </row>
    <row r="378" spans="1:5" x14ac:dyDescent="0.2">
      <c r="A378" s="103"/>
      <c r="B378" s="110"/>
      <c r="C378" s="39" t="s">
        <v>620</v>
      </c>
      <c r="D378" s="39"/>
      <c r="E378" t="s">
        <v>214</v>
      </c>
    </row>
    <row r="379" spans="1:5" x14ac:dyDescent="0.2">
      <c r="A379" s="103"/>
      <c r="B379" s="110"/>
      <c r="C379" s="39" t="s">
        <v>621</v>
      </c>
      <c r="D379" s="39"/>
      <c r="E379" t="s">
        <v>214</v>
      </c>
    </row>
    <row r="380" spans="1:5" x14ac:dyDescent="0.2">
      <c r="A380" s="103"/>
      <c r="B380" s="110"/>
      <c r="C380" s="39" t="s">
        <v>622</v>
      </c>
      <c r="D380" s="39"/>
      <c r="E380" t="s">
        <v>214</v>
      </c>
    </row>
    <row r="381" spans="1:5" x14ac:dyDescent="0.2">
      <c r="A381" s="103"/>
      <c r="B381" s="110"/>
      <c r="C381" s="39" t="s">
        <v>623</v>
      </c>
      <c r="D381" s="39"/>
      <c r="E381" t="s">
        <v>214</v>
      </c>
    </row>
    <row r="382" spans="1:5" x14ac:dyDescent="0.2">
      <c r="A382" s="103"/>
      <c r="B382" s="110"/>
      <c r="C382" s="39" t="s">
        <v>624</v>
      </c>
      <c r="D382" s="39"/>
      <c r="E382" t="s">
        <v>214</v>
      </c>
    </row>
    <row r="383" spans="1:5" x14ac:dyDescent="0.2">
      <c r="A383" s="103"/>
      <c r="B383" s="110"/>
      <c r="C383" s="39" t="s">
        <v>625</v>
      </c>
      <c r="D383" s="39"/>
      <c r="E383" t="s">
        <v>214</v>
      </c>
    </row>
    <row r="384" spans="1:5" x14ac:dyDescent="0.2">
      <c r="A384" s="103"/>
      <c r="B384" s="110"/>
      <c r="C384" s="39" t="s">
        <v>626</v>
      </c>
      <c r="D384" s="39"/>
      <c r="E384" t="s">
        <v>214</v>
      </c>
    </row>
    <row r="385" spans="1:5" x14ac:dyDescent="0.2">
      <c r="A385" s="103"/>
      <c r="B385" s="110"/>
      <c r="C385" s="39" t="s">
        <v>627</v>
      </c>
      <c r="D385" s="39"/>
      <c r="E385" t="s">
        <v>214</v>
      </c>
    </row>
    <row r="386" spans="1:5" x14ac:dyDescent="0.2">
      <c r="A386" s="103"/>
      <c r="B386" s="110"/>
      <c r="C386" s="39" t="s">
        <v>628</v>
      </c>
      <c r="D386" s="39"/>
      <c r="E386" t="s">
        <v>214</v>
      </c>
    </row>
    <row r="387" spans="1:5" x14ac:dyDescent="0.2">
      <c r="A387" s="103"/>
      <c r="B387" s="110"/>
      <c r="C387" s="39" t="s">
        <v>629</v>
      </c>
      <c r="D387" s="39"/>
      <c r="E387" t="s">
        <v>214</v>
      </c>
    </row>
    <row r="388" spans="1:5" x14ac:dyDescent="0.2">
      <c r="A388" s="103"/>
      <c r="B388" s="110"/>
      <c r="C388" s="39" t="s">
        <v>630</v>
      </c>
      <c r="D388" s="39"/>
      <c r="E388" t="s">
        <v>214</v>
      </c>
    </row>
    <row r="389" spans="1:5" x14ac:dyDescent="0.2">
      <c r="A389" s="103"/>
      <c r="B389" s="110"/>
      <c r="C389" s="39" t="s">
        <v>631</v>
      </c>
      <c r="D389" s="39"/>
      <c r="E389" t="s">
        <v>214</v>
      </c>
    </row>
    <row r="390" spans="1:5" x14ac:dyDescent="0.2">
      <c r="A390" s="103"/>
      <c r="B390" s="110"/>
      <c r="C390" s="39" t="s">
        <v>632</v>
      </c>
      <c r="D390" s="39"/>
      <c r="E390" t="s">
        <v>214</v>
      </c>
    </row>
    <row r="391" spans="1:5" x14ac:dyDescent="0.2">
      <c r="A391" s="103"/>
      <c r="B391" s="110"/>
      <c r="C391" s="39" t="s">
        <v>633</v>
      </c>
      <c r="D391" s="39"/>
      <c r="E391" t="s">
        <v>214</v>
      </c>
    </row>
    <row r="392" spans="1:5" x14ac:dyDescent="0.2">
      <c r="A392" s="103"/>
      <c r="B392" s="110"/>
      <c r="C392" s="39" t="s">
        <v>634</v>
      </c>
      <c r="D392" s="39"/>
      <c r="E392" t="s">
        <v>214</v>
      </c>
    </row>
    <row r="393" spans="1:5" x14ac:dyDescent="0.2">
      <c r="A393" s="103"/>
      <c r="B393" s="110"/>
      <c r="C393" s="39" t="s">
        <v>635</v>
      </c>
      <c r="D393" s="39"/>
      <c r="E393" t="s">
        <v>214</v>
      </c>
    </row>
    <row r="394" spans="1:5" x14ac:dyDescent="0.2">
      <c r="A394" s="103"/>
      <c r="B394" s="110"/>
      <c r="C394" s="39" t="s">
        <v>636</v>
      </c>
      <c r="D394" s="39"/>
      <c r="E394" t="s">
        <v>214</v>
      </c>
    </row>
    <row r="395" spans="1:5" x14ac:dyDescent="0.2">
      <c r="A395" s="103"/>
      <c r="B395" s="110"/>
      <c r="C395" s="39" t="s">
        <v>637</v>
      </c>
      <c r="D395" s="39"/>
      <c r="E395" t="s">
        <v>214</v>
      </c>
    </row>
    <row r="396" spans="1:5" x14ac:dyDescent="0.2">
      <c r="A396" s="103"/>
      <c r="B396" s="110"/>
      <c r="C396" s="39" t="s">
        <v>638</v>
      </c>
      <c r="D396" s="39"/>
      <c r="E396" t="s">
        <v>214</v>
      </c>
    </row>
    <row r="397" spans="1:5" x14ac:dyDescent="0.2">
      <c r="A397" s="103"/>
      <c r="B397" s="110"/>
      <c r="C397" s="39" t="s">
        <v>639</v>
      </c>
      <c r="D397" s="39"/>
      <c r="E397" t="s">
        <v>214</v>
      </c>
    </row>
    <row r="398" spans="1:5" x14ac:dyDescent="0.2">
      <c r="A398" s="103"/>
      <c r="B398" s="110"/>
      <c r="C398" s="39" t="s">
        <v>640</v>
      </c>
      <c r="D398" s="39"/>
      <c r="E398" t="s">
        <v>214</v>
      </c>
    </row>
    <row r="399" spans="1:5" x14ac:dyDescent="0.2">
      <c r="A399" s="103"/>
      <c r="B399" s="110"/>
      <c r="C399" s="39" t="s">
        <v>641</v>
      </c>
      <c r="D399" s="39"/>
      <c r="E399" t="s">
        <v>214</v>
      </c>
    </row>
    <row r="400" spans="1:5" x14ac:dyDescent="0.2">
      <c r="A400" s="103"/>
      <c r="B400" s="110"/>
      <c r="C400" s="39" t="s">
        <v>642</v>
      </c>
      <c r="D400" s="39"/>
      <c r="E400" t="s">
        <v>214</v>
      </c>
    </row>
    <row r="401" spans="1:5" x14ac:dyDescent="0.2">
      <c r="A401" s="103"/>
      <c r="B401" s="110"/>
      <c r="C401" s="39" t="s">
        <v>643</v>
      </c>
      <c r="D401" s="39"/>
      <c r="E401" t="s">
        <v>214</v>
      </c>
    </row>
    <row r="402" spans="1:5" x14ac:dyDescent="0.2">
      <c r="A402" s="103"/>
      <c r="B402" s="110"/>
      <c r="C402" s="39" t="s">
        <v>644</v>
      </c>
      <c r="D402" s="39"/>
      <c r="E402" t="s">
        <v>214</v>
      </c>
    </row>
    <row r="403" spans="1:5" x14ac:dyDescent="0.2">
      <c r="A403" s="103"/>
      <c r="B403" s="110"/>
      <c r="C403" s="39" t="s">
        <v>645</v>
      </c>
      <c r="D403" s="39"/>
      <c r="E403" t="s">
        <v>214</v>
      </c>
    </row>
    <row r="404" spans="1:5" x14ac:dyDescent="0.2">
      <c r="A404" s="103"/>
      <c r="B404" s="110"/>
      <c r="C404" s="39" t="s">
        <v>646</v>
      </c>
      <c r="D404" s="39"/>
      <c r="E404" t="s">
        <v>214</v>
      </c>
    </row>
    <row r="405" spans="1:5" x14ac:dyDescent="0.2">
      <c r="A405" s="103"/>
      <c r="B405" s="110"/>
      <c r="C405" s="39" t="s">
        <v>647</v>
      </c>
      <c r="D405" s="39"/>
      <c r="E405" t="s">
        <v>214</v>
      </c>
    </row>
    <row r="406" spans="1:5" x14ac:dyDescent="0.2">
      <c r="A406" s="103"/>
      <c r="B406" s="110"/>
      <c r="C406" s="39" t="s">
        <v>648</v>
      </c>
      <c r="D406" s="39"/>
      <c r="E406" t="s">
        <v>214</v>
      </c>
    </row>
    <row r="407" spans="1:5" x14ac:dyDescent="0.2">
      <c r="A407" s="103"/>
      <c r="B407" s="110"/>
      <c r="C407" s="39" t="s">
        <v>649</v>
      </c>
      <c r="D407" s="39"/>
      <c r="E407" t="s">
        <v>214</v>
      </c>
    </row>
    <row r="408" spans="1:5" x14ac:dyDescent="0.2">
      <c r="A408" s="103"/>
      <c r="B408" s="110"/>
      <c r="C408" s="39" t="s">
        <v>650</v>
      </c>
      <c r="D408" s="39"/>
      <c r="E408" t="s">
        <v>214</v>
      </c>
    </row>
    <row r="409" spans="1:5" x14ac:dyDescent="0.2">
      <c r="A409" s="103"/>
      <c r="B409" s="110"/>
      <c r="C409" s="39" t="s">
        <v>651</v>
      </c>
      <c r="D409" s="39"/>
      <c r="E409" t="s">
        <v>214</v>
      </c>
    </row>
    <row r="410" spans="1:5" x14ac:dyDescent="0.2">
      <c r="A410" s="103"/>
      <c r="B410" s="110"/>
      <c r="C410" s="39" t="s">
        <v>652</v>
      </c>
      <c r="D410" s="39"/>
      <c r="E410" t="s">
        <v>214</v>
      </c>
    </row>
    <row r="411" spans="1:5" x14ac:dyDescent="0.2">
      <c r="A411" s="103"/>
      <c r="B411" s="110"/>
      <c r="C411" s="39" t="s">
        <v>653</v>
      </c>
      <c r="D411" s="39"/>
      <c r="E411" t="s">
        <v>214</v>
      </c>
    </row>
    <row r="412" spans="1:5" x14ac:dyDescent="0.2">
      <c r="A412" s="103"/>
      <c r="B412" s="110"/>
      <c r="C412" s="39" t="s">
        <v>654</v>
      </c>
      <c r="D412" s="39"/>
      <c r="E412" t="s">
        <v>214</v>
      </c>
    </row>
    <row r="413" spans="1:5" x14ac:dyDescent="0.2">
      <c r="A413" s="103"/>
      <c r="B413" s="110"/>
      <c r="C413" s="39" t="s">
        <v>655</v>
      </c>
      <c r="D413" s="39"/>
      <c r="E413" t="s">
        <v>214</v>
      </c>
    </row>
    <row r="414" spans="1:5" x14ac:dyDescent="0.2">
      <c r="A414" s="103"/>
      <c r="B414" s="110"/>
      <c r="C414" s="39" t="s">
        <v>656</v>
      </c>
      <c r="D414" s="39"/>
      <c r="E414" t="s">
        <v>214</v>
      </c>
    </row>
    <row r="415" spans="1:5" x14ac:dyDescent="0.2">
      <c r="A415" s="103"/>
      <c r="B415" s="110"/>
      <c r="C415" s="39" t="s">
        <v>657</v>
      </c>
      <c r="D415" s="39"/>
      <c r="E415" t="s">
        <v>214</v>
      </c>
    </row>
    <row r="416" spans="1:5" x14ac:dyDescent="0.2">
      <c r="A416" s="103"/>
      <c r="B416" s="110"/>
      <c r="C416" s="39" t="s">
        <v>658</v>
      </c>
      <c r="D416" s="39"/>
      <c r="E416" t="s">
        <v>214</v>
      </c>
    </row>
    <row r="417" spans="1:5" x14ac:dyDescent="0.2">
      <c r="A417" s="103"/>
      <c r="B417" s="110"/>
      <c r="C417" s="39" t="s">
        <v>659</v>
      </c>
      <c r="D417" s="39"/>
      <c r="E417" t="s">
        <v>214</v>
      </c>
    </row>
    <row r="418" spans="1:5" x14ac:dyDescent="0.2">
      <c r="A418" s="103"/>
      <c r="B418" s="110"/>
      <c r="C418" s="39" t="s">
        <v>660</v>
      </c>
      <c r="D418" s="39"/>
      <c r="E418" t="s">
        <v>214</v>
      </c>
    </row>
    <row r="419" spans="1:5" x14ac:dyDescent="0.2">
      <c r="A419" s="103"/>
      <c r="B419" s="110"/>
      <c r="C419" s="39" t="s">
        <v>661</v>
      </c>
      <c r="D419" s="39"/>
      <c r="E419" t="s">
        <v>214</v>
      </c>
    </row>
    <row r="420" spans="1:5" x14ac:dyDescent="0.2">
      <c r="A420" s="103"/>
      <c r="B420" s="110"/>
      <c r="C420" s="39" t="s">
        <v>662</v>
      </c>
      <c r="D420" s="39"/>
      <c r="E420" t="s">
        <v>214</v>
      </c>
    </row>
    <row r="421" spans="1:5" x14ac:dyDescent="0.2">
      <c r="A421" s="103"/>
      <c r="B421" s="110"/>
      <c r="C421" s="39" t="s">
        <v>663</v>
      </c>
      <c r="D421" s="39"/>
      <c r="E421" t="s">
        <v>214</v>
      </c>
    </row>
    <row r="422" spans="1:5" x14ac:dyDescent="0.2">
      <c r="A422" s="103"/>
      <c r="B422" s="110"/>
      <c r="C422" s="39" t="s">
        <v>664</v>
      </c>
      <c r="D422" s="39"/>
      <c r="E422" t="s">
        <v>214</v>
      </c>
    </row>
    <row r="423" spans="1:5" x14ac:dyDescent="0.2">
      <c r="A423" s="103"/>
      <c r="B423" s="110"/>
      <c r="C423" s="39" t="s">
        <v>665</v>
      </c>
      <c r="D423" s="39"/>
      <c r="E423" t="s">
        <v>214</v>
      </c>
    </row>
    <row r="424" spans="1:5" x14ac:dyDescent="0.2">
      <c r="A424" s="103"/>
      <c r="B424" s="110"/>
      <c r="C424" s="39" t="s">
        <v>666</v>
      </c>
      <c r="D424" s="39"/>
      <c r="E424" t="s">
        <v>214</v>
      </c>
    </row>
    <row r="425" spans="1:5" x14ac:dyDescent="0.2">
      <c r="A425" s="103"/>
      <c r="B425" s="110"/>
      <c r="C425" s="39" t="s">
        <v>667</v>
      </c>
      <c r="D425" s="39"/>
      <c r="E425" t="s">
        <v>214</v>
      </c>
    </row>
    <row r="426" spans="1:5" x14ac:dyDescent="0.2">
      <c r="A426" s="103"/>
      <c r="B426" s="110"/>
      <c r="C426" s="39" t="s">
        <v>668</v>
      </c>
      <c r="D426" s="39"/>
      <c r="E426" t="s">
        <v>214</v>
      </c>
    </row>
    <row r="427" spans="1:5" x14ac:dyDescent="0.2">
      <c r="A427" s="103"/>
      <c r="B427" s="110"/>
      <c r="C427" s="39" t="s">
        <v>669</v>
      </c>
      <c r="D427" s="39"/>
      <c r="E427" t="s">
        <v>214</v>
      </c>
    </row>
    <row r="428" spans="1:5" x14ac:dyDescent="0.2">
      <c r="A428" s="103"/>
      <c r="B428" s="110"/>
      <c r="C428" s="39" t="s">
        <v>670</v>
      </c>
      <c r="D428" s="39"/>
      <c r="E428" t="s">
        <v>214</v>
      </c>
    </row>
    <row r="429" spans="1:5" x14ac:dyDescent="0.2">
      <c r="A429" s="103"/>
      <c r="B429" s="110"/>
      <c r="C429" s="39" t="s">
        <v>671</v>
      </c>
      <c r="D429" s="39"/>
      <c r="E429" t="s">
        <v>214</v>
      </c>
    </row>
    <row r="430" spans="1:5" x14ac:dyDescent="0.2">
      <c r="A430" s="103"/>
      <c r="B430" s="110"/>
      <c r="C430" s="39" t="s">
        <v>672</v>
      </c>
      <c r="D430" s="39"/>
      <c r="E430" t="s">
        <v>214</v>
      </c>
    </row>
    <row r="431" spans="1:5" x14ac:dyDescent="0.2">
      <c r="A431" s="103"/>
      <c r="B431" s="110"/>
      <c r="C431" s="39" t="s">
        <v>673</v>
      </c>
      <c r="D431" s="39"/>
      <c r="E431" t="s">
        <v>214</v>
      </c>
    </row>
    <row r="432" spans="1:5" x14ac:dyDescent="0.2">
      <c r="A432" s="103"/>
      <c r="B432" s="110"/>
      <c r="C432" s="39" t="s">
        <v>674</v>
      </c>
      <c r="D432" s="39"/>
      <c r="E432" t="s">
        <v>214</v>
      </c>
    </row>
    <row r="433" spans="1:5" x14ac:dyDescent="0.2">
      <c r="A433" s="103"/>
      <c r="B433" s="110"/>
      <c r="C433" s="39" t="s">
        <v>675</v>
      </c>
      <c r="D433" s="39"/>
      <c r="E433" t="s">
        <v>214</v>
      </c>
    </row>
    <row r="434" spans="1:5" x14ac:dyDescent="0.2">
      <c r="A434" s="103"/>
      <c r="B434" s="110"/>
      <c r="C434" s="39" t="s">
        <v>676</v>
      </c>
      <c r="D434" s="39"/>
      <c r="E434" t="s">
        <v>214</v>
      </c>
    </row>
    <row r="435" spans="1:5" x14ac:dyDescent="0.2">
      <c r="A435" s="103"/>
      <c r="B435" s="110"/>
      <c r="C435" s="39" t="s">
        <v>677</v>
      </c>
      <c r="D435" s="39"/>
      <c r="E435" t="s">
        <v>214</v>
      </c>
    </row>
    <row r="436" spans="1:5" x14ac:dyDescent="0.2">
      <c r="A436" s="103"/>
      <c r="B436" s="110"/>
      <c r="C436" s="39" t="s">
        <v>678</v>
      </c>
      <c r="D436" s="39"/>
      <c r="E436" t="s">
        <v>214</v>
      </c>
    </row>
    <row r="437" spans="1:5" x14ac:dyDescent="0.2">
      <c r="A437" s="103"/>
      <c r="B437" s="110"/>
      <c r="C437" s="39" t="s">
        <v>679</v>
      </c>
      <c r="D437" s="39"/>
      <c r="E437" t="s">
        <v>214</v>
      </c>
    </row>
    <row r="438" spans="1:5" x14ac:dyDescent="0.2">
      <c r="A438" s="103"/>
      <c r="B438" s="110"/>
      <c r="C438" s="39" t="s">
        <v>680</v>
      </c>
      <c r="D438" s="39"/>
      <c r="E438" t="s">
        <v>214</v>
      </c>
    </row>
    <row r="439" spans="1:5" x14ac:dyDescent="0.2">
      <c r="A439" s="103"/>
      <c r="B439" s="110"/>
      <c r="C439" s="39" t="s">
        <v>681</v>
      </c>
      <c r="D439" s="39"/>
      <c r="E439" t="s">
        <v>214</v>
      </c>
    </row>
    <row r="440" spans="1:5" x14ac:dyDescent="0.2">
      <c r="A440" s="103"/>
      <c r="B440" s="110"/>
      <c r="C440" s="39" t="s">
        <v>682</v>
      </c>
      <c r="D440" s="39"/>
      <c r="E440" t="s">
        <v>214</v>
      </c>
    </row>
    <row r="441" spans="1:5" x14ac:dyDescent="0.2">
      <c r="A441" s="103"/>
      <c r="B441" s="110"/>
      <c r="C441" s="39" t="s">
        <v>683</v>
      </c>
      <c r="D441" s="39"/>
      <c r="E441" t="s">
        <v>214</v>
      </c>
    </row>
    <row r="442" spans="1:5" x14ac:dyDescent="0.2">
      <c r="A442" s="103"/>
      <c r="B442" s="110"/>
      <c r="C442" s="39" t="s">
        <v>684</v>
      </c>
      <c r="D442" s="39"/>
      <c r="E442" t="s">
        <v>214</v>
      </c>
    </row>
    <row r="443" spans="1:5" x14ac:dyDescent="0.2">
      <c r="A443" s="103"/>
      <c r="B443" s="110"/>
      <c r="C443" s="39" t="s">
        <v>685</v>
      </c>
      <c r="D443" s="39"/>
      <c r="E443" t="s">
        <v>214</v>
      </c>
    </row>
    <row r="444" spans="1:5" x14ac:dyDescent="0.2">
      <c r="A444" s="103"/>
      <c r="B444" s="110"/>
      <c r="C444" s="39" t="s">
        <v>686</v>
      </c>
      <c r="D444" s="39"/>
      <c r="E444" t="s">
        <v>214</v>
      </c>
    </row>
    <row r="445" spans="1:5" x14ac:dyDescent="0.2">
      <c r="A445" s="103"/>
      <c r="B445" s="110"/>
      <c r="C445" s="39" t="s">
        <v>687</v>
      </c>
      <c r="D445" s="39"/>
      <c r="E445" t="s">
        <v>214</v>
      </c>
    </row>
    <row r="446" spans="1:5" x14ac:dyDescent="0.2">
      <c r="A446" s="103"/>
      <c r="B446" s="110"/>
      <c r="C446" s="39" t="s">
        <v>688</v>
      </c>
      <c r="D446" s="39"/>
      <c r="E446" t="s">
        <v>214</v>
      </c>
    </row>
    <row r="447" spans="1:5" x14ac:dyDescent="0.2">
      <c r="A447" s="103"/>
      <c r="B447" s="110"/>
      <c r="C447" s="39" t="s">
        <v>689</v>
      </c>
      <c r="D447" s="39"/>
      <c r="E447" t="s">
        <v>214</v>
      </c>
    </row>
    <row r="448" spans="1:5" x14ac:dyDescent="0.2">
      <c r="A448" s="103"/>
      <c r="B448" s="110"/>
      <c r="C448" s="39" t="s">
        <v>690</v>
      </c>
      <c r="D448" s="39"/>
      <c r="E448" t="s">
        <v>214</v>
      </c>
    </row>
    <row r="449" spans="1:5" x14ac:dyDescent="0.2">
      <c r="A449" s="103"/>
      <c r="B449" s="110"/>
      <c r="C449" s="39" t="s">
        <v>691</v>
      </c>
      <c r="D449" s="39"/>
      <c r="E449" t="s">
        <v>214</v>
      </c>
    </row>
    <row r="450" spans="1:5" x14ac:dyDescent="0.2">
      <c r="A450" s="103"/>
      <c r="B450" s="110"/>
      <c r="C450" s="39" t="s">
        <v>692</v>
      </c>
      <c r="D450" s="39"/>
      <c r="E450" t="s">
        <v>214</v>
      </c>
    </row>
    <row r="451" spans="1:5" x14ac:dyDescent="0.2">
      <c r="A451" s="103"/>
      <c r="B451" s="110"/>
      <c r="C451" s="39" t="s">
        <v>693</v>
      </c>
      <c r="D451" s="39"/>
      <c r="E451" t="s">
        <v>214</v>
      </c>
    </row>
    <row r="452" spans="1:5" x14ac:dyDescent="0.2">
      <c r="A452" s="103"/>
      <c r="B452" s="110"/>
      <c r="C452" s="39" t="s">
        <v>694</v>
      </c>
      <c r="D452" s="39"/>
      <c r="E452" t="s">
        <v>214</v>
      </c>
    </row>
    <row r="453" spans="1:5" x14ac:dyDescent="0.2">
      <c r="A453" s="103"/>
      <c r="B453" s="110"/>
      <c r="C453" s="39" t="s">
        <v>695</v>
      </c>
      <c r="D453" s="39"/>
      <c r="E453" t="s">
        <v>214</v>
      </c>
    </row>
    <row r="454" spans="1:5" x14ac:dyDescent="0.2">
      <c r="A454" s="103"/>
      <c r="B454" s="110"/>
      <c r="C454" s="39" t="s">
        <v>696</v>
      </c>
      <c r="D454" s="39"/>
      <c r="E454" t="s">
        <v>214</v>
      </c>
    </row>
    <row r="455" spans="1:5" x14ac:dyDescent="0.2">
      <c r="A455" s="103"/>
      <c r="B455" s="110"/>
      <c r="C455" s="39" t="s">
        <v>697</v>
      </c>
      <c r="D455" s="39"/>
      <c r="E455" t="s">
        <v>214</v>
      </c>
    </row>
    <row r="456" spans="1:5" x14ac:dyDescent="0.2">
      <c r="A456" s="103"/>
      <c r="B456" s="110"/>
      <c r="C456" s="39" t="s">
        <v>698</v>
      </c>
      <c r="D456" s="39"/>
      <c r="E456" t="s">
        <v>214</v>
      </c>
    </row>
    <row r="457" spans="1:5" x14ac:dyDescent="0.2">
      <c r="A457" s="103"/>
      <c r="B457" s="110"/>
      <c r="C457" s="39" t="s">
        <v>699</v>
      </c>
      <c r="D457" s="39"/>
      <c r="E457" t="s">
        <v>214</v>
      </c>
    </row>
    <row r="458" spans="1:5" x14ac:dyDescent="0.2">
      <c r="A458" s="103"/>
      <c r="B458" s="110"/>
      <c r="C458" s="39" t="s">
        <v>700</v>
      </c>
      <c r="D458" s="39"/>
      <c r="E458" t="s">
        <v>214</v>
      </c>
    </row>
    <row r="459" spans="1:5" x14ac:dyDescent="0.2">
      <c r="A459" s="103"/>
      <c r="B459" s="110"/>
      <c r="C459" s="39" t="s">
        <v>701</v>
      </c>
      <c r="D459" s="39"/>
      <c r="E459" t="s">
        <v>214</v>
      </c>
    </row>
    <row r="460" spans="1:5" x14ac:dyDescent="0.2">
      <c r="A460" s="103"/>
      <c r="B460" s="110"/>
      <c r="C460" s="39" t="s">
        <v>702</v>
      </c>
      <c r="D460" s="39"/>
      <c r="E460" t="s">
        <v>214</v>
      </c>
    </row>
    <row r="461" spans="1:5" x14ac:dyDescent="0.2">
      <c r="A461" s="103"/>
      <c r="B461" s="110"/>
      <c r="C461" s="39" t="s">
        <v>703</v>
      </c>
      <c r="D461" s="39"/>
      <c r="E461" t="s">
        <v>214</v>
      </c>
    </row>
    <row r="462" spans="1:5" x14ac:dyDescent="0.2">
      <c r="A462" s="103"/>
      <c r="B462" s="110"/>
      <c r="C462" s="39" t="s">
        <v>704</v>
      </c>
      <c r="D462" s="39"/>
      <c r="E462" t="s">
        <v>214</v>
      </c>
    </row>
    <row r="463" spans="1:5" x14ac:dyDescent="0.2">
      <c r="A463" s="103"/>
      <c r="B463" s="110"/>
      <c r="C463" s="39" t="s">
        <v>705</v>
      </c>
      <c r="D463" s="39"/>
      <c r="E463" t="s">
        <v>214</v>
      </c>
    </row>
    <row r="464" spans="1:5" x14ac:dyDescent="0.2">
      <c r="A464" s="103"/>
      <c r="B464" s="110"/>
      <c r="C464" s="39" t="s">
        <v>706</v>
      </c>
      <c r="D464" s="39"/>
      <c r="E464" t="s">
        <v>214</v>
      </c>
    </row>
    <row r="465" spans="1:5" x14ac:dyDescent="0.2">
      <c r="A465" s="103"/>
      <c r="B465" s="110"/>
      <c r="C465" s="39" t="s">
        <v>707</v>
      </c>
      <c r="D465" s="39"/>
      <c r="E465" t="s">
        <v>214</v>
      </c>
    </row>
    <row r="466" spans="1:5" x14ac:dyDescent="0.2">
      <c r="A466" s="103"/>
      <c r="B466" s="110"/>
      <c r="C466" s="39" t="s">
        <v>708</v>
      </c>
      <c r="D466" s="39"/>
      <c r="E466" t="s">
        <v>214</v>
      </c>
    </row>
    <row r="467" spans="1:5" x14ac:dyDescent="0.2">
      <c r="A467" s="103"/>
      <c r="B467" s="110"/>
      <c r="C467" s="39" t="s">
        <v>709</v>
      </c>
      <c r="D467" s="39"/>
      <c r="E467" t="s">
        <v>214</v>
      </c>
    </row>
    <row r="468" spans="1:5" x14ac:dyDescent="0.2">
      <c r="A468" s="103"/>
      <c r="B468" s="110"/>
      <c r="C468" s="39" t="s">
        <v>710</v>
      </c>
      <c r="D468" s="39"/>
      <c r="E468" t="s">
        <v>214</v>
      </c>
    </row>
    <row r="469" spans="1:5" x14ac:dyDescent="0.2">
      <c r="A469" s="103"/>
      <c r="B469" s="110"/>
      <c r="C469" s="39" t="s">
        <v>711</v>
      </c>
      <c r="D469" s="39"/>
      <c r="E469" t="s">
        <v>214</v>
      </c>
    </row>
    <row r="470" spans="1:5" x14ac:dyDescent="0.2">
      <c r="A470" s="103"/>
      <c r="B470" s="110"/>
      <c r="C470" s="39" t="s">
        <v>712</v>
      </c>
      <c r="D470" s="39"/>
      <c r="E470" t="s">
        <v>214</v>
      </c>
    </row>
    <row r="471" spans="1:5" x14ac:dyDescent="0.2">
      <c r="A471" s="103"/>
      <c r="B471" s="110"/>
      <c r="C471" s="39" t="s">
        <v>713</v>
      </c>
      <c r="D471" s="39"/>
      <c r="E471" t="s">
        <v>214</v>
      </c>
    </row>
    <row r="472" spans="1:5" x14ac:dyDescent="0.2">
      <c r="A472" s="103"/>
      <c r="B472" s="110"/>
      <c r="C472" s="39" t="s">
        <v>714</v>
      </c>
      <c r="D472" s="39"/>
      <c r="E472" t="s">
        <v>214</v>
      </c>
    </row>
    <row r="473" spans="1:5" x14ac:dyDescent="0.2">
      <c r="A473" s="103"/>
      <c r="B473" s="110"/>
      <c r="C473" s="39" t="s">
        <v>715</v>
      </c>
      <c r="D473" s="39"/>
      <c r="E473" t="s">
        <v>214</v>
      </c>
    </row>
    <row r="474" spans="1:5" x14ac:dyDescent="0.2">
      <c r="A474" s="103"/>
      <c r="B474" s="110"/>
      <c r="C474" s="39" t="s">
        <v>716</v>
      </c>
      <c r="D474" s="39"/>
      <c r="E474" t="s">
        <v>214</v>
      </c>
    </row>
    <row r="475" spans="1:5" x14ac:dyDescent="0.2">
      <c r="A475" s="103"/>
      <c r="B475" s="110"/>
      <c r="C475" s="39" t="s">
        <v>717</v>
      </c>
      <c r="D475" s="39"/>
      <c r="E475" t="s">
        <v>214</v>
      </c>
    </row>
    <row r="476" spans="1:5" x14ac:dyDescent="0.2">
      <c r="A476" s="103"/>
      <c r="B476" s="110"/>
      <c r="C476" s="39" t="s">
        <v>718</v>
      </c>
      <c r="D476" s="39"/>
      <c r="E476" t="s">
        <v>214</v>
      </c>
    </row>
    <row r="477" spans="1:5" x14ac:dyDescent="0.2">
      <c r="A477" s="103"/>
      <c r="B477" s="110"/>
      <c r="C477" s="39" t="s">
        <v>719</v>
      </c>
      <c r="D477" s="39"/>
      <c r="E477" t="s">
        <v>214</v>
      </c>
    </row>
    <row r="478" spans="1:5" x14ac:dyDescent="0.2">
      <c r="A478" s="103"/>
      <c r="B478" s="110"/>
      <c r="C478" s="39" t="s">
        <v>720</v>
      </c>
      <c r="D478" s="39"/>
      <c r="E478" t="s">
        <v>214</v>
      </c>
    </row>
    <row r="479" spans="1:5" x14ac:dyDescent="0.2">
      <c r="A479" s="103"/>
      <c r="B479" s="110"/>
      <c r="C479" s="39" t="s">
        <v>721</v>
      </c>
      <c r="D479" s="39"/>
      <c r="E479" t="s">
        <v>214</v>
      </c>
    </row>
    <row r="480" spans="1:5" x14ac:dyDescent="0.2">
      <c r="A480" s="103"/>
      <c r="B480" s="110"/>
      <c r="C480" s="39" t="s">
        <v>722</v>
      </c>
      <c r="D480" s="39"/>
      <c r="E480" t="s">
        <v>214</v>
      </c>
    </row>
    <row r="481" spans="1:5" x14ac:dyDescent="0.2">
      <c r="A481" s="103"/>
      <c r="B481" s="110"/>
      <c r="C481" s="39" t="s">
        <v>723</v>
      </c>
      <c r="D481" s="39"/>
      <c r="E481" t="s">
        <v>214</v>
      </c>
    </row>
    <row r="482" spans="1:5" x14ac:dyDescent="0.2">
      <c r="A482" s="103"/>
      <c r="B482" s="110"/>
      <c r="C482" s="39" t="s">
        <v>724</v>
      </c>
      <c r="D482" s="39"/>
      <c r="E482" t="s">
        <v>214</v>
      </c>
    </row>
    <row r="483" spans="1:5" x14ac:dyDescent="0.2">
      <c r="A483" s="103"/>
      <c r="B483" s="110"/>
      <c r="C483" s="39" t="s">
        <v>725</v>
      </c>
      <c r="D483" s="39"/>
      <c r="E483" t="s">
        <v>214</v>
      </c>
    </row>
    <row r="484" spans="1:5" x14ac:dyDescent="0.2">
      <c r="A484" s="103"/>
      <c r="B484" s="110"/>
      <c r="C484" s="39" t="s">
        <v>726</v>
      </c>
      <c r="D484" s="39"/>
      <c r="E484" t="s">
        <v>214</v>
      </c>
    </row>
    <row r="485" spans="1:5" x14ac:dyDescent="0.2">
      <c r="A485" s="103"/>
      <c r="B485" s="110"/>
      <c r="C485" s="39" t="s">
        <v>727</v>
      </c>
      <c r="D485" s="39"/>
      <c r="E485" t="s">
        <v>214</v>
      </c>
    </row>
    <row r="486" spans="1:5" x14ac:dyDescent="0.2">
      <c r="A486" s="103"/>
      <c r="B486" s="110"/>
      <c r="C486" s="39" t="s">
        <v>728</v>
      </c>
      <c r="D486" s="39"/>
      <c r="E486" t="s">
        <v>214</v>
      </c>
    </row>
    <row r="487" spans="1:5" x14ac:dyDescent="0.2">
      <c r="A487" s="103"/>
      <c r="B487" s="110"/>
      <c r="C487" s="39" t="s">
        <v>729</v>
      </c>
      <c r="D487" s="39"/>
      <c r="E487" t="s">
        <v>214</v>
      </c>
    </row>
    <row r="488" spans="1:5" x14ac:dyDescent="0.2">
      <c r="A488" s="103"/>
      <c r="B488" s="110"/>
      <c r="C488" s="39" t="s">
        <v>730</v>
      </c>
      <c r="D488" s="39"/>
      <c r="E488" t="s">
        <v>214</v>
      </c>
    </row>
    <row r="489" spans="1:5" x14ac:dyDescent="0.2">
      <c r="A489" s="103"/>
      <c r="B489" s="110"/>
      <c r="C489" s="39" t="s">
        <v>314</v>
      </c>
      <c r="D489" s="39"/>
    </row>
    <row r="490" spans="1:5" x14ac:dyDescent="0.2">
      <c r="A490" s="103"/>
      <c r="B490" s="110"/>
      <c r="C490" s="39" t="s">
        <v>731</v>
      </c>
      <c r="D490" s="39"/>
    </row>
    <row r="491" spans="1:5" x14ac:dyDescent="0.2">
      <c r="A491" s="103"/>
      <c r="B491" s="110"/>
      <c r="C491" s="39" t="s">
        <v>732</v>
      </c>
      <c r="D491" s="39"/>
    </row>
    <row r="492" spans="1:5" x14ac:dyDescent="0.2">
      <c r="A492" s="103"/>
      <c r="B492" s="110"/>
      <c r="C492" s="39" t="s">
        <v>733</v>
      </c>
      <c r="D492" s="39"/>
    </row>
    <row r="493" spans="1:5" x14ac:dyDescent="0.2">
      <c r="A493" s="103"/>
      <c r="B493" s="110"/>
      <c r="C493" s="39" t="s">
        <v>734</v>
      </c>
      <c r="D493" s="39"/>
    </row>
    <row r="494" spans="1:5" x14ac:dyDescent="0.2">
      <c r="A494" s="103"/>
      <c r="B494" s="110"/>
      <c r="C494" s="39" t="s">
        <v>735</v>
      </c>
      <c r="D494" s="39"/>
    </row>
    <row r="495" spans="1:5" x14ac:dyDescent="0.2">
      <c r="A495" s="103"/>
      <c r="B495" s="110"/>
      <c r="C495" s="39" t="s">
        <v>736</v>
      </c>
      <c r="D495" s="39"/>
    </row>
    <row r="496" spans="1:5" x14ac:dyDescent="0.2">
      <c r="A496" s="103"/>
      <c r="B496" s="110"/>
      <c r="C496" s="39" t="s">
        <v>737</v>
      </c>
      <c r="D496" s="39"/>
    </row>
    <row r="497" spans="1:4" x14ac:dyDescent="0.2">
      <c r="A497" s="103"/>
      <c r="B497" s="110"/>
      <c r="C497" s="39" t="s">
        <v>738</v>
      </c>
      <c r="D497" s="39"/>
    </row>
    <row r="498" spans="1:4" x14ac:dyDescent="0.2">
      <c r="A498" s="105"/>
      <c r="B498" s="111"/>
      <c r="C498" s="39" t="s">
        <v>569</v>
      </c>
      <c r="D498" s="39"/>
    </row>
    <row r="499" spans="1:4" x14ac:dyDescent="0.2">
      <c r="A499" s="107"/>
      <c r="B499" s="112" t="s">
        <v>739</v>
      </c>
      <c r="C499" s="37" t="s">
        <v>440</v>
      </c>
      <c r="D499" s="37"/>
    </row>
    <row r="500" spans="1:4" x14ac:dyDescent="0.2">
      <c r="A500" s="108"/>
      <c r="B500" s="112"/>
      <c r="C500" s="37" t="s">
        <v>740</v>
      </c>
      <c r="D500" s="37"/>
    </row>
    <row r="501" spans="1:4" x14ac:dyDescent="0.2">
      <c r="A501" s="108"/>
      <c r="B501" s="112"/>
      <c r="C501" s="37" t="s">
        <v>741</v>
      </c>
      <c r="D501" s="37"/>
    </row>
    <row r="502" spans="1:4" x14ac:dyDescent="0.2">
      <c r="A502" s="108"/>
      <c r="B502" s="112"/>
      <c r="C502" s="37" t="s">
        <v>742</v>
      </c>
      <c r="D502" s="37"/>
    </row>
    <row r="503" spans="1:4" x14ac:dyDescent="0.2">
      <c r="A503" s="108"/>
      <c r="B503" s="112"/>
      <c r="C503" s="37" t="s">
        <v>743</v>
      </c>
      <c r="D503" s="37"/>
    </row>
    <row r="504" spans="1:4" x14ac:dyDescent="0.2">
      <c r="A504" s="108"/>
      <c r="B504" s="112"/>
      <c r="C504" s="37" t="s">
        <v>744</v>
      </c>
      <c r="D504" s="37"/>
    </row>
    <row r="505" spans="1:4" x14ac:dyDescent="0.2">
      <c r="A505" s="108"/>
      <c r="B505" s="112"/>
      <c r="C505" s="37" t="s">
        <v>745</v>
      </c>
      <c r="D505" s="37"/>
    </row>
    <row r="506" spans="1:4" x14ac:dyDescent="0.2">
      <c r="A506" s="108"/>
      <c r="B506" s="112"/>
      <c r="C506" s="37" t="s">
        <v>746</v>
      </c>
      <c r="D506" s="37"/>
    </row>
    <row r="507" spans="1:4" x14ac:dyDescent="0.2">
      <c r="A507" s="108"/>
      <c r="B507" s="112"/>
      <c r="C507" s="37" t="s">
        <v>747</v>
      </c>
      <c r="D507" s="37"/>
    </row>
    <row r="508" spans="1:4" x14ac:dyDescent="0.2">
      <c r="A508" s="108"/>
      <c r="B508" s="112"/>
      <c r="C508" s="37" t="s">
        <v>748</v>
      </c>
      <c r="D508" s="37"/>
    </row>
    <row r="509" spans="1:4" x14ac:dyDescent="0.2">
      <c r="A509" s="108"/>
      <c r="B509" s="112"/>
      <c r="C509" s="37" t="s">
        <v>749</v>
      </c>
      <c r="D509" s="37"/>
    </row>
    <row r="510" spans="1:4" x14ac:dyDescent="0.2">
      <c r="A510" s="108"/>
      <c r="B510" s="112"/>
      <c r="C510" s="37" t="s">
        <v>750</v>
      </c>
      <c r="D510" s="37"/>
    </row>
    <row r="511" spans="1:4" x14ac:dyDescent="0.2">
      <c r="A511" s="108"/>
      <c r="B511" s="112"/>
      <c r="C511" s="37" t="s">
        <v>751</v>
      </c>
      <c r="D511" s="37"/>
    </row>
    <row r="512" spans="1:4" x14ac:dyDescent="0.2">
      <c r="A512" s="108"/>
      <c r="B512" s="112"/>
      <c r="C512" s="37" t="s">
        <v>485</v>
      </c>
      <c r="D512" s="37"/>
    </row>
    <row r="513" spans="1:4" x14ac:dyDescent="0.2">
      <c r="A513" s="108"/>
      <c r="B513" s="112"/>
      <c r="C513" s="37" t="s">
        <v>314</v>
      </c>
      <c r="D513" s="37"/>
    </row>
    <row r="514" spans="1:4" x14ac:dyDescent="0.2">
      <c r="A514" s="103"/>
      <c r="B514" s="48" t="s">
        <v>752</v>
      </c>
      <c r="C514" s="39" t="s">
        <v>338</v>
      </c>
      <c r="D514" s="39"/>
    </row>
    <row r="515" spans="1:4" x14ac:dyDescent="0.2">
      <c r="A515" s="105"/>
      <c r="B515" s="50"/>
      <c r="C515" s="39" t="s">
        <v>339</v>
      </c>
      <c r="D515" s="39"/>
    </row>
    <row r="516" spans="1:4" x14ac:dyDescent="0.2">
      <c r="A516" s="108"/>
      <c r="B516" s="112" t="s">
        <v>98</v>
      </c>
      <c r="C516" s="37" t="s">
        <v>753</v>
      </c>
      <c r="D516" s="37"/>
    </row>
    <row r="517" spans="1:4" x14ac:dyDescent="0.2">
      <c r="A517" s="108"/>
      <c r="B517" s="112"/>
      <c r="C517" s="37" t="s">
        <v>754</v>
      </c>
      <c r="D517" s="37"/>
    </row>
    <row r="518" spans="1:4" x14ac:dyDescent="0.2">
      <c r="A518" s="108"/>
      <c r="B518" s="112"/>
      <c r="C518" s="37" t="s">
        <v>755</v>
      </c>
      <c r="D518" s="37"/>
    </row>
    <row r="519" spans="1:4" x14ac:dyDescent="0.2">
      <c r="A519" s="108"/>
      <c r="B519" s="112"/>
      <c r="C519" s="37" t="s">
        <v>756</v>
      </c>
      <c r="D519" s="37"/>
    </row>
    <row r="520" spans="1:4" x14ac:dyDescent="0.2">
      <c r="A520" s="84"/>
      <c r="B520" s="48" t="s">
        <v>161</v>
      </c>
      <c r="C520" s="39" t="s">
        <v>757</v>
      </c>
      <c r="D520" s="39"/>
    </row>
    <row r="521" spans="1:4" x14ac:dyDescent="0.2">
      <c r="A521" s="57"/>
      <c r="B521" s="49"/>
      <c r="C521" s="39" t="s">
        <v>758</v>
      </c>
      <c r="D521" s="39"/>
    </row>
    <row r="522" spans="1:4" x14ac:dyDescent="0.2">
      <c r="A522" s="57"/>
      <c r="B522" s="49"/>
      <c r="C522" s="39" t="s">
        <v>759</v>
      </c>
      <c r="D522" s="39"/>
    </row>
    <row r="523" spans="1:4" x14ac:dyDescent="0.2">
      <c r="A523" s="57"/>
      <c r="B523" s="49"/>
      <c r="C523" s="39" t="s">
        <v>760</v>
      </c>
      <c r="D523" s="39"/>
    </row>
    <row r="524" spans="1:4" x14ac:dyDescent="0.2">
      <c r="A524" s="57"/>
      <c r="B524" s="49"/>
      <c r="C524" s="39" t="s">
        <v>761</v>
      </c>
      <c r="D524" s="39"/>
    </row>
    <row r="525" spans="1:4" x14ac:dyDescent="0.2">
      <c r="A525" s="57"/>
      <c r="B525" s="49"/>
      <c r="C525" s="39" t="s">
        <v>762</v>
      </c>
      <c r="D525" s="39"/>
    </row>
    <row r="526" spans="1:4" x14ac:dyDescent="0.2">
      <c r="A526" s="57"/>
      <c r="B526" s="49"/>
      <c r="C526" s="39" t="s">
        <v>763</v>
      </c>
      <c r="D526" s="39"/>
    </row>
    <row r="527" spans="1:4" x14ac:dyDescent="0.2">
      <c r="A527" s="57"/>
      <c r="B527" s="49"/>
      <c r="C527" s="39" t="s">
        <v>764</v>
      </c>
      <c r="D527" s="39"/>
    </row>
    <row r="528" spans="1:4" x14ac:dyDescent="0.2">
      <c r="A528" s="57"/>
      <c r="B528" s="49"/>
      <c r="C528" s="39" t="s">
        <v>765</v>
      </c>
      <c r="D528" s="39"/>
    </row>
    <row r="529" spans="1:4" x14ac:dyDescent="0.2">
      <c r="A529" s="57"/>
      <c r="B529" s="49"/>
      <c r="C529" s="39" t="s">
        <v>748</v>
      </c>
      <c r="D529" s="39"/>
    </row>
    <row r="530" spans="1:4" x14ac:dyDescent="0.2">
      <c r="A530" s="98"/>
      <c r="B530" s="49"/>
      <c r="C530" s="39" t="s">
        <v>766</v>
      </c>
      <c r="D530" s="39"/>
    </row>
    <row r="531" spans="1:4" ht="15" x14ac:dyDescent="0.25">
      <c r="A531" s="57"/>
      <c r="B531" s="49"/>
      <c r="C531" s="39" t="s">
        <v>767</v>
      </c>
      <c r="D531" s="39" t="s">
        <v>768</v>
      </c>
    </row>
    <row r="532" spans="1:4" ht="15" x14ac:dyDescent="0.25">
      <c r="A532" s="57"/>
      <c r="B532" s="49"/>
      <c r="C532" s="39" t="s">
        <v>769</v>
      </c>
      <c r="D532" s="39" t="s">
        <v>768</v>
      </c>
    </row>
    <row r="533" spans="1:4" ht="15" x14ac:dyDescent="0.25">
      <c r="A533" s="57"/>
      <c r="B533" s="49"/>
      <c r="C533" s="39" t="s">
        <v>770</v>
      </c>
      <c r="D533" s="39" t="s">
        <v>768</v>
      </c>
    </row>
    <row r="534" spans="1:4" x14ac:dyDescent="0.2">
      <c r="A534" s="57"/>
      <c r="B534" s="49"/>
      <c r="C534" s="39" t="s">
        <v>771</v>
      </c>
      <c r="D534" s="39"/>
    </row>
    <row r="535" spans="1:4" x14ac:dyDescent="0.2">
      <c r="A535" s="57"/>
      <c r="B535" s="49"/>
      <c r="C535" s="39" t="s">
        <v>772</v>
      </c>
      <c r="D535" s="39"/>
    </row>
    <row r="536" spans="1:4" x14ac:dyDescent="0.2">
      <c r="A536" s="57"/>
      <c r="B536" s="49"/>
      <c r="C536" s="39" t="s">
        <v>36</v>
      </c>
      <c r="D536" s="39"/>
    </row>
    <row r="537" spans="1:4" x14ac:dyDescent="0.2">
      <c r="A537" s="57"/>
      <c r="B537" s="49"/>
      <c r="C537" s="39" t="s">
        <v>773</v>
      </c>
      <c r="D537" s="39"/>
    </row>
    <row r="538" spans="1:4" x14ac:dyDescent="0.2">
      <c r="A538" s="57"/>
      <c r="B538" s="49"/>
      <c r="C538" s="39" t="s">
        <v>774</v>
      </c>
      <c r="D538" s="39"/>
    </row>
    <row r="539" spans="1:4" x14ac:dyDescent="0.2">
      <c r="A539" s="57"/>
      <c r="B539" s="49"/>
      <c r="C539" s="39" t="s">
        <v>775</v>
      </c>
      <c r="D539" s="39"/>
    </row>
    <row r="540" spans="1:4" x14ac:dyDescent="0.2">
      <c r="A540" s="57"/>
      <c r="B540" s="49"/>
      <c r="C540" s="39" t="s">
        <v>776</v>
      </c>
      <c r="D540" s="39"/>
    </row>
    <row r="541" spans="1:4" x14ac:dyDescent="0.2">
      <c r="A541" s="57"/>
      <c r="B541" s="49"/>
      <c r="C541" s="39" t="s">
        <v>777</v>
      </c>
      <c r="D541" s="39"/>
    </row>
    <row r="542" spans="1:4" x14ac:dyDescent="0.2">
      <c r="A542" s="57"/>
      <c r="B542" s="49"/>
      <c r="C542" s="39" t="s">
        <v>485</v>
      </c>
      <c r="D542" s="39"/>
    </row>
    <row r="543" spans="1:4" x14ac:dyDescent="0.2">
      <c r="A543" s="57"/>
      <c r="B543" s="49"/>
      <c r="C543" s="39" t="s">
        <v>314</v>
      </c>
      <c r="D543" s="40"/>
    </row>
    <row r="544" spans="1:4" x14ac:dyDescent="0.2">
      <c r="A544" s="60"/>
      <c r="B544" s="41" t="s">
        <v>165</v>
      </c>
      <c r="C544" s="37" t="s">
        <v>338</v>
      </c>
      <c r="D544" s="37"/>
    </row>
    <row r="545" spans="1:4" x14ac:dyDescent="0.2">
      <c r="A545" s="61"/>
      <c r="B545" s="85"/>
      <c r="C545" s="37" t="s">
        <v>339</v>
      </c>
      <c r="D545" s="37"/>
    </row>
    <row r="546" spans="1:4" x14ac:dyDescent="0.2">
      <c r="A546" s="57"/>
      <c r="B546" s="48" t="s">
        <v>166</v>
      </c>
      <c r="C546" s="39" t="s">
        <v>778</v>
      </c>
      <c r="D546" s="39"/>
    </row>
    <row r="547" spans="1:4" x14ac:dyDescent="0.2">
      <c r="A547" s="57"/>
      <c r="B547" s="49"/>
      <c r="C547" s="39" t="s">
        <v>779</v>
      </c>
      <c r="D547" s="39"/>
    </row>
    <row r="548" spans="1:4" x14ac:dyDescent="0.2">
      <c r="A548" s="57"/>
      <c r="B548" s="49"/>
      <c r="C548" s="39" t="s">
        <v>780</v>
      </c>
      <c r="D548" s="39"/>
    </row>
    <row r="549" spans="1:4" x14ac:dyDescent="0.2">
      <c r="A549" s="57"/>
      <c r="B549" s="49"/>
      <c r="C549" s="39" t="s">
        <v>781</v>
      </c>
      <c r="D549" s="39"/>
    </row>
    <row r="550" spans="1:4" x14ac:dyDescent="0.2">
      <c r="A550" s="57"/>
      <c r="B550" s="49"/>
      <c r="C550" s="39" t="s">
        <v>782</v>
      </c>
      <c r="D550" s="39"/>
    </row>
    <row r="551" spans="1:4" x14ac:dyDescent="0.2">
      <c r="A551" s="60"/>
      <c r="B551" s="41" t="s">
        <v>168</v>
      </c>
      <c r="C551" s="37" t="s">
        <v>338</v>
      </c>
      <c r="D551" s="37"/>
    </row>
    <row r="552" spans="1:4" x14ac:dyDescent="0.2">
      <c r="A552" s="61"/>
      <c r="B552" s="85"/>
      <c r="C552" s="37" t="s">
        <v>339</v>
      </c>
      <c r="D552" s="37"/>
    </row>
    <row r="553" spans="1:4" x14ac:dyDescent="0.2">
      <c r="A553" s="45"/>
      <c r="B553" s="48" t="s">
        <v>783</v>
      </c>
      <c r="C553" s="39" t="s">
        <v>784</v>
      </c>
      <c r="D553" s="39"/>
    </row>
    <row r="554" spans="1:4" x14ac:dyDescent="0.2">
      <c r="A554" s="46"/>
      <c r="B554" s="46"/>
      <c r="C554" s="39" t="s">
        <v>785</v>
      </c>
      <c r="D554" s="39"/>
    </row>
    <row r="555" spans="1:4" x14ac:dyDescent="0.2">
      <c r="A555" s="46"/>
      <c r="B555" s="46"/>
      <c r="C555" s="39" t="s">
        <v>786</v>
      </c>
      <c r="D555" s="39"/>
    </row>
    <row r="556" spans="1:4" x14ac:dyDescent="0.2">
      <c r="A556" s="46"/>
      <c r="B556" s="46"/>
      <c r="C556" s="39" t="s">
        <v>787</v>
      </c>
      <c r="D556" s="39"/>
    </row>
    <row r="557" spans="1:4" x14ac:dyDescent="0.2">
      <c r="A557" s="46"/>
      <c r="B557" s="46"/>
      <c r="C557" s="39" t="s">
        <v>788</v>
      </c>
      <c r="D557" s="39"/>
    </row>
    <row r="558" spans="1:4" x14ac:dyDescent="0.2">
      <c r="A558" s="46"/>
      <c r="B558" s="46"/>
      <c r="C558" s="39" t="s">
        <v>789</v>
      </c>
      <c r="D558" s="39"/>
    </row>
    <row r="559" spans="1:4" x14ac:dyDescent="0.2">
      <c r="A559" s="46"/>
      <c r="B559" s="46"/>
      <c r="C559" s="39" t="s">
        <v>790</v>
      </c>
      <c r="D559" s="39"/>
    </row>
    <row r="560" spans="1:4" x14ac:dyDescent="0.2">
      <c r="A560" s="46"/>
      <c r="B560" s="46"/>
      <c r="C560" s="39" t="s">
        <v>791</v>
      </c>
      <c r="D560" s="39"/>
    </row>
    <row r="561" spans="1:4" x14ac:dyDescent="0.2">
      <c r="A561" s="46"/>
      <c r="B561" s="46"/>
      <c r="C561" s="39" t="s">
        <v>792</v>
      </c>
      <c r="D561" s="39"/>
    </row>
    <row r="562" spans="1:4" x14ac:dyDescent="0.2">
      <c r="A562" s="46"/>
      <c r="B562" s="46"/>
      <c r="C562" s="39" t="s">
        <v>793</v>
      </c>
      <c r="D562" s="39"/>
    </row>
    <row r="563" spans="1:4" x14ac:dyDescent="0.2">
      <c r="A563" s="46"/>
      <c r="B563" s="46"/>
      <c r="C563" s="39" t="s">
        <v>794</v>
      </c>
      <c r="D563" s="39"/>
    </row>
    <row r="564" spans="1:4" x14ac:dyDescent="0.2">
      <c r="A564" s="46"/>
      <c r="B564" s="46"/>
      <c r="C564" s="39" t="s">
        <v>795</v>
      </c>
      <c r="D564" s="39"/>
    </row>
    <row r="565" spans="1:4" x14ac:dyDescent="0.2">
      <c r="A565" s="46"/>
      <c r="B565" s="46"/>
      <c r="C565" s="39" t="s">
        <v>796</v>
      </c>
      <c r="D565" s="39"/>
    </row>
    <row r="566" spans="1:4" x14ac:dyDescent="0.2">
      <c r="A566" s="46"/>
      <c r="B566" s="46"/>
      <c r="C566" s="39" t="s">
        <v>797</v>
      </c>
      <c r="D566" s="39"/>
    </row>
    <row r="567" spans="1:4" x14ac:dyDescent="0.2">
      <c r="A567" s="46"/>
      <c r="B567" s="46"/>
      <c r="C567" s="39" t="s">
        <v>798</v>
      </c>
      <c r="D567" s="39"/>
    </row>
    <row r="568" spans="1:4" x14ac:dyDescent="0.2">
      <c r="A568" s="46"/>
      <c r="B568" s="46"/>
      <c r="C568" s="39" t="s">
        <v>799</v>
      </c>
      <c r="D568" s="39"/>
    </row>
    <row r="569" spans="1:4" x14ac:dyDescent="0.2">
      <c r="A569" s="46"/>
      <c r="B569" s="46"/>
      <c r="C569" s="39" t="s">
        <v>800</v>
      </c>
      <c r="D569" s="39"/>
    </row>
    <row r="570" spans="1:4" x14ac:dyDescent="0.2">
      <c r="A570" s="46"/>
      <c r="B570" s="46"/>
      <c r="C570" s="39" t="s">
        <v>801</v>
      </c>
      <c r="D570" s="39"/>
    </row>
    <row r="571" spans="1:4" x14ac:dyDescent="0.2">
      <c r="A571" s="46"/>
      <c r="B571" s="46"/>
      <c r="C571" s="39" t="s">
        <v>802</v>
      </c>
      <c r="D571" s="39"/>
    </row>
    <row r="572" spans="1:4" x14ac:dyDescent="0.2">
      <c r="A572" s="46"/>
      <c r="B572" s="46"/>
      <c r="C572" s="39" t="s">
        <v>803</v>
      </c>
      <c r="D572" s="39"/>
    </row>
    <row r="573" spans="1:4" x14ac:dyDescent="0.2">
      <c r="A573" s="46"/>
      <c r="B573" s="46"/>
      <c r="C573" s="39" t="s">
        <v>804</v>
      </c>
      <c r="D573" s="39"/>
    </row>
    <row r="574" spans="1:4" x14ac:dyDescent="0.2">
      <c r="A574" s="46"/>
      <c r="B574" s="46"/>
      <c r="C574" s="39" t="s">
        <v>805</v>
      </c>
      <c r="D574" s="39"/>
    </row>
    <row r="575" spans="1:4" x14ac:dyDescent="0.2">
      <c r="A575" s="46"/>
      <c r="B575" s="46"/>
      <c r="C575" s="39" t="s">
        <v>806</v>
      </c>
      <c r="D575" s="39"/>
    </row>
    <row r="576" spans="1:4" x14ac:dyDescent="0.2">
      <c r="A576" s="46"/>
      <c r="B576" s="46"/>
      <c r="C576" s="39" t="s">
        <v>807</v>
      </c>
      <c r="D576" s="39"/>
    </row>
    <row r="577" spans="1:5" x14ac:dyDescent="0.2">
      <c r="A577" s="46"/>
      <c r="B577" s="46"/>
      <c r="C577" s="39" t="s">
        <v>808</v>
      </c>
      <c r="D577" s="39"/>
    </row>
    <row r="578" spans="1:5" x14ac:dyDescent="0.2">
      <c r="A578" s="46"/>
      <c r="B578" s="46"/>
      <c r="C578" s="39" t="s">
        <v>809</v>
      </c>
      <c r="D578" s="39"/>
    </row>
    <row r="579" spans="1:5" x14ac:dyDescent="0.2">
      <c r="A579" s="46"/>
      <c r="B579" s="46"/>
      <c r="C579" s="39" t="s">
        <v>810</v>
      </c>
      <c r="D579" s="39"/>
    </row>
    <row r="580" spans="1:5" x14ac:dyDescent="0.2">
      <c r="A580" s="46"/>
      <c r="B580" s="46"/>
      <c r="C580" s="39" t="s">
        <v>811</v>
      </c>
      <c r="D580" s="39"/>
      <c r="E580" t="s">
        <v>214</v>
      </c>
    </row>
    <row r="581" spans="1:5" x14ac:dyDescent="0.2">
      <c r="A581" s="46"/>
      <c r="B581" s="46"/>
      <c r="C581" s="39" t="s">
        <v>812</v>
      </c>
      <c r="D581" s="39"/>
      <c r="E581" t="s">
        <v>214</v>
      </c>
    </row>
    <row r="582" spans="1:5" x14ac:dyDescent="0.2">
      <c r="A582" s="46"/>
      <c r="B582" s="46"/>
      <c r="C582" s="39" t="s">
        <v>813</v>
      </c>
      <c r="D582" s="39"/>
    </row>
    <row r="583" spans="1:5" x14ac:dyDescent="0.2">
      <c r="A583" s="46"/>
      <c r="B583" s="46"/>
      <c r="C583" s="39" t="s">
        <v>814</v>
      </c>
      <c r="D583" s="39"/>
    </row>
    <row r="584" spans="1:5" x14ac:dyDescent="0.2">
      <c r="A584" s="46"/>
      <c r="B584" s="46"/>
      <c r="C584" s="39" t="s">
        <v>815</v>
      </c>
      <c r="D584" s="39"/>
    </row>
    <row r="585" spans="1:5" x14ac:dyDescent="0.2">
      <c r="A585" s="46"/>
      <c r="B585" s="46"/>
      <c r="C585" s="39" t="s">
        <v>816</v>
      </c>
      <c r="D585" s="39"/>
    </row>
    <row r="586" spans="1:5" x14ac:dyDescent="0.2">
      <c r="A586" s="46"/>
      <c r="B586" s="46"/>
      <c r="C586" s="39" t="s">
        <v>817</v>
      </c>
      <c r="D586" s="39"/>
    </row>
    <row r="587" spans="1:5" x14ac:dyDescent="0.2">
      <c r="A587" s="46"/>
      <c r="B587" s="46"/>
      <c r="C587" s="39" t="s">
        <v>818</v>
      </c>
      <c r="D587" s="39"/>
    </row>
    <row r="588" spans="1:5" x14ac:dyDescent="0.2">
      <c r="A588" s="46"/>
      <c r="B588" s="46"/>
      <c r="C588" s="39" t="s">
        <v>819</v>
      </c>
      <c r="D588" s="39"/>
    </row>
    <row r="589" spans="1:5" x14ac:dyDescent="0.2">
      <c r="A589" s="46"/>
      <c r="B589" s="46"/>
      <c r="C589" s="39" t="s">
        <v>820</v>
      </c>
      <c r="D589" s="39"/>
    </row>
    <row r="590" spans="1:5" x14ac:dyDescent="0.2">
      <c r="A590" s="46"/>
      <c r="B590" s="46"/>
      <c r="C590" s="39" t="s">
        <v>821</v>
      </c>
      <c r="D590" s="39"/>
    </row>
    <row r="591" spans="1:5" x14ac:dyDescent="0.2">
      <c r="A591" s="47"/>
      <c r="B591" s="47"/>
      <c r="C591" s="39" t="s">
        <v>822</v>
      </c>
      <c r="D591" s="39"/>
    </row>
    <row r="592" spans="1:5" x14ac:dyDescent="0.2">
      <c r="A592" s="108"/>
      <c r="B592" s="112" t="s">
        <v>159</v>
      </c>
      <c r="C592" s="37" t="s">
        <v>823</v>
      </c>
      <c r="D592" s="37"/>
    </row>
    <row r="593" spans="1:4" x14ac:dyDescent="0.2">
      <c r="A593" s="108"/>
      <c r="B593" s="112"/>
      <c r="C593" s="37" t="s">
        <v>824</v>
      </c>
      <c r="D593" s="37"/>
    </row>
    <row r="594" spans="1:4" x14ac:dyDescent="0.2">
      <c r="A594" s="108"/>
      <c r="B594" s="112"/>
      <c r="C594" s="37" t="s">
        <v>314</v>
      </c>
      <c r="D594" s="37"/>
    </row>
    <row r="595" spans="1:4" x14ac:dyDescent="0.2">
      <c r="A595" s="48"/>
      <c r="B595" s="51" t="s">
        <v>87</v>
      </c>
      <c r="C595" s="39" t="s">
        <v>338</v>
      </c>
      <c r="D595" s="39"/>
    </row>
    <row r="596" spans="1:4" x14ac:dyDescent="0.2">
      <c r="A596" s="86"/>
      <c r="B596" s="88"/>
      <c r="C596" s="87" t="s">
        <v>339</v>
      </c>
      <c r="D596" s="39"/>
    </row>
    <row r="597" spans="1:4" x14ac:dyDescent="0.2">
      <c r="A597" s="107"/>
      <c r="B597" s="107" t="s">
        <v>114</v>
      </c>
      <c r="C597" s="37" t="s">
        <v>825</v>
      </c>
      <c r="D597" s="37"/>
    </row>
    <row r="598" spans="1:4" x14ac:dyDescent="0.2">
      <c r="A598" s="108"/>
      <c r="B598" s="108"/>
      <c r="C598" s="37" t="s">
        <v>826</v>
      </c>
      <c r="D598" s="37"/>
    </row>
    <row r="599" spans="1:4" x14ac:dyDescent="0.2">
      <c r="A599" s="108"/>
      <c r="B599" s="108"/>
      <c r="C599" s="37" t="s">
        <v>827</v>
      </c>
      <c r="D599" s="37"/>
    </row>
    <row r="600" spans="1:4" x14ac:dyDescent="0.2">
      <c r="A600" s="108"/>
      <c r="B600" s="108"/>
      <c r="C600" s="37" t="s">
        <v>828</v>
      </c>
      <c r="D600" s="37"/>
    </row>
    <row r="601" spans="1:4" x14ac:dyDescent="0.2">
      <c r="A601" s="108"/>
      <c r="B601" s="108"/>
      <c r="C601" s="37" t="s">
        <v>829</v>
      </c>
      <c r="D601" s="37"/>
    </row>
    <row r="602" spans="1:4" x14ac:dyDescent="0.2">
      <c r="A602" s="108"/>
      <c r="B602" s="108"/>
      <c r="C602" s="37" t="s">
        <v>830</v>
      </c>
      <c r="D602" s="37"/>
    </row>
    <row r="603" spans="1:4" x14ac:dyDescent="0.2">
      <c r="A603" s="108"/>
      <c r="B603" s="108"/>
      <c r="C603" s="37" t="s">
        <v>831</v>
      </c>
      <c r="D603" s="37"/>
    </row>
    <row r="604" spans="1:4" x14ac:dyDescent="0.2">
      <c r="A604" s="108"/>
      <c r="B604" s="108"/>
      <c r="C604" s="37" t="s">
        <v>832</v>
      </c>
      <c r="D604" s="37"/>
    </row>
    <row r="605" spans="1:4" x14ac:dyDescent="0.2">
      <c r="A605" s="108"/>
      <c r="B605" s="108"/>
      <c r="C605" s="37" t="s">
        <v>833</v>
      </c>
      <c r="D605" s="37"/>
    </row>
    <row r="606" spans="1:4" x14ac:dyDescent="0.2">
      <c r="A606" s="108"/>
      <c r="B606" s="108"/>
      <c r="C606" s="37" t="s">
        <v>834</v>
      </c>
      <c r="D606" s="37"/>
    </row>
    <row r="607" spans="1:4" x14ac:dyDescent="0.2">
      <c r="A607" s="108"/>
      <c r="B607" s="108"/>
      <c r="C607" s="37" t="s">
        <v>835</v>
      </c>
      <c r="D607" s="37"/>
    </row>
    <row r="608" spans="1:4" x14ac:dyDescent="0.2">
      <c r="A608" s="108"/>
      <c r="B608" s="108"/>
      <c r="C608" s="37" t="s">
        <v>836</v>
      </c>
      <c r="D608" s="37"/>
    </row>
    <row r="609" spans="1:5" x14ac:dyDescent="0.2">
      <c r="A609" s="108"/>
      <c r="B609" s="108"/>
      <c r="C609" s="37" t="s">
        <v>837</v>
      </c>
      <c r="D609" s="37"/>
    </row>
    <row r="610" spans="1:5" x14ac:dyDescent="0.2">
      <c r="A610" s="108"/>
      <c r="B610" s="108"/>
      <c r="C610" s="37" t="s">
        <v>838</v>
      </c>
      <c r="D610" s="37"/>
    </row>
    <row r="611" spans="1:5" x14ac:dyDescent="0.2">
      <c r="A611" s="108"/>
      <c r="B611" s="108"/>
      <c r="C611" s="37" t="s">
        <v>839</v>
      </c>
      <c r="D611" s="37"/>
    </row>
    <row r="612" spans="1:5" x14ac:dyDescent="0.2">
      <c r="A612" s="108"/>
      <c r="B612" s="108"/>
      <c r="C612" s="37" t="s">
        <v>840</v>
      </c>
      <c r="D612" s="37"/>
    </row>
    <row r="613" spans="1:5" x14ac:dyDescent="0.2">
      <c r="A613" s="108"/>
      <c r="B613" s="108"/>
      <c r="C613" s="37" t="s">
        <v>841</v>
      </c>
      <c r="D613" s="37"/>
    </row>
    <row r="614" spans="1:5" x14ac:dyDescent="0.2">
      <c r="A614" s="108"/>
      <c r="B614" s="108"/>
      <c r="C614" s="37" t="s">
        <v>842</v>
      </c>
      <c r="D614" s="37"/>
    </row>
    <row r="615" spans="1:5" x14ac:dyDescent="0.2">
      <c r="A615" s="108"/>
      <c r="B615" s="108"/>
      <c r="C615" s="37" t="s">
        <v>843</v>
      </c>
      <c r="D615" s="37"/>
    </row>
    <row r="616" spans="1:5" x14ac:dyDescent="0.2">
      <c r="A616" s="108"/>
      <c r="B616" s="108"/>
      <c r="C616" s="37" t="s">
        <v>844</v>
      </c>
      <c r="D616" s="37"/>
    </row>
    <row r="617" spans="1:5" x14ac:dyDescent="0.2">
      <c r="A617" s="108"/>
      <c r="B617" s="108"/>
      <c r="C617" s="37" t="s">
        <v>845</v>
      </c>
      <c r="D617" s="37"/>
    </row>
    <row r="618" spans="1:5" x14ac:dyDescent="0.2">
      <c r="A618" s="108"/>
      <c r="B618" s="108"/>
      <c r="C618" s="37" t="s">
        <v>846</v>
      </c>
      <c r="D618" s="37"/>
    </row>
    <row r="619" spans="1:5" x14ac:dyDescent="0.2">
      <c r="A619" s="108"/>
      <c r="B619" s="108"/>
      <c r="C619" s="37" t="s">
        <v>847</v>
      </c>
      <c r="D619" s="37"/>
    </row>
    <row r="620" spans="1:5" x14ac:dyDescent="0.2">
      <c r="A620" s="108"/>
      <c r="B620" s="108"/>
      <c r="C620" s="37" t="s">
        <v>569</v>
      </c>
      <c r="D620" s="37"/>
    </row>
    <row r="621" spans="1:5" x14ac:dyDescent="0.2">
      <c r="A621" s="108"/>
      <c r="B621" s="108"/>
      <c r="C621" s="37" t="s">
        <v>848</v>
      </c>
      <c r="D621" s="37"/>
      <c r="E621" t="s">
        <v>214</v>
      </c>
    </row>
    <row r="622" spans="1:5" x14ac:dyDescent="0.2">
      <c r="A622" s="48"/>
      <c r="B622" s="48" t="s">
        <v>177</v>
      </c>
      <c r="C622" s="39" t="s">
        <v>849</v>
      </c>
      <c r="D622" s="39"/>
    </row>
    <row r="623" spans="1:5" x14ac:dyDescent="0.2">
      <c r="A623" s="49"/>
      <c r="B623" s="49"/>
      <c r="C623" s="39" t="s">
        <v>850</v>
      </c>
      <c r="D623" s="39"/>
    </row>
    <row r="624" spans="1:5" x14ac:dyDescent="0.2">
      <c r="A624" s="49"/>
      <c r="B624" s="49"/>
      <c r="C624" s="39" t="s">
        <v>851</v>
      </c>
      <c r="D624" s="39"/>
    </row>
    <row r="625" spans="1:5" x14ac:dyDescent="0.2">
      <c r="A625" s="49"/>
      <c r="B625" s="49"/>
      <c r="C625" s="39" t="s">
        <v>852</v>
      </c>
      <c r="D625" s="39"/>
    </row>
    <row r="626" spans="1:5" x14ac:dyDescent="0.2">
      <c r="A626" s="49"/>
      <c r="B626" s="49"/>
      <c r="C626" s="39" t="s">
        <v>853</v>
      </c>
      <c r="D626" s="39"/>
      <c r="E626" t="s">
        <v>214</v>
      </c>
    </row>
    <row r="627" spans="1:5" x14ac:dyDescent="0.2">
      <c r="A627" s="49"/>
      <c r="B627" s="49"/>
      <c r="C627" s="39" t="s">
        <v>854</v>
      </c>
      <c r="D627" s="39"/>
    </row>
    <row r="628" spans="1:5" x14ac:dyDescent="0.2">
      <c r="A628" s="49"/>
      <c r="B628" s="49"/>
      <c r="C628" s="39" t="s">
        <v>855</v>
      </c>
      <c r="D628" s="39"/>
    </row>
    <row r="629" spans="1:5" x14ac:dyDescent="0.2">
      <c r="A629" s="49"/>
      <c r="B629" s="49"/>
      <c r="C629" s="39" t="s">
        <v>462</v>
      </c>
      <c r="D629" s="39"/>
    </row>
    <row r="630" spans="1:5" x14ac:dyDescent="0.2">
      <c r="A630" s="49"/>
      <c r="B630" s="49"/>
      <c r="C630" s="39" t="s">
        <v>856</v>
      </c>
      <c r="D630" s="39"/>
    </row>
    <row r="631" spans="1:5" x14ac:dyDescent="0.2">
      <c r="A631" s="49"/>
      <c r="B631" s="49"/>
      <c r="C631" s="39" t="s">
        <v>857</v>
      </c>
      <c r="D631" s="39"/>
    </row>
    <row r="632" spans="1:5" x14ac:dyDescent="0.2">
      <c r="A632" s="49"/>
      <c r="B632" s="49"/>
      <c r="C632" s="39" t="s">
        <v>858</v>
      </c>
      <c r="D632" s="39"/>
    </row>
    <row r="633" spans="1:5" x14ac:dyDescent="0.2">
      <c r="A633" s="50"/>
      <c r="B633" s="50"/>
      <c r="C633" s="39" t="s">
        <v>314</v>
      </c>
      <c r="D633" s="39"/>
    </row>
    <row r="634" spans="1:5" x14ac:dyDescent="0.2">
      <c r="A634" s="108"/>
      <c r="B634" s="112" t="s">
        <v>178</v>
      </c>
      <c r="C634" s="37" t="s">
        <v>859</v>
      </c>
      <c r="D634" s="37" t="s">
        <v>860</v>
      </c>
    </row>
    <row r="635" spans="1:5" x14ac:dyDescent="0.2">
      <c r="A635" s="108"/>
      <c r="B635" s="112"/>
      <c r="C635" s="37" t="s">
        <v>861</v>
      </c>
      <c r="D635" s="37" t="s">
        <v>862</v>
      </c>
    </row>
    <row r="636" spans="1:5" x14ac:dyDescent="0.2">
      <c r="A636" s="108"/>
      <c r="B636" s="112"/>
      <c r="C636" s="37" t="s">
        <v>863</v>
      </c>
      <c r="D636" s="37" t="s">
        <v>864</v>
      </c>
    </row>
    <row r="637" spans="1:5" x14ac:dyDescent="0.2">
      <c r="A637" s="108"/>
      <c r="B637" s="112"/>
      <c r="C637" s="37" t="s">
        <v>865</v>
      </c>
      <c r="D637" s="37" t="s">
        <v>866</v>
      </c>
    </row>
    <row r="638" spans="1:5" x14ac:dyDescent="0.2">
      <c r="A638" s="108"/>
      <c r="B638" s="112"/>
      <c r="C638" s="37" t="s">
        <v>867</v>
      </c>
      <c r="D638" s="37" t="s">
        <v>868</v>
      </c>
    </row>
    <row r="639" spans="1:5" x14ac:dyDescent="0.2">
      <c r="A639" s="108"/>
      <c r="B639" s="112"/>
      <c r="C639" s="37" t="s">
        <v>869</v>
      </c>
      <c r="D639" s="37" t="s">
        <v>870</v>
      </c>
    </row>
    <row r="640" spans="1:5" x14ac:dyDescent="0.2">
      <c r="A640" s="108"/>
      <c r="B640" s="112"/>
      <c r="C640" s="37" t="s">
        <v>871</v>
      </c>
      <c r="D640" s="37" t="s">
        <v>872</v>
      </c>
    </row>
    <row r="641" spans="1:4" x14ac:dyDescent="0.2">
      <c r="A641" s="108"/>
      <c r="B641" s="112"/>
      <c r="C641" s="37" t="s">
        <v>873</v>
      </c>
      <c r="D641" s="37" t="s">
        <v>873</v>
      </c>
    </row>
    <row r="642" spans="1:4" x14ac:dyDescent="0.2">
      <c r="A642" s="108"/>
      <c r="B642" s="112"/>
      <c r="C642" s="37" t="s">
        <v>314</v>
      </c>
      <c r="D642" s="37"/>
    </row>
    <row r="643" spans="1:4" x14ac:dyDescent="0.2">
      <c r="A643" s="109"/>
      <c r="B643" s="109" t="s">
        <v>874</v>
      </c>
      <c r="C643" s="39" t="s">
        <v>875</v>
      </c>
      <c r="D643" s="39" t="s">
        <v>876</v>
      </c>
    </row>
    <row r="644" spans="1:4" x14ac:dyDescent="0.2">
      <c r="A644" s="110"/>
      <c r="B644" s="110"/>
      <c r="C644" s="39" t="s">
        <v>877</v>
      </c>
      <c r="D644" s="39" t="s">
        <v>878</v>
      </c>
    </row>
    <row r="645" spans="1:4" x14ac:dyDescent="0.2">
      <c r="A645" s="110"/>
      <c r="B645" s="110"/>
      <c r="C645" s="39" t="s">
        <v>879</v>
      </c>
      <c r="D645" s="39" t="s">
        <v>880</v>
      </c>
    </row>
    <row r="646" spans="1:4" x14ac:dyDescent="0.2">
      <c r="A646" s="110"/>
      <c r="B646" s="110"/>
      <c r="C646" s="39" t="s">
        <v>881</v>
      </c>
      <c r="D646" s="39" t="s">
        <v>882</v>
      </c>
    </row>
    <row r="647" spans="1:4" x14ac:dyDescent="0.2">
      <c r="A647" s="110"/>
      <c r="B647" s="110"/>
      <c r="C647" s="39" t="s">
        <v>883</v>
      </c>
      <c r="D647" s="39"/>
    </row>
    <row r="648" spans="1:4" x14ac:dyDescent="0.2">
      <c r="A648" s="111"/>
      <c r="B648" s="111"/>
      <c r="C648" s="39" t="s">
        <v>314</v>
      </c>
      <c r="D648" s="39"/>
    </row>
    <row r="649" spans="1:4" x14ac:dyDescent="0.2">
      <c r="A649" s="108"/>
      <c r="B649" s="112" t="s">
        <v>103</v>
      </c>
      <c r="C649" s="37" t="s">
        <v>884</v>
      </c>
      <c r="D649" s="37"/>
    </row>
    <row r="650" spans="1:4" x14ac:dyDescent="0.2">
      <c r="A650" s="108"/>
      <c r="B650" s="112"/>
      <c r="C650" s="37" t="s">
        <v>885</v>
      </c>
      <c r="D650" s="37"/>
    </row>
    <row r="651" spans="1:4" x14ac:dyDescent="0.2">
      <c r="A651" s="108"/>
      <c r="B651" s="112"/>
      <c r="C651" s="37" t="s">
        <v>886</v>
      </c>
      <c r="D651" s="37"/>
    </row>
    <row r="652" spans="1:4" x14ac:dyDescent="0.2">
      <c r="A652" s="108"/>
      <c r="B652" s="112"/>
      <c r="C652" s="37" t="s">
        <v>887</v>
      </c>
      <c r="D652" s="37"/>
    </row>
    <row r="653" spans="1:4" x14ac:dyDescent="0.2">
      <c r="A653" s="108"/>
      <c r="B653" s="112"/>
      <c r="C653" s="37" t="s">
        <v>314</v>
      </c>
      <c r="D653" s="37"/>
    </row>
    <row r="654" spans="1:4" x14ac:dyDescent="0.2">
      <c r="A654" s="109"/>
      <c r="B654" s="109" t="s">
        <v>104</v>
      </c>
      <c r="C654" s="39" t="s">
        <v>888</v>
      </c>
      <c r="D654" s="39"/>
    </row>
    <row r="655" spans="1:4" x14ac:dyDescent="0.2">
      <c r="A655" s="110"/>
      <c r="B655" s="110"/>
      <c r="C655" s="39" t="s">
        <v>889</v>
      </c>
      <c r="D655" s="39"/>
    </row>
    <row r="656" spans="1:4" x14ac:dyDescent="0.2">
      <c r="A656" s="108"/>
      <c r="B656" s="112" t="s">
        <v>17</v>
      </c>
      <c r="C656" s="37" t="s">
        <v>15</v>
      </c>
      <c r="D656" s="37"/>
    </row>
    <row r="657" spans="1:6" x14ac:dyDescent="0.2">
      <c r="A657" s="108"/>
      <c r="B657" s="112"/>
      <c r="C657" s="37" t="s">
        <v>16</v>
      </c>
      <c r="D657" s="37"/>
    </row>
    <row r="658" spans="1:6" x14ac:dyDescent="0.2">
      <c r="A658" s="109"/>
      <c r="B658" s="109" t="s">
        <v>139</v>
      </c>
      <c r="C658" s="39" t="s">
        <v>890</v>
      </c>
      <c r="D658" s="39"/>
    </row>
    <row r="659" spans="1:6" x14ac:dyDescent="0.2">
      <c r="A659" s="110"/>
      <c r="B659" s="110"/>
      <c r="C659" s="39" t="s">
        <v>891</v>
      </c>
      <c r="D659" s="39"/>
    </row>
    <row r="660" spans="1:6" x14ac:dyDescent="0.2">
      <c r="A660" s="110"/>
      <c r="B660" s="110"/>
      <c r="C660" s="39" t="s">
        <v>892</v>
      </c>
      <c r="D660" s="39"/>
    </row>
    <row r="661" spans="1:6" x14ac:dyDescent="0.2">
      <c r="A661" s="110"/>
      <c r="B661" s="110"/>
      <c r="C661" s="39" t="s">
        <v>893</v>
      </c>
      <c r="D661" s="39"/>
    </row>
    <row r="662" spans="1:6" x14ac:dyDescent="0.2">
      <c r="A662" s="110"/>
      <c r="B662" s="110"/>
      <c r="C662" s="39" t="s">
        <v>894</v>
      </c>
      <c r="D662" s="39"/>
    </row>
    <row r="663" spans="1:6" x14ac:dyDescent="0.2">
      <c r="A663" s="110"/>
      <c r="B663" s="110"/>
      <c r="C663" s="39" t="s">
        <v>895</v>
      </c>
      <c r="D663" s="39"/>
    </row>
    <row r="664" spans="1:6" x14ac:dyDescent="0.2">
      <c r="A664" s="110"/>
      <c r="B664" s="110"/>
      <c r="C664" s="39" t="s">
        <v>314</v>
      </c>
      <c r="D664" s="39"/>
    </row>
    <row r="665" spans="1:6" x14ac:dyDescent="0.2">
      <c r="A665" s="111"/>
      <c r="B665" s="111"/>
      <c r="C665" s="39" t="s">
        <v>896</v>
      </c>
      <c r="D665" s="39"/>
    </row>
    <row r="666" spans="1:6" x14ac:dyDescent="0.2">
      <c r="A666" s="108"/>
      <c r="B666" s="112" t="s">
        <v>140</v>
      </c>
      <c r="C666" s="37" t="s">
        <v>897</v>
      </c>
      <c r="D666" s="37"/>
    </row>
    <row r="667" spans="1:6" x14ac:dyDescent="0.2">
      <c r="A667" s="108"/>
      <c r="B667" s="112"/>
      <c r="C667" s="37" t="s">
        <v>898</v>
      </c>
      <c r="D667" s="37"/>
      <c r="F667" s="7"/>
    </row>
    <row r="668" spans="1:6" x14ac:dyDescent="0.2">
      <c r="A668" s="109"/>
      <c r="B668" s="109" t="s">
        <v>85</v>
      </c>
      <c r="C668" s="39" t="s">
        <v>899</v>
      </c>
      <c r="D668" s="39"/>
    </row>
    <row r="669" spans="1:6" x14ac:dyDescent="0.2">
      <c r="A669" s="110"/>
      <c r="B669" s="110"/>
      <c r="C669" s="39" t="s">
        <v>900</v>
      </c>
      <c r="D669" s="39"/>
    </row>
    <row r="670" spans="1:6" x14ac:dyDescent="0.2">
      <c r="A670" s="110"/>
      <c r="B670" s="110"/>
      <c r="C670" s="39" t="s">
        <v>901</v>
      </c>
      <c r="D670" s="39"/>
    </row>
    <row r="671" spans="1:6" x14ac:dyDescent="0.2">
      <c r="A671" s="110"/>
      <c r="B671" s="110"/>
      <c r="C671" s="39" t="s">
        <v>902</v>
      </c>
      <c r="D671" s="39"/>
    </row>
    <row r="672" spans="1:6" x14ac:dyDescent="0.2">
      <c r="A672" s="110"/>
      <c r="B672" s="110"/>
      <c r="C672" s="39" t="s">
        <v>903</v>
      </c>
      <c r="D672" s="39"/>
    </row>
    <row r="673" spans="1:4" x14ac:dyDescent="0.2">
      <c r="A673" s="110"/>
      <c r="B673" s="110"/>
      <c r="C673" s="39" t="s">
        <v>904</v>
      </c>
      <c r="D673" s="39"/>
    </row>
    <row r="674" spans="1:4" x14ac:dyDescent="0.2">
      <c r="A674" s="110"/>
      <c r="B674" s="110"/>
      <c r="C674" s="39" t="s">
        <v>905</v>
      </c>
      <c r="D674" s="39"/>
    </row>
    <row r="675" spans="1:4" x14ac:dyDescent="0.2">
      <c r="A675" s="110"/>
      <c r="B675" s="110"/>
      <c r="C675" s="39" t="s">
        <v>906</v>
      </c>
      <c r="D675" s="39"/>
    </row>
    <row r="676" spans="1:4" x14ac:dyDescent="0.2">
      <c r="A676" s="110"/>
      <c r="B676" s="110"/>
      <c r="C676" s="39" t="s">
        <v>907</v>
      </c>
      <c r="D676" s="39"/>
    </row>
    <row r="677" spans="1:4" x14ac:dyDescent="0.2">
      <c r="A677" s="110"/>
      <c r="B677" s="110"/>
      <c r="C677" s="39" t="s">
        <v>908</v>
      </c>
      <c r="D677" s="39"/>
    </row>
    <row r="678" spans="1:4" x14ac:dyDescent="0.2">
      <c r="A678" s="110"/>
      <c r="B678" s="110"/>
      <c r="C678" s="39" t="s">
        <v>569</v>
      </c>
      <c r="D678" s="39"/>
    </row>
    <row r="679" spans="1:4" x14ac:dyDescent="0.2">
      <c r="A679" s="111"/>
      <c r="B679" s="111"/>
      <c r="C679" s="39" t="s">
        <v>896</v>
      </c>
      <c r="D679" s="39"/>
    </row>
    <row r="680" spans="1:4" x14ac:dyDescent="0.2">
      <c r="A680" s="113"/>
      <c r="B680" s="113" t="s">
        <v>143</v>
      </c>
      <c r="C680" s="37" t="s">
        <v>890</v>
      </c>
      <c r="D680" s="37"/>
    </row>
    <row r="681" spans="1:4" x14ac:dyDescent="0.2">
      <c r="A681" s="104"/>
      <c r="B681" s="104"/>
      <c r="C681" s="37" t="s">
        <v>891</v>
      </c>
      <c r="D681" s="37"/>
    </row>
    <row r="682" spans="1:4" x14ac:dyDescent="0.2">
      <c r="A682" s="104"/>
      <c r="B682" s="104"/>
      <c r="C682" s="37" t="s">
        <v>892</v>
      </c>
      <c r="D682" s="37"/>
    </row>
    <row r="683" spans="1:4" x14ac:dyDescent="0.2">
      <c r="A683" s="104"/>
      <c r="B683" s="104"/>
      <c r="C683" s="37" t="s">
        <v>893</v>
      </c>
      <c r="D683" s="37"/>
    </row>
    <row r="684" spans="1:4" x14ac:dyDescent="0.2">
      <c r="A684" s="104"/>
      <c r="B684" s="104"/>
      <c r="C684" s="37" t="s">
        <v>894</v>
      </c>
      <c r="D684" s="37"/>
    </row>
    <row r="685" spans="1:4" x14ac:dyDescent="0.2">
      <c r="A685" s="104"/>
      <c r="B685" s="104"/>
      <c r="C685" s="37" t="s">
        <v>895</v>
      </c>
      <c r="D685" s="37"/>
    </row>
    <row r="686" spans="1:4" x14ac:dyDescent="0.2">
      <c r="A686" s="104"/>
      <c r="B686" s="104"/>
      <c r="C686" s="37" t="s">
        <v>314</v>
      </c>
      <c r="D686" s="37"/>
    </row>
    <row r="687" spans="1:4" x14ac:dyDescent="0.2">
      <c r="A687" s="104"/>
      <c r="B687" s="104"/>
      <c r="C687" s="37" t="s">
        <v>896</v>
      </c>
      <c r="D687" s="37"/>
    </row>
    <row r="688" spans="1:4" x14ac:dyDescent="0.2">
      <c r="A688" s="109"/>
      <c r="B688" s="48" t="s">
        <v>909</v>
      </c>
      <c r="C688" s="39" t="s">
        <v>910</v>
      </c>
      <c r="D688" s="39"/>
    </row>
    <row r="689" spans="1:4" x14ac:dyDescent="0.2">
      <c r="A689" s="110"/>
      <c r="B689" s="50"/>
      <c r="C689" s="39" t="s">
        <v>911</v>
      </c>
      <c r="D689" s="39"/>
    </row>
    <row r="690" spans="1:4" x14ac:dyDescent="0.2">
      <c r="A690" s="113"/>
      <c r="B690" s="113" t="s">
        <v>142</v>
      </c>
      <c r="C690" s="37" t="s">
        <v>912</v>
      </c>
      <c r="D690" s="37"/>
    </row>
    <row r="691" spans="1:4" x14ac:dyDescent="0.2">
      <c r="A691" s="104"/>
      <c r="B691" s="104"/>
      <c r="C691" s="37" t="s">
        <v>913</v>
      </c>
      <c r="D691" s="37"/>
    </row>
    <row r="692" spans="1:4" x14ac:dyDescent="0.2">
      <c r="A692" s="109"/>
      <c r="B692" s="109" t="s">
        <v>134</v>
      </c>
      <c r="C692" s="39" t="s">
        <v>914</v>
      </c>
      <c r="D692" s="39"/>
    </row>
    <row r="693" spans="1:4" x14ac:dyDescent="0.2">
      <c r="A693" s="110"/>
      <c r="B693" s="110"/>
      <c r="C693" s="39" t="s">
        <v>745</v>
      </c>
      <c r="D693" s="39"/>
    </row>
    <row r="694" spans="1:4" x14ac:dyDescent="0.2">
      <c r="A694" s="110"/>
      <c r="B694" s="110"/>
      <c r="C694" s="39" t="s">
        <v>915</v>
      </c>
      <c r="D694" s="39"/>
    </row>
    <row r="695" spans="1:4" x14ac:dyDescent="0.2">
      <c r="A695" s="110"/>
      <c r="B695" s="110"/>
      <c r="C695" s="39" t="s">
        <v>916</v>
      </c>
      <c r="D695" s="39"/>
    </row>
    <row r="696" spans="1:4" x14ac:dyDescent="0.2">
      <c r="A696" s="110"/>
      <c r="B696" s="110"/>
      <c r="C696" s="39" t="s">
        <v>917</v>
      </c>
      <c r="D696" s="39"/>
    </row>
    <row r="697" spans="1:4" x14ac:dyDescent="0.2">
      <c r="A697" s="110"/>
      <c r="B697" s="110"/>
      <c r="C697" s="39" t="s">
        <v>83</v>
      </c>
      <c r="D697" s="39"/>
    </row>
    <row r="698" spans="1:4" x14ac:dyDescent="0.2">
      <c r="A698" s="110"/>
      <c r="B698" s="110"/>
      <c r="C698" s="39" t="s">
        <v>918</v>
      </c>
      <c r="D698" s="39"/>
    </row>
    <row r="699" spans="1:4" x14ac:dyDescent="0.2">
      <c r="A699" s="110"/>
      <c r="B699" s="110"/>
      <c r="C699" s="39" t="s">
        <v>919</v>
      </c>
      <c r="D699" s="39"/>
    </row>
    <row r="700" spans="1:4" x14ac:dyDescent="0.2">
      <c r="A700" s="110"/>
      <c r="B700" s="110"/>
      <c r="C700" s="39" t="s">
        <v>314</v>
      </c>
      <c r="D700" s="39"/>
    </row>
    <row r="701" spans="1:4" x14ac:dyDescent="0.2">
      <c r="A701" s="113"/>
      <c r="B701" s="113" t="s">
        <v>135</v>
      </c>
      <c r="C701" s="37" t="s">
        <v>436</v>
      </c>
      <c r="D701" s="37"/>
    </row>
    <row r="702" spans="1:4" x14ac:dyDescent="0.2">
      <c r="A702" s="104"/>
      <c r="B702" s="104"/>
      <c r="C702" s="37" t="s">
        <v>437</v>
      </c>
      <c r="D702" s="37"/>
    </row>
    <row r="703" spans="1:4" x14ac:dyDescent="0.2">
      <c r="A703" s="104"/>
      <c r="B703" s="104"/>
      <c r="C703" s="37" t="s">
        <v>438</v>
      </c>
      <c r="D703" s="37"/>
    </row>
    <row r="704" spans="1:4" x14ac:dyDescent="0.2">
      <c r="A704" s="104"/>
      <c r="B704" s="104"/>
      <c r="C704" s="37" t="s">
        <v>439</v>
      </c>
      <c r="D704" s="37"/>
    </row>
    <row r="705" spans="1:5" x14ac:dyDescent="0.2">
      <c r="A705" s="104"/>
      <c r="B705" s="104"/>
      <c r="C705" s="37" t="s">
        <v>440</v>
      </c>
      <c r="D705" s="37"/>
    </row>
    <row r="706" spans="1:5" x14ac:dyDescent="0.2">
      <c r="A706" s="104"/>
      <c r="B706" s="104"/>
      <c r="C706" s="37" t="s">
        <v>441</v>
      </c>
      <c r="D706" s="37"/>
    </row>
    <row r="707" spans="1:5" x14ac:dyDescent="0.2">
      <c r="A707" s="104"/>
      <c r="B707" s="104"/>
      <c r="C707" s="37" t="s">
        <v>443</v>
      </c>
      <c r="D707" s="37"/>
    </row>
    <row r="708" spans="1:5" x14ac:dyDescent="0.2">
      <c r="A708" s="104"/>
      <c r="B708" s="104"/>
      <c r="C708" s="37" t="s">
        <v>444</v>
      </c>
      <c r="D708" s="37"/>
    </row>
    <row r="709" spans="1:5" x14ac:dyDescent="0.2">
      <c r="A709" s="104"/>
      <c r="B709" s="104"/>
      <c r="C709" s="37" t="s">
        <v>445</v>
      </c>
      <c r="D709" s="37"/>
    </row>
    <row r="710" spans="1:5" x14ac:dyDescent="0.2">
      <c r="A710" s="104"/>
      <c r="B710" s="104"/>
      <c r="C710" s="37" t="s">
        <v>446</v>
      </c>
      <c r="D710" s="37"/>
    </row>
    <row r="711" spans="1:5" x14ac:dyDescent="0.2">
      <c r="A711" s="104"/>
      <c r="B711" s="104"/>
      <c r="C711" s="37" t="s">
        <v>447</v>
      </c>
      <c r="D711" s="37"/>
    </row>
    <row r="712" spans="1:5" x14ac:dyDescent="0.2">
      <c r="A712" s="104"/>
      <c r="B712" s="104"/>
      <c r="C712" s="37" t="s">
        <v>448</v>
      </c>
      <c r="D712" s="37"/>
    </row>
    <row r="713" spans="1:5" x14ac:dyDescent="0.2">
      <c r="A713" s="104"/>
      <c r="B713" s="104"/>
      <c r="C713" s="37" t="s">
        <v>449</v>
      </c>
      <c r="D713" s="37"/>
    </row>
    <row r="714" spans="1:5" x14ac:dyDescent="0.2">
      <c r="A714" s="104"/>
      <c r="B714" s="104"/>
      <c r="C714" s="37" t="s">
        <v>450</v>
      </c>
      <c r="D714" s="37"/>
    </row>
    <row r="715" spans="1:5" x14ac:dyDescent="0.2">
      <c r="A715" s="104"/>
      <c r="B715" s="104"/>
      <c r="C715" s="37" t="s">
        <v>451</v>
      </c>
      <c r="D715" s="37"/>
    </row>
    <row r="716" spans="1:5" x14ac:dyDescent="0.2">
      <c r="A716" s="104"/>
      <c r="B716" s="104"/>
      <c r="C716" s="37" t="s">
        <v>452</v>
      </c>
      <c r="D716" s="37" t="s">
        <v>453</v>
      </c>
      <c r="E716" t="s">
        <v>214</v>
      </c>
    </row>
    <row r="717" spans="1:5" x14ac:dyDescent="0.2">
      <c r="A717" s="104"/>
      <c r="B717" s="104"/>
      <c r="C717" s="37" t="s">
        <v>454</v>
      </c>
      <c r="D717" s="37"/>
    </row>
    <row r="718" spans="1:5" x14ac:dyDescent="0.2">
      <c r="A718" s="104"/>
      <c r="B718" s="104"/>
      <c r="C718" s="37" t="s">
        <v>455</v>
      </c>
      <c r="D718" s="37"/>
    </row>
    <row r="719" spans="1:5" x14ac:dyDescent="0.2">
      <c r="A719" s="104"/>
      <c r="B719" s="104"/>
      <c r="C719" s="37" t="s">
        <v>456</v>
      </c>
      <c r="D719" s="37"/>
    </row>
    <row r="720" spans="1:5" x14ac:dyDescent="0.2">
      <c r="A720" s="104"/>
      <c r="B720" s="104"/>
      <c r="C720" s="37" t="s">
        <v>457</v>
      </c>
      <c r="D720" s="37"/>
    </row>
    <row r="721" spans="1:4" x14ac:dyDescent="0.2">
      <c r="A721" s="104"/>
      <c r="B721" s="104"/>
      <c r="C721" s="37" t="s">
        <v>458</v>
      </c>
      <c r="D721" s="37"/>
    </row>
    <row r="722" spans="1:4" x14ac:dyDescent="0.2">
      <c r="A722" s="104"/>
      <c r="B722" s="104"/>
      <c r="C722" s="37" t="s">
        <v>459</v>
      </c>
      <c r="D722" s="37"/>
    </row>
    <row r="723" spans="1:4" x14ac:dyDescent="0.2">
      <c r="A723" s="104"/>
      <c r="B723" s="104"/>
      <c r="C723" s="37" t="s">
        <v>460</v>
      </c>
      <c r="D723" s="37"/>
    </row>
    <row r="724" spans="1:4" x14ac:dyDescent="0.2">
      <c r="A724" s="104"/>
      <c r="B724" s="104"/>
      <c r="C724" s="37" t="s">
        <v>461</v>
      </c>
      <c r="D724" s="37"/>
    </row>
    <row r="725" spans="1:4" x14ac:dyDescent="0.2">
      <c r="A725" s="104"/>
      <c r="B725" s="104"/>
      <c r="C725" s="37" t="s">
        <v>462</v>
      </c>
      <c r="D725" s="37"/>
    </row>
    <row r="726" spans="1:4" x14ac:dyDescent="0.2">
      <c r="A726" s="104"/>
      <c r="B726" s="104"/>
      <c r="C726" s="37" t="s">
        <v>463</v>
      </c>
      <c r="D726" s="37"/>
    </row>
    <row r="727" spans="1:4" x14ac:dyDescent="0.2">
      <c r="A727" s="104"/>
      <c r="B727" s="104"/>
      <c r="C727" s="37" t="s">
        <v>464</v>
      </c>
      <c r="D727" s="37"/>
    </row>
    <row r="728" spans="1:4" x14ac:dyDescent="0.2">
      <c r="A728" s="104"/>
      <c r="B728" s="104"/>
      <c r="C728" s="37" t="s">
        <v>465</v>
      </c>
      <c r="D728" s="37"/>
    </row>
    <row r="729" spans="1:4" x14ac:dyDescent="0.2">
      <c r="A729" s="104"/>
      <c r="B729" s="104"/>
      <c r="C729" s="37" t="s">
        <v>466</v>
      </c>
      <c r="D729" s="37"/>
    </row>
    <row r="730" spans="1:4" x14ac:dyDescent="0.2">
      <c r="A730" s="104"/>
      <c r="B730" s="104"/>
      <c r="C730" s="37" t="s">
        <v>467</v>
      </c>
      <c r="D730" s="37"/>
    </row>
    <row r="731" spans="1:4" x14ac:dyDescent="0.2">
      <c r="A731" s="104"/>
      <c r="B731" s="104"/>
      <c r="C731" s="37" t="s">
        <v>468</v>
      </c>
      <c r="D731" s="37"/>
    </row>
    <row r="732" spans="1:4" x14ac:dyDescent="0.2">
      <c r="A732" s="104"/>
      <c r="B732" s="104"/>
      <c r="C732" s="37" t="s">
        <v>469</v>
      </c>
      <c r="D732" s="37"/>
    </row>
    <row r="733" spans="1:4" x14ac:dyDescent="0.2">
      <c r="A733" s="104"/>
      <c r="B733" s="104"/>
      <c r="C733" s="37" t="s">
        <v>470</v>
      </c>
      <c r="D733" s="37"/>
    </row>
    <row r="734" spans="1:4" x14ac:dyDescent="0.2">
      <c r="A734" s="104"/>
      <c r="B734" s="104"/>
      <c r="C734" s="37" t="s">
        <v>471</v>
      </c>
      <c r="D734" s="37"/>
    </row>
    <row r="735" spans="1:4" x14ac:dyDescent="0.2">
      <c r="A735" s="104"/>
      <c r="B735" s="104"/>
      <c r="C735" s="37" t="s">
        <v>472</v>
      </c>
      <c r="D735" s="37"/>
    </row>
    <row r="736" spans="1:4" x14ac:dyDescent="0.2">
      <c r="A736" s="104"/>
      <c r="B736" s="104"/>
      <c r="C736" s="37" t="s">
        <v>24</v>
      </c>
      <c r="D736" s="37"/>
    </row>
    <row r="737" spans="1:4" x14ac:dyDescent="0.2">
      <c r="A737" s="104"/>
      <c r="B737" s="104"/>
      <c r="C737" s="37" t="s">
        <v>473</v>
      </c>
      <c r="D737" s="37"/>
    </row>
    <row r="738" spans="1:4" x14ac:dyDescent="0.2">
      <c r="A738" s="104"/>
      <c r="B738" s="104"/>
      <c r="C738" s="37" t="s">
        <v>474</v>
      </c>
      <c r="D738" s="37"/>
    </row>
    <row r="739" spans="1:4" x14ac:dyDescent="0.2">
      <c r="A739" s="104"/>
      <c r="B739" s="104"/>
      <c r="C739" s="37" t="s">
        <v>475</v>
      </c>
      <c r="D739" s="37"/>
    </row>
    <row r="740" spans="1:4" x14ac:dyDescent="0.2">
      <c r="A740" s="104"/>
      <c r="B740" s="104"/>
      <c r="C740" s="37" t="s">
        <v>476</v>
      </c>
      <c r="D740" s="37"/>
    </row>
    <row r="741" spans="1:4" x14ac:dyDescent="0.2">
      <c r="A741" s="104"/>
      <c r="B741" s="104"/>
      <c r="C741" s="37" t="s">
        <v>477</v>
      </c>
      <c r="D741" s="37"/>
    </row>
    <row r="742" spans="1:4" x14ac:dyDescent="0.2">
      <c r="A742" s="104"/>
      <c r="B742" s="104"/>
      <c r="C742" s="37" t="s">
        <v>478</v>
      </c>
      <c r="D742" s="37"/>
    </row>
    <row r="743" spans="1:4" x14ac:dyDescent="0.2">
      <c r="A743" s="104"/>
      <c r="B743" s="104"/>
      <c r="C743" s="37" t="s">
        <v>479</v>
      </c>
      <c r="D743" s="37"/>
    </row>
    <row r="744" spans="1:4" x14ac:dyDescent="0.2">
      <c r="A744" s="104"/>
      <c r="B744" s="104"/>
      <c r="C744" s="37" t="s">
        <v>480</v>
      </c>
      <c r="D744" s="37"/>
    </row>
    <row r="745" spans="1:4" x14ac:dyDescent="0.2">
      <c r="A745" s="104"/>
      <c r="B745" s="104"/>
      <c r="C745" s="37" t="s">
        <v>481</v>
      </c>
      <c r="D745" s="37"/>
    </row>
    <row r="746" spans="1:4" x14ac:dyDescent="0.2">
      <c r="A746" s="104"/>
      <c r="B746" s="104"/>
      <c r="C746" s="37" t="s">
        <v>482</v>
      </c>
      <c r="D746" s="37"/>
    </row>
    <row r="747" spans="1:4" x14ac:dyDescent="0.2">
      <c r="A747" s="104"/>
      <c r="B747" s="104"/>
      <c r="C747" s="37" t="s">
        <v>483</v>
      </c>
      <c r="D747" s="37"/>
    </row>
    <row r="748" spans="1:4" x14ac:dyDescent="0.2">
      <c r="A748" s="104"/>
      <c r="B748" s="104"/>
      <c r="C748" s="37" t="s">
        <v>484</v>
      </c>
      <c r="D748" s="37"/>
    </row>
    <row r="749" spans="1:4" x14ac:dyDescent="0.2">
      <c r="A749" s="104"/>
      <c r="B749" s="104"/>
      <c r="C749" s="37" t="s">
        <v>485</v>
      </c>
      <c r="D749" s="37"/>
    </row>
    <row r="750" spans="1:4" x14ac:dyDescent="0.2">
      <c r="A750" s="104"/>
      <c r="B750" s="104"/>
      <c r="C750" s="37" t="s">
        <v>204</v>
      </c>
      <c r="D750" s="37"/>
    </row>
    <row r="751" spans="1:4" x14ac:dyDescent="0.2">
      <c r="A751" s="104"/>
      <c r="B751" s="104"/>
      <c r="C751" s="37" t="s">
        <v>207</v>
      </c>
      <c r="D751" s="37"/>
    </row>
    <row r="752" spans="1:4" x14ac:dyDescent="0.2">
      <c r="A752" s="104"/>
      <c r="B752" s="104"/>
      <c r="C752" s="37" t="s">
        <v>208</v>
      </c>
      <c r="D752" s="37"/>
    </row>
    <row r="753" spans="1:4" x14ac:dyDescent="0.2">
      <c r="A753" s="104"/>
      <c r="B753" s="104"/>
      <c r="C753" s="37" t="s">
        <v>209</v>
      </c>
      <c r="D753" s="37"/>
    </row>
    <row r="754" spans="1:4" x14ac:dyDescent="0.2">
      <c r="A754" s="104"/>
      <c r="B754" s="104"/>
      <c r="C754" s="37" t="s">
        <v>210</v>
      </c>
      <c r="D754" s="37"/>
    </row>
    <row r="755" spans="1:4" x14ac:dyDescent="0.2">
      <c r="A755" s="104"/>
      <c r="B755" s="104"/>
      <c r="C755" s="37" t="s">
        <v>211</v>
      </c>
      <c r="D755" s="37"/>
    </row>
    <row r="756" spans="1:4" x14ac:dyDescent="0.2">
      <c r="A756" s="104"/>
      <c r="B756" s="104"/>
      <c r="C756" s="37" t="s">
        <v>212</v>
      </c>
      <c r="D756" s="37"/>
    </row>
    <row r="757" spans="1:4" x14ac:dyDescent="0.2">
      <c r="A757" s="104"/>
      <c r="B757" s="104"/>
      <c r="C757" s="37" t="s">
        <v>213</v>
      </c>
      <c r="D757" s="37"/>
    </row>
    <row r="758" spans="1:4" x14ac:dyDescent="0.2">
      <c r="A758" s="104"/>
      <c r="B758" s="104"/>
      <c r="C758" s="37" t="s">
        <v>215</v>
      </c>
      <c r="D758" s="37"/>
    </row>
    <row r="759" spans="1:4" x14ac:dyDescent="0.2">
      <c r="A759" s="104"/>
      <c r="B759" s="104"/>
      <c r="C759" s="37" t="s">
        <v>216</v>
      </c>
      <c r="D759" s="37"/>
    </row>
    <row r="760" spans="1:4" x14ac:dyDescent="0.2">
      <c r="A760" s="104"/>
      <c r="B760" s="104"/>
      <c r="C760" s="37" t="s">
        <v>217</v>
      </c>
      <c r="D760" s="37"/>
    </row>
    <row r="761" spans="1:4" x14ac:dyDescent="0.2">
      <c r="A761" s="104"/>
      <c r="B761" s="104"/>
      <c r="C761" s="37" t="s">
        <v>218</v>
      </c>
      <c r="D761" s="37"/>
    </row>
    <row r="762" spans="1:4" x14ac:dyDescent="0.2">
      <c r="A762" s="104"/>
      <c r="B762" s="104"/>
      <c r="C762" s="37" t="s">
        <v>219</v>
      </c>
      <c r="D762" s="37"/>
    </row>
    <row r="763" spans="1:4" x14ac:dyDescent="0.2">
      <c r="A763" s="104"/>
      <c r="B763" s="104"/>
      <c r="C763" s="37" t="s">
        <v>220</v>
      </c>
      <c r="D763" s="37"/>
    </row>
    <row r="764" spans="1:4" x14ac:dyDescent="0.2">
      <c r="A764" s="104"/>
      <c r="B764" s="104"/>
      <c r="C764" s="37" t="s">
        <v>221</v>
      </c>
      <c r="D764" s="37"/>
    </row>
    <row r="765" spans="1:4" x14ac:dyDescent="0.2">
      <c r="A765" s="104"/>
      <c r="B765" s="104"/>
      <c r="C765" s="37" t="s">
        <v>222</v>
      </c>
      <c r="D765" s="37"/>
    </row>
    <row r="766" spans="1:4" x14ac:dyDescent="0.2">
      <c r="A766" s="104"/>
      <c r="B766" s="104"/>
      <c r="C766" s="37" t="s">
        <v>223</v>
      </c>
      <c r="D766" s="37"/>
    </row>
    <row r="767" spans="1:4" x14ac:dyDescent="0.2">
      <c r="A767" s="104"/>
      <c r="B767" s="104"/>
      <c r="C767" s="37" t="s">
        <v>224</v>
      </c>
      <c r="D767" s="37"/>
    </row>
    <row r="768" spans="1:4" x14ac:dyDescent="0.2">
      <c r="A768" s="104"/>
      <c r="B768" s="104"/>
      <c r="C768" s="37" t="s">
        <v>225</v>
      </c>
      <c r="D768" s="37"/>
    </row>
    <row r="769" spans="1:5" x14ac:dyDescent="0.2">
      <c r="A769" s="104"/>
      <c r="B769" s="104"/>
      <c r="C769" s="37" t="s">
        <v>226</v>
      </c>
      <c r="D769" s="37"/>
    </row>
    <row r="770" spans="1:5" x14ac:dyDescent="0.2">
      <c r="A770" s="104"/>
      <c r="B770" s="104"/>
      <c r="C770" s="37" t="s">
        <v>227</v>
      </c>
      <c r="D770" s="37"/>
    </row>
    <row r="771" spans="1:5" x14ac:dyDescent="0.2">
      <c r="A771" s="104"/>
      <c r="B771" s="104"/>
      <c r="C771" s="37" t="s">
        <v>228</v>
      </c>
      <c r="D771" s="37"/>
    </row>
    <row r="772" spans="1:5" x14ac:dyDescent="0.2">
      <c r="A772" s="104"/>
      <c r="B772" s="104"/>
      <c r="C772" s="37" t="s">
        <v>229</v>
      </c>
      <c r="D772" s="37"/>
    </row>
    <row r="773" spans="1:5" x14ac:dyDescent="0.2">
      <c r="A773" s="104"/>
      <c r="B773" s="104"/>
      <c r="C773" s="37" t="s">
        <v>230</v>
      </c>
      <c r="D773" s="37"/>
    </row>
    <row r="774" spans="1:5" x14ac:dyDescent="0.2">
      <c r="A774" s="104"/>
      <c r="B774" s="104"/>
      <c r="C774" s="37" t="s">
        <v>231</v>
      </c>
      <c r="D774" s="37"/>
    </row>
    <row r="775" spans="1:5" x14ac:dyDescent="0.2">
      <c r="A775" s="104"/>
      <c r="B775" s="104"/>
      <c r="C775" s="37" t="s">
        <v>232</v>
      </c>
      <c r="D775" s="37"/>
    </row>
    <row r="776" spans="1:5" x14ac:dyDescent="0.2">
      <c r="A776" s="104"/>
      <c r="B776" s="104"/>
      <c r="C776" s="37" t="s">
        <v>233</v>
      </c>
      <c r="D776" s="37"/>
    </row>
    <row r="777" spans="1:5" x14ac:dyDescent="0.2">
      <c r="A777" s="104"/>
      <c r="B777" s="104"/>
      <c r="C777" s="37" t="s">
        <v>234</v>
      </c>
      <c r="D777" s="37"/>
    </row>
    <row r="778" spans="1:5" x14ac:dyDescent="0.2">
      <c r="A778" s="104"/>
      <c r="B778" s="104"/>
      <c r="C778" s="37" t="s">
        <v>235</v>
      </c>
      <c r="D778" s="37"/>
    </row>
    <row r="779" spans="1:5" x14ac:dyDescent="0.2">
      <c r="A779" s="104"/>
      <c r="B779" s="104"/>
      <c r="C779" s="37" t="s">
        <v>236</v>
      </c>
      <c r="D779" s="37"/>
    </row>
    <row r="780" spans="1:5" x14ac:dyDescent="0.2">
      <c r="A780" s="104"/>
      <c r="B780" s="104"/>
      <c r="C780" s="37" t="s">
        <v>237</v>
      </c>
      <c r="D780" s="37"/>
    </row>
    <row r="781" spans="1:5" x14ac:dyDescent="0.2">
      <c r="A781" s="104"/>
      <c r="B781" s="104"/>
      <c r="C781" s="37" t="s">
        <v>238</v>
      </c>
      <c r="D781" s="37"/>
    </row>
    <row r="782" spans="1:5" x14ac:dyDescent="0.2">
      <c r="A782" s="104"/>
      <c r="B782" s="104"/>
      <c r="C782" s="37" t="s">
        <v>239</v>
      </c>
      <c r="D782" s="37"/>
      <c r="E782" t="s">
        <v>214</v>
      </c>
    </row>
    <row r="783" spans="1:5" x14ac:dyDescent="0.2">
      <c r="A783" s="104"/>
      <c r="B783" s="104"/>
      <c r="C783" s="37" t="s">
        <v>240</v>
      </c>
      <c r="D783" s="37"/>
      <c r="E783" t="s">
        <v>214</v>
      </c>
    </row>
    <row r="784" spans="1:5" x14ac:dyDescent="0.2">
      <c r="A784" s="104"/>
      <c r="B784" s="104"/>
      <c r="C784" s="37" t="s">
        <v>243</v>
      </c>
      <c r="D784" s="37"/>
      <c r="E784" t="s">
        <v>214</v>
      </c>
    </row>
    <row r="785" spans="1:5" x14ac:dyDescent="0.2">
      <c r="A785" s="104"/>
      <c r="B785" s="104"/>
      <c r="C785" s="37" t="s">
        <v>244</v>
      </c>
      <c r="D785" s="37"/>
    </row>
    <row r="786" spans="1:5" x14ac:dyDescent="0.2">
      <c r="A786" s="104"/>
      <c r="B786" s="104"/>
      <c r="C786" s="37" t="s">
        <v>245</v>
      </c>
      <c r="D786" s="37"/>
    </row>
    <row r="787" spans="1:5" x14ac:dyDescent="0.2">
      <c r="A787" s="104"/>
      <c r="B787" s="104"/>
      <c r="C787" s="37" t="s">
        <v>246</v>
      </c>
      <c r="D787" s="37"/>
    </row>
    <row r="788" spans="1:5" x14ac:dyDescent="0.2">
      <c r="A788" s="104"/>
      <c r="B788" s="104"/>
      <c r="C788" s="37" t="s">
        <v>247</v>
      </c>
      <c r="D788" s="37"/>
    </row>
    <row r="789" spans="1:5" x14ac:dyDescent="0.2">
      <c r="A789" s="104"/>
      <c r="B789" s="104"/>
      <c r="C789" s="37" t="s">
        <v>248</v>
      </c>
      <c r="D789" s="37"/>
    </row>
    <row r="790" spans="1:5" x14ac:dyDescent="0.2">
      <c r="A790" s="104"/>
      <c r="B790" s="104"/>
      <c r="C790" s="37" t="s">
        <v>249</v>
      </c>
      <c r="D790" s="37"/>
      <c r="E790" t="s">
        <v>214</v>
      </c>
    </row>
    <row r="791" spans="1:5" x14ac:dyDescent="0.2">
      <c r="A791" s="104"/>
      <c r="B791" s="104"/>
      <c r="C791" s="37" t="s">
        <v>250</v>
      </c>
      <c r="D791" s="37"/>
    </row>
    <row r="792" spans="1:5" x14ac:dyDescent="0.2">
      <c r="A792" s="104"/>
      <c r="B792" s="104"/>
      <c r="C792" s="37" t="s">
        <v>251</v>
      </c>
      <c r="D792" s="37"/>
    </row>
    <row r="793" spans="1:5" x14ac:dyDescent="0.2">
      <c r="A793" s="104"/>
      <c r="B793" s="104"/>
      <c r="C793" s="37" t="s">
        <v>252</v>
      </c>
      <c r="D793" s="37"/>
    </row>
    <row r="794" spans="1:5" x14ac:dyDescent="0.2">
      <c r="A794" s="104"/>
      <c r="B794" s="104"/>
      <c r="C794" s="37" t="s">
        <v>920</v>
      </c>
      <c r="D794" s="37"/>
    </row>
    <row r="795" spans="1:5" x14ac:dyDescent="0.2">
      <c r="A795" s="104"/>
      <c r="B795" s="104"/>
      <c r="C795" s="37" t="s">
        <v>253</v>
      </c>
      <c r="D795" s="37"/>
    </row>
    <row r="796" spans="1:5" x14ac:dyDescent="0.2">
      <c r="A796" s="104"/>
      <c r="B796" s="104"/>
      <c r="C796" s="37" t="s">
        <v>254</v>
      </c>
      <c r="D796" s="37"/>
    </row>
    <row r="797" spans="1:5" x14ac:dyDescent="0.2">
      <c r="A797" s="104"/>
      <c r="B797" s="104"/>
      <c r="C797" s="37" t="s">
        <v>255</v>
      </c>
      <c r="D797" s="37"/>
    </row>
    <row r="798" spans="1:5" x14ac:dyDescent="0.2">
      <c r="A798" s="104"/>
      <c r="B798" s="104"/>
      <c r="C798" s="37" t="s">
        <v>256</v>
      </c>
      <c r="D798" s="37"/>
    </row>
    <row r="799" spans="1:5" x14ac:dyDescent="0.2">
      <c r="A799" s="104"/>
      <c r="B799" s="104"/>
      <c r="C799" s="37" t="s">
        <v>257</v>
      </c>
      <c r="D799" s="37"/>
    </row>
    <row r="800" spans="1:5" x14ac:dyDescent="0.2">
      <c r="A800" s="104"/>
      <c r="B800" s="104"/>
      <c r="C800" s="37" t="s">
        <v>258</v>
      </c>
      <c r="D800" s="37"/>
    </row>
    <row r="801" spans="1:5" x14ac:dyDescent="0.2">
      <c r="A801" s="104"/>
      <c r="B801" s="104"/>
      <c r="C801" s="37" t="s">
        <v>259</v>
      </c>
      <c r="D801" s="37"/>
    </row>
    <row r="802" spans="1:5" x14ac:dyDescent="0.2">
      <c r="A802" s="104"/>
      <c r="B802" s="104"/>
      <c r="C802" s="37" t="s">
        <v>260</v>
      </c>
      <c r="D802" s="37"/>
    </row>
    <row r="803" spans="1:5" x14ac:dyDescent="0.2">
      <c r="A803" s="104"/>
      <c r="B803" s="104"/>
      <c r="C803" s="37" t="s">
        <v>261</v>
      </c>
      <c r="D803" s="37"/>
    </row>
    <row r="804" spans="1:5" x14ac:dyDescent="0.2">
      <c r="A804" s="104"/>
      <c r="B804" s="104"/>
      <c r="C804" s="37" t="s">
        <v>262</v>
      </c>
      <c r="D804" s="37"/>
    </row>
    <row r="805" spans="1:5" x14ac:dyDescent="0.2">
      <c r="A805" s="104"/>
      <c r="B805" s="104"/>
      <c r="C805" s="37" t="s">
        <v>263</v>
      </c>
      <c r="D805" s="37"/>
    </row>
    <row r="806" spans="1:5" x14ac:dyDescent="0.2">
      <c r="A806" s="104"/>
      <c r="B806" s="104"/>
      <c r="C806" s="37" t="s">
        <v>264</v>
      </c>
      <c r="D806" s="37"/>
    </row>
    <row r="807" spans="1:5" x14ac:dyDescent="0.2">
      <c r="A807" s="104"/>
      <c r="B807" s="104"/>
      <c r="C807" s="37" t="s">
        <v>265</v>
      </c>
      <c r="D807" s="37"/>
    </row>
    <row r="808" spans="1:5" x14ac:dyDescent="0.2">
      <c r="A808" s="104"/>
      <c r="B808" s="104"/>
      <c r="C808" s="37" t="s">
        <v>267</v>
      </c>
      <c r="D808" s="37"/>
    </row>
    <row r="809" spans="1:5" x14ac:dyDescent="0.2">
      <c r="A809" s="104"/>
      <c r="B809" s="104"/>
      <c r="C809" s="37" t="s">
        <v>266</v>
      </c>
      <c r="D809" s="37"/>
      <c r="E809" t="s">
        <v>214</v>
      </c>
    </row>
    <row r="810" spans="1:5" x14ac:dyDescent="0.2">
      <c r="A810" s="104"/>
      <c r="B810" s="104"/>
      <c r="C810" s="37" t="s">
        <v>268</v>
      </c>
      <c r="D810" s="37"/>
    </row>
    <row r="811" spans="1:5" x14ac:dyDescent="0.2">
      <c r="A811" s="104"/>
      <c r="B811" s="104"/>
      <c r="C811" s="37" t="s">
        <v>269</v>
      </c>
      <c r="D811" s="37"/>
    </row>
    <row r="812" spans="1:5" x14ac:dyDescent="0.2">
      <c r="A812" s="104"/>
      <c r="B812" s="104"/>
      <c r="C812" s="37" t="s">
        <v>270</v>
      </c>
      <c r="D812" s="37"/>
    </row>
    <row r="813" spans="1:5" x14ac:dyDescent="0.2">
      <c r="A813" s="104"/>
      <c r="B813" s="104"/>
      <c r="C813" s="37" t="s">
        <v>271</v>
      </c>
      <c r="D813" s="37"/>
    </row>
    <row r="814" spans="1:5" x14ac:dyDescent="0.2">
      <c r="A814" s="104"/>
      <c r="B814" s="104"/>
      <c r="C814" s="37" t="s">
        <v>272</v>
      </c>
      <c r="D814" s="37"/>
    </row>
    <row r="815" spans="1:5" x14ac:dyDescent="0.2">
      <c r="A815" s="104"/>
      <c r="B815" s="104"/>
      <c r="C815" s="37" t="s">
        <v>273</v>
      </c>
      <c r="D815" s="37"/>
    </row>
    <row r="816" spans="1:5" x14ac:dyDescent="0.2">
      <c r="A816" s="104"/>
      <c r="B816" s="104"/>
      <c r="C816" s="37" t="s">
        <v>274</v>
      </c>
      <c r="D816" s="37"/>
    </row>
    <row r="817" spans="1:4" x14ac:dyDescent="0.2">
      <c r="A817" s="104"/>
      <c r="B817" s="104"/>
      <c r="C817" s="37" t="s">
        <v>275</v>
      </c>
      <c r="D817" s="37"/>
    </row>
    <row r="818" spans="1:4" x14ac:dyDescent="0.2">
      <c r="A818" s="104"/>
      <c r="B818" s="104"/>
      <c r="C818" s="37" t="s">
        <v>276</v>
      </c>
      <c r="D818" s="37"/>
    </row>
    <row r="819" spans="1:4" x14ac:dyDescent="0.2">
      <c r="A819" s="104"/>
      <c r="B819" s="104"/>
      <c r="C819" s="37" t="s">
        <v>277</v>
      </c>
      <c r="D819" s="37"/>
    </row>
    <row r="820" spans="1:4" x14ac:dyDescent="0.2">
      <c r="A820" s="104"/>
      <c r="B820" s="104"/>
      <c r="C820" s="37" t="s">
        <v>278</v>
      </c>
      <c r="D820" s="37"/>
    </row>
    <row r="821" spans="1:4" x14ac:dyDescent="0.2">
      <c r="A821" s="104"/>
      <c r="B821" s="104"/>
      <c r="C821" s="37" t="s">
        <v>279</v>
      </c>
      <c r="D821" s="37"/>
    </row>
    <row r="822" spans="1:4" x14ac:dyDescent="0.2">
      <c r="A822" s="104"/>
      <c r="B822" s="104"/>
      <c r="C822" s="37" t="s">
        <v>280</v>
      </c>
      <c r="D822" s="37"/>
    </row>
    <row r="823" spans="1:4" x14ac:dyDescent="0.2">
      <c r="A823" s="104"/>
      <c r="B823" s="104"/>
      <c r="C823" s="37" t="s">
        <v>281</v>
      </c>
      <c r="D823" s="37"/>
    </row>
    <row r="824" spans="1:4" x14ac:dyDescent="0.2">
      <c r="A824" s="104"/>
      <c r="B824" s="104"/>
      <c r="C824" s="37" t="s">
        <v>282</v>
      </c>
      <c r="D824" s="37"/>
    </row>
    <row r="825" spans="1:4" x14ac:dyDescent="0.2">
      <c r="A825" s="104"/>
      <c r="B825" s="104"/>
      <c r="C825" s="37" t="s">
        <v>283</v>
      </c>
      <c r="D825" s="37"/>
    </row>
    <row r="826" spans="1:4" x14ac:dyDescent="0.2">
      <c r="A826" s="104"/>
      <c r="B826" s="104"/>
      <c r="C826" s="37" t="s">
        <v>284</v>
      </c>
      <c r="D826" s="37"/>
    </row>
    <row r="827" spans="1:4" x14ac:dyDescent="0.2">
      <c r="A827" s="104"/>
      <c r="B827" s="104"/>
      <c r="C827" s="37" t="s">
        <v>285</v>
      </c>
      <c r="D827" s="37"/>
    </row>
    <row r="828" spans="1:4" x14ac:dyDescent="0.2">
      <c r="A828" s="104"/>
      <c r="B828" s="104"/>
      <c r="C828" s="37" t="s">
        <v>286</v>
      </c>
      <c r="D828" s="37"/>
    </row>
    <row r="829" spans="1:4" x14ac:dyDescent="0.2">
      <c r="A829" s="104"/>
      <c r="B829" s="104"/>
      <c r="C829" s="37" t="s">
        <v>287</v>
      </c>
      <c r="D829" s="37"/>
    </row>
    <row r="830" spans="1:4" x14ac:dyDescent="0.2">
      <c r="A830" s="104"/>
      <c r="B830" s="104"/>
      <c r="C830" s="37" t="s">
        <v>288</v>
      </c>
      <c r="D830" s="37"/>
    </row>
    <row r="831" spans="1:4" x14ac:dyDescent="0.2">
      <c r="A831" s="104"/>
      <c r="B831" s="104"/>
      <c r="C831" s="37" t="s">
        <v>921</v>
      </c>
      <c r="D831" s="114" t="s">
        <v>922</v>
      </c>
    </row>
    <row r="832" spans="1:4" x14ac:dyDescent="0.2">
      <c r="A832" s="104"/>
      <c r="B832" s="104"/>
      <c r="C832" s="37" t="s">
        <v>923</v>
      </c>
      <c r="D832" s="114" t="s">
        <v>300</v>
      </c>
    </row>
    <row r="833" spans="1:4" x14ac:dyDescent="0.2">
      <c r="A833" s="104"/>
      <c r="B833" s="104"/>
      <c r="C833" s="37" t="s">
        <v>924</v>
      </c>
      <c r="D833" s="114" t="s">
        <v>300</v>
      </c>
    </row>
    <row r="834" spans="1:4" ht="15" x14ac:dyDescent="0.25">
      <c r="A834" s="104"/>
      <c r="B834" s="104"/>
      <c r="C834" s="37" t="s">
        <v>925</v>
      </c>
      <c r="D834" s="91"/>
    </row>
    <row r="835" spans="1:4" x14ac:dyDescent="0.2">
      <c r="A835" s="104"/>
      <c r="B835" s="104"/>
      <c r="C835" s="37" t="s">
        <v>296</v>
      </c>
      <c r="D835" s="37"/>
    </row>
    <row r="836" spans="1:4" x14ac:dyDescent="0.2">
      <c r="A836" s="104"/>
      <c r="B836" s="104"/>
      <c r="C836" s="37" t="s">
        <v>291</v>
      </c>
      <c r="D836" s="37"/>
    </row>
    <row r="837" spans="1:4" x14ac:dyDescent="0.2">
      <c r="A837" s="104"/>
      <c r="B837" s="104"/>
      <c r="C837" s="37" t="s">
        <v>292</v>
      </c>
      <c r="D837" s="37"/>
    </row>
    <row r="838" spans="1:4" x14ac:dyDescent="0.2">
      <c r="A838" s="104"/>
      <c r="B838" s="104"/>
      <c r="C838" s="37" t="s">
        <v>289</v>
      </c>
      <c r="D838" s="37"/>
    </row>
    <row r="839" spans="1:4" x14ac:dyDescent="0.2">
      <c r="A839" s="104"/>
      <c r="B839" s="104"/>
      <c r="C839" s="37" t="s">
        <v>293</v>
      </c>
      <c r="D839" s="37"/>
    </row>
    <row r="840" spans="1:4" x14ac:dyDescent="0.2">
      <c r="A840" s="104"/>
      <c r="B840" s="104"/>
      <c r="C840" s="37" t="s">
        <v>290</v>
      </c>
      <c r="D840" s="37"/>
    </row>
    <row r="841" spans="1:4" x14ac:dyDescent="0.2">
      <c r="A841" s="104"/>
      <c r="B841" s="104"/>
      <c r="C841" s="37" t="s">
        <v>294</v>
      </c>
      <c r="D841" s="37"/>
    </row>
    <row r="842" spans="1:4" x14ac:dyDescent="0.2">
      <c r="A842" s="104"/>
      <c r="B842" s="104"/>
      <c r="C842" s="37" t="s">
        <v>926</v>
      </c>
      <c r="D842" s="37"/>
    </row>
    <row r="843" spans="1:4" x14ac:dyDescent="0.2">
      <c r="A843" s="104"/>
      <c r="B843" s="104"/>
      <c r="C843" s="37" t="s">
        <v>927</v>
      </c>
      <c r="D843" s="37"/>
    </row>
    <row r="844" spans="1:4" x14ac:dyDescent="0.2">
      <c r="A844" s="104"/>
      <c r="B844" s="104"/>
      <c r="C844" s="37" t="s">
        <v>928</v>
      </c>
      <c r="D844" s="37"/>
    </row>
    <row r="845" spans="1:4" x14ac:dyDescent="0.2">
      <c r="A845" s="104"/>
      <c r="B845" s="104"/>
      <c r="C845" s="37" t="s">
        <v>929</v>
      </c>
      <c r="D845" s="37"/>
    </row>
    <row r="846" spans="1:4" x14ac:dyDescent="0.2">
      <c r="A846" s="104"/>
      <c r="B846" s="104"/>
      <c r="C846" s="37" t="s">
        <v>930</v>
      </c>
      <c r="D846" s="37"/>
    </row>
    <row r="847" spans="1:4" x14ac:dyDescent="0.2">
      <c r="A847" s="104"/>
      <c r="B847" s="104"/>
      <c r="C847" s="37" t="s">
        <v>931</v>
      </c>
      <c r="D847" s="37"/>
    </row>
    <row r="848" spans="1:4" x14ac:dyDescent="0.2">
      <c r="A848" s="104"/>
      <c r="B848" s="104"/>
      <c r="C848" s="37" t="s">
        <v>932</v>
      </c>
      <c r="D848" s="37"/>
    </row>
    <row r="849" spans="1:4" x14ac:dyDescent="0.2">
      <c r="A849" s="104"/>
      <c r="B849" s="104"/>
      <c r="C849" s="37" t="s">
        <v>933</v>
      </c>
      <c r="D849" s="37"/>
    </row>
    <row r="850" spans="1:4" x14ac:dyDescent="0.2">
      <c r="A850" s="104"/>
      <c r="B850" s="104"/>
      <c r="C850" s="37" t="s">
        <v>314</v>
      </c>
      <c r="D850" s="37"/>
    </row>
    <row r="851" spans="1:4" x14ac:dyDescent="0.2">
      <c r="A851" s="48" t="s">
        <v>147</v>
      </c>
      <c r="B851" s="48"/>
      <c r="C851" s="39" t="s">
        <v>338</v>
      </c>
      <c r="D851" s="39"/>
    </row>
    <row r="852" spans="1:4" x14ac:dyDescent="0.2">
      <c r="A852" s="49"/>
      <c r="B852" s="49"/>
      <c r="C852" s="39" t="s">
        <v>339</v>
      </c>
      <c r="D852" s="39"/>
    </row>
    <row r="853" spans="1:4" x14ac:dyDescent="0.2">
      <c r="A853" s="104" t="s">
        <v>19</v>
      </c>
      <c r="B853" s="104" t="s">
        <v>54</v>
      </c>
      <c r="C853" s="37" t="s">
        <v>934</v>
      </c>
      <c r="D853" s="37"/>
    </row>
    <row r="854" spans="1:4" x14ac:dyDescent="0.2">
      <c r="A854" s="104"/>
      <c r="B854" s="104"/>
      <c r="C854" s="37" t="s">
        <v>935</v>
      </c>
      <c r="D854" s="37"/>
    </row>
    <row r="855" spans="1:4" x14ac:dyDescent="0.2">
      <c r="A855" s="104"/>
      <c r="B855" s="104"/>
      <c r="C855" s="37" t="s">
        <v>936</v>
      </c>
      <c r="D855" s="37"/>
    </row>
    <row r="856" spans="1:4" x14ac:dyDescent="0.2">
      <c r="A856" s="104"/>
      <c r="B856" s="104"/>
      <c r="C856" s="37" t="s">
        <v>937</v>
      </c>
      <c r="D856" s="37"/>
    </row>
    <row r="857" spans="1:4" x14ac:dyDescent="0.2">
      <c r="A857" s="104"/>
      <c r="B857" s="104"/>
      <c r="C857" s="37" t="s">
        <v>938</v>
      </c>
      <c r="D857" s="37"/>
    </row>
    <row r="858" spans="1:4" x14ac:dyDescent="0.2">
      <c r="A858" s="104"/>
      <c r="B858" s="104"/>
      <c r="C858" s="37" t="s">
        <v>939</v>
      </c>
      <c r="D858" s="37"/>
    </row>
    <row r="859" spans="1:4" x14ac:dyDescent="0.2">
      <c r="A859" s="104"/>
      <c r="B859" s="104"/>
      <c r="C859" s="37" t="s">
        <v>940</v>
      </c>
      <c r="D859" s="37"/>
    </row>
    <row r="860" spans="1:4" x14ac:dyDescent="0.2">
      <c r="A860" s="104"/>
      <c r="B860" s="104"/>
      <c r="C860" s="37" t="s">
        <v>941</v>
      </c>
      <c r="D860" s="37"/>
    </row>
    <row r="861" spans="1:4" x14ac:dyDescent="0.2">
      <c r="A861" s="104"/>
      <c r="B861" s="104"/>
      <c r="C861" s="37" t="s">
        <v>942</v>
      </c>
      <c r="D861" s="37"/>
    </row>
    <row r="862" spans="1:4" x14ac:dyDescent="0.2">
      <c r="A862" s="48" t="s">
        <v>20</v>
      </c>
      <c r="B862" s="48" t="s">
        <v>54</v>
      </c>
      <c r="C862" s="39" t="s">
        <v>943</v>
      </c>
      <c r="D862" s="39"/>
    </row>
    <row r="863" spans="1:4" x14ac:dyDescent="0.2">
      <c r="A863" s="49"/>
      <c r="B863" s="49"/>
      <c r="C863" s="39" t="s">
        <v>944</v>
      </c>
      <c r="D863" s="39"/>
    </row>
    <row r="864" spans="1:4" x14ac:dyDescent="0.2">
      <c r="A864" s="49"/>
      <c r="B864" s="49"/>
      <c r="C864" s="39" t="s">
        <v>945</v>
      </c>
      <c r="D864" s="39"/>
    </row>
    <row r="865" spans="1:4" x14ac:dyDescent="0.2">
      <c r="A865" s="49"/>
      <c r="B865" s="49"/>
      <c r="C865" s="39" t="s">
        <v>946</v>
      </c>
      <c r="D865" s="39"/>
    </row>
    <row r="866" spans="1:4" x14ac:dyDescent="0.2">
      <c r="A866" s="49"/>
      <c r="B866" s="49"/>
      <c r="C866" s="39" t="s">
        <v>947</v>
      </c>
      <c r="D866" s="39"/>
    </row>
    <row r="867" spans="1:4" x14ac:dyDescent="0.2">
      <c r="A867" s="49"/>
      <c r="B867" s="49"/>
      <c r="C867" s="39" t="s">
        <v>948</v>
      </c>
      <c r="D867" s="39"/>
    </row>
    <row r="868" spans="1:4" x14ac:dyDescent="0.2">
      <c r="A868" s="49"/>
      <c r="B868" s="49"/>
      <c r="C868" s="39" t="s">
        <v>949</v>
      </c>
      <c r="D868" s="39"/>
    </row>
    <row r="869" spans="1:4" x14ac:dyDescent="0.2">
      <c r="A869" s="49"/>
      <c r="B869" s="49"/>
      <c r="C869" s="39" t="s">
        <v>950</v>
      </c>
      <c r="D869" s="39"/>
    </row>
    <row r="870" spans="1:4" x14ac:dyDescent="0.2">
      <c r="A870" s="104" t="s">
        <v>21</v>
      </c>
      <c r="B870" s="104" t="s">
        <v>54</v>
      </c>
      <c r="C870" s="37" t="s">
        <v>943</v>
      </c>
      <c r="D870" s="37"/>
    </row>
    <row r="871" spans="1:4" x14ac:dyDescent="0.2">
      <c r="A871" s="104"/>
      <c r="B871" s="104"/>
      <c r="C871" s="37" t="s">
        <v>945</v>
      </c>
      <c r="D871" s="37"/>
    </row>
    <row r="872" spans="1:4" x14ac:dyDescent="0.2">
      <c r="A872" s="104"/>
      <c r="B872" s="104"/>
      <c r="C872" s="37" t="s">
        <v>947</v>
      </c>
      <c r="D872" s="37"/>
    </row>
    <row r="873" spans="1:4" x14ac:dyDescent="0.2">
      <c r="A873" s="104"/>
      <c r="B873" s="104"/>
      <c r="C873" s="37" t="s">
        <v>314</v>
      </c>
      <c r="D873" s="37"/>
    </row>
    <row r="874" spans="1:4" x14ac:dyDescent="0.2">
      <c r="A874" s="48" t="s">
        <v>22</v>
      </c>
      <c r="B874" s="48" t="s">
        <v>54</v>
      </c>
      <c r="C874" s="39" t="s">
        <v>951</v>
      </c>
      <c r="D874" s="39"/>
    </row>
    <row r="875" spans="1:4" x14ac:dyDescent="0.2">
      <c r="A875" s="49"/>
      <c r="B875" s="49"/>
      <c r="C875" s="39" t="s">
        <v>754</v>
      </c>
      <c r="D875" s="39"/>
    </row>
    <row r="876" spans="1:4" x14ac:dyDescent="0.2">
      <c r="A876" s="49"/>
      <c r="B876" s="49"/>
      <c r="C876" s="39" t="s">
        <v>755</v>
      </c>
      <c r="D876" s="39"/>
    </row>
    <row r="877" spans="1:4" x14ac:dyDescent="0.2">
      <c r="A877" s="49"/>
      <c r="B877" s="49"/>
      <c r="C877" s="39" t="s">
        <v>756</v>
      </c>
      <c r="D877" s="39"/>
    </row>
    <row r="878" spans="1:4" x14ac:dyDescent="0.2">
      <c r="A878" s="49"/>
      <c r="B878" s="49"/>
      <c r="C878" s="39" t="s">
        <v>952</v>
      </c>
      <c r="D878" s="39"/>
    </row>
    <row r="879" spans="1:4" x14ac:dyDescent="0.2">
      <c r="A879" s="49"/>
      <c r="B879" s="49"/>
      <c r="C879" s="39" t="s">
        <v>953</v>
      </c>
      <c r="D879" s="39"/>
    </row>
    <row r="880" spans="1:4" x14ac:dyDescent="0.2">
      <c r="A880" s="49"/>
      <c r="B880" s="49"/>
      <c r="C880" s="39" t="s">
        <v>954</v>
      </c>
      <c r="D880" s="39"/>
    </row>
    <row r="881" spans="1:5" x14ac:dyDescent="0.2">
      <c r="A881" s="49"/>
      <c r="B881" s="49"/>
      <c r="C881" s="39" t="s">
        <v>955</v>
      </c>
      <c r="D881" s="39"/>
    </row>
    <row r="882" spans="1:5" x14ac:dyDescent="0.2">
      <c r="A882" s="49"/>
      <c r="B882" s="49"/>
      <c r="C882" s="39" t="s">
        <v>956</v>
      </c>
      <c r="D882" s="39" t="s">
        <v>956</v>
      </c>
      <c r="E882" t="s">
        <v>214</v>
      </c>
    </row>
    <row r="883" spans="1:5" x14ac:dyDescent="0.2">
      <c r="A883" s="50"/>
      <c r="B883" s="50"/>
      <c r="C883" s="39" t="s">
        <v>314</v>
      </c>
      <c r="D883" s="39"/>
    </row>
    <row r="884" spans="1:5" x14ac:dyDescent="0.2">
      <c r="A884" s="58" t="s">
        <v>23</v>
      </c>
      <c r="B884" s="58" t="s">
        <v>54</v>
      </c>
      <c r="C884" s="37" t="s">
        <v>917</v>
      </c>
      <c r="D884" s="37"/>
    </row>
    <row r="885" spans="1:5" x14ac:dyDescent="0.2">
      <c r="A885" s="59"/>
      <c r="B885" s="59"/>
      <c r="C885" s="37" t="s">
        <v>957</v>
      </c>
      <c r="D885" s="37"/>
    </row>
    <row r="886" spans="1:5" x14ac:dyDescent="0.2">
      <c r="A886" s="59"/>
      <c r="B886" s="59"/>
      <c r="C886" s="37" t="s">
        <v>958</v>
      </c>
      <c r="D886" s="37"/>
    </row>
    <row r="887" spans="1:5" x14ac:dyDescent="0.2">
      <c r="A887" s="59"/>
      <c r="B887" s="59"/>
      <c r="C887" s="37" t="s">
        <v>959</v>
      </c>
      <c r="D887" s="37"/>
    </row>
    <row r="888" spans="1:5" x14ac:dyDescent="0.2">
      <c r="A888" s="59"/>
      <c r="B888" s="59"/>
      <c r="C888" s="37" t="s">
        <v>960</v>
      </c>
      <c r="D888" s="37"/>
    </row>
    <row r="889" spans="1:5" x14ac:dyDescent="0.2">
      <c r="A889" s="59"/>
      <c r="B889" s="59"/>
      <c r="C889" s="37" t="s">
        <v>961</v>
      </c>
      <c r="D889" s="37" t="s">
        <v>962</v>
      </c>
    </row>
    <row r="890" spans="1:5" x14ac:dyDescent="0.2">
      <c r="A890" s="59"/>
      <c r="B890" s="59"/>
      <c r="C890" s="37" t="s">
        <v>963</v>
      </c>
      <c r="D890" s="37"/>
    </row>
    <row r="891" spans="1:5" x14ac:dyDescent="0.2">
      <c r="A891" s="48" t="s">
        <v>24</v>
      </c>
      <c r="B891" s="48" t="s">
        <v>54</v>
      </c>
      <c r="C891" s="39" t="s">
        <v>964</v>
      </c>
      <c r="D891" s="39"/>
    </row>
    <row r="892" spans="1:5" x14ac:dyDescent="0.2">
      <c r="A892" s="49"/>
      <c r="B892" s="49"/>
      <c r="C892" s="39" t="s">
        <v>965</v>
      </c>
      <c r="D892" s="39"/>
    </row>
    <row r="893" spans="1:5" x14ac:dyDescent="0.2">
      <c r="A893" s="49"/>
      <c r="B893" s="49"/>
      <c r="C893" s="39" t="s">
        <v>966</v>
      </c>
      <c r="D893" s="39"/>
    </row>
    <row r="894" spans="1:5" x14ac:dyDescent="0.2">
      <c r="A894" s="49"/>
      <c r="B894" s="49"/>
      <c r="C894" s="39" t="s">
        <v>967</v>
      </c>
      <c r="D894" s="39"/>
    </row>
    <row r="895" spans="1:5" x14ac:dyDescent="0.2">
      <c r="A895" s="49"/>
      <c r="B895" s="49"/>
      <c r="C895" s="39" t="s">
        <v>968</v>
      </c>
      <c r="D895" s="39"/>
    </row>
    <row r="896" spans="1:5" x14ac:dyDescent="0.2">
      <c r="A896" s="49"/>
      <c r="B896" s="49"/>
      <c r="C896" s="39" t="s">
        <v>314</v>
      </c>
      <c r="D896" s="39"/>
    </row>
    <row r="897" spans="1:4" x14ac:dyDescent="0.2">
      <c r="A897" s="58" t="s">
        <v>25</v>
      </c>
      <c r="B897" s="58" t="s">
        <v>54</v>
      </c>
      <c r="C897" s="37" t="s">
        <v>969</v>
      </c>
      <c r="D897" s="37"/>
    </row>
    <row r="898" spans="1:4" x14ac:dyDescent="0.2">
      <c r="A898" s="59"/>
      <c r="B898" s="59"/>
      <c r="C898" s="37" t="s">
        <v>970</v>
      </c>
      <c r="D898" s="37"/>
    </row>
    <row r="899" spans="1:4" x14ac:dyDescent="0.2">
      <c r="A899" s="59"/>
      <c r="B899" s="59"/>
      <c r="C899" s="37" t="s">
        <v>917</v>
      </c>
      <c r="D899" s="37"/>
    </row>
    <row r="900" spans="1:4" x14ac:dyDescent="0.2">
      <c r="A900" s="59"/>
      <c r="B900" s="59"/>
      <c r="C900" s="37" t="s">
        <v>314</v>
      </c>
      <c r="D900" s="37"/>
    </row>
    <row r="901" spans="1:4" x14ac:dyDescent="0.2">
      <c r="A901" s="48" t="s">
        <v>27</v>
      </c>
      <c r="B901" s="48" t="s">
        <v>54</v>
      </c>
      <c r="C901" s="39" t="s">
        <v>971</v>
      </c>
      <c r="D901" s="39"/>
    </row>
    <row r="902" spans="1:4" x14ac:dyDescent="0.2">
      <c r="A902" s="49"/>
      <c r="B902" s="49"/>
      <c r="C902" s="39" t="s">
        <v>972</v>
      </c>
      <c r="D902" s="39"/>
    </row>
    <row r="903" spans="1:4" x14ac:dyDescent="0.2">
      <c r="A903" s="49"/>
      <c r="B903" s="49"/>
      <c r="C903" s="39" t="s">
        <v>746</v>
      </c>
      <c r="D903" s="39"/>
    </row>
    <row r="904" spans="1:4" x14ac:dyDescent="0.2">
      <c r="A904" s="49"/>
      <c r="B904" s="49"/>
      <c r="C904" s="39" t="s">
        <v>973</v>
      </c>
      <c r="D904" s="39"/>
    </row>
    <row r="905" spans="1:4" x14ac:dyDescent="0.2">
      <c r="A905" s="49"/>
      <c r="B905" s="49"/>
      <c r="C905" s="39" t="s">
        <v>974</v>
      </c>
      <c r="D905" s="39"/>
    </row>
    <row r="906" spans="1:4" x14ac:dyDescent="0.2">
      <c r="A906" s="115" t="s">
        <v>29</v>
      </c>
      <c r="B906" s="115" t="s">
        <v>54</v>
      </c>
      <c r="C906" s="42" t="s">
        <v>975</v>
      </c>
      <c r="D906" s="42"/>
    </row>
    <row r="907" spans="1:4" x14ac:dyDescent="0.2">
      <c r="A907" s="104"/>
      <c r="B907" s="104"/>
      <c r="C907" s="42" t="s">
        <v>976</v>
      </c>
      <c r="D907" s="42"/>
    </row>
    <row r="908" spans="1:4" x14ac:dyDescent="0.2">
      <c r="A908" s="104"/>
      <c r="B908" s="104"/>
      <c r="C908" s="37" t="s">
        <v>977</v>
      </c>
      <c r="D908" s="37"/>
    </row>
    <row r="909" spans="1:4" x14ac:dyDescent="0.2">
      <c r="A909" s="104"/>
      <c r="B909" s="104"/>
      <c r="C909" s="37" t="s">
        <v>978</v>
      </c>
      <c r="D909" s="37"/>
    </row>
    <row r="910" spans="1:4" x14ac:dyDescent="0.2">
      <c r="A910" s="104"/>
      <c r="B910" s="104"/>
      <c r="C910" s="37" t="s">
        <v>979</v>
      </c>
      <c r="D910" s="37"/>
    </row>
    <row r="911" spans="1:4" x14ac:dyDescent="0.2">
      <c r="A911" s="104"/>
      <c r="B911" s="104"/>
      <c r="C911" s="37" t="s">
        <v>980</v>
      </c>
      <c r="D911" s="37"/>
    </row>
    <row r="912" spans="1:4" x14ac:dyDescent="0.2">
      <c r="A912" s="116" t="s">
        <v>30</v>
      </c>
      <c r="B912" s="116" t="s">
        <v>54</v>
      </c>
      <c r="C912" s="44" t="s">
        <v>943</v>
      </c>
      <c r="D912" s="44"/>
    </row>
    <row r="913" spans="1:5" x14ac:dyDescent="0.2">
      <c r="A913" s="110"/>
      <c r="B913" s="110"/>
      <c r="C913" s="44" t="s">
        <v>944</v>
      </c>
      <c r="D913" s="44"/>
    </row>
    <row r="914" spans="1:5" x14ac:dyDescent="0.2">
      <c r="A914" s="110"/>
      <c r="B914" s="110"/>
      <c r="C914" s="39" t="s">
        <v>945</v>
      </c>
      <c r="D914" s="39"/>
    </row>
    <row r="915" spans="1:5" x14ac:dyDescent="0.2">
      <c r="A915" s="110"/>
      <c r="B915" s="110"/>
      <c r="C915" s="39" t="s">
        <v>946</v>
      </c>
      <c r="D915" s="39"/>
    </row>
    <row r="916" spans="1:5" x14ac:dyDescent="0.2">
      <c r="A916" s="110"/>
      <c r="B916" s="110"/>
      <c r="C916" s="39" t="s">
        <v>947</v>
      </c>
      <c r="D916" s="39"/>
    </row>
    <row r="917" spans="1:5" x14ac:dyDescent="0.2">
      <c r="A917" s="110"/>
      <c r="B917" s="110"/>
      <c r="C917" s="39" t="s">
        <v>948</v>
      </c>
      <c r="D917" s="39"/>
    </row>
    <row r="918" spans="1:5" x14ac:dyDescent="0.2">
      <c r="A918" s="110"/>
      <c r="B918" s="110"/>
      <c r="C918" s="44" t="s">
        <v>949</v>
      </c>
      <c r="D918" s="44"/>
    </row>
    <row r="919" spans="1:5" x14ac:dyDescent="0.2">
      <c r="A919" s="110"/>
      <c r="B919" s="110"/>
      <c r="C919" s="44" t="s">
        <v>950</v>
      </c>
      <c r="D919" s="44"/>
    </row>
    <row r="920" spans="1:5" ht="15" x14ac:dyDescent="0.25">
      <c r="A920" s="115" t="s">
        <v>31</v>
      </c>
      <c r="B920" s="115" t="s">
        <v>54</v>
      </c>
      <c r="C920" s="42" t="s">
        <v>981</v>
      </c>
      <c r="D920" s="42"/>
      <c r="E920" s="43"/>
    </row>
    <row r="921" spans="1:5" ht="15" x14ac:dyDescent="0.25">
      <c r="A921" s="104"/>
      <c r="B921" s="104"/>
      <c r="C921" s="42" t="s">
        <v>982</v>
      </c>
      <c r="D921" s="42"/>
      <c r="E921" s="43"/>
    </row>
    <row r="922" spans="1:5" ht="15" x14ac:dyDescent="0.25">
      <c r="A922" s="104"/>
      <c r="B922" s="104"/>
      <c r="C922" s="37" t="s">
        <v>983</v>
      </c>
      <c r="D922" s="37"/>
      <c r="E922" s="43"/>
    </row>
    <row r="923" spans="1:5" ht="15" x14ac:dyDescent="0.25">
      <c r="A923" s="104"/>
      <c r="B923" s="104"/>
      <c r="C923" s="37" t="s">
        <v>984</v>
      </c>
      <c r="D923" s="37"/>
      <c r="E923" s="43"/>
    </row>
    <row r="924" spans="1:5" ht="15" x14ac:dyDescent="0.25">
      <c r="A924" s="104"/>
      <c r="B924" s="104"/>
      <c r="C924" s="37" t="s">
        <v>985</v>
      </c>
      <c r="D924" s="37"/>
      <c r="E924" s="43"/>
    </row>
    <row r="925" spans="1:5" x14ac:dyDescent="0.2">
      <c r="A925" s="104"/>
      <c r="B925" s="104"/>
      <c r="C925" s="37" t="s">
        <v>314</v>
      </c>
      <c r="D925" s="37"/>
    </row>
    <row r="926" spans="1:5" x14ac:dyDescent="0.2">
      <c r="A926" s="116" t="s">
        <v>32</v>
      </c>
      <c r="B926" s="116" t="s">
        <v>54</v>
      </c>
      <c r="C926" s="39" t="s">
        <v>986</v>
      </c>
      <c r="D926" s="39"/>
    </row>
    <row r="927" spans="1:5" x14ac:dyDescent="0.2">
      <c r="A927" s="110"/>
      <c r="B927" s="110"/>
      <c r="C927" s="39" t="s">
        <v>987</v>
      </c>
      <c r="D927" s="39"/>
    </row>
    <row r="928" spans="1:5" x14ac:dyDescent="0.2">
      <c r="A928" s="110"/>
      <c r="B928" s="110"/>
      <c r="C928" s="39" t="s">
        <v>988</v>
      </c>
      <c r="D928" s="39"/>
    </row>
    <row r="929" spans="1:5" x14ac:dyDescent="0.2">
      <c r="A929" s="64" t="s">
        <v>33</v>
      </c>
      <c r="B929" s="64" t="s">
        <v>54</v>
      </c>
      <c r="C929" s="42" t="s">
        <v>989</v>
      </c>
      <c r="D929" s="42"/>
    </row>
    <row r="930" spans="1:5" x14ac:dyDescent="0.2">
      <c r="A930" s="65"/>
      <c r="B930" s="65"/>
      <c r="C930" s="42" t="s">
        <v>754</v>
      </c>
      <c r="D930" s="42"/>
    </row>
    <row r="931" spans="1:5" x14ac:dyDescent="0.2">
      <c r="A931" s="65"/>
      <c r="B931" s="65"/>
      <c r="C931" s="37" t="s">
        <v>951</v>
      </c>
      <c r="D931" s="37"/>
    </row>
    <row r="932" spans="1:5" x14ac:dyDescent="0.2">
      <c r="A932" s="65"/>
      <c r="B932" s="65"/>
      <c r="C932" s="37" t="s">
        <v>755</v>
      </c>
      <c r="D932" s="37"/>
    </row>
    <row r="933" spans="1:5" x14ac:dyDescent="0.2">
      <c r="A933" s="65"/>
      <c r="B933" s="65"/>
      <c r="C933" s="37" t="s">
        <v>314</v>
      </c>
      <c r="D933" s="37"/>
    </row>
    <row r="934" spans="1:5" x14ac:dyDescent="0.2">
      <c r="A934" s="68" t="s">
        <v>34</v>
      </c>
      <c r="B934" s="68" t="s">
        <v>54</v>
      </c>
      <c r="C934" s="44" t="s">
        <v>951</v>
      </c>
      <c r="D934" s="44"/>
    </row>
    <row r="935" spans="1:5" x14ac:dyDescent="0.2">
      <c r="A935" s="69"/>
      <c r="B935" s="69"/>
      <c r="C935" s="44" t="s">
        <v>754</v>
      </c>
      <c r="D935" s="44"/>
    </row>
    <row r="936" spans="1:5" x14ac:dyDescent="0.2">
      <c r="A936" s="69"/>
      <c r="B936" s="69"/>
      <c r="C936" s="39" t="s">
        <v>755</v>
      </c>
      <c r="D936" s="39"/>
    </row>
    <row r="937" spans="1:5" x14ac:dyDescent="0.2">
      <c r="A937" s="69"/>
      <c r="B937" s="69"/>
      <c r="C937" s="39" t="s">
        <v>756</v>
      </c>
      <c r="D937" s="39"/>
    </row>
    <row r="938" spans="1:5" x14ac:dyDescent="0.2">
      <c r="A938" s="69"/>
      <c r="B938" s="69"/>
      <c r="C938" s="39" t="s">
        <v>990</v>
      </c>
      <c r="D938" s="39"/>
    </row>
    <row r="939" spans="1:5" x14ac:dyDescent="0.2">
      <c r="A939" s="69"/>
      <c r="B939" s="69"/>
      <c r="C939" s="44" t="s">
        <v>990</v>
      </c>
      <c r="D939" s="44"/>
    </row>
    <row r="940" spans="1:5" x14ac:dyDescent="0.2">
      <c r="A940" s="69"/>
      <c r="B940" s="69"/>
      <c r="C940" s="44" t="s">
        <v>953</v>
      </c>
      <c r="D940" s="44"/>
    </row>
    <row r="941" spans="1:5" x14ac:dyDescent="0.2">
      <c r="A941" s="69"/>
      <c r="B941" s="69"/>
      <c r="C941" s="39" t="s">
        <v>954</v>
      </c>
      <c r="D941" s="39"/>
    </row>
    <row r="942" spans="1:5" x14ac:dyDescent="0.2">
      <c r="A942" s="69"/>
      <c r="B942" s="69"/>
      <c r="C942" s="44" t="s">
        <v>955</v>
      </c>
      <c r="D942" s="44"/>
    </row>
    <row r="943" spans="1:5" x14ac:dyDescent="0.2">
      <c r="A943" s="69"/>
      <c r="B943" s="69"/>
      <c r="C943" s="44" t="s">
        <v>989</v>
      </c>
      <c r="D943" s="44"/>
    </row>
    <row r="944" spans="1:5" x14ac:dyDescent="0.2">
      <c r="A944" s="69"/>
      <c r="B944" s="69"/>
      <c r="C944" s="39" t="s">
        <v>991</v>
      </c>
      <c r="D944" s="39" t="s">
        <v>991</v>
      </c>
      <c r="E944" t="s">
        <v>214</v>
      </c>
    </row>
    <row r="945" spans="1:4" x14ac:dyDescent="0.2">
      <c r="A945" s="89"/>
      <c r="B945" s="89"/>
      <c r="C945" s="39" t="s">
        <v>314</v>
      </c>
      <c r="D945" s="39"/>
    </row>
    <row r="946" spans="1:4" ht="14.25" customHeight="1" x14ac:dyDescent="0.2">
      <c r="A946" s="64" t="s">
        <v>35</v>
      </c>
      <c r="B946" s="64" t="s">
        <v>54</v>
      </c>
      <c r="C946" s="42" t="s">
        <v>992</v>
      </c>
      <c r="D946" s="42"/>
    </row>
    <row r="947" spans="1:4" x14ac:dyDescent="0.2">
      <c r="A947" s="65"/>
      <c r="B947" s="65"/>
      <c r="C947" s="42" t="s">
        <v>993</v>
      </c>
      <c r="D947" s="42"/>
    </row>
    <row r="948" spans="1:4" x14ac:dyDescent="0.2">
      <c r="A948" s="65"/>
      <c r="B948" s="65"/>
      <c r="C948" s="37" t="s">
        <v>994</v>
      </c>
      <c r="D948" s="37"/>
    </row>
    <row r="949" spans="1:4" x14ac:dyDescent="0.2">
      <c r="A949" s="65"/>
      <c r="B949" s="65"/>
      <c r="C949" s="37" t="s">
        <v>995</v>
      </c>
      <c r="D949" s="37"/>
    </row>
    <row r="950" spans="1:4" x14ac:dyDescent="0.2">
      <c r="A950" s="65"/>
      <c r="B950" s="65"/>
      <c r="C950" s="37" t="s">
        <v>996</v>
      </c>
      <c r="D950" s="37"/>
    </row>
    <row r="951" spans="1:4" x14ac:dyDescent="0.2">
      <c r="A951" s="65"/>
      <c r="B951" s="65"/>
      <c r="C951" s="42" t="s">
        <v>765</v>
      </c>
      <c r="D951" s="42"/>
    </row>
    <row r="952" spans="1:4" x14ac:dyDescent="0.2">
      <c r="A952" s="65"/>
      <c r="B952" s="65"/>
      <c r="C952" s="42" t="s">
        <v>989</v>
      </c>
      <c r="D952" s="42"/>
    </row>
    <row r="953" spans="1:4" x14ac:dyDescent="0.2">
      <c r="A953" s="65"/>
      <c r="B953" s="65"/>
      <c r="C953" s="37" t="s">
        <v>997</v>
      </c>
      <c r="D953" s="37" t="s">
        <v>998</v>
      </c>
    </row>
    <row r="954" spans="1:4" x14ac:dyDescent="0.2">
      <c r="A954" s="65"/>
      <c r="B954" s="65"/>
      <c r="C954" s="37" t="s">
        <v>961</v>
      </c>
      <c r="D954" s="37" t="s">
        <v>962</v>
      </c>
    </row>
    <row r="955" spans="1:4" x14ac:dyDescent="0.2">
      <c r="A955" s="65"/>
      <c r="B955" s="65"/>
      <c r="C955" s="37" t="s">
        <v>314</v>
      </c>
      <c r="D955" s="37"/>
    </row>
    <row r="956" spans="1:4" x14ac:dyDescent="0.2">
      <c r="A956" s="68" t="s">
        <v>36</v>
      </c>
      <c r="B956" s="68" t="s">
        <v>54</v>
      </c>
      <c r="C956" s="39" t="s">
        <v>999</v>
      </c>
      <c r="D956" s="39"/>
    </row>
    <row r="957" spans="1:4" x14ac:dyDescent="0.2">
      <c r="A957" s="69"/>
      <c r="B957" s="69"/>
      <c r="C957" s="39" t="s">
        <v>1000</v>
      </c>
      <c r="D957" s="39"/>
    </row>
    <row r="958" spans="1:4" x14ac:dyDescent="0.2">
      <c r="A958" s="69"/>
      <c r="B958" s="69"/>
      <c r="C958" s="39" t="s">
        <v>1001</v>
      </c>
      <c r="D958" s="39"/>
    </row>
    <row r="959" spans="1:4" x14ac:dyDescent="0.2">
      <c r="A959" s="69"/>
      <c r="B959" s="69"/>
      <c r="C959" s="39" t="s">
        <v>1002</v>
      </c>
      <c r="D959" s="39"/>
    </row>
    <row r="960" spans="1:4" x14ac:dyDescent="0.2">
      <c r="A960" s="69"/>
      <c r="B960" s="69"/>
      <c r="C960" s="39" t="s">
        <v>1003</v>
      </c>
      <c r="D960" s="39"/>
    </row>
    <row r="961" spans="1:5" x14ac:dyDescent="0.2">
      <c r="A961" s="69"/>
      <c r="B961" s="69"/>
      <c r="C961" s="39" t="s">
        <v>1004</v>
      </c>
      <c r="D961" s="39"/>
    </row>
    <row r="962" spans="1:5" x14ac:dyDescent="0.2">
      <c r="A962" s="69"/>
      <c r="B962" s="69"/>
      <c r="C962" s="39" t="s">
        <v>1005</v>
      </c>
      <c r="D962" s="39"/>
    </row>
    <row r="963" spans="1:5" x14ac:dyDescent="0.2">
      <c r="A963" s="69"/>
      <c r="B963" s="69"/>
      <c r="C963" s="39" t="s">
        <v>848</v>
      </c>
      <c r="D963" s="39"/>
      <c r="E963" t="s">
        <v>214</v>
      </c>
    </row>
    <row r="964" spans="1:5" x14ac:dyDescent="0.2">
      <c r="A964" s="70" t="s">
        <v>38</v>
      </c>
      <c r="B964" s="64" t="s">
        <v>54</v>
      </c>
      <c r="C964" s="37" t="s">
        <v>971</v>
      </c>
      <c r="D964" s="37"/>
    </row>
    <row r="965" spans="1:5" x14ac:dyDescent="0.2">
      <c r="A965" s="71"/>
      <c r="B965" s="65"/>
      <c r="C965" s="37" t="s">
        <v>972</v>
      </c>
      <c r="D965" s="37"/>
    </row>
    <row r="966" spans="1:5" x14ac:dyDescent="0.2">
      <c r="A966" s="71"/>
      <c r="B966" s="65"/>
      <c r="C966" s="37" t="s">
        <v>746</v>
      </c>
      <c r="D966" s="37"/>
    </row>
    <row r="967" spans="1:5" x14ac:dyDescent="0.2">
      <c r="A967" s="71"/>
      <c r="B967" s="65"/>
      <c r="C967" s="37" t="s">
        <v>973</v>
      </c>
      <c r="D967" s="37"/>
    </row>
    <row r="968" spans="1:5" x14ac:dyDescent="0.2">
      <c r="A968" s="71"/>
      <c r="B968" s="65"/>
      <c r="C968" s="37" t="s">
        <v>974</v>
      </c>
      <c r="D968" s="37"/>
    </row>
    <row r="969" spans="1:5" x14ac:dyDescent="0.2">
      <c r="A969" s="71"/>
      <c r="B969" s="65"/>
      <c r="C969" s="37" t="s">
        <v>1006</v>
      </c>
      <c r="D969" s="37"/>
      <c r="E969" t="s">
        <v>214</v>
      </c>
    </row>
    <row r="970" spans="1:5" x14ac:dyDescent="0.2">
      <c r="A970" s="72" t="s">
        <v>40</v>
      </c>
      <c r="B970" s="68" t="s">
        <v>54</v>
      </c>
      <c r="C970" s="39" t="s">
        <v>1007</v>
      </c>
      <c r="D970" s="39"/>
    </row>
    <row r="971" spans="1:5" x14ac:dyDescent="0.2">
      <c r="A971" s="73"/>
      <c r="B971" s="69"/>
      <c r="C971" s="39" t="s">
        <v>1008</v>
      </c>
      <c r="D971" s="39"/>
    </row>
    <row r="972" spans="1:5" x14ac:dyDescent="0.2">
      <c r="A972" s="73"/>
      <c r="B972" s="69"/>
      <c r="C972" s="39" t="s">
        <v>1009</v>
      </c>
      <c r="D972" s="39"/>
    </row>
    <row r="973" spans="1:5" x14ac:dyDescent="0.2">
      <c r="A973" s="73"/>
      <c r="B973" s="69"/>
      <c r="C973" s="39" t="s">
        <v>1010</v>
      </c>
      <c r="D973" s="39"/>
    </row>
    <row r="974" spans="1:5" x14ac:dyDescent="0.2">
      <c r="A974" s="73"/>
      <c r="B974" s="69"/>
      <c r="C974" s="39" t="s">
        <v>1011</v>
      </c>
      <c r="D974" s="39"/>
    </row>
    <row r="975" spans="1:5" x14ac:dyDescent="0.2">
      <c r="A975" s="73"/>
      <c r="B975" s="69"/>
      <c r="C975" s="39" t="s">
        <v>1012</v>
      </c>
      <c r="D975" s="39"/>
    </row>
    <row r="976" spans="1:5" x14ac:dyDescent="0.2">
      <c r="A976" s="90"/>
      <c r="B976" s="89"/>
      <c r="C976" s="39" t="s">
        <v>314</v>
      </c>
      <c r="D976" s="39"/>
    </row>
    <row r="977" spans="1:5" x14ac:dyDescent="0.2">
      <c r="A977" s="64" t="s">
        <v>39</v>
      </c>
      <c r="B977" s="64" t="s">
        <v>54</v>
      </c>
      <c r="C977" s="37" t="s">
        <v>1013</v>
      </c>
      <c r="D977" s="37"/>
      <c r="E977" t="s">
        <v>1014</v>
      </c>
    </row>
    <row r="978" spans="1:5" x14ac:dyDescent="0.2">
      <c r="A978" s="65"/>
      <c r="B978" s="65"/>
      <c r="C978" s="37" t="s">
        <v>1015</v>
      </c>
      <c r="D978" s="37"/>
    </row>
    <row r="979" spans="1:5" x14ac:dyDescent="0.2">
      <c r="A979" s="65"/>
      <c r="B979" s="65"/>
      <c r="C979" s="37" t="s">
        <v>1016</v>
      </c>
      <c r="D979" s="37"/>
    </row>
    <row r="980" spans="1:5" x14ac:dyDescent="0.2">
      <c r="A980" s="65"/>
      <c r="B980" s="65"/>
      <c r="C980" s="37" t="s">
        <v>1017</v>
      </c>
      <c r="D980" s="37"/>
    </row>
    <row r="981" spans="1:5" x14ac:dyDescent="0.2">
      <c r="A981" s="65"/>
      <c r="B981" s="65"/>
      <c r="C981" s="37" t="s">
        <v>1018</v>
      </c>
      <c r="D981" s="37"/>
    </row>
    <row r="982" spans="1:5" x14ac:dyDescent="0.2">
      <c r="A982" s="65"/>
      <c r="B982" s="65"/>
      <c r="C982" s="37" t="s">
        <v>1019</v>
      </c>
      <c r="D982" s="37"/>
    </row>
    <row r="983" spans="1:5" x14ac:dyDescent="0.2">
      <c r="A983" s="65"/>
      <c r="B983" s="65"/>
      <c r="C983" s="37" t="s">
        <v>1020</v>
      </c>
      <c r="D983" s="37"/>
    </row>
    <row r="984" spans="1:5" x14ac:dyDescent="0.2">
      <c r="A984" s="65"/>
      <c r="B984" s="65"/>
      <c r="C984" s="37" t="s">
        <v>1021</v>
      </c>
      <c r="D984" s="37"/>
    </row>
    <row r="985" spans="1:5" x14ac:dyDescent="0.2">
      <c r="A985" s="65"/>
      <c r="B985" s="65"/>
      <c r="C985" s="37" t="s">
        <v>1022</v>
      </c>
      <c r="D985" s="37" t="s">
        <v>1023</v>
      </c>
      <c r="E985" t="s">
        <v>214</v>
      </c>
    </row>
    <row r="986" spans="1:5" x14ac:dyDescent="0.2">
      <c r="A986" s="72" t="s">
        <v>41</v>
      </c>
      <c r="B986" s="68" t="s">
        <v>54</v>
      </c>
      <c r="C986" s="39" t="s">
        <v>975</v>
      </c>
      <c r="D986" s="39"/>
    </row>
    <row r="987" spans="1:5" x14ac:dyDescent="0.2">
      <c r="A987" s="73"/>
      <c r="B987" s="69"/>
      <c r="C987" s="39" t="s">
        <v>976</v>
      </c>
      <c r="D987" s="39"/>
    </row>
    <row r="988" spans="1:5" x14ac:dyDescent="0.2">
      <c r="A988" s="73"/>
      <c r="B988" s="69"/>
      <c r="C988" s="39" t="s">
        <v>1024</v>
      </c>
      <c r="D988" s="39"/>
    </row>
    <row r="989" spans="1:5" x14ac:dyDescent="0.2">
      <c r="A989" s="73"/>
      <c r="B989" s="69"/>
      <c r="C989" s="39" t="s">
        <v>1025</v>
      </c>
      <c r="D989" s="39"/>
    </row>
    <row r="990" spans="1:5" x14ac:dyDescent="0.2">
      <c r="A990" s="73"/>
      <c r="B990" s="69"/>
      <c r="C990" s="39" t="s">
        <v>1026</v>
      </c>
      <c r="D990" s="39"/>
    </row>
    <row r="991" spans="1:5" x14ac:dyDescent="0.2">
      <c r="A991" s="73"/>
      <c r="B991" s="69"/>
      <c r="C991" s="39" t="s">
        <v>1027</v>
      </c>
      <c r="D991" s="39"/>
    </row>
    <row r="992" spans="1:5" x14ac:dyDescent="0.2">
      <c r="A992" s="64" t="s">
        <v>42</v>
      </c>
      <c r="B992" s="64" t="s">
        <v>54</v>
      </c>
      <c r="C992" s="37" t="s">
        <v>754</v>
      </c>
      <c r="D992" s="37"/>
    </row>
    <row r="993" spans="1:5" x14ac:dyDescent="0.2">
      <c r="A993" s="65"/>
      <c r="B993" s="65"/>
      <c r="C993" s="37" t="s">
        <v>951</v>
      </c>
      <c r="D993" s="37"/>
    </row>
    <row r="994" spans="1:5" x14ac:dyDescent="0.2">
      <c r="A994" s="65"/>
      <c r="B994" s="65"/>
      <c r="C994" s="37" t="s">
        <v>950</v>
      </c>
      <c r="D994" s="37"/>
    </row>
    <row r="995" spans="1:5" x14ac:dyDescent="0.2">
      <c r="A995" s="65"/>
      <c r="B995" s="65"/>
      <c r="C995" s="37" t="s">
        <v>755</v>
      </c>
      <c r="D995" s="37"/>
    </row>
    <row r="996" spans="1:5" x14ac:dyDescent="0.2">
      <c r="A996" s="65"/>
      <c r="B996" s="65"/>
      <c r="C996" s="37" t="s">
        <v>1028</v>
      </c>
      <c r="D996" s="37" t="s">
        <v>1029</v>
      </c>
    </row>
    <row r="997" spans="1:5" x14ac:dyDescent="0.2">
      <c r="A997" s="65"/>
      <c r="B997" s="65"/>
      <c r="C997" s="37" t="s">
        <v>314</v>
      </c>
      <c r="D997" s="37"/>
    </row>
    <row r="998" spans="1:5" x14ac:dyDescent="0.2">
      <c r="A998" s="68" t="s">
        <v>43</v>
      </c>
      <c r="B998" s="68" t="s">
        <v>54</v>
      </c>
      <c r="C998" s="39" t="s">
        <v>1030</v>
      </c>
      <c r="D998" s="39"/>
      <c r="E998" t="s">
        <v>1014</v>
      </c>
    </row>
    <row r="999" spans="1:5" x14ac:dyDescent="0.2">
      <c r="A999" s="69"/>
      <c r="B999" s="69"/>
      <c r="C999" s="39" t="s">
        <v>1031</v>
      </c>
      <c r="D999" s="39"/>
    </row>
    <row r="1000" spans="1:5" x14ac:dyDescent="0.2">
      <c r="A1000" s="64" t="s">
        <v>45</v>
      </c>
      <c r="B1000" s="64" t="s">
        <v>54</v>
      </c>
      <c r="C1000" s="37" t="s">
        <v>1032</v>
      </c>
      <c r="D1000" s="37"/>
    </row>
    <row r="1001" spans="1:5" x14ac:dyDescent="0.2">
      <c r="A1001" s="65"/>
      <c r="B1001" s="65"/>
      <c r="C1001" s="37" t="s">
        <v>1033</v>
      </c>
      <c r="D1001" s="37"/>
    </row>
    <row r="1002" spans="1:5" x14ac:dyDescent="0.2">
      <c r="A1002" s="65"/>
      <c r="B1002" s="65"/>
      <c r="C1002" s="37" t="s">
        <v>1034</v>
      </c>
      <c r="D1002" s="37"/>
    </row>
    <row r="1003" spans="1:5" x14ac:dyDescent="0.2">
      <c r="A1003" s="65"/>
      <c r="B1003" s="65"/>
      <c r="C1003" s="37" t="s">
        <v>1035</v>
      </c>
      <c r="D1003" s="37"/>
      <c r="E1003" t="s">
        <v>214</v>
      </c>
    </row>
    <row r="1004" spans="1:5" x14ac:dyDescent="0.2">
      <c r="A1004" s="65"/>
      <c r="B1004" s="65"/>
      <c r="C1004" s="37" t="s">
        <v>1036</v>
      </c>
      <c r="D1004" s="37"/>
    </row>
    <row r="1005" spans="1:5" x14ac:dyDescent="0.2">
      <c r="A1005" s="65"/>
      <c r="B1005" s="65"/>
      <c r="C1005" s="37" t="s">
        <v>1037</v>
      </c>
      <c r="D1005" s="37"/>
    </row>
    <row r="1006" spans="1:5" x14ac:dyDescent="0.2">
      <c r="A1006" s="65"/>
      <c r="B1006" s="65"/>
      <c r="C1006" s="37" t="s">
        <v>1038</v>
      </c>
      <c r="D1006" s="37"/>
      <c r="E1006" t="s">
        <v>214</v>
      </c>
    </row>
    <row r="1007" spans="1:5" x14ac:dyDescent="0.2">
      <c r="A1007" s="65"/>
      <c r="B1007" s="65"/>
      <c r="C1007" s="37" t="s">
        <v>1039</v>
      </c>
      <c r="D1007" s="37"/>
    </row>
    <row r="1008" spans="1:5" x14ac:dyDescent="0.2">
      <c r="A1008" s="65"/>
      <c r="B1008" s="65"/>
      <c r="C1008" s="37" t="s">
        <v>1040</v>
      </c>
      <c r="D1008" s="37"/>
    </row>
    <row r="1009" spans="1:4" x14ac:dyDescent="0.2">
      <c r="A1009" s="65"/>
      <c r="B1009" s="65"/>
      <c r="C1009" s="37" t="s">
        <v>1041</v>
      </c>
      <c r="D1009" s="37"/>
    </row>
    <row r="1010" spans="1:4" x14ac:dyDescent="0.2">
      <c r="A1010" s="65"/>
      <c r="B1010" s="65"/>
      <c r="C1010" s="37" t="s">
        <v>1042</v>
      </c>
      <c r="D1010" s="37"/>
    </row>
    <row r="1011" spans="1:4" x14ac:dyDescent="0.2">
      <c r="A1011" s="65"/>
      <c r="B1011" s="65"/>
      <c r="C1011" s="37" t="s">
        <v>1043</v>
      </c>
      <c r="D1011" s="37"/>
    </row>
    <row r="1012" spans="1:4" x14ac:dyDescent="0.2">
      <c r="A1012" s="65"/>
      <c r="B1012" s="65"/>
      <c r="C1012" s="37" t="s">
        <v>1044</v>
      </c>
      <c r="D1012" s="37"/>
    </row>
    <row r="1013" spans="1:4" x14ac:dyDescent="0.2">
      <c r="A1013" s="65"/>
      <c r="B1013" s="65"/>
      <c r="C1013" s="37" t="s">
        <v>1045</v>
      </c>
      <c r="D1013" s="37"/>
    </row>
    <row r="1014" spans="1:4" x14ac:dyDescent="0.2">
      <c r="A1014" s="65"/>
      <c r="B1014" s="65"/>
      <c r="C1014" s="37" t="s">
        <v>1046</v>
      </c>
      <c r="D1014" s="37"/>
    </row>
    <row r="1015" spans="1:4" x14ac:dyDescent="0.2">
      <c r="A1015" s="65"/>
      <c r="B1015" s="65"/>
      <c r="C1015" s="37" t="s">
        <v>1047</v>
      </c>
      <c r="D1015" s="37"/>
    </row>
    <row r="1016" spans="1:4" x14ac:dyDescent="0.2">
      <c r="A1016" s="65"/>
      <c r="B1016" s="65"/>
      <c r="C1016" s="37" t="s">
        <v>1048</v>
      </c>
      <c r="D1016" s="37"/>
    </row>
    <row r="1017" spans="1:4" x14ac:dyDescent="0.2">
      <c r="A1017" s="65"/>
      <c r="B1017" s="65"/>
      <c r="C1017" s="37" t="s">
        <v>1049</v>
      </c>
      <c r="D1017" s="37"/>
    </row>
    <row r="1018" spans="1:4" x14ac:dyDescent="0.2">
      <c r="A1018" s="65"/>
      <c r="B1018" s="65"/>
      <c r="C1018" s="37" t="s">
        <v>1050</v>
      </c>
      <c r="D1018" s="37"/>
    </row>
    <row r="1019" spans="1:4" x14ac:dyDescent="0.2">
      <c r="A1019" s="65"/>
      <c r="B1019" s="65"/>
      <c r="C1019" s="37" t="s">
        <v>1051</v>
      </c>
      <c r="D1019" s="37"/>
    </row>
    <row r="1020" spans="1:4" x14ac:dyDescent="0.2">
      <c r="A1020" s="65"/>
      <c r="B1020" s="65"/>
      <c r="C1020" s="37" t="s">
        <v>1052</v>
      </c>
      <c r="D1020" s="37"/>
    </row>
    <row r="1021" spans="1:4" x14ac:dyDescent="0.2">
      <c r="A1021" s="65"/>
      <c r="B1021" s="65"/>
      <c r="C1021" s="37" t="s">
        <v>1053</v>
      </c>
      <c r="D1021" s="37"/>
    </row>
    <row r="1022" spans="1:4" x14ac:dyDescent="0.2">
      <c r="A1022" s="65"/>
      <c r="B1022" s="65"/>
      <c r="C1022" s="37" t="s">
        <v>1054</v>
      </c>
      <c r="D1022" s="37"/>
    </row>
    <row r="1023" spans="1:4" x14ac:dyDescent="0.2">
      <c r="A1023" s="65"/>
      <c r="B1023" s="65"/>
      <c r="C1023" s="37" t="s">
        <v>1055</v>
      </c>
      <c r="D1023" s="37"/>
    </row>
    <row r="1024" spans="1:4" x14ac:dyDescent="0.2">
      <c r="A1024" s="65"/>
      <c r="B1024" s="65"/>
      <c r="C1024" s="37" t="s">
        <v>1056</v>
      </c>
      <c r="D1024" s="37"/>
    </row>
    <row r="1025" spans="1:5" x14ac:dyDescent="0.2">
      <c r="A1025" s="65"/>
      <c r="B1025" s="65"/>
      <c r="C1025" s="37" t="s">
        <v>1057</v>
      </c>
      <c r="D1025" s="37"/>
    </row>
    <row r="1026" spans="1:5" x14ac:dyDescent="0.2">
      <c r="A1026" s="65"/>
      <c r="B1026" s="65"/>
      <c r="C1026" s="37" t="s">
        <v>1058</v>
      </c>
      <c r="D1026" s="37"/>
    </row>
    <row r="1027" spans="1:5" x14ac:dyDescent="0.2">
      <c r="A1027" s="65"/>
      <c r="B1027" s="65"/>
      <c r="C1027" s="37" t="s">
        <v>1059</v>
      </c>
      <c r="D1027" s="37"/>
    </row>
    <row r="1028" spans="1:5" x14ac:dyDescent="0.2">
      <c r="A1028" s="65"/>
      <c r="B1028" s="65"/>
      <c r="C1028" s="37" t="s">
        <v>1060</v>
      </c>
      <c r="D1028" s="37"/>
    </row>
    <row r="1029" spans="1:5" x14ac:dyDescent="0.2">
      <c r="A1029" s="65"/>
      <c r="B1029" s="65"/>
      <c r="C1029" s="37" t="s">
        <v>1061</v>
      </c>
      <c r="D1029" s="37"/>
    </row>
    <row r="1030" spans="1:5" x14ac:dyDescent="0.2">
      <c r="A1030" s="65"/>
      <c r="B1030" s="65"/>
      <c r="C1030" s="37" t="s">
        <v>1062</v>
      </c>
      <c r="D1030" s="37"/>
    </row>
    <row r="1031" spans="1:5" x14ac:dyDescent="0.2">
      <c r="A1031" s="65"/>
      <c r="B1031" s="65"/>
      <c r="C1031" s="96" t="s">
        <v>1063</v>
      </c>
      <c r="D1031" s="37"/>
      <c r="E1031" t="s">
        <v>214</v>
      </c>
    </row>
    <row r="1032" spans="1:5" x14ac:dyDescent="0.2">
      <c r="A1032" s="65"/>
      <c r="B1032" s="65"/>
      <c r="C1032" s="37" t="s">
        <v>1064</v>
      </c>
      <c r="D1032" s="37"/>
    </row>
    <row r="1033" spans="1:5" x14ac:dyDescent="0.2">
      <c r="A1033" s="65"/>
      <c r="B1033" s="65"/>
      <c r="C1033" s="37" t="s">
        <v>314</v>
      </c>
      <c r="D1033" s="37"/>
    </row>
    <row r="1034" spans="1:5" x14ac:dyDescent="0.2">
      <c r="A1034" s="48" t="s">
        <v>44</v>
      </c>
      <c r="B1034" s="48" t="s">
        <v>54</v>
      </c>
      <c r="C1034" s="39" t="s">
        <v>1065</v>
      </c>
      <c r="D1034" s="39"/>
      <c r="E1034" t="s">
        <v>1014</v>
      </c>
    </row>
    <row r="1035" spans="1:5" x14ac:dyDescent="0.2">
      <c r="A1035" s="49"/>
      <c r="B1035" s="49"/>
      <c r="C1035" s="39" t="s">
        <v>1066</v>
      </c>
      <c r="D1035" s="39"/>
    </row>
    <row r="1036" spans="1:5" x14ac:dyDescent="0.2">
      <c r="A1036" s="49"/>
      <c r="B1036" s="49"/>
      <c r="C1036" s="39" t="s">
        <v>314</v>
      </c>
      <c r="D1036" s="39"/>
    </row>
    <row r="1037" spans="1:5" x14ac:dyDescent="0.2">
      <c r="A1037" s="64" t="s">
        <v>1067</v>
      </c>
      <c r="B1037" s="64" t="s">
        <v>54</v>
      </c>
      <c r="C1037" s="37" t="s">
        <v>1068</v>
      </c>
      <c r="D1037" s="37"/>
    </row>
    <row r="1038" spans="1:5" x14ac:dyDescent="0.2">
      <c r="A1038" s="65"/>
      <c r="B1038" s="65"/>
      <c r="C1038" s="37" t="s">
        <v>1069</v>
      </c>
      <c r="D1038" s="37" t="s">
        <v>1070</v>
      </c>
    </row>
    <row r="1039" spans="1:5" x14ac:dyDescent="0.2">
      <c r="A1039" s="65"/>
      <c r="B1039" s="65"/>
      <c r="C1039" s="37" t="s">
        <v>1071</v>
      </c>
      <c r="D1039" s="37" t="s">
        <v>1072</v>
      </c>
    </row>
    <row r="1040" spans="1:5" x14ac:dyDescent="0.2">
      <c r="A1040" s="65"/>
      <c r="B1040" s="65"/>
      <c r="C1040" s="37" t="s">
        <v>1073</v>
      </c>
      <c r="D1040" s="37" t="s">
        <v>1074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8" s="10" customFormat="1" x14ac:dyDescent="0.2">
      <c r="A1073" s="98"/>
      <c r="B1073"/>
      <c r="C1073"/>
      <c r="D1073" s="98"/>
      <c r="E1073"/>
      <c r="F1073"/>
      <c r="G1073"/>
      <c r="H1073"/>
    </row>
    <row r="1074" spans="1:8" s="10" customFormat="1" x14ac:dyDescent="0.2">
      <c r="A1074" s="117"/>
      <c r="B1074"/>
      <c r="C1074"/>
      <c r="D1074" s="98"/>
      <c r="E1074"/>
      <c r="F1074"/>
      <c r="G1074"/>
      <c r="H1074"/>
    </row>
    <row r="1075" spans="1:8" s="10" customFormat="1" x14ac:dyDescent="0.2">
      <c r="A1075" s="98"/>
      <c r="B1075"/>
      <c r="C1075" s="13"/>
      <c r="D1075" s="98"/>
      <c r="E1075"/>
      <c r="F1075"/>
      <c r="G1075"/>
      <c r="H1075"/>
    </row>
    <row r="1076" spans="1:8" s="10" customFormat="1" x14ac:dyDescent="0.2">
      <c r="A1076" s="98"/>
      <c r="B1076"/>
      <c r="C1076" s="13" t="s">
        <v>309</v>
      </c>
      <c r="D1076" s="98"/>
      <c r="E1076"/>
      <c r="F1076"/>
      <c r="G1076"/>
      <c r="H1076"/>
    </row>
    <row r="1077" spans="1:8" s="10" customFormat="1" x14ac:dyDescent="0.2">
      <c r="A1077" s="98"/>
      <c r="B1077"/>
      <c r="C1077" s="13" t="s">
        <v>80</v>
      </c>
      <c r="D1077" s="98"/>
      <c r="E1077"/>
      <c r="F1077"/>
      <c r="G1077"/>
      <c r="H1077"/>
    </row>
    <row r="1078" spans="1:8" s="10" customFormat="1" x14ac:dyDescent="0.2">
      <c r="A1078" s="98"/>
      <c r="B1078"/>
      <c r="C1078" s="13" t="s">
        <v>310</v>
      </c>
      <c r="D1078" s="98"/>
      <c r="E1078"/>
      <c r="F1078"/>
      <c r="G1078"/>
      <c r="H1078"/>
    </row>
    <row r="1079" spans="1:8" s="10" customFormat="1" x14ac:dyDescent="0.2">
      <c r="A1079" s="98"/>
      <c r="B1079"/>
      <c r="C1079" s="13" t="s">
        <v>313</v>
      </c>
      <c r="D1079" s="98"/>
      <c r="E1079"/>
      <c r="F1079"/>
      <c r="G1079"/>
      <c r="H1079"/>
    </row>
    <row r="1080" spans="1:8" s="10" customFormat="1" x14ac:dyDescent="0.2">
      <c r="A1080" s="98"/>
      <c r="B1080"/>
      <c r="C1080" s="13"/>
      <c r="D1080" s="98"/>
      <c r="E1080"/>
      <c r="F1080"/>
      <c r="G1080"/>
      <c r="H1080"/>
    </row>
    <row r="1081" spans="1:8" s="10" customFormat="1" x14ac:dyDescent="0.2">
      <c r="A1081" s="98"/>
      <c r="B1081"/>
      <c r="C1081" s="13" t="s">
        <v>309</v>
      </c>
      <c r="D1081" s="98"/>
      <c r="E1081"/>
      <c r="F1081"/>
      <c r="G1081"/>
      <c r="H1081"/>
    </row>
    <row r="1082" spans="1:8" s="10" customFormat="1" x14ac:dyDescent="0.2">
      <c r="A1082" s="98"/>
      <c r="B1082"/>
      <c r="C1082" s="13" t="s">
        <v>80</v>
      </c>
      <c r="D1082" s="98"/>
      <c r="E1082"/>
      <c r="F1082"/>
      <c r="G1082"/>
      <c r="H1082"/>
    </row>
    <row r="1083" spans="1:8" s="10" customFormat="1" x14ac:dyDescent="0.2">
      <c r="A1083" s="98"/>
      <c r="B1083"/>
      <c r="C1083" s="13" t="s">
        <v>310</v>
      </c>
      <c r="D1083" s="98"/>
      <c r="E1083"/>
      <c r="F1083"/>
      <c r="G1083"/>
      <c r="H1083"/>
    </row>
    <row r="1084" spans="1:8" s="10" customFormat="1" x14ac:dyDescent="0.2">
      <c r="A1084" s="98"/>
      <c r="B1084"/>
      <c r="C1084" s="13" t="s">
        <v>313</v>
      </c>
      <c r="D1084" s="98"/>
      <c r="E1084"/>
      <c r="F1084"/>
      <c r="G1084"/>
      <c r="H1084"/>
    </row>
    <row r="1085" spans="1:8" s="10" customFormat="1" x14ac:dyDescent="0.2">
      <c r="A1085" s="98"/>
      <c r="B1085"/>
      <c r="C1085" s="13" t="s">
        <v>311</v>
      </c>
      <c r="D1085" s="98"/>
      <c r="E1085"/>
      <c r="F1085"/>
      <c r="G1085"/>
      <c r="H1085"/>
    </row>
    <row r="1086" spans="1:8" s="10" customFormat="1" x14ac:dyDescent="0.2">
      <c r="A1086" s="98"/>
      <c r="B1086"/>
      <c r="C1086" s="13"/>
      <c r="D1086" s="98"/>
      <c r="E1086"/>
      <c r="F1086"/>
      <c r="G1086"/>
      <c r="H1086"/>
    </row>
    <row r="1087" spans="1:8" s="10" customFormat="1" x14ac:dyDescent="0.2">
      <c r="A1087" s="98"/>
      <c r="B1087"/>
      <c r="C1087" s="13" t="s">
        <v>309</v>
      </c>
      <c r="D1087" s="98"/>
      <c r="E1087"/>
      <c r="F1087"/>
      <c r="G1087"/>
      <c r="H1087"/>
    </row>
    <row r="1088" spans="1:8" s="10" customFormat="1" x14ac:dyDescent="0.2">
      <c r="A1088" s="98"/>
      <c r="B1088"/>
      <c r="C1088" s="13" t="s">
        <v>80</v>
      </c>
      <c r="D1088" s="98"/>
      <c r="E1088"/>
      <c r="F1088"/>
      <c r="G1088"/>
      <c r="H1088"/>
    </row>
    <row r="1089" spans="2:8" s="10" customFormat="1" x14ac:dyDescent="0.2">
      <c r="B1089"/>
      <c r="C1089" s="13" t="s">
        <v>313</v>
      </c>
      <c r="D1089" s="98"/>
      <c r="E1089"/>
      <c r="F1089"/>
      <c r="G1089"/>
      <c r="H1089"/>
    </row>
    <row r="1090" spans="2:8" s="10" customFormat="1" x14ac:dyDescent="0.2">
      <c r="B1090"/>
      <c r="C1090" s="13"/>
      <c r="D1090" s="98"/>
      <c r="E1090"/>
      <c r="F1090"/>
      <c r="G1090"/>
      <c r="H1090"/>
    </row>
    <row r="1091" spans="2:8" s="10" customFormat="1" x14ac:dyDescent="0.2">
      <c r="B1091"/>
      <c r="C1091" s="13" t="s">
        <v>886</v>
      </c>
      <c r="D1091" s="98"/>
      <c r="E1091"/>
      <c r="F1091"/>
      <c r="G1091"/>
      <c r="H1091"/>
    </row>
    <row r="1092" spans="2:8" s="10" customFormat="1" x14ac:dyDescent="0.2">
      <c r="B1092"/>
      <c r="C1092" s="13" t="s">
        <v>314</v>
      </c>
      <c r="D1092" s="98"/>
      <c r="E1092"/>
      <c r="F1092"/>
      <c r="G1092"/>
      <c r="H1092"/>
    </row>
    <row r="1093" spans="2:8" s="10" customFormat="1" x14ac:dyDescent="0.2">
      <c r="B1093"/>
      <c r="C1093" s="13"/>
      <c r="D1093" s="98"/>
      <c r="E1093"/>
      <c r="F1093"/>
      <c r="G1093"/>
      <c r="H1093"/>
    </row>
    <row r="1094" spans="2:8" s="10" customFormat="1" x14ac:dyDescent="0.2">
      <c r="B1094"/>
      <c r="C1094" s="13" t="s">
        <v>440</v>
      </c>
      <c r="D1094" s="98"/>
      <c r="E1094"/>
      <c r="F1094"/>
      <c r="G1094"/>
      <c r="H1094"/>
    </row>
    <row r="1095" spans="2:8" s="10" customFormat="1" x14ac:dyDescent="0.2">
      <c r="B1095"/>
      <c r="C1095" s="13" t="s">
        <v>740</v>
      </c>
      <c r="D1095" s="98"/>
      <c r="E1095"/>
      <c r="F1095"/>
      <c r="G1095"/>
      <c r="H1095"/>
    </row>
    <row r="1096" spans="2:8" s="10" customFormat="1" x14ac:dyDescent="0.2">
      <c r="B1096"/>
      <c r="C1096" s="13" t="s">
        <v>741</v>
      </c>
      <c r="D1096" s="98"/>
      <c r="E1096"/>
      <c r="F1096"/>
      <c r="G1096"/>
      <c r="H1096"/>
    </row>
    <row r="1097" spans="2:8" s="10" customFormat="1" x14ac:dyDescent="0.2">
      <c r="B1097"/>
      <c r="C1097" s="13" t="s">
        <v>744</v>
      </c>
      <c r="D1097" s="98"/>
      <c r="E1097"/>
      <c r="F1097"/>
      <c r="G1097"/>
      <c r="H1097"/>
    </row>
    <row r="1098" spans="2:8" s="10" customFormat="1" x14ac:dyDescent="0.2">
      <c r="B1098"/>
      <c r="C1098" s="13" t="s">
        <v>745</v>
      </c>
      <c r="D1098" s="98"/>
      <c r="E1098"/>
      <c r="F1098"/>
      <c r="G1098"/>
      <c r="H1098"/>
    </row>
    <row r="1099" spans="2:8" s="10" customFormat="1" x14ac:dyDescent="0.2">
      <c r="B1099"/>
      <c r="C1099" s="13" t="s">
        <v>746</v>
      </c>
      <c r="D1099" s="98"/>
      <c r="E1099"/>
      <c r="F1099"/>
      <c r="G1099"/>
      <c r="H1099"/>
    </row>
    <row r="1100" spans="2:8" s="10" customFormat="1" x14ac:dyDescent="0.2">
      <c r="B1100"/>
      <c r="C1100" s="13" t="s">
        <v>747</v>
      </c>
      <c r="D1100" s="98"/>
      <c r="E1100"/>
      <c r="F1100"/>
      <c r="G1100"/>
      <c r="H1100"/>
    </row>
    <row r="1101" spans="2:8" s="10" customFormat="1" x14ac:dyDescent="0.2">
      <c r="B1101"/>
      <c r="C1101" s="13" t="s">
        <v>748</v>
      </c>
      <c r="D1101" s="98"/>
      <c r="E1101"/>
      <c r="F1101"/>
      <c r="G1101"/>
      <c r="H1101"/>
    </row>
    <row r="1102" spans="2:8" s="10" customFormat="1" x14ac:dyDescent="0.2">
      <c r="B1102"/>
      <c r="C1102" s="13" t="s">
        <v>749</v>
      </c>
      <c r="D1102" s="98"/>
      <c r="E1102"/>
      <c r="F1102"/>
      <c r="G1102"/>
      <c r="H1102"/>
    </row>
    <row r="1103" spans="2:8" s="10" customFormat="1" x14ac:dyDescent="0.2">
      <c r="B1103"/>
      <c r="C1103" s="13" t="s">
        <v>751</v>
      </c>
      <c r="D1103" s="98"/>
      <c r="E1103"/>
      <c r="F1103"/>
      <c r="G1103"/>
      <c r="H1103"/>
    </row>
    <row r="1104" spans="2:8" s="10" customFormat="1" x14ac:dyDescent="0.2">
      <c r="B1104"/>
      <c r="C1104" s="13" t="s">
        <v>485</v>
      </c>
      <c r="D1104" s="98"/>
      <c r="E1104"/>
      <c r="F1104"/>
      <c r="G1104"/>
      <c r="H1104"/>
    </row>
    <row r="1105" spans="2:8" s="10" customFormat="1" x14ac:dyDescent="0.2">
      <c r="B1105"/>
      <c r="C1105" s="13" t="s">
        <v>314</v>
      </c>
      <c r="D1105" s="98"/>
      <c r="E1105"/>
      <c r="F1105"/>
      <c r="G1105"/>
      <c r="H1105"/>
    </row>
    <row r="1106" spans="2:8" s="10" customFormat="1" x14ac:dyDescent="0.2">
      <c r="B1106"/>
      <c r="C1106" s="13"/>
      <c r="D1106" s="98"/>
      <c r="E1106"/>
      <c r="F1106"/>
      <c r="G1106"/>
      <c r="H1106"/>
    </row>
    <row r="1107" spans="2:8" s="10" customFormat="1" x14ac:dyDescent="0.2">
      <c r="B1107"/>
      <c r="C1107" s="13"/>
      <c r="D1107" s="98"/>
      <c r="E1107"/>
      <c r="F1107"/>
      <c r="G1107"/>
      <c r="H1107"/>
    </row>
    <row r="1108" spans="2:8" x14ac:dyDescent="0.2">
      <c r="C1108" s="13" t="s">
        <v>884</v>
      </c>
      <c r="D1108" s="98"/>
    </row>
    <row r="1109" spans="2:8" s="10" customFormat="1" x14ac:dyDescent="0.2">
      <c r="B1109"/>
      <c r="C1109" s="13" t="s">
        <v>885</v>
      </c>
      <c r="D1109" s="98"/>
      <c r="E1109"/>
      <c r="F1109"/>
      <c r="G1109"/>
      <c r="H1109"/>
    </row>
    <row r="1110" spans="2:8" s="10" customFormat="1" x14ac:dyDescent="0.2">
      <c r="B1110"/>
      <c r="C1110" s="13" t="s">
        <v>887</v>
      </c>
      <c r="D1110" s="98"/>
      <c r="E1110"/>
      <c r="F1110"/>
      <c r="G1110"/>
      <c r="H1110"/>
    </row>
    <row r="1111" spans="2:8" s="10" customFormat="1" x14ac:dyDescent="0.2">
      <c r="B1111"/>
      <c r="C1111" s="13" t="s">
        <v>314</v>
      </c>
      <c r="D1111" s="98"/>
      <c r="E1111"/>
      <c r="F1111"/>
      <c r="G1111"/>
      <c r="H1111"/>
    </row>
    <row r="1112" spans="2:8" s="10" customFormat="1" x14ac:dyDescent="0.2">
      <c r="B1112"/>
      <c r="C1112" s="13"/>
      <c r="D1112" s="98"/>
      <c r="E1112"/>
      <c r="F1112"/>
      <c r="G1112"/>
      <c r="H1112"/>
    </row>
    <row r="1113" spans="2:8" s="10" customFormat="1" x14ac:dyDescent="0.2">
      <c r="B1113"/>
      <c r="C1113" s="13" t="s">
        <v>321</v>
      </c>
      <c r="D1113" s="98"/>
      <c r="E1113"/>
      <c r="F1113"/>
      <c r="G1113"/>
      <c r="H1113"/>
    </row>
    <row r="1114" spans="2:8" s="10" customFormat="1" x14ac:dyDescent="0.2">
      <c r="B1114"/>
      <c r="C1114" s="13" t="s">
        <v>322</v>
      </c>
      <c r="D1114" s="98"/>
      <c r="E1114"/>
      <c r="F1114"/>
      <c r="G1114"/>
      <c r="H1114"/>
    </row>
    <row r="1115" spans="2:8" s="10" customFormat="1" x14ac:dyDescent="0.2">
      <c r="B1115"/>
      <c r="C1115" s="13" t="s">
        <v>312</v>
      </c>
      <c r="D1115" s="98"/>
      <c r="E1115"/>
      <c r="F1115"/>
      <c r="G1115"/>
      <c r="H1115"/>
    </row>
    <row r="1116" spans="2:8" s="10" customFormat="1" x14ac:dyDescent="0.2">
      <c r="B1116"/>
      <c r="C1116" s="13" t="s">
        <v>314</v>
      </c>
      <c r="D1116" s="98"/>
      <c r="E1116"/>
      <c r="F1116"/>
      <c r="G1116"/>
      <c r="H1116"/>
    </row>
    <row r="1117" spans="2:8" s="10" customFormat="1" x14ac:dyDescent="0.2">
      <c r="B1117"/>
      <c r="C1117" s="13"/>
      <c r="D1117" s="98"/>
      <c r="E1117"/>
      <c r="F1117"/>
      <c r="G1117"/>
      <c r="H1117"/>
    </row>
    <row r="1118" spans="2:8" s="10" customFormat="1" x14ac:dyDescent="0.2">
      <c r="B1118"/>
      <c r="C1118" s="13" t="s">
        <v>325</v>
      </c>
      <c r="D1118" s="98"/>
      <c r="E1118"/>
      <c r="F1118"/>
      <c r="G1118"/>
      <c r="H1118"/>
    </row>
    <row r="1119" spans="2:8" s="10" customFormat="1" x14ac:dyDescent="0.2">
      <c r="B1119"/>
      <c r="C1119" s="13" t="s">
        <v>1075</v>
      </c>
      <c r="D1119" s="98"/>
      <c r="E1119"/>
      <c r="F1119"/>
      <c r="G1119"/>
      <c r="H1119"/>
    </row>
    <row r="1120" spans="2:8" s="10" customFormat="1" x14ac:dyDescent="0.2">
      <c r="B1120"/>
      <c r="C1120" s="13"/>
      <c r="D1120" s="98"/>
      <c r="E1120"/>
      <c r="F1120"/>
      <c r="G1120"/>
      <c r="H1120"/>
    </row>
    <row r="1121" spans="2:8" x14ac:dyDescent="0.2">
      <c r="C1121" s="13" t="s">
        <v>325</v>
      </c>
      <c r="D1121" s="98"/>
    </row>
    <row r="1122" spans="2:8" s="10" customFormat="1" x14ac:dyDescent="0.2">
      <c r="B1122"/>
      <c r="C1122" s="13" t="s">
        <v>327</v>
      </c>
      <c r="D1122" s="98"/>
      <c r="E1122"/>
      <c r="F1122"/>
      <c r="G1122"/>
      <c r="H1122"/>
    </row>
    <row r="1123" spans="2:8" s="10" customFormat="1" x14ac:dyDescent="0.2">
      <c r="B1123"/>
      <c r="C1123" s="13" t="s">
        <v>329</v>
      </c>
      <c r="D1123" s="98"/>
      <c r="E1123"/>
      <c r="F1123"/>
      <c r="G1123"/>
      <c r="H1123"/>
    </row>
    <row r="1124" spans="2:8" s="10" customFormat="1" x14ac:dyDescent="0.2">
      <c r="B1124"/>
      <c r="C1124" s="13" t="s">
        <v>331</v>
      </c>
      <c r="D1124" s="98"/>
      <c r="E1124"/>
      <c r="F1124"/>
      <c r="G1124"/>
      <c r="H1124"/>
    </row>
    <row r="1125" spans="2:8" x14ac:dyDescent="0.2">
      <c r="C1125" s="13" t="s">
        <v>336</v>
      </c>
      <c r="D1125" s="98"/>
    </row>
    <row r="1126" spans="2:8" x14ac:dyDescent="0.2">
      <c r="C1126" s="13" t="s">
        <v>314</v>
      </c>
      <c r="D1126" s="98"/>
    </row>
    <row r="1129" spans="2:8" x14ac:dyDescent="0.2">
      <c r="C1129" s="13" t="s">
        <v>436</v>
      </c>
      <c r="D1129" s="98"/>
    </row>
    <row r="1130" spans="2:8" x14ac:dyDescent="0.2">
      <c r="C1130" s="13" t="s">
        <v>437</v>
      </c>
      <c r="D1130" s="98"/>
    </row>
    <row r="1131" spans="2:8" x14ac:dyDescent="0.2">
      <c r="C1131" s="13" t="s">
        <v>439</v>
      </c>
      <c r="D1131" s="98"/>
    </row>
    <row r="1132" spans="2:8" x14ac:dyDescent="0.2">
      <c r="C1132" s="13" t="s">
        <v>440</v>
      </c>
      <c r="D1132" s="98"/>
    </row>
    <row r="1133" spans="2:8" x14ac:dyDescent="0.2">
      <c r="C1133" s="13" t="s">
        <v>441</v>
      </c>
      <c r="D1133" s="98"/>
    </row>
    <row r="1134" spans="2:8" x14ac:dyDescent="0.2">
      <c r="C1134" s="13" t="s">
        <v>443</v>
      </c>
      <c r="D1134" s="98"/>
    </row>
    <row r="1135" spans="2:8" x14ac:dyDescent="0.2">
      <c r="C1135" s="13" t="s">
        <v>444</v>
      </c>
      <c r="D1135" s="98"/>
    </row>
    <row r="1136" spans="2:8" x14ac:dyDescent="0.2">
      <c r="C1136" s="13" t="s">
        <v>445</v>
      </c>
      <c r="D1136" s="98"/>
    </row>
    <row r="1137" spans="3:3" x14ac:dyDescent="0.2">
      <c r="C1137" s="13" t="s">
        <v>446</v>
      </c>
    </row>
    <row r="1138" spans="3:3" x14ac:dyDescent="0.2">
      <c r="C1138" s="13" t="s">
        <v>447</v>
      </c>
    </row>
    <row r="1139" spans="3:3" x14ac:dyDescent="0.2">
      <c r="C1139" s="13" t="s">
        <v>448</v>
      </c>
    </row>
    <row r="1140" spans="3:3" x14ac:dyDescent="0.2">
      <c r="C1140" s="13" t="s">
        <v>449</v>
      </c>
    </row>
    <row r="1141" spans="3:3" x14ac:dyDescent="0.2">
      <c r="C1141" s="13" t="s">
        <v>450</v>
      </c>
    </row>
    <row r="1142" spans="3:3" x14ac:dyDescent="0.2">
      <c r="C1142" s="13" t="s">
        <v>451</v>
      </c>
    </row>
    <row r="1143" spans="3:3" x14ac:dyDescent="0.2">
      <c r="C1143" s="13" t="s">
        <v>452</v>
      </c>
    </row>
    <row r="1144" spans="3:3" x14ac:dyDescent="0.2">
      <c r="C1144" s="13" t="s">
        <v>454</v>
      </c>
    </row>
    <row r="1145" spans="3:3" x14ac:dyDescent="0.2">
      <c r="C1145" s="13" t="s">
        <v>455</v>
      </c>
    </row>
    <row r="1146" spans="3:3" x14ac:dyDescent="0.2">
      <c r="C1146" s="13" t="s">
        <v>456</v>
      </c>
    </row>
    <row r="1147" spans="3:3" x14ac:dyDescent="0.2">
      <c r="C1147" s="13" t="s">
        <v>458</v>
      </c>
    </row>
    <row r="1148" spans="3:3" x14ac:dyDescent="0.2">
      <c r="C1148" s="13" t="s">
        <v>459</v>
      </c>
    </row>
    <row r="1149" spans="3:3" x14ac:dyDescent="0.2">
      <c r="C1149" s="13" t="s">
        <v>460</v>
      </c>
    </row>
    <row r="1150" spans="3:3" x14ac:dyDescent="0.2">
      <c r="C1150" s="13" t="s">
        <v>461</v>
      </c>
    </row>
    <row r="1151" spans="3:3" x14ac:dyDescent="0.2">
      <c r="C1151" s="13" t="s">
        <v>462</v>
      </c>
    </row>
    <row r="1152" spans="3:3" x14ac:dyDescent="0.2">
      <c r="C1152" s="13" t="s">
        <v>463</v>
      </c>
    </row>
    <row r="1153" spans="3:3" x14ac:dyDescent="0.2">
      <c r="C1153" s="13" t="s">
        <v>464</v>
      </c>
    </row>
    <row r="1154" spans="3:3" x14ac:dyDescent="0.2">
      <c r="C1154" s="13" t="s">
        <v>465</v>
      </c>
    </row>
    <row r="1155" spans="3:3" x14ac:dyDescent="0.2">
      <c r="C1155" s="13" t="s">
        <v>466</v>
      </c>
    </row>
    <row r="1156" spans="3:3" x14ac:dyDescent="0.2">
      <c r="C1156" s="13" t="s">
        <v>467</v>
      </c>
    </row>
    <row r="1157" spans="3:3" x14ac:dyDescent="0.2">
      <c r="C1157" s="13" t="s">
        <v>468</v>
      </c>
    </row>
    <row r="1158" spans="3:3" x14ac:dyDescent="0.2">
      <c r="C1158" s="13" t="s">
        <v>469</v>
      </c>
    </row>
    <row r="1159" spans="3:3" x14ac:dyDescent="0.2">
      <c r="C1159" s="13" t="s">
        <v>470</v>
      </c>
    </row>
    <row r="1160" spans="3:3" x14ac:dyDescent="0.2">
      <c r="C1160" s="13" t="s">
        <v>471</v>
      </c>
    </row>
    <row r="1161" spans="3:3" x14ac:dyDescent="0.2">
      <c r="C1161" s="13" t="s">
        <v>472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473</v>
      </c>
    </row>
    <row r="1164" spans="3:3" x14ac:dyDescent="0.2">
      <c r="C1164" s="13" t="s">
        <v>475</v>
      </c>
    </row>
    <row r="1165" spans="3:3" x14ac:dyDescent="0.2">
      <c r="C1165" s="13" t="s">
        <v>476</v>
      </c>
    </row>
    <row r="1166" spans="3:3" x14ac:dyDescent="0.2">
      <c r="C1166" s="13" t="s">
        <v>477</v>
      </c>
    </row>
    <row r="1167" spans="3:3" x14ac:dyDescent="0.2">
      <c r="C1167" s="13" t="s">
        <v>478</v>
      </c>
    </row>
    <row r="1168" spans="3:3" x14ac:dyDescent="0.2">
      <c r="C1168" s="13" t="s">
        <v>480</v>
      </c>
    </row>
    <row r="1169" spans="3:3" x14ac:dyDescent="0.2">
      <c r="C1169" s="13" t="s">
        <v>484</v>
      </c>
    </row>
    <row r="1170" spans="3:3" x14ac:dyDescent="0.2">
      <c r="C1170" s="13" t="s">
        <v>314</v>
      </c>
    </row>
    <row r="1171" spans="3:3" x14ac:dyDescent="0.2">
      <c r="C1171" s="13" t="s">
        <v>486</v>
      </c>
    </row>
    <row r="1172" spans="3:3" x14ac:dyDescent="0.2">
      <c r="C1172" s="13" t="s">
        <v>487</v>
      </c>
    </row>
    <row r="1173" spans="3:3" x14ac:dyDescent="0.2">
      <c r="C1173" s="13" t="s">
        <v>488</v>
      </c>
    </row>
    <row r="1174" spans="3:3" x14ac:dyDescent="0.2">
      <c r="C1174" s="13" t="s">
        <v>489</v>
      </c>
    </row>
    <row r="1175" spans="3:3" x14ac:dyDescent="0.2">
      <c r="C1175" s="13" t="s">
        <v>490</v>
      </c>
    </row>
    <row r="1176" spans="3:3" x14ac:dyDescent="0.2">
      <c r="C1176" s="13" t="s">
        <v>491</v>
      </c>
    </row>
    <row r="1177" spans="3:3" x14ac:dyDescent="0.2">
      <c r="C1177" s="13" t="s">
        <v>492</v>
      </c>
    </row>
    <row r="1178" spans="3:3" x14ac:dyDescent="0.2">
      <c r="C1178" s="13" t="s">
        <v>493</v>
      </c>
    </row>
    <row r="1179" spans="3:3" x14ac:dyDescent="0.2">
      <c r="C1179" s="13" t="s">
        <v>494</v>
      </c>
    </row>
    <row r="1180" spans="3:3" x14ac:dyDescent="0.2">
      <c r="C1180" s="13" t="s">
        <v>495</v>
      </c>
    </row>
    <row r="1181" spans="3:3" x14ac:dyDescent="0.2">
      <c r="C1181" s="13" t="s">
        <v>496</v>
      </c>
    </row>
    <row r="1182" spans="3:3" x14ac:dyDescent="0.2">
      <c r="C1182" s="13" t="s">
        <v>497</v>
      </c>
    </row>
    <row r="1183" spans="3:3" x14ac:dyDescent="0.2">
      <c r="C1183" s="13" t="s">
        <v>498</v>
      </c>
    </row>
    <row r="1184" spans="3:3" x14ac:dyDescent="0.2">
      <c r="C1184" s="13" t="s">
        <v>499</v>
      </c>
    </row>
    <row r="1185" spans="3:3" x14ac:dyDescent="0.2">
      <c r="C1185" s="13" t="s">
        <v>500</v>
      </c>
    </row>
    <row r="1186" spans="3:3" x14ac:dyDescent="0.2">
      <c r="C1186" s="13" t="s">
        <v>501</v>
      </c>
    </row>
    <row r="1187" spans="3:3" x14ac:dyDescent="0.2">
      <c r="C1187" s="13" t="s">
        <v>502</v>
      </c>
    </row>
    <row r="1188" spans="3:3" x14ac:dyDescent="0.2">
      <c r="C1188" s="13" t="s">
        <v>503</v>
      </c>
    </row>
    <row r="1189" spans="3:3" x14ac:dyDescent="0.2">
      <c r="C1189" s="13" t="s">
        <v>505</v>
      </c>
    </row>
    <row r="1190" spans="3:3" x14ac:dyDescent="0.2">
      <c r="C1190" s="13" t="s">
        <v>507</v>
      </c>
    </row>
    <row r="1191" spans="3:3" x14ac:dyDescent="0.2">
      <c r="C1191" s="13" t="s">
        <v>509</v>
      </c>
    </row>
    <row r="1192" spans="3:3" x14ac:dyDescent="0.2">
      <c r="C1192" s="118" t="s">
        <v>510</v>
      </c>
    </row>
    <row r="1193" spans="3:3" x14ac:dyDescent="0.2">
      <c r="C1193" s="13" t="s">
        <v>512</v>
      </c>
    </row>
    <row r="1194" spans="3:3" x14ac:dyDescent="0.2">
      <c r="C1194" s="13" t="s">
        <v>513</v>
      </c>
    </row>
    <row r="1195" spans="3:3" x14ac:dyDescent="0.2">
      <c r="C1195" s="13" t="s">
        <v>514</v>
      </c>
    </row>
    <row r="1196" spans="3:3" x14ac:dyDescent="0.2">
      <c r="C1196" s="13" t="s">
        <v>515</v>
      </c>
    </row>
    <row r="1197" spans="3:3" x14ac:dyDescent="0.2">
      <c r="C1197" s="13" t="s">
        <v>516</v>
      </c>
    </row>
    <row r="1198" spans="3:3" x14ac:dyDescent="0.2">
      <c r="C1198" s="13" t="s">
        <v>517</v>
      </c>
    </row>
    <row r="1199" spans="3:3" x14ac:dyDescent="0.2">
      <c r="C1199" s="13" t="s">
        <v>518</v>
      </c>
    </row>
    <row r="1200" spans="3:3" x14ac:dyDescent="0.2">
      <c r="C1200" s="13" t="s">
        <v>519</v>
      </c>
    </row>
    <row r="1201" spans="3:3" x14ac:dyDescent="0.2">
      <c r="C1201" s="13" t="s">
        <v>521</v>
      </c>
    </row>
    <row r="1202" spans="3:3" x14ac:dyDescent="0.2">
      <c r="C1202" s="13" t="s">
        <v>522</v>
      </c>
    </row>
    <row r="1203" spans="3:3" x14ac:dyDescent="0.2">
      <c r="C1203" s="13" t="s">
        <v>524</v>
      </c>
    </row>
    <row r="1204" spans="3:3" x14ac:dyDescent="0.2">
      <c r="C1204" s="13" t="s">
        <v>525</v>
      </c>
    </row>
    <row r="1205" spans="3:3" x14ac:dyDescent="0.2">
      <c r="C1205" s="13" t="s">
        <v>526</v>
      </c>
    </row>
    <row r="1206" spans="3:3" x14ac:dyDescent="0.2">
      <c r="C1206" s="13" t="s">
        <v>527</v>
      </c>
    </row>
    <row r="1207" spans="3:3" x14ac:dyDescent="0.2">
      <c r="C1207" s="13" t="s">
        <v>528</v>
      </c>
    </row>
    <row r="1208" spans="3:3" x14ac:dyDescent="0.2">
      <c r="C1208" s="13" t="s">
        <v>530</v>
      </c>
    </row>
    <row r="1209" spans="3:3" x14ac:dyDescent="0.2">
      <c r="C1209" s="13" t="s">
        <v>531</v>
      </c>
    </row>
    <row r="1210" spans="3:3" x14ac:dyDescent="0.2">
      <c r="C1210" s="13" t="s">
        <v>532</v>
      </c>
    </row>
    <row r="1211" spans="3:3" x14ac:dyDescent="0.2">
      <c r="C1211" s="13" t="s">
        <v>533</v>
      </c>
    </row>
    <row r="1212" spans="3:3" x14ac:dyDescent="0.2">
      <c r="C1212" s="13" t="s">
        <v>534</v>
      </c>
    </row>
    <row r="1213" spans="3:3" x14ac:dyDescent="0.2">
      <c r="C1213" s="13" t="s">
        <v>535</v>
      </c>
    </row>
    <row r="1214" spans="3:3" x14ac:dyDescent="0.2">
      <c r="C1214" s="13" t="s">
        <v>536</v>
      </c>
    </row>
    <row r="1215" spans="3:3" x14ac:dyDescent="0.2">
      <c r="C1215" s="13" t="s">
        <v>537</v>
      </c>
    </row>
    <row r="1216" spans="3:3" x14ac:dyDescent="0.2">
      <c r="C1216" s="13" t="s">
        <v>539</v>
      </c>
    </row>
    <row r="1217" spans="3:3" x14ac:dyDescent="0.2">
      <c r="C1217" s="13" t="s">
        <v>540</v>
      </c>
    </row>
    <row r="1218" spans="3:3" x14ac:dyDescent="0.2">
      <c r="C1218" s="13" t="s">
        <v>541</v>
      </c>
    </row>
    <row r="1219" spans="3:3" x14ac:dyDescent="0.2">
      <c r="C1219" s="13" t="s">
        <v>542</v>
      </c>
    </row>
    <row r="1220" spans="3:3" x14ac:dyDescent="0.2">
      <c r="C1220" s="13" t="s">
        <v>543</v>
      </c>
    </row>
    <row r="1221" spans="3:3" x14ac:dyDescent="0.2">
      <c r="C1221" s="13" t="s">
        <v>544</v>
      </c>
    </row>
    <row r="1222" spans="3:3" x14ac:dyDescent="0.2">
      <c r="C1222" s="13" t="s">
        <v>545</v>
      </c>
    </row>
    <row r="1223" spans="3:3" x14ac:dyDescent="0.2">
      <c r="C1223" s="13" t="s">
        <v>546</v>
      </c>
    </row>
    <row r="1224" spans="3:3" x14ac:dyDescent="0.2">
      <c r="C1224" s="13" t="s">
        <v>547</v>
      </c>
    </row>
    <row r="1225" spans="3:3" x14ac:dyDescent="0.2">
      <c r="C1225" s="13" t="s">
        <v>548</v>
      </c>
    </row>
    <row r="1226" spans="3:3" x14ac:dyDescent="0.2">
      <c r="C1226" s="13" t="s">
        <v>549</v>
      </c>
    </row>
    <row r="1227" spans="3:3" x14ac:dyDescent="0.2">
      <c r="C1227" s="13" t="s">
        <v>550</v>
      </c>
    </row>
    <row r="1228" spans="3:3" x14ac:dyDescent="0.2">
      <c r="C1228" s="13" t="s">
        <v>551</v>
      </c>
    </row>
    <row r="1229" spans="3:3" x14ac:dyDescent="0.2">
      <c r="C1229" s="13" t="s">
        <v>552</v>
      </c>
    </row>
    <row r="1230" spans="3:3" x14ac:dyDescent="0.2">
      <c r="C1230" s="13" t="s">
        <v>553</v>
      </c>
    </row>
    <row r="1231" spans="3:3" x14ac:dyDescent="0.2">
      <c r="C1231" s="13" t="s">
        <v>554</v>
      </c>
    </row>
    <row r="1232" spans="3:3" x14ac:dyDescent="0.2">
      <c r="C1232" s="13" t="s">
        <v>555</v>
      </c>
    </row>
    <row r="1233" spans="3:3" x14ac:dyDescent="0.2">
      <c r="C1233" s="13" t="s">
        <v>556</v>
      </c>
    </row>
    <row r="1234" spans="3:3" x14ac:dyDescent="0.2">
      <c r="C1234" s="13" t="s">
        <v>557</v>
      </c>
    </row>
    <row r="1235" spans="3:3" x14ac:dyDescent="0.2">
      <c r="C1235" s="13" t="s">
        <v>558</v>
      </c>
    </row>
    <row r="1236" spans="3:3" x14ac:dyDescent="0.2">
      <c r="C1236" s="13" t="s">
        <v>559</v>
      </c>
    </row>
    <row r="1237" spans="3:3" x14ac:dyDescent="0.2">
      <c r="C1237" s="13" t="s">
        <v>561</v>
      </c>
    </row>
    <row r="1238" spans="3:3" x14ac:dyDescent="0.2">
      <c r="C1238" s="13" t="s">
        <v>562</v>
      </c>
    </row>
    <row r="1239" spans="3:3" x14ac:dyDescent="0.2">
      <c r="C1239" s="13" t="s">
        <v>563</v>
      </c>
    </row>
    <row r="1240" spans="3:3" x14ac:dyDescent="0.2">
      <c r="C1240" s="13" t="s">
        <v>564</v>
      </c>
    </row>
    <row r="1241" spans="3:3" x14ac:dyDescent="0.2">
      <c r="C1241" s="13" t="s">
        <v>565</v>
      </c>
    </row>
    <row r="1242" spans="3:3" x14ac:dyDescent="0.2">
      <c r="C1242" s="13" t="s">
        <v>566</v>
      </c>
    </row>
    <row r="1243" spans="3:3" x14ac:dyDescent="0.2">
      <c r="C1243" s="13" t="s">
        <v>567</v>
      </c>
    </row>
    <row r="1244" spans="3:3" x14ac:dyDescent="0.2">
      <c r="C1244" s="13" t="s">
        <v>568</v>
      </c>
    </row>
    <row r="1245" spans="3:3" x14ac:dyDescent="0.2">
      <c r="C1245" s="13" t="s">
        <v>569</v>
      </c>
    </row>
    <row r="1248" spans="3:3" x14ac:dyDescent="0.2">
      <c r="C1248" s="13" t="s">
        <v>326</v>
      </c>
    </row>
    <row r="1249" spans="3:3" x14ac:dyDescent="0.2">
      <c r="C1249" s="13" t="s">
        <v>327</v>
      </c>
    </row>
    <row r="1250" spans="3:3" x14ac:dyDescent="0.2">
      <c r="C1250" s="13" t="s">
        <v>329</v>
      </c>
    </row>
    <row r="1251" spans="3:3" x14ac:dyDescent="0.2">
      <c r="C1251" s="13" t="s">
        <v>332</v>
      </c>
    </row>
    <row r="1252" spans="3:3" x14ac:dyDescent="0.2">
      <c r="C1252" s="13" t="s">
        <v>334</v>
      </c>
    </row>
    <row r="1253" spans="3:3" x14ac:dyDescent="0.2">
      <c r="C1253" s="13" t="s">
        <v>314</v>
      </c>
    </row>
    <row r="1255" spans="3:3" x14ac:dyDescent="0.2">
      <c r="C1255" s="13" t="s">
        <v>326</v>
      </c>
    </row>
    <row r="1256" spans="3:3" x14ac:dyDescent="0.2">
      <c r="C1256" s="13" t="s">
        <v>331</v>
      </c>
    </row>
    <row r="1257" spans="3:3" x14ac:dyDescent="0.2">
      <c r="C1257" s="13" t="s">
        <v>336</v>
      </c>
    </row>
    <row r="1258" spans="3:3" x14ac:dyDescent="0.2">
      <c r="C1258" s="13" t="s">
        <v>327</v>
      </c>
    </row>
    <row r="1259" spans="3:3" x14ac:dyDescent="0.2">
      <c r="C1259" s="13" t="s">
        <v>314</v>
      </c>
    </row>
    <row r="1261" spans="3:3" x14ac:dyDescent="0.2">
      <c r="C1261" s="13" t="s">
        <v>325</v>
      </c>
    </row>
    <row r="1262" spans="3:3" x14ac:dyDescent="0.2">
      <c r="C1262" s="13" t="s">
        <v>327</v>
      </c>
    </row>
    <row r="1263" spans="3:3" x14ac:dyDescent="0.2">
      <c r="C1263" s="13" t="s">
        <v>334</v>
      </c>
    </row>
    <row r="1264" spans="3:3" x14ac:dyDescent="0.2">
      <c r="C1264" s="13" t="s">
        <v>332</v>
      </c>
    </row>
    <row r="1265" spans="3:3" x14ac:dyDescent="0.2">
      <c r="C1265" s="13" t="s">
        <v>314</v>
      </c>
    </row>
    <row r="1267" spans="3:3" x14ac:dyDescent="0.2">
      <c r="C1267" s="13" t="s">
        <v>326</v>
      </c>
    </row>
    <row r="1268" spans="3:3" x14ac:dyDescent="0.2">
      <c r="C1268" s="13" t="s">
        <v>327</v>
      </c>
    </row>
    <row r="1269" spans="3:3" x14ac:dyDescent="0.2">
      <c r="C1269" s="13" t="s">
        <v>314</v>
      </c>
    </row>
    <row r="1272" spans="3:3" x14ac:dyDescent="0.2">
      <c r="C1272" s="13" t="s">
        <v>325</v>
      </c>
    </row>
    <row r="1273" spans="3:3" x14ac:dyDescent="0.2">
      <c r="C1273" s="13" t="s">
        <v>327</v>
      </c>
    </row>
    <row r="1274" spans="3:3" x14ac:dyDescent="0.2">
      <c r="C1274" s="13" t="s">
        <v>329</v>
      </c>
    </row>
    <row r="1275" spans="3:3" x14ac:dyDescent="0.2">
      <c r="C1275" s="13" t="s">
        <v>331</v>
      </c>
    </row>
    <row r="1276" spans="3:3" x14ac:dyDescent="0.2">
      <c r="C1276" s="13" t="s">
        <v>332</v>
      </c>
    </row>
    <row r="1277" spans="3:3" x14ac:dyDescent="0.2">
      <c r="C1277" s="13" t="s">
        <v>333</v>
      </c>
    </row>
    <row r="1278" spans="3:3" x14ac:dyDescent="0.2">
      <c r="C1278" s="13" t="s">
        <v>334</v>
      </c>
    </row>
    <row r="1279" spans="3:3" x14ac:dyDescent="0.2">
      <c r="C1279" s="13" t="s">
        <v>335</v>
      </c>
    </row>
    <row r="1280" spans="3:3" x14ac:dyDescent="0.2">
      <c r="C1280" s="13" t="s">
        <v>336</v>
      </c>
    </row>
    <row r="1281" spans="3:3" x14ac:dyDescent="0.2">
      <c r="C1281" s="13" t="s">
        <v>314</v>
      </c>
    </row>
    <row r="1283" spans="3:3" x14ac:dyDescent="0.2">
      <c r="C1283" s="13" t="s">
        <v>340</v>
      </c>
    </row>
    <row r="1284" spans="3:3" x14ac:dyDescent="0.2">
      <c r="C1284" s="13" t="s">
        <v>342</v>
      </c>
    </row>
    <row r="1285" spans="3:3" x14ac:dyDescent="0.2">
      <c r="C1285" s="13" t="s">
        <v>344</v>
      </c>
    </row>
    <row r="1286" spans="3:3" x14ac:dyDescent="0.2">
      <c r="C1286" s="13" t="s">
        <v>346</v>
      </c>
    </row>
    <row r="1287" spans="3:3" x14ac:dyDescent="0.2">
      <c r="C1287" s="13" t="s">
        <v>348</v>
      </c>
    </row>
    <row r="1288" spans="3:3" x14ac:dyDescent="0.2">
      <c r="C1288" s="13" t="s">
        <v>350</v>
      </c>
    </row>
    <row r="1289" spans="3:3" x14ac:dyDescent="0.2">
      <c r="C1289" s="13" t="s">
        <v>352</v>
      </c>
    </row>
    <row r="1290" spans="3:3" x14ac:dyDescent="0.2">
      <c r="C1290" s="13" t="s">
        <v>354</v>
      </c>
    </row>
    <row r="1291" spans="3:3" x14ac:dyDescent="0.2">
      <c r="C1291" s="13" t="s">
        <v>356</v>
      </c>
    </row>
    <row r="1292" spans="3:3" x14ac:dyDescent="0.2">
      <c r="C1292" s="13" t="s">
        <v>358</v>
      </c>
    </row>
    <row r="1293" spans="3:3" x14ac:dyDescent="0.2">
      <c r="C1293" s="13" t="s">
        <v>360</v>
      </c>
    </row>
    <row r="1294" spans="3:3" x14ac:dyDescent="0.2">
      <c r="C1294" s="13" t="s">
        <v>362</v>
      </c>
    </row>
    <row r="1295" spans="3:3" x14ac:dyDescent="0.2">
      <c r="C1295" s="13" t="s">
        <v>364</v>
      </c>
    </row>
    <row r="1296" spans="3:3" x14ac:dyDescent="0.2">
      <c r="C1296" s="13" t="s">
        <v>366</v>
      </c>
    </row>
    <row r="1297" spans="3:3" x14ac:dyDescent="0.2">
      <c r="C1297" s="13" t="s">
        <v>368</v>
      </c>
    </row>
    <row r="1298" spans="3:3" x14ac:dyDescent="0.2">
      <c r="C1298" s="13" t="s">
        <v>370</v>
      </c>
    </row>
    <row r="1299" spans="3:3" x14ac:dyDescent="0.2">
      <c r="C1299" s="13" t="s">
        <v>372</v>
      </c>
    </row>
    <row r="1300" spans="3:3" x14ac:dyDescent="0.2">
      <c r="C1300" s="13" t="s">
        <v>374</v>
      </c>
    </row>
    <row r="1301" spans="3:3" x14ac:dyDescent="0.2">
      <c r="C1301" s="13" t="s">
        <v>376</v>
      </c>
    </row>
    <row r="1302" spans="3:3" x14ac:dyDescent="0.2">
      <c r="C1302" s="13" t="s">
        <v>378</v>
      </c>
    </row>
    <row r="1303" spans="3:3" x14ac:dyDescent="0.2">
      <c r="C1303" s="13" t="s">
        <v>380</v>
      </c>
    </row>
    <row r="1304" spans="3:3" x14ac:dyDescent="0.2">
      <c r="C1304" s="13" t="s">
        <v>382</v>
      </c>
    </row>
    <row r="1305" spans="3:3" x14ac:dyDescent="0.2">
      <c r="C1305" s="13" t="s">
        <v>384</v>
      </c>
    </row>
    <row r="1306" spans="3:3" x14ac:dyDescent="0.2">
      <c r="C1306" s="13" t="s">
        <v>386</v>
      </c>
    </row>
    <row r="1307" spans="3:3" x14ac:dyDescent="0.2">
      <c r="C1307" s="13" t="s">
        <v>388</v>
      </c>
    </row>
    <row r="1308" spans="3:3" x14ac:dyDescent="0.2">
      <c r="C1308" s="13" t="s">
        <v>390</v>
      </c>
    </row>
    <row r="1309" spans="3:3" x14ac:dyDescent="0.2">
      <c r="C1309" s="13" t="s">
        <v>392</v>
      </c>
    </row>
    <row r="1310" spans="3:3" x14ac:dyDescent="0.2">
      <c r="C1310" s="13" t="s">
        <v>394</v>
      </c>
    </row>
    <row r="1311" spans="3:3" x14ac:dyDescent="0.2">
      <c r="C1311" s="13" t="s">
        <v>396</v>
      </c>
    </row>
    <row r="1312" spans="3:3" x14ac:dyDescent="0.2">
      <c r="C1312" s="13" t="s">
        <v>398</v>
      </c>
    </row>
    <row r="1313" spans="3:3" x14ac:dyDescent="0.2">
      <c r="C1313" s="13" t="s">
        <v>400</v>
      </c>
    </row>
    <row r="1314" spans="3:3" x14ac:dyDescent="0.2">
      <c r="C1314" s="13" t="s">
        <v>402</v>
      </c>
    </row>
    <row r="1315" spans="3:3" x14ac:dyDescent="0.2">
      <c r="C1315" s="13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3" customWidth="1"/>
    <col min="2" max="2" width="48.75" style="43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8" t="s">
        <v>1076</v>
      </c>
      <c r="B1" s="79" t="s">
        <v>1077</v>
      </c>
      <c r="C1" s="79" t="s">
        <v>1078</v>
      </c>
      <c r="D1" s="80" t="s">
        <v>1079</v>
      </c>
      <c r="E1" s="92"/>
    </row>
    <row r="2" spans="1:5" ht="15.75" outlineLevel="1" x14ac:dyDescent="0.2">
      <c r="A2" s="28" t="s">
        <v>19</v>
      </c>
      <c r="B2" s="29" t="s">
        <v>49</v>
      </c>
      <c r="C2" s="28">
        <v>5.0999999999999996</v>
      </c>
      <c r="D2" s="82"/>
    </row>
    <row r="3" spans="1:5" ht="15.75" outlineLevel="1" x14ac:dyDescent="0.2">
      <c r="A3" s="28" t="s">
        <v>19</v>
      </c>
      <c r="B3" s="29" t="s">
        <v>50</v>
      </c>
      <c r="C3" s="28">
        <v>5.2</v>
      </c>
      <c r="D3" s="82"/>
    </row>
    <row r="4" spans="1:5" ht="15.75" outlineLevel="1" x14ac:dyDescent="0.2">
      <c r="A4" s="28" t="s">
        <v>19</v>
      </c>
      <c r="B4" s="29" t="s">
        <v>51</v>
      </c>
      <c r="C4" s="28">
        <v>5.4</v>
      </c>
      <c r="D4" s="82"/>
    </row>
    <row r="5" spans="1:5" ht="15.75" outlineLevel="1" x14ac:dyDescent="0.2">
      <c r="A5" s="28" t="s">
        <v>19</v>
      </c>
      <c r="B5" s="29" t="s">
        <v>52</v>
      </c>
      <c r="C5" s="28">
        <v>5.7</v>
      </c>
      <c r="D5" s="82"/>
    </row>
    <row r="6" spans="1:5" ht="15.75" outlineLevel="1" x14ac:dyDescent="0.2">
      <c r="A6" s="28" t="s">
        <v>19</v>
      </c>
      <c r="B6" s="29" t="s">
        <v>53</v>
      </c>
      <c r="C6" s="28">
        <v>5.1100000000000003</v>
      </c>
      <c r="D6" s="82"/>
    </row>
    <row r="7" spans="1:5" ht="15.75" outlineLevel="1" x14ac:dyDescent="0.2">
      <c r="A7" s="28" t="s">
        <v>19</v>
      </c>
      <c r="B7" s="29" t="s">
        <v>54</v>
      </c>
      <c r="C7" s="28">
        <v>5.26</v>
      </c>
      <c r="D7" s="82"/>
    </row>
    <row r="8" spans="1:5" ht="15.75" outlineLevel="1" x14ac:dyDescent="0.2">
      <c r="A8" s="28" t="s">
        <v>19</v>
      </c>
      <c r="B8" s="29" t="s">
        <v>55</v>
      </c>
      <c r="C8" s="28">
        <v>5.27</v>
      </c>
      <c r="D8" s="82"/>
    </row>
    <row r="9" spans="1:5" ht="15.75" outlineLevel="1" x14ac:dyDescent="0.2">
      <c r="A9" s="28" t="s">
        <v>19</v>
      </c>
      <c r="B9" s="29" t="s">
        <v>56</v>
      </c>
      <c r="C9" s="28">
        <v>5.36</v>
      </c>
      <c r="D9" s="82"/>
    </row>
    <row r="10" spans="1:5" ht="15.75" outlineLevel="1" x14ac:dyDescent="0.2">
      <c r="A10" s="28" t="s">
        <v>19</v>
      </c>
      <c r="B10" s="29" t="s">
        <v>57</v>
      </c>
      <c r="C10" s="30">
        <v>5.5</v>
      </c>
      <c r="D10" s="82"/>
    </row>
    <row r="11" spans="1:5" ht="15.75" outlineLevel="1" x14ac:dyDescent="0.2">
      <c r="A11" s="28" t="s">
        <v>19</v>
      </c>
      <c r="B11" s="29" t="s">
        <v>58</v>
      </c>
      <c r="C11" s="28">
        <v>5.51</v>
      </c>
      <c r="D11" s="82"/>
    </row>
    <row r="12" spans="1:5" ht="15.75" outlineLevel="1" x14ac:dyDescent="0.2">
      <c r="A12" s="28" t="s">
        <v>19</v>
      </c>
      <c r="B12" s="29" t="s">
        <v>59</v>
      </c>
      <c r="C12" s="28">
        <v>5.53</v>
      </c>
      <c r="D12" s="82"/>
    </row>
    <row r="13" spans="1:5" ht="15.75" outlineLevel="1" x14ac:dyDescent="0.2">
      <c r="A13" s="28" t="s">
        <v>19</v>
      </c>
      <c r="B13" s="29" t="s">
        <v>60</v>
      </c>
      <c r="C13" s="28">
        <v>5.59</v>
      </c>
      <c r="D13" s="82"/>
    </row>
    <row r="14" spans="1:5" ht="15.75" outlineLevel="1" x14ac:dyDescent="0.2">
      <c r="A14" s="28" t="s">
        <v>19</v>
      </c>
      <c r="B14" s="29" t="s">
        <v>61</v>
      </c>
      <c r="C14" s="28">
        <v>5.54</v>
      </c>
      <c r="D14" s="82"/>
    </row>
    <row r="15" spans="1:5" ht="15.75" outlineLevel="1" x14ac:dyDescent="0.2">
      <c r="A15" s="28" t="s">
        <v>19</v>
      </c>
      <c r="B15" s="29" t="s">
        <v>62</v>
      </c>
      <c r="C15" s="30">
        <v>5.7</v>
      </c>
      <c r="D15" s="81" t="s">
        <v>1080</v>
      </c>
    </row>
    <row r="16" spans="1:5" ht="15.75" outlineLevel="1" x14ac:dyDescent="0.2">
      <c r="A16" s="28" t="s">
        <v>19</v>
      </c>
      <c r="B16" s="29" t="s">
        <v>63</v>
      </c>
      <c r="C16" s="28">
        <v>5.63</v>
      </c>
      <c r="D16" s="82"/>
    </row>
    <row r="17" spans="1:4" ht="15.75" outlineLevel="1" x14ac:dyDescent="0.2">
      <c r="A17" s="28" t="s">
        <v>19</v>
      </c>
      <c r="B17" s="29" t="s">
        <v>64</v>
      </c>
      <c r="C17" s="28">
        <v>5.47</v>
      </c>
      <c r="D17" s="82"/>
    </row>
    <row r="18" spans="1:4" ht="15.75" outlineLevel="1" x14ac:dyDescent="0.2">
      <c r="A18" s="28" t="s">
        <v>19</v>
      </c>
      <c r="B18" s="29" t="s">
        <v>65</v>
      </c>
      <c r="C18" s="28">
        <v>5.48</v>
      </c>
      <c r="D18" s="82"/>
    </row>
    <row r="19" spans="1:4" ht="15.75" x14ac:dyDescent="0.2">
      <c r="A19" s="33" t="s">
        <v>19</v>
      </c>
      <c r="B19" s="29"/>
      <c r="C19" s="28"/>
      <c r="D19" s="82"/>
    </row>
    <row r="20" spans="1:4" ht="15.75" outlineLevel="1" x14ac:dyDescent="0.2">
      <c r="A20" s="28" t="s">
        <v>20</v>
      </c>
      <c r="B20" s="29" t="s">
        <v>49</v>
      </c>
      <c r="C20" s="28">
        <v>5.0999999999999996</v>
      </c>
      <c r="D20" s="82"/>
    </row>
    <row r="21" spans="1:4" ht="15.75" outlineLevel="1" x14ac:dyDescent="0.2">
      <c r="A21" s="28" t="s">
        <v>20</v>
      </c>
      <c r="B21" s="29" t="s">
        <v>50</v>
      </c>
      <c r="C21" s="28">
        <v>5.2</v>
      </c>
      <c r="D21" s="82"/>
    </row>
    <row r="22" spans="1:4" ht="15.75" outlineLevel="1" x14ac:dyDescent="0.2">
      <c r="A22" s="28" t="s">
        <v>20</v>
      </c>
      <c r="B22" s="29" t="s">
        <v>66</v>
      </c>
      <c r="C22" s="28">
        <v>5.3</v>
      </c>
      <c r="D22" s="82"/>
    </row>
    <row r="23" spans="1:4" ht="15.75" outlineLevel="1" x14ac:dyDescent="0.2">
      <c r="A23" s="28" t="s">
        <v>20</v>
      </c>
      <c r="B23" s="29" t="s">
        <v>91</v>
      </c>
      <c r="C23" s="28">
        <v>5.14</v>
      </c>
      <c r="D23" s="82"/>
    </row>
    <row r="24" spans="1:4" ht="15.75" outlineLevel="1" x14ac:dyDescent="0.2">
      <c r="A24" s="28" t="s">
        <v>20</v>
      </c>
      <c r="B24" s="29" t="s">
        <v>68</v>
      </c>
      <c r="C24" s="28">
        <v>5.19</v>
      </c>
      <c r="D24" s="82"/>
    </row>
    <row r="25" spans="1:4" ht="15.75" outlineLevel="1" x14ac:dyDescent="0.2">
      <c r="A25" s="28" t="s">
        <v>20</v>
      </c>
      <c r="B25" s="29" t="s">
        <v>54</v>
      </c>
      <c r="C25" s="28">
        <v>5.26</v>
      </c>
      <c r="D25" s="82"/>
    </row>
    <row r="26" spans="1:4" ht="15.75" outlineLevel="1" x14ac:dyDescent="0.2">
      <c r="A26" s="28" t="s">
        <v>20</v>
      </c>
      <c r="B26" s="29" t="s">
        <v>55</v>
      </c>
      <c r="C26" s="28">
        <v>5.27</v>
      </c>
      <c r="D26" s="82"/>
    </row>
    <row r="27" spans="1:4" ht="15.75" outlineLevel="1" x14ac:dyDescent="0.2">
      <c r="A27" s="28" t="s">
        <v>20</v>
      </c>
      <c r="B27" s="29" t="s">
        <v>69</v>
      </c>
      <c r="C27" s="28">
        <v>5.28</v>
      </c>
      <c r="D27" s="82"/>
    </row>
    <row r="28" spans="1:4" ht="15.75" outlineLevel="1" x14ac:dyDescent="0.2">
      <c r="A28" s="28" t="s">
        <v>20</v>
      </c>
      <c r="B28" s="29" t="s">
        <v>70</v>
      </c>
      <c r="C28" s="30">
        <v>5.3</v>
      </c>
      <c r="D28" s="82"/>
    </row>
    <row r="29" spans="1:4" ht="15.75" outlineLevel="1" x14ac:dyDescent="0.2">
      <c r="A29" s="28" t="s">
        <v>20</v>
      </c>
      <c r="B29" s="29" t="s">
        <v>71</v>
      </c>
      <c r="C29" s="28">
        <v>5.49</v>
      </c>
      <c r="D29" s="82"/>
    </row>
    <row r="30" spans="1:4" ht="15.75" outlineLevel="1" x14ac:dyDescent="0.2">
      <c r="A30" s="28" t="s">
        <v>20</v>
      </c>
      <c r="B30" s="29" t="s">
        <v>58</v>
      </c>
      <c r="C30" s="28">
        <v>5.51</v>
      </c>
      <c r="D30" s="82"/>
    </row>
    <row r="31" spans="1:4" ht="15.75" outlineLevel="1" x14ac:dyDescent="0.2">
      <c r="A31" s="28" t="s">
        <v>20</v>
      </c>
      <c r="B31" s="29" t="s">
        <v>59</v>
      </c>
      <c r="C31" s="28">
        <v>5.53</v>
      </c>
      <c r="D31" s="82"/>
    </row>
    <row r="32" spans="1:4" ht="15.75" outlineLevel="1" x14ac:dyDescent="0.2">
      <c r="A32" s="28" t="s">
        <v>20</v>
      </c>
      <c r="B32" s="29" t="s">
        <v>72</v>
      </c>
      <c r="C32" s="28">
        <v>5.69</v>
      </c>
      <c r="D32" s="82"/>
    </row>
    <row r="33" spans="1:4" ht="15.75" outlineLevel="1" x14ac:dyDescent="0.2">
      <c r="A33" s="28" t="s">
        <v>20</v>
      </c>
      <c r="B33" s="29" t="s">
        <v>73</v>
      </c>
      <c r="C33" s="28">
        <v>5.75</v>
      </c>
      <c r="D33" s="82"/>
    </row>
    <row r="34" spans="1:4" ht="15.75" outlineLevel="1" x14ac:dyDescent="0.2">
      <c r="A34" s="28" t="s">
        <v>20</v>
      </c>
      <c r="B34" s="29" t="s">
        <v>62</v>
      </c>
      <c r="C34" s="30">
        <v>5.7</v>
      </c>
      <c r="D34" s="82"/>
    </row>
    <row r="35" spans="1:4" ht="15.75" outlineLevel="1" x14ac:dyDescent="0.2">
      <c r="A35" s="28" t="s">
        <v>20</v>
      </c>
      <c r="B35" s="29" t="s">
        <v>74</v>
      </c>
      <c r="C35" s="28">
        <v>5.74</v>
      </c>
      <c r="D35" s="82"/>
    </row>
    <row r="36" spans="1:4" ht="15.75" outlineLevel="1" x14ac:dyDescent="0.2">
      <c r="A36" s="28" t="s">
        <v>20</v>
      </c>
      <c r="B36" s="29" t="s">
        <v>75</v>
      </c>
      <c r="C36" s="28">
        <v>5.62</v>
      </c>
      <c r="D36" s="82"/>
    </row>
    <row r="37" spans="1:4" ht="15.75" outlineLevel="1" x14ac:dyDescent="0.2">
      <c r="A37" s="28" t="s">
        <v>20</v>
      </c>
      <c r="B37" s="29" t="s">
        <v>76</v>
      </c>
      <c r="C37" s="28">
        <v>5.58</v>
      </c>
      <c r="D37" s="82"/>
    </row>
    <row r="38" spans="1:4" ht="15.75" outlineLevel="1" x14ac:dyDescent="0.2">
      <c r="A38" s="28" t="s">
        <v>20</v>
      </c>
      <c r="B38" s="29" t="s">
        <v>61</v>
      </c>
      <c r="C38" s="28">
        <v>5.54</v>
      </c>
      <c r="D38" s="82"/>
    </row>
    <row r="39" spans="1:4" ht="15.75" outlineLevel="1" x14ac:dyDescent="0.2">
      <c r="A39" s="28" t="s">
        <v>20</v>
      </c>
      <c r="B39" s="29" t="s">
        <v>77</v>
      </c>
      <c r="C39" s="28">
        <v>5.55</v>
      </c>
      <c r="D39" s="82"/>
    </row>
    <row r="40" spans="1:4" ht="15.75" outlineLevel="1" x14ac:dyDescent="0.2">
      <c r="A40" s="28" t="s">
        <v>20</v>
      </c>
      <c r="B40" s="29" t="s">
        <v>63</v>
      </c>
      <c r="C40" s="28">
        <v>5.63</v>
      </c>
      <c r="D40" s="82"/>
    </row>
    <row r="41" spans="1:4" ht="15.75" outlineLevel="1" x14ac:dyDescent="0.2">
      <c r="A41" s="28" t="s">
        <v>20</v>
      </c>
      <c r="B41" s="29" t="s">
        <v>78</v>
      </c>
      <c r="C41" s="28">
        <v>5.65</v>
      </c>
      <c r="D41" s="82"/>
    </row>
    <row r="42" spans="1:4" ht="15.75" outlineLevel="1" x14ac:dyDescent="0.2">
      <c r="A42" s="28" t="s">
        <v>20</v>
      </c>
      <c r="B42" s="29" t="s">
        <v>17</v>
      </c>
      <c r="C42" s="28">
        <v>5.68</v>
      </c>
      <c r="D42" s="82"/>
    </row>
    <row r="43" spans="1:4" ht="15.75" outlineLevel="1" x14ac:dyDescent="0.2">
      <c r="A43" s="28" t="s">
        <v>20</v>
      </c>
      <c r="B43" s="29" t="s">
        <v>79</v>
      </c>
      <c r="C43" s="28">
        <v>5.45</v>
      </c>
      <c r="D43" s="82"/>
    </row>
    <row r="44" spans="1:4" ht="15.75" outlineLevel="1" x14ac:dyDescent="0.2">
      <c r="A44" s="28" t="s">
        <v>20</v>
      </c>
      <c r="B44" s="29" t="s">
        <v>64</v>
      </c>
      <c r="C44" s="28">
        <v>5.47</v>
      </c>
      <c r="D44" s="82"/>
    </row>
    <row r="45" spans="1:4" ht="15.75" outlineLevel="1" x14ac:dyDescent="0.2">
      <c r="A45" s="28" t="s">
        <v>20</v>
      </c>
      <c r="B45" s="29" t="s">
        <v>65</v>
      </c>
      <c r="C45" s="28">
        <v>5.48</v>
      </c>
      <c r="D45" s="82"/>
    </row>
    <row r="46" spans="1:4" ht="15.75" x14ac:dyDescent="0.2">
      <c r="A46" s="33" t="s">
        <v>20</v>
      </c>
      <c r="B46" s="29"/>
      <c r="C46" s="28"/>
      <c r="D46" s="82"/>
    </row>
    <row r="47" spans="1:4" ht="15.75" outlineLevel="1" x14ac:dyDescent="0.2">
      <c r="A47" s="28" t="s">
        <v>21</v>
      </c>
      <c r="B47" s="29" t="s">
        <v>49</v>
      </c>
      <c r="C47" s="28">
        <v>5.0999999999999996</v>
      </c>
      <c r="D47" s="82"/>
    </row>
    <row r="48" spans="1:4" ht="15.75" outlineLevel="1" x14ac:dyDescent="0.2">
      <c r="A48" s="28" t="s">
        <v>21</v>
      </c>
      <c r="B48" s="29" t="s">
        <v>50</v>
      </c>
      <c r="C48" s="28">
        <v>5.2</v>
      </c>
      <c r="D48" s="82"/>
    </row>
    <row r="49" spans="1:4" ht="15.75" outlineLevel="1" x14ac:dyDescent="0.2">
      <c r="A49" s="28" t="s">
        <v>21</v>
      </c>
      <c r="B49" s="29" t="s">
        <v>66</v>
      </c>
      <c r="C49" s="28">
        <v>5.3</v>
      </c>
      <c r="D49" s="82"/>
    </row>
    <row r="50" spans="1:4" ht="15.75" outlineLevel="1" x14ac:dyDescent="0.2">
      <c r="A50" s="28" t="s">
        <v>21</v>
      </c>
      <c r="B50" s="29" t="s">
        <v>80</v>
      </c>
      <c r="C50" s="28">
        <v>5.6</v>
      </c>
      <c r="D50" s="82"/>
    </row>
    <row r="51" spans="1:4" ht="15.75" outlineLevel="1" x14ac:dyDescent="0.2">
      <c r="A51" s="28" t="s">
        <v>21</v>
      </c>
      <c r="B51" s="29" t="s">
        <v>1081</v>
      </c>
      <c r="C51" s="30">
        <v>5.0999999999999996</v>
      </c>
      <c r="D51" s="82"/>
    </row>
    <row r="52" spans="1:4" ht="15.75" outlineLevel="1" x14ac:dyDescent="0.2">
      <c r="A52" s="28" t="s">
        <v>21</v>
      </c>
      <c r="B52" s="29" t="s">
        <v>91</v>
      </c>
      <c r="C52" s="28">
        <v>5.14</v>
      </c>
      <c r="D52" s="82"/>
    </row>
    <row r="53" spans="1:4" ht="15.75" outlineLevel="1" x14ac:dyDescent="0.2">
      <c r="A53" s="28" t="s">
        <v>21</v>
      </c>
      <c r="B53" s="29" t="s">
        <v>68</v>
      </c>
      <c r="C53" s="28">
        <v>5.19</v>
      </c>
      <c r="D53" s="82"/>
    </row>
    <row r="54" spans="1:4" ht="15.75" outlineLevel="1" x14ac:dyDescent="0.2">
      <c r="A54" s="28" t="s">
        <v>21</v>
      </c>
      <c r="B54" s="29" t="s">
        <v>82</v>
      </c>
      <c r="C54" s="28">
        <v>5.24</v>
      </c>
      <c r="D54" s="82"/>
    </row>
    <row r="55" spans="1:4" ht="15.75" outlineLevel="1" x14ac:dyDescent="0.2">
      <c r="A55" s="28" t="s">
        <v>21</v>
      </c>
      <c r="B55" s="29" t="s">
        <v>54</v>
      </c>
      <c r="C55" s="28">
        <v>5.26</v>
      </c>
      <c r="D55" s="82"/>
    </row>
    <row r="56" spans="1:4" ht="15.75" outlineLevel="1" x14ac:dyDescent="0.2">
      <c r="A56" s="28" t="s">
        <v>21</v>
      </c>
      <c r="B56" s="29" t="s">
        <v>55</v>
      </c>
      <c r="C56" s="28">
        <v>5.27</v>
      </c>
      <c r="D56" s="82"/>
    </row>
    <row r="57" spans="1:4" ht="15.75" outlineLevel="1" x14ac:dyDescent="0.2">
      <c r="A57" s="28" t="s">
        <v>21</v>
      </c>
      <c r="B57" s="29" t="s">
        <v>69</v>
      </c>
      <c r="C57" s="28">
        <v>5.28</v>
      </c>
      <c r="D57" s="82"/>
    </row>
    <row r="58" spans="1:4" ht="15.75" outlineLevel="1" x14ac:dyDescent="0.2">
      <c r="A58" s="28" t="s">
        <v>21</v>
      </c>
      <c r="B58" s="29" t="s">
        <v>70</v>
      </c>
      <c r="C58" s="30">
        <v>5.3</v>
      </c>
      <c r="D58" s="82"/>
    </row>
    <row r="59" spans="1:4" ht="15.75" outlineLevel="1" x14ac:dyDescent="0.2">
      <c r="A59" s="28" t="s">
        <v>21</v>
      </c>
      <c r="B59" s="29" t="s">
        <v>83</v>
      </c>
      <c r="C59" s="28">
        <v>5.31</v>
      </c>
      <c r="D59" s="82"/>
    </row>
    <row r="60" spans="1:4" ht="15.75" outlineLevel="1" x14ac:dyDescent="0.2">
      <c r="A60" s="28" t="s">
        <v>21</v>
      </c>
      <c r="B60" s="29" t="s">
        <v>56</v>
      </c>
      <c r="C60" s="28">
        <v>5.36</v>
      </c>
      <c r="D60" s="82"/>
    </row>
    <row r="61" spans="1:4" ht="15.75" outlineLevel="1" x14ac:dyDescent="0.2">
      <c r="A61" s="28" t="s">
        <v>21</v>
      </c>
      <c r="B61" s="29" t="s">
        <v>71</v>
      </c>
      <c r="C61" s="28">
        <v>5.49</v>
      </c>
      <c r="D61" s="82"/>
    </row>
    <row r="62" spans="1:4" ht="15.75" outlineLevel="1" x14ac:dyDescent="0.2">
      <c r="A62" s="28" t="s">
        <v>21</v>
      </c>
      <c r="B62" s="29" t="s">
        <v>58</v>
      </c>
      <c r="C62" s="28">
        <v>5.51</v>
      </c>
      <c r="D62" s="82"/>
    </row>
    <row r="63" spans="1:4" ht="15.75" outlineLevel="1" x14ac:dyDescent="0.2">
      <c r="A63" s="28" t="s">
        <v>21</v>
      </c>
      <c r="B63" s="29" t="s">
        <v>1082</v>
      </c>
      <c r="C63" s="28">
        <v>5.52</v>
      </c>
      <c r="D63" s="82"/>
    </row>
    <row r="64" spans="1:4" ht="15.75" outlineLevel="1" x14ac:dyDescent="0.2">
      <c r="A64" s="28" t="s">
        <v>21</v>
      </c>
      <c r="B64" s="29" t="s">
        <v>59</v>
      </c>
      <c r="C64" s="28">
        <v>5.53</v>
      </c>
      <c r="D64" s="82"/>
    </row>
    <row r="65" spans="1:4" ht="15.75" outlineLevel="1" x14ac:dyDescent="0.2">
      <c r="A65" s="28" t="s">
        <v>21</v>
      </c>
      <c r="B65" s="29" t="s">
        <v>72</v>
      </c>
      <c r="C65" s="28">
        <v>5.69</v>
      </c>
      <c r="D65" s="82"/>
    </row>
    <row r="66" spans="1:4" ht="15.75" outlineLevel="1" x14ac:dyDescent="0.2">
      <c r="A66" s="28" t="s">
        <v>21</v>
      </c>
      <c r="B66" s="29" t="s">
        <v>85</v>
      </c>
      <c r="C66" s="30">
        <v>5.72</v>
      </c>
      <c r="D66" s="82"/>
    </row>
    <row r="67" spans="1:4" ht="15.75" outlineLevel="1" x14ac:dyDescent="0.2">
      <c r="A67" s="28" t="s">
        <v>21</v>
      </c>
      <c r="B67" s="29" t="s">
        <v>73</v>
      </c>
      <c r="C67" s="28">
        <v>5.75</v>
      </c>
      <c r="D67" s="82"/>
    </row>
    <row r="68" spans="1:4" ht="15.75" outlineLevel="1" x14ac:dyDescent="0.2">
      <c r="A68" s="28" t="s">
        <v>21</v>
      </c>
      <c r="B68" s="29" t="s">
        <v>62</v>
      </c>
      <c r="C68" s="30">
        <v>5.7</v>
      </c>
      <c r="D68" s="82"/>
    </row>
    <row r="69" spans="1:4" ht="15.75" outlineLevel="1" x14ac:dyDescent="0.2">
      <c r="A69" s="28" t="s">
        <v>21</v>
      </c>
      <c r="B69" s="29" t="s">
        <v>74</v>
      </c>
      <c r="C69" s="28">
        <v>5.74</v>
      </c>
      <c r="D69" s="82"/>
    </row>
    <row r="70" spans="1:4" ht="15.75" outlineLevel="1" x14ac:dyDescent="0.2">
      <c r="A70" s="28" t="s">
        <v>21</v>
      </c>
      <c r="B70" s="29" t="s">
        <v>86</v>
      </c>
      <c r="C70" s="28">
        <v>5.76</v>
      </c>
      <c r="D70" s="82"/>
    </row>
    <row r="71" spans="1:4" ht="15.75" outlineLevel="1" x14ac:dyDescent="0.2">
      <c r="A71" s="28" t="s">
        <v>21</v>
      </c>
      <c r="B71" s="29" t="s">
        <v>87</v>
      </c>
      <c r="C71" s="28">
        <v>5.89</v>
      </c>
      <c r="D71" s="81" t="s">
        <v>1080</v>
      </c>
    </row>
    <row r="72" spans="1:4" ht="15.75" outlineLevel="1" x14ac:dyDescent="0.2">
      <c r="A72" s="28" t="s">
        <v>21</v>
      </c>
      <c r="B72" s="29" t="s">
        <v>76</v>
      </c>
      <c r="C72" s="28">
        <v>5.58</v>
      </c>
      <c r="D72" s="82"/>
    </row>
    <row r="73" spans="1:4" ht="15.75" outlineLevel="1" x14ac:dyDescent="0.2">
      <c r="A73" s="28" t="s">
        <v>21</v>
      </c>
      <c r="B73" s="29" t="s">
        <v>75</v>
      </c>
      <c r="C73" s="28">
        <v>5.62</v>
      </c>
      <c r="D73" s="82"/>
    </row>
    <row r="74" spans="1:4" ht="15.75" outlineLevel="1" x14ac:dyDescent="0.2">
      <c r="A74" s="28" t="s">
        <v>21</v>
      </c>
      <c r="B74" s="29" t="s">
        <v>61</v>
      </c>
      <c r="C74" s="28">
        <v>5.54</v>
      </c>
      <c r="D74" s="82"/>
    </row>
    <row r="75" spans="1:4" ht="15.75" outlineLevel="1" x14ac:dyDescent="0.2">
      <c r="A75" s="28" t="s">
        <v>21</v>
      </c>
      <c r="B75" s="29" t="s">
        <v>77</v>
      </c>
      <c r="C75" s="28">
        <v>5.55</v>
      </c>
      <c r="D75" s="82"/>
    </row>
    <row r="76" spans="1:4" ht="15.75" outlineLevel="1" x14ac:dyDescent="0.2">
      <c r="A76" s="28" t="s">
        <v>21</v>
      </c>
      <c r="B76" s="29" t="s">
        <v>63</v>
      </c>
      <c r="C76" s="28">
        <v>5.63</v>
      </c>
      <c r="D76" s="82"/>
    </row>
    <row r="77" spans="1:4" ht="15.75" outlineLevel="1" x14ac:dyDescent="0.2">
      <c r="A77" s="28" t="s">
        <v>21</v>
      </c>
      <c r="B77" s="29" t="s">
        <v>78</v>
      </c>
      <c r="C77" s="28">
        <v>5.65</v>
      </c>
      <c r="D77" s="82"/>
    </row>
    <row r="78" spans="1:4" ht="15.75" outlineLevel="1" x14ac:dyDescent="0.2">
      <c r="A78" s="28" t="s">
        <v>21</v>
      </c>
      <c r="B78" s="29" t="s">
        <v>88</v>
      </c>
      <c r="C78" s="28">
        <v>5.66</v>
      </c>
      <c r="D78" s="82"/>
    </row>
    <row r="79" spans="1:4" ht="15.75" outlineLevel="1" x14ac:dyDescent="0.2">
      <c r="A79" s="28" t="s">
        <v>21</v>
      </c>
      <c r="B79" s="29" t="s">
        <v>17</v>
      </c>
      <c r="C79" s="28">
        <v>5.68</v>
      </c>
      <c r="D79" s="82"/>
    </row>
    <row r="80" spans="1:4" ht="15.75" outlineLevel="1" x14ac:dyDescent="0.2">
      <c r="A80" s="28" t="s">
        <v>21</v>
      </c>
      <c r="B80" s="29" t="s">
        <v>79</v>
      </c>
      <c r="C80" s="28">
        <v>5.45</v>
      </c>
      <c r="D80" s="82"/>
    </row>
    <row r="81" spans="1:4" ht="15.75" outlineLevel="1" x14ac:dyDescent="0.2">
      <c r="A81" s="28" t="s">
        <v>21</v>
      </c>
      <c r="B81" s="29" t="s">
        <v>64</v>
      </c>
      <c r="C81" s="28">
        <v>5.47</v>
      </c>
      <c r="D81" s="82"/>
    </row>
    <row r="82" spans="1:4" ht="15.75" outlineLevel="1" x14ac:dyDescent="0.2">
      <c r="A82" s="28" t="s">
        <v>21</v>
      </c>
      <c r="B82" s="29" t="s">
        <v>65</v>
      </c>
      <c r="C82" s="28">
        <v>5.48</v>
      </c>
      <c r="D82" s="82"/>
    </row>
    <row r="83" spans="1:4" ht="15.75" x14ac:dyDescent="0.2">
      <c r="A83" s="33" t="s">
        <v>21</v>
      </c>
      <c r="B83" s="29"/>
      <c r="C83" s="28"/>
      <c r="D83" s="82"/>
    </row>
    <row r="84" spans="1:4" ht="15.75" outlineLevel="1" x14ac:dyDescent="0.2">
      <c r="A84" s="28" t="s">
        <v>22</v>
      </c>
      <c r="B84" s="29" t="s">
        <v>49</v>
      </c>
      <c r="C84" s="28">
        <v>5.0999999999999996</v>
      </c>
      <c r="D84" s="82"/>
    </row>
    <row r="85" spans="1:4" ht="15.75" outlineLevel="1" x14ac:dyDescent="0.2">
      <c r="A85" s="28" t="s">
        <v>22</v>
      </c>
      <c r="B85" s="29" t="s">
        <v>50</v>
      </c>
      <c r="C85" s="28">
        <v>5.2</v>
      </c>
      <c r="D85" s="82"/>
    </row>
    <row r="86" spans="1:4" ht="15.75" outlineLevel="1" x14ac:dyDescent="0.2">
      <c r="A86" s="28" t="s">
        <v>22</v>
      </c>
      <c r="B86" s="29" t="s">
        <v>66</v>
      </c>
      <c r="C86" s="28">
        <v>5.3</v>
      </c>
      <c r="D86" s="82"/>
    </row>
    <row r="87" spans="1:4" ht="15.75" outlineLevel="1" x14ac:dyDescent="0.2">
      <c r="A87" s="28" t="s">
        <v>22</v>
      </c>
      <c r="B87" s="29" t="s">
        <v>80</v>
      </c>
      <c r="C87" s="28">
        <v>5.6</v>
      </c>
      <c r="D87" s="82"/>
    </row>
    <row r="88" spans="1:4" ht="15.75" outlineLevel="1" x14ac:dyDescent="0.2">
      <c r="A88" s="28" t="s">
        <v>22</v>
      </c>
      <c r="B88" s="29" t="s">
        <v>1081</v>
      </c>
      <c r="C88" s="30">
        <v>5.0999999999999996</v>
      </c>
      <c r="D88" s="82"/>
    </row>
    <row r="89" spans="1:4" ht="15.75" outlineLevel="1" x14ac:dyDescent="0.2">
      <c r="A89" s="28" t="s">
        <v>22</v>
      </c>
      <c r="B89" s="29" t="s">
        <v>91</v>
      </c>
      <c r="C89" s="28">
        <v>5.14</v>
      </c>
      <c r="D89" s="82"/>
    </row>
    <row r="90" spans="1:4" ht="15.75" outlineLevel="1" x14ac:dyDescent="0.2">
      <c r="A90" s="28" t="s">
        <v>22</v>
      </c>
      <c r="B90" s="29" t="s">
        <v>68</v>
      </c>
      <c r="C90" s="28">
        <v>5.19</v>
      </c>
      <c r="D90" s="82"/>
    </row>
    <row r="91" spans="1:4" ht="15.75" outlineLevel="1" x14ac:dyDescent="0.2">
      <c r="A91" s="28" t="s">
        <v>22</v>
      </c>
      <c r="B91" s="29" t="s">
        <v>82</v>
      </c>
      <c r="C91" s="28">
        <v>5.24</v>
      </c>
      <c r="D91" s="82"/>
    </row>
    <row r="92" spans="1:4" ht="15.75" outlineLevel="1" x14ac:dyDescent="0.2">
      <c r="A92" s="28" t="s">
        <v>22</v>
      </c>
      <c r="B92" s="29" t="s">
        <v>54</v>
      </c>
      <c r="C92" s="28">
        <v>5.26</v>
      </c>
      <c r="D92" s="82"/>
    </row>
    <row r="93" spans="1:4" ht="15.75" outlineLevel="1" x14ac:dyDescent="0.2">
      <c r="A93" s="28" t="s">
        <v>22</v>
      </c>
      <c r="B93" s="29" t="s">
        <v>55</v>
      </c>
      <c r="C93" s="28">
        <v>5.27</v>
      </c>
      <c r="D93" s="82"/>
    </row>
    <row r="94" spans="1:4" ht="15.75" outlineLevel="1" x14ac:dyDescent="0.2">
      <c r="A94" s="28" t="s">
        <v>22</v>
      </c>
      <c r="B94" s="29" t="s">
        <v>69</v>
      </c>
      <c r="C94" s="28">
        <v>5.28</v>
      </c>
      <c r="D94" s="82"/>
    </row>
    <row r="95" spans="1:4" ht="15.75" outlineLevel="1" x14ac:dyDescent="0.2">
      <c r="A95" s="28" t="s">
        <v>22</v>
      </c>
      <c r="B95" s="29" t="s">
        <v>89</v>
      </c>
      <c r="C95" s="28">
        <v>5.29</v>
      </c>
      <c r="D95" s="82"/>
    </row>
    <row r="96" spans="1:4" ht="15.75" outlineLevel="1" x14ac:dyDescent="0.2">
      <c r="A96" s="28" t="s">
        <v>22</v>
      </c>
      <c r="B96" s="29" t="s">
        <v>70</v>
      </c>
      <c r="C96" s="30">
        <v>5.3</v>
      </c>
      <c r="D96" s="82"/>
    </row>
    <row r="97" spans="1:4" ht="15.75" outlineLevel="1" x14ac:dyDescent="0.2">
      <c r="A97" s="28" t="s">
        <v>22</v>
      </c>
      <c r="B97" s="29" t="s">
        <v>83</v>
      </c>
      <c r="C97" s="28">
        <v>5.31</v>
      </c>
      <c r="D97" s="82"/>
    </row>
    <row r="98" spans="1:4" ht="15.75" outlineLevel="1" x14ac:dyDescent="0.2">
      <c r="A98" s="28" t="s">
        <v>22</v>
      </c>
      <c r="B98" s="29" t="s">
        <v>56</v>
      </c>
      <c r="C98" s="28">
        <v>5.36</v>
      </c>
      <c r="D98" s="82"/>
    </row>
    <row r="99" spans="1:4" ht="15.75" outlineLevel="1" x14ac:dyDescent="0.2">
      <c r="A99" s="28" t="s">
        <v>22</v>
      </c>
      <c r="B99" s="29" t="s">
        <v>71</v>
      </c>
      <c r="C99" s="28">
        <v>5.49</v>
      </c>
      <c r="D99" s="82"/>
    </row>
    <row r="100" spans="1:4" ht="15.75" outlineLevel="1" x14ac:dyDescent="0.2">
      <c r="A100" s="28" t="s">
        <v>22</v>
      </c>
      <c r="B100" s="29" t="s">
        <v>58</v>
      </c>
      <c r="C100" s="28">
        <v>5.51</v>
      </c>
      <c r="D100" s="82"/>
    </row>
    <row r="101" spans="1:4" ht="15.75" outlineLevel="1" x14ac:dyDescent="0.2">
      <c r="A101" s="28" t="s">
        <v>22</v>
      </c>
      <c r="B101" s="29" t="s">
        <v>1082</v>
      </c>
      <c r="C101" s="28">
        <v>5.52</v>
      </c>
      <c r="D101" s="82"/>
    </row>
    <row r="102" spans="1:4" ht="15.75" outlineLevel="1" x14ac:dyDescent="0.2">
      <c r="A102" s="28" t="s">
        <v>22</v>
      </c>
      <c r="B102" s="29" t="s">
        <v>59</v>
      </c>
      <c r="C102" s="28">
        <v>5.53</v>
      </c>
      <c r="D102" s="82"/>
    </row>
    <row r="103" spans="1:4" ht="15.75" outlineLevel="1" x14ac:dyDescent="0.2">
      <c r="A103" s="28" t="s">
        <v>22</v>
      </c>
      <c r="B103" s="29" t="s">
        <v>72</v>
      </c>
      <c r="C103" s="28">
        <v>5.69</v>
      </c>
      <c r="D103" s="82"/>
    </row>
    <row r="104" spans="1:4" ht="15.75" outlineLevel="1" x14ac:dyDescent="0.2">
      <c r="A104" s="28" t="s">
        <v>22</v>
      </c>
      <c r="B104" s="29" t="s">
        <v>73</v>
      </c>
      <c r="C104" s="28">
        <v>5.75</v>
      </c>
      <c r="D104" s="82"/>
    </row>
    <row r="105" spans="1:4" ht="15.75" outlineLevel="1" x14ac:dyDescent="0.2">
      <c r="A105" s="28" t="s">
        <v>22</v>
      </c>
      <c r="B105" s="29" t="s">
        <v>62</v>
      </c>
      <c r="C105" s="30">
        <v>5.7</v>
      </c>
      <c r="D105" s="82"/>
    </row>
    <row r="106" spans="1:4" ht="15.75" outlineLevel="1" x14ac:dyDescent="0.2">
      <c r="A106" s="28" t="s">
        <v>22</v>
      </c>
      <c r="B106" s="29" t="s">
        <v>74</v>
      </c>
      <c r="C106" s="28">
        <v>5.74</v>
      </c>
      <c r="D106" s="82"/>
    </row>
    <row r="107" spans="1:4" ht="15.75" outlineLevel="1" x14ac:dyDescent="0.2">
      <c r="A107" s="28" t="s">
        <v>22</v>
      </c>
      <c r="B107" s="29" t="s">
        <v>86</v>
      </c>
      <c r="C107" s="28">
        <v>5.76</v>
      </c>
      <c r="D107" s="82"/>
    </row>
    <row r="108" spans="1:4" ht="15.75" outlineLevel="1" x14ac:dyDescent="0.2">
      <c r="A108" s="28" t="s">
        <v>22</v>
      </c>
      <c r="B108" s="29" t="s">
        <v>87</v>
      </c>
      <c r="C108" s="28">
        <v>5.89</v>
      </c>
      <c r="D108" s="81" t="s">
        <v>1080</v>
      </c>
    </row>
    <row r="109" spans="1:4" ht="15.75" outlineLevel="1" x14ac:dyDescent="0.2">
      <c r="A109" s="28" t="s">
        <v>22</v>
      </c>
      <c r="B109" s="29" t="s">
        <v>76</v>
      </c>
      <c r="C109" s="28">
        <v>5.58</v>
      </c>
      <c r="D109" s="82"/>
    </row>
    <row r="110" spans="1:4" ht="15.75" outlineLevel="1" x14ac:dyDescent="0.2">
      <c r="A110" s="28" t="s">
        <v>22</v>
      </c>
      <c r="B110" s="29" t="s">
        <v>75</v>
      </c>
      <c r="C110" s="28">
        <v>5.62</v>
      </c>
      <c r="D110" s="82"/>
    </row>
    <row r="111" spans="1:4" ht="15.75" outlineLevel="1" x14ac:dyDescent="0.2">
      <c r="A111" s="28" t="s">
        <v>22</v>
      </c>
      <c r="B111" s="29" t="s">
        <v>61</v>
      </c>
      <c r="C111" s="28">
        <v>5.54</v>
      </c>
      <c r="D111" s="82"/>
    </row>
    <row r="112" spans="1:4" ht="15.75" outlineLevel="1" x14ac:dyDescent="0.2">
      <c r="A112" s="28" t="s">
        <v>22</v>
      </c>
      <c r="B112" s="29" t="s">
        <v>77</v>
      </c>
      <c r="C112" s="28">
        <v>5.55</v>
      </c>
      <c r="D112" s="82"/>
    </row>
    <row r="113" spans="1:4" ht="15.75" outlineLevel="1" x14ac:dyDescent="0.2">
      <c r="A113" s="28" t="s">
        <v>22</v>
      </c>
      <c r="B113" s="29" t="s">
        <v>78</v>
      </c>
      <c r="C113" s="28">
        <v>5.65</v>
      </c>
      <c r="D113" s="82"/>
    </row>
    <row r="114" spans="1:4" ht="15.75" outlineLevel="1" x14ac:dyDescent="0.2">
      <c r="A114" s="28" t="s">
        <v>22</v>
      </c>
      <c r="B114" s="29" t="s">
        <v>88</v>
      </c>
      <c r="C114" s="28">
        <v>5.66</v>
      </c>
      <c r="D114" s="82"/>
    </row>
    <row r="115" spans="1:4" ht="15.75" outlineLevel="1" x14ac:dyDescent="0.2">
      <c r="A115" s="28" t="s">
        <v>22</v>
      </c>
      <c r="B115" s="29" t="s">
        <v>17</v>
      </c>
      <c r="C115" s="28">
        <v>5.68</v>
      </c>
      <c r="D115" s="82"/>
    </row>
    <row r="116" spans="1:4" ht="15.75" outlineLevel="1" x14ac:dyDescent="0.2">
      <c r="A116" s="28" t="s">
        <v>22</v>
      </c>
      <c r="B116" s="29" t="s">
        <v>79</v>
      </c>
      <c r="C116" s="28">
        <v>5.45</v>
      </c>
      <c r="D116" s="82"/>
    </row>
    <row r="117" spans="1:4" ht="15.75" outlineLevel="1" x14ac:dyDescent="0.2">
      <c r="A117" s="28" t="s">
        <v>22</v>
      </c>
      <c r="B117" s="29" t="s">
        <v>64</v>
      </c>
      <c r="C117" s="28">
        <v>5.47</v>
      </c>
      <c r="D117" s="82"/>
    </row>
    <row r="118" spans="1:4" ht="15.75" outlineLevel="1" x14ac:dyDescent="0.2">
      <c r="A118" s="28" t="s">
        <v>22</v>
      </c>
      <c r="B118" s="29" t="s">
        <v>65</v>
      </c>
      <c r="C118" s="28">
        <v>5.48</v>
      </c>
      <c r="D118" s="82"/>
    </row>
    <row r="119" spans="1:4" ht="15.75" x14ac:dyDescent="0.2">
      <c r="A119" s="33" t="s">
        <v>22</v>
      </c>
      <c r="B119" s="29"/>
      <c r="C119" s="28"/>
      <c r="D119" s="82"/>
    </row>
    <row r="120" spans="1:4" ht="15.75" outlineLevel="1" x14ac:dyDescent="0.2">
      <c r="A120" s="28" t="s">
        <v>1083</v>
      </c>
      <c r="B120" s="29" t="s">
        <v>49</v>
      </c>
      <c r="C120" s="28">
        <v>5.0999999999999996</v>
      </c>
      <c r="D120" s="82"/>
    </row>
    <row r="121" spans="1:4" ht="15.75" outlineLevel="1" x14ac:dyDescent="0.2">
      <c r="A121" s="28" t="s">
        <v>1083</v>
      </c>
      <c r="B121" s="29" t="s">
        <v>50</v>
      </c>
      <c r="C121" s="28">
        <v>5.2</v>
      </c>
      <c r="D121" s="82"/>
    </row>
    <row r="122" spans="1:4" ht="15.75" outlineLevel="1" x14ac:dyDescent="0.2">
      <c r="A122" s="28" t="s">
        <v>1083</v>
      </c>
      <c r="B122" s="29" t="s">
        <v>66</v>
      </c>
      <c r="C122" s="28">
        <v>5.3</v>
      </c>
      <c r="D122" s="82"/>
    </row>
    <row r="123" spans="1:4" ht="15.75" outlineLevel="1" x14ac:dyDescent="0.2">
      <c r="A123" s="28" t="s">
        <v>1083</v>
      </c>
      <c r="B123" s="29" t="s">
        <v>80</v>
      </c>
      <c r="C123" s="28">
        <v>5.6</v>
      </c>
      <c r="D123" s="82"/>
    </row>
    <row r="124" spans="1:4" ht="15.75" outlineLevel="1" x14ac:dyDescent="0.2">
      <c r="A124" s="28" t="s">
        <v>1083</v>
      </c>
      <c r="B124" s="29" t="s">
        <v>1081</v>
      </c>
      <c r="C124" s="30">
        <v>5.0999999999999996</v>
      </c>
      <c r="D124" s="82"/>
    </row>
    <row r="125" spans="1:4" ht="15.75" outlineLevel="1" x14ac:dyDescent="0.2">
      <c r="A125" s="28" t="s">
        <v>1083</v>
      </c>
      <c r="B125" s="29" t="s">
        <v>91</v>
      </c>
      <c r="C125" s="28">
        <v>5.14</v>
      </c>
      <c r="D125" s="82"/>
    </row>
    <row r="126" spans="1:4" ht="15.75" outlineLevel="1" x14ac:dyDescent="0.2">
      <c r="A126" s="28" t="s">
        <v>1083</v>
      </c>
      <c r="B126" s="29" t="s">
        <v>68</v>
      </c>
      <c r="C126" s="28">
        <v>5.19</v>
      </c>
      <c r="D126" s="82"/>
    </row>
    <row r="127" spans="1:4" ht="15.75" outlineLevel="1" x14ac:dyDescent="0.2">
      <c r="A127" s="28" t="s">
        <v>1083</v>
      </c>
      <c r="B127" s="29" t="s">
        <v>82</v>
      </c>
      <c r="C127" s="28">
        <v>5.24</v>
      </c>
      <c r="D127" s="82"/>
    </row>
    <row r="128" spans="1:4" ht="15.75" outlineLevel="1" x14ac:dyDescent="0.2">
      <c r="A128" s="28" t="s">
        <v>1083</v>
      </c>
      <c r="B128" s="29" t="s">
        <v>54</v>
      </c>
      <c r="C128" s="28">
        <v>5.26</v>
      </c>
      <c r="D128" s="82"/>
    </row>
    <row r="129" spans="1:4" ht="15.75" outlineLevel="1" x14ac:dyDescent="0.2">
      <c r="A129" s="28" t="s">
        <v>1083</v>
      </c>
      <c r="B129" s="29" t="s">
        <v>55</v>
      </c>
      <c r="C129" s="28">
        <v>5.27</v>
      </c>
      <c r="D129" s="82"/>
    </row>
    <row r="130" spans="1:4" ht="15.75" outlineLevel="1" x14ac:dyDescent="0.2">
      <c r="A130" s="28" t="s">
        <v>1083</v>
      </c>
      <c r="B130" s="29" t="s">
        <v>69</v>
      </c>
      <c r="C130" s="28">
        <v>5.28</v>
      </c>
      <c r="D130" s="82"/>
    </row>
    <row r="131" spans="1:4" ht="15.75" outlineLevel="1" x14ac:dyDescent="0.2">
      <c r="A131" s="28" t="s">
        <v>1083</v>
      </c>
      <c r="B131" s="29" t="s">
        <v>89</v>
      </c>
      <c r="C131" s="28">
        <v>5.29</v>
      </c>
      <c r="D131" s="82"/>
    </row>
    <row r="132" spans="1:4" ht="15.75" outlineLevel="1" x14ac:dyDescent="0.2">
      <c r="A132" s="28" t="s">
        <v>1083</v>
      </c>
      <c r="B132" s="29" t="s">
        <v>70</v>
      </c>
      <c r="C132" s="30">
        <v>5.3</v>
      </c>
      <c r="D132" s="82"/>
    </row>
    <row r="133" spans="1:4" ht="15.75" outlineLevel="1" x14ac:dyDescent="0.2">
      <c r="A133" s="28" t="s">
        <v>1083</v>
      </c>
      <c r="B133" s="29" t="s">
        <v>83</v>
      </c>
      <c r="C133" s="28">
        <v>5.31</v>
      </c>
      <c r="D133" s="82"/>
    </row>
    <row r="134" spans="1:4" ht="15.75" outlineLevel="1" x14ac:dyDescent="0.2">
      <c r="A134" s="28" t="s">
        <v>1083</v>
      </c>
      <c r="B134" s="29" t="s">
        <v>56</v>
      </c>
      <c r="C134" s="28">
        <v>5.36</v>
      </c>
      <c r="D134" s="82"/>
    </row>
    <row r="135" spans="1:4" ht="15.75" outlineLevel="1" x14ac:dyDescent="0.2">
      <c r="A135" s="28" t="s">
        <v>1083</v>
      </c>
      <c r="B135" s="29" t="s">
        <v>59</v>
      </c>
      <c r="C135" s="28">
        <v>5.53</v>
      </c>
      <c r="D135" s="82"/>
    </row>
    <row r="136" spans="1:4" ht="15.75" outlineLevel="1" x14ac:dyDescent="0.2">
      <c r="A136" s="28" t="s">
        <v>1083</v>
      </c>
      <c r="B136" s="29" t="s">
        <v>76</v>
      </c>
      <c r="C136" s="28">
        <v>5.58</v>
      </c>
      <c r="D136" s="82"/>
    </row>
    <row r="137" spans="1:4" ht="15.75" outlineLevel="1" x14ac:dyDescent="0.2">
      <c r="A137" s="28" t="s">
        <v>1083</v>
      </c>
      <c r="B137" s="29" t="s">
        <v>75</v>
      </c>
      <c r="C137" s="28">
        <v>5.62</v>
      </c>
      <c r="D137" s="82"/>
    </row>
    <row r="138" spans="1:4" ht="15.75" outlineLevel="1" x14ac:dyDescent="0.2">
      <c r="A138" s="28" t="s">
        <v>1083</v>
      </c>
      <c r="B138" s="29" t="s">
        <v>61</v>
      </c>
      <c r="C138" s="28">
        <v>5.54</v>
      </c>
      <c r="D138" s="82"/>
    </row>
    <row r="139" spans="1:4" ht="15.75" outlineLevel="1" x14ac:dyDescent="0.2">
      <c r="A139" s="28" t="s">
        <v>1083</v>
      </c>
      <c r="B139" s="29" t="s">
        <v>77</v>
      </c>
      <c r="C139" s="28">
        <v>5.55</v>
      </c>
      <c r="D139" s="82"/>
    </row>
    <row r="140" spans="1:4" ht="15.75" outlineLevel="1" x14ac:dyDescent="0.2">
      <c r="A140" s="28" t="s">
        <v>1083</v>
      </c>
      <c r="B140" s="29" t="s">
        <v>63</v>
      </c>
      <c r="C140" s="28">
        <v>5.63</v>
      </c>
      <c r="D140" s="82"/>
    </row>
    <row r="141" spans="1:4" ht="15.75" outlineLevel="1" x14ac:dyDescent="0.2">
      <c r="A141" s="28" t="s">
        <v>1083</v>
      </c>
      <c r="B141" s="29" t="s">
        <v>79</v>
      </c>
      <c r="C141" s="28">
        <v>5.45</v>
      </c>
      <c r="D141" s="82"/>
    </row>
    <row r="142" spans="1:4" ht="15.75" outlineLevel="1" x14ac:dyDescent="0.2">
      <c r="A142" s="28" t="s">
        <v>1083</v>
      </c>
      <c r="B142" s="29" t="s">
        <v>64</v>
      </c>
      <c r="C142" s="28">
        <v>5.47</v>
      </c>
      <c r="D142" s="82"/>
    </row>
    <row r="143" spans="1:4" ht="15.75" outlineLevel="1" x14ac:dyDescent="0.2">
      <c r="A143" s="28" t="s">
        <v>1083</v>
      </c>
      <c r="B143" s="29" t="s">
        <v>65</v>
      </c>
      <c r="C143" s="28">
        <v>5.48</v>
      </c>
      <c r="D143" s="82"/>
    </row>
    <row r="144" spans="1:4" ht="15.75" x14ac:dyDescent="0.2">
      <c r="A144" s="33" t="s">
        <v>1083</v>
      </c>
      <c r="B144" s="29"/>
      <c r="C144" s="28"/>
      <c r="D144" s="82"/>
    </row>
    <row r="145" spans="1:4" ht="15.75" outlineLevel="1" x14ac:dyDescent="0.2">
      <c r="A145" s="28" t="s">
        <v>24</v>
      </c>
      <c r="B145" s="29" t="s">
        <v>49</v>
      </c>
      <c r="C145" s="28">
        <v>5.0999999999999996</v>
      </c>
      <c r="D145" s="82"/>
    </row>
    <row r="146" spans="1:4" ht="15.75" outlineLevel="1" x14ac:dyDescent="0.2">
      <c r="A146" s="28" t="s">
        <v>24</v>
      </c>
      <c r="B146" s="29" t="s">
        <v>50</v>
      </c>
      <c r="C146" s="28">
        <v>5.2</v>
      </c>
      <c r="D146" s="82"/>
    </row>
    <row r="147" spans="1:4" ht="15.75" outlineLevel="1" x14ac:dyDescent="0.2">
      <c r="A147" s="28" t="s">
        <v>24</v>
      </c>
      <c r="B147" s="29" t="s">
        <v>66</v>
      </c>
      <c r="C147" s="28">
        <v>5.3</v>
      </c>
      <c r="D147" s="82"/>
    </row>
    <row r="148" spans="1:4" ht="15.75" outlineLevel="1" x14ac:dyDescent="0.2">
      <c r="A148" s="28" t="s">
        <v>24</v>
      </c>
      <c r="B148" s="29" t="s">
        <v>80</v>
      </c>
      <c r="C148" s="28">
        <v>5.6</v>
      </c>
      <c r="D148" s="82"/>
    </row>
    <row r="149" spans="1:4" ht="15.75" outlineLevel="1" x14ac:dyDescent="0.2">
      <c r="A149" s="28" t="s">
        <v>24</v>
      </c>
      <c r="B149" s="29" t="s">
        <v>1081</v>
      </c>
      <c r="C149" s="30">
        <v>5.0999999999999996</v>
      </c>
      <c r="D149" s="82"/>
    </row>
    <row r="150" spans="1:4" ht="15.75" outlineLevel="1" x14ac:dyDescent="0.2">
      <c r="A150" s="28" t="s">
        <v>24</v>
      </c>
      <c r="B150" s="29" t="s">
        <v>91</v>
      </c>
      <c r="C150" s="28">
        <v>5.14</v>
      </c>
      <c r="D150" s="82"/>
    </row>
    <row r="151" spans="1:4" ht="15.75" outlineLevel="1" x14ac:dyDescent="0.2">
      <c r="A151" s="28" t="s">
        <v>24</v>
      </c>
      <c r="B151" s="29" t="s">
        <v>68</v>
      </c>
      <c r="C151" s="28">
        <v>5.19</v>
      </c>
      <c r="D151" s="82"/>
    </row>
    <row r="152" spans="1:4" ht="15.75" outlineLevel="1" x14ac:dyDescent="0.2">
      <c r="A152" s="28" t="s">
        <v>24</v>
      </c>
      <c r="B152" s="29" t="s">
        <v>82</v>
      </c>
      <c r="C152" s="28">
        <v>5.24</v>
      </c>
      <c r="D152" s="82"/>
    </row>
    <row r="153" spans="1:4" ht="15.75" outlineLevel="1" x14ac:dyDescent="0.2">
      <c r="A153" s="28" t="s">
        <v>24</v>
      </c>
      <c r="B153" s="29" t="s">
        <v>54</v>
      </c>
      <c r="C153" s="28">
        <v>5.26</v>
      </c>
      <c r="D153" s="82"/>
    </row>
    <row r="154" spans="1:4" ht="15.75" outlineLevel="1" x14ac:dyDescent="0.2">
      <c r="A154" s="28" t="s">
        <v>24</v>
      </c>
      <c r="B154" s="29" t="s">
        <v>55</v>
      </c>
      <c r="C154" s="28">
        <v>5.27</v>
      </c>
      <c r="D154" s="82"/>
    </row>
    <row r="155" spans="1:4" ht="15.75" outlineLevel="1" x14ac:dyDescent="0.2">
      <c r="A155" s="28" t="s">
        <v>24</v>
      </c>
      <c r="B155" s="29" t="s">
        <v>69</v>
      </c>
      <c r="C155" s="28">
        <v>5.28</v>
      </c>
      <c r="D155" s="82"/>
    </row>
    <row r="156" spans="1:4" ht="15.75" outlineLevel="1" x14ac:dyDescent="0.2">
      <c r="A156" s="28" t="s">
        <v>24</v>
      </c>
      <c r="B156" s="29" t="s">
        <v>70</v>
      </c>
      <c r="C156" s="30">
        <v>5.3</v>
      </c>
      <c r="D156" s="82"/>
    </row>
    <row r="157" spans="1:4" ht="15.75" outlineLevel="1" x14ac:dyDescent="0.2">
      <c r="A157" s="28" t="s">
        <v>24</v>
      </c>
      <c r="B157" s="29" t="s">
        <v>90</v>
      </c>
      <c r="C157" s="28">
        <v>5.32</v>
      </c>
      <c r="D157" s="82"/>
    </row>
    <row r="158" spans="1:4" ht="15.75" outlineLevel="1" x14ac:dyDescent="0.2">
      <c r="A158" s="28" t="s">
        <v>24</v>
      </c>
      <c r="B158" s="29" t="s">
        <v>56</v>
      </c>
      <c r="C158" s="28">
        <v>5.36</v>
      </c>
      <c r="D158" s="82"/>
    </row>
    <row r="159" spans="1:4" ht="15.75" outlineLevel="1" x14ac:dyDescent="0.2">
      <c r="A159" s="28" t="s">
        <v>24</v>
      </c>
      <c r="B159" s="29" t="s">
        <v>59</v>
      </c>
      <c r="C159" s="28">
        <v>5.53</v>
      </c>
      <c r="D159" s="82"/>
    </row>
    <row r="160" spans="1:4" ht="15.75" outlineLevel="1" x14ac:dyDescent="0.2">
      <c r="A160" s="28" t="s">
        <v>24</v>
      </c>
      <c r="B160" s="29" t="s">
        <v>76</v>
      </c>
      <c r="C160" s="28">
        <v>5.58</v>
      </c>
      <c r="D160" s="82"/>
    </row>
    <row r="161" spans="1:5" ht="15.75" outlineLevel="1" x14ac:dyDescent="0.2">
      <c r="A161" s="28" t="s">
        <v>24</v>
      </c>
      <c r="B161" s="29" t="s">
        <v>61</v>
      </c>
      <c r="C161" s="28">
        <v>5.54</v>
      </c>
      <c r="D161" s="82"/>
    </row>
    <row r="162" spans="1:5" ht="15.75" outlineLevel="1" x14ac:dyDescent="0.2">
      <c r="A162" s="28" t="s">
        <v>24</v>
      </c>
      <c r="B162" s="29" t="s">
        <v>77</v>
      </c>
      <c r="C162" s="28">
        <v>5.55</v>
      </c>
      <c r="D162" s="82"/>
    </row>
    <row r="163" spans="1:5" ht="15.75" outlineLevel="1" x14ac:dyDescent="0.2">
      <c r="A163" s="28" t="s">
        <v>24</v>
      </c>
      <c r="B163" s="29" t="s">
        <v>75</v>
      </c>
      <c r="C163" s="28">
        <v>5.62</v>
      </c>
      <c r="D163" s="82"/>
      <c r="E163" t="s">
        <v>1084</v>
      </c>
    </row>
    <row r="164" spans="1:5" ht="15.75" outlineLevel="1" x14ac:dyDescent="0.2">
      <c r="A164" s="28" t="s">
        <v>24</v>
      </c>
      <c r="B164" s="29" t="s">
        <v>63</v>
      </c>
      <c r="C164" s="28">
        <v>5.63</v>
      </c>
      <c r="D164" s="82"/>
    </row>
    <row r="165" spans="1:5" ht="15.75" outlineLevel="1" x14ac:dyDescent="0.2">
      <c r="A165" s="28" t="s">
        <v>24</v>
      </c>
      <c r="B165" s="29" t="s">
        <v>79</v>
      </c>
      <c r="C165" s="28">
        <v>5.45</v>
      </c>
      <c r="D165" s="82"/>
    </row>
    <row r="166" spans="1:5" ht="15.75" outlineLevel="1" x14ac:dyDescent="0.2">
      <c r="A166" s="28" t="s">
        <v>24</v>
      </c>
      <c r="B166" s="29" t="s">
        <v>64</v>
      </c>
      <c r="C166" s="28">
        <v>5.47</v>
      </c>
      <c r="D166" s="82"/>
    </row>
    <row r="167" spans="1:5" ht="15.75" outlineLevel="1" x14ac:dyDescent="0.2">
      <c r="A167" s="28" t="s">
        <v>24</v>
      </c>
      <c r="B167" s="29" t="s">
        <v>65</v>
      </c>
      <c r="C167" s="28">
        <v>5.48</v>
      </c>
      <c r="D167" s="82"/>
    </row>
    <row r="168" spans="1:5" ht="15.75" x14ac:dyDescent="0.2">
      <c r="A168" s="33" t="s">
        <v>24</v>
      </c>
      <c r="B168" s="29"/>
      <c r="C168" s="28"/>
      <c r="D168" s="82"/>
    </row>
    <row r="169" spans="1:5" ht="15.75" outlineLevel="1" x14ac:dyDescent="0.2">
      <c r="A169" s="28" t="s">
        <v>25</v>
      </c>
      <c r="B169" s="29" t="s">
        <v>49</v>
      </c>
      <c r="C169" s="28">
        <v>5.0999999999999996</v>
      </c>
      <c r="D169" s="82"/>
    </row>
    <row r="170" spans="1:5" ht="15.75" outlineLevel="1" x14ac:dyDescent="0.2">
      <c r="A170" s="28" t="s">
        <v>25</v>
      </c>
      <c r="B170" s="29" t="s">
        <v>50</v>
      </c>
      <c r="C170" s="28">
        <v>5.2</v>
      </c>
      <c r="D170" s="82"/>
    </row>
    <row r="171" spans="1:5" ht="15.75" outlineLevel="1" x14ac:dyDescent="0.2">
      <c r="A171" s="28" t="s">
        <v>25</v>
      </c>
      <c r="B171" s="29" t="s">
        <v>66</v>
      </c>
      <c r="C171" s="28">
        <v>5.3</v>
      </c>
      <c r="D171" s="82"/>
    </row>
    <row r="172" spans="1:5" ht="15.75" outlineLevel="1" x14ac:dyDescent="0.2">
      <c r="A172" s="28" t="s">
        <v>25</v>
      </c>
      <c r="B172" s="29" t="s">
        <v>80</v>
      </c>
      <c r="C172" s="28">
        <v>5.6</v>
      </c>
      <c r="D172" s="82"/>
    </row>
    <row r="173" spans="1:5" ht="15.75" outlineLevel="1" x14ac:dyDescent="0.2">
      <c r="A173" s="28" t="s">
        <v>25</v>
      </c>
      <c r="B173" s="29" t="s">
        <v>1081</v>
      </c>
      <c r="C173" s="30">
        <v>5.0999999999999996</v>
      </c>
      <c r="D173" s="82"/>
    </row>
    <row r="174" spans="1:5" ht="15.75" outlineLevel="1" x14ac:dyDescent="0.2">
      <c r="A174" s="28" t="s">
        <v>25</v>
      </c>
      <c r="B174" s="29" t="s">
        <v>91</v>
      </c>
      <c r="C174" s="28">
        <v>5.14</v>
      </c>
      <c r="D174" s="82"/>
    </row>
    <row r="175" spans="1:5" ht="15.75" outlineLevel="1" x14ac:dyDescent="0.2">
      <c r="A175" s="28" t="s">
        <v>25</v>
      </c>
      <c r="B175" s="29" t="s">
        <v>68</v>
      </c>
      <c r="C175" s="28">
        <v>5.19</v>
      </c>
      <c r="D175" s="82"/>
    </row>
    <row r="176" spans="1:5" ht="15.75" outlineLevel="1" x14ac:dyDescent="0.2">
      <c r="A176" s="28" t="s">
        <v>25</v>
      </c>
      <c r="B176" s="29" t="s">
        <v>82</v>
      </c>
      <c r="C176" s="28">
        <v>5.24</v>
      </c>
      <c r="D176" s="82"/>
    </row>
    <row r="177" spans="1:4" ht="15.75" outlineLevel="1" x14ac:dyDescent="0.2">
      <c r="A177" s="28" t="s">
        <v>25</v>
      </c>
      <c r="B177" s="29" t="s">
        <v>54</v>
      </c>
      <c r="C177" s="28">
        <v>5.26</v>
      </c>
      <c r="D177" s="82"/>
    </row>
    <row r="178" spans="1:4" ht="15.75" outlineLevel="1" x14ac:dyDescent="0.2">
      <c r="A178" s="28" t="s">
        <v>25</v>
      </c>
      <c r="B178" s="29" t="s">
        <v>55</v>
      </c>
      <c r="C178" s="28">
        <v>5.27</v>
      </c>
      <c r="D178" s="82"/>
    </row>
    <row r="179" spans="1:4" ht="15.75" outlineLevel="1" x14ac:dyDescent="0.2">
      <c r="A179" s="28" t="s">
        <v>25</v>
      </c>
      <c r="B179" s="29" t="s">
        <v>69</v>
      </c>
      <c r="C179" s="28">
        <v>5.28</v>
      </c>
      <c r="D179" s="82"/>
    </row>
    <row r="180" spans="1:4" ht="15.75" outlineLevel="1" x14ac:dyDescent="0.2">
      <c r="A180" s="28" t="s">
        <v>25</v>
      </c>
      <c r="B180" s="29" t="s">
        <v>89</v>
      </c>
      <c r="C180" s="28">
        <v>5.29</v>
      </c>
      <c r="D180" s="82"/>
    </row>
    <row r="181" spans="1:4" ht="15.75" outlineLevel="1" x14ac:dyDescent="0.2">
      <c r="A181" s="28" t="s">
        <v>25</v>
      </c>
      <c r="B181" s="29" t="s">
        <v>70</v>
      </c>
      <c r="C181" s="30">
        <v>5.3</v>
      </c>
      <c r="D181" s="82"/>
    </row>
    <row r="182" spans="1:4" ht="15.75" outlineLevel="1" x14ac:dyDescent="0.2">
      <c r="A182" s="28" t="s">
        <v>25</v>
      </c>
      <c r="B182" s="29" t="s">
        <v>90</v>
      </c>
      <c r="C182" s="28">
        <v>5.32</v>
      </c>
      <c r="D182" s="82"/>
    </row>
    <row r="183" spans="1:4" ht="15.75" outlineLevel="1" x14ac:dyDescent="0.2">
      <c r="A183" s="28" t="s">
        <v>25</v>
      </c>
      <c r="B183" s="29" t="s">
        <v>56</v>
      </c>
      <c r="C183" s="28">
        <v>5.36</v>
      </c>
      <c r="D183" s="82"/>
    </row>
    <row r="184" spans="1:4" ht="15.75" outlineLevel="1" x14ac:dyDescent="0.2">
      <c r="A184" s="28" t="s">
        <v>25</v>
      </c>
      <c r="B184" s="29" t="s">
        <v>59</v>
      </c>
      <c r="C184" s="28">
        <v>5.53</v>
      </c>
      <c r="D184" s="82"/>
    </row>
    <row r="185" spans="1:4" ht="15.75" outlineLevel="1" x14ac:dyDescent="0.2">
      <c r="A185" s="28" t="s">
        <v>25</v>
      </c>
      <c r="B185" s="29" t="s">
        <v>76</v>
      </c>
      <c r="C185" s="28">
        <v>5.58</v>
      </c>
      <c r="D185" s="82"/>
    </row>
    <row r="186" spans="1:4" ht="15.75" outlineLevel="1" x14ac:dyDescent="0.2">
      <c r="A186" s="28" t="s">
        <v>25</v>
      </c>
      <c r="B186" s="29" t="s">
        <v>61</v>
      </c>
      <c r="C186" s="28">
        <v>5.54</v>
      </c>
      <c r="D186" s="82"/>
    </row>
    <row r="187" spans="1:4" ht="15.75" outlineLevel="1" x14ac:dyDescent="0.2">
      <c r="A187" s="28" t="s">
        <v>25</v>
      </c>
      <c r="B187" s="29" t="s">
        <v>77</v>
      </c>
      <c r="C187" s="28">
        <v>5.55</v>
      </c>
      <c r="D187" s="82"/>
    </row>
    <row r="188" spans="1:4" ht="15.75" outlineLevel="1" x14ac:dyDescent="0.2">
      <c r="A188" s="28" t="s">
        <v>25</v>
      </c>
      <c r="B188" s="29" t="s">
        <v>63</v>
      </c>
      <c r="C188" s="28">
        <v>5.63</v>
      </c>
      <c r="D188" s="82"/>
    </row>
    <row r="189" spans="1:4" ht="15.75" outlineLevel="1" x14ac:dyDescent="0.2">
      <c r="A189" s="28" t="s">
        <v>25</v>
      </c>
      <c r="B189" s="29" t="s">
        <v>79</v>
      </c>
      <c r="C189" s="28">
        <v>5.45</v>
      </c>
      <c r="D189" s="82"/>
    </row>
    <row r="190" spans="1:4" ht="15.75" outlineLevel="1" x14ac:dyDescent="0.2">
      <c r="A190" s="28" t="s">
        <v>25</v>
      </c>
      <c r="B190" s="29" t="s">
        <v>64</v>
      </c>
      <c r="C190" s="28">
        <v>5.47</v>
      </c>
      <c r="D190" s="82"/>
    </row>
    <row r="191" spans="1:4" ht="15.75" outlineLevel="1" x14ac:dyDescent="0.2">
      <c r="A191" s="28" t="s">
        <v>25</v>
      </c>
      <c r="B191" s="29" t="s">
        <v>65</v>
      </c>
      <c r="C191" s="28">
        <v>5.48</v>
      </c>
      <c r="D191" s="82"/>
    </row>
    <row r="192" spans="1:4" ht="15.75" x14ac:dyDescent="0.2">
      <c r="A192" s="33" t="s">
        <v>25</v>
      </c>
      <c r="B192" s="29"/>
      <c r="C192" s="28"/>
      <c r="D192" s="82"/>
    </row>
    <row r="193" spans="1:4" ht="15.75" outlineLevel="1" x14ac:dyDescent="0.2">
      <c r="A193" s="28" t="s">
        <v>26</v>
      </c>
      <c r="B193" s="29" t="s">
        <v>49</v>
      </c>
      <c r="C193" s="28">
        <v>5.0999999999999996</v>
      </c>
      <c r="D193" s="82"/>
    </row>
    <row r="194" spans="1:4" ht="15.75" outlineLevel="1" x14ac:dyDescent="0.2">
      <c r="A194" s="28" t="s">
        <v>26</v>
      </c>
      <c r="B194" s="29" t="s">
        <v>50</v>
      </c>
      <c r="C194" s="28">
        <v>5.2</v>
      </c>
      <c r="D194" s="82"/>
    </row>
    <row r="195" spans="1:4" ht="15.75" outlineLevel="1" x14ac:dyDescent="0.2">
      <c r="A195" s="28" t="s">
        <v>26</v>
      </c>
      <c r="B195" s="29" t="s">
        <v>66</v>
      </c>
      <c r="C195" s="28">
        <v>5.3</v>
      </c>
      <c r="D195" s="82"/>
    </row>
    <row r="196" spans="1:4" ht="15.75" outlineLevel="1" x14ac:dyDescent="0.2">
      <c r="A196" s="28" t="s">
        <v>26</v>
      </c>
      <c r="B196" s="29" t="s">
        <v>80</v>
      </c>
      <c r="C196" s="28">
        <v>5.6</v>
      </c>
      <c r="D196" s="82"/>
    </row>
    <row r="197" spans="1:4" ht="15.75" outlineLevel="1" x14ac:dyDescent="0.2">
      <c r="A197" s="28" t="s">
        <v>26</v>
      </c>
      <c r="B197" s="29" t="s">
        <v>1081</v>
      </c>
      <c r="C197" s="30">
        <v>5.0999999999999996</v>
      </c>
      <c r="D197" s="82"/>
    </row>
    <row r="198" spans="1:4" ht="15.75" outlineLevel="1" x14ac:dyDescent="0.2">
      <c r="A198" s="28" t="s">
        <v>26</v>
      </c>
      <c r="B198" s="29" t="s">
        <v>91</v>
      </c>
      <c r="C198" s="28">
        <v>5.14</v>
      </c>
      <c r="D198" s="82"/>
    </row>
    <row r="199" spans="1:4" ht="15.75" outlineLevel="1" x14ac:dyDescent="0.2">
      <c r="A199" s="28" t="s">
        <v>26</v>
      </c>
      <c r="B199" s="29" t="s">
        <v>68</v>
      </c>
      <c r="C199" s="28">
        <v>5.19</v>
      </c>
      <c r="D199" s="82"/>
    </row>
    <row r="200" spans="1:4" ht="15.75" outlineLevel="1" x14ac:dyDescent="0.2">
      <c r="A200" s="28" t="s">
        <v>26</v>
      </c>
      <c r="B200" s="29" t="s">
        <v>82</v>
      </c>
      <c r="C200" s="28">
        <v>5.24</v>
      </c>
      <c r="D200" s="82"/>
    </row>
    <row r="201" spans="1:4" ht="15.75" outlineLevel="1" x14ac:dyDescent="0.2">
      <c r="A201" s="28" t="s">
        <v>26</v>
      </c>
      <c r="B201" s="29" t="s">
        <v>55</v>
      </c>
      <c r="C201" s="28">
        <v>5.27</v>
      </c>
      <c r="D201" s="82"/>
    </row>
    <row r="202" spans="1:4" ht="15.75" outlineLevel="1" x14ac:dyDescent="0.2">
      <c r="A202" s="28" t="s">
        <v>26</v>
      </c>
      <c r="B202" s="29" t="s">
        <v>69</v>
      </c>
      <c r="C202" s="28">
        <v>5.28</v>
      </c>
      <c r="D202" s="82"/>
    </row>
    <row r="203" spans="1:4" ht="15.75" outlineLevel="1" x14ac:dyDescent="0.2">
      <c r="A203" s="28" t="s">
        <v>26</v>
      </c>
      <c r="B203" s="29" t="s">
        <v>89</v>
      </c>
      <c r="C203" s="28">
        <v>5.29</v>
      </c>
      <c r="D203" s="82"/>
    </row>
    <row r="204" spans="1:4" ht="15.75" outlineLevel="1" x14ac:dyDescent="0.2">
      <c r="A204" s="28" t="s">
        <v>26</v>
      </c>
      <c r="B204" s="29" t="s">
        <v>70</v>
      </c>
      <c r="C204" s="30">
        <v>5.3</v>
      </c>
      <c r="D204" s="82"/>
    </row>
    <row r="205" spans="1:4" ht="15.75" outlineLevel="1" x14ac:dyDescent="0.2">
      <c r="A205" s="28" t="s">
        <v>26</v>
      </c>
      <c r="B205" s="29" t="s">
        <v>92</v>
      </c>
      <c r="C205" s="28">
        <v>5.34</v>
      </c>
      <c r="D205" s="82"/>
    </row>
    <row r="206" spans="1:4" ht="15.75" outlineLevel="1" x14ac:dyDescent="0.2">
      <c r="A206" s="28" t="s">
        <v>26</v>
      </c>
      <c r="B206" s="29" t="s">
        <v>83</v>
      </c>
      <c r="C206" s="28">
        <v>5.31</v>
      </c>
      <c r="D206" s="82"/>
    </row>
    <row r="207" spans="1:4" ht="15.75" outlineLevel="1" x14ac:dyDescent="0.2">
      <c r="A207" s="28" t="s">
        <v>26</v>
      </c>
      <c r="B207" s="29" t="s">
        <v>93</v>
      </c>
      <c r="C207" s="28">
        <v>5.101</v>
      </c>
      <c r="D207" s="82"/>
    </row>
    <row r="208" spans="1:4" ht="15.75" outlineLevel="1" x14ac:dyDescent="0.2">
      <c r="A208" s="28" t="s">
        <v>26</v>
      </c>
      <c r="B208" s="29" t="s">
        <v>56</v>
      </c>
      <c r="C208" s="28">
        <v>5.36</v>
      </c>
      <c r="D208" s="82"/>
    </row>
    <row r="209" spans="1:4" ht="15.75" outlineLevel="1" x14ac:dyDescent="0.2">
      <c r="A209" s="28" t="s">
        <v>26</v>
      </c>
      <c r="B209" s="29" t="s">
        <v>59</v>
      </c>
      <c r="C209" s="28">
        <v>5.53</v>
      </c>
      <c r="D209" s="82"/>
    </row>
    <row r="210" spans="1:4" ht="15.75" outlineLevel="1" x14ac:dyDescent="0.2">
      <c r="A210" s="28" t="s">
        <v>26</v>
      </c>
      <c r="B210" s="29" t="s">
        <v>94</v>
      </c>
      <c r="C210" s="28">
        <v>5.1020000000000003</v>
      </c>
      <c r="D210" s="82"/>
    </row>
    <row r="211" spans="1:4" ht="15.75" outlineLevel="1" x14ac:dyDescent="0.2">
      <c r="A211" s="28" t="s">
        <v>26</v>
      </c>
      <c r="B211" s="29" t="s">
        <v>95</v>
      </c>
      <c r="C211" s="31">
        <v>5.0999999999999996</v>
      </c>
      <c r="D211" s="82"/>
    </row>
    <row r="212" spans="1:4" ht="15.75" outlineLevel="1" x14ac:dyDescent="0.2">
      <c r="A212" s="28" t="s">
        <v>26</v>
      </c>
      <c r="B212" s="29" t="s">
        <v>76</v>
      </c>
      <c r="C212" s="28">
        <v>5.58</v>
      </c>
      <c r="D212" s="82"/>
    </row>
    <row r="213" spans="1:4" ht="15.75" outlineLevel="1" x14ac:dyDescent="0.2">
      <c r="A213" s="28" t="s">
        <v>26</v>
      </c>
      <c r="B213" s="29" t="s">
        <v>61</v>
      </c>
      <c r="C213" s="28">
        <v>5.54</v>
      </c>
      <c r="D213" s="82"/>
    </row>
    <row r="214" spans="1:4" ht="15.75" outlineLevel="1" x14ac:dyDescent="0.2">
      <c r="A214" s="28" t="s">
        <v>26</v>
      </c>
      <c r="B214" s="29" t="s">
        <v>77</v>
      </c>
      <c r="C214" s="28">
        <v>5.55</v>
      </c>
      <c r="D214" s="82"/>
    </row>
    <row r="215" spans="1:4" ht="15.75" outlineLevel="1" x14ac:dyDescent="0.2">
      <c r="A215" s="28" t="s">
        <v>26</v>
      </c>
      <c r="B215" s="29" t="s">
        <v>63</v>
      </c>
      <c r="C215" s="28">
        <v>5.63</v>
      </c>
      <c r="D215" s="82"/>
    </row>
    <row r="216" spans="1:4" ht="15.75" outlineLevel="1" x14ac:dyDescent="0.2">
      <c r="A216" s="28" t="s">
        <v>26</v>
      </c>
      <c r="B216" s="29" t="s">
        <v>64</v>
      </c>
      <c r="C216" s="28">
        <v>5.47</v>
      </c>
      <c r="D216" s="82"/>
    </row>
    <row r="217" spans="1:4" ht="15.75" outlineLevel="1" x14ac:dyDescent="0.2">
      <c r="A217" s="28" t="s">
        <v>26</v>
      </c>
      <c r="B217" s="29" t="s">
        <v>65</v>
      </c>
      <c r="C217" s="28">
        <v>5.48</v>
      </c>
      <c r="D217" s="82"/>
    </row>
    <row r="218" spans="1:4" ht="15.75" x14ac:dyDescent="0.2">
      <c r="A218" s="33" t="s">
        <v>26</v>
      </c>
      <c r="B218" s="29"/>
      <c r="C218" s="28"/>
      <c r="D218" s="82"/>
    </row>
    <row r="219" spans="1:4" ht="15.75" outlineLevel="1" x14ac:dyDescent="0.2">
      <c r="A219" s="28" t="s">
        <v>27</v>
      </c>
      <c r="B219" s="29" t="s">
        <v>49</v>
      </c>
      <c r="C219" s="28">
        <v>5.0999999999999996</v>
      </c>
      <c r="D219" s="82"/>
    </row>
    <row r="220" spans="1:4" ht="15.75" outlineLevel="1" x14ac:dyDescent="0.2">
      <c r="A220" s="28" t="s">
        <v>27</v>
      </c>
      <c r="B220" s="29" t="s">
        <v>50</v>
      </c>
      <c r="C220" s="28">
        <v>5.2</v>
      </c>
      <c r="D220" s="82"/>
    </row>
    <row r="221" spans="1:4" ht="15.75" outlineLevel="1" x14ac:dyDescent="0.2">
      <c r="A221" s="28" t="s">
        <v>27</v>
      </c>
      <c r="B221" s="29" t="s">
        <v>66</v>
      </c>
      <c r="C221" s="28">
        <v>5.3</v>
      </c>
      <c r="D221" s="82"/>
    </row>
    <row r="222" spans="1:4" ht="15.75" outlineLevel="1" x14ac:dyDescent="0.2">
      <c r="A222" s="28" t="s">
        <v>27</v>
      </c>
      <c r="B222" s="29" t="s">
        <v>80</v>
      </c>
      <c r="C222" s="28">
        <v>5.6</v>
      </c>
      <c r="D222" s="82"/>
    </row>
    <row r="223" spans="1:4" ht="15.75" outlineLevel="1" x14ac:dyDescent="0.2">
      <c r="A223" s="28" t="s">
        <v>27</v>
      </c>
      <c r="B223" s="29" t="s">
        <v>1081</v>
      </c>
      <c r="C223" s="30">
        <v>5.0999999999999996</v>
      </c>
      <c r="D223" s="82"/>
    </row>
    <row r="224" spans="1:4" ht="15.75" outlineLevel="1" x14ac:dyDescent="0.2">
      <c r="A224" s="28" t="s">
        <v>27</v>
      </c>
      <c r="B224" s="29" t="s">
        <v>91</v>
      </c>
      <c r="C224" s="28">
        <v>5.14</v>
      </c>
      <c r="D224" s="82"/>
    </row>
    <row r="225" spans="1:4" ht="15.75" outlineLevel="1" x14ac:dyDescent="0.2">
      <c r="A225" s="28" t="s">
        <v>27</v>
      </c>
      <c r="B225" s="29" t="s">
        <v>68</v>
      </c>
      <c r="C225" s="28">
        <v>5.19</v>
      </c>
      <c r="D225" s="82"/>
    </row>
    <row r="226" spans="1:4" ht="15.75" outlineLevel="1" x14ac:dyDescent="0.2">
      <c r="A226" s="28" t="s">
        <v>27</v>
      </c>
      <c r="B226" s="29" t="s">
        <v>82</v>
      </c>
      <c r="C226" s="28">
        <v>5.24</v>
      </c>
      <c r="D226" s="82"/>
    </row>
    <row r="227" spans="1:4" ht="15.75" outlineLevel="1" x14ac:dyDescent="0.2">
      <c r="A227" s="28" t="s">
        <v>27</v>
      </c>
      <c r="B227" s="29" t="s">
        <v>54</v>
      </c>
      <c r="C227" s="28">
        <v>5.26</v>
      </c>
      <c r="D227" s="82"/>
    </row>
    <row r="228" spans="1:4" ht="15.75" outlineLevel="1" x14ac:dyDescent="0.2">
      <c r="A228" s="28" t="s">
        <v>27</v>
      </c>
      <c r="B228" s="29" t="s">
        <v>55</v>
      </c>
      <c r="C228" s="28">
        <v>5.27</v>
      </c>
      <c r="D228" s="82"/>
    </row>
    <row r="229" spans="1:4" ht="15.75" outlineLevel="1" x14ac:dyDescent="0.2">
      <c r="A229" s="28" t="s">
        <v>27</v>
      </c>
      <c r="B229" s="29" t="s">
        <v>69</v>
      </c>
      <c r="C229" s="28">
        <v>5.28</v>
      </c>
      <c r="D229" s="82"/>
    </row>
    <row r="230" spans="1:4" ht="15.75" outlineLevel="1" x14ac:dyDescent="0.2">
      <c r="A230" s="28" t="s">
        <v>27</v>
      </c>
      <c r="B230" s="29" t="s">
        <v>89</v>
      </c>
      <c r="C230" s="28">
        <v>5.29</v>
      </c>
      <c r="D230" s="82"/>
    </row>
    <row r="231" spans="1:4" ht="15.75" outlineLevel="1" x14ac:dyDescent="0.2">
      <c r="A231" s="28" t="s">
        <v>27</v>
      </c>
      <c r="B231" s="29" t="s">
        <v>70</v>
      </c>
      <c r="C231" s="30">
        <v>5.3</v>
      </c>
      <c r="D231" s="82"/>
    </row>
    <row r="232" spans="1:4" ht="15.75" outlineLevel="1" x14ac:dyDescent="0.2">
      <c r="A232" s="28" t="s">
        <v>27</v>
      </c>
      <c r="B232" s="29" t="s">
        <v>83</v>
      </c>
      <c r="C232" s="28">
        <v>5.31</v>
      </c>
      <c r="D232" s="82"/>
    </row>
    <row r="233" spans="1:4" ht="15.75" outlineLevel="1" x14ac:dyDescent="0.2">
      <c r="A233" s="28" t="s">
        <v>27</v>
      </c>
      <c r="B233" s="29" t="s">
        <v>96</v>
      </c>
      <c r="C233" s="28">
        <v>5.33</v>
      </c>
      <c r="D233" s="82"/>
    </row>
    <row r="234" spans="1:4" ht="15.75" outlineLevel="1" x14ac:dyDescent="0.2">
      <c r="A234" s="28" t="s">
        <v>27</v>
      </c>
      <c r="B234" s="29" t="s">
        <v>93</v>
      </c>
      <c r="C234" s="28">
        <v>5.101</v>
      </c>
      <c r="D234" s="82"/>
    </row>
    <row r="235" spans="1:4" ht="15.75" outlineLevel="1" x14ac:dyDescent="0.2">
      <c r="A235" s="28" t="s">
        <v>27</v>
      </c>
      <c r="B235" s="29" t="s">
        <v>56</v>
      </c>
      <c r="C235" s="28">
        <v>5.36</v>
      </c>
      <c r="D235" s="82"/>
    </row>
    <row r="236" spans="1:4" ht="15.75" outlineLevel="1" x14ac:dyDescent="0.2">
      <c r="A236" s="28" t="s">
        <v>27</v>
      </c>
      <c r="B236" s="29" t="s">
        <v>59</v>
      </c>
      <c r="C236" s="28">
        <v>5.53</v>
      </c>
      <c r="D236" s="82"/>
    </row>
    <row r="237" spans="1:4" ht="15.75" outlineLevel="1" x14ac:dyDescent="0.2">
      <c r="A237" s="28" t="s">
        <v>27</v>
      </c>
      <c r="B237" s="29" t="s">
        <v>94</v>
      </c>
      <c r="C237" s="28">
        <v>5.1020000000000003</v>
      </c>
      <c r="D237" s="82"/>
    </row>
    <row r="238" spans="1:4" ht="15.75" outlineLevel="1" x14ac:dyDescent="0.2">
      <c r="A238" s="28" t="s">
        <v>27</v>
      </c>
      <c r="B238" s="29" t="s">
        <v>76</v>
      </c>
      <c r="C238" s="28">
        <v>5.58</v>
      </c>
      <c r="D238" s="82"/>
    </row>
    <row r="239" spans="1:4" ht="15.75" outlineLevel="1" x14ac:dyDescent="0.2">
      <c r="A239" s="28" t="s">
        <v>27</v>
      </c>
      <c r="B239" s="29" t="s">
        <v>61</v>
      </c>
      <c r="C239" s="28">
        <v>5.54</v>
      </c>
      <c r="D239" s="82"/>
    </row>
    <row r="240" spans="1:4" ht="15.75" outlineLevel="1" x14ac:dyDescent="0.2">
      <c r="A240" s="28" t="s">
        <v>27</v>
      </c>
      <c r="B240" s="29" t="s">
        <v>77</v>
      </c>
      <c r="C240" s="28">
        <v>5.55</v>
      </c>
      <c r="D240" s="82"/>
    </row>
    <row r="241" spans="1:4" ht="15.75" outlineLevel="1" x14ac:dyDescent="0.2">
      <c r="A241" s="28" t="s">
        <v>27</v>
      </c>
      <c r="B241" s="29" t="s">
        <v>63</v>
      </c>
      <c r="C241" s="28">
        <v>5.63</v>
      </c>
      <c r="D241" s="82"/>
    </row>
    <row r="242" spans="1:4" ht="15.75" outlineLevel="1" x14ac:dyDescent="0.2">
      <c r="A242" s="28" t="s">
        <v>27</v>
      </c>
      <c r="B242" s="29" t="s">
        <v>64</v>
      </c>
      <c r="C242" s="28">
        <v>5.47</v>
      </c>
      <c r="D242" s="82"/>
    </row>
    <row r="243" spans="1:4" ht="15.75" outlineLevel="1" x14ac:dyDescent="0.2">
      <c r="A243" s="28" t="s">
        <v>27</v>
      </c>
      <c r="B243" s="29" t="s">
        <v>65</v>
      </c>
      <c r="C243" s="28">
        <v>5.48</v>
      </c>
      <c r="D243" s="82"/>
    </row>
    <row r="244" spans="1:4" ht="15.75" x14ac:dyDescent="0.2">
      <c r="A244" s="33" t="s">
        <v>27</v>
      </c>
      <c r="B244" s="29"/>
      <c r="C244" s="28"/>
      <c r="D244" s="82"/>
    </row>
    <row r="245" spans="1:4" ht="15.75" outlineLevel="1" x14ac:dyDescent="0.2">
      <c r="A245" s="28" t="s">
        <v>28</v>
      </c>
      <c r="B245" s="29" t="s">
        <v>49</v>
      </c>
      <c r="C245" s="28">
        <v>5.0999999999999996</v>
      </c>
      <c r="D245" s="82"/>
    </row>
    <row r="246" spans="1:4" ht="15.75" outlineLevel="1" x14ac:dyDescent="0.2">
      <c r="A246" s="28" t="s">
        <v>28</v>
      </c>
      <c r="B246" s="29" t="s">
        <v>50</v>
      </c>
      <c r="C246" s="28">
        <v>5.2</v>
      </c>
      <c r="D246" s="82"/>
    </row>
    <row r="247" spans="1:4" ht="15.75" outlineLevel="1" x14ac:dyDescent="0.2">
      <c r="A247" s="28" t="s">
        <v>28</v>
      </c>
      <c r="B247" s="29" t="s">
        <v>66</v>
      </c>
      <c r="C247" s="28">
        <v>5.3</v>
      </c>
      <c r="D247" s="82"/>
    </row>
    <row r="248" spans="1:4" ht="15.75" outlineLevel="1" x14ac:dyDescent="0.2">
      <c r="A248" s="28" t="s">
        <v>28</v>
      </c>
      <c r="B248" s="29" t="s">
        <v>80</v>
      </c>
      <c r="C248" s="28">
        <v>5.6</v>
      </c>
      <c r="D248" s="82"/>
    </row>
    <row r="249" spans="1:4" ht="15.75" outlineLevel="1" x14ac:dyDescent="0.2">
      <c r="A249" s="28" t="s">
        <v>28</v>
      </c>
      <c r="B249" s="29" t="s">
        <v>1081</v>
      </c>
      <c r="C249" s="30">
        <v>5.0999999999999996</v>
      </c>
      <c r="D249" s="82"/>
    </row>
    <row r="250" spans="1:4" ht="15.75" outlineLevel="1" x14ac:dyDescent="0.2">
      <c r="A250" s="28" t="s">
        <v>28</v>
      </c>
      <c r="B250" s="29" t="s">
        <v>91</v>
      </c>
      <c r="C250" s="28">
        <v>5.14</v>
      </c>
      <c r="D250" s="82"/>
    </row>
    <row r="251" spans="1:4" ht="15.75" outlineLevel="1" x14ac:dyDescent="0.2">
      <c r="A251" s="28" t="s">
        <v>28</v>
      </c>
      <c r="B251" s="29" t="s">
        <v>68</v>
      </c>
      <c r="C251" s="28">
        <v>5.19</v>
      </c>
      <c r="D251" s="82"/>
    </row>
    <row r="252" spans="1:4" ht="15.75" outlineLevel="1" x14ac:dyDescent="0.2">
      <c r="A252" s="28" t="s">
        <v>28</v>
      </c>
      <c r="B252" s="29" t="s">
        <v>82</v>
      </c>
      <c r="C252" s="28">
        <v>5.24</v>
      </c>
      <c r="D252" s="82"/>
    </row>
    <row r="253" spans="1:4" ht="15.75" outlineLevel="1" x14ac:dyDescent="0.2">
      <c r="A253" s="28" t="s">
        <v>28</v>
      </c>
      <c r="B253" s="29" t="s">
        <v>55</v>
      </c>
      <c r="C253" s="28">
        <v>5.27</v>
      </c>
      <c r="D253" s="82"/>
    </row>
    <row r="254" spans="1:4" ht="15.75" outlineLevel="1" x14ac:dyDescent="0.2">
      <c r="A254" s="28" t="s">
        <v>28</v>
      </c>
      <c r="B254" s="29" t="s">
        <v>69</v>
      </c>
      <c r="C254" s="28">
        <v>5.28</v>
      </c>
      <c r="D254" s="82"/>
    </row>
    <row r="255" spans="1:4" ht="15.75" outlineLevel="1" x14ac:dyDescent="0.2">
      <c r="A255" s="28" t="s">
        <v>28</v>
      </c>
      <c r="B255" s="29" t="s">
        <v>70</v>
      </c>
      <c r="C255" s="30">
        <v>5.3</v>
      </c>
      <c r="D255" s="82"/>
    </row>
    <row r="256" spans="1:4" ht="15.75" outlineLevel="1" x14ac:dyDescent="0.2">
      <c r="A256" s="28" t="s">
        <v>28</v>
      </c>
      <c r="B256" s="29" t="s">
        <v>96</v>
      </c>
      <c r="C256" s="28">
        <v>5.33</v>
      </c>
      <c r="D256" s="82"/>
    </row>
    <row r="257" spans="1:4" ht="15.75" outlineLevel="1" x14ac:dyDescent="0.2">
      <c r="A257" s="28" t="s">
        <v>28</v>
      </c>
      <c r="B257" s="29" t="s">
        <v>56</v>
      </c>
      <c r="C257" s="28">
        <v>5.36</v>
      </c>
      <c r="D257" s="82"/>
    </row>
    <row r="258" spans="1:4" ht="15.75" outlineLevel="1" x14ac:dyDescent="0.2">
      <c r="A258" s="28" t="s">
        <v>28</v>
      </c>
      <c r="B258" s="29" t="s">
        <v>59</v>
      </c>
      <c r="C258" s="28">
        <v>5.53</v>
      </c>
      <c r="D258" s="82"/>
    </row>
    <row r="259" spans="1:4" ht="15.75" outlineLevel="1" x14ac:dyDescent="0.2">
      <c r="A259" s="28" t="s">
        <v>28</v>
      </c>
      <c r="B259" s="29" t="s">
        <v>76</v>
      </c>
      <c r="C259" s="28">
        <v>5.58</v>
      </c>
      <c r="D259" s="82"/>
    </row>
    <row r="260" spans="1:4" ht="15.75" outlineLevel="1" x14ac:dyDescent="0.2">
      <c r="A260" s="28" t="s">
        <v>28</v>
      </c>
      <c r="B260" s="29" t="s">
        <v>61</v>
      </c>
      <c r="C260" s="28">
        <v>5.54</v>
      </c>
      <c r="D260" s="82"/>
    </row>
    <row r="261" spans="1:4" ht="15.75" outlineLevel="1" x14ac:dyDescent="0.2">
      <c r="A261" s="28" t="s">
        <v>28</v>
      </c>
      <c r="B261" s="29" t="s">
        <v>77</v>
      </c>
      <c r="C261" s="28">
        <v>5.55</v>
      </c>
      <c r="D261" s="82"/>
    </row>
    <row r="262" spans="1:4" ht="15.75" outlineLevel="1" x14ac:dyDescent="0.2">
      <c r="A262" s="28" t="s">
        <v>28</v>
      </c>
      <c r="B262" s="29" t="s">
        <v>63</v>
      </c>
      <c r="C262" s="28">
        <v>5.63</v>
      </c>
      <c r="D262" s="82"/>
    </row>
    <row r="263" spans="1:4" ht="15.75" outlineLevel="1" x14ac:dyDescent="0.2">
      <c r="A263" s="28" t="s">
        <v>28</v>
      </c>
      <c r="B263" s="29" t="s">
        <v>64</v>
      </c>
      <c r="C263" s="28">
        <v>5.47</v>
      </c>
      <c r="D263" s="82"/>
    </row>
    <row r="264" spans="1:4" ht="15.75" outlineLevel="1" x14ac:dyDescent="0.2">
      <c r="A264" s="28" t="s">
        <v>28</v>
      </c>
      <c r="B264" s="29" t="s">
        <v>65</v>
      </c>
      <c r="C264" s="28">
        <v>5.48</v>
      </c>
      <c r="D264" s="82"/>
    </row>
    <row r="265" spans="1:4" ht="15.75" x14ac:dyDescent="0.2">
      <c r="A265" s="33" t="s">
        <v>28</v>
      </c>
      <c r="B265" s="29"/>
      <c r="C265" s="28"/>
      <c r="D265" s="82"/>
    </row>
    <row r="266" spans="1:4" ht="15.75" outlineLevel="1" x14ac:dyDescent="0.2">
      <c r="A266" s="28" t="s">
        <v>29</v>
      </c>
      <c r="B266" s="29" t="s">
        <v>49</v>
      </c>
      <c r="C266" s="28">
        <v>5.0999999999999996</v>
      </c>
      <c r="D266" s="82"/>
    </row>
    <row r="267" spans="1:4" ht="15.75" outlineLevel="1" x14ac:dyDescent="0.2">
      <c r="A267" s="28" t="s">
        <v>29</v>
      </c>
      <c r="B267" s="29" t="s">
        <v>50</v>
      </c>
      <c r="C267" s="28">
        <v>5.2</v>
      </c>
      <c r="D267" s="82"/>
    </row>
    <row r="268" spans="1:4" ht="15.75" outlineLevel="1" x14ac:dyDescent="0.2">
      <c r="A268" s="28" t="s">
        <v>29</v>
      </c>
      <c r="B268" s="29" t="s">
        <v>66</v>
      </c>
      <c r="C268" s="28">
        <v>5.3</v>
      </c>
      <c r="D268" s="82"/>
    </row>
    <row r="269" spans="1:4" ht="15.75" outlineLevel="1" x14ac:dyDescent="0.2">
      <c r="A269" s="28" t="s">
        <v>29</v>
      </c>
      <c r="B269" s="29" t="s">
        <v>80</v>
      </c>
      <c r="C269" s="28">
        <v>5.6</v>
      </c>
      <c r="D269" s="82"/>
    </row>
    <row r="270" spans="1:4" ht="15.75" outlineLevel="1" x14ac:dyDescent="0.2">
      <c r="A270" s="28" t="s">
        <v>29</v>
      </c>
      <c r="B270" s="29" t="s">
        <v>1081</v>
      </c>
      <c r="C270" s="30">
        <v>5.0999999999999996</v>
      </c>
      <c r="D270" s="82"/>
    </row>
    <row r="271" spans="1:4" ht="15.75" outlineLevel="1" x14ac:dyDescent="0.2">
      <c r="A271" s="28" t="s">
        <v>29</v>
      </c>
      <c r="B271" s="29" t="s">
        <v>91</v>
      </c>
      <c r="C271" s="28">
        <v>5.14</v>
      </c>
      <c r="D271" s="82"/>
    </row>
    <row r="272" spans="1:4" ht="15.75" outlineLevel="1" x14ac:dyDescent="0.2">
      <c r="A272" s="28" t="s">
        <v>29</v>
      </c>
      <c r="B272" s="29" t="s">
        <v>68</v>
      </c>
      <c r="C272" s="28">
        <v>5.19</v>
      </c>
      <c r="D272" s="82"/>
    </row>
    <row r="273" spans="1:4" ht="15.75" outlineLevel="1" x14ac:dyDescent="0.2">
      <c r="A273" s="28" t="s">
        <v>29</v>
      </c>
      <c r="B273" s="29" t="s">
        <v>82</v>
      </c>
      <c r="C273" s="28">
        <v>5.24</v>
      </c>
      <c r="D273" s="82"/>
    </row>
    <row r="274" spans="1:4" ht="15.75" outlineLevel="1" x14ac:dyDescent="0.2">
      <c r="A274" s="28" t="s">
        <v>29</v>
      </c>
      <c r="B274" s="29" t="s">
        <v>54</v>
      </c>
      <c r="C274" s="28">
        <v>5.26</v>
      </c>
      <c r="D274" s="82"/>
    </row>
    <row r="275" spans="1:4" ht="15.75" outlineLevel="1" x14ac:dyDescent="0.2">
      <c r="A275" s="28" t="s">
        <v>29</v>
      </c>
      <c r="B275" s="29" t="s">
        <v>55</v>
      </c>
      <c r="C275" s="28">
        <v>5.27</v>
      </c>
      <c r="D275" s="82"/>
    </row>
    <row r="276" spans="1:4" ht="15.75" outlineLevel="1" x14ac:dyDescent="0.2">
      <c r="A276" s="28" t="s">
        <v>29</v>
      </c>
      <c r="B276" s="29" t="s">
        <v>69</v>
      </c>
      <c r="C276" s="28">
        <v>5.28</v>
      </c>
      <c r="D276" s="82"/>
    </row>
    <row r="277" spans="1:4" ht="15.75" outlineLevel="1" x14ac:dyDescent="0.2">
      <c r="A277" s="28" t="s">
        <v>29</v>
      </c>
      <c r="B277" s="29" t="s">
        <v>89</v>
      </c>
      <c r="C277" s="28">
        <v>5.29</v>
      </c>
      <c r="D277" s="82"/>
    </row>
    <row r="278" spans="1:4" ht="15.75" outlineLevel="1" x14ac:dyDescent="0.2">
      <c r="A278" s="28" t="s">
        <v>29</v>
      </c>
      <c r="B278" s="29" t="s">
        <v>70</v>
      </c>
      <c r="C278" s="30">
        <v>5.3</v>
      </c>
      <c r="D278" s="82"/>
    </row>
    <row r="279" spans="1:4" ht="15.75" outlineLevel="1" x14ac:dyDescent="0.2">
      <c r="A279" s="28" t="s">
        <v>29</v>
      </c>
      <c r="B279" s="29" t="s">
        <v>96</v>
      </c>
      <c r="C279" s="28">
        <v>5.33</v>
      </c>
      <c r="D279" s="82"/>
    </row>
    <row r="280" spans="1:4" ht="15.75" outlineLevel="1" x14ac:dyDescent="0.2">
      <c r="A280" s="28" t="s">
        <v>29</v>
      </c>
      <c r="B280" s="29" t="s">
        <v>56</v>
      </c>
      <c r="C280" s="28">
        <v>5.36</v>
      </c>
      <c r="D280" s="82"/>
    </row>
    <row r="281" spans="1:4" ht="15.75" outlineLevel="1" x14ac:dyDescent="0.2">
      <c r="A281" s="28" t="s">
        <v>29</v>
      </c>
      <c r="B281" s="29" t="s">
        <v>72</v>
      </c>
      <c r="C281" s="28">
        <v>5.69</v>
      </c>
      <c r="D281" s="82"/>
    </row>
    <row r="282" spans="1:4" ht="15.75" outlineLevel="1" x14ac:dyDescent="0.2">
      <c r="A282" s="28" t="s">
        <v>29</v>
      </c>
      <c r="B282" s="29" t="s">
        <v>62</v>
      </c>
      <c r="C282" s="30">
        <v>5.7</v>
      </c>
      <c r="D282" s="82"/>
    </row>
    <row r="283" spans="1:4" ht="15.75" outlineLevel="1" x14ac:dyDescent="0.2">
      <c r="A283" s="28" t="s">
        <v>29</v>
      </c>
      <c r="B283" s="29" t="s">
        <v>74</v>
      </c>
      <c r="C283" s="28">
        <v>5.74</v>
      </c>
      <c r="D283" s="82"/>
    </row>
    <row r="284" spans="1:4" ht="15.75" outlineLevel="1" x14ac:dyDescent="0.2">
      <c r="A284" s="28" t="s">
        <v>29</v>
      </c>
      <c r="B284" s="29" t="s">
        <v>71</v>
      </c>
      <c r="C284" s="28">
        <v>5.49</v>
      </c>
      <c r="D284" s="82"/>
    </row>
    <row r="285" spans="1:4" ht="15.75" outlineLevel="1" x14ac:dyDescent="0.2">
      <c r="A285" s="28" t="s">
        <v>29</v>
      </c>
      <c r="B285" s="29" t="s">
        <v>58</v>
      </c>
      <c r="C285" s="28">
        <v>5.51</v>
      </c>
      <c r="D285" s="82"/>
    </row>
    <row r="286" spans="1:4" ht="15.75" outlineLevel="1" x14ac:dyDescent="0.2">
      <c r="A286" s="28" t="s">
        <v>29</v>
      </c>
      <c r="B286" s="29" t="s">
        <v>1082</v>
      </c>
      <c r="C286" s="28">
        <v>5.52</v>
      </c>
      <c r="D286" s="82"/>
    </row>
    <row r="287" spans="1:4" ht="15.75" outlineLevel="1" x14ac:dyDescent="0.2">
      <c r="A287" s="28" t="s">
        <v>29</v>
      </c>
      <c r="B287" s="29" t="s">
        <v>59</v>
      </c>
      <c r="C287" s="28">
        <v>5.53</v>
      </c>
      <c r="D287" s="82"/>
    </row>
    <row r="288" spans="1:4" ht="15.75" outlineLevel="1" x14ac:dyDescent="0.2">
      <c r="A288" s="28" t="s">
        <v>29</v>
      </c>
      <c r="B288" s="29" t="s">
        <v>76</v>
      </c>
      <c r="C288" s="28">
        <v>5.58</v>
      </c>
      <c r="D288" s="82"/>
    </row>
    <row r="289" spans="1:4" ht="15.75" outlineLevel="1" x14ac:dyDescent="0.2">
      <c r="A289" s="28" t="s">
        <v>29</v>
      </c>
      <c r="B289" s="29" t="s">
        <v>61</v>
      </c>
      <c r="C289" s="28">
        <v>5.54</v>
      </c>
      <c r="D289" s="82"/>
    </row>
    <row r="290" spans="1:4" ht="15.75" outlineLevel="1" x14ac:dyDescent="0.2">
      <c r="A290" s="28" t="s">
        <v>29</v>
      </c>
      <c r="B290" s="29" t="s">
        <v>77</v>
      </c>
      <c r="C290" s="28">
        <v>5.55</v>
      </c>
      <c r="D290" s="82"/>
    </row>
    <row r="291" spans="1:4" ht="15.75" outlineLevel="1" x14ac:dyDescent="0.2">
      <c r="A291" s="28" t="s">
        <v>29</v>
      </c>
      <c r="B291" s="29" t="s">
        <v>63</v>
      </c>
      <c r="C291" s="28">
        <v>5.63</v>
      </c>
      <c r="D291" s="82"/>
    </row>
    <row r="292" spans="1:4" ht="15.75" outlineLevel="1" x14ac:dyDescent="0.2">
      <c r="A292" s="28" t="s">
        <v>29</v>
      </c>
      <c r="B292" s="29" t="s">
        <v>64</v>
      </c>
      <c r="C292" s="28">
        <v>5.47</v>
      </c>
      <c r="D292" s="82"/>
    </row>
    <row r="293" spans="1:4" ht="15.75" outlineLevel="1" x14ac:dyDescent="0.2">
      <c r="A293" s="28" t="s">
        <v>29</v>
      </c>
      <c r="B293" s="29" t="s">
        <v>65</v>
      </c>
      <c r="C293" s="28">
        <v>5.48</v>
      </c>
      <c r="D293" s="82"/>
    </row>
    <row r="294" spans="1:4" ht="15.75" x14ac:dyDescent="0.2">
      <c r="A294" s="33" t="s">
        <v>29</v>
      </c>
      <c r="B294" s="29"/>
      <c r="C294" s="28"/>
      <c r="D294" s="82"/>
    </row>
    <row r="295" spans="1:4" ht="15.75" outlineLevel="1" x14ac:dyDescent="0.2">
      <c r="A295" s="28" t="s">
        <v>30</v>
      </c>
      <c r="B295" s="29" t="s">
        <v>49</v>
      </c>
      <c r="C295" s="28">
        <v>5.0999999999999996</v>
      </c>
      <c r="D295" s="82"/>
    </row>
    <row r="296" spans="1:4" ht="15.75" outlineLevel="1" x14ac:dyDescent="0.2">
      <c r="A296" s="28" t="s">
        <v>30</v>
      </c>
      <c r="B296" s="29" t="s">
        <v>50</v>
      </c>
      <c r="C296" s="28">
        <v>5.2</v>
      </c>
      <c r="D296" s="82"/>
    </row>
    <row r="297" spans="1:4" ht="15.75" outlineLevel="1" x14ac:dyDescent="0.2">
      <c r="A297" s="28" t="s">
        <v>30</v>
      </c>
      <c r="B297" s="29" t="s">
        <v>66</v>
      </c>
      <c r="C297" s="28">
        <v>5.3</v>
      </c>
      <c r="D297" s="82"/>
    </row>
    <row r="298" spans="1:4" ht="15.75" outlineLevel="1" x14ac:dyDescent="0.2">
      <c r="A298" s="28" t="s">
        <v>30</v>
      </c>
      <c r="B298" s="29" t="s">
        <v>91</v>
      </c>
      <c r="C298" s="28">
        <v>5.14</v>
      </c>
      <c r="D298" s="82"/>
    </row>
    <row r="299" spans="1:4" ht="15.75" outlineLevel="1" x14ac:dyDescent="0.2">
      <c r="A299" s="28" t="s">
        <v>30</v>
      </c>
      <c r="B299" s="29" t="s">
        <v>68</v>
      </c>
      <c r="C299" s="28">
        <v>5.19</v>
      </c>
      <c r="D299" s="82"/>
    </row>
    <row r="300" spans="1:4" ht="15.75" outlineLevel="1" x14ac:dyDescent="0.2">
      <c r="A300" s="28" t="s">
        <v>30</v>
      </c>
      <c r="B300" s="29" t="s">
        <v>82</v>
      </c>
      <c r="C300" s="28">
        <v>5.24</v>
      </c>
      <c r="D300" s="82"/>
    </row>
    <row r="301" spans="1:4" ht="15.75" outlineLevel="1" x14ac:dyDescent="0.2">
      <c r="A301" s="28" t="s">
        <v>30</v>
      </c>
      <c r="B301" s="29" t="s">
        <v>54</v>
      </c>
      <c r="C301" s="28">
        <v>5.26</v>
      </c>
      <c r="D301" s="82"/>
    </row>
    <row r="302" spans="1:4" ht="15.75" outlineLevel="1" x14ac:dyDescent="0.2">
      <c r="A302" s="28" t="s">
        <v>30</v>
      </c>
      <c r="B302" s="29" t="s">
        <v>55</v>
      </c>
      <c r="C302" s="28">
        <v>5.27</v>
      </c>
      <c r="D302" s="82"/>
    </row>
    <row r="303" spans="1:4" ht="15.75" outlineLevel="1" x14ac:dyDescent="0.2">
      <c r="A303" s="28" t="s">
        <v>30</v>
      </c>
      <c r="B303" s="29" t="s">
        <v>69</v>
      </c>
      <c r="C303" s="28">
        <v>5.28</v>
      </c>
      <c r="D303" s="82"/>
    </row>
    <row r="304" spans="1:4" ht="15.75" outlineLevel="1" x14ac:dyDescent="0.2">
      <c r="A304" s="28" t="s">
        <v>30</v>
      </c>
      <c r="B304" s="29" t="s">
        <v>97</v>
      </c>
      <c r="C304" s="28">
        <v>5.37</v>
      </c>
      <c r="D304" s="82"/>
    </row>
    <row r="305" spans="1:4" ht="15.75" outlineLevel="1" x14ac:dyDescent="0.2">
      <c r="A305" s="28" t="s">
        <v>30</v>
      </c>
      <c r="B305" s="29" t="s">
        <v>71</v>
      </c>
      <c r="C305" s="28">
        <v>5.49</v>
      </c>
      <c r="D305" s="82"/>
    </row>
    <row r="306" spans="1:4" ht="15.75" outlineLevel="1" x14ac:dyDescent="0.2">
      <c r="A306" s="28" t="s">
        <v>30</v>
      </c>
      <c r="B306" s="29" t="s">
        <v>58</v>
      </c>
      <c r="C306" s="28">
        <v>5.51</v>
      </c>
      <c r="D306" s="82"/>
    </row>
    <row r="307" spans="1:4" ht="15.75" outlineLevel="1" x14ac:dyDescent="0.2">
      <c r="A307" s="28" t="s">
        <v>30</v>
      </c>
      <c r="B307" s="29" t="s">
        <v>59</v>
      </c>
      <c r="C307" s="28">
        <v>5.53</v>
      </c>
      <c r="D307" s="82"/>
    </row>
    <row r="308" spans="1:4" ht="15.75" outlineLevel="1" x14ac:dyDescent="0.2">
      <c r="A308" s="28" t="s">
        <v>30</v>
      </c>
      <c r="B308" s="29" t="s">
        <v>72</v>
      </c>
      <c r="C308" s="28">
        <v>5.69</v>
      </c>
      <c r="D308" s="82"/>
    </row>
    <row r="309" spans="1:4" ht="15.75" outlineLevel="1" x14ac:dyDescent="0.2">
      <c r="A309" s="28" t="s">
        <v>30</v>
      </c>
      <c r="B309" s="29" t="s">
        <v>73</v>
      </c>
      <c r="C309" s="28">
        <v>5.75</v>
      </c>
      <c r="D309" s="82"/>
    </row>
    <row r="310" spans="1:4" ht="15.75" outlineLevel="1" x14ac:dyDescent="0.2">
      <c r="A310" s="28" t="s">
        <v>30</v>
      </c>
      <c r="B310" s="29" t="s">
        <v>62</v>
      </c>
      <c r="C310" s="30">
        <v>5.7</v>
      </c>
      <c r="D310" s="82"/>
    </row>
    <row r="311" spans="1:4" ht="15.75" outlineLevel="1" x14ac:dyDescent="0.2">
      <c r="A311" s="28" t="s">
        <v>30</v>
      </c>
      <c r="B311" s="29" t="s">
        <v>74</v>
      </c>
      <c r="C311" s="28">
        <v>5.74</v>
      </c>
      <c r="D311" s="82"/>
    </row>
    <row r="312" spans="1:4" ht="15.75" outlineLevel="1" x14ac:dyDescent="0.2">
      <c r="A312" s="28" t="s">
        <v>30</v>
      </c>
      <c r="B312" s="29" t="s">
        <v>76</v>
      </c>
      <c r="C312" s="28">
        <v>5.58</v>
      </c>
      <c r="D312" s="82"/>
    </row>
    <row r="313" spans="1:4" ht="15.75" outlineLevel="1" x14ac:dyDescent="0.2">
      <c r="A313" s="28" t="s">
        <v>30</v>
      </c>
      <c r="B313" s="29" t="s">
        <v>61</v>
      </c>
      <c r="C313" s="28">
        <v>5.54</v>
      </c>
      <c r="D313" s="82"/>
    </row>
    <row r="314" spans="1:4" ht="15.75" outlineLevel="1" x14ac:dyDescent="0.2">
      <c r="A314" s="28" t="s">
        <v>30</v>
      </c>
      <c r="B314" s="29" t="s">
        <v>77</v>
      </c>
      <c r="C314" s="28">
        <v>5.55</v>
      </c>
      <c r="D314" s="82"/>
    </row>
    <row r="315" spans="1:4" ht="15.75" outlineLevel="1" x14ac:dyDescent="0.2">
      <c r="A315" s="28" t="s">
        <v>30</v>
      </c>
      <c r="B315" s="29" t="s">
        <v>63</v>
      </c>
      <c r="C315" s="28">
        <v>5.63</v>
      </c>
      <c r="D315" s="82"/>
    </row>
    <row r="316" spans="1:4" ht="15.75" outlineLevel="1" x14ac:dyDescent="0.2">
      <c r="A316" s="28" t="s">
        <v>30</v>
      </c>
      <c r="B316" s="29" t="s">
        <v>78</v>
      </c>
      <c r="C316" s="28">
        <v>5.65</v>
      </c>
      <c r="D316" s="82"/>
    </row>
    <row r="317" spans="1:4" ht="15.75" outlineLevel="1" x14ac:dyDescent="0.2">
      <c r="A317" s="28" t="s">
        <v>30</v>
      </c>
      <c r="B317" s="29" t="s">
        <v>17</v>
      </c>
      <c r="C317" s="28">
        <v>5.68</v>
      </c>
      <c r="D317" s="82"/>
    </row>
    <row r="318" spans="1:4" ht="15.75" outlineLevel="1" x14ac:dyDescent="0.2">
      <c r="A318" s="28" t="s">
        <v>30</v>
      </c>
      <c r="B318" s="29" t="s">
        <v>64</v>
      </c>
      <c r="C318" s="28">
        <v>5.47</v>
      </c>
      <c r="D318" s="82"/>
    </row>
    <row r="319" spans="1:4" ht="15.75" outlineLevel="1" x14ac:dyDescent="0.2">
      <c r="A319" s="28" t="s">
        <v>30</v>
      </c>
      <c r="B319" s="29" t="s">
        <v>65</v>
      </c>
      <c r="C319" s="28">
        <v>5.48</v>
      </c>
      <c r="D319" s="82"/>
    </row>
    <row r="320" spans="1:4" ht="15.75" x14ac:dyDescent="0.2">
      <c r="A320" s="33" t="s">
        <v>30</v>
      </c>
      <c r="B320" s="29"/>
      <c r="C320" s="28"/>
      <c r="D320" s="82"/>
    </row>
    <row r="321" spans="1:4" ht="15.75" outlineLevel="1" x14ac:dyDescent="0.2">
      <c r="A321" s="28" t="s">
        <v>31</v>
      </c>
      <c r="B321" s="29" t="s">
        <v>49</v>
      </c>
      <c r="C321" s="28">
        <v>5.0999999999999996</v>
      </c>
      <c r="D321" s="82"/>
    </row>
    <row r="322" spans="1:4" ht="15.75" outlineLevel="1" x14ac:dyDescent="0.2">
      <c r="A322" s="28" t="s">
        <v>31</v>
      </c>
      <c r="B322" s="29" t="s">
        <v>50</v>
      </c>
      <c r="C322" s="28">
        <v>5.2</v>
      </c>
      <c r="D322" s="82"/>
    </row>
    <row r="323" spans="1:4" ht="15.75" outlineLevel="1" x14ac:dyDescent="0.2">
      <c r="A323" s="28" t="s">
        <v>31</v>
      </c>
      <c r="B323" s="29" t="s">
        <v>54</v>
      </c>
      <c r="C323" s="28">
        <v>5.26</v>
      </c>
      <c r="D323" s="82"/>
    </row>
    <row r="324" spans="1:4" ht="15.75" outlineLevel="1" x14ac:dyDescent="0.2">
      <c r="A324" s="28" t="s">
        <v>31</v>
      </c>
      <c r="B324" s="29" t="s">
        <v>91</v>
      </c>
      <c r="C324" s="28">
        <v>5.14</v>
      </c>
      <c r="D324" s="82"/>
    </row>
    <row r="325" spans="1:4" ht="15.75" outlineLevel="1" x14ac:dyDescent="0.2">
      <c r="A325" s="28" t="s">
        <v>31</v>
      </c>
      <c r="B325" s="29" t="s">
        <v>68</v>
      </c>
      <c r="C325" s="28">
        <v>5.19</v>
      </c>
      <c r="D325" s="82"/>
    </row>
    <row r="326" spans="1:4" ht="15.75" outlineLevel="1" x14ac:dyDescent="0.2">
      <c r="A326" s="28" t="s">
        <v>31</v>
      </c>
      <c r="B326" s="29" t="s">
        <v>97</v>
      </c>
      <c r="C326" s="28">
        <v>5.37</v>
      </c>
      <c r="D326" s="82"/>
    </row>
    <row r="327" spans="1:4" ht="15.75" outlineLevel="1" x14ac:dyDescent="0.2">
      <c r="A327" s="28" t="s">
        <v>31</v>
      </c>
      <c r="B327" s="29" t="s">
        <v>72</v>
      </c>
      <c r="C327" s="28">
        <v>5.69</v>
      </c>
      <c r="D327" s="82"/>
    </row>
    <row r="328" spans="1:4" ht="15.75" outlineLevel="1" x14ac:dyDescent="0.2">
      <c r="A328" s="28" t="s">
        <v>31</v>
      </c>
      <c r="B328" s="29" t="s">
        <v>98</v>
      </c>
      <c r="C328" s="30">
        <v>5.8</v>
      </c>
      <c r="D328" s="82"/>
    </row>
    <row r="329" spans="1:4" ht="15.75" outlineLevel="1" x14ac:dyDescent="0.2">
      <c r="A329" s="28" t="s">
        <v>31</v>
      </c>
      <c r="B329" s="29" t="s">
        <v>73</v>
      </c>
      <c r="C329" s="28">
        <v>5.75</v>
      </c>
      <c r="D329" s="82"/>
    </row>
    <row r="330" spans="1:4" ht="15.75" outlineLevel="1" x14ac:dyDescent="0.2">
      <c r="A330" s="28" t="s">
        <v>31</v>
      </c>
      <c r="B330" s="29" t="s">
        <v>62</v>
      </c>
      <c r="C330" s="30">
        <v>5.7</v>
      </c>
      <c r="D330" s="82"/>
    </row>
    <row r="331" spans="1:4" ht="15.75" outlineLevel="1" x14ac:dyDescent="0.2">
      <c r="A331" s="28" t="s">
        <v>31</v>
      </c>
      <c r="B331" s="29" t="s">
        <v>74</v>
      </c>
      <c r="C331" s="28">
        <v>5.74</v>
      </c>
      <c r="D331" s="82"/>
    </row>
    <row r="332" spans="1:4" ht="15.75" outlineLevel="1" x14ac:dyDescent="0.2">
      <c r="A332" s="28" t="s">
        <v>31</v>
      </c>
      <c r="B332" s="29" t="s">
        <v>76</v>
      </c>
      <c r="C332" s="28">
        <v>5.58</v>
      </c>
      <c r="D332" s="82"/>
    </row>
    <row r="333" spans="1:4" ht="15.75" outlineLevel="1" x14ac:dyDescent="0.2">
      <c r="A333" s="28" t="s">
        <v>31</v>
      </c>
      <c r="B333" s="29" t="s">
        <v>77</v>
      </c>
      <c r="C333" s="28">
        <v>5.55</v>
      </c>
      <c r="D333" s="82"/>
    </row>
    <row r="334" spans="1:4" ht="15.75" outlineLevel="1" x14ac:dyDescent="0.2">
      <c r="A334" s="28" t="s">
        <v>31</v>
      </c>
      <c r="B334" s="29" t="s">
        <v>63</v>
      </c>
      <c r="C334" s="28">
        <v>5.63</v>
      </c>
      <c r="D334" s="82"/>
    </row>
    <row r="335" spans="1:4" ht="15.75" outlineLevel="1" x14ac:dyDescent="0.2">
      <c r="A335" s="28" t="s">
        <v>31</v>
      </c>
      <c r="B335" s="29" t="s">
        <v>78</v>
      </c>
      <c r="C335" s="28">
        <v>5.65</v>
      </c>
      <c r="D335" s="82"/>
    </row>
    <row r="336" spans="1:4" ht="15.75" outlineLevel="1" x14ac:dyDescent="0.2">
      <c r="A336" s="28" t="s">
        <v>31</v>
      </c>
      <c r="B336" s="29" t="s">
        <v>17</v>
      </c>
      <c r="C336" s="28">
        <v>5.68</v>
      </c>
      <c r="D336" s="82"/>
    </row>
    <row r="337" spans="1:4" ht="15.75" outlineLevel="1" x14ac:dyDescent="0.2">
      <c r="A337" s="28" t="s">
        <v>31</v>
      </c>
      <c r="B337" s="29" t="s">
        <v>64</v>
      </c>
      <c r="C337" s="28">
        <v>5.47</v>
      </c>
      <c r="D337" s="82"/>
    </row>
    <row r="338" spans="1:4" ht="15.75" outlineLevel="1" x14ac:dyDescent="0.2">
      <c r="A338" s="28" t="s">
        <v>31</v>
      </c>
      <c r="B338" s="29" t="s">
        <v>65</v>
      </c>
      <c r="C338" s="28">
        <v>5.48</v>
      </c>
      <c r="D338" s="82"/>
    </row>
    <row r="339" spans="1:4" ht="15.75" x14ac:dyDescent="0.2">
      <c r="A339" s="33" t="s">
        <v>31</v>
      </c>
      <c r="B339" s="29"/>
      <c r="C339" s="28"/>
      <c r="D339" s="82"/>
    </row>
    <row r="340" spans="1:4" ht="15.75" outlineLevel="1" x14ac:dyDescent="0.2">
      <c r="A340" s="28" t="s">
        <v>32</v>
      </c>
      <c r="B340" s="29" t="s">
        <v>99</v>
      </c>
      <c r="C340" s="28">
        <v>5.0999999999999996</v>
      </c>
      <c r="D340" s="82"/>
    </row>
    <row r="341" spans="1:4" ht="15.75" outlineLevel="1" x14ac:dyDescent="0.2">
      <c r="A341" s="28" t="s">
        <v>32</v>
      </c>
      <c r="B341" s="29" t="s">
        <v>50</v>
      </c>
      <c r="C341" s="28">
        <v>5.2</v>
      </c>
      <c r="D341" s="82"/>
    </row>
    <row r="342" spans="1:4" ht="15.75" outlineLevel="1" x14ac:dyDescent="0.2">
      <c r="A342" s="28" t="s">
        <v>32</v>
      </c>
      <c r="B342" s="29" t="s">
        <v>54</v>
      </c>
      <c r="C342" s="28">
        <v>5.26</v>
      </c>
      <c r="D342" s="82"/>
    </row>
    <row r="343" spans="1:4" ht="15.75" outlineLevel="1" x14ac:dyDescent="0.2">
      <c r="A343" s="28" t="s">
        <v>32</v>
      </c>
      <c r="B343" s="29" t="s">
        <v>100</v>
      </c>
      <c r="C343" s="28">
        <v>5.38</v>
      </c>
      <c r="D343" s="82"/>
    </row>
    <row r="344" spans="1:4" ht="15.75" outlineLevel="1" x14ac:dyDescent="0.2">
      <c r="A344" s="28" t="s">
        <v>32</v>
      </c>
      <c r="B344" s="29" t="s">
        <v>101</v>
      </c>
      <c r="C344" s="28">
        <v>5.39</v>
      </c>
      <c r="D344" s="82"/>
    </row>
    <row r="345" spans="1:4" ht="15.75" outlineLevel="1" x14ac:dyDescent="0.2">
      <c r="A345" s="28" t="s">
        <v>32</v>
      </c>
      <c r="B345" s="29" t="s">
        <v>102</v>
      </c>
      <c r="C345" s="30">
        <v>5.6</v>
      </c>
      <c r="D345" s="82"/>
    </row>
    <row r="346" spans="1:4" ht="15.75" outlineLevel="1" x14ac:dyDescent="0.2">
      <c r="A346" s="28" t="s">
        <v>32</v>
      </c>
      <c r="B346" s="29" t="s">
        <v>65</v>
      </c>
      <c r="C346" s="28">
        <v>5.48</v>
      </c>
      <c r="D346" s="82"/>
    </row>
    <row r="347" spans="1:4" ht="15.75" x14ac:dyDescent="0.2">
      <c r="A347" s="33" t="s">
        <v>32</v>
      </c>
      <c r="B347" s="29"/>
      <c r="C347" s="28"/>
      <c r="D347" s="82"/>
    </row>
    <row r="348" spans="1:4" ht="15.75" outlineLevel="1" x14ac:dyDescent="0.2">
      <c r="A348" s="28" t="s">
        <v>33</v>
      </c>
      <c r="B348" s="29" t="s">
        <v>49</v>
      </c>
      <c r="C348" s="28">
        <v>5.0999999999999996</v>
      </c>
      <c r="D348" s="82"/>
    </row>
    <row r="349" spans="1:4" ht="15.75" outlineLevel="1" x14ac:dyDescent="0.2">
      <c r="A349" s="28" t="s">
        <v>33</v>
      </c>
      <c r="B349" s="29" t="s">
        <v>50</v>
      </c>
      <c r="C349" s="28">
        <v>5.2</v>
      </c>
      <c r="D349" s="82"/>
    </row>
    <row r="350" spans="1:4" ht="15.75" outlineLevel="1" x14ac:dyDescent="0.2">
      <c r="A350" s="28" t="s">
        <v>33</v>
      </c>
      <c r="B350" s="29" t="s">
        <v>66</v>
      </c>
      <c r="C350" s="28">
        <v>5.3</v>
      </c>
      <c r="D350" s="82"/>
    </row>
    <row r="351" spans="1:4" ht="15.75" outlineLevel="1" x14ac:dyDescent="0.2">
      <c r="A351" s="28" t="s">
        <v>33</v>
      </c>
      <c r="B351" s="29" t="s">
        <v>80</v>
      </c>
      <c r="C351" s="28">
        <v>5.6</v>
      </c>
      <c r="D351" s="82"/>
    </row>
    <row r="352" spans="1:4" ht="15.75" outlineLevel="1" x14ac:dyDescent="0.2">
      <c r="A352" s="28" t="s">
        <v>33</v>
      </c>
      <c r="B352" s="29" t="s">
        <v>1081</v>
      </c>
      <c r="C352" s="30">
        <v>5.0999999999999996</v>
      </c>
      <c r="D352" s="82"/>
    </row>
    <row r="353" spans="1:4" ht="15.75" outlineLevel="1" x14ac:dyDescent="0.2">
      <c r="A353" s="28" t="s">
        <v>33</v>
      </c>
      <c r="B353" s="29" t="s">
        <v>91</v>
      </c>
      <c r="C353" s="28">
        <v>5.14</v>
      </c>
      <c r="D353" s="82"/>
    </row>
    <row r="354" spans="1:4" ht="15.75" outlineLevel="1" x14ac:dyDescent="0.2">
      <c r="A354" s="28" t="s">
        <v>33</v>
      </c>
      <c r="B354" s="29" t="s">
        <v>68</v>
      </c>
      <c r="C354" s="28">
        <v>5.19</v>
      </c>
      <c r="D354" s="82"/>
    </row>
    <row r="355" spans="1:4" ht="15.75" outlineLevel="1" x14ac:dyDescent="0.2">
      <c r="A355" s="28" t="s">
        <v>33</v>
      </c>
      <c r="B355" s="29" t="s">
        <v>82</v>
      </c>
      <c r="C355" s="28">
        <v>5.24</v>
      </c>
      <c r="D355" s="82"/>
    </row>
    <row r="356" spans="1:4" ht="15.75" outlineLevel="1" x14ac:dyDescent="0.2">
      <c r="A356" s="28" t="s">
        <v>33</v>
      </c>
      <c r="B356" s="29" t="s">
        <v>54</v>
      </c>
      <c r="C356" s="28">
        <v>5.26</v>
      </c>
      <c r="D356" s="82"/>
    </row>
    <row r="357" spans="1:4" ht="15.75" outlineLevel="1" x14ac:dyDescent="0.2">
      <c r="A357" s="28" t="s">
        <v>33</v>
      </c>
      <c r="B357" s="29" t="s">
        <v>55</v>
      </c>
      <c r="C357" s="28">
        <v>5.27</v>
      </c>
      <c r="D357" s="82"/>
    </row>
    <row r="358" spans="1:4" ht="15.75" outlineLevel="1" x14ac:dyDescent="0.2">
      <c r="A358" s="28" t="s">
        <v>33</v>
      </c>
      <c r="B358" s="29" t="s">
        <v>69</v>
      </c>
      <c r="C358" s="28">
        <v>5.28</v>
      </c>
      <c r="D358" s="82"/>
    </row>
    <row r="359" spans="1:4" ht="15.75" outlineLevel="1" x14ac:dyDescent="0.2">
      <c r="A359" s="28" t="s">
        <v>33</v>
      </c>
      <c r="B359" s="29" t="s">
        <v>83</v>
      </c>
      <c r="C359" s="28">
        <v>5.31</v>
      </c>
      <c r="D359" s="82"/>
    </row>
    <row r="360" spans="1:4" ht="15.75" outlineLevel="1" x14ac:dyDescent="0.2">
      <c r="A360" s="28" t="s">
        <v>33</v>
      </c>
      <c r="B360" s="29" t="s">
        <v>56</v>
      </c>
      <c r="C360" s="28">
        <v>5.36</v>
      </c>
      <c r="D360" s="82"/>
    </row>
    <row r="361" spans="1:4" ht="15.75" outlineLevel="1" x14ac:dyDescent="0.2">
      <c r="A361" s="28" t="s">
        <v>33</v>
      </c>
      <c r="B361" s="29" t="s">
        <v>97</v>
      </c>
      <c r="C361" s="28">
        <v>5.37</v>
      </c>
      <c r="D361" s="82"/>
    </row>
    <row r="362" spans="1:4" ht="15.75" outlineLevel="1" x14ac:dyDescent="0.2">
      <c r="A362" s="28" t="s">
        <v>33</v>
      </c>
      <c r="B362" s="29" t="s">
        <v>71</v>
      </c>
      <c r="C362" s="28">
        <v>5.49</v>
      </c>
      <c r="D362" s="82"/>
    </row>
    <row r="363" spans="1:4" ht="15.75" outlineLevel="1" x14ac:dyDescent="0.2">
      <c r="A363" s="28" t="s">
        <v>33</v>
      </c>
      <c r="B363" s="29" t="s">
        <v>58</v>
      </c>
      <c r="C363" s="28">
        <v>5.51</v>
      </c>
      <c r="D363" s="82"/>
    </row>
    <row r="364" spans="1:4" ht="15.75" outlineLevel="1" x14ac:dyDescent="0.2">
      <c r="A364" s="28" t="s">
        <v>33</v>
      </c>
      <c r="B364" s="29" t="s">
        <v>1082</v>
      </c>
      <c r="C364" s="28">
        <v>5.52</v>
      </c>
      <c r="D364" s="82"/>
    </row>
    <row r="365" spans="1:4" ht="15.75" outlineLevel="1" x14ac:dyDescent="0.2">
      <c r="A365" s="28" t="s">
        <v>33</v>
      </c>
      <c r="B365" s="29" t="s">
        <v>59</v>
      </c>
      <c r="C365" s="28">
        <v>5.53</v>
      </c>
      <c r="D365" s="82"/>
    </row>
    <row r="366" spans="1:4" ht="15.75" outlineLevel="1" x14ac:dyDescent="0.2">
      <c r="A366" s="28" t="s">
        <v>33</v>
      </c>
      <c r="B366" s="29" t="s">
        <v>72</v>
      </c>
      <c r="C366" s="28">
        <v>5.69</v>
      </c>
      <c r="D366" s="82"/>
    </row>
    <row r="367" spans="1:4" ht="15.75" outlineLevel="1" x14ac:dyDescent="0.2">
      <c r="A367" s="28" t="s">
        <v>33</v>
      </c>
      <c r="B367" s="29" t="s">
        <v>98</v>
      </c>
      <c r="C367" s="30">
        <v>5.8</v>
      </c>
      <c r="D367" s="82"/>
    </row>
    <row r="368" spans="1:4" ht="15.75" outlineLevel="1" x14ac:dyDescent="0.2">
      <c r="A368" s="28" t="s">
        <v>33</v>
      </c>
      <c r="B368" s="29" t="s">
        <v>85</v>
      </c>
      <c r="C368" s="30">
        <v>5.72</v>
      </c>
      <c r="D368" s="82"/>
    </row>
    <row r="369" spans="1:4" ht="15.75" outlineLevel="1" x14ac:dyDescent="0.2">
      <c r="A369" s="28" t="s">
        <v>33</v>
      </c>
      <c r="B369" s="29" t="s">
        <v>73</v>
      </c>
      <c r="C369" s="28">
        <v>5.75</v>
      </c>
      <c r="D369" s="82"/>
    </row>
    <row r="370" spans="1:4" ht="15.75" outlineLevel="1" x14ac:dyDescent="0.2">
      <c r="A370" s="28" t="s">
        <v>33</v>
      </c>
      <c r="B370" s="29" t="s">
        <v>62</v>
      </c>
      <c r="C370" s="30">
        <v>5.7</v>
      </c>
      <c r="D370" s="82"/>
    </row>
    <row r="371" spans="1:4" ht="15.75" outlineLevel="1" x14ac:dyDescent="0.2">
      <c r="A371" s="28" t="s">
        <v>33</v>
      </c>
      <c r="B371" s="29" t="s">
        <v>74</v>
      </c>
      <c r="C371" s="28">
        <v>5.74</v>
      </c>
      <c r="D371" s="82"/>
    </row>
    <row r="372" spans="1:4" ht="15.75" outlineLevel="1" x14ac:dyDescent="0.2">
      <c r="A372" s="28" t="s">
        <v>33</v>
      </c>
      <c r="B372" s="29" t="s">
        <v>86</v>
      </c>
      <c r="C372" s="28">
        <v>5.76</v>
      </c>
      <c r="D372" s="82"/>
    </row>
    <row r="373" spans="1:4" ht="15.75" outlineLevel="1" x14ac:dyDescent="0.2">
      <c r="A373" s="28" t="s">
        <v>33</v>
      </c>
      <c r="B373" s="29" t="s">
        <v>87</v>
      </c>
      <c r="C373" s="28">
        <v>5.89</v>
      </c>
      <c r="D373" s="81" t="s">
        <v>1080</v>
      </c>
    </row>
    <row r="374" spans="1:4" ht="15.75" outlineLevel="1" x14ac:dyDescent="0.2">
      <c r="A374" s="28" t="s">
        <v>33</v>
      </c>
      <c r="B374" s="29" t="s">
        <v>103</v>
      </c>
      <c r="C374" s="28">
        <v>5.109</v>
      </c>
      <c r="D374" s="81"/>
    </row>
    <row r="375" spans="1:4" ht="15.75" outlineLevel="1" x14ac:dyDescent="0.2">
      <c r="A375" s="28" t="s">
        <v>33</v>
      </c>
      <c r="B375" s="29" t="s">
        <v>104</v>
      </c>
      <c r="C375" s="28">
        <v>5.1109999999999998</v>
      </c>
      <c r="D375" s="82"/>
    </row>
    <row r="376" spans="1:4" ht="15.75" outlineLevel="1" x14ac:dyDescent="0.2">
      <c r="A376" s="28" t="s">
        <v>33</v>
      </c>
      <c r="B376" s="29" t="s">
        <v>106</v>
      </c>
      <c r="C376" s="28">
        <v>5.1120000000000001</v>
      </c>
      <c r="D376" s="82"/>
    </row>
    <row r="377" spans="1:4" ht="15.75" outlineLevel="1" x14ac:dyDescent="0.2">
      <c r="A377" s="28" t="s">
        <v>33</v>
      </c>
      <c r="B377" s="29" t="s">
        <v>1085</v>
      </c>
      <c r="C377" s="28">
        <v>5.1130000000000004</v>
      </c>
      <c r="D377" s="82"/>
    </row>
    <row r="378" spans="1:4" ht="15.75" outlineLevel="1" x14ac:dyDescent="0.2">
      <c r="A378" s="28" t="s">
        <v>33</v>
      </c>
      <c r="B378" s="29" t="s">
        <v>76</v>
      </c>
      <c r="C378" s="28">
        <v>5.58</v>
      </c>
      <c r="D378" s="82"/>
    </row>
    <row r="379" spans="1:4" ht="15.75" outlineLevel="1" x14ac:dyDescent="0.2">
      <c r="A379" s="28" t="s">
        <v>33</v>
      </c>
      <c r="B379" s="29" t="s">
        <v>61</v>
      </c>
      <c r="C379" s="28">
        <v>5.54</v>
      </c>
      <c r="D379" s="82"/>
    </row>
    <row r="380" spans="1:4" ht="15.75" outlineLevel="1" x14ac:dyDescent="0.2">
      <c r="A380" s="28" t="s">
        <v>33</v>
      </c>
      <c r="B380" s="29" t="s">
        <v>77</v>
      </c>
      <c r="C380" s="28">
        <v>5.55</v>
      </c>
      <c r="D380" s="82"/>
    </row>
    <row r="381" spans="1:4" ht="15.75" outlineLevel="1" x14ac:dyDescent="0.2">
      <c r="A381" s="28" t="s">
        <v>33</v>
      </c>
      <c r="B381" s="29" t="s">
        <v>63</v>
      </c>
      <c r="C381" s="28">
        <v>5.63</v>
      </c>
      <c r="D381" s="82"/>
    </row>
    <row r="382" spans="1:4" ht="15.75" outlineLevel="1" x14ac:dyDescent="0.2">
      <c r="A382" s="28" t="s">
        <v>33</v>
      </c>
      <c r="B382" s="29" t="s">
        <v>78</v>
      </c>
      <c r="C382" s="28">
        <v>5.65</v>
      </c>
      <c r="D382" s="82"/>
    </row>
    <row r="383" spans="1:4" ht="15.75" outlineLevel="1" x14ac:dyDescent="0.2">
      <c r="A383" s="28" t="s">
        <v>33</v>
      </c>
      <c r="B383" s="29" t="s">
        <v>88</v>
      </c>
      <c r="C383" s="28">
        <v>5.66</v>
      </c>
      <c r="D383" s="82"/>
    </row>
    <row r="384" spans="1:4" ht="15.75" outlineLevel="1" x14ac:dyDescent="0.2">
      <c r="A384" s="28" t="s">
        <v>33</v>
      </c>
      <c r="B384" s="29" t="s">
        <v>17</v>
      </c>
      <c r="C384" s="28">
        <v>5.68</v>
      </c>
      <c r="D384" s="82"/>
    </row>
    <row r="385" spans="1:4" ht="15.75" outlineLevel="1" x14ac:dyDescent="0.2">
      <c r="A385" s="28" t="s">
        <v>33</v>
      </c>
      <c r="B385" s="29" t="s">
        <v>64</v>
      </c>
      <c r="C385" s="28">
        <v>5.47</v>
      </c>
      <c r="D385" s="82"/>
    </row>
    <row r="386" spans="1:4" ht="15.75" outlineLevel="1" x14ac:dyDescent="0.2">
      <c r="A386" s="28" t="s">
        <v>33</v>
      </c>
      <c r="B386" s="29" t="s">
        <v>65</v>
      </c>
      <c r="C386" s="28">
        <v>5.48</v>
      </c>
      <c r="D386" s="82"/>
    </row>
    <row r="387" spans="1:4" ht="15.75" x14ac:dyDescent="0.2">
      <c r="A387" s="33" t="s">
        <v>33</v>
      </c>
      <c r="B387" s="29"/>
      <c r="C387" s="28"/>
      <c r="D387" s="82"/>
    </row>
    <row r="388" spans="1:4" ht="15.75" outlineLevel="1" x14ac:dyDescent="0.2">
      <c r="A388" s="28" t="s">
        <v>34</v>
      </c>
      <c r="B388" s="29" t="s">
        <v>49</v>
      </c>
      <c r="C388" s="28">
        <v>5.0999999999999996</v>
      </c>
      <c r="D388" s="82"/>
    </row>
    <row r="389" spans="1:4" ht="15.75" outlineLevel="1" x14ac:dyDescent="0.2">
      <c r="A389" s="28" t="s">
        <v>34</v>
      </c>
      <c r="B389" s="29" t="s">
        <v>50</v>
      </c>
      <c r="C389" s="28">
        <v>5.2</v>
      </c>
      <c r="D389" s="82"/>
    </row>
    <row r="390" spans="1:4" ht="15.75" outlineLevel="1" x14ac:dyDescent="0.2">
      <c r="A390" s="28" t="s">
        <v>34</v>
      </c>
      <c r="B390" s="29" t="s">
        <v>66</v>
      </c>
      <c r="C390" s="28">
        <v>5.3</v>
      </c>
      <c r="D390" s="82"/>
    </row>
    <row r="391" spans="1:4" ht="15.75" outlineLevel="1" x14ac:dyDescent="0.2">
      <c r="A391" s="28" t="s">
        <v>34</v>
      </c>
      <c r="B391" s="29" t="s">
        <v>80</v>
      </c>
      <c r="C391" s="28">
        <v>5.6</v>
      </c>
      <c r="D391" s="82"/>
    </row>
    <row r="392" spans="1:4" ht="15.75" outlineLevel="1" x14ac:dyDescent="0.2">
      <c r="A392" s="28" t="s">
        <v>34</v>
      </c>
      <c r="B392" s="29" t="s">
        <v>1081</v>
      </c>
      <c r="C392" s="30">
        <v>5.0999999999999996</v>
      </c>
      <c r="D392" s="82"/>
    </row>
    <row r="393" spans="1:4" ht="15.75" outlineLevel="1" x14ac:dyDescent="0.2">
      <c r="A393" s="28" t="s">
        <v>34</v>
      </c>
      <c r="B393" s="29" t="s">
        <v>91</v>
      </c>
      <c r="C393" s="28">
        <v>5.14</v>
      </c>
      <c r="D393" s="82"/>
    </row>
    <row r="394" spans="1:4" ht="15.75" outlineLevel="1" x14ac:dyDescent="0.2">
      <c r="A394" s="28" t="s">
        <v>34</v>
      </c>
      <c r="B394" s="29" t="s">
        <v>68</v>
      </c>
      <c r="C394" s="28">
        <v>5.19</v>
      </c>
      <c r="D394" s="82"/>
    </row>
    <row r="395" spans="1:4" ht="15.75" outlineLevel="1" x14ac:dyDescent="0.2">
      <c r="A395" s="28" t="s">
        <v>34</v>
      </c>
      <c r="B395" s="29" t="s">
        <v>82</v>
      </c>
      <c r="C395" s="28">
        <v>5.24</v>
      </c>
      <c r="D395" s="82"/>
    </row>
    <row r="396" spans="1:4" ht="15.75" outlineLevel="1" x14ac:dyDescent="0.2">
      <c r="A396" s="28" t="s">
        <v>34</v>
      </c>
      <c r="B396" s="29" t="s">
        <v>54</v>
      </c>
      <c r="C396" s="28">
        <v>5.26</v>
      </c>
      <c r="D396" s="82"/>
    </row>
    <row r="397" spans="1:4" ht="15.75" outlineLevel="1" x14ac:dyDescent="0.2">
      <c r="A397" s="28" t="s">
        <v>34</v>
      </c>
      <c r="B397" s="29" t="s">
        <v>55</v>
      </c>
      <c r="C397" s="28">
        <v>5.27</v>
      </c>
      <c r="D397" s="82"/>
    </row>
    <row r="398" spans="1:4" ht="15.75" outlineLevel="1" x14ac:dyDescent="0.2">
      <c r="A398" s="28" t="s">
        <v>34</v>
      </c>
      <c r="B398" s="29" t="s">
        <v>69</v>
      </c>
      <c r="C398" s="28">
        <v>5.28</v>
      </c>
      <c r="D398" s="82"/>
    </row>
    <row r="399" spans="1:4" ht="15.75" outlineLevel="1" x14ac:dyDescent="0.2">
      <c r="A399" s="28" t="s">
        <v>34</v>
      </c>
      <c r="B399" s="29" t="s">
        <v>89</v>
      </c>
      <c r="C399" s="28">
        <v>5.29</v>
      </c>
      <c r="D399" s="82"/>
    </row>
    <row r="400" spans="1:4" ht="15.75" outlineLevel="1" x14ac:dyDescent="0.2">
      <c r="A400" s="28" t="s">
        <v>34</v>
      </c>
      <c r="B400" s="29" t="s">
        <v>83</v>
      </c>
      <c r="C400" s="28">
        <v>5.31</v>
      </c>
      <c r="D400" s="82"/>
    </row>
    <row r="401" spans="1:4" ht="15.75" outlineLevel="1" x14ac:dyDescent="0.2">
      <c r="A401" s="28" t="s">
        <v>34</v>
      </c>
      <c r="B401" s="29" t="s">
        <v>56</v>
      </c>
      <c r="C401" s="28">
        <v>5.36</v>
      </c>
      <c r="D401" s="82"/>
    </row>
    <row r="402" spans="1:4" ht="15.75" outlineLevel="1" x14ac:dyDescent="0.2">
      <c r="A402" s="28" t="s">
        <v>34</v>
      </c>
      <c r="B402" s="29" t="s">
        <v>97</v>
      </c>
      <c r="C402" s="28">
        <v>5.37</v>
      </c>
      <c r="D402" s="82"/>
    </row>
    <row r="403" spans="1:4" ht="15.75" outlineLevel="1" x14ac:dyDescent="0.2">
      <c r="A403" s="28" t="s">
        <v>34</v>
      </c>
      <c r="B403" s="29" t="s">
        <v>71</v>
      </c>
      <c r="C403" s="28">
        <v>5.49</v>
      </c>
      <c r="D403" s="82"/>
    </row>
    <row r="404" spans="1:4" ht="15.75" outlineLevel="1" x14ac:dyDescent="0.2">
      <c r="A404" s="28" t="s">
        <v>34</v>
      </c>
      <c r="B404" s="29" t="s">
        <v>58</v>
      </c>
      <c r="C404" s="28">
        <v>5.51</v>
      </c>
      <c r="D404" s="82"/>
    </row>
    <row r="405" spans="1:4" ht="15.75" outlineLevel="1" x14ac:dyDescent="0.2">
      <c r="A405" s="28" t="s">
        <v>34</v>
      </c>
      <c r="B405" s="29" t="s">
        <v>1082</v>
      </c>
      <c r="C405" s="28">
        <v>5.52</v>
      </c>
      <c r="D405" s="82"/>
    </row>
    <row r="406" spans="1:4" ht="15.75" outlineLevel="1" x14ac:dyDescent="0.2">
      <c r="A406" s="28" t="s">
        <v>34</v>
      </c>
      <c r="B406" s="29" t="s">
        <v>59</v>
      </c>
      <c r="C406" s="28">
        <v>5.53</v>
      </c>
      <c r="D406" s="82"/>
    </row>
    <row r="407" spans="1:4" ht="15.75" outlineLevel="1" x14ac:dyDescent="0.2">
      <c r="A407" s="28" t="s">
        <v>34</v>
      </c>
      <c r="B407" s="29" t="s">
        <v>72</v>
      </c>
      <c r="C407" s="28">
        <v>5.69</v>
      </c>
      <c r="D407" s="82"/>
    </row>
    <row r="408" spans="1:4" ht="15.75" outlineLevel="1" x14ac:dyDescent="0.2">
      <c r="A408" s="28" t="s">
        <v>34</v>
      </c>
      <c r="B408" s="29" t="s">
        <v>73</v>
      </c>
      <c r="C408" s="28">
        <v>5.75</v>
      </c>
      <c r="D408" s="82"/>
    </row>
    <row r="409" spans="1:4" ht="15.75" outlineLevel="1" x14ac:dyDescent="0.2">
      <c r="A409" s="28" t="s">
        <v>34</v>
      </c>
      <c r="B409" s="29" t="s">
        <v>74</v>
      </c>
      <c r="C409" s="28">
        <v>5.74</v>
      </c>
      <c r="D409" s="82"/>
    </row>
    <row r="410" spans="1:4" ht="15.75" outlineLevel="1" x14ac:dyDescent="0.2">
      <c r="A410" s="28" t="s">
        <v>34</v>
      </c>
      <c r="B410" s="29" t="s">
        <v>62</v>
      </c>
      <c r="C410" s="30">
        <v>5.7</v>
      </c>
      <c r="D410" s="82"/>
    </row>
    <row r="411" spans="1:4" ht="15.75" outlineLevel="1" x14ac:dyDescent="0.2">
      <c r="A411" s="28" t="s">
        <v>34</v>
      </c>
      <c r="B411" s="29" t="s">
        <v>86</v>
      </c>
      <c r="C411" s="28">
        <v>5.76</v>
      </c>
      <c r="D411" s="82"/>
    </row>
    <row r="412" spans="1:4" ht="15.75" outlineLevel="1" x14ac:dyDescent="0.2">
      <c r="A412" s="28" t="s">
        <v>34</v>
      </c>
      <c r="B412" s="29" t="s">
        <v>87</v>
      </c>
      <c r="C412" s="28">
        <v>5.89</v>
      </c>
      <c r="D412" s="81" t="s">
        <v>1080</v>
      </c>
    </row>
    <row r="413" spans="1:4" ht="15.75" outlineLevel="1" x14ac:dyDescent="0.2">
      <c r="A413" s="28" t="s">
        <v>34</v>
      </c>
      <c r="B413" s="29" t="s">
        <v>103</v>
      </c>
      <c r="C413" s="28">
        <v>5.109</v>
      </c>
      <c r="D413" s="82"/>
    </row>
    <row r="414" spans="1:4" ht="15.75" outlineLevel="1" x14ac:dyDescent="0.2">
      <c r="A414" s="28" t="s">
        <v>34</v>
      </c>
      <c r="B414" s="29" t="s">
        <v>104</v>
      </c>
      <c r="C414" s="28">
        <v>5.1109999999999998</v>
      </c>
      <c r="D414" s="82"/>
    </row>
    <row r="415" spans="1:4" ht="15.75" outlineLevel="1" x14ac:dyDescent="0.2">
      <c r="A415" s="28" t="s">
        <v>34</v>
      </c>
      <c r="B415" s="29" t="s">
        <v>106</v>
      </c>
      <c r="C415" s="28">
        <v>5.1120000000000001</v>
      </c>
      <c r="D415" s="82"/>
    </row>
    <row r="416" spans="1:4" ht="15.75" outlineLevel="1" x14ac:dyDescent="0.2">
      <c r="A416" s="28" t="s">
        <v>34</v>
      </c>
      <c r="B416" s="29" t="s">
        <v>1085</v>
      </c>
      <c r="C416" s="28">
        <v>5.1130000000000004</v>
      </c>
      <c r="D416" s="82"/>
    </row>
    <row r="417" spans="1:4" ht="15.75" outlineLevel="1" x14ac:dyDescent="0.2">
      <c r="A417" s="28" t="s">
        <v>34</v>
      </c>
      <c r="B417" s="29" t="s">
        <v>76</v>
      </c>
      <c r="C417" s="28">
        <v>5.58</v>
      </c>
      <c r="D417" s="82"/>
    </row>
    <row r="418" spans="1:4" ht="15.75" outlineLevel="1" x14ac:dyDescent="0.2">
      <c r="A418" s="28" t="s">
        <v>34</v>
      </c>
      <c r="B418" s="29" t="s">
        <v>61</v>
      </c>
      <c r="C418" s="28">
        <v>5.54</v>
      </c>
      <c r="D418" s="82"/>
    </row>
    <row r="419" spans="1:4" ht="15.75" outlineLevel="1" x14ac:dyDescent="0.2">
      <c r="A419" s="28" t="s">
        <v>34</v>
      </c>
      <c r="B419" s="29" t="s">
        <v>77</v>
      </c>
      <c r="C419" s="28">
        <v>5.55</v>
      </c>
      <c r="D419" s="82"/>
    </row>
    <row r="420" spans="1:4" ht="15.75" outlineLevel="1" x14ac:dyDescent="0.2">
      <c r="A420" s="28" t="s">
        <v>34</v>
      </c>
      <c r="B420" s="29" t="s">
        <v>63</v>
      </c>
      <c r="C420" s="28">
        <v>5.63</v>
      </c>
      <c r="D420" s="82"/>
    </row>
    <row r="421" spans="1:4" ht="15.75" outlineLevel="1" x14ac:dyDescent="0.2">
      <c r="A421" s="28" t="s">
        <v>34</v>
      </c>
      <c r="B421" s="29" t="s">
        <v>78</v>
      </c>
      <c r="C421" s="28">
        <v>5.65</v>
      </c>
      <c r="D421" s="82"/>
    </row>
    <row r="422" spans="1:4" ht="15.75" outlineLevel="1" x14ac:dyDescent="0.2">
      <c r="A422" s="28" t="s">
        <v>34</v>
      </c>
      <c r="B422" s="29" t="s">
        <v>88</v>
      </c>
      <c r="C422" s="28">
        <v>5.66</v>
      </c>
      <c r="D422" s="82"/>
    </row>
    <row r="423" spans="1:4" ht="15.75" outlineLevel="1" x14ac:dyDescent="0.2">
      <c r="A423" s="28" t="s">
        <v>34</v>
      </c>
      <c r="B423" s="29" t="s">
        <v>17</v>
      </c>
      <c r="C423" s="28">
        <v>5.68</v>
      </c>
      <c r="D423" s="82"/>
    </row>
    <row r="424" spans="1:4" ht="15.75" outlineLevel="1" x14ac:dyDescent="0.2">
      <c r="A424" s="28" t="s">
        <v>34</v>
      </c>
      <c r="B424" s="29" t="s">
        <v>64</v>
      </c>
      <c r="C424" s="28">
        <v>5.47</v>
      </c>
      <c r="D424" s="82"/>
    </row>
    <row r="425" spans="1:4" ht="15.75" outlineLevel="1" x14ac:dyDescent="0.2">
      <c r="A425" s="28" t="s">
        <v>34</v>
      </c>
      <c r="B425" s="29" t="s">
        <v>65</v>
      </c>
      <c r="C425" s="28">
        <v>5.48</v>
      </c>
      <c r="D425" s="82"/>
    </row>
    <row r="426" spans="1:4" ht="15.75" x14ac:dyDescent="0.2">
      <c r="A426" s="33" t="s">
        <v>34</v>
      </c>
      <c r="B426" s="29"/>
      <c r="C426" s="28"/>
      <c r="D426" s="82"/>
    </row>
    <row r="427" spans="1:4" ht="15.75" outlineLevel="1" x14ac:dyDescent="0.2">
      <c r="A427" s="28" t="s">
        <v>1086</v>
      </c>
      <c r="B427" s="29" t="s">
        <v>49</v>
      </c>
      <c r="C427" s="28">
        <v>5.0999999999999996</v>
      </c>
      <c r="D427" s="82"/>
    </row>
    <row r="428" spans="1:4" ht="15.75" outlineLevel="1" x14ac:dyDescent="0.2">
      <c r="A428" s="28" t="s">
        <v>1086</v>
      </c>
      <c r="B428" s="29" t="s">
        <v>50</v>
      </c>
      <c r="C428" s="28">
        <v>5.2</v>
      </c>
      <c r="D428" s="82"/>
    </row>
    <row r="429" spans="1:4" ht="15.75" outlineLevel="1" x14ac:dyDescent="0.2">
      <c r="A429" s="28" t="s">
        <v>1086</v>
      </c>
      <c r="B429" s="29" t="s">
        <v>66</v>
      </c>
      <c r="C429" s="28">
        <v>5.3</v>
      </c>
      <c r="D429" s="82"/>
    </row>
    <row r="430" spans="1:4" ht="15.75" outlineLevel="1" x14ac:dyDescent="0.2">
      <c r="A430" s="28" t="s">
        <v>1086</v>
      </c>
      <c r="B430" s="29" t="s">
        <v>80</v>
      </c>
      <c r="C430" s="28">
        <v>5.6</v>
      </c>
      <c r="D430" s="82"/>
    </row>
    <row r="431" spans="1:4" ht="15.75" outlineLevel="1" x14ac:dyDescent="0.2">
      <c r="A431" s="28" t="s">
        <v>1086</v>
      </c>
      <c r="B431" s="29" t="s">
        <v>1081</v>
      </c>
      <c r="C431" s="30">
        <v>5.0999999999999996</v>
      </c>
      <c r="D431" s="82"/>
    </row>
    <row r="432" spans="1:4" ht="15.75" outlineLevel="1" x14ac:dyDescent="0.2">
      <c r="A432" s="28" t="s">
        <v>1086</v>
      </c>
      <c r="B432" s="29" t="s">
        <v>91</v>
      </c>
      <c r="C432" s="28">
        <v>5.14</v>
      </c>
      <c r="D432" s="82"/>
    </row>
    <row r="433" spans="1:4" ht="15.75" outlineLevel="1" x14ac:dyDescent="0.2">
      <c r="A433" s="28" t="s">
        <v>1086</v>
      </c>
      <c r="B433" s="29" t="s">
        <v>68</v>
      </c>
      <c r="C433" s="28">
        <v>5.19</v>
      </c>
      <c r="D433" s="82"/>
    </row>
    <row r="434" spans="1:4" ht="15.75" outlineLevel="1" x14ac:dyDescent="0.2">
      <c r="A434" s="28" t="s">
        <v>1086</v>
      </c>
      <c r="B434" s="29" t="s">
        <v>82</v>
      </c>
      <c r="C434" s="28">
        <v>5.24</v>
      </c>
      <c r="D434" s="82"/>
    </row>
    <row r="435" spans="1:4" ht="15.75" outlineLevel="1" x14ac:dyDescent="0.2">
      <c r="A435" s="28" t="s">
        <v>1086</v>
      </c>
      <c r="B435" s="29" t="s">
        <v>54</v>
      </c>
      <c r="C435" s="28">
        <v>5.26</v>
      </c>
      <c r="D435" s="82"/>
    </row>
    <row r="436" spans="1:4" ht="15.75" outlineLevel="1" x14ac:dyDescent="0.2">
      <c r="A436" s="28" t="s">
        <v>1086</v>
      </c>
      <c r="B436" s="29" t="s">
        <v>55</v>
      </c>
      <c r="C436" s="28">
        <v>5.27</v>
      </c>
      <c r="D436" s="82"/>
    </row>
    <row r="437" spans="1:4" ht="15.75" outlineLevel="1" x14ac:dyDescent="0.2">
      <c r="A437" s="28" t="s">
        <v>1086</v>
      </c>
      <c r="B437" s="29" t="s">
        <v>69</v>
      </c>
      <c r="C437" s="28">
        <v>5.28</v>
      </c>
      <c r="D437" s="82"/>
    </row>
    <row r="438" spans="1:4" ht="15.75" outlineLevel="1" x14ac:dyDescent="0.2">
      <c r="A438" s="28" t="s">
        <v>1086</v>
      </c>
      <c r="B438" s="29" t="s">
        <v>89</v>
      </c>
      <c r="C438" s="28">
        <v>5.29</v>
      </c>
      <c r="D438" s="82"/>
    </row>
    <row r="439" spans="1:4" ht="15.75" outlineLevel="1" x14ac:dyDescent="0.2">
      <c r="A439" s="28" t="s">
        <v>1086</v>
      </c>
      <c r="B439" s="29" t="s">
        <v>83</v>
      </c>
      <c r="C439" s="28">
        <v>5.31</v>
      </c>
      <c r="D439" s="82"/>
    </row>
    <row r="440" spans="1:4" ht="15.75" outlineLevel="1" x14ac:dyDescent="0.2">
      <c r="A440" s="28" t="s">
        <v>1086</v>
      </c>
      <c r="B440" s="29" t="s">
        <v>56</v>
      </c>
      <c r="C440" s="28">
        <v>5.36</v>
      </c>
      <c r="D440" s="82"/>
    </row>
    <row r="441" spans="1:4" ht="15.75" outlineLevel="1" x14ac:dyDescent="0.2">
      <c r="A441" s="28" t="s">
        <v>1086</v>
      </c>
      <c r="B441" s="29" t="s">
        <v>97</v>
      </c>
      <c r="C441" s="28">
        <v>5.37</v>
      </c>
      <c r="D441" s="82"/>
    </row>
    <row r="442" spans="1:4" ht="15.75" outlineLevel="1" x14ac:dyDescent="0.2">
      <c r="A442" s="28" t="s">
        <v>1086</v>
      </c>
      <c r="B442" s="29" t="s">
        <v>59</v>
      </c>
      <c r="C442" s="28">
        <v>5.53</v>
      </c>
      <c r="D442" s="82"/>
    </row>
    <row r="443" spans="1:4" ht="15.75" outlineLevel="1" x14ac:dyDescent="0.2">
      <c r="A443" s="28" t="s">
        <v>1086</v>
      </c>
      <c r="B443" s="29" t="s">
        <v>103</v>
      </c>
      <c r="C443" s="28">
        <v>5.109</v>
      </c>
      <c r="D443" s="82"/>
    </row>
    <row r="444" spans="1:4" ht="15.75" outlineLevel="1" x14ac:dyDescent="0.2">
      <c r="A444" s="28" t="s">
        <v>1086</v>
      </c>
      <c r="B444" s="29" t="s">
        <v>104</v>
      </c>
      <c r="C444" s="28">
        <v>5.1109999999999998</v>
      </c>
      <c r="D444" s="82"/>
    </row>
    <row r="445" spans="1:4" ht="15.75" outlineLevel="1" x14ac:dyDescent="0.2">
      <c r="A445" s="28" t="s">
        <v>1086</v>
      </c>
      <c r="B445" s="29" t="s">
        <v>106</v>
      </c>
      <c r="C445" s="28">
        <v>5.1120000000000001</v>
      </c>
      <c r="D445" s="82"/>
    </row>
    <row r="446" spans="1:4" ht="15.75" outlineLevel="1" x14ac:dyDescent="0.2">
      <c r="A446" s="28" t="s">
        <v>1086</v>
      </c>
      <c r="B446" s="29" t="s">
        <v>1085</v>
      </c>
      <c r="C446" s="28">
        <v>5.1130000000000004</v>
      </c>
      <c r="D446" s="82"/>
    </row>
    <row r="447" spans="1:4" ht="15.75" outlineLevel="1" x14ac:dyDescent="0.2">
      <c r="A447" s="28" t="s">
        <v>1086</v>
      </c>
      <c r="B447" s="29" t="s">
        <v>76</v>
      </c>
      <c r="C447" s="28">
        <v>5.58</v>
      </c>
      <c r="D447" s="82"/>
    </row>
    <row r="448" spans="1:4" ht="15.75" outlineLevel="1" x14ac:dyDescent="0.2">
      <c r="A448" s="28" t="s">
        <v>1086</v>
      </c>
      <c r="B448" s="29" t="s">
        <v>61</v>
      </c>
      <c r="C448" s="28">
        <v>5.54</v>
      </c>
      <c r="D448" s="82"/>
    </row>
    <row r="449" spans="1:4" ht="15.75" outlineLevel="1" x14ac:dyDescent="0.2">
      <c r="A449" s="28" t="s">
        <v>1086</v>
      </c>
      <c r="B449" s="29" t="s">
        <v>77</v>
      </c>
      <c r="C449" s="28">
        <v>5.55</v>
      </c>
      <c r="D449" s="82"/>
    </row>
    <row r="450" spans="1:4" ht="15.75" outlineLevel="1" x14ac:dyDescent="0.2">
      <c r="A450" s="28" t="s">
        <v>1086</v>
      </c>
      <c r="B450" s="29" t="s">
        <v>63</v>
      </c>
      <c r="C450" s="28">
        <v>5.63</v>
      </c>
      <c r="D450" s="82"/>
    </row>
    <row r="451" spans="1:4" ht="15.75" outlineLevel="1" x14ac:dyDescent="0.2">
      <c r="A451" s="28" t="s">
        <v>1086</v>
      </c>
      <c r="B451" s="29" t="s">
        <v>64</v>
      </c>
      <c r="C451" s="28">
        <v>5.47</v>
      </c>
      <c r="D451" s="82"/>
    </row>
    <row r="452" spans="1:4" ht="15.75" outlineLevel="1" x14ac:dyDescent="0.2">
      <c r="A452" s="28" t="s">
        <v>1086</v>
      </c>
      <c r="B452" s="29" t="s">
        <v>65</v>
      </c>
      <c r="C452" s="28">
        <v>5.48</v>
      </c>
      <c r="D452" s="82"/>
    </row>
    <row r="453" spans="1:4" ht="15.75" x14ac:dyDescent="0.2">
      <c r="A453" s="33" t="s">
        <v>1086</v>
      </c>
      <c r="B453" s="29"/>
      <c r="C453" s="28"/>
      <c r="D453" s="82"/>
    </row>
    <row r="454" spans="1:4" ht="15.75" outlineLevel="1" x14ac:dyDescent="0.2">
      <c r="A454" s="28" t="s">
        <v>36</v>
      </c>
      <c r="B454" s="29" t="s">
        <v>49</v>
      </c>
      <c r="C454" s="28">
        <v>5.0999999999999996</v>
      </c>
      <c r="D454" s="82"/>
    </row>
    <row r="455" spans="1:4" ht="15.75" outlineLevel="1" x14ac:dyDescent="0.2">
      <c r="A455" s="28" t="s">
        <v>36</v>
      </c>
      <c r="B455" s="29" t="s">
        <v>50</v>
      </c>
      <c r="C455" s="28">
        <v>5.2</v>
      </c>
      <c r="D455" s="82"/>
    </row>
    <row r="456" spans="1:4" ht="15.75" outlineLevel="1" x14ac:dyDescent="0.2">
      <c r="A456" s="28" t="s">
        <v>36</v>
      </c>
      <c r="B456" s="29" t="s">
        <v>108</v>
      </c>
      <c r="C456" s="28">
        <v>5.5</v>
      </c>
      <c r="D456" s="82"/>
    </row>
    <row r="457" spans="1:4" ht="15.75" outlineLevel="1" x14ac:dyDescent="0.2">
      <c r="A457" s="28" t="s">
        <v>36</v>
      </c>
      <c r="B457" s="29" t="s">
        <v>109</v>
      </c>
      <c r="C457" s="28">
        <v>5.8</v>
      </c>
      <c r="D457" s="81" t="s">
        <v>1080</v>
      </c>
    </row>
    <row r="458" spans="1:4" ht="15.75" outlineLevel="1" x14ac:dyDescent="0.2">
      <c r="A458" s="28" t="s">
        <v>36</v>
      </c>
      <c r="B458" s="29" t="s">
        <v>110</v>
      </c>
      <c r="C458" s="28">
        <v>5.12</v>
      </c>
      <c r="D458" s="81" t="s">
        <v>1080</v>
      </c>
    </row>
    <row r="459" spans="1:4" ht="15.75" outlineLevel="1" x14ac:dyDescent="0.2">
      <c r="A459" s="28" t="s">
        <v>36</v>
      </c>
      <c r="B459" s="29" t="s">
        <v>111</v>
      </c>
      <c r="C459" s="28">
        <v>5.15</v>
      </c>
      <c r="D459" s="82"/>
    </row>
    <row r="460" spans="1:4" ht="15.75" outlineLevel="1" x14ac:dyDescent="0.2">
      <c r="A460" s="28" t="s">
        <v>36</v>
      </c>
      <c r="B460" s="29" t="s">
        <v>112</v>
      </c>
      <c r="C460" s="30">
        <v>5.2</v>
      </c>
      <c r="D460" s="81"/>
    </row>
    <row r="461" spans="1:4" ht="15.75" outlineLevel="1" x14ac:dyDescent="0.2">
      <c r="A461" s="28" t="s">
        <v>36</v>
      </c>
      <c r="B461" s="29" t="s">
        <v>113</v>
      </c>
      <c r="C461" s="28">
        <v>5.25</v>
      </c>
      <c r="D461" s="82"/>
    </row>
    <row r="462" spans="1:4" ht="15.75" outlineLevel="1" x14ac:dyDescent="0.2">
      <c r="A462" s="28" t="s">
        <v>36</v>
      </c>
      <c r="B462" s="29" t="s">
        <v>54</v>
      </c>
      <c r="C462" s="28">
        <v>5.26</v>
      </c>
      <c r="D462" s="82"/>
    </row>
    <row r="463" spans="1:4" ht="15.75" outlineLevel="1" x14ac:dyDescent="0.2">
      <c r="A463" s="28" t="s">
        <v>36</v>
      </c>
      <c r="B463" s="29" t="s">
        <v>114</v>
      </c>
      <c r="C463" s="28">
        <v>5.1139999999999999</v>
      </c>
      <c r="D463" s="81" t="s">
        <v>1080</v>
      </c>
    </row>
    <row r="464" spans="1:4" ht="15.75" outlineLevel="1" x14ac:dyDescent="0.2">
      <c r="A464" s="28" t="s">
        <v>36</v>
      </c>
      <c r="B464" s="29" t="s">
        <v>55</v>
      </c>
      <c r="C464" s="28">
        <v>5.27</v>
      </c>
      <c r="D464" s="82"/>
    </row>
    <row r="465" spans="1:4" ht="15.75" outlineLevel="1" x14ac:dyDescent="0.2">
      <c r="A465" s="28" t="s">
        <v>36</v>
      </c>
      <c r="B465" s="29" t="s">
        <v>115</v>
      </c>
      <c r="C465" s="28">
        <v>5.1150000000000002</v>
      </c>
      <c r="D465" s="81" t="s">
        <v>1080</v>
      </c>
    </row>
    <row r="466" spans="1:4" ht="15.75" outlineLevel="1" x14ac:dyDescent="0.2">
      <c r="A466" s="28" t="s">
        <v>36</v>
      </c>
      <c r="B466" s="29" t="s">
        <v>116</v>
      </c>
      <c r="C466" s="28">
        <v>5.1159999999999997</v>
      </c>
      <c r="D466" s="81" t="s">
        <v>1080</v>
      </c>
    </row>
    <row r="467" spans="1:4" ht="15.75" outlineLevel="1" x14ac:dyDescent="0.2">
      <c r="A467" s="28" t="s">
        <v>36</v>
      </c>
      <c r="B467" s="29" t="s">
        <v>69</v>
      </c>
      <c r="C467" s="28">
        <v>5.28</v>
      </c>
      <c r="D467" s="82"/>
    </row>
    <row r="468" spans="1:4" ht="15.75" outlineLevel="1" x14ac:dyDescent="0.2">
      <c r="A468" s="28" t="s">
        <v>36</v>
      </c>
      <c r="B468" s="29" t="s">
        <v>56</v>
      </c>
      <c r="C468" s="28">
        <v>5.36</v>
      </c>
      <c r="D468" s="82"/>
    </row>
    <row r="469" spans="1:4" ht="15.75" outlineLevel="1" x14ac:dyDescent="0.2">
      <c r="A469" s="28" t="s">
        <v>36</v>
      </c>
      <c r="B469" s="29" t="s">
        <v>97</v>
      </c>
      <c r="C469" s="28">
        <v>5.37</v>
      </c>
      <c r="D469" s="82"/>
    </row>
    <row r="470" spans="1:4" ht="15.75" outlineLevel="1" x14ac:dyDescent="0.2">
      <c r="A470" s="28" t="s">
        <v>36</v>
      </c>
      <c r="B470" s="29" t="s">
        <v>59</v>
      </c>
      <c r="C470" s="28">
        <v>5.53</v>
      </c>
      <c r="D470" s="82"/>
    </row>
    <row r="471" spans="1:4" ht="15.75" outlineLevel="1" x14ac:dyDescent="0.2">
      <c r="A471" s="28" t="s">
        <v>36</v>
      </c>
      <c r="B471" s="29" t="s">
        <v>103</v>
      </c>
      <c r="C471" s="28">
        <v>5.109</v>
      </c>
      <c r="D471" s="82"/>
    </row>
    <row r="472" spans="1:4" ht="15.75" outlineLevel="1" x14ac:dyDescent="0.2">
      <c r="A472" s="28" t="s">
        <v>36</v>
      </c>
      <c r="B472" s="29" t="s">
        <v>104</v>
      </c>
      <c r="C472" s="28">
        <v>5.1109999999999998</v>
      </c>
      <c r="D472" s="82"/>
    </row>
    <row r="473" spans="1:4" ht="15.75" outlineLevel="1" x14ac:dyDescent="0.2">
      <c r="A473" s="28" t="s">
        <v>36</v>
      </c>
      <c r="B473" s="29" t="s">
        <v>106</v>
      </c>
      <c r="C473" s="28">
        <v>5.1120000000000001</v>
      </c>
      <c r="D473" s="82"/>
    </row>
    <row r="474" spans="1:4" ht="15.75" outlineLevel="1" x14ac:dyDescent="0.2">
      <c r="A474" s="28" t="s">
        <v>36</v>
      </c>
      <c r="B474" s="29" t="s">
        <v>61</v>
      </c>
      <c r="C474" s="28">
        <v>5.54</v>
      </c>
      <c r="D474" s="82"/>
    </row>
    <row r="475" spans="1:4" ht="15.75" outlineLevel="1" x14ac:dyDescent="0.2">
      <c r="A475" s="28" t="s">
        <v>36</v>
      </c>
      <c r="B475" s="29" t="s">
        <v>1087</v>
      </c>
      <c r="C475" s="28">
        <v>5.61</v>
      </c>
      <c r="D475" s="82"/>
    </row>
    <row r="476" spans="1:4" ht="15.75" outlineLevel="1" x14ac:dyDescent="0.2">
      <c r="A476" s="28" t="s">
        <v>36</v>
      </c>
      <c r="B476" s="29" t="s">
        <v>63</v>
      </c>
      <c r="C476" s="28">
        <v>5.63</v>
      </c>
      <c r="D476" s="82"/>
    </row>
    <row r="477" spans="1:4" ht="15.75" outlineLevel="1" x14ac:dyDescent="0.2">
      <c r="A477" s="28" t="s">
        <v>36</v>
      </c>
      <c r="B477" s="29" t="s">
        <v>118</v>
      </c>
      <c r="C477" s="28">
        <v>5.46</v>
      </c>
      <c r="D477" s="82"/>
    </row>
    <row r="478" spans="1:4" ht="15.75" outlineLevel="1" x14ac:dyDescent="0.2">
      <c r="A478" s="28" t="s">
        <v>36</v>
      </c>
      <c r="B478" s="29" t="s">
        <v>64</v>
      </c>
      <c r="C478" s="28">
        <v>5.47</v>
      </c>
      <c r="D478" s="82"/>
    </row>
    <row r="479" spans="1:4" ht="15.75" outlineLevel="1" x14ac:dyDescent="0.2">
      <c r="A479" s="28" t="s">
        <v>36</v>
      </c>
      <c r="B479" s="29" t="s">
        <v>65</v>
      </c>
      <c r="C479" s="28">
        <v>5.48</v>
      </c>
      <c r="D479" s="82"/>
    </row>
    <row r="480" spans="1:4" ht="15.75" x14ac:dyDescent="0.2">
      <c r="A480" s="33" t="s">
        <v>36</v>
      </c>
      <c r="B480" s="29"/>
      <c r="C480" s="28"/>
      <c r="D480" s="82"/>
    </row>
    <row r="481" spans="1:4" ht="15.75" outlineLevel="1" x14ac:dyDescent="0.2">
      <c r="A481" s="28" t="s">
        <v>37</v>
      </c>
      <c r="B481" s="29" t="s">
        <v>49</v>
      </c>
      <c r="C481" s="28">
        <v>5.0999999999999996</v>
      </c>
      <c r="D481" s="82"/>
    </row>
    <row r="482" spans="1:4" ht="15.75" outlineLevel="1" x14ac:dyDescent="0.2">
      <c r="A482" s="28" t="s">
        <v>37</v>
      </c>
      <c r="B482" s="29" t="s">
        <v>50</v>
      </c>
      <c r="C482" s="28">
        <v>5.2</v>
      </c>
      <c r="D482" s="82"/>
    </row>
    <row r="483" spans="1:4" ht="15.75" outlineLevel="1" x14ac:dyDescent="0.2">
      <c r="A483" s="28" t="s">
        <v>37</v>
      </c>
      <c r="B483" s="29" t="s">
        <v>66</v>
      </c>
      <c r="C483" s="28">
        <v>5.3</v>
      </c>
      <c r="D483" s="82"/>
    </row>
    <row r="484" spans="1:4" ht="15.75" outlineLevel="1" x14ac:dyDescent="0.2">
      <c r="A484" s="28" t="s">
        <v>37</v>
      </c>
      <c r="B484" s="29" t="s">
        <v>80</v>
      </c>
      <c r="C484" s="28">
        <v>5.6</v>
      </c>
      <c r="D484" s="82"/>
    </row>
    <row r="485" spans="1:4" ht="15.75" outlineLevel="1" x14ac:dyDescent="0.2">
      <c r="A485" s="28" t="s">
        <v>37</v>
      </c>
      <c r="B485" s="29" t="s">
        <v>1081</v>
      </c>
      <c r="C485" s="30">
        <v>5.0999999999999996</v>
      </c>
      <c r="D485" s="82"/>
    </row>
    <row r="486" spans="1:4" ht="15.75" outlineLevel="1" x14ac:dyDescent="0.2">
      <c r="A486" s="28" t="s">
        <v>37</v>
      </c>
      <c r="B486" s="29" t="s">
        <v>91</v>
      </c>
      <c r="C486" s="28">
        <v>5.14</v>
      </c>
      <c r="D486" s="82"/>
    </row>
    <row r="487" spans="1:4" ht="15.75" outlineLevel="1" x14ac:dyDescent="0.2">
      <c r="A487" s="28" t="s">
        <v>37</v>
      </c>
      <c r="B487" s="29" t="s">
        <v>68</v>
      </c>
      <c r="C487" s="28">
        <v>5.19</v>
      </c>
      <c r="D487" s="82"/>
    </row>
    <row r="488" spans="1:4" ht="15.75" outlineLevel="1" x14ac:dyDescent="0.2">
      <c r="A488" s="28" t="s">
        <v>37</v>
      </c>
      <c r="B488" s="29" t="s">
        <v>82</v>
      </c>
      <c r="C488" s="28">
        <v>5.24</v>
      </c>
      <c r="D488" s="82"/>
    </row>
    <row r="489" spans="1:4" ht="15.75" outlineLevel="1" x14ac:dyDescent="0.2">
      <c r="A489" s="28" t="s">
        <v>37</v>
      </c>
      <c r="B489" s="29" t="s">
        <v>55</v>
      </c>
      <c r="C489" s="28">
        <v>5.27</v>
      </c>
      <c r="D489" s="82"/>
    </row>
    <row r="490" spans="1:4" ht="15.75" outlineLevel="1" x14ac:dyDescent="0.2">
      <c r="A490" s="28" t="s">
        <v>37</v>
      </c>
      <c r="B490" s="29" t="s">
        <v>69</v>
      </c>
      <c r="C490" s="28">
        <v>5.28</v>
      </c>
      <c r="D490" s="82"/>
    </row>
    <row r="491" spans="1:4" ht="15.75" outlineLevel="1" x14ac:dyDescent="0.2">
      <c r="A491" s="28" t="s">
        <v>37</v>
      </c>
      <c r="B491" s="29" t="s">
        <v>89</v>
      </c>
      <c r="C491" s="28">
        <v>5.29</v>
      </c>
      <c r="D491" s="82"/>
    </row>
    <row r="492" spans="1:4" ht="15.75" outlineLevel="1" x14ac:dyDescent="0.2">
      <c r="A492" s="28" t="s">
        <v>37</v>
      </c>
      <c r="B492" s="29" t="s">
        <v>92</v>
      </c>
      <c r="C492" s="28">
        <v>5.34</v>
      </c>
      <c r="D492" s="82"/>
    </row>
    <row r="493" spans="1:4" ht="15.75" outlineLevel="1" x14ac:dyDescent="0.2">
      <c r="A493" s="28" t="s">
        <v>37</v>
      </c>
      <c r="B493" s="29" t="s">
        <v>83</v>
      </c>
      <c r="C493" s="28">
        <v>5.31</v>
      </c>
      <c r="D493" s="82"/>
    </row>
    <row r="494" spans="1:4" ht="15.75" outlineLevel="1" x14ac:dyDescent="0.2">
      <c r="A494" s="28" t="s">
        <v>37</v>
      </c>
      <c r="B494" s="29" t="s">
        <v>93</v>
      </c>
      <c r="C494" s="28">
        <v>5.101</v>
      </c>
      <c r="D494" s="82"/>
    </row>
    <row r="495" spans="1:4" ht="15.75" outlineLevel="1" x14ac:dyDescent="0.2">
      <c r="A495" s="28" t="s">
        <v>37</v>
      </c>
      <c r="B495" s="29" t="s">
        <v>56</v>
      </c>
      <c r="C495" s="28">
        <v>5.36</v>
      </c>
      <c r="D495" s="82"/>
    </row>
    <row r="496" spans="1:4" ht="15.75" outlineLevel="1" x14ac:dyDescent="0.2">
      <c r="A496" s="28" t="s">
        <v>37</v>
      </c>
      <c r="B496" s="29" t="s">
        <v>97</v>
      </c>
      <c r="C496" s="28">
        <v>5.37</v>
      </c>
      <c r="D496" s="82"/>
    </row>
    <row r="497" spans="1:4" ht="15.75" outlineLevel="1" x14ac:dyDescent="0.2">
      <c r="A497" s="28" t="s">
        <v>37</v>
      </c>
      <c r="B497" s="29" t="s">
        <v>59</v>
      </c>
      <c r="C497" s="28">
        <v>5.53</v>
      </c>
      <c r="D497" s="82"/>
    </row>
    <row r="498" spans="1:4" ht="15.75" outlineLevel="1" x14ac:dyDescent="0.2">
      <c r="A498" s="28" t="s">
        <v>37</v>
      </c>
      <c r="B498" s="29" t="s">
        <v>103</v>
      </c>
      <c r="C498" s="28">
        <v>5.109</v>
      </c>
      <c r="D498" s="82"/>
    </row>
    <row r="499" spans="1:4" ht="15.75" outlineLevel="1" x14ac:dyDescent="0.2">
      <c r="A499" s="28" t="s">
        <v>37</v>
      </c>
      <c r="B499" s="29" t="s">
        <v>104</v>
      </c>
      <c r="C499" s="28">
        <v>5.1109999999999998</v>
      </c>
      <c r="D499" s="82"/>
    </row>
    <row r="500" spans="1:4" ht="15.75" outlineLevel="1" x14ac:dyDescent="0.2">
      <c r="A500" s="28" t="s">
        <v>37</v>
      </c>
      <c r="B500" s="29" t="s">
        <v>106</v>
      </c>
      <c r="C500" s="28">
        <v>5.1120000000000001</v>
      </c>
      <c r="D500" s="82"/>
    </row>
    <row r="501" spans="1:4" ht="15.75" outlineLevel="1" x14ac:dyDescent="0.2">
      <c r="A501" s="28" t="s">
        <v>37</v>
      </c>
      <c r="B501" s="29" t="s">
        <v>94</v>
      </c>
      <c r="C501" s="28">
        <v>5.1020000000000003</v>
      </c>
      <c r="D501" s="82"/>
    </row>
    <row r="502" spans="1:4" ht="15.75" outlineLevel="1" x14ac:dyDescent="0.2">
      <c r="A502" s="28" t="s">
        <v>37</v>
      </c>
      <c r="B502" s="29" t="s">
        <v>95</v>
      </c>
      <c r="C502" s="31">
        <v>5.0999999999999996</v>
      </c>
      <c r="D502" s="82"/>
    </row>
    <row r="503" spans="1:4" ht="15.75" outlineLevel="1" x14ac:dyDescent="0.2">
      <c r="A503" s="28" t="s">
        <v>37</v>
      </c>
      <c r="B503" s="29" t="s">
        <v>76</v>
      </c>
      <c r="C503" s="28">
        <v>5.58</v>
      </c>
      <c r="D503" s="82"/>
    </row>
    <row r="504" spans="1:4" ht="15.75" outlineLevel="1" x14ac:dyDescent="0.2">
      <c r="A504" s="28" t="s">
        <v>37</v>
      </c>
      <c r="B504" s="29" t="s">
        <v>77</v>
      </c>
      <c r="C504" s="28">
        <v>5.55</v>
      </c>
      <c r="D504" s="82"/>
    </row>
    <row r="505" spans="1:4" ht="15.75" outlineLevel="1" x14ac:dyDescent="0.2">
      <c r="A505" s="28" t="s">
        <v>37</v>
      </c>
      <c r="B505" s="29" t="s">
        <v>61</v>
      </c>
      <c r="C505" s="28">
        <v>5.54</v>
      </c>
      <c r="D505" s="82"/>
    </row>
    <row r="506" spans="1:4" ht="15.75" outlineLevel="1" x14ac:dyDescent="0.2">
      <c r="A506" s="28" t="s">
        <v>37</v>
      </c>
      <c r="B506" s="29" t="s">
        <v>63</v>
      </c>
      <c r="C506" s="28">
        <v>5.63</v>
      </c>
      <c r="D506" s="82"/>
    </row>
    <row r="507" spans="1:4" ht="15.75" outlineLevel="1" x14ac:dyDescent="0.2">
      <c r="A507" s="28" t="s">
        <v>37</v>
      </c>
      <c r="B507" s="29" t="s">
        <v>64</v>
      </c>
      <c r="C507" s="28">
        <v>5.47</v>
      </c>
      <c r="D507" s="82"/>
    </row>
    <row r="508" spans="1:4" ht="15.75" outlineLevel="1" x14ac:dyDescent="0.2">
      <c r="A508" s="28" t="s">
        <v>37</v>
      </c>
      <c r="B508" s="29" t="s">
        <v>65</v>
      </c>
      <c r="C508" s="28">
        <v>5.48</v>
      </c>
      <c r="D508" s="82"/>
    </row>
    <row r="509" spans="1:4" ht="15.75" x14ac:dyDescent="0.2">
      <c r="A509" s="33" t="s">
        <v>37</v>
      </c>
      <c r="B509" s="29"/>
      <c r="C509" s="28"/>
      <c r="D509" s="82"/>
    </row>
    <row r="510" spans="1:4" ht="15.75" outlineLevel="1" x14ac:dyDescent="0.2">
      <c r="A510" s="28" t="s">
        <v>38</v>
      </c>
      <c r="B510" s="29" t="s">
        <v>49</v>
      </c>
      <c r="C510" s="28">
        <v>5.0999999999999996</v>
      </c>
      <c r="D510" s="82"/>
    </row>
    <row r="511" spans="1:4" ht="15.75" outlineLevel="1" x14ac:dyDescent="0.2">
      <c r="A511" s="28" t="s">
        <v>38</v>
      </c>
      <c r="B511" s="29" t="s">
        <v>50</v>
      </c>
      <c r="C511" s="28">
        <v>5.2</v>
      </c>
      <c r="D511" s="82"/>
    </row>
    <row r="512" spans="1:4" ht="15.75" outlineLevel="1" x14ac:dyDescent="0.2">
      <c r="A512" s="28" t="s">
        <v>38</v>
      </c>
      <c r="B512" s="29" t="s">
        <v>66</v>
      </c>
      <c r="C512" s="28">
        <v>5.3</v>
      </c>
      <c r="D512" s="82"/>
    </row>
    <row r="513" spans="1:4" ht="15.75" outlineLevel="1" x14ac:dyDescent="0.2">
      <c r="A513" s="28" t="s">
        <v>38</v>
      </c>
      <c r="B513" s="29" t="s">
        <v>80</v>
      </c>
      <c r="C513" s="28">
        <v>5.6</v>
      </c>
      <c r="D513" s="82"/>
    </row>
    <row r="514" spans="1:4" ht="15.75" outlineLevel="1" x14ac:dyDescent="0.2">
      <c r="A514" s="28" t="s">
        <v>38</v>
      </c>
      <c r="B514" s="29" t="s">
        <v>1081</v>
      </c>
      <c r="C514" s="30">
        <v>5.0999999999999996</v>
      </c>
      <c r="D514" s="82"/>
    </row>
    <row r="515" spans="1:4" ht="15.75" outlineLevel="1" x14ac:dyDescent="0.2">
      <c r="A515" s="28" t="s">
        <v>38</v>
      </c>
      <c r="B515" s="29" t="s">
        <v>91</v>
      </c>
      <c r="C515" s="28">
        <v>5.14</v>
      </c>
      <c r="D515" s="82"/>
    </row>
    <row r="516" spans="1:4" ht="15.75" outlineLevel="1" x14ac:dyDescent="0.2">
      <c r="A516" s="28" t="s">
        <v>38</v>
      </c>
      <c r="B516" s="29" t="s">
        <v>68</v>
      </c>
      <c r="C516" s="28">
        <v>5.19</v>
      </c>
      <c r="D516" s="82"/>
    </row>
    <row r="517" spans="1:4" ht="15.75" outlineLevel="1" x14ac:dyDescent="0.2">
      <c r="A517" s="28" t="s">
        <v>38</v>
      </c>
      <c r="B517" s="29" t="s">
        <v>82</v>
      </c>
      <c r="C517" s="28">
        <v>5.24</v>
      </c>
      <c r="D517" s="82"/>
    </row>
    <row r="518" spans="1:4" ht="15.75" outlineLevel="1" x14ac:dyDescent="0.2">
      <c r="A518" s="28" t="s">
        <v>38</v>
      </c>
      <c r="B518" s="29" t="s">
        <v>54</v>
      </c>
      <c r="C518" s="28">
        <v>5.26</v>
      </c>
      <c r="D518" s="82"/>
    </row>
    <row r="519" spans="1:4" ht="15.75" outlineLevel="1" x14ac:dyDescent="0.2">
      <c r="A519" s="28" t="s">
        <v>38</v>
      </c>
      <c r="B519" s="29" t="s">
        <v>55</v>
      </c>
      <c r="C519" s="28">
        <v>5.27</v>
      </c>
      <c r="D519" s="82"/>
    </row>
    <row r="520" spans="1:4" ht="15.75" outlineLevel="1" x14ac:dyDescent="0.2">
      <c r="A520" s="28" t="s">
        <v>38</v>
      </c>
      <c r="B520" s="29" t="s">
        <v>69</v>
      </c>
      <c r="C520" s="28">
        <v>5.28</v>
      </c>
      <c r="D520" s="82"/>
    </row>
    <row r="521" spans="1:4" ht="15.75" outlineLevel="1" x14ac:dyDescent="0.2">
      <c r="A521" s="28" t="s">
        <v>38</v>
      </c>
      <c r="B521" s="29" t="s">
        <v>83</v>
      </c>
      <c r="C521" s="28">
        <v>5.31</v>
      </c>
      <c r="D521" s="82"/>
    </row>
    <row r="522" spans="1:4" ht="15.75" outlineLevel="1" x14ac:dyDescent="0.2">
      <c r="A522" s="28" t="s">
        <v>38</v>
      </c>
      <c r="B522" s="29" t="s">
        <v>96</v>
      </c>
      <c r="C522" s="28">
        <v>5.33</v>
      </c>
      <c r="D522" s="82"/>
    </row>
    <row r="523" spans="1:4" ht="15.75" outlineLevel="1" x14ac:dyDescent="0.2">
      <c r="A523" s="28" t="s">
        <v>38</v>
      </c>
      <c r="B523" s="29" t="s">
        <v>93</v>
      </c>
      <c r="C523" s="28">
        <v>5.101</v>
      </c>
      <c r="D523" s="82"/>
    </row>
    <row r="524" spans="1:4" ht="15.75" outlineLevel="1" x14ac:dyDescent="0.2">
      <c r="A524" s="28" t="s">
        <v>38</v>
      </c>
      <c r="B524" s="29" t="s">
        <v>56</v>
      </c>
      <c r="C524" s="28">
        <v>5.36</v>
      </c>
      <c r="D524" s="82"/>
    </row>
    <row r="525" spans="1:4" ht="15.75" outlineLevel="1" x14ac:dyDescent="0.2">
      <c r="A525" s="28" t="s">
        <v>38</v>
      </c>
      <c r="B525" s="29" t="s">
        <v>97</v>
      </c>
      <c r="C525" s="28">
        <v>5.37</v>
      </c>
      <c r="D525" s="82"/>
    </row>
    <row r="526" spans="1:4" ht="15.75" outlineLevel="1" x14ac:dyDescent="0.2">
      <c r="A526" s="28" t="s">
        <v>38</v>
      </c>
      <c r="B526" s="29" t="s">
        <v>59</v>
      </c>
      <c r="C526" s="28">
        <v>5.53</v>
      </c>
      <c r="D526" s="82"/>
    </row>
    <row r="527" spans="1:4" ht="15.75" outlineLevel="1" x14ac:dyDescent="0.2">
      <c r="A527" s="28" t="s">
        <v>38</v>
      </c>
      <c r="B527" s="29" t="s">
        <v>103</v>
      </c>
      <c r="C527" s="28">
        <v>5.109</v>
      </c>
      <c r="D527" s="82"/>
    </row>
    <row r="528" spans="1:4" ht="15.75" outlineLevel="1" x14ac:dyDescent="0.2">
      <c r="A528" s="28" t="s">
        <v>38</v>
      </c>
      <c r="B528" s="29" t="s">
        <v>104</v>
      </c>
      <c r="C528" s="28">
        <v>5.1109999999999998</v>
      </c>
      <c r="D528" s="82"/>
    </row>
    <row r="529" spans="1:4" ht="15.75" outlineLevel="1" x14ac:dyDescent="0.2">
      <c r="A529" s="28" t="s">
        <v>38</v>
      </c>
      <c r="B529" s="29" t="s">
        <v>106</v>
      </c>
      <c r="C529" s="28">
        <v>5.1120000000000001</v>
      </c>
      <c r="D529" s="82"/>
    </row>
    <row r="530" spans="1:4" ht="15.75" outlineLevel="1" x14ac:dyDescent="0.2">
      <c r="A530" s="28" t="s">
        <v>38</v>
      </c>
      <c r="B530" s="29" t="s">
        <v>94</v>
      </c>
      <c r="C530" s="28">
        <v>5.1020000000000003</v>
      </c>
      <c r="D530" s="82"/>
    </row>
    <row r="531" spans="1:4" ht="15.75" outlineLevel="1" x14ac:dyDescent="0.2">
      <c r="A531" s="28" t="s">
        <v>38</v>
      </c>
      <c r="B531" s="29" t="s">
        <v>95</v>
      </c>
      <c r="C531" s="31">
        <v>5.0999999999999996</v>
      </c>
      <c r="D531" s="82"/>
    </row>
    <row r="532" spans="1:4" ht="15.75" outlineLevel="1" x14ac:dyDescent="0.2">
      <c r="A532" s="28" t="s">
        <v>38</v>
      </c>
      <c r="B532" s="29" t="s">
        <v>76</v>
      </c>
      <c r="C532" s="28">
        <v>5.58</v>
      </c>
      <c r="D532" s="82"/>
    </row>
    <row r="533" spans="1:4" ht="15.75" outlineLevel="1" x14ac:dyDescent="0.2">
      <c r="A533" s="28" t="s">
        <v>38</v>
      </c>
      <c r="B533" s="29" t="s">
        <v>77</v>
      </c>
      <c r="C533" s="28">
        <v>5.55</v>
      </c>
      <c r="D533" s="82"/>
    </row>
    <row r="534" spans="1:4" ht="15.75" outlineLevel="1" x14ac:dyDescent="0.2">
      <c r="A534" s="28" t="s">
        <v>38</v>
      </c>
      <c r="B534" s="29" t="s">
        <v>61</v>
      </c>
      <c r="C534" s="28">
        <v>5.54</v>
      </c>
      <c r="D534" s="82"/>
    </row>
    <row r="535" spans="1:4" ht="15.75" outlineLevel="1" x14ac:dyDescent="0.2">
      <c r="A535" s="28" t="s">
        <v>38</v>
      </c>
      <c r="B535" s="29" t="s">
        <v>63</v>
      </c>
      <c r="C535" s="28">
        <v>5.63</v>
      </c>
      <c r="D535" s="82"/>
    </row>
    <row r="536" spans="1:4" ht="15.75" outlineLevel="1" x14ac:dyDescent="0.2">
      <c r="A536" s="28" t="s">
        <v>38</v>
      </c>
      <c r="B536" s="29" t="s">
        <v>64</v>
      </c>
      <c r="C536" s="28">
        <v>5.47</v>
      </c>
      <c r="D536" s="82"/>
    </row>
    <row r="537" spans="1:4" ht="15.75" outlineLevel="1" x14ac:dyDescent="0.2">
      <c r="A537" s="28" t="s">
        <v>38</v>
      </c>
      <c r="B537" s="29" t="s">
        <v>65</v>
      </c>
      <c r="C537" s="28">
        <v>5.48</v>
      </c>
      <c r="D537" s="82"/>
    </row>
    <row r="538" spans="1:4" ht="15.75" x14ac:dyDescent="0.2">
      <c r="A538" s="33" t="s">
        <v>38</v>
      </c>
      <c r="B538" s="29"/>
      <c r="C538" s="28"/>
      <c r="D538" s="82"/>
    </row>
    <row r="539" spans="1:4" ht="15.75" outlineLevel="1" x14ac:dyDescent="0.2">
      <c r="A539" s="28" t="s">
        <v>39</v>
      </c>
      <c r="B539" s="29" t="s">
        <v>49</v>
      </c>
      <c r="C539" s="28">
        <v>5.0999999999999996</v>
      </c>
      <c r="D539" s="82"/>
    </row>
    <row r="540" spans="1:4" ht="15.75" outlineLevel="1" x14ac:dyDescent="0.2">
      <c r="A540" s="28" t="s">
        <v>39</v>
      </c>
      <c r="B540" s="29" t="s">
        <v>50</v>
      </c>
      <c r="C540" s="28">
        <v>5.2</v>
      </c>
      <c r="D540" s="82"/>
    </row>
    <row r="541" spans="1:4" ht="15.75" outlineLevel="1" x14ac:dyDescent="0.2">
      <c r="A541" s="28" t="s">
        <v>39</v>
      </c>
      <c r="B541" s="29" t="s">
        <v>54</v>
      </c>
      <c r="C541" s="28">
        <v>5.26</v>
      </c>
      <c r="D541" s="82"/>
    </row>
    <row r="542" spans="1:4" ht="15.75" outlineLevel="1" x14ac:dyDescent="0.2">
      <c r="A542" s="28" t="s">
        <v>39</v>
      </c>
      <c r="B542" s="29" t="s">
        <v>120</v>
      </c>
      <c r="C542" s="28">
        <v>5.21</v>
      </c>
      <c r="D542" s="82"/>
    </row>
    <row r="543" spans="1:4" ht="15.75" outlineLevel="1" x14ac:dyDescent="0.2">
      <c r="A543" s="28" t="s">
        <v>39</v>
      </c>
      <c r="B543" s="29" t="s">
        <v>121</v>
      </c>
      <c r="C543" s="28">
        <v>5.53</v>
      </c>
      <c r="D543" s="82"/>
    </row>
    <row r="544" spans="1:4" ht="15.75" outlineLevel="1" x14ac:dyDescent="0.2">
      <c r="A544" s="28" t="s">
        <v>39</v>
      </c>
      <c r="B544" s="29" t="s">
        <v>61</v>
      </c>
      <c r="C544" s="28">
        <v>5.54</v>
      </c>
      <c r="D544" s="82"/>
    </row>
    <row r="545" spans="1:4" ht="15.75" outlineLevel="1" x14ac:dyDescent="0.2">
      <c r="A545" s="28" t="s">
        <v>39</v>
      </c>
      <c r="B545" s="29" t="s">
        <v>122</v>
      </c>
      <c r="C545" s="28">
        <v>5.58</v>
      </c>
      <c r="D545" s="82"/>
    </row>
    <row r="546" spans="1:4" ht="15.75" outlineLevel="1" x14ac:dyDescent="0.2">
      <c r="A546" s="28" t="s">
        <v>39</v>
      </c>
      <c r="B546" s="29" t="s">
        <v>123</v>
      </c>
      <c r="C546" s="28">
        <v>5.1180000000000003</v>
      </c>
      <c r="D546" s="82"/>
    </row>
    <row r="547" spans="1:4" ht="15.75" outlineLevel="1" x14ac:dyDescent="0.2">
      <c r="A547" s="28" t="s">
        <v>39</v>
      </c>
      <c r="B547" s="29" t="s">
        <v>124</v>
      </c>
      <c r="C547" s="28">
        <v>5.47</v>
      </c>
      <c r="D547" s="82"/>
    </row>
    <row r="548" spans="1:4" ht="15.75" outlineLevel="1" x14ac:dyDescent="0.2">
      <c r="A548" s="28" t="s">
        <v>39</v>
      </c>
      <c r="B548" s="29" t="s">
        <v>125</v>
      </c>
      <c r="C548" s="28">
        <v>5.48</v>
      </c>
      <c r="D548" s="82"/>
    </row>
    <row r="549" spans="1:4" ht="15.75" outlineLevel="1" x14ac:dyDescent="0.2">
      <c r="A549" s="28" t="s">
        <v>39</v>
      </c>
      <c r="B549" s="29" t="s">
        <v>126</v>
      </c>
      <c r="C549" s="28">
        <v>5.21</v>
      </c>
      <c r="D549" s="82"/>
    </row>
    <row r="550" spans="1:4" ht="15.75" outlineLevel="1" x14ac:dyDescent="0.2">
      <c r="A550" s="28" t="s">
        <v>39</v>
      </c>
      <c r="B550" s="29" t="s">
        <v>127</v>
      </c>
      <c r="C550" s="28">
        <v>5.53</v>
      </c>
      <c r="D550" s="82"/>
    </row>
    <row r="551" spans="1:4" ht="15.75" outlineLevel="1" x14ac:dyDescent="0.2">
      <c r="A551" s="28" t="s">
        <v>39</v>
      </c>
      <c r="B551" s="29" t="s">
        <v>61</v>
      </c>
      <c r="C551" s="28">
        <v>5.54</v>
      </c>
      <c r="D551" s="82"/>
    </row>
    <row r="552" spans="1:4" ht="15.75" outlineLevel="1" x14ac:dyDescent="0.2">
      <c r="A552" s="28" t="s">
        <v>39</v>
      </c>
      <c r="B552" s="29" t="s">
        <v>128</v>
      </c>
      <c r="C552" s="28">
        <v>5.58</v>
      </c>
      <c r="D552" s="82"/>
    </row>
    <row r="553" spans="1:4" ht="15.75" outlineLevel="1" x14ac:dyDescent="0.2">
      <c r="A553" s="28" t="s">
        <v>39</v>
      </c>
      <c r="B553" s="29" t="s">
        <v>129</v>
      </c>
      <c r="C553" s="28">
        <v>5.1180000000000003</v>
      </c>
      <c r="D553" s="82"/>
    </row>
    <row r="554" spans="1:4" ht="15.75" outlineLevel="1" x14ac:dyDescent="0.2">
      <c r="A554" s="28" t="s">
        <v>39</v>
      </c>
      <c r="B554" s="29" t="s">
        <v>1088</v>
      </c>
      <c r="C554" s="28">
        <v>5.47</v>
      </c>
      <c r="D554" s="82"/>
    </row>
    <row r="555" spans="1:4" ht="15.75" outlineLevel="1" x14ac:dyDescent="0.2">
      <c r="A555" s="28" t="s">
        <v>39</v>
      </c>
      <c r="B555" s="29" t="s">
        <v>1089</v>
      </c>
      <c r="C555" s="28">
        <v>5.48</v>
      </c>
      <c r="D555" s="82"/>
    </row>
    <row r="556" spans="1:4" ht="15.75" outlineLevel="1" x14ac:dyDescent="0.2">
      <c r="A556" s="28" t="s">
        <v>39</v>
      </c>
      <c r="B556" s="29" t="s">
        <v>1090</v>
      </c>
      <c r="C556" s="28">
        <v>5.63</v>
      </c>
      <c r="D556" s="82"/>
    </row>
    <row r="557" spans="1:4" ht="15.75" outlineLevel="1" x14ac:dyDescent="0.2">
      <c r="A557" s="28" t="s">
        <v>39</v>
      </c>
      <c r="B557" s="29" t="s">
        <v>55</v>
      </c>
      <c r="C557" s="28">
        <v>5.27</v>
      </c>
      <c r="D557" s="82"/>
    </row>
    <row r="558" spans="1:4" ht="15.75" outlineLevel="1" x14ac:dyDescent="0.2">
      <c r="A558" s="28" t="s">
        <v>39</v>
      </c>
      <c r="B558" s="29" t="s">
        <v>69</v>
      </c>
      <c r="C558" s="28">
        <v>5.28</v>
      </c>
      <c r="D558" s="82"/>
    </row>
    <row r="559" spans="1:4" ht="15.75" outlineLevel="1" x14ac:dyDescent="0.2">
      <c r="A559" s="28" t="s">
        <v>39</v>
      </c>
      <c r="B559" s="29" t="s">
        <v>133</v>
      </c>
      <c r="C559" s="28">
        <v>5.35</v>
      </c>
      <c r="D559" s="82"/>
    </row>
    <row r="560" spans="1:4" ht="15.75" outlineLevel="1" x14ac:dyDescent="0.2">
      <c r="A560" s="28" t="s">
        <v>39</v>
      </c>
      <c r="B560" s="29" t="s">
        <v>134</v>
      </c>
      <c r="C560" s="28">
        <v>5.1189999999999998</v>
      </c>
      <c r="D560" s="82"/>
    </row>
    <row r="561" spans="1:4" ht="15.75" outlineLevel="1" x14ac:dyDescent="0.2">
      <c r="A561" s="28" t="s">
        <v>39</v>
      </c>
      <c r="B561" s="29" t="s">
        <v>135</v>
      </c>
      <c r="C561" s="31">
        <v>5.12</v>
      </c>
      <c r="D561" s="82"/>
    </row>
    <row r="562" spans="1:4" ht="15.75" outlineLevel="1" x14ac:dyDescent="0.2">
      <c r="A562" s="28" t="s">
        <v>39</v>
      </c>
      <c r="B562" s="29" t="s">
        <v>136</v>
      </c>
      <c r="C562" s="28">
        <v>5.1210000000000004</v>
      </c>
      <c r="D562" s="82"/>
    </row>
    <row r="563" spans="1:4" ht="15.75" outlineLevel="1" x14ac:dyDescent="0.2">
      <c r="A563" s="28" t="s">
        <v>39</v>
      </c>
      <c r="B563" s="29" t="s">
        <v>56</v>
      </c>
      <c r="C563" s="28">
        <v>5.36</v>
      </c>
      <c r="D563" s="82"/>
    </row>
    <row r="564" spans="1:4" ht="15.75" outlineLevel="1" x14ac:dyDescent="0.2">
      <c r="A564" s="28" t="s">
        <v>39</v>
      </c>
      <c r="B564" s="29" t="s">
        <v>137</v>
      </c>
      <c r="C564" s="28">
        <v>5.1219999999999999</v>
      </c>
      <c r="D564" s="82"/>
    </row>
    <row r="565" spans="1:4" ht="15.75" outlineLevel="1" x14ac:dyDescent="0.2">
      <c r="A565" s="28" t="s">
        <v>39</v>
      </c>
      <c r="B565" s="29" t="s">
        <v>138</v>
      </c>
      <c r="C565" s="28">
        <v>5.1230000000000002</v>
      </c>
      <c r="D565" s="82"/>
    </row>
    <row r="566" spans="1:4" ht="15.75" outlineLevel="1" x14ac:dyDescent="0.2">
      <c r="A566" s="28" t="s">
        <v>39</v>
      </c>
      <c r="B566" s="29" t="s">
        <v>139</v>
      </c>
      <c r="C566" s="28">
        <v>5.1239999999999997</v>
      </c>
      <c r="D566" s="82"/>
    </row>
    <row r="567" spans="1:4" ht="15.75" outlineLevel="1" x14ac:dyDescent="0.2">
      <c r="A567" s="28" t="s">
        <v>39</v>
      </c>
      <c r="B567" s="29" t="s">
        <v>140</v>
      </c>
      <c r="C567" s="28">
        <v>5.125</v>
      </c>
      <c r="D567" s="82"/>
    </row>
    <row r="568" spans="1:4" ht="15.75" outlineLevel="1" x14ac:dyDescent="0.2">
      <c r="A568" s="28" t="s">
        <v>39</v>
      </c>
      <c r="B568" s="29" t="s">
        <v>141</v>
      </c>
      <c r="C568" s="28">
        <v>5.1260000000000003</v>
      </c>
      <c r="D568" s="82"/>
    </row>
    <row r="569" spans="1:4" ht="15.75" outlineLevel="1" x14ac:dyDescent="0.2">
      <c r="A569" s="28" t="s">
        <v>39</v>
      </c>
      <c r="B569" s="29" t="s">
        <v>142</v>
      </c>
      <c r="C569" s="28">
        <v>5.1269999999999998</v>
      </c>
      <c r="D569" s="82"/>
    </row>
    <row r="570" spans="1:4" ht="15.75" outlineLevel="1" x14ac:dyDescent="0.2">
      <c r="A570" s="28" t="s">
        <v>39</v>
      </c>
      <c r="B570" s="29" t="s">
        <v>85</v>
      </c>
      <c r="C570" s="30">
        <v>5.72</v>
      </c>
      <c r="D570" s="82"/>
    </row>
    <row r="571" spans="1:4" ht="15.75" outlineLevel="1" x14ac:dyDescent="0.2">
      <c r="A571" s="28" t="s">
        <v>39</v>
      </c>
      <c r="B571" s="29" t="s">
        <v>143</v>
      </c>
      <c r="C571" s="28">
        <v>5.1280000000000001</v>
      </c>
      <c r="D571" s="82"/>
    </row>
    <row r="572" spans="1:4" ht="15.75" outlineLevel="1" x14ac:dyDescent="0.2">
      <c r="A572" s="28" t="s">
        <v>39</v>
      </c>
      <c r="B572" s="29" t="s">
        <v>144</v>
      </c>
      <c r="C572" s="28">
        <v>5.1289999999999996</v>
      </c>
      <c r="D572" s="81" t="s">
        <v>1080</v>
      </c>
    </row>
    <row r="573" spans="1:4" ht="15.75" outlineLevel="1" x14ac:dyDescent="0.2">
      <c r="A573" s="28" t="s">
        <v>39</v>
      </c>
      <c r="B573" s="29" t="s">
        <v>145</v>
      </c>
      <c r="C573" s="28">
        <v>5.1310000000000002</v>
      </c>
      <c r="D573" s="82"/>
    </row>
    <row r="574" spans="1:4" ht="15.75" outlineLevel="1" x14ac:dyDescent="0.2">
      <c r="A574" s="28" t="s">
        <v>39</v>
      </c>
      <c r="B574" s="29" t="s">
        <v>146</v>
      </c>
      <c r="C574" s="28">
        <v>5.1319999999999997</v>
      </c>
      <c r="D574" s="81" t="s">
        <v>1080</v>
      </c>
    </row>
    <row r="575" spans="1:4" ht="15.75" outlineLevel="1" x14ac:dyDescent="0.2">
      <c r="A575" s="28" t="s">
        <v>39</v>
      </c>
      <c r="B575" s="29" t="s">
        <v>147</v>
      </c>
      <c r="C575" s="28">
        <v>5.133</v>
      </c>
      <c r="D575" s="81" t="s">
        <v>1080</v>
      </c>
    </row>
    <row r="576" spans="1:4" ht="15.75" outlineLevel="1" x14ac:dyDescent="0.2">
      <c r="A576" s="28" t="s">
        <v>39</v>
      </c>
      <c r="B576" s="29" t="s">
        <v>148</v>
      </c>
      <c r="C576" s="28">
        <v>5.1340000000000003</v>
      </c>
      <c r="D576" s="81" t="s">
        <v>1080</v>
      </c>
    </row>
    <row r="577" spans="1:4" ht="15.75" outlineLevel="1" x14ac:dyDescent="0.2">
      <c r="A577" s="28" t="s">
        <v>39</v>
      </c>
      <c r="B577" s="29" t="s">
        <v>149</v>
      </c>
      <c r="C577" s="31">
        <v>5.13</v>
      </c>
      <c r="D577" s="82"/>
    </row>
    <row r="578" spans="1:4" ht="15.75" outlineLevel="1" x14ac:dyDescent="0.2">
      <c r="A578" s="28" t="s">
        <v>39</v>
      </c>
      <c r="B578" s="29" t="s">
        <v>64</v>
      </c>
      <c r="C578" s="28">
        <v>5.47</v>
      </c>
      <c r="D578" s="82"/>
    </row>
    <row r="579" spans="1:4" ht="15.75" outlineLevel="1" x14ac:dyDescent="0.2">
      <c r="A579" s="28" t="s">
        <v>39</v>
      </c>
      <c r="B579" s="29" t="s">
        <v>65</v>
      </c>
      <c r="C579" s="28">
        <v>5.48</v>
      </c>
      <c r="D579" s="82"/>
    </row>
    <row r="580" spans="1:4" ht="15.75" x14ac:dyDescent="0.2">
      <c r="A580" s="33" t="s">
        <v>39</v>
      </c>
      <c r="B580" s="29"/>
      <c r="C580" s="28"/>
      <c r="D580" s="82"/>
    </row>
    <row r="581" spans="1:4" ht="15.75" outlineLevel="1" x14ac:dyDescent="0.2">
      <c r="A581" s="28" t="s">
        <v>40</v>
      </c>
      <c r="B581" s="29" t="s">
        <v>49</v>
      </c>
      <c r="C581" s="28">
        <v>5.0999999999999996</v>
      </c>
      <c r="D581" s="82"/>
    </row>
    <row r="582" spans="1:4" ht="15.75" outlineLevel="1" x14ac:dyDescent="0.2">
      <c r="A582" s="28" t="s">
        <v>40</v>
      </c>
      <c r="B582" s="29" t="s">
        <v>50</v>
      </c>
      <c r="C582" s="28">
        <v>5.2</v>
      </c>
      <c r="D582" s="82"/>
    </row>
    <row r="583" spans="1:4" ht="15.75" outlineLevel="1" x14ac:dyDescent="0.2">
      <c r="A583" s="28" t="s">
        <v>40</v>
      </c>
      <c r="B583" s="29" t="s">
        <v>150</v>
      </c>
      <c r="C583" s="28">
        <v>5.9</v>
      </c>
      <c r="D583" s="81" t="s">
        <v>1080</v>
      </c>
    </row>
    <row r="584" spans="1:4" ht="15.75" outlineLevel="1" x14ac:dyDescent="0.2">
      <c r="A584" s="28" t="s">
        <v>40</v>
      </c>
      <c r="B584" s="29" t="s">
        <v>151</v>
      </c>
      <c r="C584" s="28">
        <v>5.13</v>
      </c>
      <c r="D584" s="81" t="s">
        <v>1080</v>
      </c>
    </row>
    <row r="585" spans="1:4" ht="15.75" outlineLevel="1" x14ac:dyDescent="0.2">
      <c r="A585" s="28" t="s">
        <v>40</v>
      </c>
      <c r="B585" s="29" t="s">
        <v>152</v>
      </c>
      <c r="C585" s="28">
        <v>5.16</v>
      </c>
      <c r="D585" s="81" t="s">
        <v>1080</v>
      </c>
    </row>
    <row r="586" spans="1:4" ht="15.75" outlineLevel="1" x14ac:dyDescent="0.2">
      <c r="A586" s="28" t="s">
        <v>40</v>
      </c>
      <c r="B586" s="29" t="s">
        <v>153</v>
      </c>
      <c r="C586" s="28">
        <v>5.22</v>
      </c>
      <c r="D586" s="81"/>
    </row>
    <row r="587" spans="1:4" ht="15.75" outlineLevel="1" x14ac:dyDescent="0.2">
      <c r="A587" s="28" t="s">
        <v>40</v>
      </c>
      <c r="B587" s="29" t="s">
        <v>54</v>
      </c>
      <c r="C587" s="28">
        <v>5.26</v>
      </c>
      <c r="D587" s="82"/>
    </row>
    <row r="588" spans="1:4" ht="15.75" outlineLevel="1" x14ac:dyDescent="0.2">
      <c r="A588" s="28" t="s">
        <v>40</v>
      </c>
      <c r="B588" s="29" t="s">
        <v>154</v>
      </c>
      <c r="C588" s="28">
        <v>5.77</v>
      </c>
      <c r="D588" s="82"/>
    </row>
    <row r="589" spans="1:4" ht="15.75" outlineLevel="1" x14ac:dyDescent="0.2">
      <c r="A589" s="28" t="s">
        <v>40</v>
      </c>
      <c r="B589" s="29" t="s">
        <v>55</v>
      </c>
      <c r="C589" s="28">
        <v>5.27</v>
      </c>
      <c r="D589" s="82"/>
    </row>
    <row r="590" spans="1:4" ht="15.75" outlineLevel="1" x14ac:dyDescent="0.2">
      <c r="A590" s="28" t="s">
        <v>40</v>
      </c>
      <c r="B590" s="29" t="s">
        <v>69</v>
      </c>
      <c r="C590" s="28">
        <v>5.28</v>
      </c>
      <c r="D590" s="81" t="s">
        <v>1080</v>
      </c>
    </row>
    <row r="591" spans="1:4" ht="15.75" outlineLevel="1" x14ac:dyDescent="0.2">
      <c r="A591" s="28" t="s">
        <v>40</v>
      </c>
      <c r="B591" s="29" t="s">
        <v>83</v>
      </c>
      <c r="C591" s="28">
        <v>5.31</v>
      </c>
      <c r="D591" s="82"/>
    </row>
    <row r="592" spans="1:4" ht="15.75" outlineLevel="1" x14ac:dyDescent="0.2">
      <c r="A592" s="28" t="s">
        <v>40</v>
      </c>
      <c r="B592" s="29" t="s">
        <v>56</v>
      </c>
      <c r="C592" s="28">
        <v>5.36</v>
      </c>
      <c r="D592" s="82"/>
    </row>
    <row r="593" spans="1:4" ht="15.75" outlineLevel="1" x14ac:dyDescent="0.2">
      <c r="A593" s="28" t="s">
        <v>40</v>
      </c>
      <c r="B593" s="29" t="s">
        <v>155</v>
      </c>
      <c r="C593" s="28">
        <v>5.78</v>
      </c>
      <c r="D593" s="82"/>
    </row>
    <row r="594" spans="1:4" ht="15.75" outlineLevel="1" x14ac:dyDescent="0.2">
      <c r="A594" s="28" t="s">
        <v>40</v>
      </c>
      <c r="B594" s="29" t="s">
        <v>156</v>
      </c>
      <c r="C594" s="28">
        <v>5.79</v>
      </c>
      <c r="D594" s="81" t="s">
        <v>1080</v>
      </c>
    </row>
    <row r="595" spans="1:4" ht="15.75" outlineLevel="1" x14ac:dyDescent="0.2">
      <c r="A595" s="28" t="s">
        <v>40</v>
      </c>
      <c r="B595" s="29" t="s">
        <v>157</v>
      </c>
      <c r="C595" s="28">
        <v>5.41</v>
      </c>
      <c r="D595" s="82"/>
    </row>
    <row r="596" spans="1:4" ht="15.75" outlineLevel="1" x14ac:dyDescent="0.2">
      <c r="A596" s="28" t="s">
        <v>40</v>
      </c>
      <c r="B596" s="29" t="s">
        <v>71</v>
      </c>
      <c r="C596" s="28">
        <v>5.49</v>
      </c>
      <c r="D596" s="82"/>
    </row>
    <row r="597" spans="1:4" ht="15.75" outlineLevel="1" x14ac:dyDescent="0.2">
      <c r="A597" s="28" t="s">
        <v>40</v>
      </c>
      <c r="B597" s="29" t="s">
        <v>58</v>
      </c>
      <c r="C597" s="28">
        <v>5.51</v>
      </c>
      <c r="D597" s="82"/>
    </row>
    <row r="598" spans="1:4" ht="15.75" outlineLevel="1" x14ac:dyDescent="0.2">
      <c r="A598" s="28" t="s">
        <v>40</v>
      </c>
      <c r="B598" s="29" t="s">
        <v>1091</v>
      </c>
      <c r="C598" s="28">
        <v>5.52</v>
      </c>
      <c r="D598" s="82"/>
    </row>
    <row r="599" spans="1:4" ht="15.75" outlineLevel="1" x14ac:dyDescent="0.2">
      <c r="A599" s="28" t="s">
        <v>40</v>
      </c>
      <c r="B599" s="29" t="s">
        <v>59</v>
      </c>
      <c r="C599" s="28">
        <v>5.53</v>
      </c>
      <c r="D599" s="82"/>
    </row>
    <row r="600" spans="1:4" ht="15.75" outlineLevel="1" x14ac:dyDescent="0.2">
      <c r="A600" s="28" t="s">
        <v>40</v>
      </c>
      <c r="B600" s="29" t="s">
        <v>72</v>
      </c>
      <c r="C600" s="28">
        <v>5.69</v>
      </c>
      <c r="D600" s="82"/>
    </row>
    <row r="601" spans="1:4" ht="15.75" outlineLevel="1" x14ac:dyDescent="0.2">
      <c r="A601" s="28" t="s">
        <v>40</v>
      </c>
      <c r="B601" s="29" t="s">
        <v>159</v>
      </c>
      <c r="C601" s="28">
        <v>5.71</v>
      </c>
      <c r="D601" s="82"/>
    </row>
    <row r="602" spans="1:4" ht="15.75" outlineLevel="1" x14ac:dyDescent="0.2">
      <c r="A602" s="28" t="s">
        <v>40</v>
      </c>
      <c r="B602" s="29" t="s">
        <v>62</v>
      </c>
      <c r="C602" s="30">
        <v>5.7</v>
      </c>
      <c r="D602" s="82"/>
    </row>
    <row r="603" spans="1:4" ht="15.75" outlineLevel="1" x14ac:dyDescent="0.2">
      <c r="A603" s="28" t="s">
        <v>40</v>
      </c>
      <c r="B603" s="29" t="s">
        <v>98</v>
      </c>
      <c r="C603" s="30">
        <v>5.8</v>
      </c>
      <c r="D603" s="81" t="s">
        <v>1080</v>
      </c>
    </row>
    <row r="604" spans="1:4" ht="15.75" outlineLevel="1" x14ac:dyDescent="0.2">
      <c r="A604" s="28" t="s">
        <v>40</v>
      </c>
      <c r="B604" s="29" t="s">
        <v>85</v>
      </c>
      <c r="C604" s="30">
        <v>5.72</v>
      </c>
      <c r="D604" s="81" t="s">
        <v>1080</v>
      </c>
    </row>
    <row r="605" spans="1:4" ht="15.75" outlineLevel="1" x14ac:dyDescent="0.2">
      <c r="A605" s="28" t="s">
        <v>40</v>
      </c>
      <c r="B605" s="29" t="s">
        <v>160</v>
      </c>
      <c r="C605" s="28">
        <v>5.73</v>
      </c>
      <c r="D605" s="81" t="s">
        <v>1080</v>
      </c>
    </row>
    <row r="606" spans="1:4" ht="15.75" outlineLevel="1" x14ac:dyDescent="0.2">
      <c r="A606" s="28" t="s">
        <v>40</v>
      </c>
      <c r="B606" s="29" t="s">
        <v>74</v>
      </c>
      <c r="C606" s="28">
        <v>5.74</v>
      </c>
      <c r="D606" s="82"/>
    </row>
    <row r="607" spans="1:4" ht="15.75" outlineLevel="1" x14ac:dyDescent="0.2">
      <c r="A607" s="28" t="s">
        <v>40</v>
      </c>
      <c r="B607" s="29" t="s">
        <v>73</v>
      </c>
      <c r="C607" s="28">
        <v>5.75</v>
      </c>
      <c r="D607" s="82"/>
    </row>
    <row r="608" spans="1:4" ht="15.75" outlineLevel="1" x14ac:dyDescent="0.2">
      <c r="A608" s="28" t="s">
        <v>40</v>
      </c>
      <c r="B608" s="29" t="s">
        <v>86</v>
      </c>
      <c r="C608" s="28">
        <v>5.76</v>
      </c>
      <c r="D608" s="82"/>
    </row>
    <row r="609" spans="1:4" ht="15.75" outlineLevel="1" x14ac:dyDescent="0.2">
      <c r="A609" s="28" t="s">
        <v>40</v>
      </c>
      <c r="B609" s="29" t="s">
        <v>161</v>
      </c>
      <c r="C609" s="28">
        <v>5.81</v>
      </c>
      <c r="D609" s="81" t="s">
        <v>1080</v>
      </c>
    </row>
    <row r="610" spans="1:4" ht="15.75" outlineLevel="1" x14ac:dyDescent="0.2">
      <c r="A610" s="28" t="s">
        <v>40</v>
      </c>
      <c r="B610" s="29" t="s">
        <v>162</v>
      </c>
      <c r="C610" s="28">
        <v>5.82</v>
      </c>
      <c r="D610" s="81" t="s">
        <v>1080</v>
      </c>
    </row>
    <row r="611" spans="1:4" ht="15.75" outlineLevel="1" x14ac:dyDescent="0.2">
      <c r="A611" s="28" t="s">
        <v>40</v>
      </c>
      <c r="B611" s="29" t="s">
        <v>163</v>
      </c>
      <c r="C611" s="28">
        <v>5.83</v>
      </c>
      <c r="D611" s="81" t="s">
        <v>1080</v>
      </c>
    </row>
    <row r="612" spans="1:4" ht="15.75" outlineLevel="1" x14ac:dyDescent="0.2">
      <c r="A612" s="28" t="s">
        <v>40</v>
      </c>
      <c r="B612" s="29" t="s">
        <v>164</v>
      </c>
      <c r="C612" s="28">
        <v>5.84</v>
      </c>
      <c r="D612" s="82"/>
    </row>
    <row r="613" spans="1:4" ht="15.75" outlineLevel="1" x14ac:dyDescent="0.2">
      <c r="A613" s="28" t="s">
        <v>40</v>
      </c>
      <c r="B613" s="29" t="s">
        <v>165</v>
      </c>
      <c r="C613" s="28">
        <v>5.85</v>
      </c>
      <c r="D613" s="81" t="s">
        <v>1080</v>
      </c>
    </row>
    <row r="614" spans="1:4" ht="15.75" outlineLevel="1" x14ac:dyDescent="0.2">
      <c r="A614" s="28" t="s">
        <v>40</v>
      </c>
      <c r="B614" s="29" t="s">
        <v>166</v>
      </c>
      <c r="C614" s="28">
        <v>5.86</v>
      </c>
      <c r="D614" s="81" t="s">
        <v>1080</v>
      </c>
    </row>
    <row r="615" spans="1:4" ht="15.75" outlineLevel="1" x14ac:dyDescent="0.2">
      <c r="A615" s="28" t="s">
        <v>40</v>
      </c>
      <c r="B615" s="29" t="s">
        <v>167</v>
      </c>
      <c r="C615" s="28">
        <v>5.88</v>
      </c>
      <c r="D615" s="81" t="s">
        <v>1080</v>
      </c>
    </row>
    <row r="616" spans="1:4" ht="15.75" outlineLevel="1" x14ac:dyDescent="0.2">
      <c r="A616" s="28" t="s">
        <v>40</v>
      </c>
      <c r="B616" s="29" t="s">
        <v>168</v>
      </c>
      <c r="C616" s="28">
        <v>5.87</v>
      </c>
      <c r="D616" s="82"/>
    </row>
    <row r="617" spans="1:4" ht="15.75" outlineLevel="1" x14ac:dyDescent="0.2">
      <c r="A617" s="28" t="s">
        <v>40</v>
      </c>
      <c r="B617" s="29" t="s">
        <v>103</v>
      </c>
      <c r="C617" s="28">
        <v>5.109</v>
      </c>
      <c r="D617" s="82"/>
    </row>
    <row r="618" spans="1:4" ht="15.75" outlineLevel="1" x14ac:dyDescent="0.2">
      <c r="A618" s="28" t="s">
        <v>40</v>
      </c>
      <c r="B618" s="29" t="s">
        <v>105</v>
      </c>
      <c r="C618" s="31">
        <v>5.1100000000000003</v>
      </c>
      <c r="D618" s="81" t="s">
        <v>1080</v>
      </c>
    </row>
    <row r="619" spans="1:4" ht="15.75" outlineLevel="1" x14ac:dyDescent="0.2">
      <c r="A619" s="28" t="s">
        <v>40</v>
      </c>
      <c r="B619" s="29" t="s">
        <v>104</v>
      </c>
      <c r="C619" s="28">
        <v>5.1109999999999998</v>
      </c>
      <c r="D619" s="82"/>
    </row>
    <row r="620" spans="1:4" ht="15.75" outlineLevel="1" x14ac:dyDescent="0.2">
      <c r="A620" s="28" t="s">
        <v>40</v>
      </c>
      <c r="B620" s="29" t="s">
        <v>106</v>
      </c>
      <c r="C620" s="28">
        <v>5.1120000000000001</v>
      </c>
      <c r="D620" s="82"/>
    </row>
    <row r="621" spans="1:4" ht="15.75" outlineLevel="1" x14ac:dyDescent="0.2">
      <c r="A621" s="28" t="s">
        <v>40</v>
      </c>
      <c r="B621" s="29" t="s">
        <v>1085</v>
      </c>
      <c r="C621" s="28">
        <v>5.1130000000000004</v>
      </c>
      <c r="D621" s="82"/>
    </row>
    <row r="622" spans="1:4" ht="15.75" outlineLevel="1" x14ac:dyDescent="0.2">
      <c r="A622" s="28" t="s">
        <v>40</v>
      </c>
      <c r="B622" s="29" t="s">
        <v>169</v>
      </c>
      <c r="C622" s="28">
        <v>5.99</v>
      </c>
      <c r="D622" s="81" t="s">
        <v>1080</v>
      </c>
    </row>
    <row r="623" spans="1:4" ht="15.75" outlineLevel="1" x14ac:dyDescent="0.2">
      <c r="A623" s="28" t="s">
        <v>40</v>
      </c>
      <c r="B623" s="29" t="s">
        <v>170</v>
      </c>
      <c r="C623" s="28">
        <v>5.58</v>
      </c>
      <c r="D623" s="81"/>
    </row>
    <row r="624" spans="1:4" ht="15.75" outlineLevel="1" x14ac:dyDescent="0.2">
      <c r="A624" s="28" t="s">
        <v>40</v>
      </c>
      <c r="B624" s="29" t="s">
        <v>61</v>
      </c>
      <c r="C624" s="28">
        <v>5.54</v>
      </c>
      <c r="D624" s="82"/>
    </row>
    <row r="625" spans="1:4" ht="15.75" outlineLevel="1" x14ac:dyDescent="0.2">
      <c r="A625" s="28" t="s">
        <v>40</v>
      </c>
      <c r="B625" s="29" t="s">
        <v>171</v>
      </c>
      <c r="C625" s="28">
        <v>5.56</v>
      </c>
      <c r="D625" s="82"/>
    </row>
    <row r="626" spans="1:4" ht="15.75" outlineLevel="1" x14ac:dyDescent="0.2">
      <c r="A626" s="28" t="s">
        <v>40</v>
      </c>
      <c r="B626" s="29" t="s">
        <v>63</v>
      </c>
      <c r="C626" s="28">
        <v>5.63</v>
      </c>
      <c r="D626" s="82"/>
    </row>
    <row r="627" spans="1:4" ht="15.75" outlineLevel="1" x14ac:dyDescent="0.2">
      <c r="A627" s="28" t="s">
        <v>40</v>
      </c>
      <c r="B627" s="29" t="s">
        <v>172</v>
      </c>
      <c r="C627" s="28">
        <v>5.64</v>
      </c>
      <c r="D627" s="82"/>
    </row>
    <row r="628" spans="1:4" ht="15.75" outlineLevel="1" x14ac:dyDescent="0.2">
      <c r="A628" s="28" t="s">
        <v>40</v>
      </c>
      <c r="B628" s="29" t="s">
        <v>78</v>
      </c>
      <c r="C628" s="28">
        <v>5.65</v>
      </c>
      <c r="D628" s="82"/>
    </row>
    <row r="629" spans="1:4" ht="15.75" outlineLevel="1" x14ac:dyDescent="0.2">
      <c r="A629" s="28" t="s">
        <v>40</v>
      </c>
      <c r="B629" s="29" t="s">
        <v>88</v>
      </c>
      <c r="C629" s="28">
        <v>5.66</v>
      </c>
      <c r="D629" s="82"/>
    </row>
    <row r="630" spans="1:4" ht="15.75" outlineLevel="1" x14ac:dyDescent="0.2">
      <c r="A630" s="28" t="s">
        <v>40</v>
      </c>
      <c r="B630" s="29" t="s">
        <v>87</v>
      </c>
      <c r="C630" s="28">
        <v>5.89</v>
      </c>
      <c r="D630" s="81" t="s">
        <v>1080</v>
      </c>
    </row>
    <row r="631" spans="1:4" ht="15.75" outlineLevel="1" x14ac:dyDescent="0.2">
      <c r="A631" s="28" t="s">
        <v>40</v>
      </c>
      <c r="B631" s="29" t="s">
        <v>17</v>
      </c>
      <c r="C631" s="28">
        <v>5.68</v>
      </c>
      <c r="D631" s="82"/>
    </row>
    <row r="632" spans="1:4" ht="15.75" outlineLevel="1" x14ac:dyDescent="0.2">
      <c r="A632" s="28" t="s">
        <v>40</v>
      </c>
      <c r="B632" s="29" t="s">
        <v>64</v>
      </c>
      <c r="C632" s="28">
        <v>5.47</v>
      </c>
      <c r="D632" s="82"/>
    </row>
    <row r="633" spans="1:4" ht="15.75" outlineLevel="1" x14ac:dyDescent="0.2">
      <c r="A633" s="28" t="s">
        <v>40</v>
      </c>
      <c r="B633" s="29" t="s">
        <v>65</v>
      </c>
      <c r="C633" s="28">
        <v>5.48</v>
      </c>
      <c r="D633" s="82"/>
    </row>
    <row r="634" spans="1:4" ht="15.75" x14ac:dyDescent="0.2">
      <c r="A634" s="33" t="s">
        <v>40</v>
      </c>
      <c r="B634" s="29"/>
      <c r="C634" s="28"/>
      <c r="D634" s="82"/>
    </row>
    <row r="635" spans="1:4" ht="15.75" outlineLevel="1" x14ac:dyDescent="0.2">
      <c r="A635" s="28" t="s">
        <v>41</v>
      </c>
      <c r="B635" s="29" t="s">
        <v>49</v>
      </c>
      <c r="C635" s="28">
        <v>5.0999999999999996</v>
      </c>
      <c r="D635" s="82"/>
    </row>
    <row r="636" spans="1:4" ht="15.75" outlineLevel="1" x14ac:dyDescent="0.2">
      <c r="A636" s="28" t="s">
        <v>41</v>
      </c>
      <c r="B636" s="29" t="s">
        <v>50</v>
      </c>
      <c r="C636" s="28">
        <v>5.2</v>
      </c>
      <c r="D636" s="82"/>
    </row>
    <row r="637" spans="1:4" ht="15.75" outlineLevel="1" x14ac:dyDescent="0.2">
      <c r="A637" s="28" t="s">
        <v>41</v>
      </c>
      <c r="B637" s="29" t="s">
        <v>66</v>
      </c>
      <c r="C637" s="28">
        <v>5.3</v>
      </c>
      <c r="D637" s="82"/>
    </row>
    <row r="638" spans="1:4" ht="15.75" outlineLevel="1" x14ac:dyDescent="0.2">
      <c r="A638" s="28" t="s">
        <v>41</v>
      </c>
      <c r="B638" s="29" t="s">
        <v>80</v>
      </c>
      <c r="C638" s="28">
        <v>5.6</v>
      </c>
      <c r="D638" s="82"/>
    </row>
    <row r="639" spans="1:4" ht="15.75" outlineLevel="1" x14ac:dyDescent="0.2">
      <c r="A639" s="28" t="s">
        <v>41</v>
      </c>
      <c r="B639" s="29" t="s">
        <v>1081</v>
      </c>
      <c r="C639" s="30">
        <v>5.0999999999999996</v>
      </c>
      <c r="D639" s="82"/>
    </row>
    <row r="640" spans="1:4" ht="15.75" outlineLevel="1" x14ac:dyDescent="0.2">
      <c r="A640" s="28" t="s">
        <v>41</v>
      </c>
      <c r="B640" s="29" t="s">
        <v>91</v>
      </c>
      <c r="C640" s="28">
        <v>5.14</v>
      </c>
      <c r="D640" s="82"/>
    </row>
    <row r="641" spans="1:4" ht="15.75" outlineLevel="1" x14ac:dyDescent="0.2">
      <c r="A641" s="28" t="s">
        <v>41</v>
      </c>
      <c r="B641" s="29" t="s">
        <v>68</v>
      </c>
      <c r="C641" s="28">
        <v>5.19</v>
      </c>
      <c r="D641" s="82"/>
    </row>
    <row r="642" spans="1:4" ht="15.75" outlineLevel="1" x14ac:dyDescent="0.2">
      <c r="A642" s="28" t="s">
        <v>41</v>
      </c>
      <c r="B642" s="29" t="s">
        <v>82</v>
      </c>
      <c r="C642" s="28">
        <v>5.24</v>
      </c>
      <c r="D642" s="82"/>
    </row>
    <row r="643" spans="1:4" ht="15.75" outlineLevel="1" x14ac:dyDescent="0.2">
      <c r="A643" s="28" t="s">
        <v>41</v>
      </c>
      <c r="B643" s="29" t="s">
        <v>54</v>
      </c>
      <c r="C643" s="28">
        <v>5.26</v>
      </c>
      <c r="D643" s="82"/>
    </row>
    <row r="644" spans="1:4" ht="15.75" outlineLevel="1" x14ac:dyDescent="0.2">
      <c r="A644" s="28" t="s">
        <v>41</v>
      </c>
      <c r="B644" s="29" t="s">
        <v>55</v>
      </c>
      <c r="C644" s="28">
        <v>5.27</v>
      </c>
      <c r="D644" s="82"/>
    </row>
    <row r="645" spans="1:4" ht="15.75" outlineLevel="1" x14ac:dyDescent="0.2">
      <c r="A645" s="28" t="s">
        <v>41</v>
      </c>
      <c r="B645" s="29" t="s">
        <v>69</v>
      </c>
      <c r="C645" s="28">
        <v>5.28</v>
      </c>
      <c r="D645" s="82"/>
    </row>
    <row r="646" spans="1:4" ht="15.75" outlineLevel="1" x14ac:dyDescent="0.2">
      <c r="A646" s="28" t="s">
        <v>41</v>
      </c>
      <c r="B646" s="29" t="s">
        <v>56</v>
      </c>
      <c r="C646" s="28">
        <v>5.36</v>
      </c>
      <c r="D646" s="82"/>
    </row>
    <row r="647" spans="1:4" ht="15.75" outlineLevel="1" x14ac:dyDescent="0.2">
      <c r="A647" s="28" t="s">
        <v>41</v>
      </c>
      <c r="B647" s="29" t="s">
        <v>96</v>
      </c>
      <c r="C647" s="28">
        <v>5.33</v>
      </c>
      <c r="D647" s="82"/>
    </row>
    <row r="648" spans="1:4" ht="15.75" outlineLevel="1" x14ac:dyDescent="0.2">
      <c r="A648" s="28" t="s">
        <v>41</v>
      </c>
      <c r="B648" s="29" t="s">
        <v>97</v>
      </c>
      <c r="C648" s="28">
        <v>5.37</v>
      </c>
      <c r="D648" s="82"/>
    </row>
    <row r="649" spans="1:4" ht="15.75" outlineLevel="1" x14ac:dyDescent="0.2">
      <c r="A649" s="28" t="s">
        <v>41</v>
      </c>
      <c r="B649" s="29" t="s">
        <v>71</v>
      </c>
      <c r="C649" s="28">
        <v>5.49</v>
      </c>
      <c r="D649" s="82"/>
    </row>
    <row r="650" spans="1:4" ht="15.75" outlineLevel="1" x14ac:dyDescent="0.2">
      <c r="A650" s="28" t="s">
        <v>41</v>
      </c>
      <c r="B650" s="29" t="s">
        <v>58</v>
      </c>
      <c r="C650" s="28">
        <v>5.51</v>
      </c>
      <c r="D650" s="82"/>
    </row>
    <row r="651" spans="1:4" ht="15.75" outlineLevel="1" x14ac:dyDescent="0.2">
      <c r="A651" s="28" t="s">
        <v>41</v>
      </c>
      <c r="B651" s="29" t="s">
        <v>1082</v>
      </c>
      <c r="C651" s="28">
        <v>5.52</v>
      </c>
      <c r="D651" s="82"/>
    </row>
    <row r="652" spans="1:4" ht="15.75" outlineLevel="1" x14ac:dyDescent="0.2">
      <c r="A652" s="28" t="s">
        <v>41</v>
      </c>
      <c r="B652" s="29" t="s">
        <v>59</v>
      </c>
      <c r="C652" s="28">
        <v>5.53</v>
      </c>
      <c r="D652" s="82"/>
    </row>
    <row r="653" spans="1:4" ht="15.75" outlineLevel="1" x14ac:dyDescent="0.2">
      <c r="A653" s="28" t="s">
        <v>41</v>
      </c>
      <c r="B653" s="29" t="s">
        <v>72</v>
      </c>
      <c r="C653" s="28">
        <v>5.69</v>
      </c>
      <c r="D653" s="82"/>
    </row>
    <row r="654" spans="1:4" ht="15.75" outlineLevel="1" x14ac:dyDescent="0.2">
      <c r="A654" s="28" t="s">
        <v>41</v>
      </c>
      <c r="B654" s="29" t="s">
        <v>62</v>
      </c>
      <c r="C654" s="30">
        <v>5.7</v>
      </c>
      <c r="D654" s="82"/>
    </row>
    <row r="655" spans="1:4" ht="15.75" outlineLevel="1" x14ac:dyDescent="0.2">
      <c r="A655" s="28" t="s">
        <v>41</v>
      </c>
      <c r="B655" s="29" t="s">
        <v>74</v>
      </c>
      <c r="C655" s="28">
        <v>5.74</v>
      </c>
      <c r="D655" s="82"/>
    </row>
    <row r="656" spans="1:4" ht="15.75" outlineLevel="1" x14ac:dyDescent="0.2">
      <c r="A656" s="28" t="s">
        <v>41</v>
      </c>
      <c r="B656" s="29" t="s">
        <v>103</v>
      </c>
      <c r="C656" s="28">
        <v>5.109</v>
      </c>
      <c r="D656" s="82"/>
    </row>
    <row r="657" spans="1:4" ht="15.75" outlineLevel="1" x14ac:dyDescent="0.2">
      <c r="A657" s="28" t="s">
        <v>41</v>
      </c>
      <c r="B657" s="29" t="s">
        <v>104</v>
      </c>
      <c r="C657" s="28">
        <v>5.1109999999999998</v>
      </c>
      <c r="D657" s="82"/>
    </row>
    <row r="658" spans="1:4" ht="15.75" outlineLevel="1" x14ac:dyDescent="0.2">
      <c r="A658" s="28" t="s">
        <v>41</v>
      </c>
      <c r="B658" s="29" t="s">
        <v>106</v>
      </c>
      <c r="C658" s="28">
        <v>5.1120000000000001</v>
      </c>
      <c r="D658" s="82"/>
    </row>
    <row r="659" spans="1:4" ht="15.75" outlineLevel="1" x14ac:dyDescent="0.2">
      <c r="A659" s="28" t="s">
        <v>41</v>
      </c>
      <c r="B659" s="29" t="s">
        <v>76</v>
      </c>
      <c r="C659" s="28">
        <v>5.58</v>
      </c>
      <c r="D659" s="82"/>
    </row>
    <row r="660" spans="1:4" ht="15.75" outlineLevel="1" x14ac:dyDescent="0.2">
      <c r="A660" s="28" t="s">
        <v>41</v>
      </c>
      <c r="B660" s="29" t="s">
        <v>61</v>
      </c>
      <c r="C660" s="28">
        <v>5.54</v>
      </c>
      <c r="D660" s="82"/>
    </row>
    <row r="661" spans="1:4" ht="15.75" outlineLevel="1" x14ac:dyDescent="0.2">
      <c r="A661" s="28" t="s">
        <v>41</v>
      </c>
      <c r="B661" s="29" t="s">
        <v>77</v>
      </c>
      <c r="C661" s="28">
        <v>5.55</v>
      </c>
      <c r="D661" s="82"/>
    </row>
    <row r="662" spans="1:4" ht="15.75" outlineLevel="1" x14ac:dyDescent="0.2">
      <c r="A662" s="28" t="s">
        <v>41</v>
      </c>
      <c r="B662" s="29" t="s">
        <v>63</v>
      </c>
      <c r="C662" s="28">
        <v>5.63</v>
      </c>
      <c r="D662" s="82"/>
    </row>
    <row r="663" spans="1:4" ht="15.75" outlineLevel="1" x14ac:dyDescent="0.2">
      <c r="A663" s="28" t="s">
        <v>41</v>
      </c>
      <c r="B663" s="29" t="s">
        <v>64</v>
      </c>
      <c r="C663" s="28">
        <v>5.47</v>
      </c>
      <c r="D663" s="82"/>
    </row>
    <row r="664" spans="1:4" ht="15.75" outlineLevel="1" x14ac:dyDescent="0.2">
      <c r="A664" s="28" t="s">
        <v>41</v>
      </c>
      <c r="B664" s="29" t="s">
        <v>65</v>
      </c>
      <c r="C664" s="28">
        <v>5.48</v>
      </c>
      <c r="D664" s="82"/>
    </row>
    <row r="665" spans="1:4" ht="15.75" x14ac:dyDescent="0.2">
      <c r="A665" s="33" t="s">
        <v>41</v>
      </c>
      <c r="B665" s="29"/>
      <c r="C665" s="28"/>
      <c r="D665" s="82"/>
    </row>
    <row r="666" spans="1:4" ht="15.75" outlineLevel="1" x14ac:dyDescent="0.2">
      <c r="A666" s="28" t="s">
        <v>42</v>
      </c>
      <c r="B666" s="29" t="s">
        <v>49</v>
      </c>
      <c r="C666" s="28">
        <v>5.0999999999999996</v>
      </c>
      <c r="D666" s="82"/>
    </row>
    <row r="667" spans="1:4" ht="15.75" outlineLevel="1" x14ac:dyDescent="0.2">
      <c r="A667" s="28" t="s">
        <v>42</v>
      </c>
      <c r="B667" s="29" t="s">
        <v>50</v>
      </c>
      <c r="C667" s="28">
        <v>5.2</v>
      </c>
      <c r="D667" s="82"/>
    </row>
    <row r="668" spans="1:4" ht="15.75" outlineLevel="1" x14ac:dyDescent="0.2">
      <c r="A668" s="28" t="s">
        <v>42</v>
      </c>
      <c r="B668" s="29" t="s">
        <v>51</v>
      </c>
      <c r="C668" s="28">
        <v>5.4</v>
      </c>
      <c r="D668" s="82"/>
    </row>
    <row r="669" spans="1:4" ht="15.75" outlineLevel="1" x14ac:dyDescent="0.2">
      <c r="A669" s="28" t="s">
        <v>42</v>
      </c>
      <c r="B669" s="29" t="s">
        <v>52</v>
      </c>
      <c r="C669" s="28">
        <v>5.7</v>
      </c>
      <c r="D669" s="82"/>
    </row>
    <row r="670" spans="1:4" ht="15.75" outlineLevel="1" x14ac:dyDescent="0.2">
      <c r="A670" s="28" t="s">
        <v>42</v>
      </c>
      <c r="B670" s="29" t="s">
        <v>53</v>
      </c>
      <c r="C670" s="28">
        <v>5.1100000000000003</v>
      </c>
      <c r="D670" s="82"/>
    </row>
    <row r="671" spans="1:4" ht="15.75" outlineLevel="1" x14ac:dyDescent="0.2">
      <c r="A671" s="28" t="s">
        <v>42</v>
      </c>
      <c r="B671" s="29" t="s">
        <v>54</v>
      </c>
      <c r="C671" s="28">
        <v>5.26</v>
      </c>
      <c r="D671" s="82"/>
    </row>
    <row r="672" spans="1:4" ht="15.75" outlineLevel="1" x14ac:dyDescent="0.2">
      <c r="A672" s="28" t="s">
        <v>42</v>
      </c>
      <c r="B672" s="29" t="s">
        <v>173</v>
      </c>
      <c r="C672" s="28">
        <v>5.43</v>
      </c>
      <c r="D672" s="82"/>
    </row>
    <row r="673" spans="1:4" ht="15.75" outlineLevel="1" x14ac:dyDescent="0.2">
      <c r="A673" s="28" t="s">
        <v>42</v>
      </c>
      <c r="B673" s="29" t="s">
        <v>55</v>
      </c>
      <c r="C673" s="28">
        <v>5.27</v>
      </c>
      <c r="D673" s="82"/>
    </row>
    <row r="674" spans="1:4" ht="15.75" outlineLevel="1" x14ac:dyDescent="0.2">
      <c r="A674" s="28" t="s">
        <v>42</v>
      </c>
      <c r="B674" s="29" t="s">
        <v>69</v>
      </c>
      <c r="C674" s="28">
        <v>5.28</v>
      </c>
      <c r="D674" s="82"/>
    </row>
    <row r="675" spans="1:4" ht="15.75" outlineLevel="1" x14ac:dyDescent="0.2">
      <c r="A675" s="28" t="s">
        <v>42</v>
      </c>
      <c r="B675" s="29" t="s">
        <v>56</v>
      </c>
      <c r="C675" s="28">
        <v>5.36</v>
      </c>
      <c r="D675" s="82"/>
    </row>
    <row r="676" spans="1:4" ht="15.75" outlineLevel="1" x14ac:dyDescent="0.2">
      <c r="A676" s="28" t="s">
        <v>42</v>
      </c>
      <c r="B676" s="29" t="s">
        <v>57</v>
      </c>
      <c r="C676" s="30">
        <v>5.5</v>
      </c>
      <c r="D676" s="82"/>
    </row>
    <row r="677" spans="1:4" ht="15.75" outlineLevel="1" x14ac:dyDescent="0.2">
      <c r="A677" s="28" t="s">
        <v>42</v>
      </c>
      <c r="B677" s="29" t="s">
        <v>58</v>
      </c>
      <c r="C677" s="28">
        <v>5.51</v>
      </c>
      <c r="D677" s="82"/>
    </row>
    <row r="678" spans="1:4" ht="15.75" outlineLevel="1" x14ac:dyDescent="0.2">
      <c r="A678" s="28" t="s">
        <v>42</v>
      </c>
      <c r="B678" s="29" t="s">
        <v>59</v>
      </c>
      <c r="C678" s="28">
        <v>5.53</v>
      </c>
      <c r="D678" s="82"/>
    </row>
    <row r="679" spans="1:4" ht="15.75" outlineLevel="1" x14ac:dyDescent="0.2">
      <c r="A679" s="28" t="s">
        <v>42</v>
      </c>
      <c r="B679" s="29" t="s">
        <v>72</v>
      </c>
      <c r="C679" s="28">
        <v>5.69</v>
      </c>
      <c r="D679" s="82"/>
    </row>
    <row r="680" spans="1:4" ht="15.75" outlineLevel="1" x14ac:dyDescent="0.2">
      <c r="A680" s="28" t="s">
        <v>42</v>
      </c>
      <c r="B680" s="29" t="s">
        <v>62</v>
      </c>
      <c r="C680" s="30">
        <v>5.7</v>
      </c>
      <c r="D680" s="81" t="s">
        <v>1080</v>
      </c>
    </row>
    <row r="681" spans="1:4" ht="15.75" outlineLevel="1" x14ac:dyDescent="0.2">
      <c r="A681" s="28" t="s">
        <v>42</v>
      </c>
      <c r="B681" s="29" t="s">
        <v>74</v>
      </c>
      <c r="C681" s="28">
        <v>5.74</v>
      </c>
      <c r="D681" s="82"/>
    </row>
    <row r="682" spans="1:4" ht="15.75" outlineLevel="1" x14ac:dyDescent="0.2">
      <c r="A682" s="28" t="s">
        <v>42</v>
      </c>
      <c r="B682" s="29" t="s">
        <v>60</v>
      </c>
      <c r="C682" s="28">
        <v>5.59</v>
      </c>
      <c r="D682" s="82"/>
    </row>
    <row r="683" spans="1:4" ht="15.75" outlineLevel="1" x14ac:dyDescent="0.2">
      <c r="A683" s="28" t="s">
        <v>42</v>
      </c>
      <c r="B683" s="29" t="s">
        <v>61</v>
      </c>
      <c r="C683" s="28">
        <v>5.54</v>
      </c>
      <c r="D683" s="82"/>
    </row>
    <row r="684" spans="1:4" ht="15.75" outlineLevel="1" x14ac:dyDescent="0.2">
      <c r="A684" s="28" t="s">
        <v>42</v>
      </c>
      <c r="B684" s="29" t="s">
        <v>174</v>
      </c>
      <c r="C684" s="28">
        <v>5.57</v>
      </c>
      <c r="D684" s="82"/>
    </row>
    <row r="685" spans="1:4" ht="15.75" outlineLevel="1" x14ac:dyDescent="0.2">
      <c r="A685" s="28" t="s">
        <v>42</v>
      </c>
      <c r="B685" s="29" t="s">
        <v>63</v>
      </c>
      <c r="C685" s="28">
        <v>5.63</v>
      </c>
      <c r="D685" s="82"/>
    </row>
    <row r="686" spans="1:4" ht="15.75" outlineLevel="1" x14ac:dyDescent="0.2">
      <c r="A686" s="28" t="s">
        <v>42</v>
      </c>
      <c r="B686" s="29" t="s">
        <v>64</v>
      </c>
      <c r="C686" s="28">
        <v>5.47</v>
      </c>
      <c r="D686" s="82"/>
    </row>
    <row r="687" spans="1:4" ht="15.75" outlineLevel="1" x14ac:dyDescent="0.2">
      <c r="A687" s="28" t="s">
        <v>42</v>
      </c>
      <c r="B687" s="29" t="s">
        <v>65</v>
      </c>
      <c r="C687" s="28">
        <v>5.48</v>
      </c>
      <c r="D687" s="82"/>
    </row>
    <row r="688" spans="1:4" ht="15.75" x14ac:dyDescent="0.2">
      <c r="A688" s="33" t="s">
        <v>42</v>
      </c>
      <c r="B688" s="29"/>
      <c r="C688" s="28"/>
      <c r="D688" s="82"/>
    </row>
    <row r="689" spans="1:4" ht="15.75" outlineLevel="1" x14ac:dyDescent="0.2">
      <c r="A689" s="28" t="s">
        <v>43</v>
      </c>
      <c r="B689" s="29" t="s">
        <v>49</v>
      </c>
      <c r="C689" s="28">
        <v>5.0999999999999996</v>
      </c>
      <c r="D689" s="82"/>
    </row>
    <row r="690" spans="1:4" ht="15.75" outlineLevel="1" x14ac:dyDescent="0.2">
      <c r="A690" s="28" t="s">
        <v>43</v>
      </c>
      <c r="B690" s="29" t="s">
        <v>50</v>
      </c>
      <c r="C690" s="28">
        <v>5.2</v>
      </c>
      <c r="D690" s="82"/>
    </row>
    <row r="691" spans="1:4" ht="15.75" outlineLevel="1" x14ac:dyDescent="0.2">
      <c r="A691" s="28" t="s">
        <v>43</v>
      </c>
      <c r="B691" s="29" t="s">
        <v>175</v>
      </c>
      <c r="C691" s="28">
        <v>5.17</v>
      </c>
      <c r="D691" s="82"/>
    </row>
    <row r="692" spans="1:4" ht="15.75" outlineLevel="1" x14ac:dyDescent="0.2">
      <c r="A692" s="28" t="s">
        <v>43</v>
      </c>
      <c r="B692" s="29" t="s">
        <v>54</v>
      </c>
      <c r="C692" s="28">
        <v>5.26</v>
      </c>
      <c r="D692" s="82"/>
    </row>
    <row r="693" spans="1:4" ht="15.75" outlineLevel="1" x14ac:dyDescent="0.2">
      <c r="A693" s="28" t="s">
        <v>43</v>
      </c>
      <c r="B693" s="29" t="s">
        <v>176</v>
      </c>
      <c r="C693" s="28">
        <v>5.1029999999999998</v>
      </c>
      <c r="D693" s="82"/>
    </row>
    <row r="694" spans="1:4" ht="15.75" outlineLevel="1" x14ac:dyDescent="0.2">
      <c r="A694" s="28" t="s">
        <v>43</v>
      </c>
      <c r="B694" s="29" t="s">
        <v>56</v>
      </c>
      <c r="C694" s="28">
        <v>5.36</v>
      </c>
      <c r="D694" s="82"/>
    </row>
    <row r="695" spans="1:4" ht="15.75" outlineLevel="1" x14ac:dyDescent="0.2">
      <c r="A695" s="28" t="s">
        <v>43</v>
      </c>
      <c r="B695" s="29" t="s">
        <v>97</v>
      </c>
      <c r="C695" s="28">
        <v>5.37</v>
      </c>
      <c r="D695" s="82"/>
    </row>
    <row r="696" spans="1:4" ht="15.75" outlineLevel="1" x14ac:dyDescent="0.2">
      <c r="A696" s="28" t="s">
        <v>43</v>
      </c>
      <c r="B696" s="29" t="s">
        <v>177</v>
      </c>
      <c r="C696" s="28">
        <v>5.1040000000000001</v>
      </c>
      <c r="D696" s="82"/>
    </row>
    <row r="697" spans="1:4" ht="15.75" outlineLevel="1" x14ac:dyDescent="0.2">
      <c r="A697" s="28" t="s">
        <v>43</v>
      </c>
      <c r="B697" s="29" t="s">
        <v>178</v>
      </c>
      <c r="C697" s="28">
        <v>5.1050000000000004</v>
      </c>
      <c r="D697" s="82"/>
    </row>
    <row r="698" spans="1:4" ht="15.75" outlineLevel="1" x14ac:dyDescent="0.2">
      <c r="A698" s="28" t="s">
        <v>43</v>
      </c>
      <c r="B698" s="29" t="s">
        <v>179</v>
      </c>
      <c r="C698" s="28">
        <v>5.1059999999999999</v>
      </c>
      <c r="D698" s="82"/>
    </row>
    <row r="699" spans="1:4" ht="15.75" outlineLevel="1" x14ac:dyDescent="0.2">
      <c r="A699" s="28" t="s">
        <v>43</v>
      </c>
      <c r="B699" s="29" t="s">
        <v>180</v>
      </c>
      <c r="C699" s="28">
        <v>5.1070000000000002</v>
      </c>
      <c r="D699" s="82"/>
    </row>
    <row r="700" spans="1:4" ht="15.75" outlineLevel="1" x14ac:dyDescent="0.2">
      <c r="A700" s="28" t="s">
        <v>43</v>
      </c>
      <c r="B700" s="29" t="s">
        <v>874</v>
      </c>
      <c r="C700" s="28">
        <v>5.1079999999999997</v>
      </c>
      <c r="D700" s="81" t="s">
        <v>1080</v>
      </c>
    </row>
    <row r="701" spans="1:4" ht="15.75" outlineLevel="1" x14ac:dyDescent="0.2">
      <c r="A701" s="28" t="s">
        <v>43</v>
      </c>
      <c r="B701" s="29" t="s">
        <v>103</v>
      </c>
      <c r="C701" s="28">
        <v>5.109</v>
      </c>
      <c r="D701" s="82"/>
    </row>
    <row r="702" spans="1:4" ht="15.75" outlineLevel="1" x14ac:dyDescent="0.2">
      <c r="A702" s="28" t="s">
        <v>43</v>
      </c>
      <c r="B702" s="29" t="s">
        <v>105</v>
      </c>
      <c r="C702" s="31">
        <v>5.1100000000000003</v>
      </c>
      <c r="D702" s="81" t="s">
        <v>1080</v>
      </c>
    </row>
    <row r="703" spans="1:4" ht="15.75" outlineLevel="1" x14ac:dyDescent="0.2">
      <c r="A703" s="28" t="s">
        <v>43</v>
      </c>
      <c r="B703" s="29" t="s">
        <v>104</v>
      </c>
      <c r="C703" s="28">
        <v>5.1109999999999998</v>
      </c>
      <c r="D703" s="82"/>
    </row>
    <row r="704" spans="1:4" ht="15.75" outlineLevel="1" x14ac:dyDescent="0.2">
      <c r="A704" s="28" t="s">
        <v>43</v>
      </c>
      <c r="B704" s="29" t="s">
        <v>106</v>
      </c>
      <c r="C704" s="28">
        <v>5.1120000000000001</v>
      </c>
      <c r="D704" s="82"/>
    </row>
    <row r="705" spans="1:4" ht="15.75" outlineLevel="1" x14ac:dyDescent="0.2">
      <c r="A705" s="28" t="s">
        <v>43</v>
      </c>
      <c r="B705" s="29" t="s">
        <v>59</v>
      </c>
      <c r="C705" s="28">
        <v>5.53</v>
      </c>
      <c r="D705" s="82"/>
    </row>
    <row r="706" spans="1:4" ht="15.75" outlineLevel="1" x14ac:dyDescent="0.2">
      <c r="A706" s="28" t="s">
        <v>43</v>
      </c>
      <c r="B706" s="29" t="s">
        <v>172</v>
      </c>
      <c r="C706" s="28">
        <v>5.64</v>
      </c>
      <c r="D706" s="82"/>
    </row>
    <row r="707" spans="1:4" ht="15.75" outlineLevel="1" x14ac:dyDescent="0.2">
      <c r="A707" s="28" t="s">
        <v>43</v>
      </c>
      <c r="B707" s="29" t="s">
        <v>63</v>
      </c>
      <c r="C707" s="28">
        <v>5.63</v>
      </c>
      <c r="D707" s="82"/>
    </row>
    <row r="708" spans="1:4" ht="15.75" outlineLevel="1" x14ac:dyDescent="0.2">
      <c r="A708" s="28" t="s">
        <v>43</v>
      </c>
      <c r="B708" s="29" t="s">
        <v>78</v>
      </c>
      <c r="C708" s="28">
        <v>5.65</v>
      </c>
      <c r="D708" s="82"/>
    </row>
    <row r="709" spans="1:4" ht="15.75" outlineLevel="1" x14ac:dyDescent="0.2">
      <c r="A709" s="28" t="s">
        <v>43</v>
      </c>
      <c r="B709" s="29" t="s">
        <v>88</v>
      </c>
      <c r="C709" s="28">
        <v>5.66</v>
      </c>
      <c r="D709" s="82"/>
    </row>
    <row r="710" spans="1:4" ht="15.75" outlineLevel="1" x14ac:dyDescent="0.2">
      <c r="A710" s="28" t="s">
        <v>43</v>
      </c>
      <c r="B710" s="29" t="s">
        <v>17</v>
      </c>
      <c r="C710" s="28">
        <v>5.68</v>
      </c>
      <c r="D710" s="82"/>
    </row>
    <row r="711" spans="1:4" ht="15.75" outlineLevel="1" x14ac:dyDescent="0.2">
      <c r="A711" s="28" t="s">
        <v>43</v>
      </c>
      <c r="B711" s="29" t="s">
        <v>64</v>
      </c>
      <c r="C711" s="28">
        <v>5.47</v>
      </c>
      <c r="D711" s="82"/>
    </row>
    <row r="712" spans="1:4" ht="15.75" outlineLevel="1" x14ac:dyDescent="0.2">
      <c r="A712" s="28" t="s">
        <v>43</v>
      </c>
      <c r="B712" s="29" t="s">
        <v>65</v>
      </c>
      <c r="C712" s="28">
        <v>5.48</v>
      </c>
      <c r="D712" s="82"/>
    </row>
    <row r="713" spans="1:4" ht="15.75" x14ac:dyDescent="0.2">
      <c r="A713" s="33" t="s">
        <v>43</v>
      </c>
      <c r="B713" s="29"/>
      <c r="C713" s="28"/>
      <c r="D713" s="82"/>
    </row>
    <row r="714" spans="1:4" ht="15.75" outlineLevel="1" x14ac:dyDescent="0.2">
      <c r="A714" s="28" t="s">
        <v>1092</v>
      </c>
      <c r="B714" s="29" t="s">
        <v>49</v>
      </c>
      <c r="C714" s="28">
        <v>5.0999999999999996</v>
      </c>
      <c r="D714" s="82"/>
    </row>
    <row r="715" spans="1:4" ht="15.75" outlineLevel="1" x14ac:dyDescent="0.2">
      <c r="A715" s="28" t="s">
        <v>1092</v>
      </c>
      <c r="B715" s="29" t="s">
        <v>50</v>
      </c>
      <c r="C715" s="28">
        <v>5.2</v>
      </c>
      <c r="D715" s="82"/>
    </row>
    <row r="716" spans="1:4" ht="15.75" outlineLevel="1" x14ac:dyDescent="0.2">
      <c r="A716" s="28" t="s">
        <v>1092</v>
      </c>
      <c r="B716" s="29" t="s">
        <v>66</v>
      </c>
      <c r="C716" s="28">
        <v>5.3</v>
      </c>
      <c r="D716" s="82"/>
    </row>
    <row r="717" spans="1:4" ht="15.75" outlineLevel="1" x14ac:dyDescent="0.2">
      <c r="A717" s="28" t="s">
        <v>1092</v>
      </c>
      <c r="B717" s="29" t="s">
        <v>80</v>
      </c>
      <c r="C717" s="28">
        <v>5.6</v>
      </c>
      <c r="D717" s="82"/>
    </row>
    <row r="718" spans="1:4" ht="15.75" outlineLevel="1" x14ac:dyDescent="0.2">
      <c r="A718" s="28" t="s">
        <v>1092</v>
      </c>
      <c r="B718" s="29" t="s">
        <v>1081</v>
      </c>
      <c r="C718" s="30">
        <v>5.0999999999999996</v>
      </c>
      <c r="D718" s="82"/>
    </row>
    <row r="719" spans="1:4" ht="15.75" outlineLevel="1" x14ac:dyDescent="0.2">
      <c r="A719" s="28" t="s">
        <v>1092</v>
      </c>
      <c r="B719" s="29" t="s">
        <v>91</v>
      </c>
      <c r="C719" s="28">
        <v>5.14</v>
      </c>
      <c r="D719" s="82"/>
    </row>
    <row r="720" spans="1:4" ht="15.75" outlineLevel="1" x14ac:dyDescent="0.2">
      <c r="A720" s="28" t="s">
        <v>1092</v>
      </c>
      <c r="B720" s="29" t="s">
        <v>68</v>
      </c>
      <c r="C720" s="28">
        <v>5.19</v>
      </c>
      <c r="D720" s="82"/>
    </row>
    <row r="721" spans="1:4" ht="15.75" outlineLevel="1" x14ac:dyDescent="0.2">
      <c r="A721" s="28" t="s">
        <v>1092</v>
      </c>
      <c r="B721" s="29" t="s">
        <v>82</v>
      </c>
      <c r="C721" s="28">
        <v>5.24</v>
      </c>
      <c r="D721" s="82"/>
    </row>
    <row r="722" spans="1:4" ht="15.75" outlineLevel="1" x14ac:dyDescent="0.2">
      <c r="A722" s="28" t="s">
        <v>1092</v>
      </c>
      <c r="B722" s="29" t="s">
        <v>54</v>
      </c>
      <c r="C722" s="28">
        <v>5.26</v>
      </c>
      <c r="D722" s="82"/>
    </row>
    <row r="723" spans="1:4" ht="15.75" outlineLevel="1" x14ac:dyDescent="0.2">
      <c r="A723" s="28" t="s">
        <v>1092</v>
      </c>
      <c r="B723" s="29" t="s">
        <v>55</v>
      </c>
      <c r="C723" s="28">
        <v>5.27</v>
      </c>
      <c r="D723" s="82"/>
    </row>
    <row r="724" spans="1:4" ht="15.75" outlineLevel="1" x14ac:dyDescent="0.2">
      <c r="A724" s="28" t="s">
        <v>1092</v>
      </c>
      <c r="B724" s="29" t="s">
        <v>69</v>
      </c>
      <c r="C724" s="28">
        <v>5.28</v>
      </c>
      <c r="D724" s="82"/>
    </row>
    <row r="725" spans="1:4" ht="15.75" outlineLevel="1" x14ac:dyDescent="0.2">
      <c r="A725" s="28" t="s">
        <v>1092</v>
      </c>
      <c r="B725" s="29" t="s">
        <v>83</v>
      </c>
      <c r="C725" s="28">
        <v>5.31</v>
      </c>
      <c r="D725" s="82"/>
    </row>
    <row r="726" spans="1:4" ht="15.75" outlineLevel="1" x14ac:dyDescent="0.2">
      <c r="A726" s="28" t="s">
        <v>1092</v>
      </c>
      <c r="B726" s="29" t="s">
        <v>56</v>
      </c>
      <c r="C726" s="28">
        <v>5.36</v>
      </c>
      <c r="D726" s="82"/>
    </row>
    <row r="727" spans="1:4" ht="15.75" outlineLevel="1" x14ac:dyDescent="0.2">
      <c r="A727" s="28" t="s">
        <v>1092</v>
      </c>
      <c r="B727" s="29" t="s">
        <v>59</v>
      </c>
      <c r="C727" s="28">
        <v>5.53</v>
      </c>
      <c r="D727" s="82"/>
    </row>
    <row r="728" spans="1:4" ht="15.75" outlineLevel="1" x14ac:dyDescent="0.2">
      <c r="A728" s="28" t="s">
        <v>1092</v>
      </c>
      <c r="B728" s="29" t="s">
        <v>103</v>
      </c>
      <c r="C728" s="28">
        <v>5.109</v>
      </c>
      <c r="D728" s="82"/>
    </row>
    <row r="729" spans="1:4" ht="15.75" outlineLevel="1" x14ac:dyDescent="0.2">
      <c r="A729" s="28" t="s">
        <v>1092</v>
      </c>
      <c r="B729" s="29" t="s">
        <v>104</v>
      </c>
      <c r="C729" s="28">
        <v>5.1109999999999998</v>
      </c>
      <c r="D729" s="82"/>
    </row>
    <row r="730" spans="1:4" ht="15.75" outlineLevel="1" x14ac:dyDescent="0.2">
      <c r="A730" s="28" t="s">
        <v>1092</v>
      </c>
      <c r="B730" s="29" t="s">
        <v>106</v>
      </c>
      <c r="C730" s="28">
        <v>5.1120000000000001</v>
      </c>
      <c r="D730" s="82"/>
    </row>
    <row r="731" spans="1:4" ht="15.75" outlineLevel="1" x14ac:dyDescent="0.2">
      <c r="A731" s="28" t="s">
        <v>1092</v>
      </c>
      <c r="B731" s="29" t="s">
        <v>1085</v>
      </c>
      <c r="C731" s="28">
        <v>5.1130000000000004</v>
      </c>
      <c r="D731" s="82"/>
    </row>
    <row r="732" spans="1:4" ht="15.75" outlineLevel="1" x14ac:dyDescent="0.2">
      <c r="A732" s="28" t="s">
        <v>1092</v>
      </c>
      <c r="B732" s="29" t="s">
        <v>182</v>
      </c>
      <c r="C732" s="28">
        <v>5.117</v>
      </c>
      <c r="D732" s="82"/>
    </row>
    <row r="733" spans="1:4" ht="15.75" outlineLevel="1" x14ac:dyDescent="0.2">
      <c r="A733" s="28" t="s">
        <v>1092</v>
      </c>
      <c r="B733" s="29" t="s">
        <v>183</v>
      </c>
      <c r="C733" s="28">
        <v>5.67</v>
      </c>
      <c r="D733" s="82"/>
    </row>
    <row r="734" spans="1:4" ht="15.75" outlineLevel="1" x14ac:dyDescent="0.2">
      <c r="A734" s="28" t="s">
        <v>1092</v>
      </c>
      <c r="B734" s="29" t="s">
        <v>63</v>
      </c>
      <c r="C734" s="28">
        <v>5.63</v>
      </c>
      <c r="D734" s="82"/>
    </row>
    <row r="735" spans="1:4" ht="15.75" outlineLevel="1" x14ac:dyDescent="0.2">
      <c r="A735" s="28" t="s">
        <v>1092</v>
      </c>
      <c r="B735" s="29" t="s">
        <v>64</v>
      </c>
      <c r="C735" s="28">
        <v>5.47</v>
      </c>
      <c r="D735" s="82"/>
    </row>
    <row r="736" spans="1:4" ht="15.75" outlineLevel="1" x14ac:dyDescent="0.2">
      <c r="A736" s="28" t="s">
        <v>1092</v>
      </c>
      <c r="B736" s="29" t="s">
        <v>65</v>
      </c>
      <c r="C736" s="28">
        <v>5.48</v>
      </c>
      <c r="D736" s="82"/>
    </row>
    <row r="737" spans="1:4" ht="15.75" x14ac:dyDescent="0.2">
      <c r="A737" s="33" t="s">
        <v>1093</v>
      </c>
      <c r="B737" s="29"/>
      <c r="C737" s="28"/>
      <c r="D737" s="82"/>
    </row>
    <row r="738" spans="1:4" ht="15.75" outlineLevel="1" x14ac:dyDescent="0.2">
      <c r="A738" s="28" t="s">
        <v>45</v>
      </c>
      <c r="B738" s="29" t="s">
        <v>49</v>
      </c>
      <c r="C738" s="28">
        <v>5.0999999999999996</v>
      </c>
      <c r="D738" s="82"/>
    </row>
    <row r="739" spans="1:4" ht="15.75" outlineLevel="1" x14ac:dyDescent="0.2">
      <c r="A739" s="28" t="s">
        <v>45</v>
      </c>
      <c r="B739" s="29" t="s">
        <v>50</v>
      </c>
      <c r="C739" s="28">
        <v>5.2</v>
      </c>
      <c r="D739" s="82"/>
    </row>
    <row r="740" spans="1:4" ht="15.75" outlineLevel="1" x14ac:dyDescent="0.2">
      <c r="A740" s="28" t="s">
        <v>45</v>
      </c>
      <c r="B740" s="29" t="s">
        <v>184</v>
      </c>
      <c r="C740" s="28">
        <v>5.18</v>
      </c>
      <c r="D740" s="82"/>
    </row>
    <row r="741" spans="1:4" ht="15.75" outlineLevel="1" x14ac:dyDescent="0.2">
      <c r="A741" s="28" t="s">
        <v>45</v>
      </c>
      <c r="B741" s="29" t="s">
        <v>185</v>
      </c>
      <c r="C741" s="28">
        <v>5.23</v>
      </c>
      <c r="D741" s="82"/>
    </row>
    <row r="742" spans="1:4" ht="15.75" outlineLevel="1" x14ac:dyDescent="0.2">
      <c r="A742" s="28" t="s">
        <v>45</v>
      </c>
      <c r="B742" s="29" t="s">
        <v>54</v>
      </c>
      <c r="C742" s="28">
        <v>5.26</v>
      </c>
      <c r="D742" s="82"/>
    </row>
    <row r="743" spans="1:4" ht="15.75" outlineLevel="1" x14ac:dyDescent="0.2">
      <c r="A743" s="28" t="s">
        <v>45</v>
      </c>
      <c r="B743" s="29" t="s">
        <v>55</v>
      </c>
      <c r="C743" s="28">
        <v>5.27</v>
      </c>
      <c r="D743" s="82"/>
    </row>
    <row r="744" spans="1:4" ht="15.75" outlineLevel="1" x14ac:dyDescent="0.2">
      <c r="A744" s="28" t="s">
        <v>45</v>
      </c>
      <c r="B744" s="29" t="s">
        <v>69</v>
      </c>
      <c r="C744" s="28">
        <v>5.28</v>
      </c>
      <c r="D744" s="82"/>
    </row>
    <row r="745" spans="1:4" ht="15.75" outlineLevel="1" x14ac:dyDescent="0.2">
      <c r="A745" s="28" t="s">
        <v>45</v>
      </c>
      <c r="B745" s="29" t="s">
        <v>56</v>
      </c>
      <c r="C745" s="28">
        <v>5.36</v>
      </c>
      <c r="D745" s="82"/>
    </row>
    <row r="746" spans="1:4" ht="15.75" outlineLevel="1" x14ac:dyDescent="0.2">
      <c r="A746" s="28" t="s">
        <v>45</v>
      </c>
      <c r="B746" s="29" t="s">
        <v>186</v>
      </c>
      <c r="C746" s="28">
        <v>5.44</v>
      </c>
      <c r="D746" s="82"/>
    </row>
    <row r="747" spans="1:4" ht="15.75" outlineLevel="1" x14ac:dyDescent="0.2">
      <c r="A747" s="28" t="s">
        <v>45</v>
      </c>
      <c r="B747" s="29" t="s">
        <v>59</v>
      </c>
      <c r="C747" s="28">
        <v>5.53</v>
      </c>
      <c r="D747" s="82"/>
    </row>
    <row r="748" spans="1:4" ht="15.75" outlineLevel="1" x14ac:dyDescent="0.2">
      <c r="A748" s="28" t="s">
        <v>45</v>
      </c>
      <c r="B748" s="29" t="s">
        <v>106</v>
      </c>
      <c r="C748" s="28">
        <v>5.1120000000000001</v>
      </c>
      <c r="D748" s="82"/>
    </row>
    <row r="749" spans="1:4" ht="15.75" outlineLevel="1" x14ac:dyDescent="0.2">
      <c r="A749" s="28" t="s">
        <v>45</v>
      </c>
      <c r="B749" s="29" t="s">
        <v>60</v>
      </c>
      <c r="C749" s="28">
        <v>5.59</v>
      </c>
      <c r="D749" s="82"/>
    </row>
    <row r="750" spans="1:4" ht="15.75" outlineLevel="1" x14ac:dyDescent="0.2">
      <c r="A750" s="28" t="s">
        <v>45</v>
      </c>
      <c r="B750" s="29" t="s">
        <v>61</v>
      </c>
      <c r="C750" s="28">
        <v>5.54</v>
      </c>
      <c r="D750" s="82"/>
    </row>
    <row r="751" spans="1:4" ht="15.75" outlineLevel="1" x14ac:dyDescent="0.2">
      <c r="A751" s="28" t="s">
        <v>45</v>
      </c>
      <c r="B751" s="29" t="s">
        <v>63</v>
      </c>
      <c r="C751" s="28">
        <v>5.63</v>
      </c>
      <c r="D751" s="82"/>
    </row>
    <row r="752" spans="1:4" ht="15.75" outlineLevel="1" x14ac:dyDescent="0.2">
      <c r="A752" s="28" t="s">
        <v>45</v>
      </c>
      <c r="B752" s="29" t="s">
        <v>78</v>
      </c>
      <c r="C752" s="28">
        <v>5.65</v>
      </c>
      <c r="D752" s="82"/>
    </row>
    <row r="753" spans="1:4" ht="15.75" outlineLevel="1" x14ac:dyDescent="0.2">
      <c r="A753" s="28" t="s">
        <v>45</v>
      </c>
      <c r="B753" s="29" t="s">
        <v>17</v>
      </c>
      <c r="C753" s="28">
        <v>5.68</v>
      </c>
      <c r="D753" s="82"/>
    </row>
    <row r="754" spans="1:4" ht="15.75" outlineLevel="1" x14ac:dyDescent="0.2">
      <c r="A754" s="28" t="s">
        <v>45</v>
      </c>
      <c r="B754" s="29" t="s">
        <v>64</v>
      </c>
      <c r="C754" s="28">
        <v>5.47</v>
      </c>
      <c r="D754" s="82"/>
    </row>
    <row r="755" spans="1:4" ht="15.75" outlineLevel="1" x14ac:dyDescent="0.2">
      <c r="A755" s="28" t="s">
        <v>45</v>
      </c>
      <c r="B755" s="29" t="s">
        <v>65</v>
      </c>
      <c r="C755" s="28">
        <v>5.48</v>
      </c>
      <c r="D755" s="82"/>
    </row>
    <row r="756" spans="1:4" ht="15.75" x14ac:dyDescent="0.2">
      <c r="A756" s="33" t="s">
        <v>45</v>
      </c>
      <c r="B756" s="29"/>
      <c r="C756" s="28"/>
      <c r="D756" s="82"/>
    </row>
    <row r="757" spans="1:4" ht="15.75" outlineLevel="1" x14ac:dyDescent="0.2">
      <c r="A757" s="28" t="s">
        <v>47</v>
      </c>
      <c r="B757" s="29" t="s">
        <v>49</v>
      </c>
      <c r="C757" s="28">
        <v>5.0999999999999996</v>
      </c>
      <c r="D757" s="82"/>
    </row>
    <row r="758" spans="1:4" ht="15.75" outlineLevel="1" x14ac:dyDescent="0.2">
      <c r="A758" s="28" t="s">
        <v>47</v>
      </c>
      <c r="B758" s="29" t="s">
        <v>50</v>
      </c>
      <c r="C758" s="28">
        <v>5.2</v>
      </c>
      <c r="D758" s="82"/>
    </row>
    <row r="759" spans="1:4" ht="15.75" outlineLevel="1" x14ac:dyDescent="0.2">
      <c r="A759" s="28" t="s">
        <v>47</v>
      </c>
      <c r="B759" s="29" t="s">
        <v>150</v>
      </c>
      <c r="C759" s="28">
        <v>5.9</v>
      </c>
      <c r="D759" s="81" t="s">
        <v>1080</v>
      </c>
    </row>
    <row r="760" spans="1:4" ht="15.75" outlineLevel="1" x14ac:dyDescent="0.2">
      <c r="A760" s="28" t="s">
        <v>47</v>
      </c>
      <c r="B760" s="29" t="s">
        <v>151</v>
      </c>
      <c r="C760" s="28">
        <v>5.13</v>
      </c>
      <c r="D760" s="82"/>
    </row>
    <row r="761" spans="1:4" ht="15.75" outlineLevel="1" x14ac:dyDescent="0.2">
      <c r="A761" s="28" t="s">
        <v>47</v>
      </c>
      <c r="B761" s="29" t="s">
        <v>152</v>
      </c>
      <c r="C761" s="28">
        <v>5.16</v>
      </c>
      <c r="D761" s="81" t="s">
        <v>1080</v>
      </c>
    </row>
    <row r="762" spans="1:4" ht="15.75" outlineLevel="1" x14ac:dyDescent="0.2">
      <c r="A762" s="28" t="s">
        <v>47</v>
      </c>
      <c r="B762" s="29" t="s">
        <v>153</v>
      </c>
      <c r="C762" s="28">
        <v>5.22</v>
      </c>
      <c r="D762" s="81"/>
    </row>
    <row r="763" spans="1:4" ht="15.75" outlineLevel="1" x14ac:dyDescent="0.2">
      <c r="A763" s="28" t="s">
        <v>47</v>
      </c>
      <c r="B763" s="29" t="s">
        <v>187</v>
      </c>
      <c r="C763" s="28">
        <v>5.42</v>
      </c>
      <c r="D763" s="82"/>
    </row>
    <row r="764" spans="1:4" ht="15.75" outlineLevel="1" x14ac:dyDescent="0.2">
      <c r="A764" s="28" t="s">
        <v>47</v>
      </c>
      <c r="B764" s="29" t="s">
        <v>55</v>
      </c>
      <c r="C764" s="28">
        <v>5.27</v>
      </c>
      <c r="D764" s="82"/>
    </row>
    <row r="765" spans="1:4" ht="15.75" outlineLevel="1" x14ac:dyDescent="0.2">
      <c r="A765" s="28" t="s">
        <v>47</v>
      </c>
      <c r="B765" s="29" t="s">
        <v>69</v>
      </c>
      <c r="C765" s="28">
        <v>5.28</v>
      </c>
      <c r="D765" s="81" t="s">
        <v>1080</v>
      </c>
    </row>
    <row r="766" spans="1:4" ht="15.75" outlineLevel="1" x14ac:dyDescent="0.2">
      <c r="A766" s="28" t="s">
        <v>47</v>
      </c>
      <c r="B766" s="29" t="s">
        <v>56</v>
      </c>
      <c r="C766" s="28">
        <v>5.36</v>
      </c>
      <c r="D766" s="82"/>
    </row>
    <row r="767" spans="1:4" ht="15.75" outlineLevel="1" x14ac:dyDescent="0.2">
      <c r="A767" s="28" t="s">
        <v>47</v>
      </c>
      <c r="B767" s="29" t="s">
        <v>71</v>
      </c>
      <c r="C767" s="28">
        <v>5.49</v>
      </c>
      <c r="D767" s="82"/>
    </row>
    <row r="768" spans="1:4" ht="15.75" outlineLevel="1" x14ac:dyDescent="0.2">
      <c r="A768" s="28" t="s">
        <v>47</v>
      </c>
      <c r="B768" s="29" t="s">
        <v>58</v>
      </c>
      <c r="C768" s="28">
        <v>5.51</v>
      </c>
      <c r="D768" s="82"/>
    </row>
    <row r="769" spans="1:4" ht="15.75" outlineLevel="1" x14ac:dyDescent="0.2">
      <c r="A769" s="28" t="s">
        <v>47</v>
      </c>
      <c r="B769" s="29" t="s">
        <v>1091</v>
      </c>
      <c r="C769" s="28">
        <v>5.52</v>
      </c>
      <c r="D769" s="82"/>
    </row>
    <row r="770" spans="1:4" ht="15.75" outlineLevel="1" x14ac:dyDescent="0.2">
      <c r="A770" s="28" t="s">
        <v>47</v>
      </c>
      <c r="B770" s="29" t="s">
        <v>59</v>
      </c>
      <c r="C770" s="28">
        <v>5.53</v>
      </c>
      <c r="D770" s="82"/>
    </row>
    <row r="771" spans="1:4" ht="15.75" outlineLevel="1" x14ac:dyDescent="0.2">
      <c r="A771" s="28" t="s">
        <v>47</v>
      </c>
      <c r="B771" s="29" t="s">
        <v>61</v>
      </c>
      <c r="C771" s="28">
        <v>5.54</v>
      </c>
      <c r="D771" s="82"/>
    </row>
    <row r="772" spans="1:4" ht="15.75" outlineLevel="1" x14ac:dyDescent="0.2">
      <c r="A772" s="28" t="s">
        <v>47</v>
      </c>
      <c r="B772" s="29" t="s">
        <v>62</v>
      </c>
      <c r="C772" s="30">
        <v>5.7</v>
      </c>
      <c r="D772" s="82"/>
    </row>
    <row r="773" spans="1:4" ht="15.75" outlineLevel="1" x14ac:dyDescent="0.2">
      <c r="A773" s="28" t="s">
        <v>47</v>
      </c>
      <c r="B773" s="29" t="s">
        <v>159</v>
      </c>
      <c r="C773" s="28">
        <v>5.71</v>
      </c>
      <c r="D773" s="82"/>
    </row>
    <row r="774" spans="1:4" ht="15.75" outlineLevel="1" x14ac:dyDescent="0.2">
      <c r="A774" s="28" t="s">
        <v>47</v>
      </c>
      <c r="B774" s="29" t="s">
        <v>188</v>
      </c>
      <c r="C774" s="30">
        <v>5.9</v>
      </c>
      <c r="D774" s="82"/>
    </row>
    <row r="775" spans="1:4" ht="15.75" outlineLevel="1" x14ac:dyDescent="0.2">
      <c r="A775" s="28" t="s">
        <v>47</v>
      </c>
      <c r="B775" s="29" t="s">
        <v>189</v>
      </c>
      <c r="C775" s="28">
        <v>5.91</v>
      </c>
      <c r="D775" s="82"/>
    </row>
    <row r="776" spans="1:4" ht="15.75" outlineLevel="1" x14ac:dyDescent="0.2">
      <c r="A776" s="28" t="s">
        <v>47</v>
      </c>
      <c r="B776" s="29" t="s">
        <v>190</v>
      </c>
      <c r="C776" s="28">
        <v>5.97</v>
      </c>
      <c r="D776" s="82"/>
    </row>
    <row r="777" spans="1:4" ht="15.75" x14ac:dyDescent="0.2">
      <c r="A777" s="33" t="s">
        <v>47</v>
      </c>
      <c r="B777" s="29"/>
      <c r="C777" s="28"/>
      <c r="D777" s="82"/>
    </row>
    <row r="778" spans="1:4" ht="15.75" outlineLevel="1" x14ac:dyDescent="0.2">
      <c r="A778" s="28" t="s">
        <v>1067</v>
      </c>
      <c r="B778" s="29" t="s">
        <v>49</v>
      </c>
      <c r="C778" s="28">
        <v>5.0999999999999996</v>
      </c>
      <c r="D778" s="82"/>
    </row>
    <row r="779" spans="1:4" ht="15.75" outlineLevel="1" x14ac:dyDescent="0.2">
      <c r="A779" s="28" t="s">
        <v>1067</v>
      </c>
      <c r="B779" s="29" t="s">
        <v>50</v>
      </c>
      <c r="C779" s="28">
        <v>5.2</v>
      </c>
      <c r="D779" s="82"/>
    </row>
    <row r="780" spans="1:4" ht="15.75" outlineLevel="1" x14ac:dyDescent="0.2">
      <c r="A780" s="28" t="s">
        <v>1067</v>
      </c>
      <c r="B780" s="29" t="s">
        <v>54</v>
      </c>
      <c r="C780" s="28">
        <v>5.26</v>
      </c>
      <c r="D780" s="82"/>
    </row>
    <row r="781" spans="1:4" ht="15.75" outlineLevel="1" x14ac:dyDescent="0.2">
      <c r="A781" s="28" t="s">
        <v>1067</v>
      </c>
      <c r="B781" s="29" t="s">
        <v>108</v>
      </c>
      <c r="C781" s="28">
        <v>5.5</v>
      </c>
      <c r="D781" s="82"/>
    </row>
    <row r="782" spans="1:4" ht="15.75" outlineLevel="1" x14ac:dyDescent="0.2">
      <c r="A782" s="28" t="s">
        <v>1067</v>
      </c>
      <c r="B782" s="29" t="s">
        <v>109</v>
      </c>
      <c r="C782" s="28">
        <v>5.8</v>
      </c>
      <c r="D782" s="81" t="s">
        <v>1080</v>
      </c>
    </row>
    <row r="783" spans="1:4" ht="15.75" outlineLevel="1" x14ac:dyDescent="0.2">
      <c r="A783" s="28" t="s">
        <v>1067</v>
      </c>
      <c r="B783" s="29" t="s">
        <v>110</v>
      </c>
      <c r="C783" s="28">
        <v>5.12</v>
      </c>
      <c r="D783" s="28"/>
    </row>
    <row r="784" spans="1:4" ht="15.75" outlineLevel="1" x14ac:dyDescent="0.2">
      <c r="A784" s="28" t="s">
        <v>1067</v>
      </c>
      <c r="B784" s="29" t="s">
        <v>111</v>
      </c>
      <c r="C784" s="28">
        <v>5.15</v>
      </c>
      <c r="D784" s="28"/>
    </row>
    <row r="785" spans="1:4" ht="15.75" outlineLevel="1" x14ac:dyDescent="0.2">
      <c r="A785" s="28" t="s">
        <v>1067</v>
      </c>
      <c r="B785" s="29" t="s">
        <v>112</v>
      </c>
      <c r="C785" s="30">
        <v>5.2</v>
      </c>
      <c r="D785" s="81"/>
    </row>
    <row r="786" spans="1:4" ht="15.75" outlineLevel="1" x14ac:dyDescent="0.2">
      <c r="A786" s="28" t="s">
        <v>1067</v>
      </c>
      <c r="B786" s="29" t="s">
        <v>113</v>
      </c>
      <c r="C786" s="28">
        <v>5.25</v>
      </c>
      <c r="D786" s="28"/>
    </row>
    <row r="787" spans="1:4" ht="15.75" outlineLevel="1" x14ac:dyDescent="0.2">
      <c r="A787" s="28" t="s">
        <v>1067</v>
      </c>
      <c r="B787" s="29" t="s">
        <v>59</v>
      </c>
      <c r="C787" s="28">
        <v>5.53</v>
      </c>
      <c r="D787" s="28"/>
    </row>
    <row r="788" spans="1:4" ht="15.75" outlineLevel="1" x14ac:dyDescent="0.2">
      <c r="A788" s="28" t="s">
        <v>1067</v>
      </c>
      <c r="B788" s="29" t="s">
        <v>191</v>
      </c>
      <c r="C788" s="30">
        <v>5.4</v>
      </c>
      <c r="D788" s="28"/>
    </row>
    <row r="789" spans="1:4" ht="15.75" outlineLevel="1" x14ac:dyDescent="0.2">
      <c r="A789" s="28" t="s">
        <v>1067</v>
      </c>
      <c r="B789" s="29" t="s">
        <v>192</v>
      </c>
      <c r="C789" s="28">
        <v>5.92</v>
      </c>
      <c r="D789" s="28"/>
    </row>
    <row r="790" spans="1:4" ht="15.75" outlineLevel="1" x14ac:dyDescent="0.2">
      <c r="A790" s="28" t="s">
        <v>1067</v>
      </c>
      <c r="B790" s="29" t="s">
        <v>193</v>
      </c>
      <c r="C790" s="28">
        <v>5.93</v>
      </c>
      <c r="D790" s="28"/>
    </row>
    <row r="791" spans="1:4" ht="31.5" outlineLevel="1" x14ac:dyDescent="0.2">
      <c r="A791" s="28" t="s">
        <v>1067</v>
      </c>
      <c r="B791" s="29" t="s">
        <v>194</v>
      </c>
      <c r="C791" s="28">
        <v>5.94</v>
      </c>
      <c r="D791" s="28"/>
    </row>
    <row r="792" spans="1:4" ht="15.75" outlineLevel="1" x14ac:dyDescent="0.2">
      <c r="A792" s="28" t="s">
        <v>1067</v>
      </c>
      <c r="B792" s="29" t="s">
        <v>195</v>
      </c>
      <c r="C792" s="28">
        <v>5.95</v>
      </c>
      <c r="D792" s="28"/>
    </row>
    <row r="793" spans="1:4" ht="15.75" outlineLevel="1" x14ac:dyDescent="0.2">
      <c r="A793" s="28" t="s">
        <v>1067</v>
      </c>
      <c r="B793" s="29" t="s">
        <v>196</v>
      </c>
      <c r="C793" s="28">
        <v>5.98</v>
      </c>
      <c r="D793" s="28"/>
    </row>
    <row r="794" spans="1:4" ht="15.75" outlineLevel="1" x14ac:dyDescent="0.2">
      <c r="A794" s="28" t="s">
        <v>1067</v>
      </c>
      <c r="B794" s="29" t="s">
        <v>197</v>
      </c>
      <c r="C794" s="28">
        <v>5.96</v>
      </c>
      <c r="D794" s="28"/>
    </row>
    <row r="795" spans="1:4" ht="15.75" x14ac:dyDescent="0.2">
      <c r="A795" s="33" t="s">
        <v>1067</v>
      </c>
      <c r="B795" s="29"/>
      <c r="C795" s="28"/>
      <c r="D795" s="28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9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7"/>
    </row>
    <row r="15" spans="1:2" ht="15" x14ac:dyDescent="0.25">
      <c r="A15" s="19" t="s">
        <v>1111</v>
      </c>
    </row>
    <row r="16" spans="1:2" x14ac:dyDescent="0.2">
      <c r="A16" s="25" t="s">
        <v>1112</v>
      </c>
    </row>
    <row r="17" spans="1:2" x14ac:dyDescent="0.2">
      <c r="A17" s="25" t="s">
        <v>1113</v>
      </c>
    </row>
    <row r="18" spans="1:2" x14ac:dyDescent="0.2">
      <c r="A18" s="25" t="s">
        <v>1114</v>
      </c>
    </row>
    <row r="19" spans="1:2" x14ac:dyDescent="0.2">
      <c r="A19" s="25" t="s">
        <v>1115</v>
      </c>
    </row>
    <row r="21" spans="1:2" ht="15" x14ac:dyDescent="0.25">
      <c r="A21" s="26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1117</v>
      </c>
      <c r="B34" s="19" t="s">
        <v>309</v>
      </c>
    </row>
    <row r="35" spans="1:2" x14ac:dyDescent="0.2">
      <c r="A35" s="13" t="s">
        <v>1118</v>
      </c>
      <c r="B35" s="32">
        <v>512310509</v>
      </c>
    </row>
    <row r="36" spans="1:2" x14ac:dyDescent="0.2">
      <c r="A36" t="s">
        <v>1119</v>
      </c>
      <c r="B36" s="32">
        <v>513910703</v>
      </c>
    </row>
    <row r="37" spans="1:2" x14ac:dyDescent="0.2">
      <c r="A37" t="s">
        <v>1120</v>
      </c>
      <c r="B37" s="32">
        <v>512304882</v>
      </c>
    </row>
    <row r="38" spans="1:2" x14ac:dyDescent="0.2">
      <c r="A38" t="s">
        <v>1121</v>
      </c>
      <c r="B38" s="32">
        <v>520030677</v>
      </c>
    </row>
    <row r="39" spans="1:2" x14ac:dyDescent="0.2">
      <c r="A39" t="s">
        <v>1122</v>
      </c>
      <c r="B39" s="32">
        <v>513621110</v>
      </c>
    </row>
    <row r="40" spans="1:2" x14ac:dyDescent="0.2">
      <c r="A40" t="s">
        <v>1123</v>
      </c>
      <c r="B40" s="13">
        <v>513173393</v>
      </c>
    </row>
    <row r="41" spans="1:2" x14ac:dyDescent="0.2">
      <c r="A41" t="s">
        <v>1124</v>
      </c>
      <c r="B41" s="13">
        <v>511880460</v>
      </c>
    </row>
    <row r="42" spans="1:2" x14ac:dyDescent="0.2">
      <c r="A42" t="s">
        <v>1125</v>
      </c>
      <c r="B42" s="13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3">
        <v>520023094</v>
      </c>
    </row>
    <row r="47" spans="1:2" x14ac:dyDescent="0.2">
      <c r="A47" t="s">
        <v>1130</v>
      </c>
      <c r="B47" s="13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3">
        <v>520030990</v>
      </c>
    </row>
    <row r="50" spans="1:2" x14ac:dyDescent="0.2">
      <c r="A50" t="s">
        <v>1133</v>
      </c>
      <c r="B50" s="13">
        <v>520028812</v>
      </c>
    </row>
    <row r="51" spans="1:2" x14ac:dyDescent="0.2">
      <c r="A51" t="s">
        <v>1134</v>
      </c>
      <c r="B51" s="13">
        <v>520034968</v>
      </c>
    </row>
    <row r="52" spans="1:2" x14ac:dyDescent="0.2">
      <c r="A52" t="s">
        <v>1135</v>
      </c>
      <c r="B52" s="13">
        <v>520031824</v>
      </c>
    </row>
    <row r="53" spans="1:2" x14ac:dyDescent="0.2">
      <c r="A53" t="s">
        <v>1136</v>
      </c>
      <c r="B53" s="13">
        <v>520005497</v>
      </c>
    </row>
    <row r="54" spans="1:2" x14ac:dyDescent="0.2">
      <c r="A54" t="s">
        <v>1137</v>
      </c>
      <c r="B54" s="13">
        <v>520022518</v>
      </c>
    </row>
    <row r="55" spans="1:2" x14ac:dyDescent="0.2">
      <c r="A55" t="s">
        <v>1138</v>
      </c>
      <c r="B55" s="13">
        <v>520028556</v>
      </c>
    </row>
    <row r="56" spans="1:2" x14ac:dyDescent="0.2">
      <c r="A56" t="s">
        <v>1139</v>
      </c>
      <c r="B56" s="13">
        <v>520032269</v>
      </c>
    </row>
    <row r="57" spans="1:2" x14ac:dyDescent="0.2">
      <c r="A57" t="s">
        <v>1140</v>
      </c>
      <c r="B57" s="13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3">
        <v>520028861</v>
      </c>
    </row>
    <row r="60" spans="1:2" x14ac:dyDescent="0.2">
      <c r="A60" t="s">
        <v>1143</v>
      </c>
      <c r="B60" s="13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3">
        <v>515447035</v>
      </c>
    </row>
    <row r="63" spans="1:2" x14ac:dyDescent="0.2">
      <c r="A63" t="s">
        <v>1146</v>
      </c>
      <c r="B63" s="13">
        <v>520042607</v>
      </c>
    </row>
    <row r="64" spans="1:2" x14ac:dyDescent="0.2">
      <c r="A64" t="s">
        <v>1147</v>
      </c>
      <c r="B64" s="13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3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3">
        <v>513452003</v>
      </c>
    </row>
    <row r="70" spans="1:2" x14ac:dyDescent="0.2">
      <c r="A70" t="s">
        <v>1153</v>
      </c>
      <c r="B70" s="13">
        <v>510142789</v>
      </c>
    </row>
    <row r="71" spans="1:2" x14ac:dyDescent="0.2">
      <c r="A71" t="s">
        <v>1154</v>
      </c>
      <c r="B71" s="13">
        <v>510960586</v>
      </c>
    </row>
    <row r="72" spans="1:2" x14ac:dyDescent="0.2">
      <c r="A72" t="s">
        <v>1155</v>
      </c>
      <c r="B72" s="13">
        <v>510930670</v>
      </c>
    </row>
    <row r="73" spans="1:2" x14ac:dyDescent="0.2">
      <c r="A73" t="s">
        <v>1156</v>
      </c>
      <c r="B73" s="13">
        <v>510927536</v>
      </c>
    </row>
    <row r="74" spans="1:2" x14ac:dyDescent="0.2">
      <c r="A74" t="s">
        <v>1157</v>
      </c>
      <c r="B74" s="13">
        <v>510930654</v>
      </c>
    </row>
    <row r="75" spans="1:2" x14ac:dyDescent="0.2">
      <c r="A75" t="s">
        <v>1158</v>
      </c>
      <c r="B75" s="13">
        <v>520032566</v>
      </c>
    </row>
    <row r="76" spans="1:2" x14ac:dyDescent="0.2">
      <c r="A76" t="s">
        <v>1159</v>
      </c>
      <c r="B76" s="13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3">
        <v>512244146</v>
      </c>
    </row>
    <row r="80" spans="1:2" x14ac:dyDescent="0.2">
      <c r="A80" t="s">
        <v>1163</v>
      </c>
      <c r="B80" s="13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3">
        <v>511423048</v>
      </c>
    </row>
    <row r="83" spans="1:2" x14ac:dyDescent="0.2">
      <c r="A83" t="s">
        <v>1166</v>
      </c>
      <c r="B83" s="13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3">
        <v>512237744</v>
      </c>
    </row>
    <row r="86" spans="1:2" x14ac:dyDescent="0.2">
      <c r="A86" t="s">
        <v>1169</v>
      </c>
      <c r="B86" s="13">
        <v>514956465</v>
      </c>
    </row>
    <row r="87" spans="1:2" x14ac:dyDescent="0.2">
      <c r="A87" t="s">
        <v>1170</v>
      </c>
      <c r="B87" s="13">
        <v>512362914</v>
      </c>
    </row>
    <row r="88" spans="1:2" x14ac:dyDescent="0.2">
      <c r="A88" t="s">
        <v>1171</v>
      </c>
      <c r="B88" s="13">
        <v>520042615</v>
      </c>
    </row>
    <row r="89" spans="1:2" x14ac:dyDescent="0.2">
      <c r="A89" t="s">
        <v>1172</v>
      </c>
      <c r="B89" s="13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3">
        <v>520027715</v>
      </c>
    </row>
    <row r="92" spans="1:2" x14ac:dyDescent="0.2">
      <c r="A92" t="s">
        <v>1175</v>
      </c>
      <c r="B92" s="13">
        <v>512245812</v>
      </c>
    </row>
    <row r="93" spans="1:2" x14ac:dyDescent="0.2">
      <c r="A93" t="s">
        <v>1176</v>
      </c>
      <c r="B93" s="13">
        <v>520022351</v>
      </c>
    </row>
    <row r="94" spans="1:2" x14ac:dyDescent="0.2">
      <c r="A94" t="s">
        <v>1177</v>
      </c>
      <c r="B94" s="13">
        <v>514767490</v>
      </c>
    </row>
    <row r="95" spans="1:2" x14ac:dyDescent="0.2">
      <c r="A95" t="s">
        <v>1178</v>
      </c>
      <c r="B95" s="13">
        <v>520024985</v>
      </c>
    </row>
    <row r="96" spans="1:2" x14ac:dyDescent="0.2">
      <c r="A96" t="s">
        <v>1179</v>
      </c>
      <c r="B96" s="13">
        <v>520042573</v>
      </c>
    </row>
    <row r="97" spans="1:2" x14ac:dyDescent="0.2">
      <c r="A97" t="s">
        <v>1180</v>
      </c>
      <c r="B97" s="13">
        <v>570009449</v>
      </c>
    </row>
    <row r="98" spans="1:2" x14ac:dyDescent="0.2">
      <c r="A98" t="s">
        <v>1181</v>
      </c>
      <c r="B98" s="13">
        <v>520031659</v>
      </c>
    </row>
    <row r="99" spans="1:2" x14ac:dyDescent="0.2">
      <c r="A99" t="s">
        <v>1182</v>
      </c>
      <c r="B99" s="13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3">
        <v>520030941</v>
      </c>
    </row>
    <row r="102" spans="1:2" x14ac:dyDescent="0.2">
      <c r="A102" t="s">
        <v>1185</v>
      </c>
      <c r="B102" s="13">
        <v>512008335</v>
      </c>
    </row>
    <row r="103" spans="1:2" x14ac:dyDescent="0.2">
      <c r="A103" t="s">
        <v>1186</v>
      </c>
      <c r="B103" s="13">
        <v>520022963</v>
      </c>
    </row>
    <row r="104" spans="1:2" x14ac:dyDescent="0.2">
      <c r="A104" t="s">
        <v>1187</v>
      </c>
      <c r="B104" s="13">
        <v>570011767</v>
      </c>
    </row>
    <row r="105" spans="1:2" x14ac:dyDescent="0.2">
      <c r="A105" t="s">
        <v>1188</v>
      </c>
      <c r="B105" s="13">
        <v>570014928</v>
      </c>
    </row>
    <row r="106" spans="1:2" x14ac:dyDescent="0.2">
      <c r="A106" t="s">
        <v>1189</v>
      </c>
      <c r="B106" s="13">
        <v>570005959</v>
      </c>
    </row>
    <row r="107" spans="1:2" x14ac:dyDescent="0.2">
      <c r="A107" t="s">
        <v>1190</v>
      </c>
      <c r="B107" s="13">
        <v>510800402</v>
      </c>
    </row>
    <row r="108" spans="1:2" x14ac:dyDescent="0.2">
      <c r="A108" t="s">
        <v>1191</v>
      </c>
      <c r="B108" s="13">
        <v>570007476</v>
      </c>
    </row>
    <row r="109" spans="1:2" x14ac:dyDescent="0.2">
      <c r="A109" t="s">
        <v>1192</v>
      </c>
      <c r="B109" s="13">
        <v>570005850</v>
      </c>
    </row>
    <row r="110" spans="1:2" x14ac:dyDescent="0.2">
      <c r="A110" t="s">
        <v>1193</v>
      </c>
      <c r="B110" s="13">
        <v>520020504</v>
      </c>
    </row>
    <row r="111" spans="1:2" x14ac:dyDescent="0.2">
      <c r="A111" t="s">
        <v>1194</v>
      </c>
      <c r="B111" s="13">
        <v>520020447</v>
      </c>
    </row>
    <row r="112" spans="1:2" x14ac:dyDescent="0.2">
      <c r="A112" t="s">
        <v>1195</v>
      </c>
      <c r="B112" s="13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3">
        <v>570009852</v>
      </c>
    </row>
    <row r="115" spans="1:2" x14ac:dyDescent="0.2">
      <c r="A115" t="s">
        <v>1198</v>
      </c>
      <c r="B115" s="13">
        <v>520027251</v>
      </c>
    </row>
    <row r="116" spans="1:2" x14ac:dyDescent="0.2">
      <c r="A116" t="s">
        <v>1199</v>
      </c>
      <c r="B116" s="13">
        <v>520028390</v>
      </c>
    </row>
    <row r="117" spans="1:2" x14ac:dyDescent="0.2">
      <c r="A117" t="s">
        <v>1200</v>
      </c>
      <c r="B117" s="13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3">
        <v>520030693</v>
      </c>
    </row>
    <row r="121" spans="1:2" x14ac:dyDescent="0.2">
      <c r="A121" t="s">
        <v>1204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78</vt:i4>
      </vt:variant>
    </vt:vector>
  </HeadingPairs>
  <TitlesOfParts>
    <vt:vector size="113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'פיקדונות מעל 3 חודשים'!Extract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2024-08-26T06:44:44Z</dcterms:modified>
  <cp:category/>
  <cp:contentStatus/>
</cp:coreProperties>
</file>