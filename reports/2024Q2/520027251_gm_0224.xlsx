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J:\Pr Source2\חשבות\רשימת נכסים ברמת הנכס הבודד חדש\30.06.24\אחרון\"/>
    </mc:Choice>
  </mc:AlternateContent>
  <bookViews>
    <workbookView xWindow="-120" yWindow="-120" windowWidth="29040" windowHeight="15840" tabRatio="840"/>
  </bookViews>
  <sheets>
    <sheet name="מקרא" sheetId="60" r:id="rId1"/>
    <sheet name="עמוד פתיחה" sheetId="38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48" r:id="rId17"/>
    <sheet name="לא סחיר ניירות ערך מסחריים" sheetId="16" r:id="rId18"/>
    <sheet name="לא סחיר איגרות חוב" sheetId="17" r:id="rId19"/>
    <sheet name="לא סחיר מניות מבכ ויהש" sheetId="18" r:id="rId20"/>
    <sheet name="קרנות השקעה" sheetId="19" r:id="rId21"/>
    <sheet name="לא סחיר כתבי אופציה" sheetId="20" r:id="rId22"/>
    <sheet name="לא סחיר אופציות" sheetId="21" r:id="rId23"/>
    <sheet name="לא סחיר נגזרים אחרים" sheetId="40" r:id="rId24"/>
    <sheet name="הלוואות" sheetId="23" r:id="rId25"/>
    <sheet name="לא סחיר מוצרים מובנים" sheetId="24" r:id="rId26"/>
    <sheet name="פיקדונות מעל 3 חודשים" sheetId="25" r:id="rId27"/>
    <sheet name="זכויות מקרקעין" sheetId="26" r:id="rId28"/>
    <sheet name="השקעה בחברות מוחזקות" sheetId="27" r:id="rId29"/>
    <sheet name="נכסים אחרים" sheetId="28" r:id="rId30"/>
    <sheet name="מסגרות אשראי" sheetId="29" r:id="rId31"/>
    <sheet name="יתרות התחייבות להשקעה" sheetId="47" r:id="rId32"/>
    <sheet name="אפשרויות בחירה" sheetId="49" r:id="rId33"/>
    <sheet name="מיפוי סעיפים" sheetId="58" r:id="rId34"/>
    <sheet name="File Name Info" sheetId="41" state="hidden" r:id="rId35"/>
  </sheets>
  <externalReferences>
    <externalReference r:id="rId36"/>
  </externalReferences>
  <definedNames>
    <definedName name="_xlnm._FilterDatabase" localSheetId="32" hidden="1">'אפשרויות בחירה'!$A$1:$E$1040</definedName>
    <definedName name="_xlnm._FilterDatabase" localSheetId="3" hidden="1">'מזומנים ושווי מזומנים'!$A$2:$N$2</definedName>
    <definedName name="_xlnm._FilterDatabase" localSheetId="33" hidden="1">'מיפוי סעיפים'!$A$1:$D$795</definedName>
    <definedName name="_xlnm._FilterDatabase" localSheetId="26" hidden="1">'פיקדונות מעל 3 חודשים'!$B:$B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_xlnm.Extract" localSheetId="26">'פיקדונות מעל 3 חודשים'!$X$2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3" hidden="1">'מזומנים ושווי מזומנים'!$A$2:$N$2</definedName>
    <definedName name="Z_AE318230_F718_49FC_82EB_7CAC3DCD05F1_.wvu.Rows" localSheetId="11" hidden="1">אופציות!#REF!</definedName>
    <definedName name="Z_AE318230_F718_49FC_82EB_7CAC3DCD05F1_.wvu.Rows" localSheetId="6" hidden="1">'איגרות חוב'!#REF!</definedName>
    <definedName name="Z_AE318230_F718_49FC_82EB_7CAC3DCD05F1_.wvu.Rows" localSheetId="4" hidden="1">'איגרות חוב ממשלתיות'!#REF!</definedName>
    <definedName name="Z_AE318230_F718_49FC_82EB_7CAC3DCD05F1_.wvu.Rows" localSheetId="16" hidden="1">'אפיק השקעה מובטח תשואה'!#REF!</definedName>
    <definedName name="Z_AE318230_F718_49FC_82EB_7CAC3DCD05F1_.wvu.Rows" localSheetId="28" hidden="1">'השקעה בחברות מוחזקות'!#REF!</definedName>
    <definedName name="Z_AE318230_F718_49FC_82EB_7CAC3DCD05F1_.wvu.Rows" localSheetId="27" hidden="1">'זכויות מקרקעין'!#REF!</definedName>
    <definedName name="Z_AE318230_F718_49FC_82EB_7CAC3DCD05F1_.wvu.Rows" localSheetId="12" hidden="1">'חוזים עתידיים'!#REF!</definedName>
    <definedName name="Z_AE318230_F718_49FC_82EB_7CAC3DCD05F1_.wvu.Rows" localSheetId="31" hidden="1">'יתרות התחייבות להשקעה'!#REF!</definedName>
    <definedName name="Z_AE318230_F718_49FC_82EB_7CAC3DCD05F1_.wvu.Rows" localSheetId="10" hidden="1">'כתבי אופציה'!#REF!</definedName>
    <definedName name="Z_AE318230_F718_49FC_82EB_7CAC3DCD05F1_.wvu.Rows" localSheetId="22" hidden="1">'לא סחיר אופציות'!#REF!</definedName>
    <definedName name="Z_AE318230_F718_49FC_82EB_7CAC3DCD05F1_.wvu.Rows" localSheetId="18" hidden="1">'לא סחיר איגרות חוב'!#REF!</definedName>
    <definedName name="Z_AE318230_F718_49FC_82EB_7CAC3DCD05F1_.wvu.Rows" localSheetId="15" hidden="1">'לא סחיר איגרות חוב מיועדות'!#REF!</definedName>
    <definedName name="Z_AE318230_F718_49FC_82EB_7CAC3DCD05F1_.wvu.Rows" localSheetId="14" hidden="1">'לא סחיר איגרות חוב ממשלתיות'!#REF!</definedName>
    <definedName name="Z_AE318230_F718_49FC_82EB_7CAC3DCD05F1_.wvu.Rows" localSheetId="21" hidden="1">'לא סחיר כתבי אופציה'!#REF!</definedName>
    <definedName name="Z_AE318230_F718_49FC_82EB_7CAC3DCD05F1_.wvu.Rows" localSheetId="25" hidden="1">'לא סחיר מוצרים מובנים'!#REF!</definedName>
    <definedName name="Z_AE318230_F718_49FC_82EB_7CAC3DCD05F1_.wvu.Rows" localSheetId="19" hidden="1">'לא סחיר מניות מבכ ויהש'!#REF!</definedName>
    <definedName name="Z_AE318230_F718_49FC_82EB_7CAC3DCD05F1_.wvu.Rows" localSheetId="17" hidden="1">'לא סחיר ניירות ערך מסחריים'!#REF!</definedName>
    <definedName name="Z_AE318230_F718_49FC_82EB_7CAC3DCD05F1_.wvu.Rows" localSheetId="13" hidden="1">'מוצרים מובנים'!#REF!</definedName>
    <definedName name="Z_AE318230_F718_49FC_82EB_7CAC3DCD05F1_.wvu.Rows" localSheetId="7" hidden="1">'מניות מבכ ויהש'!#REF!</definedName>
    <definedName name="Z_AE318230_F718_49FC_82EB_7CAC3DCD05F1_.wvu.Rows" localSheetId="30" hidden="1">'מסגרות אשראי'!#REF!</definedName>
    <definedName name="Z_AE318230_F718_49FC_82EB_7CAC3DCD05F1_.wvu.Rows" localSheetId="5" hidden="1">'ניירות ערך מסחריים'!#REF!</definedName>
    <definedName name="Z_AE318230_F718_49FC_82EB_7CAC3DCD05F1_.wvu.Rows" localSheetId="29" hidden="1">'נכסים אחרים'!#REF!</definedName>
    <definedName name="Z_AE318230_F718_49FC_82EB_7CAC3DCD05F1_.wvu.Rows" localSheetId="26" hidden="1">'פיקדונות מעל 3 חודשים'!#REF!</definedName>
    <definedName name="Z_AE318230_F718_49FC_82EB_7CAC3DCD05F1_.wvu.Rows" localSheetId="20" hidden="1">'קרנות השקעה'!#REF!</definedName>
    <definedName name="Z_AE318230_F718_49FC_82EB_7CAC3DCD05F1_.wvu.Rows" localSheetId="9" hidden="1">'קרנות נאמנות'!#REF!</definedName>
    <definedName name="Z_AE318230_F718_49FC_82EB_7CAC3DCD05F1_.wvu.Rows" localSheetId="8" hidden="1">'קרנות סל'!#REF!</definedName>
  </definedNames>
  <calcPr calcId="162913" forceFullCalc="1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extLst>
</workbook>
</file>

<file path=xl/calcChain.xml><?xml version="1.0" encoding="utf-8"?>
<calcChain xmlns="http://schemas.openxmlformats.org/spreadsheetml/2006/main">
  <c r="C31" i="2" l="1"/>
  <c r="D31" i="2"/>
  <c r="E31" i="2"/>
</calcChain>
</file>

<file path=xl/sharedStrings.xml><?xml version="1.0" encoding="utf-8"?>
<sst xmlns="http://schemas.openxmlformats.org/spreadsheetml/2006/main" count="49170" uniqueCount="3927">
  <si>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</si>
  <si>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</si>
  <si>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</si>
  <si>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</si>
  <si>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</si>
  <si>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</si>
  <si>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</si>
  <si>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</si>
  <si>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</si>
  <si>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</si>
  <si>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</si>
  <si>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</si>
  <si>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</si>
  <si>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</si>
  <si>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</si>
  <si>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</si>
  <si>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</si>
  <si>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</si>
  <si>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</si>
  <si>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</si>
  <si>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</si>
  <si>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</si>
  <si>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</si>
  <si>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</si>
  <si>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</si>
  <si>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</si>
  <si>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</si>
  <si>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</si>
  <si>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</si>
  <si>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</si>
  <si>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</si>
  <si>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</si>
  <si>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</si>
  <si>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</si>
  <si>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</si>
  <si>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</si>
  <si>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</si>
  <si>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</si>
  <si>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</si>
  <si>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</si>
  <si>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</si>
  <si>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</si>
  <si>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</si>
  <si>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</si>
  <si>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</si>
  <si>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</si>
  <si>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</si>
  <si>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</si>
  <si>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</si>
  <si>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</si>
  <si>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</si>
  <si>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</si>
  <si>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</si>
  <si>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</si>
  <si>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</si>
  <si>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</si>
  <si>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</si>
  <si>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</si>
  <si>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</si>
  <si>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</si>
  <si>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</si>
  <si>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</si>
  <si>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</si>
  <si>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</si>
  <si>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</si>
  <si>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</si>
  <si>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</si>
  <si>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</si>
  <si>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</si>
  <si>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</si>
  <si>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</si>
  <si>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</si>
  <si>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</si>
  <si>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</si>
  <si>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</si>
  <si>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</si>
  <si>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</si>
  <si>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</si>
  <si>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</si>
  <si>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</si>
  <si>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</si>
  <si>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</si>
  <si>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</si>
  <si>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</si>
  <si>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</si>
  <si>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</si>
  <si>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</si>
  <si>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</si>
  <si>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</si>
  <si>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</si>
  <si>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</si>
  <si>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</si>
  <si>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</si>
  <si>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</si>
  <si>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</si>
  <si>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</si>
  <si>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</si>
  <si>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</si>
  <si>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</si>
  <si>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</si>
  <si>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</si>
  <si>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</si>
  <si>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</si>
  <si>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</si>
  <si>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</si>
  <si>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</si>
  <si>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</si>
  <si>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</si>
  <si>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</si>
  <si>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</si>
  <si>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</si>
  <si>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</si>
  <si>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</si>
  <si>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</si>
  <si>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</si>
  <si>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</si>
  <si>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</si>
  <si>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</si>
  <si>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</si>
  <si>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</si>
  <si>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</si>
  <si>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</si>
  <si>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</si>
  <si>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</si>
  <si>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</si>
  <si>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</si>
  <si>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</si>
  <si>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</si>
  <si>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</si>
  <si>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</si>
  <si>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</si>
  <si>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</si>
  <si>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</si>
  <si>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</si>
  <si>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</si>
  <si>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</si>
  <si>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</si>
  <si>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</si>
  <si>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</si>
  <si>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</si>
  <si>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</si>
  <si>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</si>
  <si>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</si>
  <si>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</si>
  <si>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</si>
  <si>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</si>
  <si>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</si>
  <si>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</si>
  <si>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</si>
  <si>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</si>
  <si>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</si>
  <si>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</si>
  <si>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</si>
  <si>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</si>
  <si>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</si>
  <si>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</si>
  <si>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</si>
  <si>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</si>
  <si>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</si>
  <si>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</si>
  <si>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</si>
  <si>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</si>
  <si>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</si>
  <si>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</si>
  <si>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</si>
  <si>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</si>
  <si>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</si>
  <si>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</si>
  <si>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</si>
  <si>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</si>
  <si>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</si>
  <si>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</si>
  <si>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</si>
  <si>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</si>
  <si>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</si>
  <si>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</si>
  <si>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</si>
  <si>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</si>
  <si>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</si>
  <si>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</si>
  <si>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</si>
  <si>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</si>
  <si>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</si>
  <si>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</si>
  <si>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</si>
  <si>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</si>
  <si>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</si>
  <si>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</si>
  <si>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</si>
  <si>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</si>
  <si>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</si>
  <si>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</si>
  <si>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</si>
  <si>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</si>
  <si>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</si>
  <si>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</si>
  <si>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</si>
  <si>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</si>
  <si>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</si>
  <si>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</si>
  <si>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</si>
  <si>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</si>
  <si>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>שינוי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</si>
  <si>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</si>
  <si>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</si>
  <si>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</si>
  <si>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</si>
  <si>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</si>
  <si>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</si>
  <si>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</si>
  <si>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</si>
  <si>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</si>
  <si>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</si>
  <si>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</si>
  <si>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</si>
  <si>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</si>
  <si>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</si>
  <si>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</si>
  <si>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</si>
  <si>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</si>
  <si>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</si>
  <si>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</si>
  <si>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</si>
  <si>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</si>
  <si>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</si>
  <si>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</si>
  <si>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</si>
  <si>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</si>
  <si>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</si>
  <si>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</si>
  <si>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</si>
  <si>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</si>
  <si>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</si>
  <si>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</si>
  <si>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</si>
  <si>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</si>
  <si>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</si>
  <si>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</si>
  <si>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</si>
  <si>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</si>
  <si>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</si>
  <si>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</si>
  <si>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</si>
  <si>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</si>
  <si>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</si>
  <si>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</si>
  <si>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</si>
  <si>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</si>
  <si>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</si>
  <si>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</si>
  <si>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</si>
  <si>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</si>
  <si>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</si>
  <si>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</si>
  <si>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</si>
  <si>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</si>
  <si>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</si>
  <si>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</si>
  <si>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</si>
  <si>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</si>
  <si>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</si>
  <si>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</si>
  <si>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</si>
  <si>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</si>
  <si>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</si>
  <si>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</si>
  <si>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</si>
  <si>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</si>
  <si>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</si>
  <si>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</si>
  <si>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</si>
  <si>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</si>
  <si>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</si>
  <si>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</si>
  <si>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</si>
  <si>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</si>
  <si>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</si>
  <si>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</si>
  <si>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</si>
  <si>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</si>
  <si>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</si>
  <si>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</si>
  <si>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</si>
  <si>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</si>
  <si>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</si>
  <si>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</si>
  <si>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</si>
  <si>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</si>
  <si>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</si>
  <si>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</si>
  <si>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</si>
  <si>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</si>
  <si>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</si>
  <si>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</si>
  <si>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</si>
  <si>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</si>
  <si>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</si>
  <si>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</si>
  <si>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</si>
  <si>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</si>
  <si>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</si>
  <si>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</si>
  <si>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</si>
  <si>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</si>
  <si>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</si>
  <si>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</si>
  <si>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</si>
  <si>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</si>
  <si>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</si>
  <si>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</si>
  <si>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</si>
  <si>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</si>
  <si>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</si>
  <si>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</si>
  <si>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</si>
  <si>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</si>
  <si>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</si>
  <si>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</si>
  <si>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</si>
  <si>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</si>
  <si>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</si>
  <si>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</si>
  <si>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</si>
  <si>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</si>
  <si>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</si>
  <si>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</si>
  <si>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</si>
  <si>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</si>
  <si>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</si>
  <si>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</si>
  <si>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</si>
  <si>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</si>
  <si>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</si>
  <si>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</si>
  <si>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</si>
  <si>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</si>
  <si>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</si>
  <si>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</si>
  <si>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</si>
  <si>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</si>
  <si>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</si>
  <si>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</si>
  <si>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</si>
  <si>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</si>
  <si>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</si>
  <si>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</si>
  <si>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</si>
  <si>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</si>
  <si>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</si>
  <si>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</si>
  <si>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</si>
  <si>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</si>
  <si>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</si>
  <si>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</si>
  <si>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</si>
  <si>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</si>
  <si>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</si>
  <si>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</si>
  <si>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</si>
  <si>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</si>
  <si>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</si>
  <si>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</si>
  <si>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</si>
  <si>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</si>
  <si>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</si>
  <si>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</si>
  <si>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</si>
  <si>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</si>
  <si>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</si>
  <si>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</si>
  <si>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</si>
  <si>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</si>
  <si>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</si>
  <si>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</si>
  <si>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</si>
  <si>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</si>
  <si>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</si>
  <si>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</si>
  <si>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</si>
  <si>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</si>
  <si>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</si>
  <si>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</si>
  <si>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</si>
  <si>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</si>
  <si>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</si>
  <si>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</si>
  <si>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</si>
  <si>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</si>
  <si>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</si>
  <si>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</si>
  <si>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</si>
  <si>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</si>
  <si>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</si>
  <si>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</si>
  <si>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</si>
  <si>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</si>
  <si>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</si>
  <si>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</si>
  <si>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</si>
  <si>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</si>
  <si>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</si>
  <si>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</si>
  <si>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</si>
  <si>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</si>
  <si>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</si>
  <si>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</si>
  <si>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</si>
  <si>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</si>
  <si>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</si>
  <si>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</si>
  <si>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</si>
  <si>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</si>
  <si>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</si>
  <si>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</si>
  <si>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</si>
  <si>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</si>
  <si>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</si>
  <si>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</si>
  <si>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</si>
  <si>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</si>
  <si>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</si>
  <si>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</si>
  <si>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</si>
  <si>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</si>
  <si>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</si>
  <si>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</si>
  <si>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</si>
  <si>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</si>
  <si>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</si>
  <si>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</si>
  <si>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</si>
  <si>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</si>
  <si>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</si>
  <si>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</si>
  <si>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</si>
  <si>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</si>
  <si>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</si>
  <si>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</si>
  <si>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</si>
  <si>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</si>
  <si>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</si>
  <si>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</si>
  <si>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</si>
  <si>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</si>
  <si>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</si>
  <si>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</si>
  <si>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</si>
  <si>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</si>
  <si>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</si>
  <si>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</si>
  <si>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</si>
  <si>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</si>
  <si>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</si>
  <si>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</si>
  <si>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</si>
  <si>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</si>
  <si>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</si>
  <si>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</si>
  <si>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</si>
  <si>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</si>
  <si>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</si>
  <si>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</si>
  <si>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</si>
  <si>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</si>
  <si>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</si>
  <si>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</si>
  <si>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</si>
  <si>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</si>
  <si>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</si>
  <si>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</si>
  <si>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</si>
  <si>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</si>
  <si>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</si>
  <si>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</si>
  <si>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</si>
  <si>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</si>
  <si>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</si>
  <si>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</si>
  <si>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</si>
  <si>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</si>
  <si>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</si>
  <si>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</si>
  <si>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</si>
  <si>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</si>
  <si>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</si>
  <si>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</si>
  <si>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</si>
  <si>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</si>
  <si>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</si>
  <si>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</si>
  <si>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</si>
  <si>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</si>
  <si>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</si>
  <si>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</si>
  <si>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</si>
  <si>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</si>
  <si>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</si>
  <si>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</si>
  <si>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</si>
  <si>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</si>
  <si>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</si>
  <si>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</si>
  <si>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</si>
  <si>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</si>
  <si>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</si>
  <si>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</si>
  <si>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</si>
  <si>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</si>
  <si>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</si>
  <si>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</si>
  <si>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</si>
  <si>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</si>
  <si>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</si>
  <si>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</si>
  <si>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</si>
  <si>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</si>
  <si>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</si>
  <si>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</si>
  <si>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</si>
  <si>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</si>
  <si>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</si>
  <si>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</si>
  <si>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</si>
  <si>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</si>
  <si>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</si>
  <si>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</si>
  <si>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</si>
  <si>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</si>
  <si>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</si>
  <si>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</si>
  <si>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</si>
  <si>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</si>
  <si>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</si>
  <si>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</si>
  <si>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</si>
  <si>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</si>
  <si>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</si>
  <si>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</si>
  <si>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</si>
  <si>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</si>
  <si>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</si>
  <si>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</si>
  <si>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</si>
  <si>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</si>
  <si>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</si>
  <si>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</si>
  <si>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</si>
  <si>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</si>
  <si>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</si>
  <si>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</si>
  <si>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</si>
  <si>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</si>
  <si>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</si>
  <si>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</si>
  <si>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</si>
  <si>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</si>
  <si>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</si>
  <si>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</si>
  <si>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</si>
  <si>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</si>
  <si>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</si>
  <si>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</si>
  <si>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</si>
  <si>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</si>
  <si>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</si>
  <si>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</si>
  <si>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</si>
  <si>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</si>
  <si>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</si>
  <si>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</si>
  <si>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</si>
  <si>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</si>
  <si>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</si>
  <si>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</si>
  <si>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</si>
  <si>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</si>
  <si>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</si>
  <si>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</si>
  <si>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</si>
  <si>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</si>
  <si>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</si>
  <si>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</si>
  <si>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</si>
  <si>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</si>
  <si>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</si>
  <si>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</si>
  <si>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</si>
  <si>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</si>
  <si>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</si>
  <si>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</si>
  <si>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</si>
  <si>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</si>
  <si>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</si>
  <si>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</si>
  <si>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</si>
  <si>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</si>
  <si>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</si>
  <si>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</si>
  <si>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</si>
  <si>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</si>
  <si>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</si>
  <si>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</si>
  <si>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</si>
  <si>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</si>
  <si>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</si>
  <si>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</si>
  <si>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</si>
  <si>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</si>
  <si>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</si>
  <si>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</si>
  <si>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</si>
  <si>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</si>
  <si>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</si>
  <si>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</si>
  <si>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</si>
  <si>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</si>
  <si>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</si>
  <si>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</si>
  <si>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</si>
  <si>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</si>
  <si>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</si>
  <si>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</si>
  <si>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</si>
  <si>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</si>
  <si>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</si>
  <si>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</si>
  <si>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</si>
  <si>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</si>
  <si>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</si>
  <si>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</si>
  <si>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</si>
  <si>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</si>
  <si>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</si>
  <si>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</si>
  <si>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</si>
  <si>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</si>
  <si>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</si>
  <si>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</si>
  <si>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</si>
  <si>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</si>
  <si>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</si>
  <si>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</si>
  <si>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</si>
  <si>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</si>
  <si>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</si>
  <si>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</si>
  <si>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</si>
  <si>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</si>
  <si>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</si>
  <si>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</si>
  <si>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</si>
  <si>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</si>
  <si>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</si>
  <si>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</si>
  <si>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</si>
  <si>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</si>
  <si>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</si>
  <si>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</si>
  <si>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</si>
  <si>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</si>
  <si>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</si>
  <si>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</si>
  <si>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</si>
  <si>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</si>
  <si>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</si>
  <si>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</si>
  <si>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</si>
  <si>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</si>
  <si>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</si>
  <si>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</si>
  <si>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</si>
  <si>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</si>
  <si>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</si>
  <si>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</si>
  <si>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</si>
  <si>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</si>
  <si>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</si>
  <si>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</si>
  <si>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</si>
  <si>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</si>
  <si>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</si>
  <si>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</si>
  <si>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</si>
  <si>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</si>
  <si>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</si>
  <si>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</si>
  <si>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</si>
  <si>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</si>
  <si>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</si>
  <si>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</si>
  <si>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</si>
  <si>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</si>
  <si>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</si>
  <si>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</si>
  <si>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</si>
  <si>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</si>
  <si>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</si>
  <si>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</si>
  <si>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</si>
  <si>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</si>
  <si>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</si>
  <si>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</si>
  <si>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</si>
  <si>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</si>
  <si>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</si>
  <si>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</si>
  <si>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</si>
  <si>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</si>
  <si>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</si>
  <si>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</si>
  <si>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</si>
  <si>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</si>
  <si>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</si>
  <si>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</si>
  <si>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</si>
  <si>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</si>
  <si>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</si>
  <si>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</si>
  <si>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</si>
  <si>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</si>
  <si>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</si>
  <si>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</si>
  <si>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</si>
  <si>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</si>
  <si>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</si>
  <si>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</si>
  <si>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</si>
  <si>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</si>
  <si>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</si>
  <si>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</si>
  <si>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</si>
  <si>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</si>
  <si>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</si>
  <si>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</si>
  <si>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</si>
  <si>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</si>
  <si>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</si>
  <si>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</si>
  <si>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</si>
  <si>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</si>
  <si>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</si>
  <si>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</si>
  <si>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</si>
  <si>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</si>
  <si>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</si>
  <si>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</si>
  <si>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</si>
  <si>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</si>
  <si>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</si>
  <si>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</si>
  <si>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</si>
  <si>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</si>
  <si>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</si>
  <si>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</si>
  <si>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</si>
  <si>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</si>
  <si>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</si>
  <si>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</si>
  <si>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</si>
  <si>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</si>
  <si>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</si>
  <si>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</si>
  <si>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</si>
  <si>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</si>
  <si>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</si>
  <si>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</si>
  <si>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</si>
  <si>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</si>
  <si>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</si>
  <si>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</si>
  <si>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</si>
  <si>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</si>
  <si>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</si>
  <si>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</si>
  <si>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</si>
  <si>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</si>
  <si>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</si>
  <si>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</si>
  <si>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</si>
  <si>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</si>
  <si>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</si>
  <si>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</si>
  <si>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</si>
  <si>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</si>
  <si>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</si>
  <si>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</si>
  <si>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</si>
  <si>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</si>
  <si>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</si>
  <si>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</si>
  <si>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</si>
  <si>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</si>
  <si>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</si>
  <si>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</si>
  <si>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</si>
  <si>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</si>
  <si>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</si>
  <si>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</si>
  <si>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</si>
  <si>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</si>
  <si>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</si>
  <si>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</si>
  <si>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</si>
  <si>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</si>
  <si>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</si>
  <si>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</si>
  <si>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</si>
  <si>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</si>
  <si>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</si>
  <si>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</si>
  <si>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</si>
  <si>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</si>
  <si>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</si>
  <si>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</si>
  <si>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</si>
  <si>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</si>
  <si>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</si>
  <si>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</si>
  <si>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</si>
  <si>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</si>
  <si>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</si>
  <si>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</si>
  <si>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</si>
  <si>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</si>
  <si>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</si>
  <si>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</si>
  <si>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</si>
  <si>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</si>
  <si>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</si>
  <si>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</si>
  <si>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</si>
  <si>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</si>
  <si>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</si>
  <si>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</si>
  <si>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</si>
  <si>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</si>
  <si>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</si>
  <si>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</si>
  <si>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</si>
  <si>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</si>
  <si>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</si>
  <si>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</si>
  <si>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</si>
  <si>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</si>
  <si>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</si>
  <si>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</si>
  <si>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</si>
  <si>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</si>
  <si>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</si>
  <si>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</si>
  <si>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</si>
  <si>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</si>
  <si>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</si>
  <si>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</si>
  <si>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</si>
  <si>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</si>
  <si>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</si>
  <si>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</si>
  <si>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</si>
  <si>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</si>
  <si>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</si>
  <si>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</si>
  <si>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</si>
  <si>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</si>
  <si>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</si>
  <si>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</si>
  <si>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</si>
  <si>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</si>
  <si>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</si>
  <si>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</si>
  <si>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</si>
  <si>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</si>
  <si>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</si>
  <si>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</si>
  <si>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</si>
  <si>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</si>
  <si>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</si>
  <si>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</si>
  <si>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</si>
  <si>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</si>
  <si>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</si>
  <si>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</si>
  <si>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</si>
  <si>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</si>
  <si>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</si>
  <si>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</si>
  <si>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</si>
  <si>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</si>
  <si>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</si>
  <si>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</si>
  <si>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</si>
  <si>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</si>
  <si>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</si>
  <si>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</si>
  <si>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</si>
  <si>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</si>
  <si>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</si>
  <si>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</si>
  <si>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</si>
  <si>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</si>
  <si>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</si>
  <si>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</si>
  <si>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</si>
  <si>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</si>
  <si>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</si>
  <si>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</si>
  <si>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</si>
  <si>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</si>
  <si>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</si>
  <si>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</si>
  <si>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</si>
  <si>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</si>
  <si>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</si>
  <si>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</si>
  <si>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</si>
  <si>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</si>
  <si>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</si>
  <si>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</si>
  <si>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</si>
  <si>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</si>
  <si>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</si>
  <si>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</si>
  <si>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</si>
  <si>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</si>
  <si>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</si>
  <si>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</si>
  <si>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</si>
  <si>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</si>
  <si>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</si>
  <si>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</si>
  <si>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</si>
  <si>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</si>
  <si>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</si>
  <si>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</si>
  <si>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</si>
  <si>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</si>
  <si>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</si>
  <si>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</si>
  <si>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</si>
  <si>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</si>
  <si>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</si>
  <si>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</si>
  <si>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</si>
  <si>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</si>
  <si>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</si>
  <si>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</si>
  <si>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</si>
  <si>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</si>
  <si>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</si>
  <si>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</si>
  <si>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</si>
  <si>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</si>
  <si>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</si>
  <si>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</si>
  <si>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</si>
  <si>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</si>
  <si>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</si>
  <si>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</si>
  <si>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</si>
  <si>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</si>
  <si>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</si>
  <si>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</si>
  <si>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</si>
  <si>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</si>
  <si>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</si>
  <si>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</si>
  <si>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</si>
  <si>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</si>
  <si>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</si>
  <si>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</si>
  <si>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</si>
  <si>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</si>
  <si>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</si>
  <si>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</si>
  <si>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</si>
  <si>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</si>
  <si>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</si>
  <si>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</si>
  <si>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</si>
  <si>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</si>
  <si>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</si>
  <si>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</si>
  <si>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</si>
  <si>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</si>
  <si>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</si>
  <si>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</si>
  <si>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</si>
  <si>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</si>
  <si>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</si>
  <si>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</si>
  <si>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</si>
  <si>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</si>
  <si>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</si>
  <si>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</si>
  <si>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</si>
  <si>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</si>
  <si>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</si>
  <si>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</si>
  <si>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</si>
  <si>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</si>
  <si>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</si>
  <si>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</si>
  <si>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</si>
  <si>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</si>
  <si>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</si>
  <si>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</si>
  <si>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</si>
  <si>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</si>
  <si>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</si>
  <si>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</si>
  <si>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</si>
  <si>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</si>
  <si>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</si>
  <si>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</si>
  <si>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</si>
  <si>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</si>
  <si>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</si>
  <si>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</si>
  <si>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</si>
  <si>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</si>
  <si>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</si>
  <si>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</si>
  <si>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</si>
  <si>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</si>
  <si>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</si>
  <si>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</si>
  <si>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</si>
  <si>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</si>
  <si>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</si>
  <si>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</si>
  <si>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</si>
  <si>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</si>
  <si>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</si>
  <si>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</si>
  <si>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</si>
  <si>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</si>
  <si>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</si>
  <si>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</si>
  <si>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</si>
  <si>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</si>
  <si>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</si>
  <si>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</si>
  <si>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</si>
  <si>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</si>
  <si>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</si>
  <si>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</si>
  <si>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</si>
  <si>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</si>
  <si>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</si>
  <si>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</si>
  <si>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</si>
  <si>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</si>
  <si>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</si>
  <si>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</si>
  <si>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</si>
  <si>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</si>
  <si>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</si>
  <si>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</si>
  <si>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</si>
  <si>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</si>
  <si>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</si>
  <si>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</si>
  <si>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</si>
  <si>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</si>
  <si>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</si>
  <si>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</si>
  <si>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</si>
  <si>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</si>
  <si>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</si>
  <si>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</si>
  <si>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</si>
  <si>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</si>
  <si>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</si>
  <si>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</si>
  <si>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</si>
  <si>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</si>
  <si>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</si>
  <si>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</si>
  <si>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</si>
  <si>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</si>
  <si>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</si>
  <si>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</si>
  <si>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</si>
  <si>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</si>
  <si>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</si>
  <si>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</si>
  <si>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</si>
  <si>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</si>
  <si>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</si>
  <si>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</si>
  <si>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</si>
  <si>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</si>
  <si>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</si>
  <si>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</si>
  <si>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</si>
  <si>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</si>
  <si>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</si>
  <si>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</si>
  <si>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</si>
  <si>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</si>
  <si>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</si>
  <si>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</si>
  <si>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</si>
  <si>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</si>
  <si>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</si>
  <si>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</si>
  <si>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</si>
  <si>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</si>
  <si>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</si>
  <si>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</si>
  <si>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</si>
  <si>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</si>
  <si>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</si>
  <si>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</si>
  <si>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</si>
  <si>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</si>
  <si>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</si>
  <si>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</si>
  <si>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</si>
  <si>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</si>
  <si>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</si>
  <si>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</si>
  <si>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</si>
  <si>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</si>
  <si>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</si>
  <si>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</si>
  <si>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</si>
  <si>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</si>
  <si>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</si>
  <si>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</si>
  <si>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</si>
  <si>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</si>
  <si>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</si>
  <si>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</si>
  <si>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</si>
  <si>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</si>
  <si>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</si>
  <si>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</si>
  <si>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</si>
  <si>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</si>
  <si>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</si>
  <si>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</si>
  <si>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</si>
  <si>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</si>
  <si>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</si>
  <si>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</si>
  <si>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</si>
  <si>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</si>
  <si>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</si>
  <si>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</si>
  <si>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</si>
  <si>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</si>
  <si>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</si>
  <si>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</si>
  <si>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</si>
  <si>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</si>
  <si>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</si>
  <si>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</si>
  <si>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</si>
  <si>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</si>
  <si>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</si>
  <si>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</si>
  <si>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</si>
  <si>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</si>
  <si>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</si>
  <si>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</si>
  <si>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</si>
  <si>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</si>
  <si>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</si>
  <si>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</si>
  <si>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</si>
  <si>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</si>
  <si>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</si>
  <si>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</si>
  <si>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</si>
  <si>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</si>
  <si>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</si>
  <si>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</si>
  <si>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</si>
  <si>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</si>
  <si>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</si>
  <si>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</si>
  <si>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</si>
  <si>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</si>
  <si>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</si>
  <si>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</si>
  <si>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</si>
  <si>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</si>
  <si>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</si>
  <si>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</si>
  <si>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</si>
  <si>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</si>
  <si>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</si>
  <si>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</si>
  <si>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</si>
  <si>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</si>
  <si>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</si>
  <si>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</si>
  <si>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</si>
  <si>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</si>
  <si>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</si>
  <si>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</si>
  <si>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</si>
  <si>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</si>
  <si>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</si>
  <si>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284</t>
  </si>
  <si>
    <t>2039</t>
  </si>
  <si>
    <t>הבנק הבינלאומי</t>
  </si>
  <si>
    <t>31-46</t>
  </si>
  <si>
    <t>Aaa.il</t>
  </si>
  <si>
    <t>ILS</t>
  </si>
  <si>
    <t>USD</t>
  </si>
  <si>
    <t>3.759</t>
  </si>
  <si>
    <t>EUR</t>
  </si>
  <si>
    <t>4.0202</t>
  </si>
  <si>
    <t>2040</t>
  </si>
  <si>
    <t>GBP</t>
  </si>
  <si>
    <t>4.7505</t>
  </si>
  <si>
    <t>JPY</t>
  </si>
  <si>
    <t>0.0234</t>
  </si>
  <si>
    <t>484</t>
  </si>
  <si>
    <t>2035</t>
  </si>
  <si>
    <t>2036</t>
  </si>
  <si>
    <t>0</t>
  </si>
  <si>
    <t>ilAAA</t>
  </si>
  <si>
    <t>מדינת ישראל</t>
  </si>
  <si>
    <t>ממשל צמודה 1131</t>
  </si>
  <si>
    <t>IL0011722209</t>
  </si>
  <si>
    <t>RF</t>
  </si>
  <si>
    <t>30/11/2031</t>
  </si>
  <si>
    <t>97.65</t>
  </si>
  <si>
    <t>ממשל צמודה 1025</t>
  </si>
  <si>
    <t>IL0011359127</t>
  </si>
  <si>
    <t>31/10/2025</t>
  </si>
  <si>
    <t>113.49</t>
  </si>
  <si>
    <t>ממשלתית צמודה 07/2026</t>
  </si>
  <si>
    <t>IL0011695645</t>
  </si>
  <si>
    <t>31/07/2026</t>
  </si>
  <si>
    <t>110.2</t>
  </si>
  <si>
    <t>ממשל צמודה 0527</t>
  </si>
  <si>
    <t>IL0011408478</t>
  </si>
  <si>
    <t>31/05/2027</t>
  </si>
  <si>
    <t>111.66</t>
  </si>
  <si>
    <t>ממשל צמודה 1028</t>
  </si>
  <si>
    <t>IL0011973265</t>
  </si>
  <si>
    <t>31/10/2028</t>
  </si>
  <si>
    <t>99.98</t>
  </si>
  <si>
    <t>ממשל צמודה 0529</t>
  </si>
  <si>
    <t>IL0011570236</t>
  </si>
  <si>
    <t>31/05/2029</t>
  </si>
  <si>
    <t>105.85</t>
  </si>
  <si>
    <t>ממשל צמודה 0536</t>
  </si>
  <si>
    <t>IL0010977085</t>
  </si>
  <si>
    <t>30/05/2036</t>
  </si>
  <si>
    <t>159.08</t>
  </si>
  <si>
    <t>ממשל שקלית 0537</t>
  </si>
  <si>
    <t>IL0011661803</t>
  </si>
  <si>
    <t>31/05/2037</t>
  </si>
  <si>
    <t>65.83</t>
  </si>
  <si>
    <t>ממשל שקלית 0432</t>
  </si>
  <si>
    <t>IL0011806606</t>
  </si>
  <si>
    <t>30/04/2032</t>
  </si>
  <si>
    <t>77.26</t>
  </si>
  <si>
    <t>מ.ק.מ. 415</t>
  </si>
  <si>
    <t>IL0082504171</t>
  </si>
  <si>
    <t>02/04/2025</t>
  </si>
  <si>
    <t>0.000%</t>
  </si>
  <si>
    <t>96.87</t>
  </si>
  <si>
    <t>ממשל שקלית 0142</t>
  </si>
  <si>
    <t>IL0011254005</t>
  </si>
  <si>
    <t>31/01/2042</t>
  </si>
  <si>
    <t>104.09</t>
  </si>
  <si>
    <t>מ.ק.מ. 315</t>
  </si>
  <si>
    <t>IL0082503181</t>
  </si>
  <si>
    <t>05/03/2025</t>
  </si>
  <si>
    <t>97.17</t>
  </si>
  <si>
    <t>מ.ק.מ. 215</t>
  </si>
  <si>
    <t>IL0082502191</t>
  </si>
  <si>
    <t>05/02/2025</t>
  </si>
  <si>
    <t>97.48</t>
  </si>
  <si>
    <t>מ.ק.מ. 615</t>
  </si>
  <si>
    <t>IL0082506150</t>
  </si>
  <si>
    <t>04/06/2025</t>
  </si>
  <si>
    <t>96.17</t>
  </si>
  <si>
    <t>ממשל שקלית 0347</t>
  </si>
  <si>
    <t>IL0011401937</t>
  </si>
  <si>
    <t>31/03/2047</t>
  </si>
  <si>
    <t>78.79</t>
  </si>
  <si>
    <t>מ.ק.מ. 515</t>
  </si>
  <si>
    <t>IL0082505160</t>
  </si>
  <si>
    <t>07/05/2025</t>
  </si>
  <si>
    <t>96.48</t>
  </si>
  <si>
    <t>ממשל שקלית שחר</t>
  </si>
  <si>
    <t>ממשל שקלית 0330</t>
  </si>
  <si>
    <t>IL0011609851</t>
  </si>
  <si>
    <t>31/03/2030</t>
  </si>
  <si>
    <t>81.73</t>
  </si>
  <si>
    <t>ממשל שקלית 0229</t>
  </si>
  <si>
    <t>IL0011948028</t>
  </si>
  <si>
    <t>28/02/2029</t>
  </si>
  <si>
    <t>97.49</t>
  </si>
  <si>
    <t>ממשל שקלית 1152</t>
  </si>
  <si>
    <t>IL0011840761</t>
  </si>
  <si>
    <t>29/11/2052</t>
  </si>
  <si>
    <t>62.6</t>
  </si>
  <si>
    <t>US TREASURY N/B</t>
  </si>
  <si>
    <t>T 3 7/8 08/15/33</t>
  </si>
  <si>
    <t>US91282CHT18</t>
  </si>
  <si>
    <t>AA+</t>
  </si>
  <si>
    <t>15/08/2033</t>
  </si>
  <si>
    <t>96.0156</t>
  </si>
  <si>
    <t>T 4 02/15/34</t>
  </si>
  <si>
    <t>US91282CJZ59</t>
  </si>
  <si>
    <t>15/02/2034</t>
  </si>
  <si>
    <t>96.8828</t>
  </si>
  <si>
    <t>מ.ק.מ. 1214</t>
  </si>
  <si>
    <t>IL0082412185</t>
  </si>
  <si>
    <t>04/12/2024</t>
  </si>
  <si>
    <t>98.21</t>
  </si>
  <si>
    <t>מ.ק.מ. 814</t>
  </si>
  <si>
    <t>IL0082408142</t>
  </si>
  <si>
    <t>07/08/2024</t>
  </si>
  <si>
    <t>99.58</t>
  </si>
  <si>
    <t>מ.ק.מ. 1114</t>
  </si>
  <si>
    <t>IL0082411195</t>
  </si>
  <si>
    <t>06/11/2024</t>
  </si>
  <si>
    <t>98.53</t>
  </si>
  <si>
    <t>ממשל שקלית 0928</t>
  </si>
  <si>
    <t>IL0011508798</t>
  </si>
  <si>
    <t>28/09/2028</t>
  </si>
  <si>
    <t>92.73</t>
  </si>
  <si>
    <t>ממשל צמודה 0545</t>
  </si>
  <si>
    <t>IL0011348658</t>
  </si>
  <si>
    <t>31/05/2045</t>
  </si>
  <si>
    <t>88.06</t>
  </si>
  <si>
    <t>ממשל שקלית0327</t>
  </si>
  <si>
    <t>IL0011393449</t>
  </si>
  <si>
    <t>31/03/2027</t>
  </si>
  <si>
    <t>94.2</t>
  </si>
  <si>
    <t>מ.ק.מ. 714</t>
  </si>
  <si>
    <t>IL0082407151</t>
  </si>
  <si>
    <t>03/07/2024</t>
  </si>
  <si>
    <t>99.97</t>
  </si>
  <si>
    <t>כללביט מימון בע"מ</t>
  </si>
  <si>
    <t>513754069</t>
  </si>
  <si>
    <t>כללביט אגח יא</t>
  </si>
  <si>
    <t>IL0011606477</t>
  </si>
  <si>
    <t>ilAA-</t>
  </si>
  <si>
    <t>85.64</t>
  </si>
  <si>
    <t>מזרחי טפחות חברה להנפקות בע"מ</t>
  </si>
  <si>
    <t>520032046</t>
  </si>
  <si>
    <t>מז טפ הנפק 40</t>
  </si>
  <si>
    <t>IL0023101673</t>
  </si>
  <si>
    <t>07/06/2025</t>
  </si>
  <si>
    <t>98.82</t>
  </si>
  <si>
    <t>בי קומיוניקיישנס בע"מ</t>
  </si>
  <si>
    <t>512832742</t>
  </si>
  <si>
    <t>בי קומיונק אגח ו</t>
  </si>
  <si>
    <t>IL0011781510</t>
  </si>
  <si>
    <t>A3.il</t>
  </si>
  <si>
    <t>30/11/2026</t>
  </si>
  <si>
    <t>95.7</t>
  </si>
  <si>
    <t>הראל ביטוח מימון והנפקות בע"מ</t>
  </si>
  <si>
    <t>513834200</t>
  </si>
  <si>
    <t>הראל הנפ אגח יב</t>
  </si>
  <si>
    <t>IL0011381634</t>
  </si>
  <si>
    <t>Aa3.il</t>
  </si>
  <si>
    <t>31/12/2028</t>
  </si>
  <si>
    <t>94.88</t>
  </si>
  <si>
    <t>הפניקס גיוסי הון (2009)בע"מ</t>
  </si>
  <si>
    <t>514290345</t>
  </si>
  <si>
    <t>פניקס הון אגח ח</t>
  </si>
  <si>
    <t>IL0011398158</t>
  </si>
  <si>
    <t>31/07/2025</t>
  </si>
  <si>
    <t>100.01</t>
  </si>
  <si>
    <t>כלל מימו אגח יג</t>
  </si>
  <si>
    <t>IL0011979205</t>
  </si>
  <si>
    <t>31/07/2034</t>
  </si>
  <si>
    <t>95.33</t>
  </si>
  <si>
    <t>כלל החזקות עסקי ביטוח בע"מ</t>
  </si>
  <si>
    <t>520036120</t>
  </si>
  <si>
    <t>כלל ביטוח אגח ג</t>
  </si>
  <si>
    <t>IL0012013913</t>
  </si>
  <si>
    <t>01/11/2031</t>
  </si>
  <si>
    <t>97.42</t>
  </si>
  <si>
    <t>או.פי.סי אנרגיה בע"מ</t>
  </si>
  <si>
    <t>514401702</t>
  </si>
  <si>
    <t>או.פי.סי אגח ג</t>
  </si>
  <si>
    <t>IL0011803553</t>
  </si>
  <si>
    <t>ilA-</t>
  </si>
  <si>
    <t>31/08/2030</t>
  </si>
  <si>
    <t>90.38</t>
  </si>
  <si>
    <t>בזק החברה הישראלית לתקשורת בע"מ</t>
  </si>
  <si>
    <t>520031931</t>
  </si>
  <si>
    <t>בזק 9</t>
  </si>
  <si>
    <t>IL0023001766</t>
  </si>
  <si>
    <t>Aa2.il</t>
  </si>
  <si>
    <t>01/12/2025</t>
  </si>
  <si>
    <t>99.27</t>
  </si>
  <si>
    <t>אלקטרה בע"מ</t>
  </si>
  <si>
    <t>520028911</t>
  </si>
  <si>
    <t>אלקטרה ד</t>
  </si>
  <si>
    <t>IL0073901493</t>
  </si>
  <si>
    <t>ilA+</t>
  </si>
  <si>
    <t>30/06/2026</t>
  </si>
  <si>
    <t>98.76</t>
  </si>
  <si>
    <t>שופרסל בע"מ</t>
  </si>
  <si>
    <t>520022732</t>
  </si>
  <si>
    <t>שופרסל אגח ה</t>
  </si>
  <si>
    <t>IL0077702095</t>
  </si>
  <si>
    <t>ilAA</t>
  </si>
  <si>
    <t>08/10/2029</t>
  </si>
  <si>
    <t>103.46</t>
  </si>
  <si>
    <t>פניקס הון אגחיא</t>
  </si>
  <si>
    <t>IL0011593592</t>
  </si>
  <si>
    <t>30/04/2029</t>
  </si>
  <si>
    <t>88.48</t>
  </si>
  <si>
    <t>הראל הנפק יא ש 4.36</t>
  </si>
  <si>
    <t>IL0011363160</t>
  </si>
  <si>
    <t>31/12/2027</t>
  </si>
  <si>
    <t>97.6</t>
  </si>
  <si>
    <t>פתאל נכסים(אירופה)בע"מ</t>
  </si>
  <si>
    <t>515328250</t>
  </si>
  <si>
    <t>פתאל אירופה א</t>
  </si>
  <si>
    <t>IL0011375123</t>
  </si>
  <si>
    <t>A2.il</t>
  </si>
  <si>
    <t>15/08/2025</t>
  </si>
  <si>
    <t>100.11</t>
  </si>
  <si>
    <t>מנורה מבטחים החזקות בע"מ</t>
  </si>
  <si>
    <t>520007469</t>
  </si>
  <si>
    <t>מנורה מבטחים החזקות ג</t>
  </si>
  <si>
    <t>IL0056600633</t>
  </si>
  <si>
    <t>30/09/2026</t>
  </si>
  <si>
    <t>99.87</t>
  </si>
  <si>
    <t>הראל הנפ אגח יג</t>
  </si>
  <si>
    <t>IL0011381717</t>
  </si>
  <si>
    <t>31/12/2029</t>
  </si>
  <si>
    <t>92.82</t>
  </si>
  <si>
    <t>חברת גב-ים לקרקעות בע"מ</t>
  </si>
  <si>
    <t>520001736</t>
  </si>
  <si>
    <t>גב ים ח</t>
  </si>
  <si>
    <t>IL0075901517</t>
  </si>
  <si>
    <t>30/06/2034</t>
  </si>
  <si>
    <t>82.82</t>
  </si>
  <si>
    <t>פתאל החזקות (1998) בע"מ</t>
  </si>
  <si>
    <t>512607888</t>
  </si>
  <si>
    <t>פתאל החז אגח ג</t>
  </si>
  <si>
    <t>IL0011617854</t>
  </si>
  <si>
    <t>31/08/2031</t>
  </si>
  <si>
    <t>87.82</t>
  </si>
  <si>
    <t>מויניאן לימיטד</t>
  </si>
  <si>
    <t>1858676</t>
  </si>
  <si>
    <t>מויניאן אגח ב</t>
  </si>
  <si>
    <t>IL0011430159</t>
  </si>
  <si>
    <t>Baa2.il</t>
  </si>
  <si>
    <t>30/12/2024</t>
  </si>
  <si>
    <t>מזרחי הנפקות אגח 49</t>
  </si>
  <si>
    <t>IL0023102820</t>
  </si>
  <si>
    <t>23/06/2026</t>
  </si>
  <si>
    <t>107.97</t>
  </si>
  <si>
    <t>מז טפ הנפק 45</t>
  </si>
  <si>
    <t>IL0023102176</t>
  </si>
  <si>
    <t>28/09/2024</t>
  </si>
  <si>
    <t>114.94</t>
  </si>
  <si>
    <t>מז טפ הנפק 46</t>
  </si>
  <si>
    <t>IL0023102259</t>
  </si>
  <si>
    <t>28/09/2027</t>
  </si>
  <si>
    <t>111.52</t>
  </si>
  <si>
    <t>בנק לאומי לישראל בע"מ</t>
  </si>
  <si>
    <t>520018078</t>
  </si>
  <si>
    <t>לאומי אגח 183</t>
  </si>
  <si>
    <t>IL0060405474</t>
  </si>
  <si>
    <t>25/11/2029</t>
  </si>
  <si>
    <t>97.13</t>
  </si>
  <si>
    <t>בנק הפועלים בע"מ</t>
  </si>
  <si>
    <t>520000118</t>
  </si>
  <si>
    <t>פועלים אגח 203</t>
  </si>
  <si>
    <t>IL0011998684</t>
  </si>
  <si>
    <t>02/12/2030</t>
  </si>
  <si>
    <t>111.51</t>
  </si>
  <si>
    <t>אדמה פתרונות לחקלאות בע"מ</t>
  </si>
  <si>
    <t>520043605</t>
  </si>
  <si>
    <t>אדמה אגח ב</t>
  </si>
  <si>
    <t>IL0011109159</t>
  </si>
  <si>
    <t>30/11/2036</t>
  </si>
  <si>
    <t>147.13</t>
  </si>
  <si>
    <t>מז טפ הנפ אגח61</t>
  </si>
  <si>
    <t>IL0023104644</t>
  </si>
  <si>
    <t>04/12/2026</t>
  </si>
  <si>
    <t>108.28</t>
  </si>
  <si>
    <t>כללביט אגח יב</t>
  </si>
  <si>
    <t>IL0011799280</t>
  </si>
  <si>
    <t>31/03/2032</t>
  </si>
  <si>
    <t>78.71</t>
  </si>
  <si>
    <t>לאומי אגח 186</t>
  </si>
  <si>
    <t>IL0012018391</t>
  </si>
  <si>
    <t>30/11/2033</t>
  </si>
  <si>
    <t>99.13</t>
  </si>
  <si>
    <t>חברת החשמל לישראל בע"מ</t>
  </si>
  <si>
    <t>254900JW7GE35YNJGJ55</t>
  </si>
  <si>
    <t>חשמל אגח 35</t>
  </si>
  <si>
    <t>IL0011967994</t>
  </si>
  <si>
    <t>Aa1.il</t>
  </si>
  <si>
    <t>12/06/2037</t>
  </si>
  <si>
    <t>100</t>
  </si>
  <si>
    <t>חשמל      31</t>
  </si>
  <si>
    <t>IL0060002859</t>
  </si>
  <si>
    <t>20/09/2031</t>
  </si>
  <si>
    <t>109.95</t>
  </si>
  <si>
    <t>ירושלים מימון והנפקות (2005) בע"מ</t>
  </si>
  <si>
    <t>513682146</t>
  </si>
  <si>
    <t>ירושלים הנ אגח טו</t>
  </si>
  <si>
    <t>IL0011617698</t>
  </si>
  <si>
    <t>31/12/2026</t>
  </si>
  <si>
    <t>109.51</t>
  </si>
  <si>
    <t>חשמל אגח 34</t>
  </si>
  <si>
    <t>IL0011967812</t>
  </si>
  <si>
    <t>12/06/2033</t>
  </si>
  <si>
    <t>100.46</t>
  </si>
  <si>
    <t>ג'י סיטי בע"מ</t>
  </si>
  <si>
    <t>520033234</t>
  </si>
  <si>
    <t>גי סיטי אגח יב</t>
  </si>
  <si>
    <t>IL0012606039</t>
  </si>
  <si>
    <t>30/06/2027</t>
  </si>
  <si>
    <t>110.28</t>
  </si>
  <si>
    <t>כללביט אגח ט</t>
  </si>
  <si>
    <t>IL0011360505</t>
  </si>
  <si>
    <t>114.58</t>
  </si>
  <si>
    <t>גב ים אגח י</t>
  </si>
  <si>
    <t>IL0075902846</t>
  </si>
  <si>
    <t>30/06/2035</t>
  </si>
  <si>
    <t>94</t>
  </si>
  <si>
    <t>פועלים אגח 201</t>
  </si>
  <si>
    <t>IL0011913451</t>
  </si>
  <si>
    <t>29/11/2032</t>
  </si>
  <si>
    <t>101.46</t>
  </si>
  <si>
    <t>גי סיטי אגח יד</t>
  </si>
  <si>
    <t>IL0012607367</t>
  </si>
  <si>
    <t>30/09/2031</t>
  </si>
  <si>
    <t>94.42</t>
  </si>
  <si>
    <t>גי סיטי אגח יג</t>
  </si>
  <si>
    <t>IL0012606526</t>
  </si>
  <si>
    <t>30/06/2028</t>
  </si>
  <si>
    <t>108.4</t>
  </si>
  <si>
    <t>אפי נכסים בע"מ</t>
  </si>
  <si>
    <t>510560188</t>
  </si>
  <si>
    <t>אפי נכסים אגח ח</t>
  </si>
  <si>
    <t>IL0011422313</t>
  </si>
  <si>
    <t>15/10/2026</t>
  </si>
  <si>
    <t>113.71</t>
  </si>
  <si>
    <t>ירושליםהנ אגחיט</t>
  </si>
  <si>
    <t>IL0012014333</t>
  </si>
  <si>
    <t>31/01/2031</t>
  </si>
  <si>
    <t>102.32</t>
  </si>
  <si>
    <t>איירפורט סיטי בע"מ</t>
  </si>
  <si>
    <t>511659401</t>
  </si>
  <si>
    <t>איירפורט אגח 5</t>
  </si>
  <si>
    <t>IL0011334872</t>
  </si>
  <si>
    <t>113.08</t>
  </si>
  <si>
    <t>חשמל אגח 29</t>
  </si>
  <si>
    <t>IL0060002362</t>
  </si>
  <si>
    <t>28/02/2026</t>
  </si>
  <si>
    <t>119.29</t>
  </si>
  <si>
    <t>פועלים אגח 200</t>
  </si>
  <si>
    <t>IL0066204962</t>
  </si>
  <si>
    <t>09/12/2031</t>
  </si>
  <si>
    <t>100.97</t>
  </si>
  <si>
    <t>מז טפ הנ אגח 68</t>
  </si>
  <si>
    <t>IL0012021429</t>
  </si>
  <si>
    <t>25/12/2033</t>
  </si>
  <si>
    <t>100.23</t>
  </si>
  <si>
    <t>פז חברת הנפט בע"מ</t>
  </si>
  <si>
    <t>510216054</t>
  </si>
  <si>
    <t>פז נפט ו</t>
  </si>
  <si>
    <t>IL0011395428</t>
  </si>
  <si>
    <t>30/11/2028</t>
  </si>
  <si>
    <t>113.1</t>
  </si>
  <si>
    <t>פניקס הון אגחטו</t>
  </si>
  <si>
    <t>IL0012019530</t>
  </si>
  <si>
    <t>30/06/2030</t>
  </si>
  <si>
    <t>95.24</t>
  </si>
  <si>
    <t>מליסרון בע"מ</t>
  </si>
  <si>
    <t>520037789</t>
  </si>
  <si>
    <t>מליסרון אגח י</t>
  </si>
  <si>
    <t>IL0032301900</t>
  </si>
  <si>
    <t>10/07/2025</t>
  </si>
  <si>
    <t>114.44</t>
  </si>
  <si>
    <t>מז טפ הנפ אגח57</t>
  </si>
  <si>
    <t>IL0023104230</t>
  </si>
  <si>
    <t>01/03/2025</t>
  </si>
  <si>
    <t>113.35</t>
  </si>
  <si>
    <t>גי סיטי אגח יא</t>
  </si>
  <si>
    <t>IL0012605460</t>
  </si>
  <si>
    <t>30/09/2024</t>
  </si>
  <si>
    <t>119.58</t>
  </si>
  <si>
    <t>הראל הנפק אגח י</t>
  </si>
  <si>
    <t>IL0011340481</t>
  </si>
  <si>
    <t>113.85</t>
  </si>
  <si>
    <t>לאומי אגח 179</t>
  </si>
  <si>
    <t>IL0060403727</t>
  </si>
  <si>
    <t>110.75</t>
  </si>
  <si>
    <t>סלקום ישראל בע"מ</t>
  </si>
  <si>
    <t>511930125</t>
  </si>
  <si>
    <t>סלקום אגח ח</t>
  </si>
  <si>
    <t>IL0011328288</t>
  </si>
  <si>
    <t>05/07/2024</t>
  </si>
  <si>
    <t>114.69</t>
  </si>
  <si>
    <t>מרכנתיל הנפקות בע"מ</t>
  </si>
  <si>
    <t>513686154</t>
  </si>
  <si>
    <t>מרכנתיל הנפק אגח ד</t>
  </si>
  <si>
    <t>IL0011713059</t>
  </si>
  <si>
    <t>30/01/2030</t>
  </si>
  <si>
    <t>111.17</t>
  </si>
  <si>
    <t>מגדל ביטוח גיוס הון בע"מ</t>
  </si>
  <si>
    <t>513230029</t>
  </si>
  <si>
    <t>מגדל הון אגח י</t>
  </si>
  <si>
    <t>IL0011920795</t>
  </si>
  <si>
    <t>A1.il</t>
  </si>
  <si>
    <t>30/11/2029</t>
  </si>
  <si>
    <t>97.58</t>
  </si>
  <si>
    <t>ריט 1 בע"מ</t>
  </si>
  <si>
    <t>513821488</t>
  </si>
  <si>
    <t>ריט 1 אגח ד</t>
  </si>
  <si>
    <t>IL0011298994</t>
  </si>
  <si>
    <t>20/09/2024</t>
  </si>
  <si>
    <t>115.01</t>
  </si>
  <si>
    <t>הפניקס אחזקות בע"מ</t>
  </si>
  <si>
    <t>520017450</t>
  </si>
  <si>
    <t>הפניקס אגח 5</t>
  </si>
  <si>
    <t>IL0076702849</t>
  </si>
  <si>
    <t>01/05/2030</t>
  </si>
  <si>
    <t>101.08</t>
  </si>
  <si>
    <t>מגדל הון אגח יא</t>
  </si>
  <si>
    <t>IL0011975658</t>
  </si>
  <si>
    <t>31/12/2030</t>
  </si>
  <si>
    <t>96.69</t>
  </si>
  <si>
    <t>פז נפט אגח ז</t>
  </si>
  <si>
    <t>IL0011425951</t>
  </si>
  <si>
    <t>30/11/2030</t>
  </si>
  <si>
    <t>108.38</t>
  </si>
  <si>
    <t>סלע קפיטל נדל"ן בע"מ</t>
  </si>
  <si>
    <t>513992529</t>
  </si>
  <si>
    <t>סלע קפיטל נדל"ן ג</t>
  </si>
  <si>
    <t>IL0011389736</t>
  </si>
  <si>
    <t>13/04/2029</t>
  </si>
  <si>
    <t>111.11</t>
  </si>
  <si>
    <t>תמר פטרוליום בע"מ</t>
  </si>
  <si>
    <t>515334662</t>
  </si>
  <si>
    <t>תמר פטרו אגח ב</t>
  </si>
  <si>
    <t>IL0011435935</t>
  </si>
  <si>
    <t>30/08/2028</t>
  </si>
  <si>
    <t>101.4</t>
  </si>
  <si>
    <t>מליסרון טו 3.5%</t>
  </si>
  <si>
    <t>IL0032302403</t>
  </si>
  <si>
    <t>99.52</t>
  </si>
  <si>
    <t>קבוצת אקרו בע"מ</t>
  </si>
  <si>
    <t>511996803</t>
  </si>
  <si>
    <t>אקרו אגח א</t>
  </si>
  <si>
    <t>IL0011885725</t>
  </si>
  <si>
    <t>96.1</t>
  </si>
  <si>
    <t>ווסטדייל אמריקה לימיטד</t>
  </si>
  <si>
    <t>1991033</t>
  </si>
  <si>
    <t>ווסטדייל אגח א</t>
  </si>
  <si>
    <t>IL0011575771</t>
  </si>
  <si>
    <t>30/10/2025</t>
  </si>
  <si>
    <t>100.21</t>
  </si>
  <si>
    <t>אמ.ג'י.ג'י (בי.וי.אי) לימיטד</t>
  </si>
  <si>
    <t>1981143</t>
  </si>
  <si>
    <t>אמ.ג'יג'י אגח ב</t>
  </si>
  <si>
    <t>IL0011608119</t>
  </si>
  <si>
    <t>20/09/2025</t>
  </si>
  <si>
    <t>99.82</t>
  </si>
  <si>
    <t>אלוני-חץ נכסים והשקעות בע"מ</t>
  </si>
  <si>
    <t>520038506</t>
  </si>
  <si>
    <t>אלוני חץ אגח י</t>
  </si>
  <si>
    <t>IL0039003624</t>
  </si>
  <si>
    <t>28/02/2027</t>
  </si>
  <si>
    <t>101.32</t>
  </si>
  <si>
    <t>מנורה מבטחים גיוס הון בע"מ</t>
  </si>
  <si>
    <t>513937714</t>
  </si>
  <si>
    <t>מנורה הון התח ו</t>
  </si>
  <si>
    <t>IL0011602419</t>
  </si>
  <si>
    <t>94.26</t>
  </si>
  <si>
    <t>מגדלי הים התיכון בע"מ</t>
  </si>
  <si>
    <t>512719485</t>
  </si>
  <si>
    <t>מגדלי תיכון אגח ה</t>
  </si>
  <si>
    <t>IL0011685174</t>
  </si>
  <si>
    <t>30/06/2029</t>
  </si>
  <si>
    <t>90.63</t>
  </si>
  <si>
    <t>החברה לישראל בע"מ</t>
  </si>
  <si>
    <t>520028010</t>
  </si>
  <si>
    <t>חברהלישראלאגח14</t>
  </si>
  <si>
    <t>IL0057603016</t>
  </si>
  <si>
    <t>92.37</t>
  </si>
  <si>
    <t>לייטסטון אנטרפרייזס לימיטד</t>
  </si>
  <si>
    <t>1838682</t>
  </si>
  <si>
    <t>לייטסטון אגח ב</t>
  </si>
  <si>
    <t>IL0011607467</t>
  </si>
  <si>
    <t>30/11/2025</t>
  </si>
  <si>
    <t>97.55</t>
  </si>
  <si>
    <t>קבוצת דלק בע"מ</t>
  </si>
  <si>
    <t>520044322</t>
  </si>
  <si>
    <t>דלק קב אגח לז</t>
  </si>
  <si>
    <t>IL0011928897</t>
  </si>
  <si>
    <t>31/01/2029</t>
  </si>
  <si>
    <t>104.46</t>
  </si>
  <si>
    <t>חברת השקעות דיסקונט בע"מ</t>
  </si>
  <si>
    <t>520023896</t>
  </si>
  <si>
    <t>דיסק השק אגח י</t>
  </si>
  <si>
    <t>IL0063903483</t>
  </si>
  <si>
    <t>ilBBB</t>
  </si>
  <si>
    <t>30/12/2026</t>
  </si>
  <si>
    <t>96.03</t>
  </si>
  <si>
    <t>אפי נכסים אגחיד</t>
  </si>
  <si>
    <t>IL0011845307</t>
  </si>
  <si>
    <t>30/03/2031</t>
  </si>
  <si>
    <t>97.3</t>
  </si>
  <si>
    <t>קבוצת עזריאלי בע"מ</t>
  </si>
  <si>
    <t>510960719</t>
  </si>
  <si>
    <t>עזריאלי אגח ח</t>
  </si>
  <si>
    <t>IL0011786808</t>
  </si>
  <si>
    <t>ilAA+</t>
  </si>
  <si>
    <t>02/01/2041</t>
  </si>
  <si>
    <t>89.8</t>
  </si>
  <si>
    <t>חברת הכשרת הישוב בישראל בע"מ</t>
  </si>
  <si>
    <t>520020116</t>
  </si>
  <si>
    <t>הכשרת ישוב אג21</t>
  </si>
  <si>
    <t>IL0061202243</t>
  </si>
  <si>
    <t>ilA</t>
  </si>
  <si>
    <t>110.52</t>
  </si>
  <si>
    <t>דליה חברות אנרגיה בע"מ (חברה לא בורסאית)</t>
  </si>
  <si>
    <t>516269248</t>
  </si>
  <si>
    <t>דליה אגח א</t>
  </si>
  <si>
    <t>IL0011849515</t>
  </si>
  <si>
    <t>106.94</t>
  </si>
  <si>
    <t>חברת נמלי ישראל-פיתוח נכסים בע"מ</t>
  </si>
  <si>
    <t>513569780</t>
  </si>
  <si>
    <t>נמלי ישראל אגחא</t>
  </si>
  <si>
    <t>IL0011455644</t>
  </si>
  <si>
    <t>111.94</t>
  </si>
  <si>
    <t>ביג מרכזי קניות בע"מ</t>
  </si>
  <si>
    <t>513623314</t>
  </si>
  <si>
    <t>ביג אגח טו</t>
  </si>
  <si>
    <t>IL0011622219</t>
  </si>
  <si>
    <t>31/01/2030</t>
  </si>
  <si>
    <t>101.69</t>
  </si>
  <si>
    <t>עזריאלי אגח ה</t>
  </si>
  <si>
    <t>IL0011566036</t>
  </si>
  <si>
    <t>110.8</t>
  </si>
  <si>
    <t>מימון ישיר קבוצת ישיר (2006) בע"מ</t>
  </si>
  <si>
    <t>513893123</t>
  </si>
  <si>
    <t>מימון ישיר אגח ג</t>
  </si>
  <si>
    <t>IL0011712143</t>
  </si>
  <si>
    <t>31/12/2025</t>
  </si>
  <si>
    <t>112.32</t>
  </si>
  <si>
    <t>ביג אגח יח</t>
  </si>
  <si>
    <t>IL0011742264</t>
  </si>
  <si>
    <t>103.22</t>
  </si>
  <si>
    <t>מגה אור החזקות בע"מ</t>
  </si>
  <si>
    <t>513257873</t>
  </si>
  <si>
    <t>מגה אור אגח ז</t>
  </si>
  <si>
    <t>IL0011416968</t>
  </si>
  <si>
    <t>30/08/2027</t>
  </si>
  <si>
    <t>114.31</t>
  </si>
  <si>
    <t>בתי זקוק לנפט בע"מ</t>
  </si>
  <si>
    <t>520036658</t>
  </si>
  <si>
    <t>בזן אגח יג</t>
  </si>
  <si>
    <t>IL0011953465</t>
  </si>
  <si>
    <t>25/09/2032</t>
  </si>
  <si>
    <t>97.35</t>
  </si>
  <si>
    <t>הראל השקעות בביטוח ושרותים פיננסים בע"מ</t>
  </si>
  <si>
    <t>520033986</t>
  </si>
  <si>
    <t>הראל השק אגח א</t>
  </si>
  <si>
    <t>IL0058501102</t>
  </si>
  <si>
    <t>31/12/2035</t>
  </si>
  <si>
    <t>82.15</t>
  </si>
  <si>
    <t>אמות השקעות בע"מ</t>
  </si>
  <si>
    <t>520026683</t>
  </si>
  <si>
    <t>אמות אגח ז</t>
  </si>
  <si>
    <t>IL0011628661</t>
  </si>
  <si>
    <t>05/01/2032</t>
  </si>
  <si>
    <t>83.12</t>
  </si>
  <si>
    <t>כלל ביטוח אגח א</t>
  </si>
  <si>
    <t>IL0011934812</t>
  </si>
  <si>
    <t>28/02/2028</t>
  </si>
  <si>
    <t>98.75</t>
  </si>
  <si>
    <t>הראל הנפק אגח כ</t>
  </si>
  <si>
    <t>IL0012079849</t>
  </si>
  <si>
    <t>31/12/2033</t>
  </si>
  <si>
    <t>מז טפ הנ אגח 63</t>
  </si>
  <si>
    <t>IL0023105484</t>
  </si>
  <si>
    <t>12/04/2031</t>
  </si>
  <si>
    <t>93.09</t>
  </si>
  <si>
    <t>מגדלי ים תיכון אגח ו</t>
  </si>
  <si>
    <t>IL0011991242</t>
  </si>
  <si>
    <t>30/06/2032</t>
  </si>
  <si>
    <t>95.98</t>
  </si>
  <si>
    <t>מניף-שירותים פיננסיים בע"מ</t>
  </si>
  <si>
    <t>512764408</t>
  </si>
  <si>
    <t>מניף אגח א</t>
  </si>
  <si>
    <t>IL0011858839</t>
  </si>
  <si>
    <t>101.87</t>
  </si>
  <si>
    <t>סלקום אגח יג</t>
  </si>
  <si>
    <t>IL0011891905</t>
  </si>
  <si>
    <t>05/01/2030</t>
  </si>
  <si>
    <t>96.96</t>
  </si>
  <si>
    <t>אלוני חץ אגח יג</t>
  </si>
  <si>
    <t>IL0011894065</t>
  </si>
  <si>
    <t>28/02/2037</t>
  </si>
  <si>
    <t>89.76</t>
  </si>
  <si>
    <t>אלקטרה אגח ו</t>
  </si>
  <si>
    <t>IL0073902632</t>
  </si>
  <si>
    <t>10/12/2035</t>
  </si>
  <si>
    <t>82.34</t>
  </si>
  <si>
    <t>אשטרום נכסים בע"מ</t>
  </si>
  <si>
    <t>520036617</t>
  </si>
  <si>
    <t>אשטרום נכ אגח 9</t>
  </si>
  <si>
    <t>IL0025101705</t>
  </si>
  <si>
    <t>01/10/2029</t>
  </si>
  <si>
    <t>100.33</t>
  </si>
  <si>
    <t>בזק אגח 13</t>
  </si>
  <si>
    <t>IL0023003093</t>
  </si>
  <si>
    <t>01/12/2035</t>
  </si>
  <si>
    <t>78.68</t>
  </si>
  <si>
    <t>אלקטרה אגח ה</t>
  </si>
  <si>
    <t>IL0073902228</t>
  </si>
  <si>
    <t>10/01/2031</t>
  </si>
  <si>
    <t>96.92</t>
  </si>
  <si>
    <t>נאוויטס פטרוליום, שותפות מוגבלת</t>
  </si>
  <si>
    <t>550263107</t>
  </si>
  <si>
    <t>נאוויטס פט אגחו</t>
  </si>
  <si>
    <t>IL0012048257</t>
  </si>
  <si>
    <t>30/09/2029</t>
  </si>
  <si>
    <t>102.81</t>
  </si>
  <si>
    <t>אלוני חץ אגח יב</t>
  </si>
  <si>
    <t>IL0039004952</t>
  </si>
  <si>
    <t>28/02/2031</t>
  </si>
  <si>
    <t>84.18</t>
  </si>
  <si>
    <t>ישראמקו נגב 2 שותפות מוגבלת</t>
  </si>
  <si>
    <t>550010003</t>
  </si>
  <si>
    <t>ישראמקו אגח ג</t>
  </si>
  <si>
    <t>IL0023202323</t>
  </si>
  <si>
    <t>10/10/2030</t>
  </si>
  <si>
    <t>89.89</t>
  </si>
  <si>
    <t>נופר אנרג'י</t>
  </si>
  <si>
    <t>514599943</t>
  </si>
  <si>
    <t>נופר אנרג אגח ג</t>
  </si>
  <si>
    <t>IL0011980435</t>
  </si>
  <si>
    <t>101.13</t>
  </si>
  <si>
    <t>ווסטדייל אגח ב</t>
  </si>
  <si>
    <t>IL0011613226</t>
  </si>
  <si>
    <t>31/07/2028</t>
  </si>
  <si>
    <t>97.19</t>
  </si>
  <si>
    <t>מבני תעשיה בע"מ</t>
  </si>
  <si>
    <t>520024126</t>
  </si>
  <si>
    <t>מבני תעשיה טז</t>
  </si>
  <si>
    <t>IL0022604388</t>
  </si>
  <si>
    <t>101.11</t>
  </si>
  <si>
    <t>שפיר הנדסה ותעשיה בע"מ</t>
  </si>
  <si>
    <t>514892801</t>
  </si>
  <si>
    <t>שפיר הנדסה ב</t>
  </si>
  <si>
    <t>IL0011419517</t>
  </si>
  <si>
    <t>05/07/2030</t>
  </si>
  <si>
    <t>90.82</t>
  </si>
  <si>
    <t>אלקטרה נדל"ן בע"מ</t>
  </si>
  <si>
    <t>510607328</t>
  </si>
  <si>
    <t>אלקטרהנדלן אגח ו</t>
  </si>
  <si>
    <t>IL0011745648</t>
  </si>
  <si>
    <t>30/05/2030</t>
  </si>
  <si>
    <t>91.18</t>
  </si>
  <si>
    <t>חברת פרטנר תקשורת בע"מ</t>
  </si>
  <si>
    <t>520044314</t>
  </si>
  <si>
    <t>פרטנר אגח ז</t>
  </si>
  <si>
    <t>IL0011563975</t>
  </si>
  <si>
    <t>25/06/2027</t>
  </si>
  <si>
    <t>97.24</t>
  </si>
  <si>
    <t>וילאר אינטרנשיונל בע"מ</t>
  </si>
  <si>
    <t>520038910</t>
  </si>
  <si>
    <t>וילאר     אגח ח</t>
  </si>
  <si>
    <t>IL0041601563</t>
  </si>
  <si>
    <t>27/06/2025</t>
  </si>
  <si>
    <t>97.83</t>
  </si>
  <si>
    <t>איי.די.איי הנפקות (2010) בע"מ</t>
  </si>
  <si>
    <t>514486042</t>
  </si>
  <si>
    <t>איי די איי ה שה</t>
  </si>
  <si>
    <t>IL0011558785</t>
  </si>
  <si>
    <t>15/11/2025</t>
  </si>
  <si>
    <t>98.16</t>
  </si>
  <si>
    <t>נפטא חברה ישראלית לנפט בע"מ</t>
  </si>
  <si>
    <t>520020942</t>
  </si>
  <si>
    <t>נפטא אגח ח</t>
  </si>
  <si>
    <t>IL0064301695</t>
  </si>
  <si>
    <t>25/01/2025</t>
  </si>
  <si>
    <t>100.24</t>
  </si>
  <si>
    <t>דיסקונט מנפיקים בע"מ</t>
  </si>
  <si>
    <t>520029935</t>
  </si>
  <si>
    <t>דיסק מנ אגח טז</t>
  </si>
  <si>
    <t>IL0012031576</t>
  </si>
  <si>
    <t>20/03/2035</t>
  </si>
  <si>
    <t>100.34</t>
  </si>
  <si>
    <t>ירושלים הנ אגח טז</t>
  </si>
  <si>
    <t>IL0011721706</t>
  </si>
  <si>
    <t>107.6</t>
  </si>
  <si>
    <t>אלוני חץ אגח טו</t>
  </si>
  <si>
    <t>IL0011894149</t>
  </si>
  <si>
    <t>93.07</t>
  </si>
  <si>
    <t>פועלים אגח 202</t>
  </si>
  <si>
    <t>IL0011998502</t>
  </si>
  <si>
    <t>29/04/2028</t>
  </si>
  <si>
    <t>110.68</t>
  </si>
  <si>
    <t>אמות אגח ח</t>
  </si>
  <si>
    <t>IL0011727828</t>
  </si>
  <si>
    <t>98.59</t>
  </si>
  <si>
    <t>דליה אגח ב</t>
  </si>
  <si>
    <t>IL0011935983</t>
  </si>
  <si>
    <t>30/09/2034</t>
  </si>
  <si>
    <t>100.71</t>
  </si>
  <si>
    <t>מז טפ הנ אגח 66</t>
  </si>
  <si>
    <t>IL0011916678</t>
  </si>
  <si>
    <t>08/12/2031</t>
  </si>
  <si>
    <t>102.97</t>
  </si>
  <si>
    <t>הכשרת ישוב אג25</t>
  </si>
  <si>
    <t>IL0011915274</t>
  </si>
  <si>
    <t>102.95</t>
  </si>
  <si>
    <t>מליסרון אגח כא</t>
  </si>
  <si>
    <t>IL0011946386</t>
  </si>
  <si>
    <t>01/01/2037</t>
  </si>
  <si>
    <t>103.82</t>
  </si>
  <si>
    <t>ישפרו בע"מ</t>
  </si>
  <si>
    <t>516291754</t>
  </si>
  <si>
    <t>ישפרו אגח א</t>
  </si>
  <si>
    <t>IL0012022906</t>
  </si>
  <si>
    <t>ביג אגח כא</t>
  </si>
  <si>
    <t>IL0012022179</t>
  </si>
  <si>
    <t>03/07/2030</t>
  </si>
  <si>
    <t>98.8</t>
  </si>
  <si>
    <t>מקורות חברת מים בע"מ</t>
  </si>
  <si>
    <t>520010869</t>
  </si>
  <si>
    <t>מקורות אג"ח 11</t>
  </si>
  <si>
    <t>IL0011584765</t>
  </si>
  <si>
    <t>31/12/2053</t>
  </si>
  <si>
    <t>97.32</t>
  </si>
  <si>
    <t>הכשרת ישוב אג26</t>
  </si>
  <si>
    <t>IL0012056409</t>
  </si>
  <si>
    <t>30/06/2031</t>
  </si>
  <si>
    <t>101.38</t>
  </si>
  <si>
    <t>הבינלאומי הראשון הנפקות בע"מ</t>
  </si>
  <si>
    <t>513141879</t>
  </si>
  <si>
    <t>בינל הנפק אגחיב</t>
  </si>
  <si>
    <t>IL0011823858</t>
  </si>
  <si>
    <t>07/12/2027</t>
  </si>
  <si>
    <t>105.49</t>
  </si>
  <si>
    <t>מבנה אגח כה</t>
  </si>
  <si>
    <t>IL0022606367</t>
  </si>
  <si>
    <t>30/09/2033</t>
  </si>
  <si>
    <t>90.9</t>
  </si>
  <si>
    <t>ביג אגח כ</t>
  </si>
  <si>
    <t>IL0011861882</t>
  </si>
  <si>
    <t>30/04/2033</t>
  </si>
  <si>
    <t>98.81</t>
  </si>
  <si>
    <t>אשטרום נכס10</t>
  </si>
  <si>
    <t>IL0025102042</t>
  </si>
  <si>
    <t>01/01/2028</t>
  </si>
  <si>
    <t>115.64</t>
  </si>
  <si>
    <t>אשטרום נכ אגח14</t>
  </si>
  <si>
    <t>IL0012018961</t>
  </si>
  <si>
    <t>דיסק מנ אגח טו</t>
  </si>
  <si>
    <t>IL0074803045</t>
  </si>
  <si>
    <t>15/08/2032</t>
  </si>
  <si>
    <t>100.85</t>
  </si>
  <si>
    <t>עזריאלי קבוצה ד</t>
  </si>
  <si>
    <t>IL0011386500</t>
  </si>
  <si>
    <t>110</t>
  </si>
  <si>
    <t>חשמל אגח 32</t>
  </si>
  <si>
    <t>IL0060003840</t>
  </si>
  <si>
    <t>22/07/2027</t>
  </si>
  <si>
    <t>108.55</t>
  </si>
  <si>
    <t>גב ים אגח ט</t>
  </si>
  <si>
    <t>IL0075902192</t>
  </si>
  <si>
    <t>30/06/2033</t>
  </si>
  <si>
    <t>100.45</t>
  </si>
  <si>
    <t>צור שמיר אחזקות בע"מ</t>
  </si>
  <si>
    <t>520025586</t>
  </si>
  <si>
    <t>צור אגח י</t>
  </si>
  <si>
    <t>IL0073001716</t>
  </si>
  <si>
    <t>110.24</t>
  </si>
  <si>
    <t>רבוע כחול נדל"ן בע"מ</t>
  </si>
  <si>
    <t>513765859</t>
  </si>
  <si>
    <t>רבוע כחול נדל"ן ז</t>
  </si>
  <si>
    <t>IL0011406159</t>
  </si>
  <si>
    <t>113.63</t>
  </si>
  <si>
    <t>הכשרת ישוב22</t>
  </si>
  <si>
    <t>IL0061202409</t>
  </si>
  <si>
    <t>111.81</t>
  </si>
  <si>
    <t>גב ים אגח ו</t>
  </si>
  <si>
    <t>IL0075901285</t>
  </si>
  <si>
    <t>31/03/2026</t>
  </si>
  <si>
    <t>142.59</t>
  </si>
  <si>
    <t>מליסרון אגח יא</t>
  </si>
  <si>
    <t>IL0032302080</t>
  </si>
  <si>
    <t>114.76</t>
  </si>
  <si>
    <t>מבני תעש אגח כג</t>
  </si>
  <si>
    <t>IL0022605450</t>
  </si>
  <si>
    <t>114.25</t>
  </si>
  <si>
    <t>מליסרון אגח יז</t>
  </si>
  <si>
    <t>IL0032302734</t>
  </si>
  <si>
    <t>01/01/2032</t>
  </si>
  <si>
    <t>111.19</t>
  </si>
  <si>
    <t>ביג אג"ח ז</t>
  </si>
  <si>
    <t>IL0011360844</t>
  </si>
  <si>
    <t>10/05/2025</t>
  </si>
  <si>
    <t>113.77</t>
  </si>
  <si>
    <t>שמוס אינטרנשיונל לימיטד</t>
  </si>
  <si>
    <t>633896</t>
  </si>
  <si>
    <t>שמוס אגח א</t>
  </si>
  <si>
    <t>IL0011559510</t>
  </si>
  <si>
    <t>10/07/2028</t>
  </si>
  <si>
    <t>90.67</t>
  </si>
  <si>
    <t>סאפיינס אינטרנשיונל קורפוריישן N.V</t>
  </si>
  <si>
    <t>53368</t>
  </si>
  <si>
    <t>סאפיינס אג"ח ב</t>
  </si>
  <si>
    <t>IL0011419368</t>
  </si>
  <si>
    <t>01/01/2026</t>
  </si>
  <si>
    <t>103.29</t>
  </si>
  <si>
    <t>DEMETER(SWISS RE LTD(</t>
  </si>
  <si>
    <t>724500RPEZI5VVQQWE89</t>
  </si>
  <si>
    <t>SRENVX 5 5/8 08/15/52</t>
  </si>
  <si>
    <t>XS1423777215</t>
  </si>
  <si>
    <t>BBB-</t>
  </si>
  <si>
    <t>15/08/2052</t>
  </si>
  <si>
    <t>98.552</t>
  </si>
  <si>
    <t>VODAFONE GROUP PLC</t>
  </si>
  <si>
    <t>213800TB53ELEUKM7Q61</t>
  </si>
  <si>
    <t>VOD 6 1/4 10/03/78</t>
  </si>
  <si>
    <t>XS1888180640</t>
  </si>
  <si>
    <t>BB+</t>
  </si>
  <si>
    <t>99.958</t>
  </si>
  <si>
    <t>נופר אנרג אג ב</t>
  </si>
  <si>
    <t>IL0011980351</t>
  </si>
  <si>
    <t>100.1</t>
  </si>
  <si>
    <t>נמקו ריאלטי לטד</t>
  </si>
  <si>
    <t>1905761</t>
  </si>
  <si>
    <t>נמקו אגח ב</t>
  </si>
  <si>
    <t>IL0011602583</t>
  </si>
  <si>
    <t>15/10/2032</t>
  </si>
  <si>
    <t>92.67</t>
  </si>
  <si>
    <t>עזריאלי אגח ב</t>
  </si>
  <si>
    <t>IL0011344368</t>
  </si>
  <si>
    <t>01/04/2025</t>
  </si>
  <si>
    <t>111.86</t>
  </si>
  <si>
    <t>טבע תעשיות פרמצבטיות בע"מ</t>
  </si>
  <si>
    <t>520013954</t>
  </si>
  <si>
    <t>טבע</t>
  </si>
  <si>
    <t>IL0006290147</t>
  </si>
  <si>
    <t>6,120</t>
  </si>
  <si>
    <t>פועלים</t>
  </si>
  <si>
    <t>IL0006625771</t>
  </si>
  <si>
    <t>3,365</t>
  </si>
  <si>
    <t>נייס בע"מ</t>
  </si>
  <si>
    <t>520036872</t>
  </si>
  <si>
    <t>נייס</t>
  </si>
  <si>
    <t>IL0002730112</t>
  </si>
  <si>
    <t>64,400</t>
  </si>
  <si>
    <t>לאומי</t>
  </si>
  <si>
    <t>IL0006046119</t>
  </si>
  <si>
    <t>3,110</t>
  </si>
  <si>
    <t>הבנק הבינלאומי הראשון לישראל בע"מ</t>
  </si>
  <si>
    <t>520029083</t>
  </si>
  <si>
    <t>בינלאומי</t>
  </si>
  <si>
    <t>IL0005930388</t>
  </si>
  <si>
    <t>14,410</t>
  </si>
  <si>
    <t>בנק דיסקונט לישראל בע"מ</t>
  </si>
  <si>
    <t>520007030</t>
  </si>
  <si>
    <t>דיסקונט א</t>
  </si>
  <si>
    <t>IL0006912120</t>
  </si>
  <si>
    <t>1,909</t>
  </si>
  <si>
    <t>זפירוס ווינג אנרג'יס בע"מ</t>
  </si>
  <si>
    <t>516537560</t>
  </si>
  <si>
    <t>זפירוס חסום מורים</t>
  </si>
  <si>
    <t>IL0011946956</t>
  </si>
  <si>
    <t>1,393</t>
  </si>
  <si>
    <t>בנק מזרחי טפחות בע"מ</t>
  </si>
  <si>
    <t>520000522</t>
  </si>
  <si>
    <t>מזרחי טפחות</t>
  </si>
  <si>
    <t>IL0006954379</t>
  </si>
  <si>
    <t>13,080</t>
  </si>
  <si>
    <t>אנלייט אנרגיה מתחדשת בע"מ</t>
  </si>
  <si>
    <t>520041146</t>
  </si>
  <si>
    <t>אנלייט אנרגיה</t>
  </si>
  <si>
    <t>IL0007200111</t>
  </si>
  <si>
    <t>1,616</t>
  </si>
  <si>
    <t>נאוויטס מ"ר</t>
  </si>
  <si>
    <t>IL0011419699</t>
  </si>
  <si>
    <t>4,674</t>
  </si>
  <si>
    <t>מליסרון</t>
  </si>
  <si>
    <t>IL0003230146</t>
  </si>
  <si>
    <t>24,710</t>
  </si>
  <si>
    <t>אנרג'יאן נפט וגז פי אל סי</t>
  </si>
  <si>
    <t>549300RVMKU0CYUZBB05</t>
  </si>
  <si>
    <t>אנרג'יאן</t>
  </si>
  <si>
    <t>GB00BG12Y042</t>
  </si>
  <si>
    <t>986</t>
  </si>
  <si>
    <t>אורמת טכנולוגיות, אינק</t>
  </si>
  <si>
    <t>880326081</t>
  </si>
  <si>
    <t>אורמת טכנו</t>
  </si>
  <si>
    <t>US6866881021</t>
  </si>
  <si>
    <t>26,580</t>
  </si>
  <si>
    <t>ביג</t>
  </si>
  <si>
    <t>IL0010972607</t>
  </si>
  <si>
    <t>35,740</t>
  </si>
  <si>
    <t>כלל עסקי ביטוח</t>
  </si>
  <si>
    <t>IL0002240146</t>
  </si>
  <si>
    <t>5,291</t>
  </si>
  <si>
    <t>עזריאלי קבוצה</t>
  </si>
  <si>
    <t>IL0011194789</t>
  </si>
  <si>
    <t>22,000</t>
  </si>
  <si>
    <t>שפיר הנדסה</t>
  </si>
  <si>
    <t>IL0011338758</t>
  </si>
  <si>
    <t>1,920</t>
  </si>
  <si>
    <t>אלקטרה</t>
  </si>
  <si>
    <t>IL0007390375</t>
  </si>
  <si>
    <t>129,690</t>
  </si>
  <si>
    <t>קיסטון ריט בע"מ</t>
  </si>
  <si>
    <t>515983476</t>
  </si>
  <si>
    <t>קיסטון אינפרא</t>
  </si>
  <si>
    <t>IL0011759342</t>
  </si>
  <si>
    <t>537.4</t>
  </si>
  <si>
    <t>פניקס 1</t>
  </si>
  <si>
    <t>IL0007670123</t>
  </si>
  <si>
    <t>3,419</t>
  </si>
  <si>
    <t>איי.סי.אל גרופ בע"מ</t>
  </si>
  <si>
    <t>520027830</t>
  </si>
  <si>
    <t>איי.סי.אל</t>
  </si>
  <si>
    <t>IL0002810146</t>
  </si>
  <si>
    <t>1,612</t>
  </si>
  <si>
    <t>איירפורט סיטי</t>
  </si>
  <si>
    <t>IL0010958358</t>
  </si>
  <si>
    <t>5,317</t>
  </si>
  <si>
    <t>הראל השקעות</t>
  </si>
  <si>
    <t>IL0005850180</t>
  </si>
  <si>
    <t>2,997</t>
  </si>
  <si>
    <t>בזק</t>
  </si>
  <si>
    <t>IL0002300114</t>
  </si>
  <si>
    <t>423.6</t>
  </si>
  <si>
    <t>קבוצת אקרשטיין בע"מ</t>
  </si>
  <si>
    <t>512714494</t>
  </si>
  <si>
    <t>קבוצת אקרשטיין</t>
  </si>
  <si>
    <t>IL0011762056</t>
  </si>
  <si>
    <t>488.3</t>
  </si>
  <si>
    <t>הכשרת הישוב</t>
  </si>
  <si>
    <t>IL0006120104</t>
  </si>
  <si>
    <t>2,837</t>
  </si>
  <si>
    <t>חברה לישראל</t>
  </si>
  <si>
    <t>IL0005760173</t>
  </si>
  <si>
    <t>83,740</t>
  </si>
  <si>
    <t>נובה מכשירי מדידה בע"מ</t>
  </si>
  <si>
    <t>511812463</t>
  </si>
  <si>
    <t>נובה</t>
  </si>
  <si>
    <t>IL0010845571</t>
  </si>
  <si>
    <t>87,800</t>
  </si>
  <si>
    <t>נקסט ויז'ן מערכות מיוצבות בע"מ</t>
  </si>
  <si>
    <t>514259019</t>
  </si>
  <si>
    <t>נקסט ויז'ן</t>
  </si>
  <si>
    <t>IL0011765935</t>
  </si>
  <si>
    <t>5,368</t>
  </si>
  <si>
    <t>סלע נדלן</t>
  </si>
  <si>
    <t>IL0011096448</t>
  </si>
  <si>
    <t>661.9</t>
  </si>
  <si>
    <t>אלביט מערכות בע"מ</t>
  </si>
  <si>
    <t>520043027</t>
  </si>
  <si>
    <t>אלביט מערכות</t>
  </si>
  <si>
    <t>IL0010811243</t>
  </si>
  <si>
    <t>66,410</t>
  </si>
  <si>
    <t>סלקום</t>
  </si>
  <si>
    <t>IL0011015349</t>
  </si>
  <si>
    <t>1,320</t>
  </si>
  <si>
    <t>תומר תמלוגי אנרגיה (2012) בע"מ</t>
  </si>
  <si>
    <t>514837111</t>
  </si>
  <si>
    <t>תומר אנרגיה</t>
  </si>
  <si>
    <t>IL0011294936</t>
  </si>
  <si>
    <t>1,422</t>
  </si>
  <si>
    <t>מנורה מב החז</t>
  </si>
  <si>
    <t>IL0005660183</t>
  </si>
  <si>
    <t>8,960</t>
  </si>
  <si>
    <t>מגה אור</t>
  </si>
  <si>
    <t>IL0011044885</t>
  </si>
  <si>
    <t>9,151</t>
  </si>
  <si>
    <t>מ. יוחננוף ובניו (1988) בע"מ</t>
  </si>
  <si>
    <t>511344186</t>
  </si>
  <si>
    <t>יוחננוף</t>
  </si>
  <si>
    <t>IL0011612640</t>
  </si>
  <si>
    <t>17,990</t>
  </si>
  <si>
    <t>שטראוס גרופ בע"מ</t>
  </si>
  <si>
    <t>520003781</t>
  </si>
  <si>
    <t>שטראוס</t>
  </si>
  <si>
    <t>IL0007460160</t>
  </si>
  <si>
    <t>5,599</t>
  </si>
  <si>
    <t>אמות</t>
  </si>
  <si>
    <t>IL0010972789</t>
  </si>
  <si>
    <t>1,510</t>
  </si>
  <si>
    <t>פרטנר</t>
  </si>
  <si>
    <t>IL0010834849</t>
  </si>
  <si>
    <t>1,535</t>
  </si>
  <si>
    <t>או פי סי אנרגיה</t>
  </si>
  <si>
    <t>IL0011415713</t>
  </si>
  <si>
    <t>2,633</t>
  </si>
  <si>
    <t>בזן</t>
  </si>
  <si>
    <t>IL0025902482</t>
  </si>
  <si>
    <t>86.7</t>
  </si>
  <si>
    <t>IL0011708778</t>
  </si>
  <si>
    <t>8,250</t>
  </si>
  <si>
    <t>מגדלי תיכון</t>
  </si>
  <si>
    <t>IL0011315236</t>
  </si>
  <si>
    <t>729.3</t>
  </si>
  <si>
    <t>שופרסל</t>
  </si>
  <si>
    <t>IL0007770378</t>
  </si>
  <si>
    <t>2,472</t>
  </si>
  <si>
    <t>דלתא ישראל מותגים בע"מ</t>
  </si>
  <si>
    <t>516250107</t>
  </si>
  <si>
    <t>דלתא מותגים</t>
  </si>
  <si>
    <t>IL0011736993</t>
  </si>
  <si>
    <t>6,244</t>
  </si>
  <si>
    <t>מבני תעשיה</t>
  </si>
  <si>
    <t>IL0002260193</t>
  </si>
  <si>
    <t>881</t>
  </si>
  <si>
    <t>פורמולה מערכות (1985)בע"מ</t>
  </si>
  <si>
    <t>520036690</t>
  </si>
  <si>
    <t>פורמולה מערכות</t>
  </si>
  <si>
    <t>IL0002560162</t>
  </si>
  <si>
    <t>26,800</t>
  </si>
  <si>
    <t>ג'נריישן קפיטל בע"מ</t>
  </si>
  <si>
    <t>515846558</t>
  </si>
  <si>
    <t>ג'נריישן קפיטל</t>
  </si>
  <si>
    <t>IL0011569261</t>
  </si>
  <si>
    <t>52</t>
  </si>
  <si>
    <t>תאת טכנולוגיות בע"מ</t>
  </si>
  <si>
    <t>520035791</t>
  </si>
  <si>
    <t>תאת טכנו</t>
  </si>
  <si>
    <t>IL0010827264</t>
  </si>
  <si>
    <t>5,620</t>
  </si>
  <si>
    <t>פז נפט</t>
  </si>
  <si>
    <t>IL0011000077</t>
  </si>
  <si>
    <t>34,440</t>
  </si>
  <si>
    <t>דלתא-גליל תעשיות בע"מ</t>
  </si>
  <si>
    <t>520025602</t>
  </si>
  <si>
    <t>דלתא גליל</t>
  </si>
  <si>
    <t>IL0006270347</t>
  </si>
  <si>
    <t>15,700</t>
  </si>
  <si>
    <t>חילן בע"מ</t>
  </si>
  <si>
    <t>520039942</t>
  </si>
  <si>
    <t>חילן</t>
  </si>
  <si>
    <t>IL0010846983</t>
  </si>
  <si>
    <t>19,600</t>
  </si>
  <si>
    <t>פולירם תעשיות פלסטיק בע"מ</t>
  </si>
  <si>
    <t>515251593</t>
  </si>
  <si>
    <t>פולירם</t>
  </si>
  <si>
    <t>IL0011702169</t>
  </si>
  <si>
    <t>1,084</t>
  </si>
  <si>
    <t>מיטרוניקס בע"מ</t>
  </si>
  <si>
    <t>511527202</t>
  </si>
  <si>
    <t>מיטרוניקס</t>
  </si>
  <si>
    <t>IL0010910656</t>
  </si>
  <si>
    <t>1,408</t>
  </si>
  <si>
    <t>מטריקס אי.טי בע"מ</t>
  </si>
  <si>
    <t>520039413</t>
  </si>
  <si>
    <t>מטריקס</t>
  </si>
  <si>
    <t>IL0004450156</t>
  </si>
  <si>
    <t>6,901</t>
  </si>
  <si>
    <t>אספן גרופ בע"מ</t>
  </si>
  <si>
    <t>520037540</t>
  </si>
  <si>
    <t>אספן גרופ</t>
  </si>
  <si>
    <t>IL0003130155</t>
  </si>
  <si>
    <t>560.5</t>
  </si>
  <si>
    <t>מקס סטוק בע"מ</t>
  </si>
  <si>
    <t>513618967</t>
  </si>
  <si>
    <t>מקס סטוק</t>
  </si>
  <si>
    <t>IL0011685588</t>
  </si>
  <si>
    <t>871.5</t>
  </si>
  <si>
    <t>וואן טכנולוגיות תוכנה בע"מ</t>
  </si>
  <si>
    <t>520034695</t>
  </si>
  <si>
    <t>וואן טכנולוגיות</t>
  </si>
  <si>
    <t>IL0001610182</t>
  </si>
  <si>
    <t>4,545</t>
  </si>
  <si>
    <t>ורידיס</t>
  </si>
  <si>
    <t>515935807</t>
  </si>
  <si>
    <t>IL0011763872</t>
  </si>
  <si>
    <t>1,770</t>
  </si>
  <si>
    <t>אנרג'יקס-אנרגיות מתחדשות בע"מ</t>
  </si>
  <si>
    <t>513901371</t>
  </si>
  <si>
    <t>אנרג'יקס</t>
  </si>
  <si>
    <t>IL0011233553</t>
  </si>
  <si>
    <t>1,395</t>
  </si>
  <si>
    <t>אזורים-חברה להשקעות בפתוח ובבנין בע"מ</t>
  </si>
  <si>
    <t>520025990</t>
  </si>
  <si>
    <t>אזורים</t>
  </si>
  <si>
    <t>IL0007150118</t>
  </si>
  <si>
    <t>1,549</t>
  </si>
  <si>
    <t>טיב טעם הולדינגס 1 בע"מ</t>
  </si>
  <si>
    <t>520041187</t>
  </si>
  <si>
    <t>טיב טעם</t>
  </si>
  <si>
    <t>IL0001030100</t>
  </si>
  <si>
    <t>488.5</t>
  </si>
  <si>
    <t>אאורה השקעות בע"מ</t>
  </si>
  <si>
    <t>520038274</t>
  </si>
  <si>
    <t>אאורה</t>
  </si>
  <si>
    <t>IL0003730194</t>
  </si>
  <si>
    <t>1,209</t>
  </si>
  <si>
    <t>ישראמקו יהש</t>
  </si>
  <si>
    <t>IL0002320179</t>
  </si>
  <si>
    <t>147.2</t>
  </si>
  <si>
    <t>פ.י.ב.י. אחזקות בע"מ</t>
  </si>
  <si>
    <t>520029026</t>
  </si>
  <si>
    <t>פיבי</t>
  </si>
  <si>
    <t>IL0007630119</t>
  </si>
  <si>
    <t>15,200</t>
  </si>
  <si>
    <t>תדיראן הולדינגס בע"מ</t>
  </si>
  <si>
    <t>520036732</t>
  </si>
  <si>
    <t>תדיראן גרופ</t>
  </si>
  <si>
    <t>IL0002580129</t>
  </si>
  <si>
    <t>19,430</t>
  </si>
  <si>
    <t>פריון נטוורק בע"מ</t>
  </si>
  <si>
    <t>512849498</t>
  </si>
  <si>
    <t>פריון נטוורק</t>
  </si>
  <si>
    <t>IL0010958192</t>
  </si>
  <si>
    <t>835</t>
  </si>
  <si>
    <t>ריט 1</t>
  </si>
  <si>
    <t>IL0010989205</t>
  </si>
  <si>
    <t>1,391</t>
  </si>
  <si>
    <t>אורביט טכנולוג'יס בע"מ</t>
  </si>
  <si>
    <t>520036153</t>
  </si>
  <si>
    <t>אורביט</t>
  </si>
  <si>
    <t>IL0002650179</t>
  </si>
  <si>
    <t>2,219</t>
  </si>
  <si>
    <t>סאמיט אחזקות נדל"ן בע"מ</t>
  </si>
  <si>
    <t>520043720</t>
  </si>
  <si>
    <t>סאמיט</t>
  </si>
  <si>
    <t>IL0010816861</t>
  </si>
  <si>
    <t>4,210</t>
  </si>
  <si>
    <t>אקרו</t>
  </si>
  <si>
    <t>IL0011849028</t>
  </si>
  <si>
    <t>3,471</t>
  </si>
  <si>
    <t>איי.די.איי. חברה לביטוח בע"מ</t>
  </si>
  <si>
    <t>513910703</t>
  </si>
  <si>
    <t>איידיאיי ביטוח</t>
  </si>
  <si>
    <t>IL0011295016</t>
  </si>
  <si>
    <t>9,863</t>
  </si>
  <si>
    <t>מניבים קרן הריט החדשה בע"מ</t>
  </si>
  <si>
    <t>515327120</t>
  </si>
  <si>
    <t>מניבים ריט</t>
  </si>
  <si>
    <t>IL0011405730</t>
  </si>
  <si>
    <t>159.4</t>
  </si>
  <si>
    <t>אלומה קרן תשתיות (2020) בע"מ</t>
  </si>
  <si>
    <t>516214871</t>
  </si>
  <si>
    <t>אלומה תשתיות</t>
  </si>
  <si>
    <t>IL0011816431</t>
  </si>
  <si>
    <t>29.3</t>
  </si>
  <si>
    <t>אוברסיז קומרס בע"מ</t>
  </si>
  <si>
    <t>510490071</t>
  </si>
  <si>
    <t>אוברסיז</t>
  </si>
  <si>
    <t>IL0011396178</t>
  </si>
  <si>
    <t>369.3</t>
  </si>
  <si>
    <t>ריט אזורים - ה.פ ליווינג בע"מ</t>
  </si>
  <si>
    <t>516117181</t>
  </si>
  <si>
    <t>ריט אזורים ליוי</t>
  </si>
  <si>
    <t>IL0011627754</t>
  </si>
  <si>
    <t>344.2</t>
  </si>
  <si>
    <t>איילון אחזקות בע"מ</t>
  </si>
  <si>
    <t>520030677</t>
  </si>
  <si>
    <t>איילון</t>
  </si>
  <si>
    <t>IL0002090152</t>
  </si>
  <si>
    <t>1,700</t>
  </si>
  <si>
    <t>פז בית זיקוק לנפט-אשדוד בע"מ</t>
  </si>
  <si>
    <t>513775163</t>
  </si>
  <si>
    <t>בזא</t>
  </si>
  <si>
    <t>IL0011989105</t>
  </si>
  <si>
    <t>6,189</t>
  </si>
  <si>
    <t>אקוואריוס מנועים (א.מ) בע"מ</t>
  </si>
  <si>
    <t>515114429</t>
  </si>
  <si>
    <t>אקוואריוס מנוע</t>
  </si>
  <si>
    <t>IL0011702409</t>
  </si>
  <si>
    <t>189.5</t>
  </si>
  <si>
    <t>מהדרין בע"מ</t>
  </si>
  <si>
    <t>520018482</t>
  </si>
  <si>
    <t>מהדרין</t>
  </si>
  <si>
    <t>IL0006860147</t>
  </si>
  <si>
    <t>14,490</t>
  </si>
  <si>
    <t>ביונד תלת מימד בע"מ</t>
  </si>
  <si>
    <t>514669506</t>
  </si>
  <si>
    <t>ביונ תלת מימד</t>
  </si>
  <si>
    <t>IL0011755613</t>
  </si>
  <si>
    <t>16.1</t>
  </si>
  <si>
    <t>סיפיה ווז'ן בע"מ</t>
  </si>
  <si>
    <t>513476010</t>
  </si>
  <si>
    <t>סיפיה וויז'ן</t>
  </si>
  <si>
    <t>IL0011819328</t>
  </si>
  <si>
    <t>45.3</t>
  </si>
  <si>
    <t>איידנטי הלת'קייר בע"מ</t>
  </si>
  <si>
    <t>515679405</t>
  </si>
  <si>
    <t>איידנטי</t>
  </si>
  <si>
    <t>IL0011774507</t>
  </si>
  <si>
    <t>123.6</t>
  </si>
  <si>
    <t>יומן אקסטנשנס בע"מ</t>
  </si>
  <si>
    <t>514707736</t>
  </si>
  <si>
    <t>יומן אקסטנשנס</t>
  </si>
  <si>
    <t>IL0011700007</t>
  </si>
  <si>
    <t>35.5</t>
  </si>
  <si>
    <t>יוטרון בע"מ</t>
  </si>
  <si>
    <t>515883809</t>
  </si>
  <si>
    <t>יוטרון</t>
  </si>
  <si>
    <t>IL0011571143</t>
  </si>
  <si>
    <t>398.2</t>
  </si>
  <si>
    <t>FACEBOOK</t>
  </si>
  <si>
    <t>BQ4BKCS1HXDV9HN80Z93</t>
  </si>
  <si>
    <t>US30303M1027</t>
  </si>
  <si>
    <t>50,422</t>
  </si>
  <si>
    <t>Microsoft Corp</t>
  </si>
  <si>
    <t>INR2E1N1ERAN0W5ZP974</t>
  </si>
  <si>
    <t>US5949181045</t>
  </si>
  <si>
    <t>44,695</t>
  </si>
  <si>
    <t>Amazon.com Inc</t>
  </si>
  <si>
    <t>ZXTILKJKG63JEL0EG630</t>
  </si>
  <si>
    <t>US0231351067</t>
  </si>
  <si>
    <t>19,325</t>
  </si>
  <si>
    <t>Apple Inc</t>
  </si>
  <si>
    <t>HWUPKR0MP0U8FGXBT394</t>
  </si>
  <si>
    <t>US0378331005</t>
  </si>
  <si>
    <t>21,062</t>
  </si>
  <si>
    <t>ADOBE SYSTEMS INC</t>
  </si>
  <si>
    <t>FU4LY2G4933NH2E1CP29</t>
  </si>
  <si>
    <t>US00724F1012</t>
  </si>
  <si>
    <t>55,554</t>
  </si>
  <si>
    <t>semiconductor</t>
  </si>
  <si>
    <t>549300KB6NK5SBD14S87</t>
  </si>
  <si>
    <t>Taiwan Semiconductor Manufactu</t>
  </si>
  <si>
    <t>US8740391003</t>
  </si>
  <si>
    <t>17,381</t>
  </si>
  <si>
    <t>Visa</t>
  </si>
  <si>
    <t>549300JZ40KEHW3DPJ59</t>
  </si>
  <si>
    <t>VISA INC</t>
  </si>
  <si>
    <t>US92826C8394</t>
  </si>
  <si>
    <t>26,247</t>
  </si>
  <si>
    <t>NVIDIA CORP</t>
  </si>
  <si>
    <t>549300S4KLFTL07GSQ80</t>
  </si>
  <si>
    <t>US67066G1040</t>
  </si>
  <si>
    <t>12,354</t>
  </si>
  <si>
    <t>TELSA MOTORS IN</t>
  </si>
  <si>
    <t>54930043XZGB27CT0V49</t>
  </si>
  <si>
    <t>US88160R1014</t>
  </si>
  <si>
    <t>19,788</t>
  </si>
  <si>
    <t>PALO ALTO NETWORKS INC</t>
  </si>
  <si>
    <t>549300QXR2YVZV231H43</t>
  </si>
  <si>
    <t>US6974351057</t>
  </si>
  <si>
    <t>33,901</t>
  </si>
  <si>
    <t>LVMH MOET HENNESSY LOUIS VUITT</t>
  </si>
  <si>
    <t>I0G4E9470ATN0KJYSD45</t>
  </si>
  <si>
    <t>LVMH MOET HENNESSY LOUIS VUI</t>
  </si>
  <si>
    <t>FR0000121014</t>
  </si>
  <si>
    <t>71,360</t>
  </si>
  <si>
    <t>טאואר סמיקונדקטור בע"מ</t>
  </si>
  <si>
    <t>520041997</t>
  </si>
  <si>
    <t>טאואר סמי קונדוקטור TSEM</t>
  </si>
  <si>
    <t>IL0010823792</t>
  </si>
  <si>
    <t>14,820</t>
  </si>
  <si>
    <t>NEXTERA ENERGY INC</t>
  </si>
  <si>
    <t>254900RHL9MEUS5NKX63</t>
  </si>
  <si>
    <t>US65339F1012</t>
  </si>
  <si>
    <t>7,081</t>
  </si>
  <si>
    <t>ELI LILLY CO</t>
  </si>
  <si>
    <t>FRDRIPF3EKND32CQJL29</t>
  </si>
  <si>
    <t>US5324571083</t>
  </si>
  <si>
    <t>90,538</t>
  </si>
  <si>
    <t>NOVO NORDISK A/S</t>
  </si>
  <si>
    <t>549300DAQ1CVT6CXN342</t>
  </si>
  <si>
    <t>US6701002056</t>
  </si>
  <si>
    <t>14,274</t>
  </si>
  <si>
    <t>GOLDMAN SACHS</t>
  </si>
  <si>
    <t>784F5XWPLTWKTBV3E584</t>
  </si>
  <si>
    <t>GOLDMAN SACHS GROP INC</t>
  </si>
  <si>
    <t>US38141G1040</t>
  </si>
  <si>
    <t>45,232</t>
  </si>
  <si>
    <t>WALT DISNEY COMPANY/THE</t>
  </si>
  <si>
    <t>549300GZKULIZ0W0W665</t>
  </si>
  <si>
    <t>WALT DISNEY CO/THE</t>
  </si>
  <si>
    <t>US2546871060</t>
  </si>
  <si>
    <t>9,929</t>
  </si>
  <si>
    <t>סלברייט די.איי בע"מ</t>
  </si>
  <si>
    <t>512766577</t>
  </si>
  <si>
    <t>CELLEBRITE DI LTD</t>
  </si>
  <si>
    <t>IL0011794802</t>
  </si>
  <si>
    <t>1,195</t>
  </si>
  <si>
    <t>MASTERCARD INC</t>
  </si>
  <si>
    <t>AR5L20DV9HN37376R084</t>
  </si>
  <si>
    <t>MASTERCARDINC CLASS</t>
  </si>
  <si>
    <t>US57636Q1040</t>
  </si>
  <si>
    <t>44,116</t>
  </si>
  <si>
    <t>PROLOGIS INC</t>
  </si>
  <si>
    <t>529900DFH19P073LZ636</t>
  </si>
  <si>
    <t>US74340W1036</t>
  </si>
  <si>
    <t>11,231</t>
  </si>
  <si>
    <t>Google Inc</t>
  </si>
  <si>
    <t>5493006MHB84DD0ZWV18</t>
  </si>
  <si>
    <t>ALPHABET INC CLAS C</t>
  </si>
  <si>
    <t>US02079K1079</t>
  </si>
  <si>
    <t>18,342</t>
  </si>
  <si>
    <t>Samsung Electronics co</t>
  </si>
  <si>
    <t>9884007ER46L6N7EI764</t>
  </si>
  <si>
    <t>Samsung Electronics Co Ltd</t>
  </si>
  <si>
    <t>US7960508882</t>
  </si>
  <si>
    <t>148,000</t>
  </si>
  <si>
    <t>KKR &amp; CO LP</t>
  </si>
  <si>
    <t>54930013V5I303TF9571</t>
  </si>
  <si>
    <t>KKR &amp; CO INC</t>
  </si>
  <si>
    <t>US48251W1045</t>
  </si>
  <si>
    <t>10,524</t>
  </si>
  <si>
    <t>COSTCO WHOLESALE CORP</t>
  </si>
  <si>
    <t>29DX7H14B9S603FD6V18</t>
  </si>
  <si>
    <t>US22160K1051</t>
  </si>
  <si>
    <t>84,999</t>
  </si>
  <si>
    <t>ALPHABET</t>
  </si>
  <si>
    <t>US02079K3059</t>
  </si>
  <si>
    <t>18,215</t>
  </si>
  <si>
    <t>SALESFORCE.COM</t>
  </si>
  <si>
    <t>RCGZFPDMRW58VJ54VR07</t>
  </si>
  <si>
    <t>US79466L3024</t>
  </si>
  <si>
    <t>25,710</t>
  </si>
  <si>
    <t>WAL-MART STORES</t>
  </si>
  <si>
    <t>Y87794H0US1R65VBXU25</t>
  </si>
  <si>
    <t>Wal-Mart Stores Inc</t>
  </si>
  <si>
    <t>US9311421039</t>
  </si>
  <si>
    <t>6,771</t>
  </si>
  <si>
    <t>ALIBABA GROUP HOLDING LTD</t>
  </si>
  <si>
    <t>5493001NTNQJDH60PM02</t>
  </si>
  <si>
    <t>ALIBABA GROUP</t>
  </si>
  <si>
    <t>US01609W1027</t>
  </si>
  <si>
    <t>7,200</t>
  </si>
  <si>
    <t>Deere &amp; company</t>
  </si>
  <si>
    <t>PWFTNG3EI0Y730XWDH08</t>
  </si>
  <si>
    <t>Deere &amp; Co</t>
  </si>
  <si>
    <t>US2441991054</t>
  </si>
  <si>
    <t>37,363</t>
  </si>
  <si>
    <t>Avago Technologies Ltd</t>
  </si>
  <si>
    <t>549300WV6GIDOZJTV909</t>
  </si>
  <si>
    <t>SG9999006241</t>
  </si>
  <si>
    <t>160,553</t>
  </si>
  <si>
    <t>JPMorgan</t>
  </si>
  <si>
    <t>8I5DZWZKVSZI1NUHU748</t>
  </si>
  <si>
    <t>JP MORGAN CHASE &amp; CO</t>
  </si>
  <si>
    <t>US46625H1005</t>
  </si>
  <si>
    <t>20,226</t>
  </si>
  <si>
    <t>Wix</t>
  </si>
  <si>
    <t>513881177</t>
  </si>
  <si>
    <t>WIX.COM LTD</t>
  </si>
  <si>
    <t>IL0011301780</t>
  </si>
  <si>
    <t>15,907</t>
  </si>
  <si>
    <t>L`OREAL</t>
  </si>
  <si>
    <t>5299003I1GG6F7RKVI53</t>
  </si>
  <si>
    <t>L'OREAL</t>
  </si>
  <si>
    <t>FR0000120321</t>
  </si>
  <si>
    <t>41,005</t>
  </si>
  <si>
    <t>FORTINET INC</t>
  </si>
  <si>
    <t>54930000QJWDBAS0QX03</t>
  </si>
  <si>
    <t>US34959E1091</t>
  </si>
  <si>
    <t>6,027</t>
  </si>
  <si>
    <t>SAP GY</t>
  </si>
  <si>
    <t>529900 D6BF99LW9R2E68</t>
  </si>
  <si>
    <t>SAP AG-SPONSORED</t>
  </si>
  <si>
    <t>DE0007164600</t>
  </si>
  <si>
    <t>18,952</t>
  </si>
  <si>
    <t>NIKE Inc</t>
  </si>
  <si>
    <t>787RXPR0UX000XUXPZ81</t>
  </si>
  <si>
    <t>US6541061031</t>
  </si>
  <si>
    <t>7,537</t>
  </si>
  <si>
    <t>CARRIER GLOBAL CORP</t>
  </si>
  <si>
    <t>549300JE3W6CWY2NAN77</t>
  </si>
  <si>
    <t>US14448C1045</t>
  </si>
  <si>
    <t>6,308</t>
  </si>
  <si>
    <t>JFROG LTD</t>
  </si>
  <si>
    <t>514130491</t>
  </si>
  <si>
    <t>IL0011684185</t>
  </si>
  <si>
    <t>3,755</t>
  </si>
  <si>
    <t>CYBERARK SOFTWARE LTD</t>
  </si>
  <si>
    <t>512291642</t>
  </si>
  <si>
    <t>IL0011334468</t>
  </si>
  <si>
    <t>27,342</t>
  </si>
  <si>
    <t>MODERNA INC</t>
  </si>
  <si>
    <t>549300EI60KH5K5Q2G38</t>
  </si>
  <si>
    <t>US60770K1079</t>
  </si>
  <si>
    <t>11,875</t>
  </si>
  <si>
    <t>SNOWFLAKE INC</t>
  </si>
  <si>
    <t>254900CJNSY1K7T53Z16</t>
  </si>
  <si>
    <t>SNOWFLAKE INC-CLASS A</t>
  </si>
  <si>
    <t>US8334451098</t>
  </si>
  <si>
    <t>13,509</t>
  </si>
  <si>
    <t>JD.COM INC-ADR</t>
  </si>
  <si>
    <t>549300HVTWB0G3Z16V92</t>
  </si>
  <si>
    <t>US47215P1066</t>
  </si>
  <si>
    <t>2,584</t>
  </si>
  <si>
    <t>Baidu.com Inc</t>
  </si>
  <si>
    <t>254900AL64IANZYI1E02</t>
  </si>
  <si>
    <t>Baidu Inc/China</t>
  </si>
  <si>
    <t>US0567521085</t>
  </si>
  <si>
    <t>8,648</t>
  </si>
  <si>
    <t>SOLAREGE TECHNOLOGIES INC</t>
  </si>
  <si>
    <t>5493000K6Y58XXPDF853</t>
  </si>
  <si>
    <t>SOLAREDGE TECHNOLOGIES INC</t>
  </si>
  <si>
    <t>US83417M1045</t>
  </si>
  <si>
    <t>2,526</t>
  </si>
  <si>
    <t>SCOUTCAM LTD</t>
  </si>
  <si>
    <t>549300FBP1ANSJE5TE25</t>
  </si>
  <si>
    <t>ODYSIGHT.AT.INC</t>
  </si>
  <si>
    <t>US8016V2043</t>
  </si>
  <si>
    <t>600</t>
  </si>
  <si>
    <t>VBARE IBERIAN PROPERTIES SOC</t>
  </si>
  <si>
    <t>959800X1MGWGZZW5ZS47</t>
  </si>
  <si>
    <t>ES0105196002</t>
  </si>
  <si>
    <t>560</t>
  </si>
  <si>
    <t>DAIMLER TRUCK HOLDING AG</t>
  </si>
  <si>
    <t>529900PW78JIY0UBSR24</t>
  </si>
  <si>
    <t>DE000DTR0CK8</t>
  </si>
  <si>
    <t>3,717</t>
  </si>
  <si>
    <t>NCINO INC</t>
  </si>
  <si>
    <t>549300WVRR2WR3L6MZ46</t>
  </si>
  <si>
    <t>US63947X1019</t>
  </si>
  <si>
    <t>3,145</t>
  </si>
  <si>
    <t>GAMIDA CELL LTD</t>
  </si>
  <si>
    <t>512601204</t>
  </si>
  <si>
    <t>IL0011552663</t>
  </si>
  <si>
    <t>1.7</t>
  </si>
  <si>
    <t>UDEMY INC</t>
  </si>
  <si>
    <t>2549000T304QU9SAM180</t>
  </si>
  <si>
    <t>US9026851066</t>
  </si>
  <si>
    <t>863</t>
  </si>
  <si>
    <t>קסם קרנות נאמנות בע"מ</t>
  </si>
  <si>
    <t>510938608</t>
  </si>
  <si>
    <t>קסם ETF כשרה תא 125</t>
  </si>
  <si>
    <t>IL0011553653</t>
  </si>
  <si>
    <t>19,120</t>
  </si>
  <si>
    <t>הראל קרנות נאמנות בע"מ</t>
  </si>
  <si>
    <t>511776783</t>
  </si>
  <si>
    <t>הראל סל כשרה תא 125</t>
  </si>
  <si>
    <t>IL0011553406</t>
  </si>
  <si>
    <t>פסגות קרנות נאמנות בע"מ</t>
  </si>
  <si>
    <t>513765339</t>
  </si>
  <si>
    <t>פסגות ETF כשרה תא 125</t>
  </si>
  <si>
    <t>IL0011553240</t>
  </si>
  <si>
    <t>1,912</t>
  </si>
  <si>
    <t>מגדל קרנות נאמנות בע"מ</t>
  </si>
  <si>
    <t>511303661</t>
  </si>
  <si>
    <t>MTF סל (4A) כשרה ת"א-125</t>
  </si>
  <si>
    <t>IL0011597148</t>
  </si>
  <si>
    <t>3,004</t>
  </si>
  <si>
    <t>SPDR S&amp;P 500 ETF Trust</t>
  </si>
  <si>
    <t>549300NZAMSJ8FXPQQ63</t>
  </si>
  <si>
    <t>SPDR Trust Series 1</t>
  </si>
  <si>
    <t>US78462F1030</t>
  </si>
  <si>
    <t>54,422</t>
  </si>
  <si>
    <t>Invesco QQQ Trust Series 1</t>
  </si>
  <si>
    <t>549300VY6FE1BCIMET58</t>
  </si>
  <si>
    <t>INVESCO QQQ TRUST SERIES 1</t>
  </si>
  <si>
    <t>US46090E1038</t>
  </si>
  <si>
    <t>47,911</t>
  </si>
  <si>
    <t>VANGUARD S&amp;P 500 ETF</t>
  </si>
  <si>
    <t>5493002789CX3L0CJP65</t>
  </si>
  <si>
    <t>US9229083632</t>
  </si>
  <si>
    <t>50,013</t>
  </si>
  <si>
    <t>Technology Select Sector SPDR</t>
  </si>
  <si>
    <t>549300BR5T0JNM2MW070</t>
  </si>
  <si>
    <t>US81369Y8030</t>
  </si>
  <si>
    <t>22,623</t>
  </si>
  <si>
    <t>Invesco S&amp;P 500 Equal Weight T</t>
  </si>
  <si>
    <t>549300 D93HI7Z9WV4X72</t>
  </si>
  <si>
    <t>INVESCO S&amp;P 500 EQUAL WEIGHT</t>
  </si>
  <si>
    <t>US46137V3574</t>
  </si>
  <si>
    <t>16,428</t>
  </si>
  <si>
    <t>Financial Select Sector SPDR F</t>
  </si>
  <si>
    <t>549300Y12KQ6ZG08NY28</t>
  </si>
  <si>
    <t>US81369Y6059</t>
  </si>
  <si>
    <t>4,111</t>
  </si>
  <si>
    <t>LYXOR CORE EURSTX 600 DR</t>
  </si>
  <si>
    <t>213800RFZBG4205X1D89</t>
  </si>
  <si>
    <t>LU0908500753</t>
  </si>
  <si>
    <t>23,725</t>
  </si>
  <si>
    <t>WISDMTREE EMERG MKT EX-ST OW</t>
  </si>
  <si>
    <t>549300T3CSCFW1IFJC98</t>
  </si>
  <si>
    <t>US97717X5784</t>
  </si>
  <si>
    <t>3,063</t>
  </si>
  <si>
    <t>ISHARES MSCI ALL COUNTRY ASIA</t>
  </si>
  <si>
    <t>549300EQSX1KK01KLL54</t>
  </si>
  <si>
    <t>US4642881829</t>
  </si>
  <si>
    <t>7,198</t>
  </si>
  <si>
    <t>XLI - אינדסטריאל סלקט</t>
  </si>
  <si>
    <t>549300HQI51T8KP6U325</t>
  </si>
  <si>
    <t>Industrial Select Sector SPDR</t>
  </si>
  <si>
    <t>US81369Y7040</t>
  </si>
  <si>
    <t>12,187</t>
  </si>
  <si>
    <t>First Trust NASDAQ-100 Technol</t>
  </si>
  <si>
    <t>5493002JVR972EVAT460</t>
  </si>
  <si>
    <t>FIRST TRUST NASDQ 100 TECH I</t>
  </si>
  <si>
    <t>US3373451026</t>
  </si>
  <si>
    <t>19,746</t>
  </si>
  <si>
    <t>iShares MSCI Japan Index Fund</t>
  </si>
  <si>
    <t>5493008I6YRUC6I0S051</t>
  </si>
  <si>
    <t>US46434G8226</t>
  </si>
  <si>
    <t>6,824</t>
  </si>
  <si>
    <t>WisdomTree India Earnings Fund</t>
  </si>
  <si>
    <t>54930026N5Y0B6AW2260</t>
  </si>
  <si>
    <t>WISDOM TREE INDIA EARNINGS FUN</t>
  </si>
  <si>
    <t>US97717W4226</t>
  </si>
  <si>
    <t>4,828</t>
  </si>
  <si>
    <t>SPDR Dow Jones Industrial Aver</t>
  </si>
  <si>
    <t>54930039F2SG3UG20Z18</t>
  </si>
  <si>
    <t>SPDR DJIA TRUST</t>
  </si>
  <si>
    <t>US78467x1090</t>
  </si>
  <si>
    <t>39,113</t>
  </si>
  <si>
    <t>Health Care Select Sector SPDR</t>
  </si>
  <si>
    <t>549300E1NY3KKJHP0Y44</t>
  </si>
  <si>
    <t>US81369Y2090</t>
  </si>
  <si>
    <t>14,575</t>
  </si>
  <si>
    <t>iShares Russell 2000 Index Fun</t>
  </si>
  <si>
    <t>5493000800AR5VTWR172</t>
  </si>
  <si>
    <t>ISHARES RUSSELL 2000 ETF</t>
  </si>
  <si>
    <t>US4642876555</t>
  </si>
  <si>
    <t>20,289</t>
  </si>
  <si>
    <t>ISHARES NORTH AMERICAN TE</t>
  </si>
  <si>
    <t>54930072GM1ADLZJ5373</t>
  </si>
  <si>
    <t>iShares Expanded Tech-Software Sector ETF</t>
  </si>
  <si>
    <t>us4642875151</t>
  </si>
  <si>
    <t>8,690</t>
  </si>
  <si>
    <t>ISHARES MSCI INDIA ETF</t>
  </si>
  <si>
    <t>549300282VMCFH7S5848</t>
  </si>
  <si>
    <t>US46429B5984</t>
  </si>
  <si>
    <t>5,578</t>
  </si>
  <si>
    <t>KRANESHARES CSI CHINA INTERN</t>
  </si>
  <si>
    <t>549300URDNVSGEWBN526</t>
  </si>
  <si>
    <t>US5007673065</t>
  </si>
  <si>
    <t>2,702</t>
  </si>
  <si>
    <t>ISHARES MSCI CHINA INDEX FUND</t>
  </si>
  <si>
    <t>549300Q0IWAYMYXW0R77</t>
  </si>
  <si>
    <t>iSHARES MSCI CHINA</t>
  </si>
  <si>
    <t>US46429B6719</t>
  </si>
  <si>
    <t>4,217</t>
  </si>
  <si>
    <t>Consumer Discretionary Select</t>
  </si>
  <si>
    <t>549300CD2I087Y919K79</t>
  </si>
  <si>
    <t>US81369Y4070</t>
  </si>
  <si>
    <t>18,240</t>
  </si>
  <si>
    <t>ISHARES U.S. BROKER-DEALERS</t>
  </si>
  <si>
    <t>549300LRIF3NWCU26A80</t>
  </si>
  <si>
    <t>US4642887941</t>
  </si>
  <si>
    <t>11,693</t>
  </si>
  <si>
    <t>iShares MSCI South Korea Index</t>
  </si>
  <si>
    <t>GR1QY1XUY5M0EJSI5J57</t>
  </si>
  <si>
    <t>iShares MSCI South Korea Ind</t>
  </si>
  <si>
    <t>US4642867729</t>
  </si>
  <si>
    <t>6,609</t>
  </si>
  <si>
    <t>Powershares</t>
  </si>
  <si>
    <t>5521FA2IT25TVH63740</t>
  </si>
  <si>
    <t>Powershares aero defense</t>
  </si>
  <si>
    <t>US46137V1008</t>
  </si>
  <si>
    <t>10,272</t>
  </si>
  <si>
    <t>VANGUARD S&amp;P MID-CAP 400 ETF</t>
  </si>
  <si>
    <t>US9219328856</t>
  </si>
  <si>
    <t>9,911</t>
  </si>
  <si>
    <t>iShares Latin America 40 ETF</t>
  </si>
  <si>
    <t>549300MTJJWSCQ09N641</t>
  </si>
  <si>
    <t>iShares MSCI Taiwan Index Fund</t>
  </si>
  <si>
    <t>US4642867315</t>
  </si>
  <si>
    <t>5,419</t>
  </si>
  <si>
    <t>iShares Core DAX UCITS ETF DE</t>
  </si>
  <si>
    <t>549300CQN9T9XKTT1S19</t>
  </si>
  <si>
    <t>ISHARES DAX DE</t>
  </si>
  <si>
    <t>DE0005933931</t>
  </si>
  <si>
    <t>15,198</t>
  </si>
  <si>
    <t>COMM SERV SELEC</t>
  </si>
  <si>
    <t>549300RPODKQ1E2HDW24</t>
  </si>
  <si>
    <t>US81369Y8527</t>
  </si>
  <si>
    <t>8,566</t>
  </si>
  <si>
    <t>AMUNDI MSCI EM MKT II</t>
  </si>
  <si>
    <t>LU2573966906</t>
  </si>
  <si>
    <t>4,503</t>
  </si>
  <si>
    <t>ISHARES HANG SENG TECH ETF</t>
  </si>
  <si>
    <t>549300LTD878UJSEFE24</t>
  </si>
  <si>
    <t>HK0000651213</t>
  </si>
  <si>
    <t>HKD</t>
  </si>
  <si>
    <t>0.4813</t>
  </si>
  <si>
    <t>746</t>
  </si>
  <si>
    <t>(IHI) iShares U.S. Medical Devices ETF</t>
  </si>
  <si>
    <t>US4642888105</t>
  </si>
  <si>
    <t>5,604</t>
  </si>
  <si>
    <t>real estate select sect spdr</t>
  </si>
  <si>
    <t>549300SPMSTD3BRHL041</t>
  </si>
  <si>
    <t>REAL ESTA (XLRE</t>
  </si>
  <si>
    <t>US81369y8600</t>
  </si>
  <si>
    <t>3,841</t>
  </si>
  <si>
    <t>GLOBAL X CLOUD COMPUTING ETF</t>
  </si>
  <si>
    <t>549300F8H8CYX0517159</t>
  </si>
  <si>
    <t>US37954Y4420</t>
  </si>
  <si>
    <t>1,966</t>
  </si>
  <si>
    <t>iShares China Large-Cap ETF</t>
  </si>
  <si>
    <t>5493001YVWPO25CNKN94</t>
  </si>
  <si>
    <t>iShares FTSE/Xinhua China 25 I</t>
  </si>
  <si>
    <t>US4642871846</t>
  </si>
  <si>
    <t>2,599</t>
  </si>
  <si>
    <t>INVESCO SOLAR ETF</t>
  </si>
  <si>
    <t>549300Q2OQ2U87KJR762</t>
  </si>
  <si>
    <t>US46138G7060</t>
  </si>
  <si>
    <t>4,021</t>
  </si>
  <si>
    <t>הראל סל כשרה תל בונד 60</t>
  </si>
  <si>
    <t>IL0011550923</t>
  </si>
  <si>
    <t>366.11</t>
  </si>
  <si>
    <t>MTF סל (00) כשרה תל בונד 60</t>
  </si>
  <si>
    <t>IL0011596983</t>
  </si>
  <si>
    <t>455.8</t>
  </si>
  <si>
    <t>קסם ETF כשרה תלבונד שקלי</t>
  </si>
  <si>
    <t>IL0011551590</t>
  </si>
  <si>
    <t>3,822.63</t>
  </si>
  <si>
    <t>MTF סל כש תל בונד שקלי</t>
  </si>
  <si>
    <t>IL0011597064</t>
  </si>
  <si>
    <t>446.01</t>
  </si>
  <si>
    <t>קסם ETF כשרה תלבונד 60</t>
  </si>
  <si>
    <t>IL0011551269</t>
  </si>
  <si>
    <t>109.36</t>
  </si>
  <si>
    <t>הראל סל כשרה תל בונד שקלי</t>
  </si>
  <si>
    <t>IL0011551913</t>
  </si>
  <si>
    <t>383.02</t>
  </si>
  <si>
    <t>ISHARES USD CORP BOND USD A</t>
  </si>
  <si>
    <t>549300QQR5SNTQVNFC45</t>
  </si>
  <si>
    <t>IE00BYXYYJ35</t>
  </si>
  <si>
    <t>573.4</t>
  </si>
  <si>
    <t>AM US CURV STEEP 2-10Y-ETF A</t>
  </si>
  <si>
    <t>549300QO7ZM8CWX59L64</t>
  </si>
  <si>
    <t>LU2018762653</t>
  </si>
  <si>
    <t>9,337</t>
  </si>
  <si>
    <t>INVESCO US HYFA DIST</t>
  </si>
  <si>
    <t>549300X3ENFKGMH04N42</t>
  </si>
  <si>
    <t>IE00BD0Q9673</t>
  </si>
  <si>
    <t>2,103</t>
  </si>
  <si>
    <t>ISHARES GBP HIGH  YIELD CORPORA</t>
  </si>
  <si>
    <t>549300XNS7MREWVF4X34</t>
  </si>
  <si>
    <t>IE00B4PY7Y77</t>
  </si>
  <si>
    <t>9,190</t>
  </si>
  <si>
    <t>MTF תל בונד 60</t>
  </si>
  <si>
    <t>IL0011499964</t>
  </si>
  <si>
    <t>454.12</t>
  </si>
  <si>
    <t>הראל סל תל בונד שקלי</t>
  </si>
  <si>
    <t>IL0011505232</t>
  </si>
  <si>
    <t>383.33</t>
  </si>
  <si>
    <t>קסם ETF תל בונד שקלי</t>
  </si>
  <si>
    <t>IL0011464141</t>
  </si>
  <si>
    <t>3,822.15</t>
  </si>
  <si>
    <t>מור ניהול קרנות נאמנות (2013) בע"מ</t>
  </si>
  <si>
    <t>514884485</t>
  </si>
  <si>
    <t>מור.סל תלבונד 60</t>
  </si>
  <si>
    <t>IL0011953044</t>
  </si>
  <si>
    <t>5,197.79</t>
  </si>
  <si>
    <t>קסם.תלבונד ש 50</t>
  </si>
  <si>
    <t>IL0011507626</t>
  </si>
  <si>
    <t>3,843.36</t>
  </si>
  <si>
    <t>MTF סל (00) תל בונד שקלי</t>
  </si>
  <si>
    <t>IL0011500027</t>
  </si>
  <si>
    <t>445</t>
  </si>
  <si>
    <t>הראל סל תל בונד 60</t>
  </si>
  <si>
    <t>IL0011504730</t>
  </si>
  <si>
    <t>355.84</t>
  </si>
  <si>
    <t>קסם MSCI India (!)(4D) ETF</t>
  </si>
  <si>
    <t>IL0011457475</t>
  </si>
  <si>
    <t>10,990</t>
  </si>
  <si>
    <t>קסם S&amp;P 500</t>
  </si>
  <si>
    <t>IL0011464711</t>
  </si>
  <si>
    <t>22,530</t>
  </si>
  <si>
    <t>קסם תא בלוסטאר ישראל גלובל טכנולוגיות (NTR) (4Da)</t>
  </si>
  <si>
    <t>IL0011472714</t>
  </si>
  <si>
    <t>14,580</t>
  </si>
  <si>
    <t>קסם DJ Industrial Average</t>
  </si>
  <si>
    <t>IL0011464489</t>
  </si>
  <si>
    <t>15,640</t>
  </si>
  <si>
    <t>LYXOR ETF S&amp;P 500</t>
  </si>
  <si>
    <t>549300JWBW5ZYYL06033</t>
  </si>
  <si>
    <t>LYXOR S&amp;P 500</t>
  </si>
  <si>
    <t>LU1135865084</t>
  </si>
  <si>
    <t>39,029</t>
  </si>
  <si>
    <t>SMH סמיקונדקטור הולדרס טרסט</t>
  </si>
  <si>
    <t>549300MJTG2N9QRH7I02</t>
  </si>
  <si>
    <t>Semiconductor HOLDRs Trust</t>
  </si>
  <si>
    <t>US8166362033</t>
  </si>
  <si>
    <t>26,070</t>
  </si>
  <si>
    <t>549300NNE4LGFWCGLC69</t>
  </si>
  <si>
    <t>US46137V3244</t>
  </si>
  <si>
    <t>4,541</t>
  </si>
  <si>
    <t>Barclays Global Investors Ltd.</t>
  </si>
  <si>
    <t>549300N0QVNMDXCU4R13</t>
  </si>
  <si>
    <t>IShares PLC- iShares FTSE 100</t>
  </si>
  <si>
    <t>IE0005042456</t>
  </si>
  <si>
    <t>793.9</t>
  </si>
  <si>
    <t>BNP P EURO STOXX 50 UCITS</t>
  </si>
  <si>
    <t>ROMUWSFPU8MPR08KSP83</t>
  </si>
  <si>
    <t>FR0012739431</t>
  </si>
  <si>
    <t>1,526.6</t>
  </si>
  <si>
    <t>GLOBAL X US INFRASTRUCTURE</t>
  </si>
  <si>
    <t>549300P5QELW9NWLDY61</t>
  </si>
  <si>
    <t>US37954Y6730</t>
  </si>
  <si>
    <t>3,702</t>
  </si>
  <si>
    <t>ISHR EUR600 IND GDS&amp;SERV-DE</t>
  </si>
  <si>
    <t>5493005C92LFQZ3U0083</t>
  </si>
  <si>
    <t>DE000A0H08J9</t>
  </si>
  <si>
    <t>8,518</t>
  </si>
  <si>
    <t>WISDOMTREE CLOUD COMPUTING</t>
  </si>
  <si>
    <t>549300ZGGEP9JE4RUB88</t>
  </si>
  <si>
    <t>US97717Y6914</t>
  </si>
  <si>
    <t>3,159</t>
  </si>
  <si>
    <t>MTF סל (Bloomberg US Analyst Recommendations (4D</t>
  </si>
  <si>
    <t>IL0012056573</t>
  </si>
  <si>
    <t>2,470</t>
  </si>
  <si>
    <t>SPDR S&amp;P CAPITAL MARKETS ETF</t>
  </si>
  <si>
    <t>549300BBJPWNKDPREW36</t>
  </si>
  <si>
    <t>US78464A7717</t>
  </si>
  <si>
    <t>11,029</t>
  </si>
  <si>
    <t>SPDR S&amp;P HOMEBUILDERS ETF</t>
  </si>
  <si>
    <t>549300MSE80LL1UJS132</t>
  </si>
  <si>
    <t>US78464A8889</t>
  </si>
  <si>
    <t>10,108</t>
  </si>
  <si>
    <t>Utilities Select Sector SPDR F</t>
  </si>
  <si>
    <t>549300ERQDM80PRYUH21</t>
  </si>
  <si>
    <t>US81369Y8865</t>
  </si>
  <si>
    <t>6,814</t>
  </si>
  <si>
    <t>LYX  EURSTX600 HALTHCARE ETF</t>
  </si>
  <si>
    <t>213800MPG89TQUBL5C29</t>
  </si>
  <si>
    <t>LU1834986900</t>
  </si>
  <si>
    <t>15,668.6</t>
  </si>
  <si>
    <t>קסם תל בונד 60</t>
  </si>
  <si>
    <t>IL0011462327</t>
  </si>
  <si>
    <t>3,548.09</t>
  </si>
  <si>
    <t>קסם תל בונד 20</t>
  </si>
  <si>
    <t>IL0011459604</t>
  </si>
  <si>
    <t>3,605.5</t>
  </si>
  <si>
    <t>הראל סל תל בונד 20</t>
  </si>
  <si>
    <t>IL0011504409</t>
  </si>
  <si>
    <t>364.58</t>
  </si>
  <si>
    <t>קסם ארהב 4Da) (PR) S&amp;P Technology)</t>
  </si>
  <si>
    <t>IL0011472300</t>
  </si>
  <si>
    <t>8,946</t>
  </si>
  <si>
    <t>הראל סל נאסדק 100</t>
  </si>
  <si>
    <t>IL0011490385</t>
  </si>
  <si>
    <t>7,892</t>
  </si>
  <si>
    <t>הראל סל S&amp;P500</t>
  </si>
  <si>
    <t>IL0011490203</t>
  </si>
  <si>
    <t>2,385</t>
  </si>
  <si>
    <t>קסם גרמניה DAX 30</t>
  </si>
  <si>
    <t>IL0011465130</t>
  </si>
  <si>
    <t>6,395</t>
  </si>
  <si>
    <t>קסם ברזיל IBOV (GTR)</t>
  </si>
  <si>
    <t>IL0011460917</t>
  </si>
  <si>
    <t>7,139</t>
  </si>
  <si>
    <t>MTF סל‏ (00) תל בונד שקלי 50</t>
  </si>
  <si>
    <t>IL0011501686</t>
  </si>
  <si>
    <t>307.74</t>
  </si>
  <si>
    <t>BSP Advisors ltd</t>
  </si>
  <si>
    <t>29549</t>
  </si>
  <si>
    <t>CIFC Senior Secured Corporate Loan Fund</t>
  </si>
  <si>
    <t>KYG2139S1277</t>
  </si>
  <si>
    <t>132,683</t>
  </si>
  <si>
    <t>TRIGON-NEW EUROPE-A EUR</t>
  </si>
  <si>
    <t>529900TCN22XT0QUBM95</t>
  </si>
  <si>
    <t>LU1687402393</t>
  </si>
  <si>
    <t>19,888</t>
  </si>
  <si>
    <t>KOTAK FDS-INDIA MIDCAP(S)USD ACC</t>
  </si>
  <si>
    <t>549300P1V22EKK1UCL34</t>
  </si>
  <si>
    <t>LU2126068639</t>
  </si>
  <si>
    <t>1,507.24</t>
  </si>
  <si>
    <t>SUMITRUST JAP SMALL CAP</t>
  </si>
  <si>
    <t>635400ZILQTR9BRXTW62</t>
  </si>
  <si>
    <t>IE00BLD2G458</t>
  </si>
  <si>
    <t>22,430.2</t>
  </si>
  <si>
    <t>איביאי (5D) TECH FUND-טכנולוגיה עילית</t>
  </si>
  <si>
    <t>510791031</t>
  </si>
  <si>
    <t>אי בי אי טכ עילית</t>
  </si>
  <si>
    <t>IL0011425381</t>
  </si>
  <si>
    <t>64.5</t>
  </si>
  <si>
    <t>COMGEST GROWTH EUROPE EUR IA</t>
  </si>
  <si>
    <t>635400JYB1RHBTRDH390</t>
  </si>
  <si>
    <t>IE00B5WN3467</t>
  </si>
  <si>
    <t>4,912</t>
  </si>
  <si>
    <t>KBI ENERGY SOLUTIONS-AUSDACC</t>
  </si>
  <si>
    <t>635400UCQYVG094KDT51</t>
  </si>
  <si>
    <t>IE00BNGJJ156</t>
  </si>
  <si>
    <t>996.5</t>
  </si>
  <si>
    <t>ARTEMIS UK SELECT FUND-INS A</t>
  </si>
  <si>
    <t>2JE75BUE3T1BLCYYGK54</t>
  </si>
  <si>
    <t>GB00B2PLJG05</t>
  </si>
  <si>
    <t>979.85</t>
  </si>
  <si>
    <t>SCHRODER INT-GRT CHNA-IZ</t>
  </si>
  <si>
    <t>E6UHSP0BKJBKA5PR6370</t>
  </si>
  <si>
    <t>LU1953148969</t>
  </si>
  <si>
    <t>9,574.28</t>
  </si>
  <si>
    <t>HARBOURVEST GLOBAL PRIVA</t>
  </si>
  <si>
    <t>5493001MCDH7I6NIXC24</t>
  </si>
  <si>
    <t>GG00BR30MJ80</t>
  </si>
  <si>
    <t>ביונ תלתממד אפ2</t>
  </si>
  <si>
    <t>IL0011755878</t>
  </si>
  <si>
    <t>09/05/2025</t>
  </si>
  <si>
    <t>285</t>
  </si>
  <si>
    <t>1</t>
  </si>
  <si>
    <t>52.1</t>
  </si>
  <si>
    <t>סיפיה אופציה 1</t>
  </si>
  <si>
    <t>IL0011820052</t>
  </si>
  <si>
    <t>31/08/2024</t>
  </si>
  <si>
    <t>664</t>
  </si>
  <si>
    <t>12.4</t>
  </si>
  <si>
    <t>שמיים אימפרוב בע"מ</t>
  </si>
  <si>
    <t>515181014</t>
  </si>
  <si>
    <t>שמיים אפ 1</t>
  </si>
  <si>
    <t>IL0011762478</t>
  </si>
  <si>
    <t>1176239</t>
  </si>
  <si>
    <t>31/05/2025</t>
  </si>
  <si>
    <t>1,415</t>
  </si>
  <si>
    <t>41.3</t>
  </si>
  <si>
    <t>ריט אזורים אפ 1</t>
  </si>
  <si>
    <t>IL0012010117</t>
  </si>
  <si>
    <t>31/12/2024</t>
  </si>
  <si>
    <t>550</t>
  </si>
  <si>
    <t>15.9</t>
  </si>
  <si>
    <t>סקודיקס</t>
  </si>
  <si>
    <t>513973297</t>
  </si>
  <si>
    <t>סקודיקס אפ 1</t>
  </si>
  <si>
    <t>IL0011785081</t>
  </si>
  <si>
    <t>IL0011784902</t>
  </si>
  <si>
    <t>30/01/2025</t>
  </si>
  <si>
    <t>840</t>
  </si>
  <si>
    <t>4.5</t>
  </si>
  <si>
    <t>הבורסה לניירות ערך בתל אביב בע"מ</t>
  </si>
  <si>
    <t>520020033</t>
  </si>
  <si>
    <t>P 1970 JUL</t>
  </si>
  <si>
    <t>85010148</t>
  </si>
  <si>
    <t>26/07/2024</t>
  </si>
  <si>
    <t>1,970</t>
  </si>
  <si>
    <t>15,000,000</t>
  </si>
  <si>
    <t>C 1970 JUL</t>
  </si>
  <si>
    <t>85009348</t>
  </si>
  <si>
    <t>24,400,000</t>
  </si>
  <si>
    <t>S&amp;P500 EMINI FU התחייבות</t>
  </si>
  <si>
    <t>730666231</t>
  </si>
  <si>
    <t>NASDAQ 100 E-MI התחייבות</t>
  </si>
  <si>
    <t>730780161</t>
  </si>
  <si>
    <t>NASDAQ 100 E-MINI</t>
  </si>
  <si>
    <t>30240</t>
  </si>
  <si>
    <t>NASDAQ 100 E-MI</t>
  </si>
  <si>
    <t>73078016</t>
  </si>
  <si>
    <t>39,854,500</t>
  </si>
  <si>
    <t>S&amp;P 500 EMINI FUT</t>
  </si>
  <si>
    <t>28933</t>
  </si>
  <si>
    <t>S&amp;P500 EMINI FU</t>
  </si>
  <si>
    <t>73066623</t>
  </si>
  <si>
    <t>27,607,500</t>
  </si>
  <si>
    <t>אלה פקדונות בע"מ</t>
  </si>
  <si>
    <t>515666881</t>
  </si>
  <si>
    <t>אלה פקדון אגח ה</t>
  </si>
  <si>
    <t>IL0011625774</t>
  </si>
  <si>
    <t>103.2</t>
  </si>
  <si>
    <t>אלה פקדון אגח ד</t>
  </si>
  <si>
    <t>IL0011623043</t>
  </si>
  <si>
    <t>112</t>
  </si>
  <si>
    <t>אול-יר הולדינגס לימיטד</t>
  </si>
  <si>
    <t>1841580</t>
  </si>
  <si>
    <t>אול יר אג"ח ה' 2024/2018</t>
  </si>
  <si>
    <t>IL0011433047</t>
  </si>
  <si>
    <t>25/04/2023</t>
  </si>
  <si>
    <t>Caa3.il</t>
  </si>
  <si>
    <t>31/07/2024</t>
  </si>
  <si>
    <t>0.01</t>
  </si>
  <si>
    <t>מת"מ - מרכז תעשיות מדע חיפה בע"מ</t>
  </si>
  <si>
    <t>510687403</t>
  </si>
  <si>
    <t>מת"מ אגח א-רמ</t>
  </si>
  <si>
    <t>IL0011389991</t>
  </si>
  <si>
    <t>05/12/2018</t>
  </si>
  <si>
    <t>96.05</t>
  </si>
  <si>
    <t>מקורות אג"ח 8</t>
  </si>
  <si>
    <t>IL0011243461</t>
  </si>
  <si>
    <t>14/07/2011</t>
  </si>
  <si>
    <t>14/07/2048</t>
  </si>
  <si>
    <t>129.74</t>
  </si>
  <si>
    <t>אלון חברת הדלק לישראל בע"מ</t>
  </si>
  <si>
    <t>520041690</t>
  </si>
  <si>
    <t>אלון דלק אגא-רמ</t>
  </si>
  <si>
    <t>IL0011015679</t>
  </si>
  <si>
    <t>01/05/2016</t>
  </si>
  <si>
    <t>30/06/2024</t>
  </si>
  <si>
    <t>מפעלי פלדה מאוחדים בע"מ</t>
  </si>
  <si>
    <t>520022492</t>
  </si>
  <si>
    <t>מפעלי פלדה אגח סד 1</t>
  </si>
  <si>
    <t>IL0039800185</t>
  </si>
  <si>
    <t>10/11/1997</t>
  </si>
  <si>
    <t>31/01/2001</t>
  </si>
  <si>
    <t>פלדה אג1 מפ 1/00</t>
  </si>
  <si>
    <t>3980042</t>
  </si>
  <si>
    <t>31/05/2000</t>
  </si>
  <si>
    <t>LEHMAN BROTHERS HOLDINGS</t>
  </si>
  <si>
    <t>549300FDK6ZP3YIHRJ47</t>
  </si>
  <si>
    <t>LEH 7 7/8 08/15/10</t>
  </si>
  <si>
    <t>US524908CM04</t>
  </si>
  <si>
    <t>20/01/2011</t>
  </si>
  <si>
    <t>15/08/2010</t>
  </si>
  <si>
    <t>נתיבים אגרות חוב בע"מ</t>
  </si>
  <si>
    <t>513502229</t>
  </si>
  <si>
    <t>נתיבים אגח א-רמ</t>
  </si>
  <si>
    <t>IL0010902810</t>
  </si>
  <si>
    <t>28/09/2005</t>
  </si>
  <si>
    <t>03/07/2027</t>
  </si>
  <si>
    <t>106.26</t>
  </si>
  <si>
    <t>רייכרט תעשיות בע"מ</t>
  </si>
  <si>
    <t>520039652</t>
  </si>
  <si>
    <t>רייכרט</t>
  </si>
  <si>
    <t>IL0004760109</t>
  </si>
  <si>
    <t>קיסטון-אגד (שותפות)</t>
  </si>
  <si>
    <t>540316205</t>
  </si>
  <si>
    <t>400110522</t>
  </si>
  <si>
    <t>11/05/2022</t>
  </si>
  <si>
    <t>122.0876</t>
  </si>
  <si>
    <t>אלפא מים השקעות</t>
  </si>
  <si>
    <t>515676765</t>
  </si>
  <si>
    <t>אלפא מים פרטנרס</t>
  </si>
  <si>
    <t>400512171</t>
  </si>
  <si>
    <t>22/04/2021</t>
  </si>
  <si>
    <t>313.5737</t>
  </si>
  <si>
    <t>סטורדוט בע"מ</t>
  </si>
  <si>
    <t>514820117</t>
  </si>
  <si>
    <t>סטורדוט השקעה במניות</t>
  </si>
  <si>
    <t>400130917</t>
  </si>
  <si>
    <t>13/09/2017</t>
  </si>
  <si>
    <t>8.1108</t>
  </si>
  <si>
    <t>TIPA CORP LTD</t>
  </si>
  <si>
    <t>514420660</t>
  </si>
  <si>
    <t>TIPA</t>
  </si>
  <si>
    <t>400110122</t>
  </si>
  <si>
    <t>11/01/2022</t>
  </si>
  <si>
    <t>Resonai</t>
  </si>
  <si>
    <t>514996362</t>
  </si>
  <si>
    <t>Silverfort SPV</t>
  </si>
  <si>
    <t>400110322</t>
  </si>
  <si>
    <t>13/03/2022</t>
  </si>
  <si>
    <t>174.5244</t>
  </si>
  <si>
    <t>אלפא מים פרטנרס 2</t>
  </si>
  <si>
    <t>402702191</t>
  </si>
  <si>
    <t>27/02/2019</t>
  </si>
  <si>
    <t>132.5601</t>
  </si>
  <si>
    <t>עיינה</t>
  </si>
  <si>
    <t>29927</t>
  </si>
  <si>
    <t>AYANA Common Shares (from 2017 CLA Conversion)</t>
  </si>
  <si>
    <t>400160719</t>
  </si>
  <si>
    <t>16/07/2019</t>
  </si>
  <si>
    <t>359.5</t>
  </si>
  <si>
    <t>AYANA Preferred A Shares (SPA 2019)</t>
  </si>
  <si>
    <t>400210519</t>
  </si>
  <si>
    <t>21/05/2019</t>
  </si>
  <si>
    <t>38,650</t>
  </si>
  <si>
    <t>400120322</t>
  </si>
  <si>
    <t>67</t>
  </si>
  <si>
    <t>ויולה גנריישן ניהול</t>
  </si>
  <si>
    <t>402308182</t>
  </si>
  <si>
    <t>23/08/2018</t>
  </si>
  <si>
    <t>3,519.9432</t>
  </si>
  <si>
    <t>AYANA Preferred A Shares (from 2020/21 CLA Convers</t>
  </si>
  <si>
    <t>400291222</t>
  </si>
  <si>
    <t>29/12/2022</t>
  </si>
  <si>
    <t>363</t>
  </si>
  <si>
    <t>ק.מ מדף 5 בע"מ</t>
  </si>
  <si>
    <t>516387933</t>
  </si>
  <si>
    <t>400301221</t>
  </si>
  <si>
    <t>29/12/2021</t>
  </si>
  <si>
    <t>5</t>
  </si>
  <si>
    <t>imm - vx limited partnership</t>
  </si>
  <si>
    <t>540303765</t>
  </si>
  <si>
    <t>VELOX- IMM - VX LP</t>
  </si>
  <si>
    <t>400090821</t>
  </si>
  <si>
    <t>10/08/2021</t>
  </si>
  <si>
    <t>4.3999</t>
  </si>
  <si>
    <t>MOLECULED מניית בכורה</t>
  </si>
  <si>
    <t>400231219</t>
  </si>
  <si>
    <t>23/12/2019</t>
  </si>
  <si>
    <t>דליה אנרגיות</t>
  </si>
  <si>
    <t>513708818</t>
  </si>
  <si>
    <t>אנרגי ואלי אנרגיה</t>
  </si>
  <si>
    <t>400241218</t>
  </si>
  <si>
    <t>24/12/2018</t>
  </si>
  <si>
    <t>אדאקום טכנולוגיות בע"מ</t>
  </si>
  <si>
    <t>239</t>
  </si>
  <si>
    <t>אדאקום  1 ש"ח</t>
  </si>
  <si>
    <t>239012</t>
  </si>
  <si>
    <t>0.001</t>
  </si>
  <si>
    <t>אלון דלק אג"ח בהסדר חוב</t>
  </si>
  <si>
    <t>400051117</t>
  </si>
  <si>
    <t>05/11/2017</t>
  </si>
  <si>
    <t>גולדן קפיטל גרמניה</t>
  </si>
  <si>
    <t>30205</t>
  </si>
  <si>
    <t>עסקת נדל"ן גולדן קפיטל גרמניה</t>
  </si>
  <si>
    <t>400190618</t>
  </si>
  <si>
    <t>19/06/2018</t>
  </si>
  <si>
    <t>149.7085</t>
  </si>
  <si>
    <t>אינטגרה</t>
  </si>
  <si>
    <t>29265</t>
  </si>
  <si>
    <t>40050513</t>
  </si>
  <si>
    <t>05/05/2013</t>
  </si>
  <si>
    <t>27.0465</t>
  </si>
  <si>
    <t>Quantum Machines</t>
  </si>
  <si>
    <t>30655</t>
  </si>
  <si>
    <t>Quantum Machines גננות</t>
  </si>
  <si>
    <t>400090822</t>
  </si>
  <si>
    <t>09/08/2022</t>
  </si>
  <si>
    <t>610.458</t>
  </si>
  <si>
    <t>Silk Technologies Inc</t>
  </si>
  <si>
    <t>30544</t>
  </si>
  <si>
    <t>Silk Technologies Inc גננות</t>
  </si>
  <si>
    <t>400250321</t>
  </si>
  <si>
    <t>31/05/2022</t>
  </si>
  <si>
    <t>420</t>
  </si>
  <si>
    <t>ODYSIGHT אופציה</t>
  </si>
  <si>
    <t>400300421</t>
  </si>
  <si>
    <t>29/04/2021</t>
  </si>
  <si>
    <t>0.71</t>
  </si>
  <si>
    <t>פויכטונגר השקעות 1984 בע"מ</t>
  </si>
  <si>
    <t>1123</t>
  </si>
  <si>
    <t>פויכטונגר השק 0.01</t>
  </si>
  <si>
    <t>10853231</t>
  </si>
  <si>
    <t>30/09/2014</t>
  </si>
  <si>
    <t>טנא הון צמיחה 4 שותפות מוגבלת</t>
  </si>
  <si>
    <t>טנא הון צמיחה 4</t>
  </si>
  <si>
    <t>400150118</t>
  </si>
  <si>
    <t>פימי 6 2016 בעמ</t>
  </si>
  <si>
    <t>פימי 6 אופורטוניטי ישראל FIMI</t>
  </si>
  <si>
    <t>402107161</t>
  </si>
  <si>
    <t>Peregrine IV General Partner LP Limited Partnership</t>
  </si>
  <si>
    <t>פרגרין ונצ'רם</t>
  </si>
  <si>
    <t>400170719</t>
  </si>
  <si>
    <t>טנא קרן להשקעות בתעשייה הקיבוצית שותפות מוגבלת</t>
  </si>
  <si>
    <t>קרן טנא</t>
  </si>
  <si>
    <t>400241213</t>
  </si>
  <si>
    <t>Stage One Capital (GP) II, L.P</t>
  </si>
  <si>
    <t>STAGE 1</t>
  </si>
  <si>
    <t>40270715</t>
  </si>
  <si>
    <t>פימי 7 2020 בעמ</t>
  </si>
  <si>
    <t>פימי 7</t>
  </si>
  <si>
    <t>40310321</t>
  </si>
  <si>
    <t>ס.ה. סקיי 4 ניהול שותפות מוגבלת</t>
  </si>
  <si>
    <t>SKY 4 LIMITED גננות</t>
  </si>
  <si>
    <t>400170322</t>
  </si>
  <si>
    <t>Vintage Secondary V GP, L.P.</t>
  </si>
  <si>
    <t>Vintage Secondary V</t>
  </si>
  <si>
    <t>403012217</t>
  </si>
  <si>
    <t>Fortissimo Capital Fund VI GP, L.P</t>
  </si>
  <si>
    <t>Fortissimo Fund VI</t>
  </si>
  <si>
    <t>400171023</t>
  </si>
  <si>
    <t>פימי חמש 2020 בעמ</t>
  </si>
  <si>
    <t>FIMI OPPORTUNITY V</t>
  </si>
  <si>
    <t>402708122</t>
  </si>
  <si>
    <t>Presidio Management Group XIII, L.P.</t>
  </si>
  <si>
    <t>USVP XIII גננות</t>
  </si>
  <si>
    <t>400120123</t>
  </si>
  <si>
    <t>OEP VIII General Partner, L.P.</t>
  </si>
  <si>
    <t>OEP VIII-A גננות</t>
  </si>
  <si>
    <t>400280422</t>
  </si>
  <si>
    <t>Insight Venture Associates X, L.P.</t>
  </si>
  <si>
    <t>INSIGHT X</t>
  </si>
  <si>
    <t>400170418</t>
  </si>
  <si>
    <t>HarbourVest Partners, LLC</t>
  </si>
  <si>
    <t>Harbourvest Dover 10</t>
  </si>
  <si>
    <t>400130120</t>
  </si>
  <si>
    <t>Hamilton Lane Advisors, LLC</t>
  </si>
  <si>
    <t>Hamilton Lane CI IV</t>
  </si>
  <si>
    <t>400290519</t>
  </si>
  <si>
    <t>Insight Associates XI, L.P.</t>
  </si>
  <si>
    <t>Insight Partners XI</t>
  </si>
  <si>
    <t>400240320</t>
  </si>
  <si>
    <t>EQT Infrastructure V (General Partner) S.? r.l.</t>
  </si>
  <si>
    <t>EQT Infrastructure V</t>
  </si>
  <si>
    <t>400811201</t>
  </si>
  <si>
    <t>ECP Calpine Fund GP, LP</t>
  </si>
  <si>
    <t>ECP Calpine Cont גננות</t>
  </si>
  <si>
    <t>400010722</t>
  </si>
  <si>
    <t>Hamilton Lane Equity Oppo</t>
  </si>
  <si>
    <t>400241022</t>
  </si>
  <si>
    <t>LLCP Partners VI GP, L.P.</t>
  </si>
  <si>
    <t>Levine Leichtman VI</t>
  </si>
  <si>
    <t>400010218</t>
  </si>
  <si>
    <t>HAMILTON LANE SECONDARY V</t>
  </si>
  <si>
    <t>400210221</t>
  </si>
  <si>
    <t>ALEMIF III Management LLC</t>
  </si>
  <si>
    <t>אלקטרה נדל"ן 3</t>
  </si>
  <si>
    <t>400140420</t>
  </si>
  <si>
    <t>EMIF II Management LLC</t>
  </si>
  <si>
    <t>Electra Multifamily II</t>
  </si>
  <si>
    <t>400190718</t>
  </si>
  <si>
    <t>PGCO V GP (Lux) S.? r.l</t>
  </si>
  <si>
    <t>Pantheon G-CI Opp V</t>
  </si>
  <si>
    <t>400260421</t>
  </si>
  <si>
    <t>CVC Capital Partners VIII Limited</t>
  </si>
  <si>
    <t>CVC CAPITAL PARTNERS VIII</t>
  </si>
  <si>
    <t>400811203</t>
  </si>
  <si>
    <t>Coller Investment Management Limited</t>
  </si>
  <si>
    <t>Coller VIII</t>
  </si>
  <si>
    <t>400281220</t>
  </si>
  <si>
    <t>PGSF VII GP S.? r.l.</t>
  </si>
  <si>
    <t>Pantheon Global Secondary Fund VI</t>
  </si>
  <si>
    <t>40200520</t>
  </si>
  <si>
    <t>Primavera Capital GP IV Ltd.</t>
  </si>
  <si>
    <t>Primavera Capital Fund IV</t>
  </si>
  <si>
    <t>400250521</t>
  </si>
  <si>
    <t>Fortissimo Capital Fund V (GP), L.P</t>
  </si>
  <si>
    <t>FORTTISSIMO V</t>
  </si>
  <si>
    <t>401304201</t>
  </si>
  <si>
    <t>EQT IX (General Partner) S.?.r.l.</t>
  </si>
  <si>
    <t>EQT IX גננות</t>
  </si>
  <si>
    <t>400811202</t>
  </si>
  <si>
    <t>Schroders Capital Private Equity Secondaries Management IV S.? r.l.</t>
  </si>
  <si>
    <t>Schroders Capital גננות</t>
  </si>
  <si>
    <t>400210222</t>
  </si>
  <si>
    <t>ICG Europe Fund VII GP S.? r.l.</t>
  </si>
  <si>
    <t>ICG Europe VII מורים</t>
  </si>
  <si>
    <t>400230818</t>
  </si>
  <si>
    <t>Primavera Capital Fund Investment GP M Ltd.</t>
  </si>
  <si>
    <t>Primavera Capital M (Mead</t>
  </si>
  <si>
    <t>400060122</t>
  </si>
  <si>
    <t>Electra Capital PM, LLC</t>
  </si>
  <si>
    <t>Electra Capital PM</t>
  </si>
  <si>
    <t>400140920</t>
  </si>
  <si>
    <t>ALEMIF IV Management LLC</t>
  </si>
  <si>
    <t>אלקטרה נדל"ן 4</t>
  </si>
  <si>
    <t>400250722</t>
  </si>
  <si>
    <t>RRED GP, LLC</t>
  </si>
  <si>
    <t>Related</t>
  </si>
  <si>
    <t>400061221</t>
  </si>
  <si>
    <t>Pantheon PGIF IV GP (Lux) S.? r.l</t>
  </si>
  <si>
    <t>Pantheon Global Secondary Fund VII גננות</t>
  </si>
  <si>
    <t>400020823</t>
  </si>
  <si>
    <t>Insight Associates XII, LP.</t>
  </si>
  <si>
    <t>Insight Partners XII</t>
  </si>
  <si>
    <t>400251121</t>
  </si>
  <si>
    <t>Insight Associates XII Buyout Annex, L.P.</t>
  </si>
  <si>
    <t>Insight Partners XII Anne</t>
  </si>
  <si>
    <t>400161121</t>
  </si>
  <si>
    <t>Mission Capital Co-investment GP II, L.P.</t>
  </si>
  <si>
    <t>Axiom Asia Co-in II</t>
  </si>
  <si>
    <t>400261121</t>
  </si>
  <si>
    <t>ASF VIII INFRASTRUCTURE GP Limited</t>
  </si>
  <si>
    <t>ASF VIII Infrastructure</t>
  </si>
  <si>
    <t>400120821</t>
  </si>
  <si>
    <t>AMI GP LP Inc</t>
  </si>
  <si>
    <t>אייפקס מדיום ישראל מורים</t>
  </si>
  <si>
    <t>402012152</t>
  </si>
  <si>
    <t>Corbel DSOF GP, LLC</t>
  </si>
  <si>
    <t>CORBEL DSOP גננות</t>
  </si>
  <si>
    <t>400260722</t>
  </si>
  <si>
    <t>Stage One Capital (GP) III L.P</t>
  </si>
  <si>
    <t>STAGE ONE 3</t>
  </si>
  <si>
    <t>400160118</t>
  </si>
  <si>
    <t>Dover Street XI Feeder Fu</t>
  </si>
  <si>
    <t>400200324</t>
  </si>
  <si>
    <t>Bridgepoint Europe VII GP LLP,</t>
  </si>
  <si>
    <t>BRIDGEPOINT EUROPE VII</t>
  </si>
  <si>
    <t>400120124</t>
  </si>
  <si>
    <t>Gatewood Capital GP II LLC</t>
  </si>
  <si>
    <t>Gatewood II</t>
  </si>
  <si>
    <t>400290621</t>
  </si>
  <si>
    <t>Stage One Capital (GP) IV L.P.</t>
  </si>
  <si>
    <t>Stage One IV גננות</t>
  </si>
  <si>
    <t>403012215</t>
  </si>
  <si>
    <t>EQT X גננות</t>
  </si>
  <si>
    <t>400120623</t>
  </si>
  <si>
    <t>AMI II GP LP Inc</t>
  </si>
  <si>
    <t>AMI Opp. II גננות</t>
  </si>
  <si>
    <t>400300622</t>
  </si>
  <si>
    <t>Stage One IV Annex</t>
  </si>
  <si>
    <t>403012216</t>
  </si>
  <si>
    <t>אללוחם 1 בעמ</t>
  </si>
  <si>
    <t>דניאל קיסריה אנרגיה מורים</t>
  </si>
  <si>
    <t>400231116</t>
  </si>
  <si>
    <t>חברת שותף כללי  קרן תשתיות ישראל  3 בעמ</t>
  </si>
  <si>
    <t>תשתיות ישראל 3</t>
  </si>
  <si>
    <t>400191016</t>
  </si>
  <si>
    <t>אסנס פרויקטים בעמ</t>
  </si>
  <si>
    <t>מנרב אסנס Co invest</t>
  </si>
  <si>
    <t>400050821</t>
  </si>
  <si>
    <t>נוי אי. איי תשתיות ואנרגיה ג'י.פי, ש.מ</t>
  </si>
  <si>
    <t>קרן נוי 3 להשקעה בתשתיות אנרגי</t>
  </si>
  <si>
    <t>400260519</t>
  </si>
  <si>
    <t>נוי 4</t>
  </si>
  <si>
    <t>400310321</t>
  </si>
  <si>
    <t>דרך הצפון שותף כללי (ע.ג.) בע''מ</t>
  </si>
  <si>
    <t>דרך הצפון (ע.ג.), שותפות מוגבלת</t>
  </si>
  <si>
    <t>400080317</t>
  </si>
  <si>
    <t>Helios General 3 ltd</t>
  </si>
  <si>
    <t>הליוס אנרגיה מתחדשת 4</t>
  </si>
  <si>
    <t>400251018</t>
  </si>
  <si>
    <t>תשתיות ישראל ג'י. פי.  ניהול II , שותפות מוגבלת</t>
  </si>
  <si>
    <t>תש"י רכבת קלה ירושלים</t>
  </si>
  <si>
    <t>400150616</t>
  </si>
  <si>
    <t>תשתיות ישראל ג'י. פי. שותפות מוגבלת</t>
  </si>
  <si>
    <t>קרן תש"י - קרן 1 (מורים)</t>
  </si>
  <si>
    <t>400191007</t>
  </si>
  <si>
    <t>תשתיות ישראל  ג'י. פי. 4 שותפות מוגבלת</t>
  </si>
  <si>
    <t>תשתיות ישראל 4</t>
  </si>
  <si>
    <t>400121020</t>
  </si>
  <si>
    <t>Pantheon Access GP S.? r.l</t>
  </si>
  <si>
    <t>פנתיאון אקסס</t>
  </si>
  <si>
    <t>400080518</t>
  </si>
  <si>
    <t>Pantheon GIF IV</t>
  </si>
  <si>
    <t>400300322</t>
  </si>
  <si>
    <t>ספרה ניהול קרנות בעמ</t>
  </si>
  <si>
    <t>SPHERA FD D</t>
  </si>
  <si>
    <t>VGG834781343</t>
  </si>
  <si>
    <t>נוקד אקוויטי השקעות בעמ</t>
  </si>
  <si>
    <t>קרן נוקד אקווטי</t>
  </si>
  <si>
    <t>400301017</t>
  </si>
  <si>
    <t>קרן טוליפ קפיטל ג'י פי בעמ</t>
  </si>
  <si>
    <t>טוליפ קפיטל</t>
  </si>
  <si>
    <t>40230117</t>
  </si>
  <si>
    <t>אלפא לונג ביאס ג'י פי בעמ</t>
  </si>
  <si>
    <t>אלפא ערך</t>
  </si>
  <si>
    <t>400270324</t>
  </si>
  <si>
    <t>ION Asset Management Ltd.</t>
  </si>
  <si>
    <t>ION ISRAEL FEEDER FUND LTD</t>
  </si>
  <si>
    <t>400300718</t>
  </si>
  <si>
    <t>אלפא קרן גידור</t>
  </si>
  <si>
    <t>400300817</t>
  </si>
  <si>
    <t>יסודות מעטפת פיננסית גי'פי שותפות מוגבלת</t>
  </si>
  <si>
    <t>יסודות ג' נדלן ופיתוח שותפות מוגבלת</t>
  </si>
  <si>
    <t>400031219</t>
  </si>
  <si>
    <t>Klirmark Fund III (G.P) L.P</t>
  </si>
  <si>
    <t>KLIRMARK III מורים</t>
  </si>
  <si>
    <t>40131119</t>
  </si>
  <si>
    <t>יסודות 2</t>
  </si>
  <si>
    <t>400300118</t>
  </si>
  <si>
    <t>ריאליטי מימון שותף כללי בעמ</t>
  </si>
  <si>
    <t>ריאליטי מימון</t>
  </si>
  <si>
    <t>400310322</t>
  </si>
  <si>
    <t>קוגיטו קפיטל פאנד 2 שותף כללי בעמ</t>
  </si>
  <si>
    <t>קרן קוגיטו קפיטל</t>
  </si>
  <si>
    <t>403012214</t>
  </si>
  <si>
    <t>הראל אלטרנטיב קרנות השקעה בעמ</t>
  </si>
  <si>
    <t>Harel Alternative Real Es</t>
  </si>
  <si>
    <t>400110523</t>
  </si>
  <si>
    <t>Klirmark Fund IV (G.P) L.P</t>
  </si>
  <si>
    <t>Klirmark Opportunity Fund</t>
  </si>
  <si>
    <t>400180423</t>
  </si>
  <si>
    <t>שקד השקעות (ג'י.פי) שותפות מוגבלת</t>
  </si>
  <si>
    <t>קרן שקד</t>
  </si>
  <si>
    <t>400180117</t>
  </si>
  <si>
    <t>קוגיטו קפיטל אל.אמ.אי שותף כללי, שותפות מוגבלת</t>
  </si>
  <si>
    <t>קוגיטו בי.אם.אי</t>
  </si>
  <si>
    <t>40040917</t>
  </si>
  <si>
    <t>קוגיטו קפיטל שותף כללי בעמ</t>
  </si>
  <si>
    <t>40210716</t>
  </si>
  <si>
    <t>יסודות א' נדלן ופיתוח שותפות מוגבלת</t>
  </si>
  <si>
    <t>400150115</t>
  </si>
  <si>
    <t>HDL - HarbourVest Direct</t>
  </si>
  <si>
    <t>400140921</t>
  </si>
  <si>
    <t>Direct Lending Fund III General Partner S.? r.l.</t>
  </si>
  <si>
    <t>BlueBay</t>
  </si>
  <si>
    <t>400300119</t>
  </si>
  <si>
    <t>MV Subordinated GP S.? r.l.</t>
  </si>
  <si>
    <t>MV Subordinated V</t>
  </si>
  <si>
    <t>400190821</t>
  </si>
  <si>
    <t>MV Senior GP S.? r.l</t>
  </si>
  <si>
    <t>MV SENIOR 2 מורים</t>
  </si>
  <si>
    <t>400170720</t>
  </si>
  <si>
    <t>Pagaya Auto loans Manager LP.</t>
  </si>
  <si>
    <t>Pagaya AUTO Class A גננות</t>
  </si>
  <si>
    <t>403012212</t>
  </si>
  <si>
    <t>Frux Capital II GP SARL</t>
  </si>
  <si>
    <t>FRUX II</t>
  </si>
  <si>
    <t>400010422</t>
  </si>
  <si>
    <t>NB Credit Opportunities Associates II LP</t>
  </si>
  <si>
    <t>NB Credit Opportunities II גננות</t>
  </si>
  <si>
    <t>400170723</t>
  </si>
  <si>
    <t>Allianz</t>
  </si>
  <si>
    <t>Allianz APSL גננות</t>
  </si>
  <si>
    <t>400190622</t>
  </si>
  <si>
    <t>CVC Credit Capital Solutions III General Partner S.a.r.l.</t>
  </si>
  <si>
    <t>CVC Credit Capital Solutions III גננות</t>
  </si>
  <si>
    <t>400111223</t>
  </si>
  <si>
    <t>*Monarch Alternative Capital LP</t>
  </si>
  <si>
    <t>Monarch Capital Partners VI גננות</t>
  </si>
  <si>
    <t>400270323</t>
  </si>
  <si>
    <t>Penfund Capital Partners VII Inc.</t>
  </si>
  <si>
    <t>Penfund Capital VII</t>
  </si>
  <si>
    <t>400020422</t>
  </si>
  <si>
    <t>Pagaya AUTO Class B גננות</t>
  </si>
  <si>
    <t>403012213</t>
  </si>
  <si>
    <t>שקד פרטנרס 2 ג'י.פי. בעמ</t>
  </si>
  <si>
    <t>שקד 2 מורים וגננות</t>
  </si>
  <si>
    <t>400120723</t>
  </si>
  <si>
    <t>Penfund Capital VII CO-IN</t>
  </si>
  <si>
    <t>400030422</t>
  </si>
  <si>
    <t>ריאליטי שותף כללי 4 בעמ</t>
  </si>
  <si>
    <t>ריאליטי 4</t>
  </si>
  <si>
    <t>400300519</t>
  </si>
  <si>
    <t>ג'יי.טי.אל.וי 3 ש.כ. בעמ</t>
  </si>
  <si>
    <t>JTLV 3 גננות</t>
  </si>
  <si>
    <t>400100622</t>
  </si>
  <si>
    <t>Marathon Real Estate Fund</t>
  </si>
  <si>
    <t>400271220</t>
  </si>
  <si>
    <t>ריאליטי 5</t>
  </si>
  <si>
    <t>400201123</t>
  </si>
  <si>
    <t>ריאליטי ניהול קרנות בעמ</t>
  </si>
  <si>
    <t>ריאליטי קרן השקעות 2</t>
  </si>
  <si>
    <t>400160412</t>
  </si>
  <si>
    <t>ריאלטי קו אינווסמנט נווה אילן</t>
  </si>
  <si>
    <t>400260214</t>
  </si>
  <si>
    <t>Blackstone Real Estate Associates IX L.P.</t>
  </si>
  <si>
    <t>קרן בלקסטון 9</t>
  </si>
  <si>
    <t>400190919</t>
  </si>
  <si>
    <t>FRG-X GP,LP</t>
  </si>
  <si>
    <t>Faropoint Logistic II (FR</t>
  </si>
  <si>
    <t>400280621</t>
  </si>
  <si>
    <t>Brookfield Strategic Real Estate Partners III GP L.P.</t>
  </si>
  <si>
    <t>קרן ברוקפילד</t>
  </si>
  <si>
    <t>400100419</t>
  </si>
  <si>
    <t>Madison Realty Capital Debt Fund V GP LLC</t>
  </si>
  <si>
    <t>Madison Realty Capital Debt Fund V</t>
  </si>
  <si>
    <t>400200520</t>
  </si>
  <si>
    <t>LCN European Fund III GP S.? r.l.</t>
  </si>
  <si>
    <t>LCN III</t>
  </si>
  <si>
    <t>400140520</t>
  </si>
  <si>
    <t>AP Fund II GP, LLC</t>
  </si>
  <si>
    <t>בלו אטלנטיק 2</t>
  </si>
  <si>
    <t>40220617</t>
  </si>
  <si>
    <t>AP Fund III GP, LLC</t>
  </si>
  <si>
    <t>BLUE ATLANTIC PARTNER III</t>
  </si>
  <si>
    <t>400120819</t>
  </si>
  <si>
    <t>AP Fund I GP, LLC</t>
  </si>
  <si>
    <t>בלו אטלנטיק פרטנרס</t>
  </si>
  <si>
    <t>40200616</t>
  </si>
  <si>
    <t>Alto</t>
  </si>
  <si>
    <t>ALTO FUND III</t>
  </si>
  <si>
    <t>40131217</t>
  </si>
  <si>
    <t>Northwind Debt Fund II GP LLC</t>
  </si>
  <si>
    <t>Northwind Debt Fund II גננות</t>
  </si>
  <si>
    <t>400201023</t>
  </si>
  <si>
    <t>FRG-X-GP,LP</t>
  </si>
  <si>
    <t>400060624</t>
  </si>
  <si>
    <t>FORMA FUND GENERAL PARTNER LTD</t>
  </si>
  <si>
    <t>Forma Fund</t>
  </si>
  <si>
    <t>400260318</t>
  </si>
  <si>
    <t>Rialto Partners GP V-Debt, LP</t>
  </si>
  <si>
    <t>Rialto Real Estate Fund V Debt, LP</t>
  </si>
  <si>
    <t>400270224</t>
  </si>
  <si>
    <t>אייג'יפי השקעות (ג'י.פי.אל.פי), שותפות מוגבלת.</t>
  </si>
  <si>
    <t>IGP INVESTMENTS II</t>
  </si>
  <si>
    <t>400150818</t>
  </si>
  <si>
    <t>Firstime Ventures III General Partner L.P.</t>
  </si>
  <si>
    <t>Firstime Ventures III L.P</t>
  </si>
  <si>
    <t>400241121</t>
  </si>
  <si>
    <t>Windin` Capital Fund LP מורים</t>
  </si>
  <si>
    <t>400140720</t>
  </si>
  <si>
    <t>פונטיפקס 5  ג'י.פי ש.מ</t>
  </si>
  <si>
    <t>קרן פונטיפקס 5</t>
  </si>
  <si>
    <t>400080418</t>
  </si>
  <si>
    <t>LOOL 2 Ventures GP LTD</t>
  </si>
  <si>
    <t>lool Ventures III</t>
  </si>
  <si>
    <t>400130322</t>
  </si>
  <si>
    <t>גרות' פרטנרס (ליכטמן ושני) שותפות מוגבלת</t>
  </si>
  <si>
    <t>קרן השקעה IGP</t>
  </si>
  <si>
    <t>400030214</t>
  </si>
  <si>
    <t>פונטיפקס 6  ג'י.פי ש.מ</t>
  </si>
  <si>
    <t>פונטיפקס 6 גננות</t>
  </si>
  <si>
    <t>400081120</t>
  </si>
  <si>
    <t>AGATE MEDICAL INVESTMENT</t>
  </si>
  <si>
    <t>400011107</t>
  </si>
  <si>
    <t>IGP SaferWorld</t>
  </si>
  <si>
    <t>400260619</t>
  </si>
  <si>
    <t>ICG Strategic Equity IV גננות</t>
  </si>
  <si>
    <t>ICG SSF II</t>
  </si>
  <si>
    <t>GIP IV</t>
  </si>
  <si>
    <t>400221019</t>
  </si>
  <si>
    <t>Vintage Investments 11 (Access), L.P.</t>
  </si>
  <si>
    <t>קרן וינטאג' 5 אקסס</t>
  </si>
  <si>
    <t>400280818</t>
  </si>
  <si>
    <t>Welsch Carson XIII</t>
  </si>
  <si>
    <t>400270619</t>
  </si>
  <si>
    <t>Arclight 3C -Third Coast גננות</t>
  </si>
  <si>
    <t>400270722</t>
  </si>
  <si>
    <t>JP Growth Opportunity X, L.P.</t>
  </si>
  <si>
    <t>JVP Growth Opportunity X (C), L.P.גננות</t>
  </si>
  <si>
    <t>400231123</t>
  </si>
  <si>
    <t>הפניקס חוב נדל"ן גננות</t>
  </si>
  <si>
    <t>403012211</t>
  </si>
  <si>
    <t>Bain Special Situation Europe</t>
  </si>
  <si>
    <t>40231018</t>
  </si>
  <si>
    <t>Vintage Fund of Funds VI (Access) GP, L.P.</t>
  </si>
  <si>
    <t>Vintage Fund of Funds VI</t>
  </si>
  <si>
    <t>400041120</t>
  </si>
  <si>
    <t>ICG NORTH AMEIRCA</t>
  </si>
  <si>
    <t>400250219</t>
  </si>
  <si>
    <t>Vintage Fund of Funds VI (Breakout) GP, L.P.</t>
  </si>
  <si>
    <t>400291020</t>
  </si>
  <si>
    <t>Vintage Fund of Funds VII (Access) GP, L.P.</t>
  </si>
  <si>
    <t>Vintage FOF VII (Access)</t>
  </si>
  <si>
    <t>400140722</t>
  </si>
  <si>
    <t>Faering International Growth III</t>
  </si>
  <si>
    <t>400090523</t>
  </si>
  <si>
    <t>הקרן סיימה את חייה, אין נתונים.</t>
  </si>
  <si>
    <t>profimex קרן השקעה בקרנות נדלן</t>
  </si>
  <si>
    <t>400181207</t>
  </si>
  <si>
    <t>ליהמן ברודר</t>
  </si>
  <si>
    <t>22756</t>
  </si>
  <si>
    <t>תשתיות ישראל ניהול 1 בעמ</t>
  </si>
  <si>
    <t>ת.ש.י דרכים ש.מ class a</t>
  </si>
  <si>
    <t>400301210</t>
  </si>
  <si>
    <t>תשי דרכים ש.מ. class a1</t>
  </si>
  <si>
    <t>402506130</t>
  </si>
  <si>
    <t>תש"י 431 (כביש 431) ש.מ</t>
  </si>
  <si>
    <t>400130611</t>
  </si>
  <si>
    <t>קרן תש"י - קרן 2 (מורים)</t>
  </si>
  <si>
    <t>400300811</t>
  </si>
  <si>
    <t>קרן גידור lehman brothers</t>
  </si>
  <si>
    <t>400230207</t>
  </si>
  <si>
    <t>AYANA   Warrants 2019 (SPA May 19)</t>
  </si>
  <si>
    <t>40110816</t>
  </si>
  <si>
    <t>400310716</t>
  </si>
  <si>
    <t>01/01/2078</t>
  </si>
  <si>
    <t>11/08/2016</t>
  </si>
  <si>
    <t>7,800</t>
  </si>
  <si>
    <t>רויאלטיז של אינטגרה</t>
  </si>
  <si>
    <t>400505131</t>
  </si>
  <si>
    <t>2.3371</t>
  </si>
  <si>
    <t>AYANA  Warrants - CLA 2021 Conversion</t>
  </si>
  <si>
    <t>403005192</t>
  </si>
  <si>
    <t>30/05/2019</t>
  </si>
  <si>
    <t>0.0001</t>
  </si>
  <si>
    <t>עיינה הלוואת בעלים 2022</t>
  </si>
  <si>
    <t>400221123</t>
  </si>
  <si>
    <t>30/12/1899</t>
  </si>
  <si>
    <t>20/11/2023</t>
  </si>
  <si>
    <t>570002488</t>
  </si>
  <si>
    <t>4.0014</t>
  </si>
  <si>
    <t>EURILS</t>
  </si>
  <si>
    <t>11/06/2024</t>
  </si>
  <si>
    <t>11/09/2024</t>
  </si>
  <si>
    <t>570002487</t>
  </si>
  <si>
    <t>3.723</t>
  </si>
  <si>
    <t>USDILS</t>
  </si>
  <si>
    <t>570002482</t>
  </si>
  <si>
    <t>4.0498</t>
  </si>
  <si>
    <t>06/06/2024</t>
  </si>
  <si>
    <t>06/08/2024</t>
  </si>
  <si>
    <t>570002486</t>
  </si>
  <si>
    <t>4.7374</t>
  </si>
  <si>
    <t>GBPILS</t>
  </si>
  <si>
    <t>570002481</t>
  </si>
  <si>
    <t>3.724</t>
  </si>
  <si>
    <t>570002440</t>
  </si>
  <si>
    <t>4.0318</t>
  </si>
  <si>
    <t>10/04/2024</t>
  </si>
  <si>
    <t>10/07/2024</t>
  </si>
  <si>
    <t>570002449</t>
  </si>
  <si>
    <t>3.775</t>
  </si>
  <si>
    <t>17/04/2024</t>
  </si>
  <si>
    <t>17/07/2024</t>
  </si>
  <si>
    <t>570002439</t>
  </si>
  <si>
    <t>3.714</t>
  </si>
  <si>
    <t>570002472</t>
  </si>
  <si>
    <t>3.695</t>
  </si>
  <si>
    <t>15/05/2024</t>
  </si>
  <si>
    <t>15/08/2024</t>
  </si>
  <si>
    <t>570002479</t>
  </si>
  <si>
    <t>3.688</t>
  </si>
  <si>
    <t>04/06/2024</t>
  </si>
  <si>
    <t>04/09/2024</t>
  </si>
  <si>
    <t>91114009</t>
  </si>
  <si>
    <t>21/05/2023</t>
  </si>
  <si>
    <t>01/01/2022</t>
  </si>
  <si>
    <t>1.01</t>
  </si>
  <si>
    <t>91101006</t>
  </si>
  <si>
    <t>31/08/2003</t>
  </si>
  <si>
    <t>01/12/2021</t>
  </si>
  <si>
    <t>1.0102</t>
  </si>
  <si>
    <t>90552313</t>
  </si>
  <si>
    <t>10/01/2023</t>
  </si>
  <si>
    <t>Baa3.il</t>
  </si>
  <si>
    <t>10/01/2025</t>
  </si>
  <si>
    <t>22/11/2023</t>
  </si>
  <si>
    <t>104.5</t>
  </si>
  <si>
    <t>90750001</t>
  </si>
  <si>
    <t>18/11/2024</t>
  </si>
  <si>
    <t>18/12/2023</t>
  </si>
  <si>
    <t>90</t>
  </si>
  <si>
    <t>90301000</t>
  </si>
  <si>
    <t>25/03/2021</t>
  </si>
  <si>
    <t>30/06/2048</t>
  </si>
  <si>
    <t>25/11/2023</t>
  </si>
  <si>
    <t>101.34</t>
  </si>
  <si>
    <t>70001003</t>
  </si>
  <si>
    <t>28/03/2018</t>
  </si>
  <si>
    <t>30/09/2045</t>
  </si>
  <si>
    <t>93.56</t>
  </si>
  <si>
    <t>92060100</t>
  </si>
  <si>
    <t>12/07/2022</t>
  </si>
  <si>
    <t>25/03/2043</t>
  </si>
  <si>
    <t>25/12/2023</t>
  </si>
  <si>
    <t>97.89</t>
  </si>
  <si>
    <t>91084014</t>
  </si>
  <si>
    <t>נדל"ן מניב - מגורים (כולל דיור מוגן)</t>
  </si>
  <si>
    <t>10/03/2022</t>
  </si>
  <si>
    <t>26/12/2026</t>
  </si>
  <si>
    <t>30/11/2023</t>
  </si>
  <si>
    <t>101.78</t>
  </si>
  <si>
    <t>90145563</t>
  </si>
  <si>
    <t>28/04/2015</t>
  </si>
  <si>
    <t>115.13</t>
  </si>
  <si>
    <t>70001002</t>
  </si>
  <si>
    <t>31/10/2045</t>
  </si>
  <si>
    <t>96.16</t>
  </si>
  <si>
    <t>90300072</t>
  </si>
  <si>
    <t>27/11/2023</t>
  </si>
  <si>
    <t>25/08/2028</t>
  </si>
  <si>
    <t>100.84</t>
  </si>
  <si>
    <t>400051217</t>
  </si>
  <si>
    <t>01/01/1753</t>
  </si>
  <si>
    <t>148.946</t>
  </si>
  <si>
    <t>90838510</t>
  </si>
  <si>
    <t>26/07/2017</t>
  </si>
  <si>
    <t>31/12/2036</t>
  </si>
  <si>
    <t>114.29</t>
  </si>
  <si>
    <t>99110983</t>
  </si>
  <si>
    <t>06/02/2023</t>
  </si>
  <si>
    <t>04/02/2028</t>
  </si>
  <si>
    <t>01/01/2023</t>
  </si>
  <si>
    <t>103.03</t>
  </si>
  <si>
    <t>9139730</t>
  </si>
  <si>
    <t>29/09/2022</t>
  </si>
  <si>
    <t>10/12/2030</t>
  </si>
  <si>
    <t>22/09/2022</t>
  </si>
  <si>
    <t>109.97</t>
  </si>
  <si>
    <t>90145300</t>
  </si>
  <si>
    <t>31/12/2017</t>
  </si>
  <si>
    <t>01/01/2024</t>
  </si>
  <si>
    <t>112.31</t>
  </si>
  <si>
    <t>70001005</t>
  </si>
  <si>
    <t>125.39</t>
  </si>
  <si>
    <t>98700001</t>
  </si>
  <si>
    <t>14/04/2022</t>
  </si>
  <si>
    <t>11/11/2023</t>
  </si>
  <si>
    <t>77.09</t>
  </si>
  <si>
    <t>91410005</t>
  </si>
  <si>
    <t>30/07/2023</t>
  </si>
  <si>
    <t>28/07/2024</t>
  </si>
  <si>
    <t>05/07/2023</t>
  </si>
  <si>
    <t>90552201</t>
  </si>
  <si>
    <t>24/05/2023</t>
  </si>
  <si>
    <t>24/11/2025</t>
  </si>
  <si>
    <t>01/09/2022</t>
  </si>
  <si>
    <t>104.91</t>
  </si>
  <si>
    <t>70001004</t>
  </si>
  <si>
    <t>115.67</t>
  </si>
  <si>
    <t>90300050</t>
  </si>
  <si>
    <t>31/05/2023</t>
  </si>
  <si>
    <t>99.84</t>
  </si>
  <si>
    <t>90300044</t>
  </si>
  <si>
    <t>91084024</t>
  </si>
  <si>
    <t>108.64</t>
  </si>
  <si>
    <t>400271022</t>
  </si>
  <si>
    <t>29/08/2021</t>
  </si>
  <si>
    <t>70001001</t>
  </si>
  <si>
    <t>115.42</t>
  </si>
  <si>
    <t>90107211</t>
  </si>
  <si>
    <t>02/06/2014</t>
  </si>
  <si>
    <t>30/06/2023</t>
  </si>
  <si>
    <t>101.25</t>
  </si>
  <si>
    <t>90300043</t>
  </si>
  <si>
    <t>25/05/2023</t>
  </si>
  <si>
    <t>99.74</t>
  </si>
  <si>
    <t>92060106</t>
  </si>
  <si>
    <t>19/06/2023</t>
  </si>
  <si>
    <t>98.57</t>
  </si>
  <si>
    <t>90552200</t>
  </si>
  <si>
    <t>104.96</t>
  </si>
  <si>
    <t>92060105</t>
  </si>
  <si>
    <t>16/11/2022</t>
  </si>
  <si>
    <t>99.04</t>
  </si>
  <si>
    <t>90552204</t>
  </si>
  <si>
    <t>14/12/2023</t>
  </si>
  <si>
    <t>02/09/2022</t>
  </si>
  <si>
    <t>105.02</t>
  </si>
  <si>
    <t>90552202</t>
  </si>
  <si>
    <t>02/07/2023</t>
  </si>
  <si>
    <t>104.75</t>
  </si>
  <si>
    <t>90552100</t>
  </si>
  <si>
    <t>26/05/2022</t>
  </si>
  <si>
    <t>25/05/2025</t>
  </si>
  <si>
    <t>101</t>
  </si>
  <si>
    <t>90301001</t>
  </si>
  <si>
    <t>90552203</t>
  </si>
  <si>
    <t>01/10/2023</t>
  </si>
  <si>
    <t>400211123</t>
  </si>
  <si>
    <t>55.1863</t>
  </si>
  <si>
    <t>90552205</t>
  </si>
  <si>
    <t>01/04/2024</t>
  </si>
  <si>
    <t>24/11/2026</t>
  </si>
  <si>
    <t>101.82</t>
  </si>
  <si>
    <t>90552101</t>
  </si>
  <si>
    <t>04/01/2023</t>
  </si>
  <si>
    <t>102.06</t>
  </si>
  <si>
    <t>90838531</t>
  </si>
  <si>
    <t>28/11/2017</t>
  </si>
  <si>
    <t>113.67</t>
  </si>
  <si>
    <t>90552103</t>
  </si>
  <si>
    <t>02/04/2023</t>
  </si>
  <si>
    <t>102.75</t>
  </si>
  <si>
    <t>90552106</t>
  </si>
  <si>
    <t>07/12/2024</t>
  </si>
  <si>
    <t>102.6</t>
  </si>
  <si>
    <t>90552102</t>
  </si>
  <si>
    <t>12/03/2023</t>
  </si>
  <si>
    <t>102.66</t>
  </si>
  <si>
    <t>90146006</t>
  </si>
  <si>
    <t>30/12/2014</t>
  </si>
  <si>
    <t>28/06/2018</t>
  </si>
  <si>
    <t>3.87</t>
  </si>
  <si>
    <t>90552109</t>
  </si>
  <si>
    <t>12/10/2023</t>
  </si>
  <si>
    <t>102.57</t>
  </si>
  <si>
    <t>90552104</t>
  </si>
  <si>
    <t>10/05/2023</t>
  </si>
  <si>
    <t>102.53</t>
  </si>
  <si>
    <t>90552107</t>
  </si>
  <si>
    <t>07/08/2023</t>
  </si>
  <si>
    <t>02/01/2022</t>
  </si>
  <si>
    <t>102.48</t>
  </si>
  <si>
    <t>90552108</t>
  </si>
  <si>
    <t>03/09/2023</t>
  </si>
  <si>
    <t>102.42</t>
  </si>
  <si>
    <t>90552112</t>
  </si>
  <si>
    <t>08/02/2024</t>
  </si>
  <si>
    <t>101.89</t>
  </si>
  <si>
    <t>90552113</t>
  </si>
  <si>
    <t>16/04/2024</t>
  </si>
  <si>
    <t>101.3</t>
  </si>
  <si>
    <t>90838501</t>
  </si>
  <si>
    <t>01/05/2018</t>
  </si>
  <si>
    <t>114.02</t>
  </si>
  <si>
    <t>90552110</t>
  </si>
  <si>
    <t>08/11/2023</t>
  </si>
  <si>
    <t>102.54</t>
  </si>
  <si>
    <t>90552111</t>
  </si>
  <si>
    <t>11/01/2024</t>
  </si>
  <si>
    <t>102.05</t>
  </si>
  <si>
    <t>90552105</t>
  </si>
  <si>
    <t>05/06/2023</t>
  </si>
  <si>
    <t>102.62</t>
  </si>
  <si>
    <t>98700002</t>
  </si>
  <si>
    <t>10/07/2023</t>
  </si>
  <si>
    <t>02/07/2024</t>
  </si>
  <si>
    <t>110.53</t>
  </si>
  <si>
    <t>90146007</t>
  </si>
  <si>
    <t>30/12/2019</t>
  </si>
  <si>
    <t>3.98</t>
  </si>
  <si>
    <t>91731000</t>
  </si>
  <si>
    <t>11/09/2022</t>
  </si>
  <si>
    <t>1.0103</t>
  </si>
  <si>
    <t>91073007</t>
  </si>
  <si>
    <t>01/01/2021</t>
  </si>
  <si>
    <t>1.0141</t>
  </si>
  <si>
    <t>90150720</t>
  </si>
  <si>
    <t>28/10/1999</t>
  </si>
  <si>
    <t>152.88</t>
  </si>
  <si>
    <t>90150520</t>
  </si>
  <si>
    <t>28/09/2004</t>
  </si>
  <si>
    <t>149.6</t>
  </si>
  <si>
    <t>90150300</t>
  </si>
  <si>
    <t>28/06/2007</t>
  </si>
  <si>
    <t>138.68</t>
  </si>
  <si>
    <t>זכויות על תמלוגים במאגר תמר גננות</t>
  </si>
  <si>
    <t>400311219</t>
  </si>
  <si>
    <t>31/12/2019</t>
  </si>
  <si>
    <t>ilBBB+</t>
  </si>
  <si>
    <t>89.8472</t>
  </si>
  <si>
    <t xml:space="preserve">שם גליון </t>
  </si>
  <si>
    <t>קישור לגליון</t>
  </si>
  <si>
    <t>עמוד פתיחה</t>
  </si>
  <si>
    <t>ללא נתונים</t>
  </si>
  <si>
    <t>סכום נכסים</t>
  </si>
  <si>
    <t/>
  </si>
  <si>
    <t>לא סחיר מניות מבכ ויהש</t>
  </si>
  <si>
    <t>מניות מבכ ויהש</t>
  </si>
  <si>
    <t>520027251_gm_p_0224.xlsx</t>
  </si>
  <si>
    <t>דיין תמיר</t>
  </si>
  <si>
    <t>03-5155476</t>
  </si>
  <si>
    <t>dayan.t@fibi.co.il</t>
  </si>
  <si>
    <t>מעבר לגליון</t>
  </si>
  <si>
    <t>סעיף</t>
  </si>
  <si>
    <t>עמודה1</t>
  </si>
  <si>
    <t>עמודה2</t>
  </si>
  <si>
    <t>עמודה3</t>
  </si>
  <si>
    <t>עמודה4</t>
  </si>
  <si>
    <t>שער חליפין2</t>
  </si>
  <si>
    <t>--סוף גליון--</t>
  </si>
  <si>
    <t>סוף טבלה</t>
  </si>
  <si>
    <t>סוף צידי טבלה</t>
  </si>
  <si>
    <t>שם גליון:עמוד פתיחה</t>
  </si>
  <si>
    <t>שם גליון:סכום נכסים</t>
  </si>
  <si>
    <t>שם גליון:מזומנים ושווי מזומנים</t>
  </si>
  <si>
    <t>שם גליון:איגרות חוב ממשלתיות</t>
  </si>
  <si>
    <t>שם גליון:ניירות ערך מסחריים</t>
  </si>
  <si>
    <t>שם גליון:איגרות חוב</t>
  </si>
  <si>
    <t>שם גליון:מניות מבכ ויהש</t>
  </si>
  <si>
    <t>שם גליון:קרנות סל</t>
  </si>
  <si>
    <t>שם גליון:קרנות נאמנות</t>
  </si>
  <si>
    <t>שם גליון:כתבי אופציה</t>
  </si>
  <si>
    <t>שם גליון:אופציות</t>
  </si>
  <si>
    <t>שם גליון:חוזים עתידיים</t>
  </si>
  <si>
    <t>שם גליון:מוצרים מובנים</t>
  </si>
  <si>
    <t>שם גליון:לא סחיר איגרות חוב ממשלתיות</t>
  </si>
  <si>
    <t>שם גליון:לא סחיר איגרות חוב מיועדות</t>
  </si>
  <si>
    <t>שם גליון:אפיק השקעה מובטח תשואה</t>
  </si>
  <si>
    <t>שם גליון:לא סחיר ניירות ערך מסחריים</t>
  </si>
  <si>
    <t>שם גליון:לא סחיר איגרות חוב</t>
  </si>
  <si>
    <t>שם גליון:לא סחיר מניות מבכ ויהש</t>
  </si>
  <si>
    <t>שם גליון:קרנות השקעה</t>
  </si>
  <si>
    <t>שם גליון:לא סחיר כתבי אופציה</t>
  </si>
  <si>
    <t>שם גליון:לא סחיר אופציות</t>
  </si>
  <si>
    <t>שם גליון:לא סחיר נגזרים אחרים</t>
  </si>
  <si>
    <t>שם גליון:הלוואות</t>
  </si>
  <si>
    <t>שם גליון:לא סחיר מוצרים מובנים</t>
  </si>
  <si>
    <t>שם גליון:פיקדונות מעל 3 חודשים</t>
  </si>
  <si>
    <t>שם גליון:זכויות מקרקעין</t>
  </si>
  <si>
    <t>שם גליון:השקעה בחברות מוחזקות</t>
  </si>
  <si>
    <t>שם גליון:נכסים אחרים</t>
  </si>
  <si>
    <t>שם גליון:מסגרות אשראי</t>
  </si>
  <si>
    <t>שם גליון:יתרות התחייבות להשקעה</t>
  </si>
  <si>
    <t>שם גליון:מקרא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</si>
</sst>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00##%"/>
    <numFmt numFmtId="167" formatCode="0.0000%"/>
  </numFmts>
  <fonts count="37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z val="11"/>
      <color theme="0"/>
      <name val="Arial"/>
      <family val="2"/>
      <charset val="177"/>
      <scheme val="minor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9"/>
      <color indexed="8"/>
      <name val="Arial"/>
      <family val="2"/>
    </font>
    <font>
      <sz val="12"/>
      <color theme="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3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9" fillId="0" borderId="0"/>
    <xf numFmtId="0" fontId="9" fillId="0" borderId="0"/>
    <xf numFmtId="0" fontId="30" fillId="0" borderId="0" applyNumberFormat="0" applyFill="0" applyBorder="0" applyAlignment="0" applyProtection="0"/>
  </cellStyleXfs>
  <cellXfs count="187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4" fillId="0" borderId="0" xfId="0" applyFont="1"/>
    <xf numFmtId="0" fontId="4" fillId="0" borderId="2" xfId="0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4" fillId="0" borderId="0" xfId="0" applyFont="1" applyAlignment="1">
      <alignment horizontal="right" readingOrder="1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3" fillId="0" borderId="0" xfId="0" applyFont="1"/>
    <xf numFmtId="0" fontId="10" fillId="4" borderId="0" xfId="0" applyFont="1" applyFill="1"/>
    <xf numFmtId="0" fontId="11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6" fillId="4" borderId="0" xfId="0" applyFont="1" applyFill="1"/>
    <xf numFmtId="0" fontId="4" fillId="0" borderId="0" xfId="0" applyFont="1" applyProtection="1">
      <protection locked="0"/>
    </xf>
    <xf numFmtId="0" fontId="4" fillId="2" borderId="3" xfId="0" applyFont="1" applyFill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13" fillId="0" borderId="0" xfId="0" applyFont="1" applyProtection="1">
      <protection locked="0"/>
    </xf>
    <xf numFmtId="0" fontId="12" fillId="5" borderId="0" xfId="1" applyFont="1" applyFill="1" applyAlignment="1" applyProtection="1">
      <alignment horizontal="left" vertical="center" wrapText="1" indent="1"/>
      <protection locked="0"/>
    </xf>
    <xf numFmtId="49" fontId="0" fillId="0" borderId="0" xfId="0" applyNumberFormat="1" applyAlignment="1">
      <alignment horizontal="right"/>
    </xf>
    <xf numFmtId="49" fontId="13" fillId="0" borderId="0" xfId="0" applyNumberFormat="1" applyFont="1" applyAlignment="1">
      <alignment horizontal="right"/>
    </xf>
    <xf numFmtId="0" fontId="16" fillId="0" borderId="0" xfId="0" applyFont="1"/>
    <xf numFmtId="0" fontId="17" fillId="0" borderId="1" xfId="0" applyFont="1" applyBorder="1" applyAlignment="1">
      <alignment vertical="center" wrapText="1" readingOrder="2"/>
    </xf>
    <xf numFmtId="0" fontId="17" fillId="0" borderId="1" xfId="0" applyFont="1" applyBorder="1" applyAlignment="1">
      <alignment horizontal="right" vertical="center" wrapText="1" readingOrder="2"/>
    </xf>
    <xf numFmtId="2" fontId="17" fillId="0" borderId="1" xfId="0" applyNumberFormat="1" applyFont="1" applyBorder="1" applyAlignment="1">
      <alignment vertical="center" wrapText="1" readingOrder="2"/>
    </xf>
    <xf numFmtId="164" fontId="17" fillId="0" borderId="1" xfId="0" applyNumberFormat="1" applyFont="1" applyBorder="1" applyAlignment="1">
      <alignment vertical="center" wrapText="1" readingOrder="2"/>
    </xf>
    <xf numFmtId="1" fontId="0" fillId="0" borderId="0" xfId="0" applyNumberFormat="1" applyAlignment="1">
      <alignment horizontal="right"/>
    </xf>
    <xf numFmtId="0" fontId="18" fillId="0" borderId="1" xfId="0" applyFont="1" applyBorder="1" applyAlignment="1">
      <alignment vertical="center" wrapText="1" readingOrder="2"/>
    </xf>
    <xf numFmtId="0" fontId="14" fillId="0" borderId="8" xfId="0" applyFont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20" fillId="0" borderId="0" xfId="0" applyFont="1"/>
    <xf numFmtId="0" fontId="0" fillId="0" borderId="6" xfId="0" applyBorder="1" applyAlignment="1">
      <alignment horizontal="right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4" fillId="0" borderId="4" xfId="0" applyFont="1" applyBorder="1" applyAlignment="1">
      <alignment horizontal="right" vertical="top"/>
    </xf>
    <xf numFmtId="0" fontId="4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2" fillId="5" borderId="9" xfId="1" applyFont="1" applyFill="1" applyBorder="1" applyAlignment="1" applyProtection="1">
      <alignment horizontal="right" vertical="center" wrapText="1"/>
      <protection locked="0"/>
    </xf>
    <xf numFmtId="0" fontId="12" fillId="5" borderId="9" xfId="1" applyFont="1" applyFill="1" applyBorder="1" applyAlignment="1">
      <alignment horizontal="right" vertical="center" wrapText="1"/>
    </xf>
    <xf numFmtId="0" fontId="12" fillId="5" borderId="9" xfId="1" applyFont="1" applyFill="1" applyBorder="1" applyAlignment="1" applyProtection="1">
      <alignment horizontal="left" vertical="center" wrapText="1" indent="1"/>
      <protection locked="0"/>
    </xf>
    <xf numFmtId="0" fontId="12" fillId="5" borderId="9" xfId="1" applyFont="1" applyFill="1" applyBorder="1" applyAlignment="1" applyProtection="1">
      <alignment vertical="center" wrapText="1"/>
      <protection locked="0"/>
    </xf>
    <xf numFmtId="0" fontId="18" fillId="0" borderId="11" xfId="0" applyFont="1" applyBorder="1"/>
    <xf numFmtId="0" fontId="18" fillId="0" borderId="12" xfId="0" applyFont="1" applyBorder="1"/>
    <xf numFmtId="0" fontId="18" fillId="0" borderId="13" xfId="0" applyFont="1" applyBorder="1" applyAlignment="1">
      <alignment horizontal="right"/>
    </xf>
    <xf numFmtId="0" fontId="21" fillId="0" borderId="1" xfId="0" applyFont="1" applyBorder="1" applyAlignment="1">
      <alignment horizontal="center" vertical="center" wrapText="1" readingOrder="2"/>
    </xf>
    <xf numFmtId="0" fontId="22" fillId="0" borderId="1" xfId="0" applyFont="1" applyBorder="1" applyAlignment="1">
      <alignment vertical="center" wrapText="1" readingOrder="2"/>
    </xf>
    <xf numFmtId="0" fontId="4" fillId="0" borderId="14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0" fillId="0" borderId="15" xfId="0" applyBorder="1" applyAlignment="1">
      <alignment horizontal="right" vertical="top"/>
    </xf>
    <xf numFmtId="0" fontId="0" fillId="0" borderId="16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3" fillId="2" borderId="3" xfId="0" applyFont="1" applyFill="1" applyBorder="1" applyAlignment="1">
      <alignment horizontal="right"/>
    </xf>
    <xf numFmtId="0" fontId="18" fillId="0" borderId="0" xfId="0" applyFont="1"/>
    <xf numFmtId="0" fontId="24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26" fillId="2" borderId="3" xfId="0" applyFont="1" applyFill="1" applyBorder="1" applyAlignment="1">
      <alignment horizontal="right"/>
    </xf>
    <xf numFmtId="0" fontId="19" fillId="3" borderId="5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5" xfId="0" applyFont="1" applyFill="1" applyBorder="1" applyAlignment="1">
      <alignment horizontal="right" vertical="top"/>
    </xf>
    <xf numFmtId="0" fontId="2" fillId="0" borderId="6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center"/>
    </xf>
    <xf numFmtId="0" fontId="2" fillId="0" borderId="4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2" fillId="2" borderId="5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 vertical="top"/>
    </xf>
    <xf numFmtId="0" fontId="2" fillId="2" borderId="3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2" fillId="6" borderId="0" xfId="0" applyFont="1" applyFill="1"/>
    <xf numFmtId="0" fontId="2" fillId="0" borderId="0" xfId="0" applyFont="1" applyAlignment="1">
      <alignment horizontal="right"/>
    </xf>
    <xf numFmtId="165" fontId="0" fillId="0" borderId="0" xfId="0" applyNumberFormat="1" applyFont="1"/>
    <xf numFmtId="0" fontId="27" fillId="7" borderId="17" xfId="0" applyFont="1" applyFill="1" applyBorder="1" applyAlignment="1">
      <alignment horizontal="right"/>
    </xf>
    <xf numFmtId="0" fontId="27" fillId="7" borderId="18" xfId="0" applyFont="1" applyFill="1" applyBorder="1" applyAlignment="1">
      <alignment horizontal="right"/>
    </xf>
    <xf numFmtId="164" fontId="0" fillId="0" borderId="0" xfId="0" applyNumberFormat="1"/>
    <xf numFmtId="0" fontId="0" fillId="0" borderId="17" xfId="0" applyFont="1" applyBorder="1" applyAlignment="1">
      <alignment horizontal="right"/>
    </xf>
    <xf numFmtId="0" fontId="29" fillId="5" borderId="0" xfId="0" applyFont="1" applyFill="1"/>
    <xf numFmtId="0" fontId="12" fillId="5" borderId="17" xfId="1" applyNumberFormat="1" applyFont="1" applyFill="1" applyBorder="1" applyAlignment="1">
      <alignment horizontal="right" vertical="center" wrapText="1" indent="1"/>
    </xf>
    <xf numFmtId="0" fontId="0" fillId="0" borderId="17" xfId="0" applyFont="1" applyBorder="1" applyAlignment="1">
      <alignment horizontal="right" vertical="top"/>
    </xf>
    <xf numFmtId="0" fontId="0" fillId="0" borderId="20" xfId="0" applyFont="1" applyBorder="1" applyAlignment="1">
      <alignment horizontal="right"/>
    </xf>
    <xf numFmtId="0" fontId="12" fillId="5" borderId="9" xfId="1" quotePrefix="1" applyFont="1" applyFill="1" applyBorder="1" applyAlignment="1" applyProtection="1">
      <alignment horizontal="right" vertical="center" wrapText="1"/>
      <protection locked="0"/>
    </xf>
    <xf numFmtId="0" fontId="30" fillId="0" borderId="18" xfId="3" applyBorder="1" applyAlignment="1">
      <alignment horizontal="right"/>
    </xf>
    <xf numFmtId="0" fontId="30" fillId="0" borderId="21" xfId="3" applyBorder="1" applyAlignment="1">
      <alignment horizontal="right"/>
    </xf>
    <xf numFmtId="0" fontId="8" fillId="0" borderId="10" xfId="0" applyFont="1" applyBorder="1"/>
    <xf numFmtId="0" fontId="7" fillId="3" borderId="10" xfId="0" applyFont="1" applyFill="1" applyBorder="1" applyAlignment="1">
      <alignment horizontal="right" vertical="center" wrapText="1"/>
    </xf>
    <xf numFmtId="0" fontId="31" fillId="5" borderId="19" xfId="0" applyFont="1" applyFill="1" applyBorder="1" applyAlignment="1">
      <alignment vertical="center"/>
    </xf>
    <xf numFmtId="0" fontId="8" fillId="0" borderId="22" xfId="0" applyFont="1" applyBorder="1"/>
    <xf numFmtId="0" fontId="32" fillId="5" borderId="19" xfId="0" applyFont="1" applyFill="1" applyBorder="1" applyAlignment="1">
      <alignment horizontal="center" vertical="center" wrapText="1"/>
    </xf>
    <xf numFmtId="0" fontId="33" fillId="5" borderId="19" xfId="0" applyFont="1" applyFill="1" applyBorder="1" applyAlignment="1">
      <alignment horizontal="center" vertical="center" wrapText="1"/>
    </xf>
    <xf numFmtId="0" fontId="33" fillId="5" borderId="19" xfId="0" applyFont="1" applyFill="1" applyBorder="1" applyAlignment="1">
      <alignment horizontal="right" vertical="center"/>
    </xf>
    <xf numFmtId="0" fontId="33" fillId="5" borderId="19" xfId="0" applyFont="1" applyFill="1" applyBorder="1" applyAlignment="1">
      <alignment horizontal="center" vertical="center"/>
    </xf>
    <xf numFmtId="0" fontId="33" fillId="5" borderId="26" xfId="0" applyFont="1" applyFill="1" applyBorder="1" applyAlignment="1">
      <alignment horizontal="center" vertical="center" wrapText="1"/>
    </xf>
    <xf numFmtId="0" fontId="33" fillId="5" borderId="27" xfId="0" applyFont="1" applyFill="1" applyBorder="1" applyAlignment="1">
      <alignment horizontal="center" vertical="center" wrapText="1"/>
    </xf>
    <xf numFmtId="0" fontId="33" fillId="5" borderId="28" xfId="0" applyFont="1" applyFill="1" applyBorder="1" applyAlignment="1">
      <alignment horizontal="center" vertical="center" wrapText="1"/>
    </xf>
    <xf numFmtId="0" fontId="0" fillId="0" borderId="25" xfId="0" applyBorder="1"/>
    <xf numFmtId="0" fontId="0" fillId="0" borderId="19" xfId="0" applyBorder="1"/>
    <xf numFmtId="164" fontId="0" fillId="0" borderId="19" xfId="0" applyNumberFormat="1" applyBorder="1"/>
    <xf numFmtId="0" fontId="29" fillId="5" borderId="19" xfId="0" applyFont="1" applyFill="1" applyBorder="1"/>
    <xf numFmtId="166" fontId="0" fillId="0" borderId="19" xfId="0" applyNumberFormat="1" applyFont="1" applyBorder="1"/>
    <xf numFmtId="166" fontId="0" fillId="0" borderId="24" xfId="0" applyNumberFormat="1" applyFont="1" applyBorder="1"/>
    <xf numFmtId="0" fontId="0" fillId="0" borderId="29" xfId="0" applyBorder="1"/>
    <xf numFmtId="0" fontId="0" fillId="0" borderId="30" xfId="0" applyBorder="1"/>
    <xf numFmtId="164" fontId="0" fillId="0" borderId="30" xfId="0" applyNumberFormat="1" applyBorder="1"/>
    <xf numFmtId="0" fontId="29" fillId="5" borderId="30" xfId="0" applyFont="1" applyFill="1" applyBorder="1"/>
    <xf numFmtId="166" fontId="0" fillId="0" borderId="30" xfId="0" applyNumberFormat="1" applyFont="1" applyBorder="1"/>
    <xf numFmtId="166" fontId="0" fillId="0" borderId="23" xfId="0" applyNumberFormat="1" applyFont="1" applyBorder="1"/>
    <xf numFmtId="0" fontId="28" fillId="0" borderId="25" xfId="0" applyNumberFormat="1" applyFont="1" applyFill="1" applyBorder="1" applyAlignment="1"/>
    <xf numFmtId="0" fontId="28" fillId="0" borderId="19" xfId="0" applyNumberFormat="1" applyFont="1" applyFill="1" applyBorder="1" applyAlignment="1"/>
    <xf numFmtId="0" fontId="29" fillId="5" borderId="24" xfId="0" applyFont="1" applyFill="1" applyBorder="1"/>
    <xf numFmtId="0" fontId="28" fillId="0" borderId="29" xfId="0" applyNumberFormat="1" applyFont="1" applyFill="1" applyBorder="1" applyAlignment="1"/>
    <xf numFmtId="0" fontId="28" fillId="0" borderId="30" xfId="0" applyNumberFormat="1" applyFont="1" applyFill="1" applyBorder="1" applyAlignment="1"/>
    <xf numFmtId="0" fontId="29" fillId="5" borderId="23" xfId="0" applyFont="1" applyFill="1" applyBorder="1"/>
    <xf numFmtId="14" fontId="2" fillId="0" borderId="19" xfId="0" applyNumberFormat="1" applyFont="1" applyBorder="1"/>
    <xf numFmtId="14" fontId="2" fillId="0" borderId="19" xfId="0" applyNumberFormat="1" applyFont="1" applyBorder="1" applyProtection="1">
      <protection locked="0"/>
    </xf>
    <xf numFmtId="14" fontId="0" fillId="0" borderId="19" xfId="0" applyNumberFormat="1" applyBorder="1"/>
    <xf numFmtId="14" fontId="5" fillId="0" borderId="19" xfId="0" applyNumberFormat="1" applyFont="1" applyBorder="1"/>
    <xf numFmtId="0" fontId="33" fillId="5" borderId="27" xfId="0" applyFont="1" applyFill="1" applyBorder="1" applyAlignment="1">
      <alignment horizontal="center" vertical="center" wrapText="1" readingOrder="2"/>
    </xf>
    <xf numFmtId="0" fontId="2" fillId="0" borderId="19" xfId="0" applyFont="1" applyBorder="1" applyProtection="1">
      <protection locked="0"/>
    </xf>
    <xf numFmtId="167" fontId="0" fillId="0" borderId="19" xfId="0" applyNumberFormat="1" applyBorder="1"/>
    <xf numFmtId="167" fontId="2" fillId="0" borderId="19" xfId="0" applyNumberFormat="1" applyFont="1" applyBorder="1" applyProtection="1">
      <protection locked="0"/>
    </xf>
    <xf numFmtId="167" fontId="2" fillId="0" borderId="19" xfId="0" applyNumberFormat="1" applyFont="1" applyBorder="1"/>
    <xf numFmtId="0" fontId="2" fillId="0" borderId="19" xfId="0" applyFont="1" applyBorder="1"/>
    <xf numFmtId="0" fontId="5" fillId="0" borderId="19" xfId="0" applyFont="1" applyBorder="1"/>
    <xf numFmtId="167" fontId="5" fillId="0" borderId="19" xfId="0" applyNumberFormat="1" applyFont="1" applyBorder="1"/>
    <xf numFmtId="14" fontId="0" fillId="0" borderId="24" xfId="0" applyNumberFormat="1" applyBorder="1"/>
    <xf numFmtId="14" fontId="2" fillId="0" borderId="24" xfId="0" applyNumberFormat="1" applyFont="1" applyBorder="1"/>
    <xf numFmtId="14" fontId="5" fillId="0" borderId="24" xfId="0" applyNumberFormat="1" applyFont="1" applyBorder="1"/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34" fillId="0" borderId="0" xfId="0" applyFont="1"/>
    <xf numFmtId="0" fontId="35" fillId="0" borderId="0" xfId="0" applyFont="1"/>
    <xf numFmtId="0" fontId="35" fillId="0" borderId="0" xfId="0" applyFont="1" applyAlignment="1">
      <alignment vertical="center" wrapText="1"/>
    </xf>
    <xf numFmtId="0" fontId="36" fillId="0" borderId="0" xfId="0" applyFont="1"/>
    <xf numFmtId="0" fontId="36" fillId="0" borderId="0" xfId="0" applyFont="1" applyProtection="1">
      <protection locked="0"/>
    </xf>
    <xf numFmtId="0" fontId="35" fillId="0" borderId="0" xfId="0" applyFont="1" applyProtection="1">
      <protection locked="0"/>
    </xf>
    <xf numFmtId="0" fontId="23" fillId="0" borderId="0" xfId="0" applyFont="1"/>
  </cellXfs>
  <cellStyles count="4">
    <cellStyle name="Normal" xfId="0" builtinId="0"/>
    <cellStyle name="Normal 3" xfId="1"/>
    <cellStyle name="Normal 9" xfId="2"/>
    <cellStyle name="היפר-קישור" xfId="3" builtinId="8"/>
  </cellStyles>
  <dxfs count="9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0.0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0.0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theme="0"/>
      </font>
      <numFmt numFmtId="164" formatCode="0.00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/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border outline="0">
        <left style="hair">
          <color theme="1"/>
        </left>
        <top style="hair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</dxf>
    <dxf>
      <border outline="0">
        <bottom style="hair">
          <color theme="1"/>
        </bottom>
      </border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לא סחיר נגזרים"/>
      <sheetName val="אפשריות בחירה"/>
      <sheetName val="אפשרויות בחירה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id="1" name="סכום נכסים" displayName="סכום_נכסים" ref="A2:E33" totalsRowShown="0" dataDxfId="911" headerRowBorderDxfId="912" tableBorderDxfId="910">
  <autoFilter ref="A2:E33"/>
  <tableColumns count="5">
    <tableColumn id="1" name="עמודה1" dataDxfId="909"/>
    <tableColumn id="2" name="עמודה2" dataDxfId="908"/>
    <tableColumn id="3" name="ידווח בקבצי נכסי הנוסטרו בלבד" dataDxfId="907"/>
    <tableColumn id="4" name="עמודה3" dataDxfId="906"/>
    <tableColumn id="5" name="עמודה4" dataDxfId="90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מזומנים ושווי מזומנים" displayName="מזומנים_ושווי_מזומנים" ref="A2:Q27" totalsRowShown="0" headerRowDxfId="904" headerRowBorderDxfId="903" tableBorderDxfId="902" totalsRowBorderDxfId="901">
  <autoFilter ref="A2:Q27"/>
  <tableColumns count="17">
    <tableColumn id="1" name="מספר קופה/קרן/ח.פ. עבור חברת ביטוח" dataDxfId="900"/>
    <tableColumn id="2" name="מספר מסלול" dataDxfId="899"/>
    <tableColumn id="3" name="שם הבנק" dataDxfId="898"/>
    <tableColumn id="4" name="מספר מזהה בנק" dataDxfId="897"/>
    <tableColumn id="5" name="סוג מספר מזהה בנק" dataDxfId="896"/>
    <tableColumn id="6" name="מאפיין עיקרי" dataDxfId="895"/>
    <tableColumn id="7" name="ישראל/חו&quot;ל" dataDxfId="894"/>
    <tableColumn id="8" name="בעל עניין/צד קשור" dataDxfId="893"/>
    <tableColumn id="9" name="דירוג הבנק" dataDxfId="892"/>
    <tableColumn id="10" name="שם מדרג" dataDxfId="891"/>
    <tableColumn id="11" name="מטבע פעילות" dataDxfId="890"/>
    <tableColumn id="12" name="שווי מטבעי" dataDxfId="889"/>
    <tableColumn id="13" name="שער חליפין" dataDxfId="888"/>
    <tableColumn id="14" name="שיעור ריבית" dataDxfId="887"/>
    <tableColumn id="15" name="שווי הוגן (באלפי ש&quot;ח)" dataDxfId="886"/>
    <tableColumn id="16" name="שיעור מנכסי אפיק ההשקעה" dataDxfId="885"/>
    <tableColumn id="17" name="שיעור מסך נכסי ההשקעה" dataDxfId="88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איגרות חוב ממשלתיות" displayName="איגרות_חוב_ממשלתיות" ref="A2:Z135" totalsRowShown="0" headerRowDxfId="883" dataDxfId="881" headerRowBorderDxfId="882" tableBorderDxfId="880" totalsRowBorderDxfId="879">
  <autoFilter ref="A2:Z135"/>
  <tableColumns count="26">
    <tableColumn id="1" name="מספר קופה/קרן/ח.פ. עבור חברת ביטוח" dataDxfId="878"/>
    <tableColumn id="2" name="מספר מסלול" dataDxfId="877"/>
    <tableColumn id="3" name="שם מנפיק" dataDxfId="876"/>
    <tableColumn id="4" name="שם נייר ערך" dataDxfId="875"/>
    <tableColumn id="5" name="מספר נייר ערך" dataDxfId="874"/>
    <tableColumn id="6" name="מאפיין עיקרי" dataDxfId="873"/>
    <tableColumn id="7" name="ישראל/חו&quot;ל" dataDxfId="872"/>
    <tableColumn id="8" name="מדינה לפי חשיפה כלכלית" dataDxfId="871"/>
    <tableColumn id="9" name="זירת מסחר" dataDxfId="870"/>
    <tableColumn id="10" name="דירוג" dataDxfId="869"/>
    <tableColumn id="11" name="שם מדרג" dataDxfId="868"/>
    <tableColumn id="12" name="מטבע פעילות" dataDxfId="867"/>
    <tableColumn id="13" name="מח&quot;מ" dataDxfId="866"/>
    <tableColumn id="14" name="מועד פדיון" dataDxfId="865"/>
    <tableColumn id="15" name="שיעור ריבית" dataDxfId="864"/>
    <tableColumn id="16" name="תשואה לפדיון" dataDxfId="863"/>
    <tableColumn id="17" name="סכום לקבל (במטבע הפעילות)" dataDxfId="862"/>
    <tableColumn id="18" name="ערך נקוב (יחידות)" dataDxfId="861"/>
    <tableColumn id="19" name="שער חליפין" dataDxfId="860"/>
    <tableColumn id="20" name="שער נייר הערך" dataDxfId="859"/>
    <tableColumn id="21" name="שווי הוגן (באלפי ש&quot;ח)" dataDxfId="858"/>
    <tableColumn id="22" name="עלות מופחתת (באלפי ש&quot;ח)" dataDxfId="857"/>
    <tableColumn id="23" name="השיטה שיושמה בדוח הכספי" dataDxfId="856"/>
    <tableColumn id="24" name="שיעור מערך נקוב מונפק" dataDxfId="855"/>
    <tableColumn id="25" name="שיעור מנכסי אפיק ההשקעה" dataDxfId="854"/>
    <tableColumn id="26" name="שיעור מסך נכסי ההשקעה" dataDxfId="853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ניירות ערך מסחריים" displayName="ניירות_ערך_מסחריים" ref="A2:AJ8" totalsRowShown="0" headerRowDxfId="852" dataDxfId="850" headerRowBorderDxfId="851" tableBorderDxfId="849" totalsRowBorderDxfId="848">
  <autoFilter ref="A2:AJ8"/>
  <tableColumns count="36">
    <tableColumn id="1" name="מספר קופה/קרן/ח.פ. עבור חברת ביטוח" dataDxfId="847"/>
    <tableColumn id="2" name="מספר מסלול" dataDxfId="846"/>
    <tableColumn id="3" name="שם מנפיק" dataDxfId="845"/>
    <tableColumn id="4" name="מספר מנפיק" dataDxfId="844"/>
    <tableColumn id="5" name="סוג מספר מזהה מנפיק" dataDxfId="843"/>
    <tableColumn id="6" name="שם נייר ערך" dataDxfId="842"/>
    <tableColumn id="7" name="מספר נייר ערך" dataDxfId="841"/>
    <tableColumn id="8" name="סוג מספר נייר ערך" dataDxfId="840"/>
    <tableColumn id="9" name="מאפיין עיקרי" dataDxfId="839"/>
    <tableColumn id="10" name="ישראל/חו&quot;ל" dataDxfId="838"/>
    <tableColumn id="11" name="מדינה לפי חשיפה כלכלית" dataDxfId="837"/>
    <tableColumn id="12" name="זירת מסחר" dataDxfId="836"/>
    <tableColumn id="13" name="ענף מסחר" dataDxfId="835"/>
    <tableColumn id="14" name="בעל עניין/צד קשור" dataDxfId="834"/>
    <tableColumn id="15" name="דירוג" dataDxfId="833"/>
    <tableColumn id="16" name="שם מדרג" dataDxfId="832"/>
    <tableColumn id="17" name="דירוג נייר הערך/המנפיק" dataDxfId="831"/>
    <tableColumn id="18" name="מטבע פעילות" dataDxfId="830"/>
    <tableColumn id="19" name="מח&quot;מ" dataDxfId="829"/>
    <tableColumn id="20" name="ריבית עוגן" dataDxfId="828"/>
    <tableColumn id="21" name="מועד פדיון" dataDxfId="827"/>
    <tableColumn id="22" name="שיעור ריבית" dataDxfId="826"/>
    <tableColumn id="23" name="תשואה לפדיון" dataDxfId="825"/>
    <tableColumn id="24" name="נחיתות חוזית" dataDxfId="824"/>
    <tableColumn id="25" name="האם סווג כחוב בעייתי" dataDxfId="823"/>
    <tableColumn id="26" name="ערך נקוב (יחידות)" dataDxfId="822"/>
    <tableColumn id="27" name="שער חליפין" dataDxfId="821"/>
    <tableColumn id="28" name="שער נייר הערך" dataDxfId="820"/>
    <tableColumn id="29" name="סכום לקבל (במטבע הפעילות)" dataDxfId="819"/>
    <tableColumn id="30" name="שווי הוגן (באלפי ש&quot;ח)" dataDxfId="818"/>
    <tableColumn id="31" name="עלות מופחתת (באלפי ש&quot;ח)" dataDxfId="817"/>
    <tableColumn id="32" name="עלות מופחתת (במטבע הפעילות)" dataDxfId="816"/>
    <tableColumn id="33" name="השיטה שיושמה בדוח הכספי" dataDxfId="815"/>
    <tableColumn id="34" name="שיעור מערך נקוב מונפק" dataDxfId="814"/>
    <tableColumn id="35" name="שיעור מנכסי אפיק ההשקעה" dataDxfId="813"/>
    <tableColumn id="36" name="שיעור מסך נכסי ההשקעה" dataDxfId="812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איגרות חוב" displayName="איגרות_חוב" ref="A2:AJ532" totalsRowShown="0" headerRowDxfId="811" dataDxfId="809" headerRowBorderDxfId="810" tableBorderDxfId="808" totalsRowBorderDxfId="807">
  <autoFilter ref="A2:AJ532"/>
  <tableColumns count="36">
    <tableColumn id="1" name="מספר קופה/קרן/ח.פ. עבור חברת ביטוח" dataDxfId="806"/>
    <tableColumn id="2" name="מספר מסלול" dataDxfId="805"/>
    <tableColumn id="3" name="שם מנפיק" dataDxfId="804"/>
    <tableColumn id="4" name="מספר מנפיק" dataDxfId="803"/>
    <tableColumn id="5" name="סוג מספר מזהה מנפיק" dataDxfId="802"/>
    <tableColumn id="6" name="שם נייר ערך" dataDxfId="801"/>
    <tableColumn id="7" name="מספר נייר ערך" dataDxfId="800"/>
    <tableColumn id="8" name="סוג מספר נייר ערך" dataDxfId="799"/>
    <tableColumn id="9" name="מאפיין עיקרי" dataDxfId="798"/>
    <tableColumn id="10" name="ישראל/חו&quot;ל" dataDxfId="797"/>
    <tableColumn id="11" name="מדינה לפי חשיפה כלכלית" dataDxfId="796"/>
    <tableColumn id="12" name="סטאטוס סחירות" dataDxfId="795"/>
    <tableColumn id="13" name="זירת מסחר" dataDxfId="794"/>
    <tableColumn id="14" name="ענף מסחר" dataDxfId="793"/>
    <tableColumn id="15" name="בעל עניין/צד קשור" dataDxfId="792"/>
    <tableColumn id="16" name="דירוג" dataDxfId="791"/>
    <tableColumn id="17" name="שם מדרג" dataDxfId="790"/>
    <tableColumn id="18" name="דירוג נייר הערך/המנפיק" dataDxfId="789"/>
    <tableColumn id="19" name="מטבע פעילות" dataDxfId="788"/>
    <tableColumn id="20" name="מח&quot;מ" dataDxfId="787"/>
    <tableColumn id="21" name="מועד פדיון" dataDxfId="786"/>
    <tableColumn id="22" name="שיעור ריבית" dataDxfId="785"/>
    <tableColumn id="23" name="תשואה לפדיון" dataDxfId="784"/>
    <tableColumn id="24" name="נחיתות חוזית" dataDxfId="783"/>
    <tableColumn id="25" name="האם סווג כחוב בעייתי" dataDxfId="782"/>
    <tableColumn id="26" name="ערך נקוב (יחידות)" dataDxfId="781"/>
    <tableColumn id="27" name="שער חליפין" dataDxfId="780"/>
    <tableColumn id="28" name="שער נייר הערך" dataDxfId="779"/>
    <tableColumn id="29" name="סכום לקבל (במטבע הפעילות)" dataDxfId="778"/>
    <tableColumn id="30" name="שווי הוגן (באלפי ש&quot;ח)" dataDxfId="777"/>
    <tableColumn id="31" name="עלות מופחתת (באלפי ש&quot;ח)" dataDxfId="776"/>
    <tableColumn id="32" name="עלות מופחתת (במטבע הפעילות)" dataDxfId="775"/>
    <tableColumn id="33" name="השיטה שיושמה בדוח הכספי" dataDxfId="774"/>
    <tableColumn id="34" name="שיעור מערך נקוב מונפק" dataDxfId="773"/>
    <tableColumn id="35" name="שיעור מנכסי אפיק ההשקעה" dataDxfId="772"/>
    <tableColumn id="36" name="שיעור מסך נכסי ההשקעה" dataDxfId="771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מניות מבכ ויהש" displayName="מניות_מבכ_ויהש" ref="A2:X274" totalsRowShown="0" headerRowDxfId="770" dataDxfId="768" headerRowBorderDxfId="769" tableBorderDxfId="767" totalsRowBorderDxfId="766">
  <autoFilter ref="A2:X274"/>
  <tableColumns count="24">
    <tableColumn id="1" name="מספר קופה/קרן/ח.פ. עבור חברת ביטוח" dataDxfId="765"/>
    <tableColumn id="2" name="מספר מסלול" dataDxfId="764"/>
    <tableColumn id="3" name="שם מנפיק" dataDxfId="763"/>
    <tableColumn id="4" name="מספר מנפיק" dataDxfId="762"/>
    <tableColumn id="5" name="סוג מספר מזהה מנפיק" dataDxfId="761"/>
    <tableColumn id="6" name="שם נייר ערך" dataDxfId="760"/>
    <tableColumn id="7" name="מספר נייר ערך" dataDxfId="759"/>
    <tableColumn id="8" name="סוג מספר נייר ערך" dataDxfId="758"/>
    <tableColumn id="9" name="מאפיין עיקרי" dataDxfId="757"/>
    <tableColumn id="10" name="ישראל/חו&quot;ל" dataDxfId="756"/>
    <tableColumn id="11" name="מדינה לפי חשיפה כלכלית" dataDxfId="755"/>
    <tableColumn id="12" name="סטאטוס סחירות" dataDxfId="754"/>
    <tableColumn id="13" name="זירת מסחר" dataDxfId="753"/>
    <tableColumn id="14" name="ענף מסחר" dataDxfId="752"/>
    <tableColumn id="15" name="בעל עניין/צד קשור" dataDxfId="751"/>
    <tableColumn id="16" name="מטבע פעילות" dataDxfId="750"/>
    <tableColumn id="17" name="ערך נקוב (יחידות)" dataDxfId="749"/>
    <tableColumn id="18" name="שער חליפין" dataDxfId="748"/>
    <tableColumn id="19" name="שער נייר הערך" dataDxfId="747"/>
    <tableColumn id="20" name="סכום לקבל (במטבע הפעילות)" dataDxfId="746"/>
    <tableColumn id="21" name="שווי הוגן (באלפי ש&quot;ח)" dataDxfId="745"/>
    <tableColumn id="22" name="שיעור מערך נקוב מונפק" dataDxfId="744"/>
    <tableColumn id="23" name="שיעור מנכסי אפיק ההשקעה" dataDxfId="743"/>
    <tableColumn id="24" name="שיעור מסך נכסי ההשקעה" dataDxfId="742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קרנות סל" displayName="קרנות_סל" ref="A2:W225" totalsRowShown="0" headerRowDxfId="741" dataDxfId="739" headerRowBorderDxfId="740" tableBorderDxfId="738" totalsRowBorderDxfId="737">
  <autoFilter ref="A2:W225"/>
  <tableColumns count="23">
    <tableColumn id="1" name="מספר קופה/קרן/ח.פ. עבור חברת ביטוח" dataDxfId="736"/>
    <tableColumn id="2" name="מספר מסלול" dataDxfId="735"/>
    <tableColumn id="3" name="שם מנפיק" dataDxfId="734"/>
    <tableColumn id="4" name="מספר מנפיק" dataDxfId="733"/>
    <tableColumn id="5" name="סוג מספר מזהה מנפיק" dataDxfId="732"/>
    <tableColumn id="6" name="שם נייר ערך" dataDxfId="731"/>
    <tableColumn id="7" name="מספר נייר ערך" dataDxfId="730"/>
    <tableColumn id="8" name="סוג מספר נייר ערך" dataDxfId="729"/>
    <tableColumn id="9" name="מאפיין עיקרי" dataDxfId="728"/>
    <tableColumn id="10" name="ישראל/חו&quot;ל" dataDxfId="727"/>
    <tableColumn id="11" name="מדינה לפי חשיפה כלכלית" dataDxfId="726"/>
    <tableColumn id="12" name="זירת מסחר" dataDxfId="725"/>
    <tableColumn id="13" name="סיווג הקרן" dataDxfId="724"/>
    <tableColumn id="14" name="בעל עניין/צד קשור" dataDxfId="723"/>
    <tableColumn id="15" name="מטבע פעילות" dataDxfId="722"/>
    <tableColumn id="16" name="ערך נקוב (יחידות)" dataDxfId="721"/>
    <tableColumn id="17" name="שער חליפין" dataDxfId="720"/>
    <tableColumn id="18" name="שער נייר הערך" dataDxfId="719"/>
    <tableColumn id="19" name="סכום לקבל (במטבע הפעילות)" dataDxfId="718"/>
    <tableColumn id="20" name="שווי הוגן (באלפי ש&quot;ח)" dataDxfId="717"/>
    <tableColumn id="21" name="שיעור מערך נקוב מונפק" dataDxfId="716"/>
    <tableColumn id="22" name="שיעור מנכסי אפיק ההשקעה" dataDxfId="715"/>
    <tableColumn id="23" name="שיעור מסך נכסי ההשקעה" dataDxfId="714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קרנות נאמנות" displayName="קרנות_נאמנות" ref="A2:W32" totalsRowShown="0" headerRowDxfId="713" dataDxfId="711" headerRowBorderDxfId="712" tableBorderDxfId="710" totalsRowBorderDxfId="709">
  <autoFilter ref="A2:W32"/>
  <tableColumns count="23">
    <tableColumn id="1" name="מספר קופה/קרן/ח.פ. עבור חברת ביטוח" dataDxfId="708"/>
    <tableColumn id="2" name="מספר מסלול" dataDxfId="707"/>
    <tableColumn id="3" name="שם מנפיק" dataDxfId="706"/>
    <tableColumn id="4" name="מספר מנפיק" dataDxfId="705"/>
    <tableColumn id="5" name="סוג מספר מזהה מנפיק" dataDxfId="704"/>
    <tableColumn id="6" name="שם נייר ערך " dataDxfId="703"/>
    <tableColumn id="7" name="מספר נייר ערך" dataDxfId="702"/>
    <tableColumn id="8" name="סוג מספר נייר ערך" dataDxfId="701"/>
    <tableColumn id="9" name="מאפיין עיקרי" dataDxfId="700"/>
    <tableColumn id="10" name="ישראל/חו&quot;ל" dataDxfId="699"/>
    <tableColumn id="11" name="מדינה לפי חשיפה כלכלית" dataDxfId="698"/>
    <tableColumn id="12" name="סטאטוס סחירות" dataDxfId="697"/>
    <tableColumn id="13" name="זירת מסחר" dataDxfId="696"/>
    <tableColumn id="14" name="סיווג הקרן" dataDxfId="695"/>
    <tableColumn id="15" name="בעל עניין/צד קשור" dataDxfId="694"/>
    <tableColumn id="16" name="מטבע פעילות" dataDxfId="693"/>
    <tableColumn id="17" name="ערך נקוב (יחידות)" dataDxfId="692"/>
    <tableColumn id="18" name="שער חליפין" dataDxfId="691"/>
    <tableColumn id="19" name="שער נייר הערך" dataDxfId="690"/>
    <tableColumn id="20" name="שווי הוגן (באלפי ש&quot;ח)" dataDxfId="689"/>
    <tableColumn id="21" name="שיעור מערך נקוב מונפק" dataDxfId="688"/>
    <tableColumn id="22" name="שיעור מנכסי אפיק ההשקעה" dataDxfId="687"/>
    <tableColumn id="23" name="שיעור מסך נכסי ההשקעה" dataDxfId="686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כתבי אופציה" displayName="כתבי_אופציה" ref="A2:Y16" totalsRowShown="0" headerRowDxfId="685" dataDxfId="683" headerRowBorderDxfId="684" tableBorderDxfId="682" totalsRowBorderDxfId="681">
  <autoFilter ref="A2:Y16"/>
  <tableColumns count="25">
    <tableColumn id="1" name="מספר קופה/קרן/ח.פ. עבור חברת ביטוח" dataDxfId="680"/>
    <tableColumn id="2" name="מספר מסלול" dataDxfId="679"/>
    <tableColumn id="3" name="שם מנפיק" dataDxfId="678"/>
    <tableColumn id="4" name="מספר מנפיק" dataDxfId="677"/>
    <tableColumn id="5" name="סוג מספר מזהה מנפיק" dataDxfId="676"/>
    <tableColumn id="6" name="שם נייר ערך" dataDxfId="675"/>
    <tableColumn id="7" name="מספר נייר ערך" dataDxfId="674"/>
    <tableColumn id="8" name="סוג מספר נייר ערך" dataDxfId="673"/>
    <tableColumn id="9" name="ישראל/חו&quot;ל" dataDxfId="672"/>
    <tableColumn id="10" name="מדינה לפי חשיפה כלכלית" dataDxfId="671"/>
    <tableColumn id="11" name="סטאטוס סחירות" dataDxfId="670"/>
    <tableColumn id="12" name="זירת מסחר" dataDxfId="669"/>
    <tableColumn id="13" name="נכס בסיס (כתב אופציה)" dataDxfId="668"/>
    <tableColumn id="14" name="ענף מסחר" dataDxfId="667"/>
    <tableColumn id="15" name="תאריך פקיעה" dataDxfId="666"/>
    <tableColumn id="16" name="בעל עניין/צד קשור" dataDxfId="665"/>
    <tableColumn id="17" name="מטבע פעילות" dataDxfId="664"/>
    <tableColumn id="18" name="שער מימוש" dataDxfId="663"/>
    <tableColumn id="19" name="יחס המרה" dataDxfId="662"/>
    <tableColumn id="20" name="ערך נקוב (יחידות)" dataDxfId="661"/>
    <tableColumn id="21" name="שער חליפין" dataDxfId="660"/>
    <tableColumn id="22" name="שער נייר הערך" dataDxfId="659"/>
    <tableColumn id="23" name="שווי הוגן (באלפי ש&quot;ח)" dataDxfId="658"/>
    <tableColumn id="24" name="שיעור מנכסי אפיק ההשקעה" dataDxfId="657"/>
    <tableColumn id="25" name="שיעור מסך נכסי ההשקעה" dataDxfId="656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אופציות" displayName="אופציות" ref="A2:X10" totalsRowShown="0" headerRowDxfId="655" dataDxfId="653" headerRowBorderDxfId="654" tableBorderDxfId="652" totalsRowBorderDxfId="651">
  <autoFilter ref="A2:X10"/>
  <tableColumns count="24">
    <tableColumn id="1" name="מספר קופה/קרן/ח.פ. עבור חברת ביטוח" dataDxfId="650"/>
    <tableColumn id="2" name="מספר מסלול" dataDxfId="649"/>
    <tableColumn id="3" name="שם מנפיק" dataDxfId="648"/>
    <tableColumn id="4" name="מספר מנפיק" dataDxfId="647"/>
    <tableColumn id="5" name="סוג מספר מזהה מנפיק" dataDxfId="646"/>
    <tableColumn id="6" name="שם נייר ערך" dataDxfId="645"/>
    <tableColumn id="7" name="מספר נייר ערך" dataDxfId="644"/>
    <tableColumn id="8" name="סוג מספר נייר ערך" dataDxfId="643"/>
    <tableColumn id="9" name="מאפיין עיקרי" dataDxfId="642"/>
    <tableColumn id="10" name="ישראל/חו&quot;ל" dataDxfId="641"/>
    <tableColumn id="11" name="מדינה לפי חשיפה כלכלית" dataDxfId="640"/>
    <tableColumn id="12" name="זירת מסחר" dataDxfId="639"/>
    <tableColumn id="13" name="ענף מסחר" dataDxfId="638"/>
    <tableColumn id="14" name="נכס בסיס" dataDxfId="637"/>
    <tableColumn id="15" name="תאריך פקיעה" dataDxfId="636"/>
    <tableColumn id="16" name="בעל עניין/צד קשור" dataDxfId="635"/>
    <tableColumn id="17" name="מטבע פעילות" dataDxfId="634"/>
    <tableColumn id="18" name="שער מימוש" dataDxfId="633"/>
    <tableColumn id="19" name="ערך נקוב (יחידות)" dataDxfId="632"/>
    <tableColumn id="20" name="שער חליפין" dataDxfId="631"/>
    <tableColumn id="21" name="שער נייר הערך" dataDxfId="630"/>
    <tableColumn id="22" name="שווי הוגן (באלפי ש&quot;ח)" dataDxfId="629"/>
    <tableColumn id="23" name="שיעור מנכסי אפיק ההשקעה" dataDxfId="628"/>
    <tableColumn id="24" name="שיעור מסך נכסי ההשקעה" dataDxfId="627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חוזים עתידיים" displayName="חוזים_עתידיים" ref="A2:T14" totalsRowShown="0" headerRowDxfId="626" dataDxfId="624" headerRowBorderDxfId="625" tableBorderDxfId="623" totalsRowBorderDxfId="622">
  <autoFilter ref="A2:T14"/>
  <tableColumns count="20">
    <tableColumn id="1" name="מספר קופה/קרן/ח.פ. עבור חברת ביטוח" dataDxfId="621"/>
    <tableColumn id="2" name="מספר מסלול" dataDxfId="620"/>
    <tableColumn id="3" name="שם מנפיק" dataDxfId="619"/>
    <tableColumn id="4" name="מספר מנפיק" dataDxfId="618"/>
    <tableColumn id="5" name="סוג מספר מזהה מנפיק" dataDxfId="617"/>
    <tableColumn id="6" name="שם נייר ערך" dataDxfId="616"/>
    <tableColumn id="7" name="מספר נייר ערך" dataDxfId="615"/>
    <tableColumn id="8" name="סוג מספר נייר ערך" dataDxfId="614"/>
    <tableColumn id="9" name="ישראל/חו&quot;ל" dataDxfId="613"/>
    <tableColumn id="10" name="מדינה לפי חשיפה כלכלית" dataDxfId="612"/>
    <tableColumn id="11" name="זירת מסחר" dataDxfId="611"/>
    <tableColumn id="12" name="נכס בסיס" dataDxfId="610"/>
    <tableColumn id="13" name="בעל עניין/צד קשור" dataDxfId="609"/>
    <tableColumn id="14" name="מטבע פעילות" dataDxfId="608"/>
    <tableColumn id="15" name="ערך נקוב (יחידות)" dataDxfId="607"/>
    <tableColumn id="16" name="שער חליפין" dataDxfId="606"/>
    <tableColumn id="17" name="שער נייר הערך" dataDxfId="605"/>
    <tableColumn id="18" name="שווי הוגן (באלפי ש&quot;ח)" dataDxfId="604"/>
    <tableColumn id="19" name="שיעור מנכסי אפיק ההשקעה" dataDxfId="603"/>
    <tableColumn id="20" name="שיעור מסך נכסי ההשקעה" dataDxfId="602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מוצרים מובנים" displayName="מוצרים_מובנים" ref="A2:AB10" totalsRowShown="0" headerRowDxfId="601" headerRowBorderDxfId="600" tableBorderDxfId="599" totalsRowBorderDxfId="598">
  <autoFilter ref="A2:AB10"/>
  <tableColumns count="28">
    <tableColumn id="1" name="מספר קופה/קרן/ח.פ. עבור חברת ביטוח" dataDxfId="597"/>
    <tableColumn id="2" name="מספר מסלול" dataDxfId="596"/>
    <tableColumn id="3" name="שם מנפיק" dataDxfId="595"/>
    <tableColumn id="4" name="מספר מנפיק" dataDxfId="594"/>
    <tableColumn id="5" name="סוג מספר מזהה מנפיק" dataDxfId="593"/>
    <tableColumn id="6" name="שם נייר ערך" dataDxfId="592"/>
    <tableColumn id="7" name="מספר נייר ערך" dataDxfId="591"/>
    <tableColumn id="8" name="סוג מספר נייר ערך" dataDxfId="590"/>
    <tableColumn id="9" name="מאפיין עיקרי" dataDxfId="589"/>
    <tableColumn id="10" name="ישראל/חו&quot;ל" dataDxfId="588"/>
    <tableColumn id="11" name="מדינה לפי חשיפה כלכלית" dataDxfId="587"/>
    <tableColumn id="12" name="סטאטוס סחירות" dataDxfId="586"/>
    <tableColumn id="13" name="זירת מסחר" dataDxfId="585"/>
    <tableColumn id="14" name="נכס בסיס" dataDxfId="584"/>
    <tableColumn id="15" name="בעל עניין/צד קשור" dataDxfId="583"/>
    <tableColumn id="16" name="מח&quot;מ" dataDxfId="582"/>
    <tableColumn id="17" name="שיעור ריבית" dataDxfId="581"/>
    <tableColumn id="18" name="תשואה לפדיון" dataDxfId="580"/>
    <tableColumn id="19" name="דירוג" dataDxfId="579"/>
    <tableColumn id="20" name="שם מדרג" dataDxfId="578"/>
    <tableColumn id="21" name="דירוג נייר הערך/המנפיק" dataDxfId="577"/>
    <tableColumn id="22" name="מטבע פעילות" dataDxfId="576"/>
    <tableColumn id="23" name="ערך נקוב (יחידות)" dataDxfId="575"/>
    <tableColumn id="24" name="שער חליפין" dataDxfId="574"/>
    <tableColumn id="25" name="שער נייר הערך" dataDxfId="573"/>
    <tableColumn id="26" name="שווי הוגן (באלפי ש&quot;ח)" dataDxfId="572"/>
    <tableColumn id="27" name="שיעור מנכסי אפיק ההשקעה" dataDxfId="571"/>
    <tableColumn id="28" name="שיעור מסך נכסי ההשקעה" dataDxfId="570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לא סחיר איגרות חוב ממשלתיות" displayName="לא_סחיר_איגרות_חוב_ממשלתיות" ref="A2:Y8" totalsRowShown="0" headerRowDxfId="569" dataDxfId="567" headerRowBorderDxfId="568" tableBorderDxfId="566" totalsRowBorderDxfId="565">
  <autoFilter ref="A2:Y8"/>
  <tableColumns count="25">
    <tableColumn id="1" name="מספר קופה/קרן/ח.פ. עבור חברת ביטוח" dataDxfId="564"/>
    <tableColumn id="2" name="מספר מסלול" dataDxfId="563"/>
    <tableColumn id="3" name="שם מנפיק" dataDxfId="562"/>
    <tableColumn id="4" name="שם נייר ערך" dataDxfId="561"/>
    <tableColumn id="5" name="מספר נייר ערך" dataDxfId="560"/>
    <tableColumn id="6" name="סוג מספר נייר ערך" dataDxfId="559"/>
    <tableColumn id="7" name="מאפיין עיקרי" dataDxfId="558"/>
    <tableColumn id="8" name="ישראל/חו&quot;ל" dataDxfId="557"/>
    <tableColumn id="9" name="מדינה לפי חשיפה כלכלית" dataDxfId="556"/>
    <tableColumn id="10" name="תאריך רכישה" dataDxfId="555"/>
    <tableColumn id="11" name="דירוג" dataDxfId="554"/>
    <tableColumn id="12" name="שם מדרג" dataDxfId="553"/>
    <tableColumn id="13" name="מטבע פעילות" dataDxfId="552"/>
    <tableColumn id="14" name="מח&quot;מ" dataDxfId="551"/>
    <tableColumn id="15" name="מועד פדיון" dataDxfId="550"/>
    <tableColumn id="16" name="שיעור ריבית" dataDxfId="549"/>
    <tableColumn id="17" name="תשואה לפדיון" dataDxfId="548"/>
    <tableColumn id="18" name="ערך נקוב (יחידות)" dataDxfId="547"/>
    <tableColumn id="19" name="שער חליפין" dataDxfId="546"/>
    <tableColumn id="20" name="שער נייר הערך" dataDxfId="545"/>
    <tableColumn id="21" name="שווי הוגן (באלפי ש&quot;ח)" dataDxfId="544"/>
    <tableColumn id="22" name="עלות מופחתת (באלפי ש&quot;ח)" dataDxfId="543"/>
    <tableColumn id="23" name="השיטה שיושמה בדוח הכספי" dataDxfId="542"/>
    <tableColumn id="24" name="שיעור מנכסי אפיק ההשקעה" dataDxfId="541"/>
    <tableColumn id="25" name="שיעור מסך נכסי ההשקעה" dataDxfId="540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לא סחיר איגרות חוב מיועדות" displayName="לא_סחיר_איגרות_חוב_מיועדות" ref="A2:R8" totalsRowShown="0" headerRowDxfId="539" dataDxfId="537" headerRowBorderDxfId="538" tableBorderDxfId="536" totalsRowBorderDxfId="535">
  <autoFilter ref="A2:R8"/>
  <tableColumns count="18">
    <tableColumn id="1" name="מספר קופה/קרן/ח.פ. עבור חברת ביטוח" dataDxfId="534"/>
    <tableColumn id="2" name="מספר מסלול" dataDxfId="533"/>
    <tableColumn id="3" name="מאפיין עיקרי" dataDxfId="532"/>
    <tableColumn id="4" name="שם נייר ערך" dataDxfId="531"/>
    <tableColumn id="5" name="מספר נייר ערך" dataDxfId="530"/>
    <tableColumn id="6" name="תאריך רכישה" dataDxfId="529"/>
    <tableColumn id="7" name="מח&quot;מ" dataDxfId="528"/>
    <tableColumn id="8" name="סוג הצמדה" dataDxfId="527"/>
    <tableColumn id="9" name="מועד פדיון" dataDxfId="526"/>
    <tableColumn id="10" name="שיעור ריבית" dataDxfId="525"/>
    <tableColumn id="11" name="תשואה לפדיון" dataDxfId="524"/>
    <tableColumn id="12" name="ערך נקוב (יחידות)" dataDxfId="523"/>
    <tableColumn id="13" name="שער נייר הערך" dataDxfId="522"/>
    <tableColumn id="14" name="שווי הוגן (באלפי ש&quot;ח)" dataDxfId="521"/>
    <tableColumn id="15" name="עלות מופחתת (באלפי ש&quot;ח)" dataDxfId="520"/>
    <tableColumn id="16" name="השיטה שיושמה בדוח הכספי" dataDxfId="519"/>
    <tableColumn id="17" name="שיעור מנכסי אפיק ההשקעה" dataDxfId="518"/>
    <tableColumn id="18" name="שיעור מסך נכסי ההשקעה" dataDxfId="517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אפיק השקעה מובטח תשואה" displayName="אפיק_השקעה_מובטח_תשואה" ref="A2:G8" totalsRowShown="0" headerRowDxfId="516" headerRowBorderDxfId="515" tableBorderDxfId="514" totalsRowBorderDxfId="513">
  <autoFilter ref="A2:G8"/>
  <tableColumns count="7">
    <tableColumn id="1" name="מספר קרן" dataDxfId="512"/>
    <tableColumn id="2" name="מספר מסלול" dataDxfId="511"/>
    <tableColumn id="3" name="מאפיין עיקרי" dataDxfId="510"/>
    <tableColumn id="4" name="חודש הנפקת שכבה" dataDxfId="509"/>
    <tableColumn id="5" name="חודש הבדיקה" dataDxfId="508"/>
    <tableColumn id="6" name="שווי הנכסים באפיק (באלפי ש&quot;ח)" dataDxfId="507"/>
    <tableColumn id="7" name="שיעור מסך נכסי ההשקעה" dataDxfId="506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לא סחיר ניירות ערך מסחריים" displayName="לא_סחיר_ניירות_ערך_מסחריים" ref="A2:AN8" totalsRowShown="0" headerRowDxfId="505" headerRowBorderDxfId="504" tableBorderDxfId="503" totalsRowBorderDxfId="502">
  <autoFilter ref="A2:AN8"/>
  <tableColumns count="40">
    <tableColumn id="1" name="מספר קופה/קרן/ח.פ. עבור חברת ביטוח" dataDxfId="501"/>
    <tableColumn id="2" name="מספר מסלול" dataDxfId="500"/>
    <tableColumn id="3" name="שם מנפיק" dataDxfId="499"/>
    <tableColumn id="4" name="מספר מנפיק" dataDxfId="498"/>
    <tableColumn id="5" name="סוג מספר מזהה מנפיק" dataDxfId="497"/>
    <tableColumn id="6" name="שם נייר ערך" dataDxfId="496"/>
    <tableColumn id="7" name="מספר נייר ערך" dataDxfId="495"/>
    <tableColumn id="8" name="סוג מספר נייר ערך" dataDxfId="494"/>
    <tableColumn id="9" name="מאפיין עיקרי" dataDxfId="493"/>
    <tableColumn id="10" name="ישראל/חו&quot;ל" dataDxfId="492"/>
    <tableColumn id="11" name="מדינה לפי חשיפה כלכלית" dataDxfId="491"/>
    <tableColumn id="12" name="ענף מסחר" dataDxfId="490"/>
    <tableColumn id="13" name="בעל עניין/צד קשור" dataDxfId="489"/>
    <tableColumn id="14" name="תאריך רכישה" dataDxfId="488"/>
    <tableColumn id="15" name="דירוג" dataDxfId="487"/>
    <tableColumn id="16" name="שם מדרג" dataDxfId="486"/>
    <tableColumn id="17" name="דירוג נייר הערך/המנפיק" dataDxfId="485"/>
    <tableColumn id="18" name="מטבע פעילות" dataDxfId="484"/>
    <tableColumn id="19" name="מח&quot;מ" dataDxfId="483"/>
    <tableColumn id="20" name="סוג הצמדה" dataDxfId="482"/>
    <tableColumn id="21" name="ריבית עוגן" dataDxfId="481"/>
    <tableColumn id="22" name="מועד פדיון" dataDxfId="480"/>
    <tableColumn id="23" name="שיעור ריבית" dataDxfId="479"/>
    <tableColumn id="24" name="תשואה לפדיון" dataDxfId="478"/>
    <tableColumn id="25" name="נחיתות חוזית" dataDxfId="477"/>
    <tableColumn id="26" name="האם סווג כחוב בעייתי" dataDxfId="476"/>
    <tableColumn id="27" name="סוג גורם משערך" dataDxfId="475"/>
    <tableColumn id="28" name="תלות/אי-תלות המשערך" dataDxfId="474"/>
    <tableColumn id="29" name="שם גורם משערך" dataDxfId="473"/>
    <tableColumn id="30" name="תאריך שערוך אחרון" dataDxfId="472"/>
    <tableColumn id="31" name="תאריך אחרון בו נבחנה בפועל ירידת ערך" dataDxfId="471"/>
    <tableColumn id="32" name="ערך נקוב (יחידות)" dataDxfId="470"/>
    <tableColumn id="33" name="שער חליפין" dataDxfId="469"/>
    <tableColumn id="34" name="שער נייר הערך" dataDxfId="468"/>
    <tableColumn id="35" name="שווי הוגן (באלפי ש&quot;ח)" dataDxfId="467"/>
    <tableColumn id="36" name="עלות מופחתת (באלפי ש&quot;ח)" dataDxfId="466"/>
    <tableColumn id="37" name="עלות מופחתת (במטבע הפעילות)" dataDxfId="465"/>
    <tableColumn id="38" name="השיטה שיושמה בדוח הכספי" dataDxfId="464"/>
    <tableColumn id="39" name="שיעור מנכסי אפיק ההשקעה" dataDxfId="463"/>
    <tableColumn id="40" name="שיעור מסך נכסי ההשקעה" dataDxfId="462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לא סחיר איגרות חוב" displayName="לא_סחיר_איגרות_חוב" ref="A2:AL18" totalsRowShown="0" headerRowDxfId="461" dataDxfId="459" headerRowBorderDxfId="460" tableBorderDxfId="458" totalsRowBorderDxfId="457">
  <autoFilter ref="A2:AL18"/>
  <tableColumns count="38">
    <tableColumn id="1" name="מספר קופה/קרן/ח.פ. עבור חברת ביטוח" dataDxfId="456"/>
    <tableColumn id="2" name="מספר מסלול" dataDxfId="455"/>
    <tableColumn id="3" name="שם מנפיק" dataDxfId="454"/>
    <tableColumn id="4" name="מספר מנפיק" dataDxfId="453"/>
    <tableColumn id="5" name="סוג מספר מזהה מנפיק" dataDxfId="452"/>
    <tableColumn id="6" name="שם נייר ערך" dataDxfId="451"/>
    <tableColumn id="7" name="מספר נייר ערך" dataDxfId="450"/>
    <tableColumn id="8" name="סוג מספר נייר ערך" dataDxfId="449"/>
    <tableColumn id="9" name="מאפיין עיקרי" dataDxfId="448"/>
    <tableColumn id="10" name="ישראל/חו&quot;ל" dataDxfId="447"/>
    <tableColumn id="11" name="מדינה לפי חשיפה כלכלית" dataDxfId="446"/>
    <tableColumn id="12" name="סטאטוס סחירות" dataDxfId="445"/>
    <tableColumn id="13" name="ענף מסחר" dataDxfId="444"/>
    <tableColumn id="14" name="בעל עניין/צד קשור" dataDxfId="443"/>
    <tableColumn id="15" name="תאריך רכישה" dataDxfId="442"/>
    <tableColumn id="16" name="דירוג" dataDxfId="441"/>
    <tableColumn id="17" name="שם מדרג" dataDxfId="440"/>
    <tableColumn id="18" name="דירוג נייר הערך/המנפיק" dataDxfId="439"/>
    <tableColumn id="19" name="מטבע פעילות" dataDxfId="438"/>
    <tableColumn id="20" name="מח&quot;מ" dataDxfId="437"/>
    <tableColumn id="21" name="מועד פדיון" dataDxfId="436"/>
    <tableColumn id="22" name="תשואה לפדיון" dataDxfId="435"/>
    <tableColumn id="23" name="שיעור ריבית" dataDxfId="434"/>
    <tableColumn id="24" name="נחיתות חוזית" dataDxfId="433"/>
    <tableColumn id="25" name="האם סווג כחוב בעייתי" dataDxfId="432"/>
    <tableColumn id="26" name="סוג גורם משערך" dataDxfId="431"/>
    <tableColumn id="27" name="תלות/אי-תלות המשערך" dataDxfId="430"/>
    <tableColumn id="28" name="תאריך שערוך אחרון" dataDxfId="429"/>
    <tableColumn id="29" name="תאריך אחרון בו נבחנה בפועל ירידת ערך" dataDxfId="428"/>
    <tableColumn id="30" name="ערך נקוב (יחידות)" dataDxfId="427"/>
    <tableColumn id="31" name="שער חליפין" dataDxfId="426"/>
    <tableColumn id="32" name="שער נייר הערך" dataDxfId="425"/>
    <tableColumn id="33" name="שווי הוגן (באלפי ש&quot;ח)" dataDxfId="424"/>
    <tableColumn id="34" name="עלות מופחתת (באלפי ש&quot;ח)" dataDxfId="423"/>
    <tableColumn id="35" name="עלות מופחתת (במטבע הפעילות)" dataDxfId="422"/>
    <tableColumn id="36" name="השיטה שיושמה בדוח הכספי" dataDxfId="421"/>
    <tableColumn id="37" name="שיעור מנכסי אפיק ההשקעה" dataDxfId="420"/>
    <tableColumn id="38" name="שיעור מסך נכסי ההשקעה" dataDxfId="419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לא סחיר מניות מבכ ויהש" displayName="לא_סחיר_מניות_מבכ_ויהש" ref="A2:Z52" totalsRowShown="0" headerRowDxfId="418" dataDxfId="416" headerRowBorderDxfId="417" tableBorderDxfId="415" totalsRowBorderDxfId="414">
  <autoFilter ref="A2:Z52"/>
  <tableColumns count="26">
    <tableColumn id="1" name="מספר קופה/קרן/ח.פ. עבור חברת ביטוח" dataDxfId="413"/>
    <tableColumn id="2" name="מספר מסלול" dataDxfId="412"/>
    <tableColumn id="3" name="שם מנפיק" dataDxfId="411"/>
    <tableColumn id="4" name="מספר מנפיק" dataDxfId="410"/>
    <tableColumn id="5" name="סוג מספר מזהה מנפיק" dataDxfId="409"/>
    <tableColumn id="6" name="שם נייר ערך" dataDxfId="408"/>
    <tableColumn id="7" name="מספר נייר ערך" dataDxfId="407"/>
    <tableColumn id="8" name="סוג מספר נייר ערך" dataDxfId="406"/>
    <tableColumn id="9" name="מאפיין עיקרי" dataDxfId="405"/>
    <tableColumn id="10" name="ישראל/חו&quot;ל" dataDxfId="404"/>
    <tableColumn id="11" name="מדינה לפי חשיפה כלכלית" dataDxfId="403"/>
    <tableColumn id="12" name="סטאטוס סחירות" dataDxfId="402"/>
    <tableColumn id="13" name="ענף מסחר" dataDxfId="401"/>
    <tableColumn id="14" name="בעל עניין/צד קשור" dataDxfId="400"/>
    <tableColumn id="15" name="תאריך רכישה" dataDxfId="399"/>
    <tableColumn id="16" name="מטבע פעילות" dataDxfId="398"/>
    <tableColumn id="17" name="סוג גורם משערך" dataDxfId="397"/>
    <tableColumn id="18" name="תלות/אי-תלות המשערך" dataDxfId="396"/>
    <tableColumn id="19" name="תאריך שערוך אחרון" dataDxfId="395"/>
    <tableColumn id="20" name="תאריך אחרון בו נבחנה בפועל ירידת ערך" dataDxfId="394"/>
    <tableColumn id="21" name="ערך נקוב (יחידות)" dataDxfId="393"/>
    <tableColumn id="22" name="שער חליפין" dataDxfId="392"/>
    <tableColumn id="23" name="שער נייר הערך" dataDxfId="391"/>
    <tableColumn id="24" name="שווי הוגן (באלפי ש&quot;ח)" dataDxfId="390"/>
    <tableColumn id="25" name="שיעור מנכסי אפיק ההשקעה" dataDxfId="389"/>
    <tableColumn id="26" name="שיעור מסך נכסי ההשקעה" dataDxfId="388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קרנות השקעה" displayName="קרנות_השקעה" ref="A2:Z284" totalsRowShown="0" headerRowDxfId="387" dataDxfId="385" headerRowBorderDxfId="386" tableBorderDxfId="384" totalsRowBorderDxfId="383">
  <autoFilter ref="A2:Z284"/>
  <tableColumns count="26">
    <tableColumn id="1" name="מספר קופה/קרן/ח.פ. עבור חברת ביטוח" dataDxfId="382"/>
    <tableColumn id="2" name="מספר מסלול" dataDxfId="381"/>
    <tableColumn id="3" name="שם שותף כללי קרן השקעות" dataDxfId="380"/>
    <tableColumn id="4" name="מספר מזהה שותף כללי קרן השקעות" dataDxfId="379"/>
    <tableColumn id="5" name="סוג מספר מזהה שותף כללי קרן השקעות" dataDxfId="378"/>
    <tableColumn id="6" name="שם קרן השקעה" dataDxfId="377"/>
    <tableColumn id="7" name="מספר מזהה קרן השקעה" dataDxfId="376"/>
    <tableColumn id="8" name="סוג מספר מזהה קרן השקעות" dataDxfId="375"/>
    <tableColumn id="9" name="מאפיין עיקרי" dataDxfId="374"/>
    <tableColumn id="10" name="אסטרטגיית קרן ההשקעה" dataDxfId="373"/>
    <tableColumn id="11" name="ישראל/חו&quot;ל" dataDxfId="372"/>
    <tableColumn id="12" name="מדינת התאגדות קרן השקעה" dataDxfId="371"/>
    <tableColumn id="13" name="מיקום משרד השותף הכללי" dataDxfId="370"/>
    <tableColumn id="14" name="מדינה לפי חשיפה כלכלית" dataDxfId="369"/>
    <tableColumn id="15" name="בעל עניין/צד קשור" dataDxfId="368"/>
    <tableColumn id="16" name="תאריך רכישה" dataDxfId="367"/>
    <tableColumn id="17" name="מטבע פעילות" dataDxfId="366"/>
    <tableColumn id="18" name="סוג גורם משערך" dataDxfId="365"/>
    <tableColumn id="19" name="תלות/אי-תלות המשערך" dataDxfId="364"/>
    <tableColumn id="20" name="תאריך שערוך אחרון" dataDxfId="363"/>
    <tableColumn id="21" name="שער חליפין" dataDxfId="362"/>
    <tableColumn id="22" name="NAV_x000a_(במטבע הדיווח של קרן ההשקעה)" dataDxfId="361"/>
    <tableColumn id="23" name="שווי הוגן (באלפי ש&quot;ח)" dataDxfId="360"/>
    <tableColumn id="24" name="שיעור החזקה בקרן השקעה" dataDxfId="359"/>
    <tableColumn id="25" name="שיעור מנכסי אפיק ההשקעה" dataDxfId="358"/>
    <tableColumn id="26" name="שיעור מסך נכסי ההשקעה" dataDxfId="357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לא סחיר כתבי אופציה" displayName="לא_סחיר_כתבי_אופציה" ref="A2:AB14" totalsRowShown="0" headerRowDxfId="356" dataDxfId="354" headerRowBorderDxfId="355" tableBorderDxfId="353" totalsRowBorderDxfId="352">
  <autoFilter ref="A2:AB14"/>
  <tableColumns count="28">
    <tableColumn id="1" name="מספר קופה/קרן/ח.פ. עבור חברת ביטוח" dataDxfId="351"/>
    <tableColumn id="2" name="מספר מסלול" dataDxfId="350"/>
    <tableColumn id="3" name="שם מנפיק" dataDxfId="349"/>
    <tableColumn id="4" name="מספר מנפיק" dataDxfId="348"/>
    <tableColumn id="5" name="סוג מספר מזהה מנפיק" dataDxfId="347"/>
    <tableColumn id="6" name="שם נייר ערך" dataDxfId="346"/>
    <tableColumn id="7" name="מספר נייר ערך" dataDxfId="345"/>
    <tableColumn id="8" name="סוג מספר נייר ערך" dataDxfId="344"/>
    <tableColumn id="9" name="ישראל/חו&quot;ל" dataDxfId="343"/>
    <tableColumn id="10" name="מדינה לפי חשיפה כלכלית" dataDxfId="342"/>
    <tableColumn id="11" name="סטאטוס סחירות" dataDxfId="341"/>
    <tableColumn id="12" name="נכס בסיס (כתב אופציה)" dataDxfId="340"/>
    <tableColumn id="13" name="ענף מסחר" dataDxfId="339"/>
    <tableColumn id="14" name="תאריך פקיעה" dataDxfId="338"/>
    <tableColumn id="15" name="בעל עניין/צד קשור" dataDxfId="337"/>
    <tableColumn id="16" name="תאריך רכישה" dataDxfId="336"/>
    <tableColumn id="17" name="מטבע פעילות" dataDxfId="335"/>
    <tableColumn id="18" name="סוג גורם משערך" dataDxfId="334"/>
    <tableColumn id="19" name="תלות/אי-תלות המשערך" dataDxfId="333"/>
    <tableColumn id="20" name="תאריך שערוך אחרון" dataDxfId="332"/>
    <tableColumn id="21" name="שער מימוש" dataDxfId="331"/>
    <tableColumn id="22" name="יחס המרה" dataDxfId="330"/>
    <tableColumn id="23" name="ערך נקוב (יחידות)" dataDxfId="329"/>
    <tableColumn id="24" name="שער נייר הערך" dataDxfId="328"/>
    <tableColumn id="25" name="שער חליפין" dataDxfId="327"/>
    <tableColumn id="26" name="שווי הוגן (באלפי ש&quot;ח)" dataDxfId="326"/>
    <tableColumn id="27" name="שיעור מנכסי אפיק ההשקעה" dataDxfId="325"/>
    <tableColumn id="28" name="שיעור מסך נכסי ההשקעה" dataDxfId="324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לא סחיר אופציות" displayName="לא_סחיר_אופציות" ref="A2:AB8" totalsRowShown="0" headerRowDxfId="323" dataDxfId="321" headerRowBorderDxfId="322" tableBorderDxfId="320" totalsRowBorderDxfId="319">
  <autoFilter ref="A2:AB8"/>
  <tableColumns count="28">
    <tableColumn id="1" name="מספר קופה/קרן/ח.פ. עבור חברת ביטוח" dataDxfId="318"/>
    <tableColumn id="2" name="מספר מסלול" dataDxfId="317"/>
    <tableColumn id="3" name="שם מנפיק" dataDxfId="316"/>
    <tableColumn id="4" name="מספר מנפיק" dataDxfId="315"/>
    <tableColumn id="5" name="סוג מספר מזהה מנפיק" dataDxfId="314"/>
    <tableColumn id="6" name="שם נייר ערך" dataDxfId="313"/>
    <tableColumn id="7" name="מספר נייר ערך" dataDxfId="312"/>
    <tableColumn id="8" name="סוג מספר נייר ערך" dataDxfId="311"/>
    <tableColumn id="9" name="מאפיין עיקרי" dataDxfId="310"/>
    <tableColumn id="10" name="ישראל/חו&quot;ל" dataDxfId="309"/>
    <tableColumn id="11" name="מדינה לפי חשיפה כלכלית" dataDxfId="308"/>
    <tableColumn id="12" name="ענף מסחר" dataDxfId="307"/>
    <tableColumn id="13" name="נכס בסיס" dataDxfId="306"/>
    <tableColumn id="14" name="תאריך פקיעה" dataDxfId="305"/>
    <tableColumn id="15" name="בעל עניין/צד קשור" dataDxfId="304"/>
    <tableColumn id="16" name="תאריך רכישה" dataDxfId="303"/>
    <tableColumn id="17" name="מטבע פעילות" dataDxfId="302"/>
    <tableColumn id="18" name="סוג גורם משערך" dataDxfId="301"/>
    <tableColumn id="19" name="תלות/אי-תלות המשערך" dataDxfId="300"/>
    <tableColumn id="20" name="תאריך שערוך אחרון" dataDxfId="299"/>
    <tableColumn id="21" name="שער מימוש" dataDxfId="298"/>
    <tableColumn id="22" name="יחס המרה" dataDxfId="297"/>
    <tableColumn id="23" name="ערך נקוב (יחידות)" dataDxfId="296"/>
    <tableColumn id="24" name="שער נייר הערך" dataDxfId="295"/>
    <tableColumn id="25" name="שער חליפין" dataDxfId="294"/>
    <tableColumn id="26" name="שווי הוגן (בש&quot;ח)" dataDxfId="293"/>
    <tableColumn id="27" name="שיעור מנכסי אפיק ההשקעה" dataDxfId="292"/>
    <tableColumn id="28" name="שיעור מסך נכסי ההשקעה" dataDxfId="291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לא סחיר נגזרים אחרים" displayName="לא_סחיר_נגזרים_אחרים" ref="A2:AO20" totalsRowShown="0" headerRowDxfId="290" headerRowBorderDxfId="289" tableBorderDxfId="288" totalsRowBorderDxfId="287">
  <autoFilter ref="A2:AO20"/>
  <tableColumns count="41">
    <tableColumn id="1" name="מספר קופה/קרן/ח.פ. עבור חברת ביטוח" dataDxfId="286"/>
    <tableColumn id="2" name="מספר מסלול" dataDxfId="285"/>
    <tableColumn id="3" name="מאפיין עיקרי" dataDxfId="284"/>
    <tableColumn id="4" name="מספר עסקה (רגל 1)" dataDxfId="283"/>
    <tableColumn id="5" name="מטבע פעילות (רגל 1)" dataDxfId="282"/>
    <tableColumn id="6" name="שער חליפין" dataDxfId="281"/>
    <tableColumn id="7" name="ערך נקוב (רגל 1)" dataDxfId="280"/>
    <tableColumn id="8" name="שווי הוגן במטבע הנסחר (רגל 1)" dataDxfId="279"/>
    <tableColumn id="9" name="שיעור מנכסי אפיק ההשקעה (רגל 1)" dataDxfId="278"/>
    <tableColumn id="10" name="שיעור מסך נכסי ההשקעה (רגל 1)" dataDxfId="277"/>
    <tableColumn id="11" name="מספר עסקה (רגל 2)" dataDxfId="276"/>
    <tableColumn id="12" name="מטבע פעילות (רגל 2)" dataDxfId="275"/>
    <tableColumn id="13" name="שער חליפין2" dataDxfId="274"/>
    <tableColumn id="14" name="ערך נקוב (רגל 2)" dataDxfId="273"/>
    <tableColumn id="15" name="שווי הוגן במטבע הנסחר (רגל 2)" dataDxfId="272"/>
    <tableColumn id="16" name="שיעור מנכסי ההשקעה (רגל 2)" dataDxfId="271"/>
    <tableColumn id="17" name="שיעור מסך אפיק ההשקעה (רגל 2)" dataDxfId="270"/>
    <tableColumn id="18" name="שווי הוגן (נטו  באלפי ש&quot;ח)" dataDxfId="269"/>
    <tableColumn id="19" name="ישראל/חו&quot;ל" dataDxfId="268"/>
    <tableColumn id="20" name="מדינה לפי חשיפה כלכלית" dataDxfId="267"/>
    <tableColumn id="21" name="סוג הנכס" dataDxfId="266"/>
    <tableColumn id="22" name="פקטור מוביל" dataDxfId="265"/>
    <tableColumn id="23" name="פקטור נוסף" dataDxfId="264"/>
    <tableColumn id="24" name="טיקר" dataDxfId="263"/>
    <tableColumn id="25" name="בעל עניין/צד קשור" dataDxfId="262"/>
    <tableColumn id="26" name="מועד ההתקשרות בעסקה" dataDxfId="261"/>
    <tableColumn id="27" name="מועד סיום חוזי" dataDxfId="260"/>
    <tableColumn id="28" name="תדירות Reset" dataDxfId="259"/>
    <tableColumn id="29" name="סוג הסליקה" dataDxfId="258"/>
    <tableColumn id="30" name="נספח התחשבנות בטחונות - CSA" dataDxfId="257"/>
    <tableColumn id="31" name="גורם מצטט" dataDxfId="256"/>
    <tableColumn id="32" name="ריבית עוגן" dataDxfId="255"/>
    <tableColumn id="33" name="תקופת ריבית עוגן" dataDxfId="254"/>
    <tableColumn id="34" name="שיעור ריבית עוגן" dataDxfId="253"/>
    <tableColumn id="35" name="שער נכס הבסיס במועד ההתקשרות בעסקה" dataDxfId="252"/>
    <tableColumn id="36" name="שער הנגזר במועד ההתקשרות בעסקה" dataDxfId="251"/>
    <tableColumn id="37" name="האם קיים קנס בגין יציאה מוקדמת" dataDxfId="250"/>
    <tableColumn id="38" name="שיעור הקנס בגין יציאה מוקדמת" dataDxfId="249"/>
    <tableColumn id="39" name="צד נגדי - Counterparty" dataDxfId="248"/>
    <tableColumn id="40" name="שיעור מנכסי אפיק ההשקעה" dataDxfId="247"/>
    <tableColumn id="41" name="שיעור מסך נכסי ההשקעה" dataDxfId="246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הלוואות" displayName="הלוואות" ref="A2:BA119" totalsRowShown="0" headerRowDxfId="245" headerRowBorderDxfId="244" tableBorderDxfId="243" totalsRowBorderDxfId="242">
  <autoFilter ref="A2:BA119"/>
  <tableColumns count="53">
    <tableColumn id="1" name="מספר קופה/קרן/ח.פ. עבור חברת ביטוח" dataDxfId="241"/>
    <tableColumn id="2" name="מספר מסלול" dataDxfId="240"/>
    <tableColumn id="3" name="מספר מזהה לווה" dataDxfId="239"/>
    <tableColumn id="4" name="סוג מספר מזהה לווה" dataDxfId="238"/>
    <tableColumn id="5" name="שם הלוואה" dataDxfId="237"/>
    <tableColumn id="6" name="מספר הלוואה" dataDxfId="236"/>
    <tableColumn id="7" name="מאפיין עיקרי" dataDxfId="235"/>
    <tableColumn id="8" name="מאפיין הלוואות מתואמות עבור זכויות מקרקעין" dataDxfId="234"/>
    <tableColumn id="9" name="ישראל/חו&quot;ל" dataDxfId="233"/>
    <tableColumn id="10" name="מדינה לפי חשיפה כלכלית" dataDxfId="232"/>
    <tableColumn id="11" name="ענף מסחר" dataDxfId="231"/>
    <tableColumn id="12" name="בעל עניין/צד קשור" dataDxfId="230"/>
    <tableColumn id="13" name="קונסורציום/ סינדיקציה" dataDxfId="229"/>
    <tableColumn id="14" name="מספר קונסורציום/ סינדיקציה" dataDxfId="228"/>
    <tableColumn id="15" name="תאריך העמדת הלוואה" dataDxfId="227"/>
    <tableColumn id="16" name="דירוג" dataDxfId="226"/>
    <tableColumn id="17" name="שם מדרג" dataDxfId="225"/>
    <tableColumn id="18" name="דירוג הלוואה/המנפיק" dataDxfId="224"/>
    <tableColumn id="19" name="מטבע פעילות" dataDxfId="223"/>
    <tableColumn id="20" name="מח&quot;מ" dataDxfId="222"/>
    <tableColumn id="21" name="סוג הריבית" dataDxfId="221"/>
    <tableColumn id="22" name="שיעור ריבית" dataDxfId="220"/>
    <tableColumn id="23" name="סוג הצמדה" dataDxfId="219"/>
    <tableColumn id="24" name="ריבית עוגן" dataDxfId="218"/>
    <tableColumn id="25" name="שיעור תוספת/הפחתה לריבית העוגן" dataDxfId="217"/>
    <tableColumn id="26" name="תשואה לפדיון" dataDxfId="216"/>
    <tableColumn id="27" name="מועד פדיון" dataDxfId="215"/>
    <tableColumn id="28" name="נחיתות חוזית" dataDxfId="214"/>
    <tableColumn id="29" name="סוג בטוחה" dataDxfId="213"/>
    <tableColumn id="30" name="שווי הבטוחות העומדות כנגד ההלוואה" dataDxfId="212"/>
    <tableColumn id="31" name="שיעור הבטוחות מהחוב" dataDxfId="211"/>
    <tableColumn id="32" name="מועד עדכון אחרון לשווי הבטוחות" dataDxfId="210"/>
    <tableColumn id="33" name="זכות חזרה" dataDxfId="209"/>
    <tableColumn id="34" name="מבנה לוח סילוקין" dataDxfId="208"/>
    <tableColumn id="35" name="יעוד הלוואה" dataDxfId="207"/>
    <tableColumn id="36" name="זכות פירעון מוקדם" dataDxfId="206"/>
    <tableColumn id="37" name="סוג גורם משערך" dataDxfId="205"/>
    <tableColumn id="38" name="שם גורם משערך" dataDxfId="204"/>
    <tableColumn id="39" name="תלות/אי-תלות המשערך" dataDxfId="203"/>
    <tableColumn id="40" name="תאריך שערוך אחרון" dataDxfId="202"/>
    <tableColumn id="41" name="תאריך אחרון בו נבחנה בפועל ירידת ערך" dataDxfId="201"/>
    <tableColumn id="42" name="שיעור ריבית בגין אי-ניצול מסגרת האשראי" dataDxfId="200"/>
    <tableColumn id="43" name="ערך נקוב" dataDxfId="199"/>
    <tableColumn id="44" name="שער הלוואה" dataDxfId="198"/>
    <tableColumn id="45" name="שער חליפין" dataDxfId="197"/>
    <tableColumn id="46" name="שווי הוגן (באלפי ש&quot;ח)" dataDxfId="196"/>
    <tableColumn id="47" name="שווי הוגן (במטבע הפעילות)" dataDxfId="195"/>
    <tableColumn id="48" name="עלות מופחתת (באלפי ש&quot;ח)" dataDxfId="194"/>
    <tableColumn id="49" name="עלות מופחתת (במטבע הפעילות)" dataDxfId="193"/>
    <tableColumn id="50" name="האם סווג כחוב בעייתי" dataDxfId="192"/>
    <tableColumn id="51" name="השיטה שיושמה בדוח הכספי" dataDxfId="191"/>
    <tableColumn id="52" name="שיעור מנכסי אפיק ההשקעה" dataDxfId="190"/>
    <tableColumn id="53" name="שיעור מסך נכסי ההשקעה" dataDxfId="189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לא סחיר מוצרים מובנים" displayName="לא_סחיר_מוצרים_מובנים" ref="A2:AD8" totalsRowShown="0" headerRowDxfId="188" dataDxfId="186" headerRowBorderDxfId="187" tableBorderDxfId="185" totalsRowBorderDxfId="184">
  <autoFilter ref="A2:AD8"/>
  <tableColumns count="30">
    <tableColumn id="1" name="מספר קופה/קרן/ח.פ. עבור חברת ביטוח" dataDxfId="183"/>
    <tableColumn id="2" name="מספר מסלול" dataDxfId="182"/>
    <tableColumn id="3" name="שם מנפיק" dataDxfId="181"/>
    <tableColumn id="4" name="מספר מנפיק" dataDxfId="180"/>
    <tableColumn id="5" name="סוג מספר מזהה מנפיק" dataDxfId="179"/>
    <tableColumn id="6" name="שם נייר ערך" dataDxfId="178"/>
    <tableColumn id="7" name="מספר נייר ערך" dataDxfId="177"/>
    <tableColumn id="8" name="סוג מספר נייר ערך" dataDxfId="176"/>
    <tableColumn id="9" name="מאפיין עיקרי" dataDxfId="175"/>
    <tableColumn id="10" name="ישראל/חו&quot;ל" dataDxfId="174"/>
    <tableColumn id="11" name="מדינה לפי חשיפה כלכלית" dataDxfId="173"/>
    <tableColumn id="12" name="בעל עניין/צד קשור" dataDxfId="172"/>
    <tableColumn id="13" name="נכס בסיס" dataDxfId="171"/>
    <tableColumn id="14" name="תאריך רכישה" dataDxfId="170"/>
    <tableColumn id="15" name="דירוג" dataDxfId="169"/>
    <tableColumn id="16" name="שם מדרג" dataDxfId="168"/>
    <tableColumn id="17" name="דירוג נייר הערך/המנפיק" dataDxfId="167"/>
    <tableColumn id="18" name="מטבע פעילות" dataDxfId="166"/>
    <tableColumn id="19" name="מח&quot;מ" dataDxfId="165"/>
    <tableColumn id="20" name="שיעור ריבית" dataDxfId="164"/>
    <tableColumn id="21" name="תשואה לפדיון" dataDxfId="163"/>
    <tableColumn id="22" name="סוג גורם משערך" dataDxfId="162"/>
    <tableColumn id="23" name="תלות/אי-תלות המשערך" dataDxfId="161"/>
    <tableColumn id="24" name="תאריך שערוך אחרון" dataDxfId="160"/>
    <tableColumn id="25" name="ערך נקוב (יחידות)" dataDxfId="159"/>
    <tableColumn id="26" name="שער חליפין" dataDxfId="158"/>
    <tableColumn id="27" name="שער נייר הערך" dataDxfId="157"/>
    <tableColumn id="28" name="שווי הוגן (באלפי ש&quot;ח)" dataDxfId="156"/>
    <tableColumn id="29" name="שיעור מנכסי אפיק ההשקעה" dataDxfId="155"/>
    <tableColumn id="30" name="שיעור מסך נכסי ההשקעה" dataDxfId="154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פיקדונות מעל 3 חודשים" displayName="פיקדונות_מעל_3_חודשים" ref="A2:V8" totalsRowShown="0" headerRowDxfId="153" dataDxfId="151" headerRowBorderDxfId="152" tableBorderDxfId="150" totalsRowBorderDxfId="149">
  <autoFilter ref="A2:V8"/>
  <tableColumns count="22">
    <tableColumn id="1" name="מספר קופה/קרן/ח.פ. עבור חברת ביטוח" dataDxfId="148"/>
    <tableColumn id="2" name="מספר מסלול" dataDxfId="147"/>
    <tableColumn id="3" name="שם הבנק" dataDxfId="146"/>
    <tableColumn id="4" name="מספר מזהה בנק" dataDxfId="145"/>
    <tableColumn id="5" name="סוג מספר מזהה בנק" dataDxfId="144"/>
    <tableColumn id="6" name="מאפיין עיקרי" dataDxfId="143"/>
    <tableColumn id="7" name="תאריך פקיעת פיקדון" dataDxfId="142"/>
    <tableColumn id="8" name="ישראל/חו&quot;ל" dataDxfId="141"/>
    <tableColumn id="9" name="מדינה לפי חשיפה כלכלית" dataDxfId="140"/>
    <tableColumn id="10" name="בעל עניין/צד קשור" dataDxfId="139"/>
    <tableColumn id="11" name="דירוג הבנק" dataDxfId="138"/>
    <tableColumn id="12" name="שם מדרג" dataDxfId="137"/>
    <tableColumn id="13" name="מטבע פעילות" dataDxfId="136"/>
    <tableColumn id="14" name="מח&quot;מ" dataDxfId="135"/>
    <tableColumn id="15" name="שיעור ריבית" dataDxfId="134"/>
    <tableColumn id="16" name="תשואה לפדיון" dataDxfId="133"/>
    <tableColumn id="17" name="שווי מטבעי" dataDxfId="132"/>
    <tableColumn id="18" name="שער חליפין" dataDxfId="131"/>
    <tableColumn id="19" name="שער פיקדון" dataDxfId="130"/>
    <tableColumn id="20" name="שווי הוגן (באלפי ש&quot;ח)" dataDxfId="129"/>
    <tableColumn id="21" name="שיעור מנכסי אפיק ההשקעה" dataDxfId="128"/>
    <tableColumn id="22" name="שיעור מסך נכסי ההשקעה" dataDxfId="127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זכויות מקרקעין" displayName="זכויות_מקרקעין" ref="A2:X8" totalsRowShown="0" headerRowDxfId="126" dataDxfId="124" headerRowBorderDxfId="125" tableBorderDxfId="123" totalsRowBorderDxfId="122">
  <autoFilter ref="A2:X8"/>
  <tableColumns count="24">
    <tableColumn id="1" name="מספר קופה/קרן/ח.פ. עבור חברת ביטוח" dataDxfId="121"/>
    <tableColumn id="2" name="מספר מסלול" dataDxfId="120"/>
    <tableColumn id="3" name="שם הנכס" dataDxfId="119"/>
    <tableColumn id="4" name="מאפיין עיקרי" dataDxfId="118"/>
    <tableColumn id="5" name="מדינת מיקום נדל&quot;ן" dataDxfId="117"/>
    <tableColumn id="6" name="בעל עניין/צד קשור" dataDxfId="116"/>
    <tableColumn id="7" name="תאריך רכישה" dataDxfId="115"/>
    <tableColumn id="8" name="שימוש עיקרי בנכס" dataDxfId="114"/>
    <tableColumn id="9" name="מחזור חיי הנכס" dataDxfId="113"/>
    <tableColumn id="10" name="כתובת הנכס" dataDxfId="112"/>
    <tableColumn id="11" name="שיעור תשואה בפועל במהלך הרבעון" dataDxfId="111"/>
    <tableColumn id="12" name="השיטה שבאמצעותה נקבע שווי הנכס" dataDxfId="110"/>
    <tableColumn id="13" name="סוג גורם משערך" dataDxfId="109"/>
    <tableColumn id="14" name="שם גורם משערך" dataDxfId="108"/>
    <tableColumn id="15" name="תלות/אי-תלות המשערך" dataDxfId="107"/>
    <tableColumn id="16" name="תאריך שערוך אחרון" dataDxfId="106"/>
    <tableColumn id="17" name="מטבע פעילות" dataDxfId="105"/>
    <tableColumn id="18" name="שווי הוגן (במטבע הפעילות)" dataDxfId="104"/>
    <tableColumn id="19" name="שווי הוגן (באלפי ש&quot;ח)" dataDxfId="103"/>
    <tableColumn id="20" name="עלות מופחתת (באלפי ש&quot;ח)" dataDxfId="102"/>
    <tableColumn id="21" name="עלות מופחתת (במטבע הפעילות)" dataDxfId="101"/>
    <tableColumn id="22" name="השיטה שיושמה בדוח הכספי" dataDxfId="100"/>
    <tableColumn id="23" name="שיעור מנכסי אפיק ההשקעה" dataDxfId="99"/>
    <tableColumn id="24" name="שיעור מסך נכסי ההשקעה" dataDxfId="98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27" name="השקעה בחברות מוחזקות" displayName="השקעה_בחברות_מוחזקות" ref="A2:W8" totalsRowShown="0" headerRowDxfId="97" dataDxfId="95" headerRowBorderDxfId="96" tableBorderDxfId="94" totalsRowBorderDxfId="93">
  <autoFilter ref="A2:W8"/>
  <tableColumns count="23">
    <tableColumn id="1" name="מספר קופה/קרן/ח.פ. עבור חברת ביטוח" dataDxfId="92"/>
    <tableColumn id="2" name="מספר מסלול" dataDxfId="91"/>
    <tableColumn id="3" name="שם מנפיק" dataDxfId="90"/>
    <tableColumn id="4" name="מספר מנפיק" dataDxfId="89"/>
    <tableColumn id="5" name="סוג מספר מזהה מנפיק" dataDxfId="88"/>
    <tableColumn id="6" name="שם נייר ערך" dataDxfId="87"/>
    <tableColumn id="7" name="מספר נייר ערך" dataDxfId="86"/>
    <tableColumn id="8" name="סוג מספר נייר ערך" dataDxfId="85"/>
    <tableColumn id="9" name="מאפיין עיקרי" dataDxfId="84"/>
    <tableColumn id="10" name="ישראל/חו&quot;ל" dataDxfId="83"/>
    <tableColumn id="11" name="מדינה לפי חשיפה כלכלית" dataDxfId="82"/>
    <tableColumn id="12" name="ענף מסחר" dataDxfId="81"/>
    <tableColumn id="13" name="בעל עניין/צד קשור" dataDxfId="80"/>
    <tableColumn id="14" name="מטבע פעילות" dataDxfId="79"/>
    <tableColumn id="15" name="סוג גורם משערך" dataDxfId="78"/>
    <tableColumn id="16" name="תלות/אי-תלות המשערך" dataDxfId="77"/>
    <tableColumn id="17" name="תאריך שערוך אחרון" dataDxfId="76"/>
    <tableColumn id="18" name="תאריך אחרון בו נבחנה בפועל ירידת ערך" dataDxfId="75"/>
    <tableColumn id="19" name="שיעור אחזקה באמצעי שליטה" dataDxfId="74"/>
    <tableColumn id="20" name="שווי מאזני (באלפי ש&quot;ח)" dataDxfId="73"/>
    <tableColumn id="21" name="שווי הוגן (באלפי ש&quot;ח)" dataDxfId="72"/>
    <tableColumn id="22" name="שיעור מנכסי אפיק ההשקעה" dataDxfId="71"/>
    <tableColumn id="23" name="שיעור מסך נכסי ההשקעה" dataDxfId="70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id="28" name="נכסים אחרים" displayName="נכסים_אחרים" ref="A2:R8" totalsRowShown="0" headerRowDxfId="69" dataDxfId="67" headerRowBorderDxfId="68" tableBorderDxfId="66" totalsRowBorderDxfId="65">
  <autoFilter ref="A2:R8"/>
  <tableColumns count="18">
    <tableColumn id="1" name="מספר קופה/קרן/ח.פ. עבור חברת ביטוח" dataDxfId="64"/>
    <tableColumn id="2" name="מספר מסלול" dataDxfId="63"/>
    <tableColumn id="3" name="שם הנכס האחר" dataDxfId="62"/>
    <tableColumn id="4" name="מספר הנכס האחר" dataDxfId="61"/>
    <tableColumn id="5" name="מאפיין עיקרי" dataDxfId="60"/>
    <tableColumn id="6" name="ישראל/חו&quot;ל" dataDxfId="59"/>
    <tableColumn id="7" name="מדינה לפי חשיפה כלכלית" dataDxfId="58"/>
    <tableColumn id="8" name="בעל עניין/צד קשור" dataDxfId="57"/>
    <tableColumn id="9" name="תאריך עסקה" dataDxfId="56"/>
    <tableColumn id="10" name="מטבע פעילות" dataDxfId="55"/>
    <tableColumn id="11" name="תאריך שערוך אחרון" dataDxfId="54"/>
    <tableColumn id="12" name="שווי מטבעי" dataDxfId="53"/>
    <tableColumn id="13" name="שער חליפין" dataDxfId="52"/>
    <tableColumn id="14" name="שווי הוגן (באלפי ש&quot;ח)" dataDxfId="51"/>
    <tableColumn id="15" name="עלות מופחתת (באלפי ש&quot;ח)" dataDxfId="50"/>
    <tableColumn id="16" name="השיטה שיושמה בדוח הכספי" dataDxfId="49"/>
    <tableColumn id="17" name="שיעור מנכסי אפיק ההשקעה" dataDxfId="48"/>
    <tableColumn id="18" name="שיעור מסך נכסי ההשקעה" dataDxfId="47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id="29" name="מסגרות אשראי" displayName="מסגרות_אשראי" ref="A2:T8" totalsRowShown="0" headerRowDxfId="46" dataDxfId="44" headerRowBorderDxfId="45" tableBorderDxfId="43" totalsRowBorderDxfId="42">
  <autoFilter ref="A2:T8"/>
  <tableColumns count="20">
    <tableColumn id="1" name="מספר קופה/קרן/ח.פ. עבור חברת ביטוח" dataDxfId="41"/>
    <tableColumn id="2" name="מספר מסלול" dataDxfId="40"/>
    <tableColumn id="3" name="מספר מזהה לווה" dataDxfId="39"/>
    <tableColumn id="4" name="סוג מספר מזהה לווה" dataDxfId="38"/>
    <tableColumn id="5" name="שם הלוואה" dataDxfId="37"/>
    <tableColumn id="6" name="מספר הלוואה" dataDxfId="36"/>
    <tableColumn id="7" name="תאריך העמדת מסגרת אשראי" dataDxfId="35"/>
    <tableColumn id="8" name="ישראל/חו&quot;ל" dataDxfId="34"/>
    <tableColumn id="9" name="מדינה לפי חשיפה כלכלית" dataDxfId="33"/>
    <tableColumn id="10" name="בעל עניין/צד קשור" dataDxfId="32"/>
    <tableColumn id="11" name="דירוג" dataDxfId="31"/>
    <tableColumn id="12" name="שם מדרג" dataDxfId="30"/>
    <tableColumn id="13" name="דירוג הלוואה/המנפיק" dataDxfId="29"/>
    <tableColumn id="14" name="מטבע פעילות" dataDxfId="28"/>
    <tableColumn id="15" name="שער חליפין" dataDxfId="27"/>
    <tableColumn id="16" name="שיעור ריבית" dataDxfId="26"/>
    <tableColumn id="17" name="סוג הריבית" dataDxfId="25"/>
    <tableColumn id="18" name="סכום מסגרת האשראי הראשוני (במטבע הפעילות)" dataDxfId="24"/>
    <tableColumn id="19" name="סכום מסגרת האשראי הראשוני (באלפי ש&quot;ח)" dataDxfId="23"/>
    <tableColumn id="20" name="שיעור יתרת מסגרת אשראי" dataDxfId="22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id="30" name="יתרות התחייבות להשקעה" displayName="יתרות_התחייבות_להשקעה" ref="A2:Q210" totalsRowShown="0" headerRowDxfId="21" dataDxfId="19" headerRowBorderDxfId="20" tableBorderDxfId="18" totalsRowBorderDxfId="17">
  <autoFilter ref="A2:Q210"/>
  <tableColumns count="17">
    <tableColumn id="1" name="מספר קופה/קרן/ח.פ. עבור חברת ביטוח" dataDxfId="16"/>
    <tableColumn id="2" name="מספר מסלול" dataDxfId="15"/>
    <tableColumn id="3" name="מאפיין עיקרי" dataDxfId="14"/>
    <tableColumn id="4" name="שם שותף כללי קרן השקעות" dataDxfId="13"/>
    <tableColumn id="5" name="מספר מזהה שותף כללי קרן השקעות" dataDxfId="12"/>
    <tableColumn id="6" name="סוג מספר מזהה שותף כללי קרן השקעות" dataDxfId="11"/>
    <tableColumn id="7" name="שם קרן השקעה" dataDxfId="10"/>
    <tableColumn id="8" name="מספר מזהה קרן השקעה" dataDxfId="9"/>
    <tableColumn id="9" name="סוג מספר מזהה קרן השקעות" dataDxfId="8"/>
    <tableColumn id="10" name="מטבע פעילות" dataDxfId="7"/>
    <tableColumn id="11" name="תאריך העמדת התחייבות לקרן השקעה" dataDxfId="6"/>
    <tableColumn id="12" name="סכום המחויבות הראשוני (במטבע הדיווח של קרן ההשקעה)" dataDxfId="5"/>
    <tableColumn id="13" name="סכום המחויבות הראשוני (באלפי ש&quot;ח)" dataDxfId="4"/>
    <tableColumn id="14" name="יתרת המחויבות לתקופת הדיווח (במטבע הדיווח של קרן ההשקעה)" dataDxfId="3"/>
    <tableColumn id="15" name="יתרת המחויבות לתקופת הדיווח (באלפי ש&quot;ח)" dataDxfId="2"/>
    <tableColumn id="16" name="שיעור יתרת המחויבות" dataDxfId="1"/>
    <tableColumn id="17" name="תאריך פקיעת מחויבות להשקעה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rightToLeft="1" tabSelected="1" workbookViewId="0"/>
  </sheetViews>
  <sheetFormatPr defaultRowHeight="14.25" x14ac:dyDescent="0.2"/>
  <cols>
    <col min="1" max="1" width="23.625" bestFit="1" customWidth="1"/>
    <col min="2" max="2" width="10.125" bestFit="1" customWidth="1"/>
  </cols>
  <sheetData>
    <row r="1" spans="1:2" x14ac:dyDescent="0.2">
      <c r="A1" t="s">
        <v>3926</v>
      </c>
    </row>
    <row r="2" spans="1:2" ht="15" x14ac:dyDescent="0.25">
      <c r="A2" s="120" t="s">
        <v>3873</v>
      </c>
      <c r="B2" s="121" t="s">
        <v>3874</v>
      </c>
    </row>
    <row r="3" spans="1:2" x14ac:dyDescent="0.2">
      <c r="A3" s="123" t="s">
        <v>3875</v>
      </c>
      <c r="B3" s="129" t="s">
        <v>3885</v>
      </c>
    </row>
    <row r="4" spans="1:2" x14ac:dyDescent="0.2">
      <c r="A4" s="123" t="s">
        <v>3877</v>
      </c>
      <c r="B4" s="129" t="s">
        <v>3885</v>
      </c>
    </row>
    <row r="5" spans="1:2" x14ac:dyDescent="0.2">
      <c r="A5" s="123" t="s">
        <v>19</v>
      </c>
      <c r="B5" s="129" t="s">
        <v>3885</v>
      </c>
    </row>
    <row r="6" spans="1:2" x14ac:dyDescent="0.2">
      <c r="A6" s="123" t="s">
        <v>20</v>
      </c>
      <c r="B6" s="129" t="s">
        <v>3885</v>
      </c>
    </row>
    <row r="7" spans="1:2" x14ac:dyDescent="0.2">
      <c r="A7" s="123" t="s">
        <v>21</v>
      </c>
      <c r="B7" s="129" t="s">
        <v>3885</v>
      </c>
    </row>
    <row r="8" spans="1:2" x14ac:dyDescent="0.2">
      <c r="A8" s="123" t="s">
        <v>22</v>
      </c>
      <c r="B8" s="129" t="s">
        <v>3885</v>
      </c>
    </row>
    <row r="9" spans="1:2" x14ac:dyDescent="0.2">
      <c r="A9" s="123" t="s">
        <v>3880</v>
      </c>
      <c r="B9" s="129" t="s">
        <v>3885</v>
      </c>
    </row>
    <row r="10" spans="1:2" ht="15" x14ac:dyDescent="0.2">
      <c r="A10" s="125" t="s">
        <v>24</v>
      </c>
      <c r="B10" s="129" t="s">
        <v>3885</v>
      </c>
    </row>
    <row r="11" spans="1:2" x14ac:dyDescent="0.2">
      <c r="A11" s="123" t="s">
        <v>25</v>
      </c>
      <c r="B11" s="129" t="s">
        <v>3885</v>
      </c>
    </row>
    <row r="12" spans="1:2" x14ac:dyDescent="0.2">
      <c r="A12" s="123" t="s">
        <v>26</v>
      </c>
      <c r="B12" s="129" t="s">
        <v>3885</v>
      </c>
    </row>
    <row r="13" spans="1:2" x14ac:dyDescent="0.2">
      <c r="A13" s="123" t="s">
        <v>27</v>
      </c>
      <c r="B13" s="129" t="s">
        <v>3885</v>
      </c>
    </row>
    <row r="14" spans="1:2" x14ac:dyDescent="0.2">
      <c r="A14" s="123" t="s">
        <v>28</v>
      </c>
      <c r="B14" s="129" t="s">
        <v>3885</v>
      </c>
    </row>
    <row r="15" spans="1:2" x14ac:dyDescent="0.2">
      <c r="A15" s="123" t="s">
        <v>29</v>
      </c>
      <c r="B15" s="129" t="s">
        <v>3885</v>
      </c>
    </row>
    <row r="16" spans="1:2" x14ac:dyDescent="0.2">
      <c r="A16" s="123" t="s">
        <v>30</v>
      </c>
      <c r="B16" s="129" t="s">
        <v>3885</v>
      </c>
    </row>
    <row r="17" spans="1:2" x14ac:dyDescent="0.2">
      <c r="A17" s="123" t="s">
        <v>31</v>
      </c>
      <c r="B17" s="129" t="s">
        <v>3885</v>
      </c>
    </row>
    <row r="18" spans="1:2" ht="15" x14ac:dyDescent="0.2">
      <c r="A18" s="125" t="s">
        <v>32</v>
      </c>
      <c r="B18" s="129" t="s">
        <v>3885</v>
      </c>
    </row>
    <row r="19" spans="1:2" x14ac:dyDescent="0.2">
      <c r="A19" s="123" t="s">
        <v>33</v>
      </c>
      <c r="B19" s="129" t="s">
        <v>3885</v>
      </c>
    </row>
    <row r="20" spans="1:2" x14ac:dyDescent="0.2">
      <c r="A20" s="123" t="s">
        <v>34</v>
      </c>
      <c r="B20" s="129" t="s">
        <v>3885</v>
      </c>
    </row>
    <row r="21" spans="1:2" x14ac:dyDescent="0.2">
      <c r="A21" s="123" t="s">
        <v>3879</v>
      </c>
      <c r="B21" s="129" t="s">
        <v>3885</v>
      </c>
    </row>
    <row r="22" spans="1:2" x14ac:dyDescent="0.2">
      <c r="A22" s="123" t="s">
        <v>36</v>
      </c>
      <c r="B22" s="129" t="s">
        <v>3885</v>
      </c>
    </row>
    <row r="23" spans="1:2" x14ac:dyDescent="0.2">
      <c r="A23" s="123" t="s">
        <v>37</v>
      </c>
      <c r="B23" s="129" t="s">
        <v>3885</v>
      </c>
    </row>
    <row r="24" spans="1:2" x14ac:dyDescent="0.2">
      <c r="A24" s="123" t="s">
        <v>38</v>
      </c>
      <c r="B24" s="129" t="s">
        <v>3885</v>
      </c>
    </row>
    <row r="25" spans="1:2" x14ac:dyDescent="0.2">
      <c r="A25" s="123" t="s">
        <v>39</v>
      </c>
      <c r="B25" s="129" t="s">
        <v>3885</v>
      </c>
    </row>
    <row r="26" spans="1:2" x14ac:dyDescent="0.2">
      <c r="A26" s="123" t="s">
        <v>40</v>
      </c>
      <c r="B26" s="129" t="s">
        <v>3885</v>
      </c>
    </row>
    <row r="27" spans="1:2" x14ac:dyDescent="0.2">
      <c r="A27" s="123" t="s">
        <v>41</v>
      </c>
      <c r="B27" s="129" t="s">
        <v>3885</v>
      </c>
    </row>
    <row r="28" spans="1:2" x14ac:dyDescent="0.2">
      <c r="A28" s="123" t="s">
        <v>42</v>
      </c>
      <c r="B28" s="129" t="s">
        <v>3885</v>
      </c>
    </row>
    <row r="29" spans="1:2" x14ac:dyDescent="0.2">
      <c r="A29" s="123" t="s">
        <v>43</v>
      </c>
      <c r="B29" s="129" t="s">
        <v>3885</v>
      </c>
    </row>
    <row r="30" spans="1:2" x14ac:dyDescent="0.2">
      <c r="A30" s="126" t="s">
        <v>44</v>
      </c>
      <c r="B30" s="129" t="s">
        <v>3885</v>
      </c>
    </row>
    <row r="31" spans="1:2" x14ac:dyDescent="0.2">
      <c r="A31" s="123" t="s">
        <v>45</v>
      </c>
      <c r="B31" s="129" t="s">
        <v>3885</v>
      </c>
    </row>
    <row r="32" spans="1:2" x14ac:dyDescent="0.2">
      <c r="A32" s="123" t="s">
        <v>47</v>
      </c>
      <c r="B32" s="129" t="s">
        <v>3885</v>
      </c>
    </row>
    <row r="33" spans="1:2" x14ac:dyDescent="0.2">
      <c r="A33" s="127" t="s">
        <v>1067</v>
      </c>
      <c r="B33" s="130" t="s">
        <v>3885</v>
      </c>
    </row>
    <row r="34" spans="1:2" x14ac:dyDescent="0.2">
      <c r="A34" s="1" t="s">
        <v>3892</v>
      </c>
    </row>
  </sheetData>
  <hyperlinks>
    <hyperlink ref="B3" location="'עמוד פתיחה'!B2" display="מעבר לגליון"/>
    <hyperlink ref="B4" location="'סכום נכסים'!B2" display="מעבר לגליון"/>
    <hyperlink ref="B5" location="'מזומנים ושווי מזומנים'!B2" display="מעבר לגליון"/>
    <hyperlink ref="B6" location="'איגרות חוב ממשלתיות'!B2" display="מעבר לגליון"/>
    <hyperlink ref="B7" location="'ניירות ערך מסחריים'!B2" display="מעבר לגליון"/>
    <hyperlink ref="B8" location="'איגרות חוב'!B2" display="מעבר לגליון"/>
    <hyperlink ref="B9" location="'מניות מבכ ויהש'!B2" display="מעבר לגליון"/>
    <hyperlink ref="B10" location="'קרנות סל'!B2" display="מעבר לגליון"/>
    <hyperlink ref="B11" location="'קרנות נאמנות'!B2" display="מעבר לגליון"/>
    <hyperlink ref="B12" location="'כתבי אופציה'!B2" display="מעבר לגליון"/>
    <hyperlink ref="B13" location="'אופציות'!B2" display="מעבר לגליון"/>
    <hyperlink ref="B14" location="'חוזים עתידיים'!B2" display="מעבר לגליון"/>
    <hyperlink ref="B15" location="'מוצרים מובנים'!B2" display="מעבר לגליון"/>
    <hyperlink ref="B16" location="'לא סחיר איגרות חוב ממשלתיות'!B2" display="מעבר לגליון"/>
    <hyperlink ref="B17" location="'לא סחיר איגרות חוב מיועדות'!B2" display="מעבר לגליון"/>
    <hyperlink ref="B18" location="'אפיק השקעה מובטח תשואה'!B2" display="מעבר לגליון"/>
    <hyperlink ref="B19" location="'לא סחיר ניירות ערך מסחריים'!B2" display="מעבר לגליון"/>
    <hyperlink ref="B20" location="'לא סחיר איגרות חוב'!B2" display="מעבר לגליון"/>
    <hyperlink ref="B21" location="'לא סחיר מניות מבכ ויהש'!B2" display="מעבר לגליון"/>
    <hyperlink ref="B22" location="'קרנות השקעה'!B2" display="מעבר לגליון"/>
    <hyperlink ref="B23" location="'לא סחיר כתבי אופציה'!B2" display="מעבר לגליון"/>
    <hyperlink ref="B24" location="'לא סחיר אופציות'!B2" display="מעבר לגליון"/>
    <hyperlink ref="B25" location="'לא סחיר נגזרים אחרים'!B2" display="מעבר לגליון"/>
    <hyperlink ref="B26" location="'הלוואות'!B2" display="מעבר לגליון"/>
    <hyperlink ref="B27" location="'לא סחיר מוצרים מובנים'!B2" display="מעבר לגליון"/>
    <hyperlink ref="B28" location="'פיקדונות מעל 3 חודשים'!B2" display="מעבר לגליון"/>
    <hyperlink ref="B29" location="'זכויות מקרקעין'!B2" display="מעבר לגליון"/>
    <hyperlink ref="B30" location="'השקעה בחברות מוחזקות'!B2" display="מעבר לגליון"/>
    <hyperlink ref="B31" location="'נכסים אחרים'!B2" display="מעבר לגליון"/>
    <hyperlink ref="B32" location="'מסגרות אשראי'!B2" display="מעבר לגליון"/>
    <hyperlink ref="B33" location="'יתרות התחייבות להשקעה'!B2" display="מעבר לגליון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30"/>
  <sheetViews>
    <sheetView showGridLines="0" rightToLeft="1" workbookViewId="0"/>
  </sheetViews>
  <sheetFormatPr defaultRowHeight="14.25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10" max="10" width="34.75" customWidth="1"/>
    <col min="11" max="11" width="25.875" customWidth="1"/>
    <col min="12" max="12" width="21.375" customWidth="1"/>
  </cols>
  <sheetData>
    <row r="1" spans="1:8" x14ac:dyDescent="0.2">
      <c r="A1" t="s">
        <v>3895</v>
      </c>
    </row>
    <row r="2" spans="1:8" ht="18" x14ac:dyDescent="0.2">
      <c r="A2" s="133" t="s">
        <v>0</v>
      </c>
      <c r="B2" s="133"/>
      <c r="C2" s="133"/>
      <c r="D2" s="133"/>
    </row>
    <row r="4" spans="1:8" ht="15" x14ac:dyDescent="0.2">
      <c r="A4" t="s">
        <v>1</v>
      </c>
      <c r="D4" s="74" t="s">
        <v>1097</v>
      </c>
    </row>
    <row r="6" spans="1:8" ht="15" x14ac:dyDescent="0.2">
      <c r="A6" t="s">
        <v>2</v>
      </c>
      <c r="D6" s="74" t="s">
        <v>1108</v>
      </c>
    </row>
    <row r="8" spans="1:8" ht="15" x14ac:dyDescent="0.2">
      <c r="A8" t="s">
        <v>3</v>
      </c>
      <c r="D8" s="128" t="s">
        <v>1113</v>
      </c>
    </row>
    <row r="9" spans="1:8" ht="15" x14ac:dyDescent="0.2">
      <c r="D9" s="24"/>
      <c r="E9" s="24"/>
      <c r="F9" s="24"/>
      <c r="G9" s="24"/>
      <c r="H9" s="24"/>
    </row>
    <row r="10" spans="1:8" ht="15" x14ac:dyDescent="0.2">
      <c r="A10" t="s">
        <v>4</v>
      </c>
      <c r="D10" s="74">
        <v>2024</v>
      </c>
    </row>
    <row r="12" spans="1:8" ht="15" x14ac:dyDescent="0.2">
      <c r="A12" t="s">
        <v>5</v>
      </c>
      <c r="D12" s="74" t="s">
        <v>1198</v>
      </c>
    </row>
    <row r="14" spans="1:8" ht="15" x14ac:dyDescent="0.2">
      <c r="A14" t="s">
        <v>6</v>
      </c>
      <c r="D14" s="75">
        <v>520027251</v>
      </c>
    </row>
    <row r="16" spans="1:8" ht="15" x14ac:dyDescent="0.25">
      <c r="A16" s="15" t="s">
        <v>7</v>
      </c>
      <c r="D16" s="75" t="s">
        <v>3881</v>
      </c>
    </row>
    <row r="17" spans="1:8" ht="15" x14ac:dyDescent="0.25">
      <c r="A17" s="15"/>
      <c r="D17" s="24"/>
      <c r="E17" s="24"/>
      <c r="F17" s="24"/>
      <c r="G17" s="24"/>
      <c r="H17" s="24"/>
    </row>
    <row r="18" spans="1:8" ht="15" x14ac:dyDescent="0.25">
      <c r="A18" s="15" t="s">
        <v>8</v>
      </c>
      <c r="B18" s="13" t="s">
        <v>9</v>
      </c>
      <c r="C18" s="13"/>
      <c r="D18" s="76" t="s">
        <v>3882</v>
      </c>
    </row>
    <row r="19" spans="1:8" x14ac:dyDescent="0.2">
      <c r="A19" s="11"/>
      <c r="D19" s="14"/>
      <c r="E19" s="14"/>
      <c r="F19" s="14"/>
      <c r="G19" s="14"/>
      <c r="H19" s="14"/>
    </row>
    <row r="20" spans="1:8" ht="15" x14ac:dyDescent="0.2">
      <c r="A20" s="11"/>
      <c r="B20" s="13" t="s">
        <v>10</v>
      </c>
      <c r="C20" s="13"/>
      <c r="D20" s="76" t="s">
        <v>3883</v>
      </c>
    </row>
    <row r="21" spans="1:8" x14ac:dyDescent="0.2">
      <c r="A21" s="11"/>
      <c r="D21" s="14"/>
      <c r="E21" s="14"/>
      <c r="F21" s="14"/>
      <c r="G21" s="14"/>
      <c r="H21" s="14"/>
    </row>
    <row r="22" spans="1:8" ht="15" x14ac:dyDescent="0.2">
      <c r="A22" s="11"/>
      <c r="B22" s="13" t="s">
        <v>11</v>
      </c>
      <c r="C22" s="13"/>
      <c r="D22" s="77" t="s">
        <v>3884</v>
      </c>
    </row>
    <row r="23" spans="1:8" x14ac:dyDescent="0.2">
      <c r="A23" s="11"/>
      <c r="B23" s="12"/>
      <c r="C23" s="12"/>
    </row>
    <row r="24" spans="1:8" ht="15" x14ac:dyDescent="0.25">
      <c r="A24" s="15" t="s">
        <v>12</v>
      </c>
      <c r="D24" t="s">
        <v>13</v>
      </c>
    </row>
    <row r="25" spans="1:8" x14ac:dyDescent="0.2">
      <c r="A25" s="1" t="s">
        <v>3892</v>
      </c>
    </row>
    <row r="26" spans="1:8" x14ac:dyDescent="0.2">
      <c r="D26" s="1"/>
    </row>
    <row r="29" spans="1:8" ht="14.1" customHeight="1" x14ac:dyDescent="0.2">
      <c r="A29" s="20"/>
      <c r="D29" s="21"/>
      <c r="E29" s="22"/>
      <c r="F29" s="22"/>
      <c r="G29" s="22"/>
      <c r="H29" s="22"/>
    </row>
    <row r="30" spans="1:8" x14ac:dyDescent="0.2">
      <c r="D30" s="13"/>
      <c r="E30" s="13"/>
      <c r="F30" s="13"/>
      <c r="G30" s="13"/>
      <c r="H30" s="13"/>
    </row>
  </sheetData>
  <conditionalFormatting sqref="D4">
    <cfRule type="containsText" dxfId="920" priority="13" operator="containsText" text="Please fill in data">
      <formula>NOT(ISERROR(SEARCH("Please fill in data",D4)))</formula>
    </cfRule>
  </conditionalFormatting>
  <conditionalFormatting sqref="D6">
    <cfRule type="containsText" dxfId="919" priority="7" operator="containsText" text="Please fill in data">
      <formula>NOT(ISERROR(SEARCH("Please fill in data",D6)))</formula>
    </cfRule>
  </conditionalFormatting>
  <conditionalFormatting sqref="D8:D10">
    <cfRule type="containsText" dxfId="918" priority="5" operator="containsText" text="Please fill in data">
      <formula>NOT(ISERROR(SEARCH("Please fill in data",D8)))</formula>
    </cfRule>
  </conditionalFormatting>
  <conditionalFormatting sqref="D12">
    <cfRule type="containsText" dxfId="917" priority="4" operator="containsText" text="Please fill in data">
      <formula>NOT(ISERROR(SEARCH("Please fill in data",D12)))</formula>
    </cfRule>
  </conditionalFormatting>
  <conditionalFormatting sqref="D14">
    <cfRule type="containsText" dxfId="916" priority="3" operator="containsText" text="Please fill in data">
      <formula>NOT(ISERROR(SEARCH("Please fill in data",D14)))</formula>
    </cfRule>
  </conditionalFormatting>
  <conditionalFormatting sqref="D16:D18">
    <cfRule type="containsText" dxfId="915" priority="1" operator="containsText" text="Please fill in data">
      <formula>NOT(ISERROR(SEARCH("Please fill in data",D16)))</formula>
    </cfRule>
  </conditionalFormatting>
  <conditionalFormatting sqref="D20">
    <cfRule type="containsText" dxfId="914" priority="20" operator="containsText" text="Please fill in data">
      <formula>NOT(ISERROR(SEARCH("Please fill in data",D20)))</formula>
    </cfRule>
  </conditionalFormatting>
  <conditionalFormatting sqref="D22">
    <cfRule type="containsText" dxfId="913" priority="19" operator="containsText" text="Please fill in data">
      <formula>NOT(ISERROR(SEARCH("Please fill in data",D22)))</formula>
    </cfRule>
  </conditionalFormatting>
  <dataValidations count="5">
    <dataValidation type="list" allowBlank="1" showInputMessage="1" showErrorMessage="1" sqref="D4">
      <formula1>Type</formula1>
    </dataValidation>
    <dataValidation type="list" allowBlank="1" showInputMessage="1" showErrorMessage="1" sqref="D6">
      <formula1>File_Type</formula1>
    </dataValidation>
    <dataValidation type="list" allowBlank="1" showInputMessage="1" showErrorMessage="1" sqref="D8">
      <formula1>QTR</formula1>
    </dataValidation>
    <dataValidation type="list" allowBlank="1" showInputMessage="1" showErrorMessage="1" sqref="D10">
      <formula1>YEAR</formula1>
    </dataValidation>
    <dataValidation type="list" allowBlank="1" showInputMessage="1" showErrorMessage="1" sqref="D12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36"/>
  <sheetViews>
    <sheetView showGridLines="0" rightToLeft="1" workbookViewId="0"/>
  </sheetViews>
  <sheetFormatPr defaultColWidth="9" defaultRowHeight="12.75" x14ac:dyDescent="0.2"/>
  <cols>
    <col min="1" max="1" width="42.75" style="8" customWidth="1"/>
    <col min="2" max="2" width="13" style="9" customWidth="1"/>
    <col min="3" max="3" width="24" style="9" customWidth="1"/>
    <col min="4" max="5" width="13" style="9" customWidth="1"/>
    <col min="6" max="6" width="11.125" style="8" customWidth="1"/>
    <col min="7" max="8" width="8.625" style="8" customWidth="1"/>
    <col min="9" max="10" width="9" style="8"/>
    <col min="11" max="12" width="8.625" style="8" customWidth="1"/>
    <col min="13" max="16384" width="9" style="8"/>
  </cols>
  <sheetData>
    <row r="1" spans="1:6" x14ac:dyDescent="0.2">
      <c r="A1" s="8" t="s">
        <v>3896</v>
      </c>
    </row>
    <row r="2" spans="1:6" ht="18.75" customHeight="1" x14ac:dyDescent="0.2">
      <c r="A2" s="135" t="s">
        <v>3887</v>
      </c>
      <c r="B2" s="136" t="s">
        <v>3888</v>
      </c>
      <c r="C2" s="137" t="s">
        <v>14</v>
      </c>
      <c r="D2" s="138" t="s">
        <v>3889</v>
      </c>
      <c r="E2" s="136" t="s">
        <v>3890</v>
      </c>
      <c r="F2" s="180" t="s">
        <v>3894</v>
      </c>
    </row>
    <row r="3" spans="1:6" ht="39.75" customHeight="1" x14ac:dyDescent="0.2">
      <c r="A3" s="135" t="s">
        <v>3886</v>
      </c>
      <c r="B3" s="136" t="s">
        <v>15</v>
      </c>
      <c r="C3" s="136" t="s">
        <v>16</v>
      </c>
      <c r="D3" s="136" t="s">
        <v>17</v>
      </c>
      <c r="E3" s="136" t="s">
        <v>18</v>
      </c>
      <c r="F3" s="180"/>
    </row>
    <row r="4" spans="1:6" ht="15" x14ac:dyDescent="0.2">
      <c r="A4" s="134" t="s">
        <v>19</v>
      </c>
      <c r="B4" s="119">
        <v>1592762.2626</v>
      </c>
      <c r="C4" s="124" t="s">
        <v>3876</v>
      </c>
      <c r="D4" s="124" t="s">
        <v>3876</v>
      </c>
      <c r="E4" s="119">
        <v>3.2239759417548428</v>
      </c>
      <c r="F4" s="180"/>
    </row>
    <row r="5" spans="1:6" ht="15" x14ac:dyDescent="0.2">
      <c r="A5" s="131" t="s">
        <v>20</v>
      </c>
      <c r="B5" s="119">
        <v>3256262.906</v>
      </c>
      <c r="C5" s="124" t="s">
        <v>3876</v>
      </c>
      <c r="D5" s="124" t="s">
        <v>3876</v>
      </c>
      <c r="E5" s="119">
        <v>6.59113636440593</v>
      </c>
      <c r="F5" s="180"/>
    </row>
    <row r="6" spans="1:6" ht="15" x14ac:dyDescent="0.2">
      <c r="A6" s="131" t="s">
        <v>21</v>
      </c>
      <c r="B6" s="124" t="s">
        <v>3876</v>
      </c>
      <c r="C6" s="124" t="s">
        <v>3876</v>
      </c>
      <c r="D6" s="124" t="s">
        <v>3876</v>
      </c>
      <c r="E6" s="124" t="s">
        <v>3876</v>
      </c>
      <c r="F6" s="180"/>
    </row>
    <row r="7" spans="1:6" ht="15" x14ac:dyDescent="0.2">
      <c r="A7" s="131" t="s">
        <v>22</v>
      </c>
      <c r="B7" s="119">
        <v>2861341.6970000002</v>
      </c>
      <c r="C7" s="124" t="s">
        <v>3876</v>
      </c>
      <c r="D7" s="124" t="s">
        <v>3876</v>
      </c>
      <c r="E7" s="119">
        <v>5.7917600188737639</v>
      </c>
      <c r="F7" s="180"/>
    </row>
    <row r="8" spans="1:6" ht="15" x14ac:dyDescent="0.2">
      <c r="A8" s="131" t="s">
        <v>23</v>
      </c>
      <c r="B8" s="119">
        <v>4717460.5851999996</v>
      </c>
      <c r="C8" s="124" t="s">
        <v>3876</v>
      </c>
      <c r="D8" s="124" t="s">
        <v>3876</v>
      </c>
      <c r="E8" s="119">
        <v>9.548806993984865</v>
      </c>
      <c r="F8" s="180"/>
    </row>
    <row r="9" spans="1:6" ht="15" x14ac:dyDescent="0.2">
      <c r="A9" s="131" t="s">
        <v>24</v>
      </c>
      <c r="B9" s="119">
        <v>5860208.2643999998</v>
      </c>
      <c r="C9" s="124" t="s">
        <v>3876</v>
      </c>
      <c r="D9" s="124" t="s">
        <v>3876</v>
      </c>
      <c r="E9" s="119">
        <v>11.861889813375566</v>
      </c>
      <c r="F9" s="180"/>
    </row>
    <row r="10" spans="1:6" ht="15" x14ac:dyDescent="0.2">
      <c r="A10" s="131" t="s">
        <v>25</v>
      </c>
      <c r="B10" s="119">
        <v>679613.05839999998</v>
      </c>
      <c r="C10" s="124" t="s">
        <v>3876</v>
      </c>
      <c r="D10" s="124" t="s">
        <v>3876</v>
      </c>
      <c r="E10" s="119">
        <v>1.3756328872463117</v>
      </c>
      <c r="F10" s="180"/>
    </row>
    <row r="11" spans="1:6" ht="15" x14ac:dyDescent="0.2">
      <c r="A11" s="131" t="s">
        <v>26</v>
      </c>
      <c r="B11" s="119">
        <v>1737.5998</v>
      </c>
      <c r="C11" s="124" t="s">
        <v>3876</v>
      </c>
      <c r="D11" s="124" t="s">
        <v>3876</v>
      </c>
      <c r="E11" s="119">
        <v>3.5171476035437675E-3</v>
      </c>
      <c r="F11" s="180"/>
    </row>
    <row r="12" spans="1:6" ht="15" x14ac:dyDescent="0.2">
      <c r="A12" s="131" t="s">
        <v>27</v>
      </c>
      <c r="B12" s="119">
        <v>-2380.08</v>
      </c>
      <c r="C12" s="124" t="s">
        <v>3876</v>
      </c>
      <c r="D12" s="124" t="s">
        <v>3876</v>
      </c>
      <c r="E12" s="119">
        <v>-4.8176183223056987E-3</v>
      </c>
      <c r="F12" s="180"/>
    </row>
    <row r="13" spans="1:6" ht="15" x14ac:dyDescent="0.2">
      <c r="A13" s="131" t="s">
        <v>28</v>
      </c>
      <c r="B13" s="119">
        <v>1897.0132000000001</v>
      </c>
      <c r="C13" s="124" t="s">
        <v>3876</v>
      </c>
      <c r="D13" s="124" t="s">
        <v>3876</v>
      </c>
      <c r="E13" s="119">
        <v>3.8398228036204732E-3</v>
      </c>
      <c r="F13" s="180"/>
    </row>
    <row r="14" spans="1:6" ht="15" x14ac:dyDescent="0.2">
      <c r="A14" s="131" t="s">
        <v>29</v>
      </c>
      <c r="B14" s="119">
        <v>133749.9662</v>
      </c>
      <c r="C14" s="124" t="s">
        <v>3876</v>
      </c>
      <c r="D14" s="124" t="s">
        <v>3876</v>
      </c>
      <c r="E14" s="119">
        <v>0.27072883595170671</v>
      </c>
      <c r="F14" s="180"/>
    </row>
    <row r="15" spans="1:6" ht="15" x14ac:dyDescent="0.2">
      <c r="A15" s="131" t="s">
        <v>30</v>
      </c>
      <c r="B15" s="124" t="s">
        <v>3876</v>
      </c>
      <c r="C15" s="124" t="s">
        <v>3876</v>
      </c>
      <c r="D15" s="124" t="s">
        <v>3876</v>
      </c>
      <c r="E15" s="124" t="s">
        <v>3876</v>
      </c>
      <c r="F15" s="180"/>
    </row>
    <row r="16" spans="1:6" ht="15" x14ac:dyDescent="0.2">
      <c r="A16" s="131" t="s">
        <v>31</v>
      </c>
      <c r="B16" s="124" t="s">
        <v>3876</v>
      </c>
      <c r="C16" s="124" t="s">
        <v>3876</v>
      </c>
      <c r="D16" s="124" t="s">
        <v>3876</v>
      </c>
      <c r="E16" s="124" t="s">
        <v>3876</v>
      </c>
      <c r="F16" s="180"/>
    </row>
    <row r="17" spans="1:6" ht="15" x14ac:dyDescent="0.2">
      <c r="A17" s="131" t="s">
        <v>32</v>
      </c>
      <c r="B17" s="124" t="s">
        <v>3876</v>
      </c>
      <c r="C17" s="124" t="s">
        <v>3876</v>
      </c>
      <c r="D17" s="124" t="s">
        <v>3876</v>
      </c>
      <c r="E17" s="124" t="s">
        <v>3876</v>
      </c>
      <c r="F17" s="180"/>
    </row>
    <row r="18" spans="1:6" ht="15" x14ac:dyDescent="0.2">
      <c r="A18" s="131" t="s">
        <v>33</v>
      </c>
      <c r="B18" s="124" t="s">
        <v>3876</v>
      </c>
      <c r="C18" s="124" t="s">
        <v>3876</v>
      </c>
      <c r="D18" s="124" t="s">
        <v>3876</v>
      </c>
      <c r="E18" s="124" t="s">
        <v>3876</v>
      </c>
      <c r="F18" s="180"/>
    </row>
    <row r="19" spans="1:6" ht="15" x14ac:dyDescent="0.2">
      <c r="A19" s="131" t="s">
        <v>34</v>
      </c>
      <c r="B19" s="119">
        <v>26092.701400000002</v>
      </c>
      <c r="C19" s="124" t="s">
        <v>3876</v>
      </c>
      <c r="D19" s="124" t="s">
        <v>3876</v>
      </c>
      <c r="E19" s="119">
        <v>5.281531559096931E-2</v>
      </c>
      <c r="F19" s="180"/>
    </row>
    <row r="20" spans="1:6" ht="15" x14ac:dyDescent="0.2">
      <c r="A20" s="131" t="s">
        <v>35</v>
      </c>
      <c r="B20" s="119">
        <v>791469.42579999997</v>
      </c>
      <c r="C20" s="124" t="s">
        <v>3876</v>
      </c>
      <c r="D20" s="124" t="s">
        <v>3876</v>
      </c>
      <c r="E20" s="119">
        <v>1.6020459846407646</v>
      </c>
      <c r="F20" s="180"/>
    </row>
    <row r="21" spans="1:6" ht="15" x14ac:dyDescent="0.2">
      <c r="A21" s="131" t="s">
        <v>36</v>
      </c>
      <c r="B21" s="119">
        <v>4114347.9953000001</v>
      </c>
      <c r="C21" s="124" t="s">
        <v>3876</v>
      </c>
      <c r="D21" s="124" t="s">
        <v>3876</v>
      </c>
      <c r="E21" s="119">
        <v>8.3280218674556572</v>
      </c>
      <c r="F21" s="180"/>
    </row>
    <row r="22" spans="1:6" ht="15" x14ac:dyDescent="0.2">
      <c r="A22" s="131" t="s">
        <v>37</v>
      </c>
      <c r="B22" s="119">
        <v>2465.3598000000002</v>
      </c>
      <c r="C22" s="124" t="s">
        <v>3876</v>
      </c>
      <c r="D22" s="124" t="s">
        <v>3876</v>
      </c>
      <c r="E22" s="119">
        <v>4.9902367419948409E-3</v>
      </c>
      <c r="F22" s="180"/>
    </row>
    <row r="23" spans="1:6" ht="15" x14ac:dyDescent="0.2">
      <c r="A23" s="131" t="s">
        <v>38</v>
      </c>
      <c r="B23" s="124" t="s">
        <v>3876</v>
      </c>
      <c r="C23" s="124" t="s">
        <v>3876</v>
      </c>
      <c r="D23" s="124" t="s">
        <v>3876</v>
      </c>
      <c r="E23" s="124" t="s">
        <v>3876</v>
      </c>
      <c r="F23" s="180"/>
    </row>
    <row r="24" spans="1:6" ht="15" x14ac:dyDescent="0.2">
      <c r="A24" s="131" t="s">
        <v>39</v>
      </c>
      <c r="B24" s="119">
        <v>-70669.840299999996</v>
      </c>
      <c r="C24" s="124" t="s">
        <v>3876</v>
      </c>
      <c r="D24" s="124" t="s">
        <v>3876</v>
      </c>
      <c r="E24" s="119">
        <v>-0.14304574528328051</v>
      </c>
      <c r="F24" s="180"/>
    </row>
    <row r="25" spans="1:6" ht="15" x14ac:dyDescent="0.2">
      <c r="A25" s="131" t="s">
        <v>40</v>
      </c>
      <c r="B25" s="119">
        <v>606742.65260000003</v>
      </c>
      <c r="C25" s="124" t="s">
        <v>3876</v>
      </c>
      <c r="D25" s="124" t="s">
        <v>3876</v>
      </c>
      <c r="E25" s="119">
        <v>1.2281328863842162</v>
      </c>
      <c r="F25" s="180"/>
    </row>
    <row r="26" spans="1:6" ht="15" x14ac:dyDescent="0.2">
      <c r="A26" s="131" t="s">
        <v>41</v>
      </c>
      <c r="B26" s="119">
        <v>128730.75689999999</v>
      </c>
      <c r="C26" s="124" t="s">
        <v>3876</v>
      </c>
      <c r="D26" s="124" t="s">
        <v>3876</v>
      </c>
      <c r="E26" s="119">
        <v>0.26056924679183324</v>
      </c>
      <c r="F26" s="180"/>
    </row>
    <row r="27" spans="1:6" ht="15" x14ac:dyDescent="0.2">
      <c r="A27" s="131" t="s">
        <v>42</v>
      </c>
      <c r="B27" s="124" t="s">
        <v>3876</v>
      </c>
      <c r="C27" s="124" t="s">
        <v>3876</v>
      </c>
      <c r="D27" s="124" t="s">
        <v>3876</v>
      </c>
      <c r="E27" s="124" t="s">
        <v>3876</v>
      </c>
      <c r="F27" s="180"/>
    </row>
    <row r="28" spans="1:6" ht="15" x14ac:dyDescent="0.2">
      <c r="A28" s="131" t="s">
        <v>43</v>
      </c>
      <c r="B28" s="124" t="s">
        <v>3876</v>
      </c>
      <c r="C28" s="124" t="s">
        <v>3876</v>
      </c>
      <c r="D28" s="124" t="s">
        <v>3876</v>
      </c>
      <c r="E28" s="124" t="s">
        <v>3876</v>
      </c>
      <c r="F28" s="180"/>
    </row>
    <row r="29" spans="1:6" ht="15" x14ac:dyDescent="0.2">
      <c r="A29" s="131" t="s">
        <v>44</v>
      </c>
      <c r="B29" s="124" t="s">
        <v>3876</v>
      </c>
      <c r="C29" s="124" t="s">
        <v>3876</v>
      </c>
      <c r="D29" s="124" t="s">
        <v>3876</v>
      </c>
      <c r="E29" s="124" t="s">
        <v>3876</v>
      </c>
      <c r="F29" s="180"/>
    </row>
    <row r="30" spans="1:6" ht="15" x14ac:dyDescent="0.2">
      <c r="A30" s="131" t="s">
        <v>45</v>
      </c>
      <c r="B30" s="124" t="s">
        <v>3876</v>
      </c>
      <c r="C30" s="124" t="s">
        <v>3876</v>
      </c>
      <c r="D30" s="124" t="s">
        <v>3876</v>
      </c>
      <c r="E30" s="124" t="s">
        <v>3876</v>
      </c>
      <c r="F30" s="180"/>
    </row>
    <row r="31" spans="1:6" x14ac:dyDescent="0.2">
      <c r="A31" s="132" t="s">
        <v>46</v>
      </c>
      <c r="B31" s="34">
        <v>24701832.324300006</v>
      </c>
      <c r="C31" s="34">
        <f>SUM(C4:C30)</f>
        <v>0</v>
      </c>
      <c r="D31" s="34">
        <f>SUM(D4:D30)</f>
        <v>0</v>
      </c>
      <c r="E31" s="34">
        <f>SUM(E4:E30)</f>
        <v>50</v>
      </c>
      <c r="F31" s="180"/>
    </row>
    <row r="32" spans="1:6" ht="15" x14ac:dyDescent="0.2">
      <c r="A32" s="131" t="s">
        <v>47</v>
      </c>
      <c r="B32" s="124" t="s">
        <v>3876</v>
      </c>
      <c r="C32" s="124" t="s">
        <v>3876</v>
      </c>
      <c r="D32" s="124" t="s">
        <v>3876</v>
      </c>
      <c r="E32" s="124" t="s">
        <v>3876</v>
      </c>
      <c r="F32" s="180"/>
    </row>
    <row r="33" spans="1:6" ht="15" x14ac:dyDescent="0.2">
      <c r="A33" s="131" t="s">
        <v>48</v>
      </c>
      <c r="B33" s="122">
        <v>1419668.6493839882</v>
      </c>
      <c r="C33" s="124" t="s">
        <v>3876</v>
      </c>
      <c r="D33" s="124" t="s">
        <v>3876</v>
      </c>
      <c r="E33" s="124" t="s">
        <v>3876</v>
      </c>
      <c r="F33" s="180"/>
    </row>
    <row r="34" spans="1:6" x14ac:dyDescent="0.2">
      <c r="A34" s="180" t="s">
        <v>3893</v>
      </c>
      <c r="B34" s="180"/>
      <c r="C34" s="180"/>
      <c r="D34" s="180"/>
      <c r="E34" s="180"/>
    </row>
    <row r="35" spans="1:6" x14ac:dyDescent="0.2">
      <c r="A35" s="8" t="s">
        <v>3892</v>
      </c>
    </row>
    <row r="36" spans="1:6" x14ac:dyDescent="0.2">
      <c r="A36" s="175"/>
    </row>
  </sheetData>
  <customSheetViews>
    <customSheetView guid="{AE318230-F718-49FC-82EB-7CAC3DCD05F1}" showGridLines="0">
      <pageMargins left="0" right="0" top="0" bottom="0" header="0" footer="0"/>
      <pageSetup orientation="portrait" r:id="rId1"/>
    </customSheetView>
  </customSheetViews>
  <mergeCells count="2">
    <mergeCell ref="A34:E34"/>
    <mergeCell ref="F2:F33"/>
  </mergeCells>
  <pageMargins left="0.7" right="0.7" top="0.75" bottom="0.75" header="0.3" footer="0.3"/>
  <pageSetup orientation="portrait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30"/>
  <sheetViews>
    <sheetView rightToLeft="1" workbookViewId="0">
      <selection activeCell="A22" sqref="A22"/>
    </sheetView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12" style="2" bestFit="1" customWidth="1"/>
    <col min="4" max="4" width="13.75" style="2" customWidth="1"/>
    <col min="5" max="5" width="16.5" style="4" customWidth="1"/>
    <col min="6" max="6" width="27.5" style="2" bestFit="1" customWidth="1"/>
    <col min="7" max="7" width="10.625" style="2" customWidth="1"/>
    <col min="8" max="8" width="15.125" style="2" customWidth="1"/>
    <col min="9" max="9" width="10.25" style="2" customWidth="1"/>
    <col min="10" max="10" width="12.25" style="2" bestFit="1" customWidth="1"/>
    <col min="11" max="11" width="11.75" style="2" customWidth="1"/>
    <col min="12" max="12" width="10.375" style="2" bestFit="1" customWidth="1"/>
    <col min="13" max="13" width="10.5" style="2" customWidth="1"/>
    <col min="14" max="14" width="11.125" style="2" customWidth="1"/>
    <col min="15" max="15" width="17.875" style="2" customWidth="1"/>
    <col min="16" max="16" width="21.75" style="2" customWidth="1"/>
    <col min="17" max="17" width="20.125" style="2" customWidth="1"/>
    <col min="18" max="18" width="11.625" style="2" customWidth="1"/>
    <col min="19" max="16384" width="9" style="2"/>
  </cols>
  <sheetData>
    <row r="1" spans="1:18" x14ac:dyDescent="0.2">
      <c r="A1" s="2" t="s">
        <v>3897</v>
      </c>
    </row>
    <row r="2" spans="1:18" s="3" customFormat="1" ht="66.75" customHeight="1" x14ac:dyDescent="0.2">
      <c r="A2" s="139" t="s">
        <v>49</v>
      </c>
      <c r="B2" s="140" t="s">
        <v>50</v>
      </c>
      <c r="C2" s="140" t="s">
        <v>51</v>
      </c>
      <c r="D2" s="140" t="s">
        <v>52</v>
      </c>
      <c r="E2" s="140" t="s">
        <v>53</v>
      </c>
      <c r="F2" s="140" t="s">
        <v>54</v>
      </c>
      <c r="G2" s="140" t="s">
        <v>55</v>
      </c>
      <c r="H2" s="140" t="s">
        <v>56</v>
      </c>
      <c r="I2" s="140" t="s">
        <v>57</v>
      </c>
      <c r="J2" s="140" t="s">
        <v>58</v>
      </c>
      <c r="K2" s="140" t="s">
        <v>59</v>
      </c>
      <c r="L2" s="140" t="s">
        <v>60</v>
      </c>
      <c r="M2" s="140" t="s">
        <v>61</v>
      </c>
      <c r="N2" s="140" t="s">
        <v>62</v>
      </c>
      <c r="O2" s="140" t="s">
        <v>63</v>
      </c>
      <c r="P2" s="140" t="s">
        <v>64</v>
      </c>
      <c r="Q2" s="141" t="s">
        <v>65</v>
      </c>
      <c r="R2" s="182" t="s">
        <v>3894</v>
      </c>
    </row>
    <row r="3" spans="1:18" ht="15" x14ac:dyDescent="0.2">
      <c r="A3" s="142" t="s">
        <v>1205</v>
      </c>
      <c r="B3" s="143" t="s">
        <v>1206</v>
      </c>
      <c r="C3" s="143" t="s">
        <v>1207</v>
      </c>
      <c r="D3" s="143" t="s">
        <v>1208</v>
      </c>
      <c r="E3" s="143" t="s">
        <v>315</v>
      </c>
      <c r="F3" s="143" t="s">
        <v>934</v>
      </c>
      <c r="G3" s="143" t="s">
        <v>204</v>
      </c>
      <c r="H3" s="143" t="s">
        <v>339</v>
      </c>
      <c r="I3" s="143" t="s">
        <v>1209</v>
      </c>
      <c r="J3" s="143" t="s">
        <v>415</v>
      </c>
      <c r="K3" s="143" t="s">
        <v>1210</v>
      </c>
      <c r="L3" s="144">
        <v>1609.4541999999999</v>
      </c>
      <c r="M3" s="145" t="s">
        <v>3876</v>
      </c>
      <c r="N3" s="145" t="s">
        <v>3876</v>
      </c>
      <c r="O3" s="144">
        <v>1609.4541999999999</v>
      </c>
      <c r="P3" s="146">
        <v>0.79791411991814754</v>
      </c>
      <c r="Q3" s="147">
        <v>5.5981572887163038E-2</v>
      </c>
      <c r="R3" s="182"/>
    </row>
    <row r="4" spans="1:18" ht="15" x14ac:dyDescent="0.2">
      <c r="A4" s="142" t="s">
        <v>1205</v>
      </c>
      <c r="B4" s="143" t="s">
        <v>1206</v>
      </c>
      <c r="C4" s="143" t="s">
        <v>1207</v>
      </c>
      <c r="D4" s="143" t="s">
        <v>1208</v>
      </c>
      <c r="E4" s="143" t="s">
        <v>315</v>
      </c>
      <c r="F4" s="143" t="s">
        <v>936</v>
      </c>
      <c r="G4" s="143" t="s">
        <v>204</v>
      </c>
      <c r="H4" s="143" t="s">
        <v>339</v>
      </c>
      <c r="I4" s="143" t="s">
        <v>1209</v>
      </c>
      <c r="J4" s="143" t="s">
        <v>415</v>
      </c>
      <c r="K4" s="143" t="s">
        <v>1211</v>
      </c>
      <c r="L4" s="144">
        <v>40.569400000000002</v>
      </c>
      <c r="M4" s="143" t="s">
        <v>1212</v>
      </c>
      <c r="N4" s="145" t="s">
        <v>3876</v>
      </c>
      <c r="O4" s="144">
        <v>152.50039999999998</v>
      </c>
      <c r="P4" s="146">
        <v>7.5604677631438189E-2</v>
      </c>
      <c r="Q4" s="147">
        <v>5.3044164350281222E-3</v>
      </c>
      <c r="R4" s="182"/>
    </row>
    <row r="5" spans="1:18" ht="15" x14ac:dyDescent="0.2">
      <c r="A5" s="142" t="s">
        <v>1205</v>
      </c>
      <c r="B5" s="143" t="s">
        <v>1206</v>
      </c>
      <c r="C5" s="143" t="s">
        <v>1207</v>
      </c>
      <c r="D5" s="143" t="s">
        <v>1208</v>
      </c>
      <c r="E5" s="143" t="s">
        <v>315</v>
      </c>
      <c r="F5" s="143" t="s">
        <v>936</v>
      </c>
      <c r="G5" s="143" t="s">
        <v>204</v>
      </c>
      <c r="H5" s="143" t="s">
        <v>339</v>
      </c>
      <c r="I5" s="143" t="s">
        <v>1209</v>
      </c>
      <c r="J5" s="143" t="s">
        <v>415</v>
      </c>
      <c r="K5" s="143" t="s">
        <v>1213</v>
      </c>
      <c r="L5" s="144">
        <v>3.1100000000000003E-2</v>
      </c>
      <c r="M5" s="143" t="s">
        <v>1214</v>
      </c>
      <c r="N5" s="145" t="s">
        <v>3876</v>
      </c>
      <c r="O5" s="144">
        <v>0.12490000000000001</v>
      </c>
      <c r="P5" s="146">
        <v>6.1944993362709108E-5</v>
      </c>
      <c r="Q5" s="147">
        <v>4.3460543865110024E-6</v>
      </c>
      <c r="R5" s="182"/>
    </row>
    <row r="6" spans="1:18" ht="15" x14ac:dyDescent="0.2">
      <c r="A6" s="142" t="s">
        <v>1205</v>
      </c>
      <c r="B6" s="143" t="s">
        <v>1206</v>
      </c>
      <c r="C6" s="143" t="s">
        <v>1207</v>
      </c>
      <c r="D6" s="143" t="s">
        <v>1208</v>
      </c>
      <c r="E6" s="143" t="s">
        <v>315</v>
      </c>
      <c r="F6" s="143" t="s">
        <v>938</v>
      </c>
      <c r="G6" s="143" t="s">
        <v>204</v>
      </c>
      <c r="H6" s="143" t="s">
        <v>339</v>
      </c>
      <c r="I6" s="143" t="s">
        <v>1209</v>
      </c>
      <c r="J6" s="143" t="s">
        <v>415</v>
      </c>
      <c r="K6" s="143" t="s">
        <v>1210</v>
      </c>
      <c r="L6" s="144">
        <v>254.9974</v>
      </c>
      <c r="M6" s="145" t="s">
        <v>3876</v>
      </c>
      <c r="N6" s="145" t="s">
        <v>3876</v>
      </c>
      <c r="O6" s="144">
        <v>254.9974</v>
      </c>
      <c r="P6" s="146">
        <v>0.12641925745705157</v>
      </c>
      <c r="Q6" s="147">
        <v>8.8695621483662404E-3</v>
      </c>
      <c r="R6" s="182"/>
    </row>
    <row r="7" spans="1:18" ht="15" x14ac:dyDescent="0.2">
      <c r="A7" s="142" t="s">
        <v>1205</v>
      </c>
      <c r="B7" s="143" t="s">
        <v>1215</v>
      </c>
      <c r="C7" s="143" t="s">
        <v>1207</v>
      </c>
      <c r="D7" s="143" t="s">
        <v>1208</v>
      </c>
      <c r="E7" s="143" t="s">
        <v>315</v>
      </c>
      <c r="F7" s="143" t="s">
        <v>934</v>
      </c>
      <c r="G7" s="143" t="s">
        <v>204</v>
      </c>
      <c r="H7" s="143" t="s">
        <v>339</v>
      </c>
      <c r="I7" s="143" t="s">
        <v>1209</v>
      </c>
      <c r="J7" s="143" t="s">
        <v>415</v>
      </c>
      <c r="K7" s="143" t="s">
        <v>1210</v>
      </c>
      <c r="L7" s="144">
        <v>202.09120000000001</v>
      </c>
      <c r="M7" s="145" t="s">
        <v>3876</v>
      </c>
      <c r="N7" s="145" t="s">
        <v>3876</v>
      </c>
      <c r="O7" s="144">
        <v>202.09120000000001</v>
      </c>
      <c r="P7" s="146">
        <v>0.94645088007191436</v>
      </c>
      <c r="Q7" s="147">
        <v>9.5960998984469859E-2</v>
      </c>
      <c r="R7" s="182"/>
    </row>
    <row r="8" spans="1:18" ht="15" x14ac:dyDescent="0.2">
      <c r="A8" s="142" t="s">
        <v>1205</v>
      </c>
      <c r="B8" s="143" t="s">
        <v>1215</v>
      </c>
      <c r="C8" s="143" t="s">
        <v>1207</v>
      </c>
      <c r="D8" s="143" t="s">
        <v>1208</v>
      </c>
      <c r="E8" s="143" t="s">
        <v>315</v>
      </c>
      <c r="F8" s="143" t="s">
        <v>936</v>
      </c>
      <c r="G8" s="143" t="s">
        <v>204</v>
      </c>
      <c r="H8" s="143" t="s">
        <v>339</v>
      </c>
      <c r="I8" s="143" t="s">
        <v>1209</v>
      </c>
      <c r="J8" s="143" t="s">
        <v>415</v>
      </c>
      <c r="K8" s="143" t="s">
        <v>1211</v>
      </c>
      <c r="L8" s="144">
        <v>3.0418000000000003</v>
      </c>
      <c r="M8" s="143" t="s">
        <v>1212</v>
      </c>
      <c r="N8" s="145" t="s">
        <v>3876</v>
      </c>
      <c r="O8" s="144">
        <v>11.434100000000001</v>
      </c>
      <c r="P8" s="146">
        <v>5.3549119928085677E-2</v>
      </c>
      <c r="Q8" s="147">
        <v>5.4293647470092E-3</v>
      </c>
      <c r="R8" s="182"/>
    </row>
    <row r="9" spans="1:18" ht="15" x14ac:dyDescent="0.2">
      <c r="A9" s="142" t="s">
        <v>1205</v>
      </c>
      <c r="B9" s="143" t="s">
        <v>1205</v>
      </c>
      <c r="C9" s="143" t="s">
        <v>1207</v>
      </c>
      <c r="D9" s="143" t="s">
        <v>1208</v>
      </c>
      <c r="E9" s="143" t="s">
        <v>315</v>
      </c>
      <c r="F9" s="143" t="s">
        <v>934</v>
      </c>
      <c r="G9" s="143" t="s">
        <v>204</v>
      </c>
      <c r="H9" s="143" t="s">
        <v>339</v>
      </c>
      <c r="I9" s="143" t="s">
        <v>1209</v>
      </c>
      <c r="J9" s="143" t="s">
        <v>415</v>
      </c>
      <c r="K9" s="143" t="s">
        <v>1210</v>
      </c>
      <c r="L9" s="144">
        <v>20124.7621</v>
      </c>
      <c r="M9" s="145" t="s">
        <v>3876</v>
      </c>
      <c r="N9" s="145" t="s">
        <v>3876</v>
      </c>
      <c r="O9" s="144">
        <v>20124.7621</v>
      </c>
      <c r="P9" s="146">
        <v>0.40071284499429788</v>
      </c>
      <c r="Q9" s="147">
        <v>2.0239931537416534E-2</v>
      </c>
      <c r="R9" s="182"/>
    </row>
    <row r="10" spans="1:18" ht="15" x14ac:dyDescent="0.2">
      <c r="A10" s="142" t="s">
        <v>1205</v>
      </c>
      <c r="B10" s="143" t="s">
        <v>1205</v>
      </c>
      <c r="C10" s="143" t="s">
        <v>1207</v>
      </c>
      <c r="D10" s="143" t="s">
        <v>1208</v>
      </c>
      <c r="E10" s="143" t="s">
        <v>315</v>
      </c>
      <c r="F10" s="143" t="s">
        <v>936</v>
      </c>
      <c r="G10" s="143" t="s">
        <v>204</v>
      </c>
      <c r="H10" s="143" t="s">
        <v>339</v>
      </c>
      <c r="I10" s="143" t="s">
        <v>1209</v>
      </c>
      <c r="J10" s="143" t="s">
        <v>415</v>
      </c>
      <c r="K10" s="143" t="s">
        <v>1211</v>
      </c>
      <c r="L10" s="144">
        <v>4796.1605999999992</v>
      </c>
      <c r="M10" s="143" t="s">
        <v>1212</v>
      </c>
      <c r="N10" s="145" t="s">
        <v>3876</v>
      </c>
      <c r="O10" s="144">
        <v>18028.7677</v>
      </c>
      <c r="P10" s="146">
        <v>0.35897859212671568</v>
      </c>
      <c r="Q10" s="147">
        <v>1.8131942159593836E-2</v>
      </c>
      <c r="R10" s="182"/>
    </row>
    <row r="11" spans="1:18" ht="15" x14ac:dyDescent="0.2">
      <c r="A11" s="142" t="s">
        <v>1205</v>
      </c>
      <c r="B11" s="143" t="s">
        <v>1205</v>
      </c>
      <c r="C11" s="143" t="s">
        <v>1207</v>
      </c>
      <c r="D11" s="143" t="s">
        <v>1208</v>
      </c>
      <c r="E11" s="143" t="s">
        <v>315</v>
      </c>
      <c r="F11" s="143" t="s">
        <v>936</v>
      </c>
      <c r="G11" s="143" t="s">
        <v>204</v>
      </c>
      <c r="H11" s="143" t="s">
        <v>339</v>
      </c>
      <c r="I11" s="143" t="s">
        <v>1209</v>
      </c>
      <c r="J11" s="143" t="s">
        <v>415</v>
      </c>
      <c r="K11" s="143" t="s">
        <v>1213</v>
      </c>
      <c r="L11" s="144">
        <v>76.193600000000004</v>
      </c>
      <c r="M11" s="143" t="s">
        <v>1214</v>
      </c>
      <c r="N11" s="145" t="s">
        <v>3876</v>
      </c>
      <c r="O11" s="144">
        <v>306.3134</v>
      </c>
      <c r="P11" s="146">
        <v>6.0991384225338816E-3</v>
      </c>
      <c r="Q11" s="147">
        <v>3.0806635138204533E-4</v>
      </c>
      <c r="R11" s="182"/>
    </row>
    <row r="12" spans="1:18" ht="15" x14ac:dyDescent="0.2">
      <c r="A12" s="142" t="s">
        <v>1205</v>
      </c>
      <c r="B12" s="143" t="s">
        <v>1205</v>
      </c>
      <c r="C12" s="143" t="s">
        <v>1207</v>
      </c>
      <c r="D12" s="143" t="s">
        <v>1208</v>
      </c>
      <c r="E12" s="143" t="s">
        <v>315</v>
      </c>
      <c r="F12" s="143" t="s">
        <v>936</v>
      </c>
      <c r="G12" s="143" t="s">
        <v>204</v>
      </c>
      <c r="H12" s="143" t="s">
        <v>339</v>
      </c>
      <c r="I12" s="143" t="s">
        <v>1209</v>
      </c>
      <c r="J12" s="143" t="s">
        <v>415</v>
      </c>
      <c r="K12" s="143" t="s">
        <v>1216</v>
      </c>
      <c r="L12" s="144">
        <v>34.603400000000001</v>
      </c>
      <c r="M12" s="143" t="s">
        <v>1217</v>
      </c>
      <c r="N12" s="145" t="s">
        <v>3876</v>
      </c>
      <c r="O12" s="144">
        <v>164.38329999999999</v>
      </c>
      <c r="P12" s="146">
        <v>3.2731071818321946E-3</v>
      </c>
      <c r="Q12" s="147">
        <v>1.6532403715646473E-4</v>
      </c>
      <c r="R12" s="182"/>
    </row>
    <row r="13" spans="1:18" ht="15" x14ac:dyDescent="0.2">
      <c r="A13" s="142" t="s">
        <v>1205</v>
      </c>
      <c r="B13" s="143" t="s">
        <v>1205</v>
      </c>
      <c r="C13" s="143" t="s">
        <v>1207</v>
      </c>
      <c r="D13" s="143" t="s">
        <v>1208</v>
      </c>
      <c r="E13" s="143" t="s">
        <v>315</v>
      </c>
      <c r="F13" s="143" t="s">
        <v>936</v>
      </c>
      <c r="G13" s="143" t="s">
        <v>204</v>
      </c>
      <c r="H13" s="143" t="s">
        <v>339</v>
      </c>
      <c r="I13" s="143" t="s">
        <v>1209</v>
      </c>
      <c r="J13" s="143" t="s">
        <v>415</v>
      </c>
      <c r="K13" s="143" t="s">
        <v>1218</v>
      </c>
      <c r="L13" s="144">
        <v>0</v>
      </c>
      <c r="M13" s="143" t="s">
        <v>1219</v>
      </c>
      <c r="N13" s="145" t="s">
        <v>3876</v>
      </c>
      <c r="O13" s="144">
        <v>0</v>
      </c>
      <c r="P13" s="146">
        <v>9.3022230832903685E-12</v>
      </c>
      <c r="Q13" s="147">
        <v>4.6985356397609855E-13</v>
      </c>
      <c r="R13" s="182"/>
    </row>
    <row r="14" spans="1:18" ht="15" x14ac:dyDescent="0.2">
      <c r="A14" s="142" t="s">
        <v>1205</v>
      </c>
      <c r="B14" s="143" t="s">
        <v>1205</v>
      </c>
      <c r="C14" s="143" t="s">
        <v>1207</v>
      </c>
      <c r="D14" s="143" t="s">
        <v>1208</v>
      </c>
      <c r="E14" s="143" t="s">
        <v>315</v>
      </c>
      <c r="F14" s="143" t="s">
        <v>938</v>
      </c>
      <c r="G14" s="143" t="s">
        <v>204</v>
      </c>
      <c r="H14" s="143" t="s">
        <v>339</v>
      </c>
      <c r="I14" s="143" t="s">
        <v>1209</v>
      </c>
      <c r="J14" s="143" t="s">
        <v>415</v>
      </c>
      <c r="K14" s="143" t="s">
        <v>1210</v>
      </c>
      <c r="L14" s="144">
        <v>11598.1769</v>
      </c>
      <c r="M14" s="145" t="s">
        <v>3876</v>
      </c>
      <c r="N14" s="145" t="s">
        <v>3876</v>
      </c>
      <c r="O14" s="144">
        <v>11598.1769</v>
      </c>
      <c r="P14" s="146">
        <v>0.23093631726531816</v>
      </c>
      <c r="Q14" s="147">
        <v>1.1664550586142693E-2</v>
      </c>
      <c r="R14" s="182"/>
    </row>
    <row r="15" spans="1:18" ht="15" x14ac:dyDescent="0.2">
      <c r="A15" s="142" t="s">
        <v>1220</v>
      </c>
      <c r="B15" s="143" t="s">
        <v>1221</v>
      </c>
      <c r="C15" s="143" t="s">
        <v>1207</v>
      </c>
      <c r="D15" s="143" t="s">
        <v>1208</v>
      </c>
      <c r="E15" s="143" t="s">
        <v>315</v>
      </c>
      <c r="F15" s="143" t="s">
        <v>934</v>
      </c>
      <c r="G15" s="143" t="s">
        <v>204</v>
      </c>
      <c r="H15" s="143" t="s">
        <v>339</v>
      </c>
      <c r="I15" s="143" t="s">
        <v>1209</v>
      </c>
      <c r="J15" s="143" t="s">
        <v>415</v>
      </c>
      <c r="K15" s="143" t="s">
        <v>1210</v>
      </c>
      <c r="L15" s="144">
        <v>84567.496599999999</v>
      </c>
      <c r="M15" s="145" t="s">
        <v>3876</v>
      </c>
      <c r="N15" s="145" t="s">
        <v>3876</v>
      </c>
      <c r="O15" s="144">
        <v>84567.496599999999</v>
      </c>
      <c r="P15" s="146">
        <v>0.85249783760000186</v>
      </c>
      <c r="Q15" s="147">
        <v>7.6996703916944215E-2</v>
      </c>
      <c r="R15" s="182"/>
    </row>
    <row r="16" spans="1:18" ht="15" x14ac:dyDescent="0.2">
      <c r="A16" s="142" t="s">
        <v>1220</v>
      </c>
      <c r="B16" s="143" t="s">
        <v>1221</v>
      </c>
      <c r="C16" s="143" t="s">
        <v>1207</v>
      </c>
      <c r="D16" s="143" t="s">
        <v>1208</v>
      </c>
      <c r="E16" s="143" t="s">
        <v>315</v>
      </c>
      <c r="F16" s="143" t="s">
        <v>936</v>
      </c>
      <c r="G16" s="143" t="s">
        <v>204</v>
      </c>
      <c r="H16" s="143" t="s">
        <v>339</v>
      </c>
      <c r="I16" s="143" t="s">
        <v>1209</v>
      </c>
      <c r="J16" s="143" t="s">
        <v>415</v>
      </c>
      <c r="K16" s="143" t="s">
        <v>1211</v>
      </c>
      <c r="L16" s="144">
        <v>1742.8396</v>
      </c>
      <c r="M16" s="143" t="s">
        <v>1212</v>
      </c>
      <c r="N16" s="145" t="s">
        <v>3876</v>
      </c>
      <c r="O16" s="144">
        <v>6551.3342000000002</v>
      </c>
      <c r="P16" s="146">
        <v>6.6041901067666275E-2</v>
      </c>
      <c r="Q16" s="147">
        <v>5.9648347225546216E-3</v>
      </c>
      <c r="R16" s="182"/>
    </row>
    <row r="17" spans="1:18" ht="15" x14ac:dyDescent="0.2">
      <c r="A17" s="142" t="s">
        <v>1220</v>
      </c>
      <c r="B17" s="143" t="s">
        <v>1221</v>
      </c>
      <c r="C17" s="143" t="s">
        <v>1207</v>
      </c>
      <c r="D17" s="143" t="s">
        <v>1208</v>
      </c>
      <c r="E17" s="143" t="s">
        <v>315</v>
      </c>
      <c r="F17" s="143" t="s">
        <v>936</v>
      </c>
      <c r="G17" s="143" t="s">
        <v>204</v>
      </c>
      <c r="H17" s="143" t="s">
        <v>339</v>
      </c>
      <c r="I17" s="143" t="s">
        <v>1209</v>
      </c>
      <c r="J17" s="143" t="s">
        <v>415</v>
      </c>
      <c r="K17" s="143" t="s">
        <v>1213</v>
      </c>
      <c r="L17" s="144">
        <v>25.734000000000002</v>
      </c>
      <c r="M17" s="143" t="s">
        <v>1214</v>
      </c>
      <c r="N17" s="145" t="s">
        <v>3876</v>
      </c>
      <c r="O17" s="144">
        <v>103.4559</v>
      </c>
      <c r="P17" s="146">
        <v>1.0429058528844686E-3</v>
      </c>
      <c r="Q17" s="147">
        <v>9.4194154666549533E-5</v>
      </c>
      <c r="R17" s="182"/>
    </row>
    <row r="18" spans="1:18" ht="15" x14ac:dyDescent="0.2">
      <c r="A18" s="142" t="s">
        <v>1220</v>
      </c>
      <c r="B18" s="143" t="s">
        <v>1221</v>
      </c>
      <c r="C18" s="143" t="s">
        <v>1207</v>
      </c>
      <c r="D18" s="143" t="s">
        <v>1208</v>
      </c>
      <c r="E18" s="143" t="s">
        <v>315</v>
      </c>
      <c r="F18" s="143" t="s">
        <v>938</v>
      </c>
      <c r="G18" s="143" t="s">
        <v>204</v>
      </c>
      <c r="H18" s="143" t="s">
        <v>339</v>
      </c>
      <c r="I18" s="143" t="s">
        <v>1209</v>
      </c>
      <c r="J18" s="143" t="s">
        <v>415</v>
      </c>
      <c r="K18" s="143" t="s">
        <v>1210</v>
      </c>
      <c r="L18" s="144">
        <v>7977.3744000000006</v>
      </c>
      <c r="M18" s="145" t="s">
        <v>3876</v>
      </c>
      <c r="N18" s="145" t="s">
        <v>3876</v>
      </c>
      <c r="O18" s="144">
        <v>7977.3744000000006</v>
      </c>
      <c r="P18" s="146">
        <v>8.0417355479447408E-2</v>
      </c>
      <c r="Q18" s="147">
        <v>7.2632105754852766E-3</v>
      </c>
      <c r="R18" s="182"/>
    </row>
    <row r="19" spans="1:18" ht="15" x14ac:dyDescent="0.2">
      <c r="A19" s="142" t="s">
        <v>1220</v>
      </c>
      <c r="B19" s="143" t="s">
        <v>1222</v>
      </c>
      <c r="C19" s="143" t="s">
        <v>1207</v>
      </c>
      <c r="D19" s="143" t="s">
        <v>1208</v>
      </c>
      <c r="E19" s="143" t="s">
        <v>315</v>
      </c>
      <c r="F19" s="143" t="s">
        <v>934</v>
      </c>
      <c r="G19" s="143" t="s">
        <v>204</v>
      </c>
      <c r="H19" s="143" t="s">
        <v>339</v>
      </c>
      <c r="I19" s="143" t="s">
        <v>1209</v>
      </c>
      <c r="J19" s="143" t="s">
        <v>415</v>
      </c>
      <c r="K19" s="143" t="s">
        <v>1210</v>
      </c>
      <c r="L19" s="144">
        <v>594.67090000000007</v>
      </c>
      <c r="M19" s="145" t="s">
        <v>3876</v>
      </c>
      <c r="N19" s="145" t="s">
        <v>3876</v>
      </c>
      <c r="O19" s="144">
        <v>594.67090000000007</v>
      </c>
      <c r="P19" s="146">
        <v>0.99999804044940399</v>
      </c>
      <c r="Q19" s="147">
        <v>4.896911961278845E-2</v>
      </c>
      <c r="R19" s="182"/>
    </row>
    <row r="20" spans="1:18" ht="15" x14ac:dyDescent="0.2">
      <c r="A20" s="142" t="s">
        <v>1220</v>
      </c>
      <c r="B20" s="143" t="s">
        <v>1222</v>
      </c>
      <c r="C20" s="143" t="s">
        <v>1207</v>
      </c>
      <c r="D20" s="143" t="s">
        <v>1208</v>
      </c>
      <c r="E20" s="143" t="s">
        <v>315</v>
      </c>
      <c r="F20" s="143" t="s">
        <v>936</v>
      </c>
      <c r="G20" s="143" t="s">
        <v>204</v>
      </c>
      <c r="H20" s="143" t="s">
        <v>339</v>
      </c>
      <c r="I20" s="143" t="s">
        <v>1209</v>
      </c>
      <c r="J20" s="143" t="s">
        <v>415</v>
      </c>
      <c r="K20" s="143" t="s">
        <v>1211</v>
      </c>
      <c r="L20" s="144">
        <v>2.9999999999999997E-4</v>
      </c>
      <c r="M20" s="143" t="s">
        <v>1212</v>
      </c>
      <c r="N20" s="145" t="s">
        <v>3876</v>
      </c>
      <c r="O20" s="144">
        <v>1.1999999999999999E-3</v>
      </c>
      <c r="P20" s="146">
        <v>1.9595505960612602E-6</v>
      </c>
      <c r="Q20" s="147">
        <v>9.5957655559715888E-8</v>
      </c>
      <c r="R20" s="182"/>
    </row>
    <row r="21" spans="1:18" ht="15" x14ac:dyDescent="0.2">
      <c r="A21" s="142" t="s">
        <v>1220</v>
      </c>
      <c r="B21" s="143" t="s">
        <v>1220</v>
      </c>
      <c r="C21" s="143" t="s">
        <v>1207</v>
      </c>
      <c r="D21" s="143" t="s">
        <v>1208</v>
      </c>
      <c r="E21" s="143" t="s">
        <v>315</v>
      </c>
      <c r="F21" s="143" t="s">
        <v>940</v>
      </c>
      <c r="G21" s="143" t="s">
        <v>204</v>
      </c>
      <c r="H21" s="143" t="s">
        <v>339</v>
      </c>
      <c r="I21" s="143" t="s">
        <v>1224</v>
      </c>
      <c r="J21" s="143" t="s">
        <v>413</v>
      </c>
      <c r="K21" s="143" t="s">
        <v>1210</v>
      </c>
      <c r="L21" s="144">
        <v>2314.0945000000002</v>
      </c>
      <c r="M21" s="145" t="s">
        <v>3876</v>
      </c>
      <c r="N21" s="145" t="s">
        <v>3876</v>
      </c>
      <c r="O21" s="144">
        <v>2314.0945000000002</v>
      </c>
      <c r="P21" s="146">
        <v>1.6064356130966104E-3</v>
      </c>
      <c r="Q21" s="147">
        <v>1.0254694174772684E-4</v>
      </c>
      <c r="R21" s="182"/>
    </row>
    <row r="22" spans="1:18" ht="15" x14ac:dyDescent="0.2">
      <c r="A22" s="142" t="s">
        <v>1220</v>
      </c>
      <c r="B22" s="143" t="s">
        <v>1220</v>
      </c>
      <c r="C22" s="143" t="s">
        <v>1207</v>
      </c>
      <c r="D22" s="143" t="s">
        <v>1208</v>
      </c>
      <c r="E22" s="143" t="s">
        <v>315</v>
      </c>
      <c r="F22" s="143" t="s">
        <v>940</v>
      </c>
      <c r="G22" s="143" t="s">
        <v>204</v>
      </c>
      <c r="H22" s="143" t="s">
        <v>339</v>
      </c>
      <c r="I22" s="143" t="s">
        <v>1224</v>
      </c>
      <c r="J22" s="143" t="s">
        <v>413</v>
      </c>
      <c r="K22" s="143" t="s">
        <v>1210</v>
      </c>
      <c r="L22" s="144">
        <v>1326.1786999999999</v>
      </c>
      <c r="M22" s="145" t="s">
        <v>3876</v>
      </c>
      <c r="N22" s="145" t="s">
        <v>3876</v>
      </c>
      <c r="O22" s="144">
        <v>1326.1786999999999</v>
      </c>
      <c r="P22" s="146">
        <v>9.2062822668028202E-4</v>
      </c>
      <c r="Q22" s="147">
        <v>5.8768374134032793E-5</v>
      </c>
      <c r="R22" s="182"/>
    </row>
    <row r="23" spans="1:18" ht="15" x14ac:dyDescent="0.2">
      <c r="A23" s="142" t="s">
        <v>1220</v>
      </c>
      <c r="B23" s="143" t="s">
        <v>1220</v>
      </c>
      <c r="C23" s="143" t="s">
        <v>1207</v>
      </c>
      <c r="D23" s="143" t="s">
        <v>1208</v>
      </c>
      <c r="E23" s="143" t="s">
        <v>315</v>
      </c>
      <c r="F23" s="143" t="s">
        <v>934</v>
      </c>
      <c r="G23" s="143" t="s">
        <v>204</v>
      </c>
      <c r="H23" s="143" t="s">
        <v>339</v>
      </c>
      <c r="I23" s="143" t="s">
        <v>1209</v>
      </c>
      <c r="J23" s="143" t="s">
        <v>415</v>
      </c>
      <c r="K23" s="143" t="s">
        <v>1210</v>
      </c>
      <c r="L23" s="144">
        <v>919497.7648</v>
      </c>
      <c r="M23" s="145" t="s">
        <v>3876</v>
      </c>
      <c r="N23" s="145" t="s">
        <v>3876</v>
      </c>
      <c r="O23" s="144">
        <v>919497.7648</v>
      </c>
      <c r="P23" s="146">
        <v>0.63831186301864695</v>
      </c>
      <c r="Q23" s="147">
        <v>4.0746687200042569E-2</v>
      </c>
      <c r="R23" s="182"/>
    </row>
    <row r="24" spans="1:18" ht="15" x14ac:dyDescent="0.2">
      <c r="A24" s="142" t="s">
        <v>1220</v>
      </c>
      <c r="B24" s="143" t="s">
        <v>1220</v>
      </c>
      <c r="C24" s="143" t="s">
        <v>1207</v>
      </c>
      <c r="D24" s="143" t="s">
        <v>1208</v>
      </c>
      <c r="E24" s="143" t="s">
        <v>315</v>
      </c>
      <c r="F24" s="143" t="s">
        <v>936</v>
      </c>
      <c r="G24" s="143" t="s">
        <v>204</v>
      </c>
      <c r="H24" s="143" t="s">
        <v>339</v>
      </c>
      <c r="I24" s="143" t="s">
        <v>1209</v>
      </c>
      <c r="J24" s="143" t="s">
        <v>415</v>
      </c>
      <c r="K24" s="143" t="s">
        <v>1211</v>
      </c>
      <c r="L24" s="144">
        <v>99168.433000000005</v>
      </c>
      <c r="M24" s="143" t="s">
        <v>1212</v>
      </c>
      <c r="N24" s="145" t="s">
        <v>3876</v>
      </c>
      <c r="O24" s="144">
        <v>372774.1398</v>
      </c>
      <c r="P24" s="146">
        <v>0.25877839484987902</v>
      </c>
      <c r="Q24" s="147">
        <v>1.6519138872355718E-2</v>
      </c>
      <c r="R24" s="182"/>
    </row>
    <row r="25" spans="1:18" ht="15" x14ac:dyDescent="0.2">
      <c r="A25" s="142" t="s">
        <v>1220</v>
      </c>
      <c r="B25" s="143" t="s">
        <v>1220</v>
      </c>
      <c r="C25" s="143" t="s">
        <v>1207</v>
      </c>
      <c r="D25" s="143" t="s">
        <v>1208</v>
      </c>
      <c r="E25" s="143" t="s">
        <v>315</v>
      </c>
      <c r="F25" s="143" t="s">
        <v>936</v>
      </c>
      <c r="G25" s="143" t="s">
        <v>204</v>
      </c>
      <c r="H25" s="143" t="s">
        <v>339</v>
      </c>
      <c r="I25" s="143" t="s">
        <v>1209</v>
      </c>
      <c r="J25" s="143" t="s">
        <v>415</v>
      </c>
      <c r="K25" s="143" t="s">
        <v>1213</v>
      </c>
      <c r="L25" s="144">
        <v>3571.8262</v>
      </c>
      <c r="M25" s="143" t="s">
        <v>1214</v>
      </c>
      <c r="N25" s="145" t="s">
        <v>3876</v>
      </c>
      <c r="O25" s="144">
        <v>14359.455599999999</v>
      </c>
      <c r="P25" s="146">
        <v>9.9682796831635414E-3</v>
      </c>
      <c r="Q25" s="147">
        <v>6.3632590541488768E-4</v>
      </c>
      <c r="R25" s="182"/>
    </row>
    <row r="26" spans="1:18" ht="15" x14ac:dyDescent="0.2">
      <c r="A26" s="142" t="s">
        <v>1220</v>
      </c>
      <c r="B26" s="143" t="s">
        <v>1220</v>
      </c>
      <c r="C26" s="143" t="s">
        <v>1207</v>
      </c>
      <c r="D26" s="143" t="s">
        <v>1208</v>
      </c>
      <c r="E26" s="143" t="s">
        <v>315</v>
      </c>
      <c r="F26" s="143" t="s">
        <v>936</v>
      </c>
      <c r="G26" s="143" t="s">
        <v>204</v>
      </c>
      <c r="H26" s="143" t="s">
        <v>339</v>
      </c>
      <c r="I26" s="143" t="s">
        <v>1209</v>
      </c>
      <c r="J26" s="143" t="s">
        <v>415</v>
      </c>
      <c r="K26" s="143" t="s">
        <v>1216</v>
      </c>
      <c r="L26" s="144">
        <v>2308.5509999999999</v>
      </c>
      <c r="M26" s="143" t="s">
        <v>1217</v>
      </c>
      <c r="N26" s="145" t="s">
        <v>3876</v>
      </c>
      <c r="O26" s="144">
        <v>10966.7716</v>
      </c>
      <c r="P26" s="146">
        <v>7.613091290264066E-3</v>
      </c>
      <c r="Q26" s="147">
        <v>4.8598227199279909E-4</v>
      </c>
      <c r="R26" s="182"/>
    </row>
    <row r="27" spans="1:18" ht="15" x14ac:dyDescent="0.2">
      <c r="A27" s="148" t="s">
        <v>1220</v>
      </c>
      <c r="B27" s="149" t="s">
        <v>1220</v>
      </c>
      <c r="C27" s="149" t="s">
        <v>1207</v>
      </c>
      <c r="D27" s="149" t="s">
        <v>1208</v>
      </c>
      <c r="E27" s="149" t="s">
        <v>315</v>
      </c>
      <c r="F27" s="149" t="s">
        <v>938</v>
      </c>
      <c r="G27" s="149" t="s">
        <v>204</v>
      </c>
      <c r="H27" s="149" t="s">
        <v>339</v>
      </c>
      <c r="I27" s="149" t="s">
        <v>1209</v>
      </c>
      <c r="J27" s="149" t="s">
        <v>415</v>
      </c>
      <c r="K27" s="149" t="s">
        <v>1210</v>
      </c>
      <c r="L27" s="150">
        <v>119276.51890000001</v>
      </c>
      <c r="M27" s="151" t="s">
        <v>3876</v>
      </c>
      <c r="N27" s="151" t="s">
        <v>3876</v>
      </c>
      <c r="O27" s="150">
        <v>119276.51890000001</v>
      </c>
      <c r="P27" s="152">
        <v>8.2801307318269513E-2</v>
      </c>
      <c r="Q27" s="153">
        <v>5.2856278639357868E-3</v>
      </c>
      <c r="R27" s="182"/>
    </row>
    <row r="28" spans="1:18" x14ac:dyDescent="0.2">
      <c r="A28" s="181" t="s">
        <v>3893</v>
      </c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</row>
    <row r="29" spans="1:18" x14ac:dyDescent="0.2">
      <c r="A29" s="2" t="s">
        <v>3892</v>
      </c>
    </row>
    <row r="30" spans="1:18" x14ac:dyDescent="0.2">
      <c r="A30" s="176"/>
    </row>
  </sheetData>
  <sheetProtection formatColumns="0"/>
  <customSheetViews>
    <customSheetView guid="{AE318230-F718-49FC-82EB-7CAC3DCD05F1}" showGridLines="0">
      <selection activeCell="K3" sqref="K3"/>
      <pageMargins left="0" right="0" top="0" bottom="0" header="0" footer="0"/>
      <pageSetup paperSize="9" orientation="portrait" verticalDpi="0" r:id="rId1"/>
    </customSheetView>
  </customSheetViews>
  <mergeCells count="2">
    <mergeCell ref="A28:Q28"/>
    <mergeCell ref="R2:R27"/>
  </mergeCells>
  <dataValidations count="4">
    <dataValidation type="list" allowBlank="1" showInputMessage="1" showErrorMessage="1" sqref="G3:G21">
      <formula1>israel_abroad</formula1>
    </dataValidation>
    <dataValidation type="list" allowBlank="1" showInputMessage="1" showErrorMessage="1" sqref="H3:H21">
      <formula1>Holding_interest</formula1>
    </dataValidation>
    <dataValidation type="list" allowBlank="1" showInputMessage="1" showErrorMessage="1" sqref="J3:J22">
      <formula1>Rating_Agency</formula1>
    </dataValidation>
    <dataValidation type="list" allowBlank="1" showInputMessage="1" showErrorMessage="1" sqref="E3:E21">
      <formula1>Issuer_Number_Banks</formula1>
    </dataValidation>
  </dataValidations>
  <pageMargins left="0.7" right="0.7" top="0.75" bottom="0.75" header="0.3" footer="0.3"/>
  <pageSetup paperSize="9"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בחירה'!$C$853:$C$861</xm:f>
          </x14:formula1>
          <xm:sqref>F3:F22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A138"/>
  <sheetViews>
    <sheetView rightToLeft="1" topLeftCell="G1" workbookViewId="0"/>
  </sheetViews>
  <sheetFormatPr defaultColWidth="9" defaultRowHeight="14.25" x14ac:dyDescent="0.2"/>
  <cols>
    <col min="1" max="1" width="29.375" style="4" customWidth="1"/>
    <col min="2" max="2" width="11.125" style="4" customWidth="1"/>
    <col min="3" max="3" width="17.5" style="4" bestFit="1" customWidth="1"/>
    <col min="4" max="4" width="20.375" style="4" bestFit="1" customWidth="1"/>
    <col min="5" max="5" width="14.25" style="4" bestFit="1" customWidth="1"/>
    <col min="6" max="6" width="32.5" style="4" bestFit="1" customWidth="1"/>
    <col min="7" max="7" width="10.625" style="4" customWidth="1"/>
    <col min="8" max="8" width="19.875" style="4" customWidth="1"/>
    <col min="9" max="9" width="10.25" style="4" customWidth="1"/>
    <col min="10" max="10" width="6.25" style="4" customWidth="1"/>
    <col min="11" max="11" width="9.75" style="4" bestFit="1" customWidth="1"/>
    <col min="12" max="12" width="11.75" style="4" customWidth="1"/>
    <col min="13" max="13" width="6.5" style="4" customWidth="1"/>
    <col min="14" max="14" width="9.875" style="4" bestFit="1" customWidth="1"/>
    <col min="15" max="15" width="11.125" style="4" customWidth="1"/>
    <col min="16" max="16" width="12.25" style="4" customWidth="1"/>
    <col min="17" max="17" width="22.25" style="4" customWidth="1"/>
    <col min="18" max="18" width="14.875" style="4" customWidth="1"/>
    <col min="19" max="19" width="10.5" style="4" customWidth="1"/>
    <col min="20" max="20" width="12.875" style="4" customWidth="1"/>
    <col min="21" max="21" width="17.875" style="4" customWidth="1"/>
    <col min="22" max="22" width="21.375" style="4" customWidth="1"/>
    <col min="23" max="23" width="22" style="4" customWidth="1"/>
    <col min="24" max="24" width="19" style="4" customWidth="1"/>
    <col min="25" max="25" width="21.75" style="4" customWidth="1"/>
    <col min="26" max="26" width="20.125" style="4" customWidth="1"/>
    <col min="27" max="30" width="11.625" style="4" customWidth="1"/>
    <col min="31" max="16384" width="9" style="4"/>
  </cols>
  <sheetData>
    <row r="1" spans="1:27" x14ac:dyDescent="0.2">
      <c r="A1" s="4" t="s">
        <v>3898</v>
      </c>
    </row>
    <row r="2" spans="1:27" ht="66.75" customHeight="1" x14ac:dyDescent="0.2">
      <c r="A2" s="139" t="s">
        <v>49</v>
      </c>
      <c r="B2" s="140" t="s">
        <v>50</v>
      </c>
      <c r="C2" s="140" t="s">
        <v>66</v>
      </c>
      <c r="D2" s="140" t="s">
        <v>67</v>
      </c>
      <c r="E2" s="140" t="s">
        <v>68</v>
      </c>
      <c r="F2" s="140" t="s">
        <v>54</v>
      </c>
      <c r="G2" s="140" t="s">
        <v>55</v>
      </c>
      <c r="H2" s="140" t="s">
        <v>69</v>
      </c>
      <c r="I2" s="140" t="s">
        <v>70</v>
      </c>
      <c r="J2" s="140" t="s">
        <v>71</v>
      </c>
      <c r="K2" s="140" t="s">
        <v>58</v>
      </c>
      <c r="L2" s="140" t="s">
        <v>59</v>
      </c>
      <c r="M2" s="140" t="s">
        <v>72</v>
      </c>
      <c r="N2" s="140" t="s">
        <v>73</v>
      </c>
      <c r="O2" s="140" t="s">
        <v>62</v>
      </c>
      <c r="P2" s="140" t="s">
        <v>74</v>
      </c>
      <c r="Q2" s="140" t="s">
        <v>75</v>
      </c>
      <c r="R2" s="140" t="s">
        <v>76</v>
      </c>
      <c r="S2" s="140" t="s">
        <v>61</v>
      </c>
      <c r="T2" s="140" t="s">
        <v>77</v>
      </c>
      <c r="U2" s="140" t="s">
        <v>63</v>
      </c>
      <c r="V2" s="140" t="s">
        <v>78</v>
      </c>
      <c r="W2" s="140" t="s">
        <v>17</v>
      </c>
      <c r="X2" s="140" t="s">
        <v>79</v>
      </c>
      <c r="Y2" s="140" t="s">
        <v>64</v>
      </c>
      <c r="Z2" s="141" t="s">
        <v>65</v>
      </c>
      <c r="AA2" s="183" t="s">
        <v>3894</v>
      </c>
    </row>
    <row r="3" spans="1:27" ht="15" x14ac:dyDescent="0.2">
      <c r="A3" s="142" t="s">
        <v>1205</v>
      </c>
      <c r="B3" s="143" t="s">
        <v>1206</v>
      </c>
      <c r="C3" s="143" t="s">
        <v>1225</v>
      </c>
      <c r="D3" s="143" t="s">
        <v>1226</v>
      </c>
      <c r="E3" s="143" t="s">
        <v>1227</v>
      </c>
      <c r="F3" s="143" t="s">
        <v>943</v>
      </c>
      <c r="G3" s="143" t="s">
        <v>204</v>
      </c>
      <c r="H3" s="143" t="s">
        <v>204</v>
      </c>
      <c r="I3" s="143" t="s">
        <v>340</v>
      </c>
      <c r="J3" s="143" t="s">
        <v>1228</v>
      </c>
      <c r="K3" s="143" t="s">
        <v>312</v>
      </c>
      <c r="L3" s="143" t="s">
        <v>1210</v>
      </c>
      <c r="M3" s="144">
        <v>7.39</v>
      </c>
      <c r="N3" s="143" t="s">
        <v>1229</v>
      </c>
      <c r="O3" s="146">
        <v>1E-3</v>
      </c>
      <c r="P3" s="146">
        <v>2.1850000000000001E-2</v>
      </c>
      <c r="Q3" s="145" t="s">
        <v>3876</v>
      </c>
      <c r="R3" s="144">
        <v>808006</v>
      </c>
      <c r="S3" s="145" t="s">
        <v>3876</v>
      </c>
      <c r="T3" s="143" t="s">
        <v>1230</v>
      </c>
      <c r="U3" s="144">
        <v>789.01790000000005</v>
      </c>
      <c r="V3" s="145" t="s">
        <v>3876</v>
      </c>
      <c r="W3" s="145" t="s">
        <v>3876</v>
      </c>
      <c r="X3" s="146">
        <v>2.6315918035382791E-5</v>
      </c>
      <c r="Y3" s="146">
        <v>0.11593706361351111</v>
      </c>
      <c r="Z3" s="147">
        <v>2.7444373474622953E-2</v>
      </c>
      <c r="AA3" s="183"/>
    </row>
    <row r="4" spans="1:27" ht="15" x14ac:dyDescent="0.2">
      <c r="A4" s="142" t="s">
        <v>1205</v>
      </c>
      <c r="B4" s="143" t="s">
        <v>1206</v>
      </c>
      <c r="C4" s="143" t="s">
        <v>1225</v>
      </c>
      <c r="D4" s="143" t="s">
        <v>1231</v>
      </c>
      <c r="E4" s="143" t="s">
        <v>1232</v>
      </c>
      <c r="F4" s="143" t="s">
        <v>943</v>
      </c>
      <c r="G4" s="143" t="s">
        <v>204</v>
      </c>
      <c r="H4" s="143" t="s">
        <v>204</v>
      </c>
      <c r="I4" s="143" t="s">
        <v>340</v>
      </c>
      <c r="J4" s="143" t="s">
        <v>1228</v>
      </c>
      <c r="K4" s="143" t="s">
        <v>312</v>
      </c>
      <c r="L4" s="143" t="s">
        <v>1210</v>
      </c>
      <c r="M4" s="144">
        <v>1.32</v>
      </c>
      <c r="N4" s="143" t="s">
        <v>1233</v>
      </c>
      <c r="O4" s="146">
        <v>7.5209999999999999E-3</v>
      </c>
      <c r="P4" s="146">
        <v>1.5337999999999999E-2</v>
      </c>
      <c r="Q4" s="145" t="s">
        <v>3876</v>
      </c>
      <c r="R4" s="144">
        <v>532908</v>
      </c>
      <c r="S4" s="145" t="s">
        <v>3876</v>
      </c>
      <c r="T4" s="143" t="s">
        <v>1234</v>
      </c>
      <c r="U4" s="144">
        <v>604.79730000000006</v>
      </c>
      <c r="V4" s="145" t="s">
        <v>3876</v>
      </c>
      <c r="W4" s="145" t="s">
        <v>3876</v>
      </c>
      <c r="X4" s="146">
        <v>2.4554885631372318E-5</v>
      </c>
      <c r="Y4" s="146">
        <v>8.8867978071025491E-2</v>
      </c>
      <c r="Z4" s="147">
        <v>2.1036637500551614E-2</v>
      </c>
      <c r="AA4" s="183"/>
    </row>
    <row r="5" spans="1:27" ht="15" x14ac:dyDescent="0.2">
      <c r="A5" s="142" t="s">
        <v>1205</v>
      </c>
      <c r="B5" s="143" t="s">
        <v>1206</v>
      </c>
      <c r="C5" s="143" t="s">
        <v>1225</v>
      </c>
      <c r="D5" s="143" t="s">
        <v>1235</v>
      </c>
      <c r="E5" s="143" t="s">
        <v>1236</v>
      </c>
      <c r="F5" s="143" t="s">
        <v>943</v>
      </c>
      <c r="G5" s="143" t="s">
        <v>204</v>
      </c>
      <c r="H5" s="143" t="s">
        <v>204</v>
      </c>
      <c r="I5" s="143" t="s">
        <v>340</v>
      </c>
      <c r="J5" s="143" t="s">
        <v>1228</v>
      </c>
      <c r="K5" s="143" t="s">
        <v>312</v>
      </c>
      <c r="L5" s="143" t="s">
        <v>1210</v>
      </c>
      <c r="M5" s="144">
        <v>2.08</v>
      </c>
      <c r="N5" s="143" t="s">
        <v>1237</v>
      </c>
      <c r="O5" s="146">
        <v>1E-3</v>
      </c>
      <c r="P5" s="146">
        <v>1.6400000000000001E-2</v>
      </c>
      <c r="Q5" s="145" t="s">
        <v>3876</v>
      </c>
      <c r="R5" s="144">
        <v>203834</v>
      </c>
      <c r="S5" s="145" t="s">
        <v>3876</v>
      </c>
      <c r="T5" s="143" t="s">
        <v>1238</v>
      </c>
      <c r="U5" s="144">
        <v>224.6251</v>
      </c>
      <c r="V5" s="145" t="s">
        <v>3876</v>
      </c>
      <c r="W5" s="145" t="s">
        <v>3876</v>
      </c>
      <c r="X5" s="146">
        <v>1.0088512175342552E-5</v>
      </c>
      <c r="Y5" s="146">
        <v>3.3006060003396273E-2</v>
      </c>
      <c r="Z5" s="147">
        <v>7.8131238572567933E-3</v>
      </c>
      <c r="AA5" s="183"/>
    </row>
    <row r="6" spans="1:27" ht="15" x14ac:dyDescent="0.2">
      <c r="A6" s="142" t="s">
        <v>1205</v>
      </c>
      <c r="B6" s="143" t="s">
        <v>1206</v>
      </c>
      <c r="C6" s="143" t="s">
        <v>1225</v>
      </c>
      <c r="D6" s="143" t="s">
        <v>1239</v>
      </c>
      <c r="E6" s="143" t="s">
        <v>1240</v>
      </c>
      <c r="F6" s="143" t="s">
        <v>943</v>
      </c>
      <c r="G6" s="143" t="s">
        <v>204</v>
      </c>
      <c r="H6" s="143" t="s">
        <v>204</v>
      </c>
      <c r="I6" s="143" t="s">
        <v>340</v>
      </c>
      <c r="J6" s="143" t="s">
        <v>1228</v>
      </c>
      <c r="K6" s="143" t="s">
        <v>312</v>
      </c>
      <c r="L6" s="143" t="s">
        <v>1210</v>
      </c>
      <c r="M6" s="144">
        <v>2.89</v>
      </c>
      <c r="N6" s="143" t="s">
        <v>1241</v>
      </c>
      <c r="O6" s="146">
        <v>7.4999999999999997E-3</v>
      </c>
      <c r="P6" s="146">
        <v>1.7389999999999999E-2</v>
      </c>
      <c r="Q6" s="145" t="s">
        <v>3876</v>
      </c>
      <c r="R6" s="144">
        <v>102177</v>
      </c>
      <c r="S6" s="145" t="s">
        <v>3876</v>
      </c>
      <c r="T6" s="143" t="s">
        <v>1242</v>
      </c>
      <c r="U6" s="144">
        <v>114.0908</v>
      </c>
      <c r="V6" s="145" t="s">
        <v>3876</v>
      </c>
      <c r="W6" s="145" t="s">
        <v>3876</v>
      </c>
      <c r="X6" s="146">
        <v>4.5838514933755206E-6</v>
      </c>
      <c r="Y6" s="146">
        <v>1.6764331269860652E-2</v>
      </c>
      <c r="Z6" s="147">
        <v>3.9684166053756955E-3</v>
      </c>
      <c r="AA6" s="183"/>
    </row>
    <row r="7" spans="1:27" ht="15" x14ac:dyDescent="0.2">
      <c r="A7" s="142" t="s">
        <v>1205</v>
      </c>
      <c r="B7" s="143" t="s">
        <v>1206</v>
      </c>
      <c r="C7" s="143" t="s">
        <v>1225</v>
      </c>
      <c r="D7" s="143" t="s">
        <v>1243</v>
      </c>
      <c r="E7" s="143" t="s">
        <v>1244</v>
      </c>
      <c r="F7" s="143" t="s">
        <v>943</v>
      </c>
      <c r="G7" s="143" t="s">
        <v>204</v>
      </c>
      <c r="H7" s="143" t="s">
        <v>204</v>
      </c>
      <c r="I7" s="143" t="s">
        <v>340</v>
      </c>
      <c r="J7" s="143" t="s">
        <v>1228</v>
      </c>
      <c r="K7" s="143" t="s">
        <v>312</v>
      </c>
      <c r="L7" s="143" t="s">
        <v>1210</v>
      </c>
      <c r="M7" s="144">
        <v>4.22</v>
      </c>
      <c r="N7" s="143" t="s">
        <v>1245</v>
      </c>
      <c r="O7" s="146">
        <v>1.0999999999999999E-2</v>
      </c>
      <c r="P7" s="146">
        <v>1.9415999999999999E-2</v>
      </c>
      <c r="Q7" s="145" t="s">
        <v>3876</v>
      </c>
      <c r="R7" s="144">
        <v>51820</v>
      </c>
      <c r="S7" s="145" t="s">
        <v>3876</v>
      </c>
      <c r="T7" s="143" t="s">
        <v>1246</v>
      </c>
      <c r="U7" s="144">
        <v>51.809599999999996</v>
      </c>
      <c r="V7" s="145" t="s">
        <v>3876</v>
      </c>
      <c r="W7" s="145" t="s">
        <v>3876</v>
      </c>
      <c r="X7" s="146">
        <v>3.2955741431364136E-6</v>
      </c>
      <c r="Y7" s="146">
        <v>7.6128277658222884E-3</v>
      </c>
      <c r="Z7" s="147">
        <v>1.8020922894829816E-3</v>
      </c>
      <c r="AA7" s="183"/>
    </row>
    <row r="8" spans="1:27" ht="15" x14ac:dyDescent="0.2">
      <c r="A8" s="142" t="s">
        <v>1205</v>
      </c>
      <c r="B8" s="143" t="s">
        <v>1206</v>
      </c>
      <c r="C8" s="143" t="s">
        <v>1225</v>
      </c>
      <c r="D8" s="143" t="s">
        <v>1247</v>
      </c>
      <c r="E8" s="143" t="s">
        <v>1248</v>
      </c>
      <c r="F8" s="143" t="s">
        <v>943</v>
      </c>
      <c r="G8" s="143" t="s">
        <v>204</v>
      </c>
      <c r="H8" s="143" t="s">
        <v>204</v>
      </c>
      <c r="I8" s="143" t="s">
        <v>340</v>
      </c>
      <c r="J8" s="143" t="s">
        <v>1228</v>
      </c>
      <c r="K8" s="143" t="s">
        <v>312</v>
      </c>
      <c r="L8" s="143" t="s">
        <v>1210</v>
      </c>
      <c r="M8" s="144">
        <v>4.8600000000000003</v>
      </c>
      <c r="N8" s="143" t="s">
        <v>1249</v>
      </c>
      <c r="O8" s="146">
        <v>5.0000000000000001E-3</v>
      </c>
      <c r="P8" s="146">
        <v>1.9880999999999999E-2</v>
      </c>
      <c r="Q8" s="145" t="s">
        <v>3876</v>
      </c>
      <c r="R8" s="144">
        <v>24674</v>
      </c>
      <c r="S8" s="145" t="s">
        <v>3876</v>
      </c>
      <c r="T8" s="143" t="s">
        <v>1250</v>
      </c>
      <c r="U8" s="144">
        <v>26.1174</v>
      </c>
      <c r="V8" s="145" t="s">
        <v>3876</v>
      </c>
      <c r="W8" s="145" t="s">
        <v>3876</v>
      </c>
      <c r="X8" s="146">
        <v>1.0250032625919485E-6</v>
      </c>
      <c r="Y8" s="146">
        <v>3.8376546143480384E-3</v>
      </c>
      <c r="Z8" s="147">
        <v>9.0844138380009507E-4</v>
      </c>
      <c r="AA8" s="183"/>
    </row>
    <row r="9" spans="1:27" ht="15" x14ac:dyDescent="0.2">
      <c r="A9" s="142" t="s">
        <v>1205</v>
      </c>
      <c r="B9" s="143" t="s">
        <v>1206</v>
      </c>
      <c r="C9" s="143" t="s">
        <v>1225</v>
      </c>
      <c r="D9" s="143" t="s">
        <v>1251</v>
      </c>
      <c r="E9" s="143" t="s">
        <v>1252</v>
      </c>
      <c r="F9" s="143" t="s">
        <v>943</v>
      </c>
      <c r="G9" s="143" t="s">
        <v>204</v>
      </c>
      <c r="H9" s="143" t="s">
        <v>204</v>
      </c>
      <c r="I9" s="143" t="s">
        <v>340</v>
      </c>
      <c r="J9" s="143" t="s">
        <v>1228</v>
      </c>
      <c r="K9" s="143" t="s">
        <v>312</v>
      </c>
      <c r="L9" s="143" t="s">
        <v>1210</v>
      </c>
      <c r="M9" s="144">
        <v>9.8800000000000008</v>
      </c>
      <c r="N9" s="143" t="s">
        <v>1253</v>
      </c>
      <c r="O9" s="146">
        <v>4.011E-2</v>
      </c>
      <c r="P9" s="146">
        <v>2.3077E-2</v>
      </c>
      <c r="Q9" s="145" t="s">
        <v>3876</v>
      </c>
      <c r="R9" s="144">
        <v>15862</v>
      </c>
      <c r="S9" s="145" t="s">
        <v>3876</v>
      </c>
      <c r="T9" s="143" t="s">
        <v>1254</v>
      </c>
      <c r="U9" s="144">
        <v>25.2333</v>
      </c>
      <c r="V9" s="145" t="s">
        <v>3876</v>
      </c>
      <c r="W9" s="145" t="s">
        <v>3876</v>
      </c>
      <c r="X9" s="146">
        <v>9.9558739248180256E-7</v>
      </c>
      <c r="Y9" s="146">
        <v>3.7077375998812168E-3</v>
      </c>
      <c r="Z9" s="147">
        <v>8.7768770629087836E-4</v>
      </c>
      <c r="AA9" s="183"/>
    </row>
    <row r="10" spans="1:27" ht="15" x14ac:dyDescent="0.2">
      <c r="A10" s="142" t="s">
        <v>1205</v>
      </c>
      <c r="B10" s="143" t="s">
        <v>1206</v>
      </c>
      <c r="C10" s="143" t="s">
        <v>1225</v>
      </c>
      <c r="D10" s="143" t="s">
        <v>1255</v>
      </c>
      <c r="E10" s="143" t="s">
        <v>1256</v>
      </c>
      <c r="F10" s="143" t="s">
        <v>945</v>
      </c>
      <c r="G10" s="143" t="s">
        <v>204</v>
      </c>
      <c r="H10" s="143" t="s">
        <v>204</v>
      </c>
      <c r="I10" s="143" t="s">
        <v>340</v>
      </c>
      <c r="J10" s="143" t="s">
        <v>1228</v>
      </c>
      <c r="K10" s="143" t="s">
        <v>312</v>
      </c>
      <c r="L10" s="143" t="s">
        <v>1210</v>
      </c>
      <c r="M10" s="144">
        <v>11.5</v>
      </c>
      <c r="N10" s="143" t="s">
        <v>1257</v>
      </c>
      <c r="O10" s="146">
        <v>1.5041000000000001E-2</v>
      </c>
      <c r="P10" s="146">
        <v>5.2136000000000002E-2</v>
      </c>
      <c r="Q10" s="145" t="s">
        <v>3876</v>
      </c>
      <c r="R10" s="144">
        <v>1464473</v>
      </c>
      <c r="S10" s="145" t="s">
        <v>3876</v>
      </c>
      <c r="T10" s="143" t="s">
        <v>1258</v>
      </c>
      <c r="U10" s="144">
        <v>964.06259999999997</v>
      </c>
      <c r="V10" s="145" t="s">
        <v>3876</v>
      </c>
      <c r="W10" s="145" t="s">
        <v>3876</v>
      </c>
      <c r="X10" s="146">
        <v>4.5652708131478608E-5</v>
      </c>
      <c r="Y10" s="146">
        <v>0.14165786352565143</v>
      </c>
      <c r="Z10" s="147">
        <v>3.3532946160990049E-2</v>
      </c>
      <c r="AA10" s="183"/>
    </row>
    <row r="11" spans="1:27" ht="15" x14ac:dyDescent="0.2">
      <c r="A11" s="142" t="s">
        <v>1205</v>
      </c>
      <c r="B11" s="143" t="s">
        <v>1206</v>
      </c>
      <c r="C11" s="143" t="s">
        <v>1225</v>
      </c>
      <c r="D11" s="143" t="s">
        <v>1259</v>
      </c>
      <c r="E11" s="143" t="s">
        <v>1260</v>
      </c>
      <c r="F11" s="143" t="s">
        <v>945</v>
      </c>
      <c r="G11" s="143" t="s">
        <v>204</v>
      </c>
      <c r="H11" s="143" t="s">
        <v>204</v>
      </c>
      <c r="I11" s="143" t="s">
        <v>340</v>
      </c>
      <c r="J11" s="143" t="s">
        <v>1228</v>
      </c>
      <c r="K11" s="143" t="s">
        <v>312</v>
      </c>
      <c r="L11" s="143" t="s">
        <v>1210</v>
      </c>
      <c r="M11" s="144">
        <v>7.42</v>
      </c>
      <c r="N11" s="143" t="s">
        <v>1261</v>
      </c>
      <c r="O11" s="146">
        <v>1.2999999999999999E-2</v>
      </c>
      <c r="P11" s="146">
        <v>4.9000000000000002E-2</v>
      </c>
      <c r="Q11" s="145" t="s">
        <v>3876</v>
      </c>
      <c r="R11" s="144">
        <v>1192951</v>
      </c>
      <c r="S11" s="145" t="s">
        <v>3876</v>
      </c>
      <c r="T11" s="143" t="s">
        <v>1262</v>
      </c>
      <c r="U11" s="144">
        <v>921.6739</v>
      </c>
      <c r="V11" s="145" t="s">
        <v>3876</v>
      </c>
      <c r="W11" s="145" t="s">
        <v>3876</v>
      </c>
      <c r="X11" s="146">
        <v>3.9761199028373698E-5</v>
      </c>
      <c r="Y11" s="146">
        <v>0.13542934332254675</v>
      </c>
      <c r="Z11" s="147">
        <v>3.2058544193918681E-2</v>
      </c>
      <c r="AA11" s="183"/>
    </row>
    <row r="12" spans="1:27" ht="15" x14ac:dyDescent="0.2">
      <c r="A12" s="142" t="s">
        <v>1205</v>
      </c>
      <c r="B12" s="143" t="s">
        <v>1206</v>
      </c>
      <c r="C12" s="143" t="s">
        <v>1225</v>
      </c>
      <c r="D12" s="143" t="s">
        <v>1263</v>
      </c>
      <c r="E12" s="143" t="s">
        <v>1264</v>
      </c>
      <c r="F12" s="143" t="s">
        <v>945</v>
      </c>
      <c r="G12" s="143" t="s">
        <v>204</v>
      </c>
      <c r="H12" s="143" t="s">
        <v>204</v>
      </c>
      <c r="I12" s="143" t="s">
        <v>340</v>
      </c>
      <c r="J12" s="143" t="s">
        <v>1228</v>
      </c>
      <c r="K12" s="143" t="s">
        <v>312</v>
      </c>
      <c r="L12" s="143" t="s">
        <v>1210</v>
      </c>
      <c r="M12" s="144">
        <v>0.75</v>
      </c>
      <c r="N12" s="143" t="s">
        <v>1265</v>
      </c>
      <c r="O12" s="143" t="s">
        <v>1266</v>
      </c>
      <c r="P12" s="146">
        <v>4.3262000000000002E-2</v>
      </c>
      <c r="Q12" s="145" t="s">
        <v>3876</v>
      </c>
      <c r="R12" s="144">
        <v>650491</v>
      </c>
      <c r="S12" s="145" t="s">
        <v>3876</v>
      </c>
      <c r="T12" s="143" t="s">
        <v>1267</v>
      </c>
      <c r="U12" s="144">
        <v>630.13059999999996</v>
      </c>
      <c r="V12" s="145" t="s">
        <v>3876</v>
      </c>
      <c r="W12" s="145" t="s">
        <v>3876</v>
      </c>
      <c r="X12" s="146">
        <v>5.4207583333333336E-5</v>
      </c>
      <c r="Y12" s="146">
        <v>9.2590420228022802E-2</v>
      </c>
      <c r="Z12" s="147">
        <v>2.1917806038120217E-2</v>
      </c>
      <c r="AA12" s="183"/>
    </row>
    <row r="13" spans="1:27" ht="15" x14ac:dyDescent="0.2">
      <c r="A13" s="142" t="s">
        <v>1205</v>
      </c>
      <c r="B13" s="143" t="s">
        <v>1206</v>
      </c>
      <c r="C13" s="143" t="s">
        <v>1225</v>
      </c>
      <c r="D13" s="143" t="s">
        <v>1268</v>
      </c>
      <c r="E13" s="143" t="s">
        <v>1269</v>
      </c>
      <c r="F13" s="143" t="s">
        <v>945</v>
      </c>
      <c r="G13" s="143" t="s">
        <v>204</v>
      </c>
      <c r="H13" s="143" t="s">
        <v>204</v>
      </c>
      <c r="I13" s="143" t="s">
        <v>340</v>
      </c>
      <c r="J13" s="143" t="s">
        <v>1228</v>
      </c>
      <c r="K13" s="143" t="s">
        <v>312</v>
      </c>
      <c r="L13" s="143" t="s">
        <v>1210</v>
      </c>
      <c r="M13" s="144">
        <v>11.51</v>
      </c>
      <c r="N13" s="143" t="s">
        <v>1270</v>
      </c>
      <c r="O13" s="146">
        <v>5.5E-2</v>
      </c>
      <c r="P13" s="146">
        <v>5.3379000000000003E-2</v>
      </c>
      <c r="Q13" s="145" t="s">
        <v>3876</v>
      </c>
      <c r="R13" s="144">
        <v>422159</v>
      </c>
      <c r="S13" s="145" t="s">
        <v>3876</v>
      </c>
      <c r="T13" s="143" t="s">
        <v>1271</v>
      </c>
      <c r="U13" s="144">
        <v>439.42529999999999</v>
      </c>
      <c r="V13" s="145" t="s">
        <v>3876</v>
      </c>
      <c r="W13" s="145" t="s">
        <v>3876</v>
      </c>
      <c r="X13" s="146">
        <v>2.1864411520813312E-5</v>
      </c>
      <c r="Y13" s="146">
        <v>6.4568474259200648E-2</v>
      </c>
      <c r="Z13" s="147">
        <v>1.5284510984022975E-2</v>
      </c>
      <c r="AA13" s="183"/>
    </row>
    <row r="14" spans="1:27" ht="15" x14ac:dyDescent="0.2">
      <c r="A14" s="142" t="s">
        <v>1205</v>
      </c>
      <c r="B14" s="143" t="s">
        <v>1206</v>
      </c>
      <c r="C14" s="143" t="s">
        <v>1225</v>
      </c>
      <c r="D14" s="143" t="s">
        <v>1272</v>
      </c>
      <c r="E14" s="143" t="s">
        <v>1273</v>
      </c>
      <c r="F14" s="143" t="s">
        <v>945</v>
      </c>
      <c r="G14" s="143" t="s">
        <v>204</v>
      </c>
      <c r="H14" s="143" t="s">
        <v>204</v>
      </c>
      <c r="I14" s="143" t="s">
        <v>340</v>
      </c>
      <c r="J14" s="143" t="s">
        <v>1228</v>
      </c>
      <c r="K14" s="143" t="s">
        <v>312</v>
      </c>
      <c r="L14" s="143" t="s">
        <v>1210</v>
      </c>
      <c r="M14" s="144">
        <v>0.67</v>
      </c>
      <c r="N14" s="143" t="s">
        <v>1274</v>
      </c>
      <c r="O14" s="143" t="s">
        <v>1266</v>
      </c>
      <c r="P14" s="146">
        <v>4.3515999999999999E-2</v>
      </c>
      <c r="Q14" s="145" t="s">
        <v>3876</v>
      </c>
      <c r="R14" s="144">
        <v>404293.52</v>
      </c>
      <c r="S14" s="145" t="s">
        <v>3876</v>
      </c>
      <c r="T14" s="143" t="s">
        <v>1275</v>
      </c>
      <c r="U14" s="144">
        <v>392.85199999999998</v>
      </c>
      <c r="V14" s="145" t="s">
        <v>3876</v>
      </c>
      <c r="W14" s="145" t="s">
        <v>3876</v>
      </c>
      <c r="X14" s="146">
        <v>3.3691126666666664E-5</v>
      </c>
      <c r="Y14" s="146">
        <v>5.7725067115872122E-2</v>
      </c>
      <c r="Z14" s="147">
        <v>1.3664554296949153E-2</v>
      </c>
      <c r="AA14" s="183"/>
    </row>
    <row r="15" spans="1:27" ht="15" x14ac:dyDescent="0.2">
      <c r="A15" s="142" t="s">
        <v>1205</v>
      </c>
      <c r="B15" s="143" t="s">
        <v>1206</v>
      </c>
      <c r="C15" s="143" t="s">
        <v>1225</v>
      </c>
      <c r="D15" s="143" t="s">
        <v>1276</v>
      </c>
      <c r="E15" s="143" t="s">
        <v>1277</v>
      </c>
      <c r="F15" s="143" t="s">
        <v>945</v>
      </c>
      <c r="G15" s="143" t="s">
        <v>204</v>
      </c>
      <c r="H15" s="143" t="s">
        <v>204</v>
      </c>
      <c r="I15" s="143" t="s">
        <v>340</v>
      </c>
      <c r="J15" s="143" t="s">
        <v>1228</v>
      </c>
      <c r="K15" s="143" t="s">
        <v>312</v>
      </c>
      <c r="L15" s="143" t="s">
        <v>1210</v>
      </c>
      <c r="M15" s="144">
        <v>0.6</v>
      </c>
      <c r="N15" s="143" t="s">
        <v>1278</v>
      </c>
      <c r="O15" s="143" t="s">
        <v>1266</v>
      </c>
      <c r="P15" s="146">
        <v>4.3658000000000002E-2</v>
      </c>
      <c r="Q15" s="145" t="s">
        <v>3876</v>
      </c>
      <c r="R15" s="144">
        <v>353722</v>
      </c>
      <c r="S15" s="145" t="s">
        <v>3876</v>
      </c>
      <c r="T15" s="143" t="s">
        <v>1279</v>
      </c>
      <c r="U15" s="144">
        <v>344.8082</v>
      </c>
      <c r="V15" s="145" t="s">
        <v>3876</v>
      </c>
      <c r="W15" s="145" t="s">
        <v>3876</v>
      </c>
      <c r="X15" s="146">
        <v>2.9476833333333332E-5</v>
      </c>
      <c r="Y15" s="146">
        <v>5.0665584322480868E-2</v>
      </c>
      <c r="Z15" s="147">
        <v>1.1993448644615505E-2</v>
      </c>
      <c r="AA15" s="183"/>
    </row>
    <row r="16" spans="1:27" ht="15" x14ac:dyDescent="0.2">
      <c r="A16" s="142" t="s">
        <v>1205</v>
      </c>
      <c r="B16" s="143" t="s">
        <v>1206</v>
      </c>
      <c r="C16" s="143" t="s">
        <v>1225</v>
      </c>
      <c r="D16" s="143" t="s">
        <v>1280</v>
      </c>
      <c r="E16" s="143" t="s">
        <v>1281</v>
      </c>
      <c r="F16" s="143" t="s">
        <v>945</v>
      </c>
      <c r="G16" s="143" t="s">
        <v>204</v>
      </c>
      <c r="H16" s="143" t="s">
        <v>204</v>
      </c>
      <c r="I16" s="143" t="s">
        <v>340</v>
      </c>
      <c r="J16" s="143" t="s">
        <v>1228</v>
      </c>
      <c r="K16" s="143" t="s">
        <v>314</v>
      </c>
      <c r="L16" s="143" t="s">
        <v>1210</v>
      </c>
      <c r="M16" s="144">
        <v>0.92</v>
      </c>
      <c r="N16" s="143" t="s">
        <v>1282</v>
      </c>
      <c r="O16" s="143" t="s">
        <v>1266</v>
      </c>
      <c r="P16" s="146">
        <v>4.3203999999999999E-2</v>
      </c>
      <c r="Q16" s="145" t="s">
        <v>3876</v>
      </c>
      <c r="R16" s="144">
        <v>352000</v>
      </c>
      <c r="S16" s="145" t="s">
        <v>3876</v>
      </c>
      <c r="T16" s="143" t="s">
        <v>1283</v>
      </c>
      <c r="U16" s="144">
        <v>338.51840000000004</v>
      </c>
      <c r="V16" s="145" t="s">
        <v>3876</v>
      </c>
      <c r="W16" s="145" t="s">
        <v>3876</v>
      </c>
      <c r="X16" s="146">
        <v>2.9333333333333333E-5</v>
      </c>
      <c r="Y16" s="146">
        <v>4.9741370017765338E-2</v>
      </c>
      <c r="Z16" s="147">
        <v>1.1774670613167709E-2</v>
      </c>
      <c r="AA16" s="183"/>
    </row>
    <row r="17" spans="1:27" ht="15" x14ac:dyDescent="0.2">
      <c r="A17" s="142" t="s">
        <v>1205</v>
      </c>
      <c r="B17" s="143" t="s">
        <v>1206</v>
      </c>
      <c r="C17" s="143" t="s">
        <v>1225</v>
      </c>
      <c r="D17" s="143" t="s">
        <v>1284</v>
      </c>
      <c r="E17" s="143" t="s">
        <v>1285</v>
      </c>
      <c r="F17" s="143" t="s">
        <v>945</v>
      </c>
      <c r="G17" s="143" t="s">
        <v>204</v>
      </c>
      <c r="H17" s="143" t="s">
        <v>204</v>
      </c>
      <c r="I17" s="143" t="s">
        <v>340</v>
      </c>
      <c r="J17" s="143" t="s">
        <v>1228</v>
      </c>
      <c r="K17" s="143" t="s">
        <v>312</v>
      </c>
      <c r="L17" s="143" t="s">
        <v>1210</v>
      </c>
      <c r="M17" s="144">
        <v>14.48</v>
      </c>
      <c r="N17" s="143" t="s">
        <v>1286</v>
      </c>
      <c r="O17" s="146">
        <v>3.7602999999999998E-2</v>
      </c>
      <c r="P17" s="146">
        <v>5.4753999999999997E-2</v>
      </c>
      <c r="Q17" s="145" t="s">
        <v>3876</v>
      </c>
      <c r="R17" s="144">
        <v>333406</v>
      </c>
      <c r="S17" s="145" t="s">
        <v>3876</v>
      </c>
      <c r="T17" s="143" t="s">
        <v>1287</v>
      </c>
      <c r="U17" s="144">
        <v>262.69059999999996</v>
      </c>
      <c r="V17" s="145" t="s">
        <v>3876</v>
      </c>
      <c r="W17" s="145" t="s">
        <v>3876</v>
      </c>
      <c r="X17" s="146">
        <v>1.2702949972452945E-5</v>
      </c>
      <c r="Y17" s="146">
        <v>3.8599348537767891E-2</v>
      </c>
      <c r="Z17" s="147">
        <v>9.1371551437515464E-3</v>
      </c>
      <c r="AA17" s="183"/>
    </row>
    <row r="18" spans="1:27" ht="15" x14ac:dyDescent="0.2">
      <c r="A18" s="142" t="s">
        <v>1205</v>
      </c>
      <c r="B18" s="143" t="s">
        <v>1206</v>
      </c>
      <c r="C18" s="143" t="s">
        <v>1225</v>
      </c>
      <c r="D18" s="143" t="s">
        <v>1288</v>
      </c>
      <c r="E18" s="143" t="s">
        <v>1289</v>
      </c>
      <c r="F18" s="143" t="s">
        <v>945</v>
      </c>
      <c r="G18" s="143" t="s">
        <v>204</v>
      </c>
      <c r="H18" s="143" t="s">
        <v>204</v>
      </c>
      <c r="I18" s="143" t="s">
        <v>340</v>
      </c>
      <c r="J18" s="143" t="s">
        <v>1228</v>
      </c>
      <c r="K18" s="143" t="s">
        <v>312</v>
      </c>
      <c r="L18" s="143" t="s">
        <v>1210</v>
      </c>
      <c r="M18" s="144">
        <v>0.85</v>
      </c>
      <c r="N18" s="143" t="s">
        <v>1290</v>
      </c>
      <c r="O18" s="143" t="s">
        <v>1266</v>
      </c>
      <c r="P18" s="146">
        <v>4.3234000000000002E-2</v>
      </c>
      <c r="Q18" s="145" t="s">
        <v>3876</v>
      </c>
      <c r="R18" s="144">
        <v>255456</v>
      </c>
      <c r="S18" s="145" t="s">
        <v>3876</v>
      </c>
      <c r="T18" s="143" t="s">
        <v>1291</v>
      </c>
      <c r="U18" s="144">
        <v>246.4639</v>
      </c>
      <c r="V18" s="145" t="s">
        <v>3876</v>
      </c>
      <c r="W18" s="145" t="s">
        <v>3876</v>
      </c>
      <c r="X18" s="146">
        <v>1.8246857142857143E-5</v>
      </c>
      <c r="Y18" s="146">
        <v>3.6215031364027393E-2</v>
      </c>
      <c r="Z18" s="147">
        <v>8.5727446872625856E-3</v>
      </c>
      <c r="AA18" s="183"/>
    </row>
    <row r="19" spans="1:27" ht="15" x14ac:dyDescent="0.2">
      <c r="A19" s="142" t="s">
        <v>1205</v>
      </c>
      <c r="B19" s="143" t="s">
        <v>1206</v>
      </c>
      <c r="C19" s="143" t="s">
        <v>1292</v>
      </c>
      <c r="D19" s="143" t="s">
        <v>1293</v>
      </c>
      <c r="E19" s="143" t="s">
        <v>1294</v>
      </c>
      <c r="F19" s="143" t="s">
        <v>945</v>
      </c>
      <c r="G19" s="143" t="s">
        <v>204</v>
      </c>
      <c r="H19" s="143" t="s">
        <v>204</v>
      </c>
      <c r="I19" s="143" t="s">
        <v>340</v>
      </c>
      <c r="J19" s="143" t="s">
        <v>1228</v>
      </c>
      <c r="K19" s="143" t="s">
        <v>312</v>
      </c>
      <c r="L19" s="143" t="s">
        <v>1210</v>
      </c>
      <c r="M19" s="144">
        <v>5.58</v>
      </c>
      <c r="N19" s="143" t="s">
        <v>1295</v>
      </c>
      <c r="O19" s="146">
        <v>1.0026999999999999E-2</v>
      </c>
      <c r="P19" s="146">
        <v>4.7578000000000002E-2</v>
      </c>
      <c r="Q19" s="145" t="s">
        <v>3876</v>
      </c>
      <c r="R19" s="144">
        <v>80052</v>
      </c>
      <c r="S19" s="145" t="s">
        <v>3876</v>
      </c>
      <c r="T19" s="143" t="s">
        <v>1296</v>
      </c>
      <c r="U19" s="144">
        <v>65.426500000000004</v>
      </c>
      <c r="V19" s="145" t="s">
        <v>3876</v>
      </c>
      <c r="W19" s="145" t="s">
        <v>3876</v>
      </c>
      <c r="X19" s="146">
        <v>2.1202766196913596E-6</v>
      </c>
      <c r="Y19" s="146">
        <v>9.6136686383096939E-3</v>
      </c>
      <c r="Z19" s="147">
        <v>2.2757270569710502E-3</v>
      </c>
      <c r="AA19" s="183"/>
    </row>
    <row r="20" spans="1:27" ht="15" x14ac:dyDescent="0.2">
      <c r="A20" s="142" t="s">
        <v>1205</v>
      </c>
      <c r="B20" s="143" t="s">
        <v>1206</v>
      </c>
      <c r="C20" s="143" t="s">
        <v>1292</v>
      </c>
      <c r="D20" s="143" t="s">
        <v>1297</v>
      </c>
      <c r="E20" s="143" t="s">
        <v>1298</v>
      </c>
      <c r="F20" s="143" t="s">
        <v>945</v>
      </c>
      <c r="G20" s="143" t="s">
        <v>204</v>
      </c>
      <c r="H20" s="143" t="s">
        <v>204</v>
      </c>
      <c r="I20" s="143" t="s">
        <v>340</v>
      </c>
      <c r="J20" s="143" t="s">
        <v>1224</v>
      </c>
      <c r="K20" s="143" t="s">
        <v>413</v>
      </c>
      <c r="L20" s="143" t="s">
        <v>1210</v>
      </c>
      <c r="M20" s="144">
        <v>4.3099999999999996</v>
      </c>
      <c r="N20" s="143" t="s">
        <v>1299</v>
      </c>
      <c r="O20" s="146">
        <v>3.7284200000000003E-2</v>
      </c>
      <c r="P20" s="146">
        <v>4.6670999999999997E-2</v>
      </c>
      <c r="Q20" s="145" t="s">
        <v>3876</v>
      </c>
      <c r="R20" s="144">
        <v>15225</v>
      </c>
      <c r="S20" s="145" t="s">
        <v>3876</v>
      </c>
      <c r="T20" s="143" t="s">
        <v>1300</v>
      </c>
      <c r="U20" s="144">
        <v>14.8429</v>
      </c>
      <c r="V20" s="145" t="s">
        <v>3876</v>
      </c>
      <c r="W20" s="145" t="s">
        <v>3876</v>
      </c>
      <c r="X20" s="146">
        <v>5.7686545595521418E-7</v>
      </c>
      <c r="Y20" s="146">
        <v>2.1809857848838154E-3</v>
      </c>
      <c r="Z20" s="147">
        <v>5.1627828545607231E-4</v>
      </c>
      <c r="AA20" s="183"/>
    </row>
    <row r="21" spans="1:27" ht="15" x14ac:dyDescent="0.2">
      <c r="A21" s="142" t="s">
        <v>1205</v>
      </c>
      <c r="B21" s="143" t="s">
        <v>1206</v>
      </c>
      <c r="C21" s="143" t="s">
        <v>1225</v>
      </c>
      <c r="D21" s="143" t="s">
        <v>1301</v>
      </c>
      <c r="E21" s="143" t="s">
        <v>1302</v>
      </c>
      <c r="F21" s="143" t="s">
        <v>945</v>
      </c>
      <c r="G21" s="143" t="s">
        <v>204</v>
      </c>
      <c r="H21" s="143" t="s">
        <v>204</v>
      </c>
      <c r="I21" s="143" t="s">
        <v>340</v>
      </c>
      <c r="J21" s="143" t="s">
        <v>1228</v>
      </c>
      <c r="K21" s="143" t="s">
        <v>312</v>
      </c>
      <c r="L21" s="143" t="s">
        <v>1210</v>
      </c>
      <c r="M21" s="144">
        <v>16.82</v>
      </c>
      <c r="N21" s="143" t="s">
        <v>1303</v>
      </c>
      <c r="O21" s="146">
        <v>2.8000000000000001E-2</v>
      </c>
      <c r="P21" s="146">
        <v>5.5648999999999997E-2</v>
      </c>
      <c r="Q21" s="145" t="s">
        <v>3876</v>
      </c>
      <c r="R21" s="144">
        <v>20000</v>
      </c>
      <c r="S21" s="145" t="s">
        <v>3876</v>
      </c>
      <c r="T21" s="143" t="s">
        <v>1304</v>
      </c>
      <c r="U21" s="144">
        <v>12.52</v>
      </c>
      <c r="V21" s="145" t="s">
        <v>3876</v>
      </c>
      <c r="W21" s="145" t="s">
        <v>3876</v>
      </c>
      <c r="X21" s="146">
        <v>1.1994166996706161E-6</v>
      </c>
      <c r="Y21" s="146">
        <v>1.8396694319198663E-3</v>
      </c>
      <c r="Z21" s="147">
        <v>4.3548260914874853E-4</v>
      </c>
      <c r="AA21" s="183"/>
    </row>
    <row r="22" spans="1:27" ht="15" x14ac:dyDescent="0.2">
      <c r="A22" s="142" t="s">
        <v>1205</v>
      </c>
      <c r="B22" s="143" t="s">
        <v>1206</v>
      </c>
      <c r="C22" s="143" t="s">
        <v>1305</v>
      </c>
      <c r="D22" s="143" t="s">
        <v>1306</v>
      </c>
      <c r="E22" s="143" t="s">
        <v>1307</v>
      </c>
      <c r="F22" s="143" t="s">
        <v>947</v>
      </c>
      <c r="G22" s="143" t="s">
        <v>205</v>
      </c>
      <c r="H22" s="143" t="s">
        <v>224</v>
      </c>
      <c r="I22" s="143" t="s">
        <v>344</v>
      </c>
      <c r="J22" s="143" t="s">
        <v>1308</v>
      </c>
      <c r="K22" s="143" t="s">
        <v>423</v>
      </c>
      <c r="L22" s="143" t="s">
        <v>1211</v>
      </c>
      <c r="M22" s="144">
        <v>7.4589999999999996</v>
      </c>
      <c r="N22" s="143" t="s">
        <v>1309</v>
      </c>
      <c r="O22" s="146">
        <v>3.875E-2</v>
      </c>
      <c r="P22" s="146">
        <v>4.41E-2</v>
      </c>
      <c r="Q22" s="145" t="s">
        <v>3876</v>
      </c>
      <c r="R22" s="144">
        <v>56500</v>
      </c>
      <c r="S22" s="143" t="s">
        <v>1212</v>
      </c>
      <c r="T22" s="143" t="s">
        <v>1310</v>
      </c>
      <c r="U22" s="144">
        <v>207.03039999999999</v>
      </c>
      <c r="V22" s="145" t="s">
        <v>3876</v>
      </c>
      <c r="W22" s="145" t="s">
        <v>3876</v>
      </c>
      <c r="X22" s="146">
        <v>1.4868421052631579E-6</v>
      </c>
      <c r="Y22" s="146">
        <v>3.0420725629965117E-2</v>
      </c>
      <c r="Z22" s="147">
        <v>7.201129039639589E-3</v>
      </c>
      <c r="AA22" s="183"/>
    </row>
    <row r="23" spans="1:27" ht="15" x14ac:dyDescent="0.2">
      <c r="A23" s="142" t="s">
        <v>1205</v>
      </c>
      <c r="B23" s="143" t="s">
        <v>1206</v>
      </c>
      <c r="C23" s="143" t="s">
        <v>1305</v>
      </c>
      <c r="D23" s="143" t="s">
        <v>1311</v>
      </c>
      <c r="E23" s="143" t="s">
        <v>1312</v>
      </c>
      <c r="F23" s="143" t="s">
        <v>947</v>
      </c>
      <c r="G23" s="143" t="s">
        <v>205</v>
      </c>
      <c r="H23" s="143" t="s">
        <v>224</v>
      </c>
      <c r="I23" s="143" t="s">
        <v>344</v>
      </c>
      <c r="J23" s="143" t="s">
        <v>1308</v>
      </c>
      <c r="K23" s="143" t="s">
        <v>423</v>
      </c>
      <c r="L23" s="143" t="s">
        <v>1211</v>
      </c>
      <c r="M23" s="144">
        <v>7.7590000000000003</v>
      </c>
      <c r="N23" s="143" t="s">
        <v>1313</v>
      </c>
      <c r="O23" s="146">
        <v>0.04</v>
      </c>
      <c r="P23" s="146">
        <v>4.3999999999999997E-2</v>
      </c>
      <c r="Q23" s="145" t="s">
        <v>3876</v>
      </c>
      <c r="R23" s="144">
        <v>35000</v>
      </c>
      <c r="S23" s="143" t="s">
        <v>1212</v>
      </c>
      <c r="T23" s="143" t="s">
        <v>1314</v>
      </c>
      <c r="U23" s="144">
        <v>129.43369999999999</v>
      </c>
      <c r="V23" s="145" t="s">
        <v>3876</v>
      </c>
      <c r="W23" s="145" t="s">
        <v>3876</v>
      </c>
      <c r="X23" s="146">
        <v>8.3333333333333333E-7</v>
      </c>
      <c r="Y23" s="146">
        <v>1.9018794883741186E-2</v>
      </c>
      <c r="Z23" s="147">
        <v>4.5020884051941183E-3</v>
      </c>
      <c r="AA23" s="183"/>
    </row>
    <row r="24" spans="1:27" ht="15" x14ac:dyDescent="0.2">
      <c r="A24" s="142" t="s">
        <v>1205</v>
      </c>
      <c r="B24" s="143" t="s">
        <v>1215</v>
      </c>
      <c r="C24" s="143" t="s">
        <v>1225</v>
      </c>
      <c r="D24" s="143" t="s">
        <v>1231</v>
      </c>
      <c r="E24" s="143" t="s">
        <v>1232</v>
      </c>
      <c r="F24" s="143" t="s">
        <v>943</v>
      </c>
      <c r="G24" s="143" t="s">
        <v>204</v>
      </c>
      <c r="H24" s="143" t="s">
        <v>204</v>
      </c>
      <c r="I24" s="143" t="s">
        <v>340</v>
      </c>
      <c r="J24" s="143" t="s">
        <v>1228</v>
      </c>
      <c r="K24" s="143" t="s">
        <v>312</v>
      </c>
      <c r="L24" s="143" t="s">
        <v>1210</v>
      </c>
      <c r="M24" s="144">
        <v>1.32</v>
      </c>
      <c r="N24" s="143" t="s">
        <v>1233</v>
      </c>
      <c r="O24" s="146">
        <v>7.5209999999999999E-3</v>
      </c>
      <c r="P24" s="146">
        <v>1.5337999999999999E-2</v>
      </c>
      <c r="Q24" s="145" t="s">
        <v>3876</v>
      </c>
      <c r="R24" s="144">
        <v>201069</v>
      </c>
      <c r="S24" s="145" t="s">
        <v>3876</v>
      </c>
      <c r="T24" s="143" t="s">
        <v>1234</v>
      </c>
      <c r="U24" s="144">
        <v>228.19320000000002</v>
      </c>
      <c r="V24" s="145" t="s">
        <v>3876</v>
      </c>
      <c r="W24" s="145" t="s">
        <v>3876</v>
      </c>
      <c r="X24" s="146">
        <v>9.264687899251655E-6</v>
      </c>
      <c r="Y24" s="146">
        <v>0.20271654548242837</v>
      </c>
      <c r="Z24" s="147">
        <v>0.10835530507272099</v>
      </c>
      <c r="AA24" s="183"/>
    </row>
    <row r="25" spans="1:27" ht="15" x14ac:dyDescent="0.2">
      <c r="A25" s="142" t="s">
        <v>1205</v>
      </c>
      <c r="B25" s="143" t="s">
        <v>1215</v>
      </c>
      <c r="C25" s="143" t="s">
        <v>1225</v>
      </c>
      <c r="D25" s="143" t="s">
        <v>1226</v>
      </c>
      <c r="E25" s="143" t="s">
        <v>1227</v>
      </c>
      <c r="F25" s="143" t="s">
        <v>943</v>
      </c>
      <c r="G25" s="143" t="s">
        <v>204</v>
      </c>
      <c r="H25" s="143" t="s">
        <v>204</v>
      </c>
      <c r="I25" s="143" t="s">
        <v>340</v>
      </c>
      <c r="J25" s="143" t="s">
        <v>1228</v>
      </c>
      <c r="K25" s="143" t="s">
        <v>312</v>
      </c>
      <c r="L25" s="143" t="s">
        <v>1210</v>
      </c>
      <c r="M25" s="144">
        <v>7.39</v>
      </c>
      <c r="N25" s="143" t="s">
        <v>1229</v>
      </c>
      <c r="O25" s="146">
        <v>1E-3</v>
      </c>
      <c r="P25" s="146">
        <v>2.1850000000000001E-2</v>
      </c>
      <c r="Q25" s="145" t="s">
        <v>3876</v>
      </c>
      <c r="R25" s="144">
        <v>221021</v>
      </c>
      <c r="S25" s="145" t="s">
        <v>3876</v>
      </c>
      <c r="T25" s="143" t="s">
        <v>1230</v>
      </c>
      <c r="U25" s="144">
        <v>215.827</v>
      </c>
      <c r="V25" s="145" t="s">
        <v>3876</v>
      </c>
      <c r="W25" s="145" t="s">
        <v>3876</v>
      </c>
      <c r="X25" s="146">
        <v>7.1984249128079993E-6</v>
      </c>
      <c r="Y25" s="146">
        <v>0.19173097018873811</v>
      </c>
      <c r="Z25" s="147">
        <v>0.10248333562141473</v>
      </c>
      <c r="AA25" s="183"/>
    </row>
    <row r="26" spans="1:27" ht="15" x14ac:dyDescent="0.2">
      <c r="A26" s="142" t="s">
        <v>1205</v>
      </c>
      <c r="B26" s="143" t="s">
        <v>1215</v>
      </c>
      <c r="C26" s="143" t="s">
        <v>1225</v>
      </c>
      <c r="D26" s="143" t="s">
        <v>1239</v>
      </c>
      <c r="E26" s="143" t="s">
        <v>1240</v>
      </c>
      <c r="F26" s="143" t="s">
        <v>943</v>
      </c>
      <c r="G26" s="143" t="s">
        <v>204</v>
      </c>
      <c r="H26" s="143" t="s">
        <v>204</v>
      </c>
      <c r="I26" s="143" t="s">
        <v>340</v>
      </c>
      <c r="J26" s="143" t="s">
        <v>1228</v>
      </c>
      <c r="K26" s="143" t="s">
        <v>312</v>
      </c>
      <c r="L26" s="143" t="s">
        <v>1210</v>
      </c>
      <c r="M26" s="144">
        <v>2.89</v>
      </c>
      <c r="N26" s="143" t="s">
        <v>1241</v>
      </c>
      <c r="O26" s="146">
        <v>7.4999999999999997E-3</v>
      </c>
      <c r="P26" s="146">
        <v>1.7389999999999999E-2</v>
      </c>
      <c r="Q26" s="145" t="s">
        <v>3876</v>
      </c>
      <c r="R26" s="144">
        <v>7580</v>
      </c>
      <c r="S26" s="145" t="s">
        <v>3876</v>
      </c>
      <c r="T26" s="143" t="s">
        <v>1242</v>
      </c>
      <c r="U26" s="144">
        <v>8.4637999999999991</v>
      </c>
      <c r="V26" s="145" t="s">
        <v>3876</v>
      </c>
      <c r="W26" s="145" t="s">
        <v>3876</v>
      </c>
      <c r="X26" s="146">
        <v>3.4005298961396836E-7</v>
      </c>
      <c r="Y26" s="146">
        <v>7.5188827397770861E-3</v>
      </c>
      <c r="Z26" s="147">
        <v>4.0189656504638011E-3</v>
      </c>
      <c r="AA26" s="183"/>
    </row>
    <row r="27" spans="1:27" ht="15" x14ac:dyDescent="0.2">
      <c r="A27" s="142" t="s">
        <v>1205</v>
      </c>
      <c r="B27" s="143" t="s">
        <v>1215</v>
      </c>
      <c r="C27" s="143" t="s">
        <v>1225</v>
      </c>
      <c r="D27" s="143" t="s">
        <v>1243</v>
      </c>
      <c r="E27" s="143" t="s">
        <v>1244</v>
      </c>
      <c r="F27" s="143" t="s">
        <v>943</v>
      </c>
      <c r="G27" s="143" t="s">
        <v>204</v>
      </c>
      <c r="H27" s="143" t="s">
        <v>204</v>
      </c>
      <c r="I27" s="143" t="s">
        <v>340</v>
      </c>
      <c r="J27" s="143" t="s">
        <v>1228</v>
      </c>
      <c r="K27" s="143" t="s">
        <v>312</v>
      </c>
      <c r="L27" s="143" t="s">
        <v>1210</v>
      </c>
      <c r="M27" s="144">
        <v>4.22</v>
      </c>
      <c r="N27" s="143" t="s">
        <v>1245</v>
      </c>
      <c r="O27" s="146">
        <v>1.0999999999999999E-2</v>
      </c>
      <c r="P27" s="146">
        <v>1.9415999999999999E-2</v>
      </c>
      <c r="Q27" s="145" t="s">
        <v>3876</v>
      </c>
      <c r="R27" s="144">
        <v>8132</v>
      </c>
      <c r="S27" s="145" t="s">
        <v>3876</v>
      </c>
      <c r="T27" s="143" t="s">
        <v>1246</v>
      </c>
      <c r="U27" s="144">
        <v>8.1303999999999998</v>
      </c>
      <c r="V27" s="145" t="s">
        <v>3876</v>
      </c>
      <c r="W27" s="145" t="s">
        <v>3876</v>
      </c>
      <c r="X27" s="146">
        <v>5.1716728930886371E-7</v>
      </c>
      <c r="Y27" s="146">
        <v>7.2226569028788499E-3</v>
      </c>
      <c r="Z27" s="147">
        <v>3.8606281015915863E-3</v>
      </c>
      <c r="AA27" s="183"/>
    </row>
    <row r="28" spans="1:27" ht="15" x14ac:dyDescent="0.2">
      <c r="A28" s="142" t="s">
        <v>1205</v>
      </c>
      <c r="B28" s="143" t="s">
        <v>1215</v>
      </c>
      <c r="C28" s="143" t="s">
        <v>1225</v>
      </c>
      <c r="D28" s="143" t="s">
        <v>1251</v>
      </c>
      <c r="E28" s="143" t="s">
        <v>1252</v>
      </c>
      <c r="F28" s="143" t="s">
        <v>943</v>
      </c>
      <c r="G28" s="143" t="s">
        <v>204</v>
      </c>
      <c r="H28" s="143" t="s">
        <v>204</v>
      </c>
      <c r="I28" s="143" t="s">
        <v>340</v>
      </c>
      <c r="J28" s="143" t="s">
        <v>1228</v>
      </c>
      <c r="K28" s="143" t="s">
        <v>312</v>
      </c>
      <c r="L28" s="143" t="s">
        <v>1210</v>
      </c>
      <c r="M28" s="144">
        <v>9.8800000000000008</v>
      </c>
      <c r="N28" s="143" t="s">
        <v>1253</v>
      </c>
      <c r="O28" s="146">
        <v>4.011E-2</v>
      </c>
      <c r="P28" s="146">
        <v>2.3077E-2</v>
      </c>
      <c r="Q28" s="145" t="s">
        <v>3876</v>
      </c>
      <c r="R28" s="144">
        <v>3259</v>
      </c>
      <c r="S28" s="145" t="s">
        <v>3876</v>
      </c>
      <c r="T28" s="143" t="s">
        <v>1254</v>
      </c>
      <c r="U28" s="144">
        <v>5.1843999999999992</v>
      </c>
      <c r="V28" s="145" t="s">
        <v>3876</v>
      </c>
      <c r="W28" s="145" t="s">
        <v>3876</v>
      </c>
      <c r="X28" s="146">
        <v>2.0455297642782717E-7</v>
      </c>
      <c r="Y28" s="146">
        <v>4.605602216973626E-3</v>
      </c>
      <c r="Z28" s="147">
        <v>2.4617696206106405E-3</v>
      </c>
      <c r="AA28" s="183"/>
    </row>
    <row r="29" spans="1:27" ht="15" x14ac:dyDescent="0.2">
      <c r="A29" s="142" t="s">
        <v>1205</v>
      </c>
      <c r="B29" s="143" t="s">
        <v>1215</v>
      </c>
      <c r="C29" s="143" t="s">
        <v>1225</v>
      </c>
      <c r="D29" s="143" t="s">
        <v>1255</v>
      </c>
      <c r="E29" s="143" t="s">
        <v>1256</v>
      </c>
      <c r="F29" s="143" t="s">
        <v>945</v>
      </c>
      <c r="G29" s="143" t="s">
        <v>204</v>
      </c>
      <c r="H29" s="143" t="s">
        <v>204</v>
      </c>
      <c r="I29" s="143" t="s">
        <v>340</v>
      </c>
      <c r="J29" s="143" t="s">
        <v>1228</v>
      </c>
      <c r="K29" s="143" t="s">
        <v>312</v>
      </c>
      <c r="L29" s="143" t="s">
        <v>1210</v>
      </c>
      <c r="M29" s="144">
        <v>11.5</v>
      </c>
      <c r="N29" s="143" t="s">
        <v>1257</v>
      </c>
      <c r="O29" s="146">
        <v>1.5041000000000001E-2</v>
      </c>
      <c r="P29" s="146">
        <v>5.2136000000000002E-2</v>
      </c>
      <c r="Q29" s="145" t="s">
        <v>3876</v>
      </c>
      <c r="R29" s="144">
        <v>226448</v>
      </c>
      <c r="S29" s="145" t="s">
        <v>3876</v>
      </c>
      <c r="T29" s="143" t="s">
        <v>1258</v>
      </c>
      <c r="U29" s="144">
        <v>149.07070000000002</v>
      </c>
      <c r="V29" s="145" t="s">
        <v>3876</v>
      </c>
      <c r="W29" s="145" t="s">
        <v>3876</v>
      </c>
      <c r="X29" s="146">
        <v>7.0591703984689832E-6</v>
      </c>
      <c r="Y29" s="146">
        <v>0.1324276972055588</v>
      </c>
      <c r="Z29" s="147">
        <v>7.0784767452689509E-2</v>
      </c>
      <c r="AA29" s="183"/>
    </row>
    <row r="30" spans="1:27" ht="15" x14ac:dyDescent="0.2">
      <c r="A30" s="142" t="s">
        <v>1205</v>
      </c>
      <c r="B30" s="143" t="s">
        <v>1215</v>
      </c>
      <c r="C30" s="143" t="s">
        <v>1225</v>
      </c>
      <c r="D30" s="143" t="s">
        <v>1272</v>
      </c>
      <c r="E30" s="143" t="s">
        <v>1273</v>
      </c>
      <c r="F30" s="143" t="s">
        <v>945</v>
      </c>
      <c r="G30" s="143" t="s">
        <v>204</v>
      </c>
      <c r="H30" s="143" t="s">
        <v>204</v>
      </c>
      <c r="I30" s="143" t="s">
        <v>340</v>
      </c>
      <c r="J30" s="143" t="s">
        <v>1228</v>
      </c>
      <c r="K30" s="143" t="s">
        <v>312</v>
      </c>
      <c r="L30" s="143" t="s">
        <v>1210</v>
      </c>
      <c r="M30" s="144">
        <v>0.67</v>
      </c>
      <c r="N30" s="143" t="s">
        <v>1274</v>
      </c>
      <c r="O30" s="143" t="s">
        <v>1266</v>
      </c>
      <c r="P30" s="146">
        <v>4.3515999999999999E-2</v>
      </c>
      <c r="Q30" s="145" t="s">
        <v>3876</v>
      </c>
      <c r="R30" s="144">
        <v>66459.199999999997</v>
      </c>
      <c r="S30" s="145" t="s">
        <v>3876</v>
      </c>
      <c r="T30" s="143" t="s">
        <v>1275</v>
      </c>
      <c r="U30" s="144">
        <v>64.578400000000002</v>
      </c>
      <c r="V30" s="145" t="s">
        <v>3876</v>
      </c>
      <c r="W30" s="145" t="s">
        <v>3876</v>
      </c>
      <c r="X30" s="146">
        <v>5.5382666666666666E-6</v>
      </c>
      <c r="Y30" s="146">
        <v>5.7368539626518458E-2</v>
      </c>
      <c r="Z30" s="147">
        <v>3.066442158440745E-2</v>
      </c>
      <c r="AA30" s="183"/>
    </row>
    <row r="31" spans="1:27" ht="15" x14ac:dyDescent="0.2">
      <c r="A31" s="142" t="s">
        <v>1205</v>
      </c>
      <c r="B31" s="143" t="s">
        <v>1215</v>
      </c>
      <c r="C31" s="143" t="s">
        <v>1225</v>
      </c>
      <c r="D31" s="143" t="s">
        <v>1268</v>
      </c>
      <c r="E31" s="143" t="s">
        <v>1269</v>
      </c>
      <c r="F31" s="143" t="s">
        <v>945</v>
      </c>
      <c r="G31" s="143" t="s">
        <v>204</v>
      </c>
      <c r="H31" s="143" t="s">
        <v>204</v>
      </c>
      <c r="I31" s="143" t="s">
        <v>340</v>
      </c>
      <c r="J31" s="143" t="s">
        <v>1228</v>
      </c>
      <c r="K31" s="143" t="s">
        <v>312</v>
      </c>
      <c r="L31" s="143" t="s">
        <v>1210</v>
      </c>
      <c r="M31" s="144">
        <v>11.51</v>
      </c>
      <c r="N31" s="143" t="s">
        <v>1270</v>
      </c>
      <c r="O31" s="146">
        <v>5.5E-2</v>
      </c>
      <c r="P31" s="146">
        <v>5.3379000000000003E-2</v>
      </c>
      <c r="Q31" s="145" t="s">
        <v>3876</v>
      </c>
      <c r="R31" s="144">
        <v>58646</v>
      </c>
      <c r="S31" s="145" t="s">
        <v>3876</v>
      </c>
      <c r="T31" s="143" t="s">
        <v>1271</v>
      </c>
      <c r="U31" s="144">
        <v>61.044599999999996</v>
      </c>
      <c r="V31" s="145" t="s">
        <v>3876</v>
      </c>
      <c r="W31" s="145" t="s">
        <v>3876</v>
      </c>
      <c r="X31" s="146">
        <v>3.0373870462304905E-6</v>
      </c>
      <c r="Y31" s="146">
        <v>5.4229286110337657E-2</v>
      </c>
      <c r="Z31" s="147">
        <v>2.8986439298171875E-2</v>
      </c>
      <c r="AA31" s="183"/>
    </row>
    <row r="32" spans="1:27" ht="15" x14ac:dyDescent="0.2">
      <c r="A32" s="142" t="s">
        <v>1205</v>
      </c>
      <c r="B32" s="143" t="s">
        <v>1215</v>
      </c>
      <c r="C32" s="143" t="s">
        <v>1225</v>
      </c>
      <c r="D32" s="143" t="s">
        <v>1263</v>
      </c>
      <c r="E32" s="143" t="s">
        <v>1264</v>
      </c>
      <c r="F32" s="143" t="s">
        <v>945</v>
      </c>
      <c r="G32" s="143" t="s">
        <v>204</v>
      </c>
      <c r="H32" s="143" t="s">
        <v>204</v>
      </c>
      <c r="I32" s="143" t="s">
        <v>340</v>
      </c>
      <c r="J32" s="143" t="s">
        <v>1228</v>
      </c>
      <c r="K32" s="143" t="s">
        <v>312</v>
      </c>
      <c r="L32" s="143" t="s">
        <v>1210</v>
      </c>
      <c r="M32" s="144">
        <v>0.75</v>
      </c>
      <c r="N32" s="143" t="s">
        <v>1265</v>
      </c>
      <c r="O32" s="143" t="s">
        <v>1266</v>
      </c>
      <c r="P32" s="146">
        <v>4.3262000000000002E-2</v>
      </c>
      <c r="Q32" s="145" t="s">
        <v>3876</v>
      </c>
      <c r="R32" s="144">
        <v>62448</v>
      </c>
      <c r="S32" s="145" t="s">
        <v>3876</v>
      </c>
      <c r="T32" s="143" t="s">
        <v>1267</v>
      </c>
      <c r="U32" s="144">
        <v>60.493400000000001</v>
      </c>
      <c r="V32" s="145" t="s">
        <v>3876</v>
      </c>
      <c r="W32" s="145" t="s">
        <v>3876</v>
      </c>
      <c r="X32" s="146">
        <v>5.2039999999999996E-6</v>
      </c>
      <c r="Y32" s="146">
        <v>5.3739586001447313E-2</v>
      </c>
      <c r="Z32" s="147">
        <v>2.8724686590386326E-2</v>
      </c>
      <c r="AA32" s="183"/>
    </row>
    <row r="33" spans="1:27" ht="15" x14ac:dyDescent="0.2">
      <c r="A33" s="142" t="s">
        <v>1205</v>
      </c>
      <c r="B33" s="143" t="s">
        <v>1215</v>
      </c>
      <c r="C33" s="143" t="s">
        <v>1225</v>
      </c>
      <c r="D33" s="143" t="s">
        <v>1259</v>
      </c>
      <c r="E33" s="143" t="s">
        <v>1260</v>
      </c>
      <c r="F33" s="143" t="s">
        <v>945</v>
      </c>
      <c r="G33" s="143" t="s">
        <v>204</v>
      </c>
      <c r="H33" s="143" t="s">
        <v>204</v>
      </c>
      <c r="I33" s="143" t="s">
        <v>340</v>
      </c>
      <c r="J33" s="143" t="s">
        <v>1228</v>
      </c>
      <c r="K33" s="143" t="s">
        <v>312</v>
      </c>
      <c r="L33" s="143" t="s">
        <v>1210</v>
      </c>
      <c r="M33" s="144">
        <v>7.42</v>
      </c>
      <c r="N33" s="143" t="s">
        <v>1261</v>
      </c>
      <c r="O33" s="146">
        <v>1.2999999999999999E-2</v>
      </c>
      <c r="P33" s="146">
        <v>4.9000000000000002E-2</v>
      </c>
      <c r="Q33" s="145" t="s">
        <v>3876</v>
      </c>
      <c r="R33" s="144">
        <v>76918</v>
      </c>
      <c r="S33" s="145" t="s">
        <v>3876</v>
      </c>
      <c r="T33" s="143" t="s">
        <v>1262</v>
      </c>
      <c r="U33" s="144">
        <v>59.4268</v>
      </c>
      <c r="V33" s="145" t="s">
        <v>3876</v>
      </c>
      <c r="W33" s="145" t="s">
        <v>3876</v>
      </c>
      <c r="X33" s="146">
        <v>2.5636861085362668E-6</v>
      </c>
      <c r="Y33" s="146">
        <v>5.2792128181704208E-2</v>
      </c>
      <c r="Z33" s="147">
        <v>2.8218254908367071E-2</v>
      </c>
      <c r="AA33" s="183"/>
    </row>
    <row r="34" spans="1:27" ht="15" x14ac:dyDescent="0.2">
      <c r="A34" s="142" t="s">
        <v>1205</v>
      </c>
      <c r="B34" s="143" t="s">
        <v>1215</v>
      </c>
      <c r="C34" s="143" t="s">
        <v>1225</v>
      </c>
      <c r="D34" s="143" t="s">
        <v>1288</v>
      </c>
      <c r="E34" s="143" t="s">
        <v>1289</v>
      </c>
      <c r="F34" s="143" t="s">
        <v>945</v>
      </c>
      <c r="G34" s="143" t="s">
        <v>204</v>
      </c>
      <c r="H34" s="143" t="s">
        <v>204</v>
      </c>
      <c r="I34" s="143" t="s">
        <v>340</v>
      </c>
      <c r="J34" s="143" t="s">
        <v>1228</v>
      </c>
      <c r="K34" s="143" t="s">
        <v>312</v>
      </c>
      <c r="L34" s="143" t="s">
        <v>1210</v>
      </c>
      <c r="M34" s="144">
        <v>0.85</v>
      </c>
      <c r="N34" s="143" t="s">
        <v>1290</v>
      </c>
      <c r="O34" s="143" t="s">
        <v>1266</v>
      </c>
      <c r="P34" s="146">
        <v>4.3234000000000002E-2</v>
      </c>
      <c r="Q34" s="145" t="s">
        <v>3876</v>
      </c>
      <c r="R34" s="144">
        <v>60475</v>
      </c>
      <c r="S34" s="145" t="s">
        <v>3876</v>
      </c>
      <c r="T34" s="143" t="s">
        <v>1291</v>
      </c>
      <c r="U34" s="144">
        <v>58.346299999999999</v>
      </c>
      <c r="V34" s="145" t="s">
        <v>3876</v>
      </c>
      <c r="W34" s="145" t="s">
        <v>3876</v>
      </c>
      <c r="X34" s="146">
        <v>4.3196428571428572E-6</v>
      </c>
      <c r="Y34" s="146">
        <v>5.1832201413143202E-2</v>
      </c>
      <c r="Z34" s="147">
        <v>2.7705158369515905E-2</v>
      </c>
      <c r="AA34" s="183"/>
    </row>
    <row r="35" spans="1:27" ht="15" x14ac:dyDescent="0.2">
      <c r="A35" s="142" t="s">
        <v>1205</v>
      </c>
      <c r="B35" s="143" t="s">
        <v>1215</v>
      </c>
      <c r="C35" s="143" t="s">
        <v>1225</v>
      </c>
      <c r="D35" s="143" t="s">
        <v>1276</v>
      </c>
      <c r="E35" s="143" t="s">
        <v>1277</v>
      </c>
      <c r="F35" s="143" t="s">
        <v>945</v>
      </c>
      <c r="G35" s="143" t="s">
        <v>204</v>
      </c>
      <c r="H35" s="143" t="s">
        <v>204</v>
      </c>
      <c r="I35" s="143" t="s">
        <v>340</v>
      </c>
      <c r="J35" s="143" t="s">
        <v>1228</v>
      </c>
      <c r="K35" s="143" t="s">
        <v>312</v>
      </c>
      <c r="L35" s="143" t="s">
        <v>1210</v>
      </c>
      <c r="M35" s="144">
        <v>0.6</v>
      </c>
      <c r="N35" s="143" t="s">
        <v>1278</v>
      </c>
      <c r="O35" s="143" t="s">
        <v>1266</v>
      </c>
      <c r="P35" s="146">
        <v>4.3658000000000002E-2</v>
      </c>
      <c r="Q35" s="145" t="s">
        <v>3876</v>
      </c>
      <c r="R35" s="144">
        <v>58146</v>
      </c>
      <c r="S35" s="145" t="s">
        <v>3876</v>
      </c>
      <c r="T35" s="143" t="s">
        <v>1279</v>
      </c>
      <c r="U35" s="144">
        <v>56.680699999999995</v>
      </c>
      <c r="V35" s="145" t="s">
        <v>3876</v>
      </c>
      <c r="W35" s="145" t="s">
        <v>3876</v>
      </c>
      <c r="X35" s="146">
        <v>4.8454999999999996E-6</v>
      </c>
      <c r="Y35" s="146">
        <v>5.0352593802856588E-2</v>
      </c>
      <c r="Z35" s="147">
        <v>2.691428393142312E-2</v>
      </c>
      <c r="AA35" s="183"/>
    </row>
    <row r="36" spans="1:27" ht="15" x14ac:dyDescent="0.2">
      <c r="A36" s="142" t="s">
        <v>1205</v>
      </c>
      <c r="B36" s="143" t="s">
        <v>1215</v>
      </c>
      <c r="C36" s="143" t="s">
        <v>1225</v>
      </c>
      <c r="D36" s="143" t="s">
        <v>1284</v>
      </c>
      <c r="E36" s="143" t="s">
        <v>1285</v>
      </c>
      <c r="F36" s="143" t="s">
        <v>945</v>
      </c>
      <c r="G36" s="143" t="s">
        <v>204</v>
      </c>
      <c r="H36" s="143" t="s">
        <v>204</v>
      </c>
      <c r="I36" s="143" t="s">
        <v>340</v>
      </c>
      <c r="J36" s="143" t="s">
        <v>1228</v>
      </c>
      <c r="K36" s="143" t="s">
        <v>312</v>
      </c>
      <c r="L36" s="143" t="s">
        <v>1210</v>
      </c>
      <c r="M36" s="144">
        <v>14.48</v>
      </c>
      <c r="N36" s="143" t="s">
        <v>1286</v>
      </c>
      <c r="O36" s="146">
        <v>3.7602999999999998E-2</v>
      </c>
      <c r="P36" s="146">
        <v>5.4753999999999997E-2</v>
      </c>
      <c r="Q36" s="145" t="s">
        <v>3876</v>
      </c>
      <c r="R36" s="144">
        <v>70755</v>
      </c>
      <c r="S36" s="145" t="s">
        <v>3876</v>
      </c>
      <c r="T36" s="143" t="s">
        <v>1287</v>
      </c>
      <c r="U36" s="144">
        <v>55.747900000000001</v>
      </c>
      <c r="V36" s="145" t="s">
        <v>3876</v>
      </c>
      <c r="W36" s="145" t="s">
        <v>3876</v>
      </c>
      <c r="X36" s="146">
        <v>2.6958039906327662E-6</v>
      </c>
      <c r="Y36" s="146">
        <v>4.9523886374874551E-2</v>
      </c>
      <c r="Z36" s="147">
        <v>2.6471326273668407E-2</v>
      </c>
      <c r="AA36" s="183"/>
    </row>
    <row r="37" spans="1:27" ht="15" x14ac:dyDescent="0.2">
      <c r="A37" s="142" t="s">
        <v>1205</v>
      </c>
      <c r="B37" s="143" t="s">
        <v>1215</v>
      </c>
      <c r="C37" s="143" t="s">
        <v>1225</v>
      </c>
      <c r="D37" s="143" t="s">
        <v>1280</v>
      </c>
      <c r="E37" s="143" t="s">
        <v>1281</v>
      </c>
      <c r="F37" s="143" t="s">
        <v>945</v>
      </c>
      <c r="G37" s="143" t="s">
        <v>204</v>
      </c>
      <c r="H37" s="143" t="s">
        <v>204</v>
      </c>
      <c r="I37" s="143" t="s">
        <v>340</v>
      </c>
      <c r="J37" s="143" t="s">
        <v>1228</v>
      </c>
      <c r="K37" s="143" t="s">
        <v>314</v>
      </c>
      <c r="L37" s="143" t="s">
        <v>1210</v>
      </c>
      <c r="M37" s="144">
        <v>0.92</v>
      </c>
      <c r="N37" s="143" t="s">
        <v>1282</v>
      </c>
      <c r="O37" s="143" t="s">
        <v>1266</v>
      </c>
      <c r="P37" s="146">
        <v>4.3203999999999999E-2</v>
      </c>
      <c r="Q37" s="145" t="s">
        <v>3876</v>
      </c>
      <c r="R37" s="144">
        <v>49000</v>
      </c>
      <c r="S37" s="145" t="s">
        <v>3876</v>
      </c>
      <c r="T37" s="143" t="s">
        <v>1283</v>
      </c>
      <c r="U37" s="144">
        <v>47.1233</v>
      </c>
      <c r="V37" s="145" t="s">
        <v>3876</v>
      </c>
      <c r="W37" s="145" t="s">
        <v>3876</v>
      </c>
      <c r="X37" s="146">
        <v>4.0833333333333329E-6</v>
      </c>
      <c r="Y37" s="146">
        <v>4.1862212584109409E-2</v>
      </c>
      <c r="Z37" s="147">
        <v>2.2376036473862753E-2</v>
      </c>
      <c r="AA37" s="183"/>
    </row>
    <row r="38" spans="1:27" ht="15" x14ac:dyDescent="0.2">
      <c r="A38" s="142" t="s">
        <v>1205</v>
      </c>
      <c r="B38" s="143" t="s">
        <v>1215</v>
      </c>
      <c r="C38" s="143" t="s">
        <v>1292</v>
      </c>
      <c r="D38" s="143" t="s">
        <v>1297</v>
      </c>
      <c r="E38" s="143" t="s">
        <v>1298</v>
      </c>
      <c r="F38" s="143" t="s">
        <v>945</v>
      </c>
      <c r="G38" s="143" t="s">
        <v>204</v>
      </c>
      <c r="H38" s="143" t="s">
        <v>204</v>
      </c>
      <c r="I38" s="143" t="s">
        <v>340</v>
      </c>
      <c r="J38" s="143" t="s">
        <v>1224</v>
      </c>
      <c r="K38" s="143" t="s">
        <v>413</v>
      </c>
      <c r="L38" s="143" t="s">
        <v>1210</v>
      </c>
      <c r="M38" s="144">
        <v>4.3099999999999996</v>
      </c>
      <c r="N38" s="143" t="s">
        <v>1299</v>
      </c>
      <c r="O38" s="146">
        <v>3.7284200000000003E-2</v>
      </c>
      <c r="P38" s="146">
        <v>4.6670999999999997E-2</v>
      </c>
      <c r="Q38" s="145" t="s">
        <v>3876</v>
      </c>
      <c r="R38" s="144">
        <v>14505</v>
      </c>
      <c r="S38" s="145" t="s">
        <v>3876</v>
      </c>
      <c r="T38" s="143" t="s">
        <v>1300</v>
      </c>
      <c r="U38" s="144">
        <v>14.1409</v>
      </c>
      <c r="V38" s="145" t="s">
        <v>3876</v>
      </c>
      <c r="W38" s="145" t="s">
        <v>3876</v>
      </c>
      <c r="X38" s="146">
        <v>5.4958511912186413E-7</v>
      </c>
      <c r="Y38" s="146">
        <v>1.2562159007430317E-2</v>
      </c>
      <c r="Z38" s="147">
        <v>6.7146792008653767E-3</v>
      </c>
      <c r="AA38" s="183"/>
    </row>
    <row r="39" spans="1:27" ht="15" x14ac:dyDescent="0.2">
      <c r="A39" s="142" t="s">
        <v>1205</v>
      </c>
      <c r="B39" s="143" t="s">
        <v>1215</v>
      </c>
      <c r="C39" s="143" t="s">
        <v>1292</v>
      </c>
      <c r="D39" s="143" t="s">
        <v>1293</v>
      </c>
      <c r="E39" s="143" t="s">
        <v>1294</v>
      </c>
      <c r="F39" s="143" t="s">
        <v>945</v>
      </c>
      <c r="G39" s="143" t="s">
        <v>204</v>
      </c>
      <c r="H39" s="143" t="s">
        <v>204</v>
      </c>
      <c r="I39" s="143" t="s">
        <v>340</v>
      </c>
      <c r="J39" s="143" t="s">
        <v>1228</v>
      </c>
      <c r="K39" s="143" t="s">
        <v>312</v>
      </c>
      <c r="L39" s="143" t="s">
        <v>1210</v>
      </c>
      <c r="M39" s="144">
        <v>5.58</v>
      </c>
      <c r="N39" s="143" t="s">
        <v>1295</v>
      </c>
      <c r="O39" s="146">
        <v>1.0026999999999999E-2</v>
      </c>
      <c r="P39" s="146">
        <v>4.7578000000000002E-2</v>
      </c>
      <c r="Q39" s="145" t="s">
        <v>3876</v>
      </c>
      <c r="R39" s="144">
        <v>5127</v>
      </c>
      <c r="S39" s="145" t="s">
        <v>3876</v>
      </c>
      <c r="T39" s="143" t="s">
        <v>1296</v>
      </c>
      <c r="U39" s="144">
        <v>4.1903000000000006</v>
      </c>
      <c r="V39" s="145" t="s">
        <v>3876</v>
      </c>
      <c r="W39" s="145" t="s">
        <v>3876</v>
      </c>
      <c r="X39" s="146">
        <v>1.357949611397292E-7</v>
      </c>
      <c r="Y39" s="146">
        <v>3.7224707945066912E-3</v>
      </c>
      <c r="Z39" s="147">
        <v>1.9897214487508584E-3</v>
      </c>
      <c r="AA39" s="183"/>
    </row>
    <row r="40" spans="1:27" ht="15" x14ac:dyDescent="0.2">
      <c r="A40" s="142" t="s">
        <v>1205</v>
      </c>
      <c r="B40" s="143" t="s">
        <v>1215</v>
      </c>
      <c r="C40" s="143" t="s">
        <v>1225</v>
      </c>
      <c r="D40" s="143" t="s">
        <v>1301</v>
      </c>
      <c r="E40" s="143" t="s">
        <v>1302</v>
      </c>
      <c r="F40" s="143" t="s">
        <v>945</v>
      </c>
      <c r="G40" s="143" t="s">
        <v>204</v>
      </c>
      <c r="H40" s="143" t="s">
        <v>204</v>
      </c>
      <c r="I40" s="143" t="s">
        <v>340</v>
      </c>
      <c r="J40" s="143" t="s">
        <v>1228</v>
      </c>
      <c r="K40" s="143" t="s">
        <v>312</v>
      </c>
      <c r="L40" s="143" t="s">
        <v>1210</v>
      </c>
      <c r="M40" s="144">
        <v>16.82</v>
      </c>
      <c r="N40" s="143" t="s">
        <v>1303</v>
      </c>
      <c r="O40" s="146">
        <v>2.8000000000000001E-2</v>
      </c>
      <c r="P40" s="146">
        <v>5.5648999999999997E-2</v>
      </c>
      <c r="Q40" s="145" t="s">
        <v>3876</v>
      </c>
      <c r="R40" s="144">
        <v>30</v>
      </c>
      <c r="S40" s="145" t="s">
        <v>3876</v>
      </c>
      <c r="T40" s="143" t="s">
        <v>1304</v>
      </c>
      <c r="U40" s="144">
        <v>1.8800000000000001E-2</v>
      </c>
      <c r="V40" s="145" t="s">
        <v>3876</v>
      </c>
      <c r="W40" s="145" t="s">
        <v>3876</v>
      </c>
      <c r="X40" s="146">
        <v>1.7991250495059242E-9</v>
      </c>
      <c r="Y40" s="146">
        <v>1.6683304274734043E-5</v>
      </c>
      <c r="Z40" s="147">
        <v>8.9174986679443597E-6</v>
      </c>
      <c r="AA40" s="183"/>
    </row>
    <row r="41" spans="1:27" ht="15" x14ac:dyDescent="0.2">
      <c r="A41" s="142" t="s">
        <v>1205</v>
      </c>
      <c r="B41" s="143" t="s">
        <v>1215</v>
      </c>
      <c r="C41" s="143" t="s">
        <v>1305</v>
      </c>
      <c r="D41" s="143" t="s">
        <v>1306</v>
      </c>
      <c r="E41" s="143" t="s">
        <v>1307</v>
      </c>
      <c r="F41" s="143" t="s">
        <v>947</v>
      </c>
      <c r="G41" s="143" t="s">
        <v>205</v>
      </c>
      <c r="H41" s="143" t="s">
        <v>224</v>
      </c>
      <c r="I41" s="143" t="s">
        <v>344</v>
      </c>
      <c r="J41" s="143" t="s">
        <v>1308</v>
      </c>
      <c r="K41" s="143" t="s">
        <v>423</v>
      </c>
      <c r="L41" s="143" t="s">
        <v>1211</v>
      </c>
      <c r="M41" s="144">
        <v>7.4589999999999996</v>
      </c>
      <c r="N41" s="143" t="s">
        <v>1309</v>
      </c>
      <c r="O41" s="146">
        <v>3.875E-2</v>
      </c>
      <c r="P41" s="146">
        <v>4.41E-2</v>
      </c>
      <c r="Q41" s="145" t="s">
        <v>3876</v>
      </c>
      <c r="R41" s="144">
        <v>5900</v>
      </c>
      <c r="S41" s="143" t="s">
        <v>1212</v>
      </c>
      <c r="T41" s="143" t="s">
        <v>1310</v>
      </c>
      <c r="U41" s="144">
        <v>21.6191</v>
      </c>
      <c r="V41" s="145" t="s">
        <v>3876</v>
      </c>
      <c r="W41" s="145" t="s">
        <v>3876</v>
      </c>
      <c r="X41" s="146">
        <v>1.5526315789473683E-7</v>
      </c>
      <c r="Y41" s="146">
        <v>1.9205435040258352E-2</v>
      </c>
      <c r="Z41" s="147">
        <v>1.0265618762835041E-2</v>
      </c>
      <c r="AA41" s="183"/>
    </row>
    <row r="42" spans="1:27" ht="15" x14ac:dyDescent="0.2">
      <c r="A42" s="142" t="s">
        <v>1205</v>
      </c>
      <c r="B42" s="143" t="s">
        <v>1215</v>
      </c>
      <c r="C42" s="143" t="s">
        <v>1305</v>
      </c>
      <c r="D42" s="143" t="s">
        <v>1311</v>
      </c>
      <c r="E42" s="143" t="s">
        <v>1312</v>
      </c>
      <c r="F42" s="143" t="s">
        <v>947</v>
      </c>
      <c r="G42" s="143" t="s">
        <v>205</v>
      </c>
      <c r="H42" s="143" t="s">
        <v>224</v>
      </c>
      <c r="I42" s="143" t="s">
        <v>344</v>
      </c>
      <c r="J42" s="143" t="s">
        <v>1308</v>
      </c>
      <c r="K42" s="143" t="s">
        <v>423</v>
      </c>
      <c r="L42" s="143" t="s">
        <v>1211</v>
      </c>
      <c r="M42" s="144">
        <v>7.7590000000000003</v>
      </c>
      <c r="N42" s="143" t="s">
        <v>1313</v>
      </c>
      <c r="O42" s="146">
        <v>0.04</v>
      </c>
      <c r="P42" s="146">
        <v>4.3999999999999997E-2</v>
      </c>
      <c r="Q42" s="145" t="s">
        <v>3876</v>
      </c>
      <c r="R42" s="144">
        <v>2000</v>
      </c>
      <c r="S42" s="143" t="s">
        <v>1212</v>
      </c>
      <c r="T42" s="143" t="s">
        <v>1314</v>
      </c>
      <c r="U42" s="144">
        <v>7.3961999999999994</v>
      </c>
      <c r="V42" s="145" t="s">
        <v>3876</v>
      </c>
      <c r="W42" s="145" t="s">
        <v>3876</v>
      </c>
      <c r="X42" s="146">
        <v>4.761904761904762E-8</v>
      </c>
      <c r="Y42" s="146">
        <v>6.5704630221836563E-3</v>
      </c>
      <c r="Z42" s="147">
        <v>3.5120198183302919E-3</v>
      </c>
      <c r="AA42" s="183"/>
    </row>
    <row r="43" spans="1:27" ht="15" x14ac:dyDescent="0.2">
      <c r="A43" s="142" t="s">
        <v>1205</v>
      </c>
      <c r="B43" s="143" t="s">
        <v>1205</v>
      </c>
      <c r="C43" s="143" t="s">
        <v>1225</v>
      </c>
      <c r="D43" s="143" t="s">
        <v>1231</v>
      </c>
      <c r="E43" s="143" t="s">
        <v>1232</v>
      </c>
      <c r="F43" s="143" t="s">
        <v>943</v>
      </c>
      <c r="G43" s="143" t="s">
        <v>204</v>
      </c>
      <c r="H43" s="143" t="s">
        <v>204</v>
      </c>
      <c r="I43" s="143" t="s">
        <v>340</v>
      </c>
      <c r="J43" s="143" t="s">
        <v>1228</v>
      </c>
      <c r="K43" s="143" t="s">
        <v>312</v>
      </c>
      <c r="L43" s="143" t="s">
        <v>1210</v>
      </c>
      <c r="M43" s="144">
        <v>1.32</v>
      </c>
      <c r="N43" s="143" t="s">
        <v>1233</v>
      </c>
      <c r="O43" s="146">
        <v>7.5209999999999999E-3</v>
      </c>
      <c r="P43" s="146">
        <v>1.5337999999999999E-2</v>
      </c>
      <c r="Q43" s="145" t="s">
        <v>3876</v>
      </c>
      <c r="R43" s="144">
        <v>13805304</v>
      </c>
      <c r="S43" s="145" t="s">
        <v>3876</v>
      </c>
      <c r="T43" s="143" t="s">
        <v>1234</v>
      </c>
      <c r="U43" s="144">
        <v>15667.639499999999</v>
      </c>
      <c r="V43" s="145" t="s">
        <v>3876</v>
      </c>
      <c r="W43" s="145" t="s">
        <v>3876</v>
      </c>
      <c r="X43" s="146">
        <v>6.3610916110534428E-4</v>
      </c>
      <c r="Y43" s="146">
        <v>0.1185185741946321</v>
      </c>
      <c r="Z43" s="147">
        <v>1.5757301816598086E-2</v>
      </c>
      <c r="AA43" s="183"/>
    </row>
    <row r="44" spans="1:27" ht="15" x14ac:dyDescent="0.2">
      <c r="A44" s="142" t="s">
        <v>1205</v>
      </c>
      <c r="B44" s="143" t="s">
        <v>1205</v>
      </c>
      <c r="C44" s="143" t="s">
        <v>1225</v>
      </c>
      <c r="D44" s="143" t="s">
        <v>1226</v>
      </c>
      <c r="E44" s="143" t="s">
        <v>1227</v>
      </c>
      <c r="F44" s="143" t="s">
        <v>943</v>
      </c>
      <c r="G44" s="143" t="s">
        <v>204</v>
      </c>
      <c r="H44" s="143" t="s">
        <v>204</v>
      </c>
      <c r="I44" s="143" t="s">
        <v>340</v>
      </c>
      <c r="J44" s="143" t="s">
        <v>1228</v>
      </c>
      <c r="K44" s="143" t="s">
        <v>312</v>
      </c>
      <c r="L44" s="143" t="s">
        <v>1210</v>
      </c>
      <c r="M44" s="144">
        <v>7.39</v>
      </c>
      <c r="N44" s="143" t="s">
        <v>1229</v>
      </c>
      <c r="O44" s="146">
        <v>1E-3</v>
      </c>
      <c r="P44" s="146">
        <v>2.1850000000000001E-2</v>
      </c>
      <c r="Q44" s="145" t="s">
        <v>3876</v>
      </c>
      <c r="R44" s="144">
        <v>14619425</v>
      </c>
      <c r="S44" s="145" t="s">
        <v>3876</v>
      </c>
      <c r="T44" s="143" t="s">
        <v>1230</v>
      </c>
      <c r="U44" s="144">
        <v>14275.8685</v>
      </c>
      <c r="V44" s="145" t="s">
        <v>3876</v>
      </c>
      <c r="W44" s="145" t="s">
        <v>3876</v>
      </c>
      <c r="X44" s="146">
        <v>4.7613952127140895E-4</v>
      </c>
      <c r="Y44" s="146">
        <v>0.10799045896191542</v>
      </c>
      <c r="Z44" s="147">
        <v>1.4357566033332526E-2</v>
      </c>
      <c r="AA44" s="183"/>
    </row>
    <row r="45" spans="1:27" ht="15" x14ac:dyDescent="0.2">
      <c r="A45" s="142" t="s">
        <v>1205</v>
      </c>
      <c r="B45" s="143" t="s">
        <v>1205</v>
      </c>
      <c r="C45" s="143" t="s">
        <v>1225</v>
      </c>
      <c r="D45" s="143" t="s">
        <v>1243</v>
      </c>
      <c r="E45" s="143" t="s">
        <v>1244</v>
      </c>
      <c r="F45" s="143" t="s">
        <v>943</v>
      </c>
      <c r="G45" s="143" t="s">
        <v>204</v>
      </c>
      <c r="H45" s="143" t="s">
        <v>204</v>
      </c>
      <c r="I45" s="143" t="s">
        <v>340</v>
      </c>
      <c r="J45" s="143" t="s">
        <v>1228</v>
      </c>
      <c r="K45" s="143" t="s">
        <v>312</v>
      </c>
      <c r="L45" s="143" t="s">
        <v>1210</v>
      </c>
      <c r="M45" s="144">
        <v>4.22</v>
      </c>
      <c r="N45" s="143" t="s">
        <v>1245</v>
      </c>
      <c r="O45" s="146">
        <v>1.0999999999999999E-2</v>
      </c>
      <c r="P45" s="146">
        <v>1.9415999999999999E-2</v>
      </c>
      <c r="Q45" s="145" t="s">
        <v>3876</v>
      </c>
      <c r="R45" s="144">
        <v>5144047</v>
      </c>
      <c r="S45" s="145" t="s">
        <v>3876</v>
      </c>
      <c r="T45" s="143" t="s">
        <v>1246</v>
      </c>
      <c r="U45" s="144">
        <v>5143.0182000000004</v>
      </c>
      <c r="V45" s="145" t="s">
        <v>3876</v>
      </c>
      <c r="W45" s="145" t="s">
        <v>3876</v>
      </c>
      <c r="X45" s="146">
        <v>3.2714373377611805E-4</v>
      </c>
      <c r="Y45" s="146">
        <v>3.8904595847605791E-2</v>
      </c>
      <c r="Z45" s="147">
        <v>5.172450503975589E-3</v>
      </c>
      <c r="AA45" s="183"/>
    </row>
    <row r="46" spans="1:27" ht="15" x14ac:dyDescent="0.2">
      <c r="A46" s="142" t="s">
        <v>1205</v>
      </c>
      <c r="B46" s="143" t="s">
        <v>1205</v>
      </c>
      <c r="C46" s="143" t="s">
        <v>1225</v>
      </c>
      <c r="D46" s="143" t="s">
        <v>1239</v>
      </c>
      <c r="E46" s="143" t="s">
        <v>1240</v>
      </c>
      <c r="F46" s="143" t="s">
        <v>943</v>
      </c>
      <c r="G46" s="143" t="s">
        <v>204</v>
      </c>
      <c r="H46" s="143" t="s">
        <v>204</v>
      </c>
      <c r="I46" s="143" t="s">
        <v>340</v>
      </c>
      <c r="J46" s="143" t="s">
        <v>1228</v>
      </c>
      <c r="K46" s="143" t="s">
        <v>312</v>
      </c>
      <c r="L46" s="143" t="s">
        <v>1210</v>
      </c>
      <c r="M46" s="144">
        <v>2.89</v>
      </c>
      <c r="N46" s="143" t="s">
        <v>1241</v>
      </c>
      <c r="O46" s="146">
        <v>7.4999999999999997E-3</v>
      </c>
      <c r="P46" s="146">
        <v>1.7389999999999999E-2</v>
      </c>
      <c r="Q46" s="145" t="s">
        <v>3876</v>
      </c>
      <c r="R46" s="144">
        <v>2208629</v>
      </c>
      <c r="S46" s="145" t="s">
        <v>3876</v>
      </c>
      <c r="T46" s="143" t="s">
        <v>1242</v>
      </c>
      <c r="U46" s="144">
        <v>2466.1550999999999</v>
      </c>
      <c r="V46" s="145" t="s">
        <v>3876</v>
      </c>
      <c r="W46" s="145" t="s">
        <v>3876</v>
      </c>
      <c r="X46" s="146">
        <v>9.9083231450937897E-5</v>
      </c>
      <c r="Y46" s="146">
        <v>1.8655343130814187E-2</v>
      </c>
      <c r="Z46" s="147">
        <v>2.4802683815762006E-3</v>
      </c>
      <c r="AA46" s="183"/>
    </row>
    <row r="47" spans="1:27" ht="15" x14ac:dyDescent="0.2">
      <c r="A47" s="142" t="s">
        <v>1205</v>
      </c>
      <c r="B47" s="143" t="s">
        <v>1205</v>
      </c>
      <c r="C47" s="143" t="s">
        <v>1225</v>
      </c>
      <c r="D47" s="143" t="s">
        <v>1247</v>
      </c>
      <c r="E47" s="143" t="s">
        <v>1248</v>
      </c>
      <c r="F47" s="143" t="s">
        <v>943</v>
      </c>
      <c r="G47" s="143" t="s">
        <v>204</v>
      </c>
      <c r="H47" s="143" t="s">
        <v>204</v>
      </c>
      <c r="I47" s="143" t="s">
        <v>340</v>
      </c>
      <c r="J47" s="143" t="s">
        <v>1228</v>
      </c>
      <c r="K47" s="143" t="s">
        <v>312</v>
      </c>
      <c r="L47" s="143" t="s">
        <v>1210</v>
      </c>
      <c r="M47" s="144">
        <v>4.8600000000000003</v>
      </c>
      <c r="N47" s="143" t="s">
        <v>1249</v>
      </c>
      <c r="O47" s="146">
        <v>5.0000000000000001E-3</v>
      </c>
      <c r="P47" s="146">
        <v>1.9880999999999999E-2</v>
      </c>
      <c r="Q47" s="145" t="s">
        <v>3876</v>
      </c>
      <c r="R47" s="144">
        <v>851223</v>
      </c>
      <c r="S47" s="145" t="s">
        <v>3876</v>
      </c>
      <c r="T47" s="143" t="s">
        <v>1250</v>
      </c>
      <c r="U47" s="144">
        <v>901.01949999999999</v>
      </c>
      <c r="V47" s="145" t="s">
        <v>3876</v>
      </c>
      <c r="W47" s="145" t="s">
        <v>3876</v>
      </c>
      <c r="X47" s="146">
        <v>3.5361366304340853E-5</v>
      </c>
      <c r="Y47" s="146">
        <v>6.815803477526001E-3</v>
      </c>
      <c r="Z47" s="147">
        <v>9.0617587367888071E-4</v>
      </c>
      <c r="AA47" s="183"/>
    </row>
    <row r="48" spans="1:27" ht="15" x14ac:dyDescent="0.2">
      <c r="A48" s="142" t="s">
        <v>1205</v>
      </c>
      <c r="B48" s="143" t="s">
        <v>1205</v>
      </c>
      <c r="C48" s="143" t="s">
        <v>1225</v>
      </c>
      <c r="D48" s="143" t="s">
        <v>1251</v>
      </c>
      <c r="E48" s="143" t="s">
        <v>1252</v>
      </c>
      <c r="F48" s="143" t="s">
        <v>943</v>
      </c>
      <c r="G48" s="143" t="s">
        <v>204</v>
      </c>
      <c r="H48" s="143" t="s">
        <v>204</v>
      </c>
      <c r="I48" s="143" t="s">
        <v>340</v>
      </c>
      <c r="J48" s="143" t="s">
        <v>1228</v>
      </c>
      <c r="K48" s="143" t="s">
        <v>312</v>
      </c>
      <c r="L48" s="143" t="s">
        <v>1210</v>
      </c>
      <c r="M48" s="144">
        <v>9.8800000000000008</v>
      </c>
      <c r="N48" s="143" t="s">
        <v>1253</v>
      </c>
      <c r="O48" s="146">
        <v>4.011E-2</v>
      </c>
      <c r="P48" s="146">
        <v>2.3077E-2</v>
      </c>
      <c r="Q48" s="145" t="s">
        <v>3876</v>
      </c>
      <c r="R48" s="144">
        <v>547217</v>
      </c>
      <c r="S48" s="145" t="s">
        <v>3876</v>
      </c>
      <c r="T48" s="143" t="s">
        <v>1254</v>
      </c>
      <c r="U48" s="144">
        <v>870.51280000000008</v>
      </c>
      <c r="V48" s="145" t="s">
        <v>3876</v>
      </c>
      <c r="W48" s="145" t="s">
        <v>3876</v>
      </c>
      <c r="X48" s="146">
        <v>3.4346384198191564E-5</v>
      </c>
      <c r="Y48" s="146">
        <v>6.5850338359921719E-3</v>
      </c>
      <c r="Z48" s="147">
        <v>8.7549454869276407E-4</v>
      </c>
      <c r="AA48" s="183"/>
    </row>
    <row r="49" spans="1:27" ht="15" x14ac:dyDescent="0.2">
      <c r="A49" s="142" t="s">
        <v>1205</v>
      </c>
      <c r="B49" s="143" t="s">
        <v>1205</v>
      </c>
      <c r="C49" s="143" t="s">
        <v>1225</v>
      </c>
      <c r="D49" s="143" t="s">
        <v>1255</v>
      </c>
      <c r="E49" s="143" t="s">
        <v>1256</v>
      </c>
      <c r="F49" s="143" t="s">
        <v>945</v>
      </c>
      <c r="G49" s="143" t="s">
        <v>204</v>
      </c>
      <c r="H49" s="143" t="s">
        <v>204</v>
      </c>
      <c r="I49" s="143" t="s">
        <v>340</v>
      </c>
      <c r="J49" s="143" t="s">
        <v>1228</v>
      </c>
      <c r="K49" s="143" t="s">
        <v>312</v>
      </c>
      <c r="L49" s="143" t="s">
        <v>1210</v>
      </c>
      <c r="M49" s="144">
        <v>11.5</v>
      </c>
      <c r="N49" s="143" t="s">
        <v>1257</v>
      </c>
      <c r="O49" s="146">
        <v>1.5041000000000001E-2</v>
      </c>
      <c r="P49" s="146">
        <v>5.2136000000000002E-2</v>
      </c>
      <c r="Q49" s="145" t="s">
        <v>3876</v>
      </c>
      <c r="R49" s="144">
        <v>25536352</v>
      </c>
      <c r="S49" s="145" t="s">
        <v>3876</v>
      </c>
      <c r="T49" s="143" t="s">
        <v>1258</v>
      </c>
      <c r="U49" s="144">
        <v>16810.5805</v>
      </c>
      <c r="V49" s="145" t="s">
        <v>3876</v>
      </c>
      <c r="W49" s="145" t="s">
        <v>3876</v>
      </c>
      <c r="X49" s="146">
        <v>7.9605675529606892E-4</v>
      </c>
      <c r="Y49" s="146">
        <v>0.12716440364761447</v>
      </c>
      <c r="Z49" s="147">
        <v>1.6906783617836683E-2</v>
      </c>
      <c r="AA49" s="183"/>
    </row>
    <row r="50" spans="1:27" ht="15" x14ac:dyDescent="0.2">
      <c r="A50" s="142" t="s">
        <v>1205</v>
      </c>
      <c r="B50" s="143" t="s">
        <v>1205</v>
      </c>
      <c r="C50" s="143" t="s">
        <v>1225</v>
      </c>
      <c r="D50" s="143" t="s">
        <v>1315</v>
      </c>
      <c r="E50" s="143" t="s">
        <v>1316</v>
      </c>
      <c r="F50" s="143" t="s">
        <v>945</v>
      </c>
      <c r="G50" s="143" t="s">
        <v>204</v>
      </c>
      <c r="H50" s="143" t="s">
        <v>204</v>
      </c>
      <c r="I50" s="143" t="s">
        <v>340</v>
      </c>
      <c r="J50" s="143" t="s">
        <v>1228</v>
      </c>
      <c r="K50" s="143" t="s">
        <v>312</v>
      </c>
      <c r="L50" s="143" t="s">
        <v>1210</v>
      </c>
      <c r="M50" s="144">
        <v>0.42</v>
      </c>
      <c r="N50" s="143" t="s">
        <v>1317</v>
      </c>
      <c r="O50" s="143" t="s">
        <v>1266</v>
      </c>
      <c r="P50" s="146">
        <v>4.3450999999999997E-2</v>
      </c>
      <c r="Q50" s="145" t="s">
        <v>3876</v>
      </c>
      <c r="R50" s="144">
        <v>15274886</v>
      </c>
      <c r="S50" s="145" t="s">
        <v>3876</v>
      </c>
      <c r="T50" s="143" t="s">
        <v>1318</v>
      </c>
      <c r="U50" s="144">
        <v>15001.4655</v>
      </c>
      <c r="V50" s="145" t="s">
        <v>3876</v>
      </c>
      <c r="W50" s="145" t="s">
        <v>3876</v>
      </c>
      <c r="X50" s="146">
        <v>1.0910632857142858E-3</v>
      </c>
      <c r="Y50" s="146">
        <v>0.11347927079968982</v>
      </c>
      <c r="Z50" s="147">
        <v>1.5087315486783553E-2</v>
      </c>
      <c r="AA50" s="183"/>
    </row>
    <row r="51" spans="1:27" ht="15" x14ac:dyDescent="0.2">
      <c r="A51" s="142" t="s">
        <v>1205</v>
      </c>
      <c r="B51" s="143" t="s">
        <v>1205</v>
      </c>
      <c r="C51" s="143" t="s">
        <v>1225</v>
      </c>
      <c r="D51" s="143" t="s">
        <v>1259</v>
      </c>
      <c r="E51" s="143" t="s">
        <v>1260</v>
      </c>
      <c r="F51" s="143" t="s">
        <v>945</v>
      </c>
      <c r="G51" s="143" t="s">
        <v>204</v>
      </c>
      <c r="H51" s="143" t="s">
        <v>204</v>
      </c>
      <c r="I51" s="143" t="s">
        <v>340</v>
      </c>
      <c r="J51" s="143" t="s">
        <v>1228</v>
      </c>
      <c r="K51" s="143" t="s">
        <v>312</v>
      </c>
      <c r="L51" s="143" t="s">
        <v>1210</v>
      </c>
      <c r="M51" s="144">
        <v>7.42</v>
      </c>
      <c r="N51" s="143" t="s">
        <v>1261</v>
      </c>
      <c r="O51" s="146">
        <v>1.2999999999999999E-2</v>
      </c>
      <c r="P51" s="146">
        <v>4.9000000000000002E-2</v>
      </c>
      <c r="Q51" s="145" t="s">
        <v>3876</v>
      </c>
      <c r="R51" s="144">
        <v>12985204</v>
      </c>
      <c r="S51" s="145" t="s">
        <v>3876</v>
      </c>
      <c r="T51" s="143" t="s">
        <v>1262</v>
      </c>
      <c r="U51" s="144">
        <v>10032.3686</v>
      </c>
      <c r="V51" s="145" t="s">
        <v>3876</v>
      </c>
      <c r="W51" s="145" t="s">
        <v>3876</v>
      </c>
      <c r="X51" s="146">
        <v>4.3279839714123567E-4</v>
      </c>
      <c r="Y51" s="146">
        <v>7.5890310264736666E-2</v>
      </c>
      <c r="Z51" s="147">
        <v>1.0089781554686372E-2</v>
      </c>
      <c r="AA51" s="183"/>
    </row>
    <row r="52" spans="1:27" ht="15" x14ac:dyDescent="0.2">
      <c r="A52" s="142" t="s">
        <v>1205</v>
      </c>
      <c r="B52" s="143" t="s">
        <v>1205</v>
      </c>
      <c r="C52" s="143" t="s">
        <v>1225</v>
      </c>
      <c r="D52" s="143" t="s">
        <v>1319</v>
      </c>
      <c r="E52" s="143" t="s">
        <v>1320</v>
      </c>
      <c r="F52" s="143" t="s">
        <v>945</v>
      </c>
      <c r="G52" s="143" t="s">
        <v>204</v>
      </c>
      <c r="H52" s="143" t="s">
        <v>204</v>
      </c>
      <c r="I52" s="143" t="s">
        <v>340</v>
      </c>
      <c r="J52" s="143" t="s">
        <v>1228</v>
      </c>
      <c r="K52" s="143" t="s">
        <v>312</v>
      </c>
      <c r="L52" s="143" t="s">
        <v>1210</v>
      </c>
      <c r="M52" s="144">
        <v>0.1</v>
      </c>
      <c r="N52" s="143" t="s">
        <v>1321</v>
      </c>
      <c r="O52" s="143" t="s">
        <v>1266</v>
      </c>
      <c r="P52" s="146">
        <v>4.3596000000000003E-2</v>
      </c>
      <c r="Q52" s="145" t="s">
        <v>3876</v>
      </c>
      <c r="R52" s="144">
        <v>8601311</v>
      </c>
      <c r="S52" s="145" t="s">
        <v>3876</v>
      </c>
      <c r="T52" s="143" t="s">
        <v>1322</v>
      </c>
      <c r="U52" s="144">
        <v>8565.1854999999996</v>
      </c>
      <c r="V52" s="145" t="s">
        <v>3876</v>
      </c>
      <c r="W52" s="145" t="s">
        <v>3876</v>
      </c>
      <c r="X52" s="146">
        <v>1.9548434090909092E-4</v>
      </c>
      <c r="Y52" s="146">
        <v>6.4791736611997053E-2</v>
      </c>
      <c r="Z52" s="147">
        <v>8.6142020856592953E-3</v>
      </c>
      <c r="AA52" s="183"/>
    </row>
    <row r="53" spans="1:27" ht="15" x14ac:dyDescent="0.2">
      <c r="A53" s="142" t="s">
        <v>1205</v>
      </c>
      <c r="B53" s="143" t="s">
        <v>1205</v>
      </c>
      <c r="C53" s="143" t="s">
        <v>1225</v>
      </c>
      <c r="D53" s="143" t="s">
        <v>1268</v>
      </c>
      <c r="E53" s="143" t="s">
        <v>1269</v>
      </c>
      <c r="F53" s="143" t="s">
        <v>945</v>
      </c>
      <c r="G53" s="143" t="s">
        <v>204</v>
      </c>
      <c r="H53" s="143" t="s">
        <v>204</v>
      </c>
      <c r="I53" s="143" t="s">
        <v>340</v>
      </c>
      <c r="J53" s="143" t="s">
        <v>1228</v>
      </c>
      <c r="K53" s="143" t="s">
        <v>312</v>
      </c>
      <c r="L53" s="143" t="s">
        <v>1210</v>
      </c>
      <c r="M53" s="144">
        <v>11.51</v>
      </c>
      <c r="N53" s="143" t="s">
        <v>1270</v>
      </c>
      <c r="O53" s="146">
        <v>5.5E-2</v>
      </c>
      <c r="P53" s="146">
        <v>5.3379000000000003E-2</v>
      </c>
      <c r="Q53" s="145" t="s">
        <v>3876</v>
      </c>
      <c r="R53" s="144">
        <v>7323776</v>
      </c>
      <c r="S53" s="145" t="s">
        <v>3876</v>
      </c>
      <c r="T53" s="143" t="s">
        <v>1271</v>
      </c>
      <c r="U53" s="144">
        <v>7623.3184000000001</v>
      </c>
      <c r="V53" s="145" t="s">
        <v>3876</v>
      </c>
      <c r="W53" s="145" t="s">
        <v>3876</v>
      </c>
      <c r="X53" s="146">
        <v>3.7931218415397053E-4</v>
      </c>
      <c r="Y53" s="146">
        <v>5.7666940281413462E-2</v>
      </c>
      <c r="Z53" s="147">
        <v>7.666944941151047E-3</v>
      </c>
      <c r="AA53" s="183"/>
    </row>
    <row r="54" spans="1:27" ht="15" x14ac:dyDescent="0.2">
      <c r="A54" s="142" t="s">
        <v>1205</v>
      </c>
      <c r="B54" s="143" t="s">
        <v>1205</v>
      </c>
      <c r="C54" s="143" t="s">
        <v>1225</v>
      </c>
      <c r="D54" s="143" t="s">
        <v>1284</v>
      </c>
      <c r="E54" s="143" t="s">
        <v>1285</v>
      </c>
      <c r="F54" s="143" t="s">
        <v>945</v>
      </c>
      <c r="G54" s="143" t="s">
        <v>204</v>
      </c>
      <c r="H54" s="143" t="s">
        <v>204</v>
      </c>
      <c r="I54" s="143" t="s">
        <v>340</v>
      </c>
      <c r="J54" s="143" t="s">
        <v>1228</v>
      </c>
      <c r="K54" s="143" t="s">
        <v>312</v>
      </c>
      <c r="L54" s="143" t="s">
        <v>1210</v>
      </c>
      <c r="M54" s="144">
        <v>14.48</v>
      </c>
      <c r="N54" s="143" t="s">
        <v>1286</v>
      </c>
      <c r="O54" s="146">
        <v>3.7602999999999998E-2</v>
      </c>
      <c r="P54" s="146">
        <v>5.4753999999999997E-2</v>
      </c>
      <c r="Q54" s="145" t="s">
        <v>3876</v>
      </c>
      <c r="R54" s="144">
        <v>9261009</v>
      </c>
      <c r="S54" s="145" t="s">
        <v>3876</v>
      </c>
      <c r="T54" s="143" t="s">
        <v>1287</v>
      </c>
      <c r="U54" s="144">
        <v>7296.7489999999998</v>
      </c>
      <c r="V54" s="145" t="s">
        <v>3876</v>
      </c>
      <c r="W54" s="145" t="s">
        <v>3876</v>
      </c>
      <c r="X54" s="146">
        <v>3.5284948087747811E-4</v>
      </c>
      <c r="Y54" s="146">
        <v>5.5196590791574254E-2</v>
      </c>
      <c r="Z54" s="147">
        <v>7.3385066118141539E-3</v>
      </c>
      <c r="AA54" s="183"/>
    </row>
    <row r="55" spans="1:27" ht="15" x14ac:dyDescent="0.2">
      <c r="A55" s="142" t="s">
        <v>1205</v>
      </c>
      <c r="B55" s="143" t="s">
        <v>1205</v>
      </c>
      <c r="C55" s="143" t="s">
        <v>1292</v>
      </c>
      <c r="D55" s="143" t="s">
        <v>1297</v>
      </c>
      <c r="E55" s="143" t="s">
        <v>1298</v>
      </c>
      <c r="F55" s="143" t="s">
        <v>945</v>
      </c>
      <c r="G55" s="143" t="s">
        <v>204</v>
      </c>
      <c r="H55" s="143" t="s">
        <v>204</v>
      </c>
      <c r="I55" s="143" t="s">
        <v>340</v>
      </c>
      <c r="J55" s="143" t="s">
        <v>1224</v>
      </c>
      <c r="K55" s="143" t="s">
        <v>413</v>
      </c>
      <c r="L55" s="143" t="s">
        <v>1210</v>
      </c>
      <c r="M55" s="144">
        <v>4.3099999999999996</v>
      </c>
      <c r="N55" s="143" t="s">
        <v>1299</v>
      </c>
      <c r="O55" s="146">
        <v>3.7284200000000003E-2</v>
      </c>
      <c r="P55" s="146">
        <v>4.6670999999999997E-2</v>
      </c>
      <c r="Q55" s="145" t="s">
        <v>3876</v>
      </c>
      <c r="R55" s="144">
        <v>6370527</v>
      </c>
      <c r="S55" s="145" t="s">
        <v>3876</v>
      </c>
      <c r="T55" s="143" t="s">
        <v>1300</v>
      </c>
      <c r="U55" s="144">
        <v>6210.6268</v>
      </c>
      <c r="V55" s="145" t="s">
        <v>3876</v>
      </c>
      <c r="W55" s="145" t="s">
        <v>3876</v>
      </c>
      <c r="X55" s="146">
        <v>2.4137516995270954E-4</v>
      </c>
      <c r="Y55" s="146">
        <v>4.6980569693155921E-2</v>
      </c>
      <c r="Z55" s="147">
        <v>6.2461687646956816E-3</v>
      </c>
      <c r="AA55" s="183"/>
    </row>
    <row r="56" spans="1:27" ht="15" x14ac:dyDescent="0.2">
      <c r="A56" s="142" t="s">
        <v>1205</v>
      </c>
      <c r="B56" s="143" t="s">
        <v>1205</v>
      </c>
      <c r="C56" s="143" t="s">
        <v>1225</v>
      </c>
      <c r="D56" s="143" t="s">
        <v>1276</v>
      </c>
      <c r="E56" s="143" t="s">
        <v>1277</v>
      </c>
      <c r="F56" s="143" t="s">
        <v>945</v>
      </c>
      <c r="G56" s="143" t="s">
        <v>204</v>
      </c>
      <c r="H56" s="143" t="s">
        <v>204</v>
      </c>
      <c r="I56" s="143" t="s">
        <v>340</v>
      </c>
      <c r="J56" s="143" t="s">
        <v>1228</v>
      </c>
      <c r="K56" s="143" t="s">
        <v>312</v>
      </c>
      <c r="L56" s="143" t="s">
        <v>1210</v>
      </c>
      <c r="M56" s="144">
        <v>0.6</v>
      </c>
      <c r="N56" s="143" t="s">
        <v>1278</v>
      </c>
      <c r="O56" s="143" t="s">
        <v>1266</v>
      </c>
      <c r="P56" s="146">
        <v>4.3658000000000002E-2</v>
      </c>
      <c r="Q56" s="145" t="s">
        <v>3876</v>
      </c>
      <c r="R56" s="144">
        <v>4787570</v>
      </c>
      <c r="S56" s="145" t="s">
        <v>3876</v>
      </c>
      <c r="T56" s="143" t="s">
        <v>1279</v>
      </c>
      <c r="U56" s="144">
        <v>4666.9232000000002</v>
      </c>
      <c r="V56" s="145" t="s">
        <v>3876</v>
      </c>
      <c r="W56" s="145" t="s">
        <v>3876</v>
      </c>
      <c r="X56" s="146">
        <v>3.9896416666666666E-4</v>
      </c>
      <c r="Y56" s="146">
        <v>3.5303153832943898E-2</v>
      </c>
      <c r="Z56" s="147">
        <v>4.6936309671592683E-3</v>
      </c>
      <c r="AA56" s="183"/>
    </row>
    <row r="57" spans="1:27" ht="15" x14ac:dyDescent="0.2">
      <c r="A57" s="142" t="s">
        <v>1205</v>
      </c>
      <c r="B57" s="143" t="s">
        <v>1205</v>
      </c>
      <c r="C57" s="143" t="s">
        <v>1225</v>
      </c>
      <c r="D57" s="143" t="s">
        <v>1288</v>
      </c>
      <c r="E57" s="143" t="s">
        <v>1289</v>
      </c>
      <c r="F57" s="143" t="s">
        <v>945</v>
      </c>
      <c r="G57" s="143" t="s">
        <v>204</v>
      </c>
      <c r="H57" s="143" t="s">
        <v>204</v>
      </c>
      <c r="I57" s="143" t="s">
        <v>340</v>
      </c>
      <c r="J57" s="143" t="s">
        <v>1228</v>
      </c>
      <c r="K57" s="143" t="s">
        <v>312</v>
      </c>
      <c r="L57" s="143" t="s">
        <v>1210</v>
      </c>
      <c r="M57" s="144">
        <v>0.85</v>
      </c>
      <c r="N57" s="143" t="s">
        <v>1290</v>
      </c>
      <c r="O57" s="143" t="s">
        <v>1266</v>
      </c>
      <c r="P57" s="146">
        <v>4.3234000000000002E-2</v>
      </c>
      <c r="Q57" s="145" t="s">
        <v>3876</v>
      </c>
      <c r="R57" s="144">
        <v>3440845</v>
      </c>
      <c r="S57" s="145" t="s">
        <v>3876</v>
      </c>
      <c r="T57" s="143" t="s">
        <v>1291</v>
      </c>
      <c r="U57" s="144">
        <v>3319.7273</v>
      </c>
      <c r="V57" s="145" t="s">
        <v>3876</v>
      </c>
      <c r="W57" s="145" t="s">
        <v>3876</v>
      </c>
      <c r="X57" s="146">
        <v>2.4577464285714288E-4</v>
      </c>
      <c r="Y57" s="146">
        <v>2.5112228351635294E-2</v>
      </c>
      <c r="Z57" s="147">
        <v>3.338725293591751E-3</v>
      </c>
      <c r="AA57" s="183"/>
    </row>
    <row r="58" spans="1:27" ht="15" x14ac:dyDescent="0.2">
      <c r="A58" s="142" t="s">
        <v>1205</v>
      </c>
      <c r="B58" s="143" t="s">
        <v>1205</v>
      </c>
      <c r="C58" s="143" t="s">
        <v>1225</v>
      </c>
      <c r="D58" s="143" t="s">
        <v>1272</v>
      </c>
      <c r="E58" s="143" t="s">
        <v>1273</v>
      </c>
      <c r="F58" s="143" t="s">
        <v>945</v>
      </c>
      <c r="G58" s="143" t="s">
        <v>204</v>
      </c>
      <c r="H58" s="143" t="s">
        <v>204</v>
      </c>
      <c r="I58" s="143" t="s">
        <v>340</v>
      </c>
      <c r="J58" s="143" t="s">
        <v>1228</v>
      </c>
      <c r="K58" s="143" t="s">
        <v>312</v>
      </c>
      <c r="L58" s="143" t="s">
        <v>1210</v>
      </c>
      <c r="M58" s="144">
        <v>0.67</v>
      </c>
      <c r="N58" s="143" t="s">
        <v>1274</v>
      </c>
      <c r="O58" s="143" t="s">
        <v>1266</v>
      </c>
      <c r="P58" s="146">
        <v>4.3515999999999999E-2</v>
      </c>
      <c r="Q58" s="145" t="s">
        <v>3876</v>
      </c>
      <c r="R58" s="144">
        <v>3411572.8</v>
      </c>
      <c r="S58" s="145" t="s">
        <v>3876</v>
      </c>
      <c r="T58" s="143" t="s">
        <v>1275</v>
      </c>
      <c r="U58" s="144">
        <v>3315.0252999999998</v>
      </c>
      <c r="V58" s="145" t="s">
        <v>3876</v>
      </c>
      <c r="W58" s="145" t="s">
        <v>3876</v>
      </c>
      <c r="X58" s="146">
        <v>2.8429773333333333E-4</v>
      </c>
      <c r="Y58" s="146">
        <v>2.507666011339911E-2</v>
      </c>
      <c r="Z58" s="147">
        <v>3.333996419077518E-3</v>
      </c>
      <c r="AA58" s="183"/>
    </row>
    <row r="59" spans="1:27" ht="15" x14ac:dyDescent="0.2">
      <c r="A59" s="142" t="s">
        <v>1205</v>
      </c>
      <c r="B59" s="143" t="s">
        <v>1205</v>
      </c>
      <c r="C59" s="143" t="s">
        <v>1225</v>
      </c>
      <c r="D59" s="143" t="s">
        <v>1301</v>
      </c>
      <c r="E59" s="143" t="s">
        <v>1302</v>
      </c>
      <c r="F59" s="143" t="s">
        <v>945</v>
      </c>
      <c r="G59" s="143" t="s">
        <v>204</v>
      </c>
      <c r="H59" s="143" t="s">
        <v>204</v>
      </c>
      <c r="I59" s="143" t="s">
        <v>340</v>
      </c>
      <c r="J59" s="143" t="s">
        <v>1228</v>
      </c>
      <c r="K59" s="143" t="s">
        <v>312</v>
      </c>
      <c r="L59" s="143" t="s">
        <v>1210</v>
      </c>
      <c r="M59" s="144">
        <v>16.82</v>
      </c>
      <c r="N59" s="143" t="s">
        <v>1303</v>
      </c>
      <c r="O59" s="146">
        <v>2.8000000000000001E-2</v>
      </c>
      <c r="P59" s="146">
        <v>5.5648999999999997E-2</v>
      </c>
      <c r="Q59" s="145" t="s">
        <v>3876</v>
      </c>
      <c r="R59" s="144">
        <v>1845025</v>
      </c>
      <c r="S59" s="145" t="s">
        <v>3876</v>
      </c>
      <c r="T59" s="143" t="s">
        <v>1304</v>
      </c>
      <c r="U59" s="144">
        <v>1154.9857</v>
      </c>
      <c r="V59" s="145" t="s">
        <v>3876</v>
      </c>
      <c r="W59" s="145" t="s">
        <v>3876</v>
      </c>
      <c r="X59" s="146">
        <v>1.1064768981548894E-4</v>
      </c>
      <c r="Y59" s="146">
        <v>8.7369416668915401E-3</v>
      </c>
      <c r="Z59" s="147">
        <v>1.1615953679390187E-3</v>
      </c>
      <c r="AA59" s="183"/>
    </row>
    <row r="60" spans="1:27" ht="15" x14ac:dyDescent="0.2">
      <c r="A60" s="142" t="s">
        <v>1205</v>
      </c>
      <c r="B60" s="143" t="s">
        <v>1205</v>
      </c>
      <c r="C60" s="143" t="s">
        <v>1292</v>
      </c>
      <c r="D60" s="143" t="s">
        <v>1293</v>
      </c>
      <c r="E60" s="143" t="s">
        <v>1294</v>
      </c>
      <c r="F60" s="143" t="s">
        <v>945</v>
      </c>
      <c r="G60" s="143" t="s">
        <v>204</v>
      </c>
      <c r="H60" s="143" t="s">
        <v>204</v>
      </c>
      <c r="I60" s="143" t="s">
        <v>340</v>
      </c>
      <c r="J60" s="143" t="s">
        <v>1228</v>
      </c>
      <c r="K60" s="143" t="s">
        <v>312</v>
      </c>
      <c r="L60" s="143" t="s">
        <v>1210</v>
      </c>
      <c r="M60" s="144">
        <v>5.58</v>
      </c>
      <c r="N60" s="143" t="s">
        <v>1295</v>
      </c>
      <c r="O60" s="146">
        <v>1.0026999999999999E-2</v>
      </c>
      <c r="P60" s="146">
        <v>4.7578000000000002E-2</v>
      </c>
      <c r="Q60" s="145" t="s">
        <v>3876</v>
      </c>
      <c r="R60" s="144">
        <v>1219512</v>
      </c>
      <c r="S60" s="145" t="s">
        <v>3876</v>
      </c>
      <c r="T60" s="143" t="s">
        <v>1296</v>
      </c>
      <c r="U60" s="144">
        <v>996.70719999999994</v>
      </c>
      <c r="V60" s="145" t="s">
        <v>3876</v>
      </c>
      <c r="W60" s="145" t="s">
        <v>3876</v>
      </c>
      <c r="X60" s="146">
        <v>3.2300289574689571E-5</v>
      </c>
      <c r="Y60" s="146">
        <v>7.5396367867639515E-3</v>
      </c>
      <c r="Z60" s="147">
        <v>1.0024110840336636E-3</v>
      </c>
      <c r="AA60" s="183"/>
    </row>
    <row r="61" spans="1:27" ht="15" x14ac:dyDescent="0.2">
      <c r="A61" s="142" t="s">
        <v>1205</v>
      </c>
      <c r="B61" s="143" t="s">
        <v>1205</v>
      </c>
      <c r="C61" s="143" t="s">
        <v>1225</v>
      </c>
      <c r="D61" s="143" t="s">
        <v>1280</v>
      </c>
      <c r="E61" s="143" t="s">
        <v>1281</v>
      </c>
      <c r="F61" s="143" t="s">
        <v>945</v>
      </c>
      <c r="G61" s="143" t="s">
        <v>204</v>
      </c>
      <c r="H61" s="143" t="s">
        <v>204</v>
      </c>
      <c r="I61" s="143" t="s">
        <v>340</v>
      </c>
      <c r="J61" s="143" t="s">
        <v>1228</v>
      </c>
      <c r="K61" s="143" t="s">
        <v>314</v>
      </c>
      <c r="L61" s="143" t="s">
        <v>1210</v>
      </c>
      <c r="M61" s="144">
        <v>0.92</v>
      </c>
      <c r="N61" s="143" t="s">
        <v>1282</v>
      </c>
      <c r="O61" s="143" t="s">
        <v>1266</v>
      </c>
      <c r="P61" s="146">
        <v>4.3203999999999999E-2</v>
      </c>
      <c r="Q61" s="145" t="s">
        <v>3876</v>
      </c>
      <c r="R61" s="144">
        <v>950000</v>
      </c>
      <c r="S61" s="145" t="s">
        <v>3876</v>
      </c>
      <c r="T61" s="143" t="s">
        <v>1283</v>
      </c>
      <c r="U61" s="144">
        <v>913.61500000000001</v>
      </c>
      <c r="V61" s="145" t="s">
        <v>3876</v>
      </c>
      <c r="W61" s="145" t="s">
        <v>3876</v>
      </c>
      <c r="X61" s="146">
        <v>7.9166666666666662E-5</v>
      </c>
      <c r="Y61" s="146">
        <v>6.9110823679905588E-3</v>
      </c>
      <c r="Z61" s="147">
        <v>9.1884340907578087E-4</v>
      </c>
      <c r="AA61" s="183"/>
    </row>
    <row r="62" spans="1:27" ht="15" x14ac:dyDescent="0.2">
      <c r="A62" s="142" t="s">
        <v>1205</v>
      </c>
      <c r="B62" s="143" t="s">
        <v>1205</v>
      </c>
      <c r="C62" s="143" t="s">
        <v>1225</v>
      </c>
      <c r="D62" s="143" t="s">
        <v>1323</v>
      </c>
      <c r="E62" s="143" t="s">
        <v>1324</v>
      </c>
      <c r="F62" s="143" t="s">
        <v>945</v>
      </c>
      <c r="G62" s="143" t="s">
        <v>204</v>
      </c>
      <c r="H62" s="143" t="s">
        <v>204</v>
      </c>
      <c r="I62" s="143" t="s">
        <v>340</v>
      </c>
      <c r="J62" s="143" t="s">
        <v>1228</v>
      </c>
      <c r="K62" s="143" t="s">
        <v>312</v>
      </c>
      <c r="L62" s="143" t="s">
        <v>1210</v>
      </c>
      <c r="M62" s="144">
        <v>0.35</v>
      </c>
      <c r="N62" s="143" t="s">
        <v>1325</v>
      </c>
      <c r="O62" s="143" t="s">
        <v>1266</v>
      </c>
      <c r="P62" s="146">
        <v>4.3479999999999998E-2</v>
      </c>
      <c r="Q62" s="145" t="s">
        <v>3876</v>
      </c>
      <c r="R62" s="144">
        <v>347955</v>
      </c>
      <c r="S62" s="145" t="s">
        <v>3876</v>
      </c>
      <c r="T62" s="143" t="s">
        <v>1326</v>
      </c>
      <c r="U62" s="144">
        <v>342.84009999999995</v>
      </c>
      <c r="V62" s="145" t="s">
        <v>3876</v>
      </c>
      <c r="W62" s="145" t="s">
        <v>3876</v>
      </c>
      <c r="X62" s="146">
        <v>2.4853928571428571E-5</v>
      </c>
      <c r="Y62" s="146">
        <v>2.5934292936011876E-3</v>
      </c>
      <c r="Z62" s="147">
        <v>3.4480205652973121E-4</v>
      </c>
      <c r="AA62" s="183"/>
    </row>
    <row r="63" spans="1:27" ht="15" x14ac:dyDescent="0.2">
      <c r="A63" s="142" t="s">
        <v>1205</v>
      </c>
      <c r="B63" s="143" t="s">
        <v>1205</v>
      </c>
      <c r="C63" s="143" t="s">
        <v>1305</v>
      </c>
      <c r="D63" s="143" t="s">
        <v>1306</v>
      </c>
      <c r="E63" s="143" t="s">
        <v>1307</v>
      </c>
      <c r="F63" s="143" t="s">
        <v>947</v>
      </c>
      <c r="G63" s="143" t="s">
        <v>205</v>
      </c>
      <c r="H63" s="143" t="s">
        <v>224</v>
      </c>
      <c r="I63" s="143" t="s">
        <v>344</v>
      </c>
      <c r="J63" s="143" t="s">
        <v>1308</v>
      </c>
      <c r="K63" s="143" t="s">
        <v>423</v>
      </c>
      <c r="L63" s="143" t="s">
        <v>1211</v>
      </c>
      <c r="M63" s="144">
        <v>7.4589999999999996</v>
      </c>
      <c r="N63" s="143" t="s">
        <v>1309</v>
      </c>
      <c r="O63" s="146">
        <v>3.875E-2</v>
      </c>
      <c r="P63" s="146">
        <v>4.41E-2</v>
      </c>
      <c r="Q63" s="145" t="s">
        <v>3876</v>
      </c>
      <c r="R63" s="144">
        <v>987500</v>
      </c>
      <c r="S63" s="143" t="s">
        <v>1212</v>
      </c>
      <c r="T63" s="143" t="s">
        <v>1310</v>
      </c>
      <c r="U63" s="144">
        <v>3618.4515999999999</v>
      </c>
      <c r="V63" s="145" t="s">
        <v>3876</v>
      </c>
      <c r="W63" s="145" t="s">
        <v>3876</v>
      </c>
      <c r="X63" s="146">
        <v>2.5986842105263158E-5</v>
      </c>
      <c r="Y63" s="146">
        <v>2.7371941946043359E-2</v>
      </c>
      <c r="Z63" s="147">
        <v>3.6391591232097439E-3</v>
      </c>
      <c r="AA63" s="183"/>
    </row>
    <row r="64" spans="1:27" ht="15" x14ac:dyDescent="0.2">
      <c r="A64" s="142" t="s">
        <v>1205</v>
      </c>
      <c r="B64" s="143" t="s">
        <v>1205</v>
      </c>
      <c r="C64" s="143" t="s">
        <v>1305</v>
      </c>
      <c r="D64" s="143" t="s">
        <v>1311</v>
      </c>
      <c r="E64" s="143" t="s">
        <v>1312</v>
      </c>
      <c r="F64" s="143" t="s">
        <v>947</v>
      </c>
      <c r="G64" s="143" t="s">
        <v>205</v>
      </c>
      <c r="H64" s="143" t="s">
        <v>224</v>
      </c>
      <c r="I64" s="143" t="s">
        <v>344</v>
      </c>
      <c r="J64" s="143" t="s">
        <v>1308</v>
      </c>
      <c r="K64" s="143" t="s">
        <v>423</v>
      </c>
      <c r="L64" s="143" t="s">
        <v>1211</v>
      </c>
      <c r="M64" s="144">
        <v>7.7590000000000003</v>
      </c>
      <c r="N64" s="143" t="s">
        <v>1313</v>
      </c>
      <c r="O64" s="146">
        <v>0.04</v>
      </c>
      <c r="P64" s="146">
        <v>4.3999999999999997E-2</v>
      </c>
      <c r="Q64" s="145" t="s">
        <v>3876</v>
      </c>
      <c r="R64" s="144">
        <v>812000</v>
      </c>
      <c r="S64" s="143" t="s">
        <v>1212</v>
      </c>
      <c r="T64" s="143" t="s">
        <v>1314</v>
      </c>
      <c r="U64" s="144">
        <v>3002.8629999999998</v>
      </c>
      <c r="V64" s="145" t="s">
        <v>3876</v>
      </c>
      <c r="W64" s="145" t="s">
        <v>3876</v>
      </c>
      <c r="X64" s="146">
        <v>1.9333333333333333E-5</v>
      </c>
      <c r="Y64" s="146">
        <v>2.2715294102063781E-2</v>
      </c>
      <c r="Z64" s="147">
        <v>3.0200476798785238E-3</v>
      </c>
      <c r="AA64" s="183"/>
    </row>
    <row r="65" spans="1:27" ht="15" x14ac:dyDescent="0.2">
      <c r="A65" s="142" t="s">
        <v>1220</v>
      </c>
      <c r="B65" s="143" t="s">
        <v>1221</v>
      </c>
      <c r="C65" s="143" t="s">
        <v>1225</v>
      </c>
      <c r="D65" s="143" t="s">
        <v>1226</v>
      </c>
      <c r="E65" s="143" t="s">
        <v>1227</v>
      </c>
      <c r="F65" s="143" t="s">
        <v>943</v>
      </c>
      <c r="G65" s="143" t="s">
        <v>204</v>
      </c>
      <c r="H65" s="143" t="s">
        <v>204</v>
      </c>
      <c r="I65" s="143" t="s">
        <v>340</v>
      </c>
      <c r="J65" s="143" t="s">
        <v>1228</v>
      </c>
      <c r="K65" s="143" t="s">
        <v>312</v>
      </c>
      <c r="L65" s="143" t="s">
        <v>1210</v>
      </c>
      <c r="M65" s="144">
        <v>7.39</v>
      </c>
      <c r="N65" s="143" t="s">
        <v>1229</v>
      </c>
      <c r="O65" s="146">
        <v>1E-3</v>
      </c>
      <c r="P65" s="146">
        <v>2.1850000000000001E-2</v>
      </c>
      <c r="Q65" s="145" t="s">
        <v>3876</v>
      </c>
      <c r="R65" s="144">
        <v>29553596</v>
      </c>
      <c r="S65" s="145" t="s">
        <v>3876</v>
      </c>
      <c r="T65" s="143" t="s">
        <v>1230</v>
      </c>
      <c r="U65" s="144">
        <v>28859.086500000001</v>
      </c>
      <c r="V65" s="145" t="s">
        <v>3876</v>
      </c>
      <c r="W65" s="145" t="s">
        <v>3876</v>
      </c>
      <c r="X65" s="146">
        <v>9.625299935728407E-4</v>
      </c>
      <c r="Y65" s="146">
        <v>0.11203600179704687</v>
      </c>
      <c r="Z65" s="147">
        <v>2.6275515146669794E-2</v>
      </c>
      <c r="AA65" s="183"/>
    </row>
    <row r="66" spans="1:27" ht="15" x14ac:dyDescent="0.2">
      <c r="A66" s="142" t="s">
        <v>1220</v>
      </c>
      <c r="B66" s="143" t="s">
        <v>1221</v>
      </c>
      <c r="C66" s="143" t="s">
        <v>1225</v>
      </c>
      <c r="D66" s="143" t="s">
        <v>1231</v>
      </c>
      <c r="E66" s="143" t="s">
        <v>1232</v>
      </c>
      <c r="F66" s="143" t="s">
        <v>943</v>
      </c>
      <c r="G66" s="143" t="s">
        <v>204</v>
      </c>
      <c r="H66" s="143" t="s">
        <v>204</v>
      </c>
      <c r="I66" s="143" t="s">
        <v>340</v>
      </c>
      <c r="J66" s="143" t="s">
        <v>1228</v>
      </c>
      <c r="K66" s="143" t="s">
        <v>312</v>
      </c>
      <c r="L66" s="143" t="s">
        <v>1210</v>
      </c>
      <c r="M66" s="144">
        <v>1.32</v>
      </c>
      <c r="N66" s="143" t="s">
        <v>1233</v>
      </c>
      <c r="O66" s="146">
        <v>7.5209999999999999E-3</v>
      </c>
      <c r="P66" s="146">
        <v>1.5337999999999999E-2</v>
      </c>
      <c r="Q66" s="145" t="s">
        <v>3876</v>
      </c>
      <c r="R66" s="144">
        <v>21300382</v>
      </c>
      <c r="S66" s="145" t="s">
        <v>3876</v>
      </c>
      <c r="T66" s="143" t="s">
        <v>1234</v>
      </c>
      <c r="U66" s="144">
        <v>24173.803500000002</v>
      </c>
      <c r="V66" s="145" t="s">
        <v>3876</v>
      </c>
      <c r="W66" s="145" t="s">
        <v>3876</v>
      </c>
      <c r="X66" s="146">
        <v>9.8146104752516684E-4</v>
      </c>
      <c r="Y66" s="146">
        <v>9.3846917035758703E-2</v>
      </c>
      <c r="Z66" s="147">
        <v>2.2009675912107916E-2</v>
      </c>
      <c r="AA66" s="183"/>
    </row>
    <row r="67" spans="1:27" ht="15" x14ac:dyDescent="0.2">
      <c r="A67" s="142" t="s">
        <v>1220</v>
      </c>
      <c r="B67" s="143" t="s">
        <v>1221</v>
      </c>
      <c r="C67" s="143" t="s">
        <v>1225</v>
      </c>
      <c r="D67" s="143" t="s">
        <v>1235</v>
      </c>
      <c r="E67" s="143" t="s">
        <v>1236</v>
      </c>
      <c r="F67" s="143" t="s">
        <v>943</v>
      </c>
      <c r="G67" s="143" t="s">
        <v>204</v>
      </c>
      <c r="H67" s="143" t="s">
        <v>204</v>
      </c>
      <c r="I67" s="143" t="s">
        <v>340</v>
      </c>
      <c r="J67" s="143" t="s">
        <v>1228</v>
      </c>
      <c r="K67" s="143" t="s">
        <v>312</v>
      </c>
      <c r="L67" s="143" t="s">
        <v>1210</v>
      </c>
      <c r="M67" s="144">
        <v>2.08</v>
      </c>
      <c r="N67" s="143" t="s">
        <v>1237</v>
      </c>
      <c r="O67" s="146">
        <v>1E-3</v>
      </c>
      <c r="P67" s="146">
        <v>1.6400000000000001E-2</v>
      </c>
      <c r="Q67" s="145" t="s">
        <v>3876</v>
      </c>
      <c r="R67" s="144">
        <v>8331076</v>
      </c>
      <c r="S67" s="145" t="s">
        <v>3876</v>
      </c>
      <c r="T67" s="143" t="s">
        <v>1238</v>
      </c>
      <c r="U67" s="144">
        <v>9180.845800000001</v>
      </c>
      <c r="V67" s="145" t="s">
        <v>3876</v>
      </c>
      <c r="W67" s="145" t="s">
        <v>3876</v>
      </c>
      <c r="X67" s="146">
        <v>4.1233632102448138E-4</v>
      </c>
      <c r="Y67" s="146">
        <v>3.5641642758974093E-2</v>
      </c>
      <c r="Z67" s="147">
        <v>8.3589427429059029E-3</v>
      </c>
      <c r="AA67" s="183"/>
    </row>
    <row r="68" spans="1:27" ht="15" x14ac:dyDescent="0.2">
      <c r="A68" s="142" t="s">
        <v>1220</v>
      </c>
      <c r="B68" s="143" t="s">
        <v>1221</v>
      </c>
      <c r="C68" s="143" t="s">
        <v>1225</v>
      </c>
      <c r="D68" s="143" t="s">
        <v>1239</v>
      </c>
      <c r="E68" s="143" t="s">
        <v>1240</v>
      </c>
      <c r="F68" s="143" t="s">
        <v>943</v>
      </c>
      <c r="G68" s="143" t="s">
        <v>204</v>
      </c>
      <c r="H68" s="143" t="s">
        <v>204</v>
      </c>
      <c r="I68" s="143" t="s">
        <v>340</v>
      </c>
      <c r="J68" s="143" t="s">
        <v>1228</v>
      </c>
      <c r="K68" s="143" t="s">
        <v>312</v>
      </c>
      <c r="L68" s="143" t="s">
        <v>1210</v>
      </c>
      <c r="M68" s="144">
        <v>2.89</v>
      </c>
      <c r="N68" s="143" t="s">
        <v>1241</v>
      </c>
      <c r="O68" s="146">
        <v>7.4999999999999997E-3</v>
      </c>
      <c r="P68" s="146">
        <v>1.7389999999999999E-2</v>
      </c>
      <c r="Q68" s="145" t="s">
        <v>3876</v>
      </c>
      <c r="R68" s="144">
        <v>3874396</v>
      </c>
      <c r="S68" s="145" t="s">
        <v>3876</v>
      </c>
      <c r="T68" s="143" t="s">
        <v>1242</v>
      </c>
      <c r="U68" s="144">
        <v>4326.1505999999999</v>
      </c>
      <c r="V68" s="145" t="s">
        <v>3876</v>
      </c>
      <c r="W68" s="145" t="s">
        <v>3876</v>
      </c>
      <c r="X68" s="146">
        <v>1.7381265735467026E-4</v>
      </c>
      <c r="Y68" s="146">
        <v>1.6794870258243073E-2</v>
      </c>
      <c r="Z68" s="147">
        <v>3.9388576955488239E-3</v>
      </c>
      <c r="AA68" s="183"/>
    </row>
    <row r="69" spans="1:27" ht="15" x14ac:dyDescent="0.2">
      <c r="A69" s="142" t="s">
        <v>1220</v>
      </c>
      <c r="B69" s="143" t="s">
        <v>1221</v>
      </c>
      <c r="C69" s="143" t="s">
        <v>1225</v>
      </c>
      <c r="D69" s="143" t="s">
        <v>1247</v>
      </c>
      <c r="E69" s="143" t="s">
        <v>1248</v>
      </c>
      <c r="F69" s="143" t="s">
        <v>943</v>
      </c>
      <c r="G69" s="143" t="s">
        <v>204</v>
      </c>
      <c r="H69" s="143" t="s">
        <v>204</v>
      </c>
      <c r="I69" s="143" t="s">
        <v>340</v>
      </c>
      <c r="J69" s="143" t="s">
        <v>1228</v>
      </c>
      <c r="K69" s="143" t="s">
        <v>312</v>
      </c>
      <c r="L69" s="143" t="s">
        <v>1210</v>
      </c>
      <c r="M69" s="144">
        <v>4.8600000000000003</v>
      </c>
      <c r="N69" s="143" t="s">
        <v>1249</v>
      </c>
      <c r="O69" s="146">
        <v>5.0000000000000001E-3</v>
      </c>
      <c r="P69" s="146">
        <v>1.9880999999999999E-2</v>
      </c>
      <c r="Q69" s="145" t="s">
        <v>3876</v>
      </c>
      <c r="R69" s="144">
        <v>2014053</v>
      </c>
      <c r="S69" s="145" t="s">
        <v>3876</v>
      </c>
      <c r="T69" s="143" t="s">
        <v>1250</v>
      </c>
      <c r="U69" s="144">
        <v>2131.8751000000002</v>
      </c>
      <c r="V69" s="145" t="s">
        <v>3876</v>
      </c>
      <c r="W69" s="145" t="s">
        <v>3876</v>
      </c>
      <c r="X69" s="146">
        <v>8.3667459513378517E-5</v>
      </c>
      <c r="Y69" s="146">
        <v>8.276310569995185E-3</v>
      </c>
      <c r="Z69" s="147">
        <v>1.9410218166691477E-3</v>
      </c>
      <c r="AA69" s="183"/>
    </row>
    <row r="70" spans="1:27" ht="15" x14ac:dyDescent="0.2">
      <c r="A70" s="142" t="s">
        <v>1220</v>
      </c>
      <c r="B70" s="143" t="s">
        <v>1221</v>
      </c>
      <c r="C70" s="143" t="s">
        <v>1225</v>
      </c>
      <c r="D70" s="143" t="s">
        <v>1251</v>
      </c>
      <c r="E70" s="143" t="s">
        <v>1252</v>
      </c>
      <c r="F70" s="143" t="s">
        <v>943</v>
      </c>
      <c r="G70" s="143" t="s">
        <v>204</v>
      </c>
      <c r="H70" s="143" t="s">
        <v>204</v>
      </c>
      <c r="I70" s="143" t="s">
        <v>340</v>
      </c>
      <c r="J70" s="143" t="s">
        <v>1228</v>
      </c>
      <c r="K70" s="143" t="s">
        <v>312</v>
      </c>
      <c r="L70" s="143" t="s">
        <v>1210</v>
      </c>
      <c r="M70" s="144">
        <v>9.8800000000000008</v>
      </c>
      <c r="N70" s="143" t="s">
        <v>1253</v>
      </c>
      <c r="O70" s="146">
        <v>4.011E-2</v>
      </c>
      <c r="P70" s="146">
        <v>2.3077E-2</v>
      </c>
      <c r="Q70" s="145" t="s">
        <v>3876</v>
      </c>
      <c r="R70" s="144">
        <v>546581</v>
      </c>
      <c r="S70" s="145" t="s">
        <v>3876</v>
      </c>
      <c r="T70" s="143" t="s">
        <v>1254</v>
      </c>
      <c r="U70" s="144">
        <v>869.50109999999995</v>
      </c>
      <c r="V70" s="145" t="s">
        <v>3876</v>
      </c>
      <c r="W70" s="145" t="s">
        <v>3876</v>
      </c>
      <c r="X70" s="146">
        <v>3.4306465298833446E-5</v>
      </c>
      <c r="Y70" s="146">
        <v>3.3755545851515524E-3</v>
      </c>
      <c r="Z70" s="147">
        <v>7.9166012895774522E-4</v>
      </c>
      <c r="AA70" s="183"/>
    </row>
    <row r="71" spans="1:27" ht="15" x14ac:dyDescent="0.2">
      <c r="A71" s="142" t="s">
        <v>1220</v>
      </c>
      <c r="B71" s="143" t="s">
        <v>1221</v>
      </c>
      <c r="C71" s="143" t="s">
        <v>1225</v>
      </c>
      <c r="D71" s="143" t="s">
        <v>1243</v>
      </c>
      <c r="E71" s="143" t="s">
        <v>1244</v>
      </c>
      <c r="F71" s="143" t="s">
        <v>943</v>
      </c>
      <c r="G71" s="143" t="s">
        <v>204</v>
      </c>
      <c r="H71" s="143" t="s">
        <v>204</v>
      </c>
      <c r="I71" s="143" t="s">
        <v>340</v>
      </c>
      <c r="J71" s="143" t="s">
        <v>1228</v>
      </c>
      <c r="K71" s="143" t="s">
        <v>312</v>
      </c>
      <c r="L71" s="143" t="s">
        <v>1210</v>
      </c>
      <c r="M71" s="144">
        <v>4.22</v>
      </c>
      <c r="N71" s="143" t="s">
        <v>1245</v>
      </c>
      <c r="O71" s="146">
        <v>1.0999999999999999E-2</v>
      </c>
      <c r="P71" s="146">
        <v>1.9415999999999999E-2</v>
      </c>
      <c r="Q71" s="145" t="s">
        <v>3876</v>
      </c>
      <c r="R71" s="144">
        <v>702389</v>
      </c>
      <c r="S71" s="145" t="s">
        <v>3876</v>
      </c>
      <c r="T71" s="143" t="s">
        <v>1246</v>
      </c>
      <c r="U71" s="144">
        <v>702.24850000000004</v>
      </c>
      <c r="V71" s="145" t="s">
        <v>3876</v>
      </c>
      <c r="W71" s="145" t="s">
        <v>3876</v>
      </c>
      <c r="X71" s="146">
        <v>4.466952965695566E-5</v>
      </c>
      <c r="Y71" s="146">
        <v>2.7262511137187318E-3</v>
      </c>
      <c r="Z71" s="147">
        <v>6.3938065695977125E-4</v>
      </c>
      <c r="AA71" s="183"/>
    </row>
    <row r="72" spans="1:27" ht="15" x14ac:dyDescent="0.2">
      <c r="A72" s="142" t="s">
        <v>1220</v>
      </c>
      <c r="B72" s="143" t="s">
        <v>1221</v>
      </c>
      <c r="C72" s="143" t="s">
        <v>1225</v>
      </c>
      <c r="D72" s="143" t="s">
        <v>1255</v>
      </c>
      <c r="E72" s="143" t="s">
        <v>1256</v>
      </c>
      <c r="F72" s="143" t="s">
        <v>945</v>
      </c>
      <c r="G72" s="143" t="s">
        <v>204</v>
      </c>
      <c r="H72" s="143" t="s">
        <v>204</v>
      </c>
      <c r="I72" s="143" t="s">
        <v>340</v>
      </c>
      <c r="J72" s="143" t="s">
        <v>1228</v>
      </c>
      <c r="K72" s="143" t="s">
        <v>312</v>
      </c>
      <c r="L72" s="143" t="s">
        <v>1210</v>
      </c>
      <c r="M72" s="144">
        <v>11.5</v>
      </c>
      <c r="N72" s="143" t="s">
        <v>1257</v>
      </c>
      <c r="O72" s="146">
        <v>1.5041000000000001E-2</v>
      </c>
      <c r="P72" s="146">
        <v>5.2136000000000002E-2</v>
      </c>
      <c r="Q72" s="145" t="s">
        <v>3876</v>
      </c>
      <c r="R72" s="144">
        <v>43457984</v>
      </c>
      <c r="S72" s="145" t="s">
        <v>3876</v>
      </c>
      <c r="T72" s="143" t="s">
        <v>1258</v>
      </c>
      <c r="U72" s="144">
        <v>28608.390899999999</v>
      </c>
      <c r="V72" s="145" t="s">
        <v>3876</v>
      </c>
      <c r="W72" s="145" t="s">
        <v>3876</v>
      </c>
      <c r="X72" s="146">
        <v>1.3547362495139666E-3</v>
      </c>
      <c r="Y72" s="146">
        <v>0.11106275769590333</v>
      </c>
      <c r="Z72" s="147">
        <v>2.6047262712534127E-2</v>
      </c>
      <c r="AA72" s="183"/>
    </row>
    <row r="73" spans="1:27" ht="15" x14ac:dyDescent="0.2">
      <c r="A73" s="142" t="s">
        <v>1220</v>
      </c>
      <c r="B73" s="143" t="s">
        <v>1221</v>
      </c>
      <c r="C73" s="143" t="s">
        <v>1225</v>
      </c>
      <c r="D73" s="143" t="s">
        <v>1259</v>
      </c>
      <c r="E73" s="143" t="s">
        <v>1260</v>
      </c>
      <c r="F73" s="143" t="s">
        <v>945</v>
      </c>
      <c r="G73" s="143" t="s">
        <v>204</v>
      </c>
      <c r="H73" s="143" t="s">
        <v>204</v>
      </c>
      <c r="I73" s="143" t="s">
        <v>340</v>
      </c>
      <c r="J73" s="143" t="s">
        <v>1228</v>
      </c>
      <c r="K73" s="143" t="s">
        <v>312</v>
      </c>
      <c r="L73" s="143" t="s">
        <v>1210</v>
      </c>
      <c r="M73" s="144">
        <v>7.42</v>
      </c>
      <c r="N73" s="143" t="s">
        <v>1261</v>
      </c>
      <c r="O73" s="146">
        <v>1.2999999999999999E-2</v>
      </c>
      <c r="P73" s="146">
        <v>4.9000000000000002E-2</v>
      </c>
      <c r="Q73" s="145" t="s">
        <v>3876</v>
      </c>
      <c r="R73" s="144">
        <v>27883654</v>
      </c>
      <c r="S73" s="145" t="s">
        <v>3876</v>
      </c>
      <c r="T73" s="143" t="s">
        <v>1262</v>
      </c>
      <c r="U73" s="144">
        <v>21542.911100000001</v>
      </c>
      <c r="V73" s="145" t="s">
        <v>3876</v>
      </c>
      <c r="W73" s="145" t="s">
        <v>3876</v>
      </c>
      <c r="X73" s="146">
        <v>9.2936551151917254E-4</v>
      </c>
      <c r="Y73" s="146">
        <v>8.3633334167355411E-2</v>
      </c>
      <c r="Z73" s="147">
        <v>1.9614310609384556E-2</v>
      </c>
      <c r="AA73" s="183"/>
    </row>
    <row r="74" spans="1:27" ht="15" x14ac:dyDescent="0.2">
      <c r="A74" s="142" t="s">
        <v>1220</v>
      </c>
      <c r="B74" s="143" t="s">
        <v>1221</v>
      </c>
      <c r="C74" s="143" t="s">
        <v>1292</v>
      </c>
      <c r="D74" s="143" t="s">
        <v>1293</v>
      </c>
      <c r="E74" s="143" t="s">
        <v>1294</v>
      </c>
      <c r="F74" s="143" t="s">
        <v>945</v>
      </c>
      <c r="G74" s="143" t="s">
        <v>204</v>
      </c>
      <c r="H74" s="143" t="s">
        <v>204</v>
      </c>
      <c r="I74" s="143" t="s">
        <v>340</v>
      </c>
      <c r="J74" s="143" t="s">
        <v>1228</v>
      </c>
      <c r="K74" s="143" t="s">
        <v>312</v>
      </c>
      <c r="L74" s="143" t="s">
        <v>1210</v>
      </c>
      <c r="M74" s="144">
        <v>5.58</v>
      </c>
      <c r="N74" s="143" t="s">
        <v>1295</v>
      </c>
      <c r="O74" s="146">
        <v>1.0026999999999999E-2</v>
      </c>
      <c r="P74" s="146">
        <v>4.7578000000000002E-2</v>
      </c>
      <c r="Q74" s="145" t="s">
        <v>3876</v>
      </c>
      <c r="R74" s="144">
        <v>22169682</v>
      </c>
      <c r="S74" s="145" t="s">
        <v>3876</v>
      </c>
      <c r="T74" s="143" t="s">
        <v>1296</v>
      </c>
      <c r="U74" s="144">
        <v>18119.2811</v>
      </c>
      <c r="V74" s="145" t="s">
        <v>3876</v>
      </c>
      <c r="W74" s="145" t="s">
        <v>3876</v>
      </c>
      <c r="X74" s="146">
        <v>5.8719155562125098E-4</v>
      </c>
      <c r="Y74" s="146">
        <v>7.0342206089787362E-2</v>
      </c>
      <c r="Z74" s="147">
        <v>1.6497176549646334E-2</v>
      </c>
      <c r="AA74" s="183"/>
    </row>
    <row r="75" spans="1:27" ht="15" x14ac:dyDescent="0.2">
      <c r="A75" s="142" t="s">
        <v>1220</v>
      </c>
      <c r="B75" s="143" t="s">
        <v>1221</v>
      </c>
      <c r="C75" s="143" t="s">
        <v>1225</v>
      </c>
      <c r="D75" s="143" t="s">
        <v>1268</v>
      </c>
      <c r="E75" s="143" t="s">
        <v>1269</v>
      </c>
      <c r="F75" s="143" t="s">
        <v>945</v>
      </c>
      <c r="G75" s="143" t="s">
        <v>204</v>
      </c>
      <c r="H75" s="143" t="s">
        <v>204</v>
      </c>
      <c r="I75" s="143" t="s">
        <v>340</v>
      </c>
      <c r="J75" s="143" t="s">
        <v>1228</v>
      </c>
      <c r="K75" s="143" t="s">
        <v>312</v>
      </c>
      <c r="L75" s="143" t="s">
        <v>1210</v>
      </c>
      <c r="M75" s="144">
        <v>11.51</v>
      </c>
      <c r="N75" s="143" t="s">
        <v>1270</v>
      </c>
      <c r="O75" s="146">
        <v>5.5E-2</v>
      </c>
      <c r="P75" s="146">
        <v>5.3379000000000003E-2</v>
      </c>
      <c r="Q75" s="145" t="s">
        <v>3876</v>
      </c>
      <c r="R75" s="144">
        <v>14128123</v>
      </c>
      <c r="S75" s="145" t="s">
        <v>3876</v>
      </c>
      <c r="T75" s="143" t="s">
        <v>1271</v>
      </c>
      <c r="U75" s="144">
        <v>14705.9632</v>
      </c>
      <c r="V75" s="145" t="s">
        <v>3876</v>
      </c>
      <c r="W75" s="145" t="s">
        <v>3876</v>
      </c>
      <c r="X75" s="146">
        <v>7.3172215987025633E-4</v>
      </c>
      <c r="Y75" s="146">
        <v>5.7091111435026085E-2</v>
      </c>
      <c r="Z75" s="147">
        <v>1.3389431425522201E-2</v>
      </c>
      <c r="AA75" s="183"/>
    </row>
    <row r="76" spans="1:27" ht="15" x14ac:dyDescent="0.2">
      <c r="A76" s="142" t="s">
        <v>1220</v>
      </c>
      <c r="B76" s="143" t="s">
        <v>1221</v>
      </c>
      <c r="C76" s="143" t="s">
        <v>1225</v>
      </c>
      <c r="D76" s="143" t="s">
        <v>1284</v>
      </c>
      <c r="E76" s="143" t="s">
        <v>1285</v>
      </c>
      <c r="F76" s="143" t="s">
        <v>945</v>
      </c>
      <c r="G76" s="143" t="s">
        <v>204</v>
      </c>
      <c r="H76" s="143" t="s">
        <v>204</v>
      </c>
      <c r="I76" s="143" t="s">
        <v>340</v>
      </c>
      <c r="J76" s="143" t="s">
        <v>1228</v>
      </c>
      <c r="K76" s="143" t="s">
        <v>312</v>
      </c>
      <c r="L76" s="143" t="s">
        <v>1210</v>
      </c>
      <c r="M76" s="144">
        <v>14.48</v>
      </c>
      <c r="N76" s="143" t="s">
        <v>1286</v>
      </c>
      <c r="O76" s="146">
        <v>3.7602999999999998E-2</v>
      </c>
      <c r="P76" s="146">
        <v>5.4753999999999997E-2</v>
      </c>
      <c r="Q76" s="145" t="s">
        <v>3876</v>
      </c>
      <c r="R76" s="144">
        <v>18239254</v>
      </c>
      <c r="S76" s="145" t="s">
        <v>3876</v>
      </c>
      <c r="T76" s="143" t="s">
        <v>1287</v>
      </c>
      <c r="U76" s="144">
        <v>14370.708199999999</v>
      </c>
      <c r="V76" s="145" t="s">
        <v>3876</v>
      </c>
      <c r="W76" s="145" t="s">
        <v>3876</v>
      </c>
      <c r="X76" s="146">
        <v>6.949254995316889E-4</v>
      </c>
      <c r="Y76" s="146">
        <v>5.5789593098691165E-2</v>
      </c>
      <c r="Z76" s="147">
        <v>1.3084189679909156E-2</v>
      </c>
      <c r="AA76" s="183"/>
    </row>
    <row r="77" spans="1:27" ht="15" x14ac:dyDescent="0.2">
      <c r="A77" s="142" t="s">
        <v>1220</v>
      </c>
      <c r="B77" s="143" t="s">
        <v>1221</v>
      </c>
      <c r="C77" s="143" t="s">
        <v>1225</v>
      </c>
      <c r="D77" s="143" t="s">
        <v>1272</v>
      </c>
      <c r="E77" s="143" t="s">
        <v>1273</v>
      </c>
      <c r="F77" s="143" t="s">
        <v>945</v>
      </c>
      <c r="G77" s="143" t="s">
        <v>204</v>
      </c>
      <c r="H77" s="143" t="s">
        <v>204</v>
      </c>
      <c r="I77" s="143" t="s">
        <v>340</v>
      </c>
      <c r="J77" s="143" t="s">
        <v>1228</v>
      </c>
      <c r="K77" s="143" t="s">
        <v>312</v>
      </c>
      <c r="L77" s="143" t="s">
        <v>1210</v>
      </c>
      <c r="M77" s="144">
        <v>0.67</v>
      </c>
      <c r="N77" s="143" t="s">
        <v>1274</v>
      </c>
      <c r="O77" s="143" t="s">
        <v>1266</v>
      </c>
      <c r="P77" s="146">
        <v>4.3515999999999999E-2</v>
      </c>
      <c r="Q77" s="145" t="s">
        <v>3876</v>
      </c>
      <c r="R77" s="144">
        <v>14676409.01</v>
      </c>
      <c r="S77" s="145" t="s">
        <v>3876</v>
      </c>
      <c r="T77" s="143" t="s">
        <v>1275</v>
      </c>
      <c r="U77" s="144">
        <v>14261.0666</v>
      </c>
      <c r="V77" s="145" t="s">
        <v>3876</v>
      </c>
      <c r="W77" s="145" t="s">
        <v>3876</v>
      </c>
      <c r="X77" s="146">
        <v>1.2230340841666667E-3</v>
      </c>
      <c r="Y77" s="146">
        <v>5.536394533765833E-2</v>
      </c>
      <c r="Z77" s="147">
        <v>1.2984363606033151E-2</v>
      </c>
      <c r="AA77" s="183"/>
    </row>
    <row r="78" spans="1:27" ht="15" x14ac:dyDescent="0.2">
      <c r="A78" s="142" t="s">
        <v>1220</v>
      </c>
      <c r="B78" s="143" t="s">
        <v>1221</v>
      </c>
      <c r="C78" s="143" t="s">
        <v>1225</v>
      </c>
      <c r="D78" s="143" t="s">
        <v>1280</v>
      </c>
      <c r="E78" s="143" t="s">
        <v>1281</v>
      </c>
      <c r="F78" s="143" t="s">
        <v>945</v>
      </c>
      <c r="G78" s="143" t="s">
        <v>204</v>
      </c>
      <c r="H78" s="143" t="s">
        <v>204</v>
      </c>
      <c r="I78" s="143" t="s">
        <v>340</v>
      </c>
      <c r="J78" s="143" t="s">
        <v>1228</v>
      </c>
      <c r="K78" s="143" t="s">
        <v>314</v>
      </c>
      <c r="L78" s="143" t="s">
        <v>1210</v>
      </c>
      <c r="M78" s="144">
        <v>0.92</v>
      </c>
      <c r="N78" s="143" t="s">
        <v>1282</v>
      </c>
      <c r="O78" s="143" t="s">
        <v>1266</v>
      </c>
      <c r="P78" s="146">
        <v>4.3203999999999999E-2</v>
      </c>
      <c r="Q78" s="145" t="s">
        <v>3876</v>
      </c>
      <c r="R78" s="144">
        <v>13950000</v>
      </c>
      <c r="S78" s="145" t="s">
        <v>3876</v>
      </c>
      <c r="T78" s="143" t="s">
        <v>1283</v>
      </c>
      <c r="U78" s="144">
        <v>13415.715</v>
      </c>
      <c r="V78" s="145" t="s">
        <v>3876</v>
      </c>
      <c r="W78" s="145" t="s">
        <v>3876</v>
      </c>
      <c r="X78" s="146">
        <v>1.1624999999999999E-3</v>
      </c>
      <c r="Y78" s="146">
        <v>5.2082143007581391E-2</v>
      </c>
      <c r="Z78" s="147">
        <v>1.2214690952161404E-2</v>
      </c>
      <c r="AA78" s="183"/>
    </row>
    <row r="79" spans="1:27" ht="15" x14ac:dyDescent="0.2">
      <c r="A79" s="142" t="s">
        <v>1220</v>
      </c>
      <c r="B79" s="143" t="s">
        <v>1221</v>
      </c>
      <c r="C79" s="143" t="s">
        <v>1225</v>
      </c>
      <c r="D79" s="143" t="s">
        <v>1263</v>
      </c>
      <c r="E79" s="143" t="s">
        <v>1264</v>
      </c>
      <c r="F79" s="143" t="s">
        <v>945</v>
      </c>
      <c r="G79" s="143" t="s">
        <v>204</v>
      </c>
      <c r="H79" s="143" t="s">
        <v>204</v>
      </c>
      <c r="I79" s="143" t="s">
        <v>340</v>
      </c>
      <c r="J79" s="143" t="s">
        <v>1228</v>
      </c>
      <c r="K79" s="143" t="s">
        <v>312</v>
      </c>
      <c r="L79" s="143" t="s">
        <v>1210</v>
      </c>
      <c r="M79" s="144">
        <v>0.75</v>
      </c>
      <c r="N79" s="143" t="s">
        <v>1265</v>
      </c>
      <c r="O79" s="143" t="s">
        <v>1266</v>
      </c>
      <c r="P79" s="146">
        <v>4.3262000000000002E-2</v>
      </c>
      <c r="Q79" s="145" t="s">
        <v>3876</v>
      </c>
      <c r="R79" s="144">
        <v>12963442</v>
      </c>
      <c r="S79" s="145" t="s">
        <v>3876</v>
      </c>
      <c r="T79" s="143" t="s">
        <v>1267</v>
      </c>
      <c r="U79" s="144">
        <v>12557.686300000001</v>
      </c>
      <c r="V79" s="145" t="s">
        <v>3876</v>
      </c>
      <c r="W79" s="145" t="s">
        <v>3876</v>
      </c>
      <c r="X79" s="146">
        <v>1.0802868333333333E-3</v>
      </c>
      <c r="Y79" s="146">
        <v>4.8751125968232292E-2</v>
      </c>
      <c r="Z79" s="147">
        <v>1.1433476099191353E-2</v>
      </c>
      <c r="AA79" s="183"/>
    </row>
    <row r="80" spans="1:27" ht="15" x14ac:dyDescent="0.2">
      <c r="A80" s="142" t="s">
        <v>1220</v>
      </c>
      <c r="B80" s="143" t="s">
        <v>1221</v>
      </c>
      <c r="C80" s="143" t="s">
        <v>1225</v>
      </c>
      <c r="D80" s="143" t="s">
        <v>1276</v>
      </c>
      <c r="E80" s="143" t="s">
        <v>1277</v>
      </c>
      <c r="F80" s="143" t="s">
        <v>945</v>
      </c>
      <c r="G80" s="143" t="s">
        <v>204</v>
      </c>
      <c r="H80" s="143" t="s">
        <v>204</v>
      </c>
      <c r="I80" s="143" t="s">
        <v>340</v>
      </c>
      <c r="J80" s="143" t="s">
        <v>1228</v>
      </c>
      <c r="K80" s="143" t="s">
        <v>312</v>
      </c>
      <c r="L80" s="143" t="s">
        <v>1210</v>
      </c>
      <c r="M80" s="144">
        <v>0.6</v>
      </c>
      <c r="N80" s="143" t="s">
        <v>1278</v>
      </c>
      <c r="O80" s="143" t="s">
        <v>1266</v>
      </c>
      <c r="P80" s="146">
        <v>4.3658000000000002E-2</v>
      </c>
      <c r="Q80" s="145" t="s">
        <v>3876</v>
      </c>
      <c r="R80" s="144">
        <v>12840601</v>
      </c>
      <c r="S80" s="145" t="s">
        <v>3876</v>
      </c>
      <c r="T80" s="143" t="s">
        <v>1279</v>
      </c>
      <c r="U80" s="144">
        <v>12517.017900000001</v>
      </c>
      <c r="V80" s="145" t="s">
        <v>3876</v>
      </c>
      <c r="W80" s="145" t="s">
        <v>3876</v>
      </c>
      <c r="X80" s="146">
        <v>1.0700500833333334E-3</v>
      </c>
      <c r="Y80" s="146">
        <v>4.859324411275457E-2</v>
      </c>
      <c r="Z80" s="147">
        <v>1.1396448473977593E-2</v>
      </c>
      <c r="AA80" s="183"/>
    </row>
    <row r="81" spans="1:27" ht="15" x14ac:dyDescent="0.2">
      <c r="A81" s="142" t="s">
        <v>1220</v>
      </c>
      <c r="B81" s="143" t="s">
        <v>1221</v>
      </c>
      <c r="C81" s="143" t="s">
        <v>1225</v>
      </c>
      <c r="D81" s="143" t="s">
        <v>1288</v>
      </c>
      <c r="E81" s="143" t="s">
        <v>1289</v>
      </c>
      <c r="F81" s="143" t="s">
        <v>945</v>
      </c>
      <c r="G81" s="143" t="s">
        <v>204</v>
      </c>
      <c r="H81" s="143" t="s">
        <v>204</v>
      </c>
      <c r="I81" s="143" t="s">
        <v>340</v>
      </c>
      <c r="J81" s="143" t="s">
        <v>1228</v>
      </c>
      <c r="K81" s="143" t="s">
        <v>312</v>
      </c>
      <c r="L81" s="143" t="s">
        <v>1210</v>
      </c>
      <c r="M81" s="144">
        <v>0.85</v>
      </c>
      <c r="N81" s="143" t="s">
        <v>1290</v>
      </c>
      <c r="O81" s="143" t="s">
        <v>1266</v>
      </c>
      <c r="P81" s="146">
        <v>4.3234000000000002E-2</v>
      </c>
      <c r="Q81" s="145" t="s">
        <v>3876</v>
      </c>
      <c r="R81" s="144">
        <v>8341441</v>
      </c>
      <c r="S81" s="145" t="s">
        <v>3876</v>
      </c>
      <c r="T81" s="143" t="s">
        <v>1291</v>
      </c>
      <c r="U81" s="144">
        <v>8047.8222999999998</v>
      </c>
      <c r="V81" s="145" t="s">
        <v>3876</v>
      </c>
      <c r="W81" s="145" t="s">
        <v>3876</v>
      </c>
      <c r="X81" s="146">
        <v>5.9581721428571429E-4</v>
      </c>
      <c r="Y81" s="146">
        <v>3.1243048225152132E-2</v>
      </c>
      <c r="Z81" s="147">
        <v>7.3273516878550231E-3</v>
      </c>
      <c r="AA81" s="183"/>
    </row>
    <row r="82" spans="1:27" ht="15" x14ac:dyDescent="0.2">
      <c r="A82" s="142" t="s">
        <v>1220</v>
      </c>
      <c r="B82" s="143" t="s">
        <v>1221</v>
      </c>
      <c r="C82" s="143" t="s">
        <v>1225</v>
      </c>
      <c r="D82" s="143" t="s">
        <v>1327</v>
      </c>
      <c r="E82" s="143" t="s">
        <v>1328</v>
      </c>
      <c r="F82" s="143" t="s">
        <v>945</v>
      </c>
      <c r="G82" s="143" t="s">
        <v>204</v>
      </c>
      <c r="H82" s="143" t="s">
        <v>204</v>
      </c>
      <c r="I82" s="143" t="s">
        <v>340</v>
      </c>
      <c r="J82" s="143" t="s">
        <v>1228</v>
      </c>
      <c r="K82" s="143" t="s">
        <v>312</v>
      </c>
      <c r="L82" s="143" t="s">
        <v>1210</v>
      </c>
      <c r="M82" s="144">
        <v>4.01</v>
      </c>
      <c r="N82" s="143" t="s">
        <v>1329</v>
      </c>
      <c r="O82" s="146">
        <v>2.2499999999999999E-2</v>
      </c>
      <c r="P82" s="146">
        <v>4.6257E-2</v>
      </c>
      <c r="Q82" s="145" t="s">
        <v>3876</v>
      </c>
      <c r="R82" s="144">
        <v>8662546</v>
      </c>
      <c r="S82" s="145" t="s">
        <v>3876</v>
      </c>
      <c r="T82" s="143" t="s">
        <v>1330</v>
      </c>
      <c r="U82" s="144">
        <v>8032.7789000000002</v>
      </c>
      <c r="V82" s="145" t="s">
        <v>3876</v>
      </c>
      <c r="W82" s="145" t="s">
        <v>3876</v>
      </c>
      <c r="X82" s="146">
        <v>2.8405031038279021E-4</v>
      </c>
      <c r="Y82" s="146">
        <v>3.1184647237971198E-2</v>
      </c>
      <c r="Z82" s="147">
        <v>7.3136550546421299E-3</v>
      </c>
      <c r="AA82" s="183"/>
    </row>
    <row r="83" spans="1:27" ht="15" x14ac:dyDescent="0.2">
      <c r="A83" s="142" t="s">
        <v>1220</v>
      </c>
      <c r="B83" s="143" t="s">
        <v>1221</v>
      </c>
      <c r="C83" s="143" t="s">
        <v>1292</v>
      </c>
      <c r="D83" s="143" t="s">
        <v>1297</v>
      </c>
      <c r="E83" s="143" t="s">
        <v>1298</v>
      </c>
      <c r="F83" s="143" t="s">
        <v>945</v>
      </c>
      <c r="G83" s="143" t="s">
        <v>204</v>
      </c>
      <c r="H83" s="143" t="s">
        <v>204</v>
      </c>
      <c r="I83" s="143" t="s">
        <v>340</v>
      </c>
      <c r="J83" s="143" t="s">
        <v>1224</v>
      </c>
      <c r="K83" s="143" t="s">
        <v>413</v>
      </c>
      <c r="L83" s="143" t="s">
        <v>1210</v>
      </c>
      <c r="M83" s="144">
        <v>4.3099999999999996</v>
      </c>
      <c r="N83" s="143" t="s">
        <v>1299</v>
      </c>
      <c r="O83" s="146">
        <v>3.7284200000000003E-2</v>
      </c>
      <c r="P83" s="146">
        <v>4.6670999999999997E-2</v>
      </c>
      <c r="Q83" s="145" t="s">
        <v>3876</v>
      </c>
      <c r="R83" s="144">
        <v>4271240</v>
      </c>
      <c r="S83" s="145" t="s">
        <v>3876</v>
      </c>
      <c r="T83" s="143" t="s">
        <v>1300</v>
      </c>
      <c r="U83" s="144">
        <v>4164.0319</v>
      </c>
      <c r="V83" s="145" t="s">
        <v>3876</v>
      </c>
      <c r="W83" s="145" t="s">
        <v>3876</v>
      </c>
      <c r="X83" s="146">
        <v>1.6183453596677497E-4</v>
      </c>
      <c r="Y83" s="146">
        <v>1.6165497228732079E-2</v>
      </c>
      <c r="Z83" s="147">
        <v>3.7912524587984222E-3</v>
      </c>
      <c r="AA83" s="183"/>
    </row>
    <row r="84" spans="1:27" ht="15" x14ac:dyDescent="0.2">
      <c r="A84" s="142" t="s">
        <v>1220</v>
      </c>
      <c r="B84" s="143" t="s">
        <v>1221</v>
      </c>
      <c r="C84" s="143" t="s">
        <v>1225</v>
      </c>
      <c r="D84" s="143" t="s">
        <v>1319</v>
      </c>
      <c r="E84" s="143" t="s">
        <v>1320</v>
      </c>
      <c r="F84" s="143" t="s">
        <v>945</v>
      </c>
      <c r="G84" s="143" t="s">
        <v>204</v>
      </c>
      <c r="H84" s="143" t="s">
        <v>204</v>
      </c>
      <c r="I84" s="143" t="s">
        <v>340</v>
      </c>
      <c r="J84" s="143" t="s">
        <v>1228</v>
      </c>
      <c r="K84" s="143" t="s">
        <v>312</v>
      </c>
      <c r="L84" s="143" t="s">
        <v>1210</v>
      </c>
      <c r="M84" s="144">
        <v>0.1</v>
      </c>
      <c r="N84" s="143" t="s">
        <v>1321</v>
      </c>
      <c r="O84" s="143" t="s">
        <v>1266</v>
      </c>
      <c r="P84" s="146">
        <v>4.3596000000000003E-2</v>
      </c>
      <c r="Q84" s="145" t="s">
        <v>3876</v>
      </c>
      <c r="R84" s="144">
        <v>3566397</v>
      </c>
      <c r="S84" s="145" t="s">
        <v>3876</v>
      </c>
      <c r="T84" s="143" t="s">
        <v>1322</v>
      </c>
      <c r="U84" s="144">
        <v>3551.4180999999999</v>
      </c>
      <c r="V84" s="145" t="s">
        <v>3876</v>
      </c>
      <c r="W84" s="145" t="s">
        <v>3876</v>
      </c>
      <c r="X84" s="146">
        <v>8.1054477272727267E-5</v>
      </c>
      <c r="Y84" s="146">
        <v>1.3787223943098883E-2</v>
      </c>
      <c r="Z84" s="147">
        <v>3.2334821462449946E-3</v>
      </c>
      <c r="AA84" s="183"/>
    </row>
    <row r="85" spans="1:27" ht="15" x14ac:dyDescent="0.2">
      <c r="A85" s="142" t="s">
        <v>1220</v>
      </c>
      <c r="B85" s="143" t="s">
        <v>1221</v>
      </c>
      <c r="C85" s="143" t="s">
        <v>1225</v>
      </c>
      <c r="D85" s="143" t="s">
        <v>1301</v>
      </c>
      <c r="E85" s="143" t="s">
        <v>1302</v>
      </c>
      <c r="F85" s="143" t="s">
        <v>945</v>
      </c>
      <c r="G85" s="143" t="s">
        <v>204</v>
      </c>
      <c r="H85" s="143" t="s">
        <v>204</v>
      </c>
      <c r="I85" s="143" t="s">
        <v>340</v>
      </c>
      <c r="J85" s="143" t="s">
        <v>1228</v>
      </c>
      <c r="K85" s="143" t="s">
        <v>312</v>
      </c>
      <c r="L85" s="143" t="s">
        <v>1210</v>
      </c>
      <c r="M85" s="144">
        <v>16.82</v>
      </c>
      <c r="N85" s="143" t="s">
        <v>1303</v>
      </c>
      <c r="O85" s="146">
        <v>2.8000000000000001E-2</v>
      </c>
      <c r="P85" s="146">
        <v>5.5648999999999997E-2</v>
      </c>
      <c r="Q85" s="145" t="s">
        <v>3876</v>
      </c>
      <c r="R85" s="144">
        <v>1794527</v>
      </c>
      <c r="S85" s="145" t="s">
        <v>3876</v>
      </c>
      <c r="T85" s="143" t="s">
        <v>1304</v>
      </c>
      <c r="U85" s="144">
        <v>1123.3738999999998</v>
      </c>
      <c r="V85" s="145" t="s">
        <v>3876</v>
      </c>
      <c r="W85" s="145" t="s">
        <v>3876</v>
      </c>
      <c r="X85" s="146">
        <v>1.0761928259049059E-4</v>
      </c>
      <c r="Y85" s="146">
        <v>4.3611332094449472E-3</v>
      </c>
      <c r="Z85" s="147">
        <v>1.0228053470615359E-3</v>
      </c>
      <c r="AA85" s="183"/>
    </row>
    <row r="86" spans="1:27" ht="15" x14ac:dyDescent="0.2">
      <c r="A86" s="142" t="s">
        <v>1220</v>
      </c>
      <c r="B86" s="143" t="s">
        <v>1221</v>
      </c>
      <c r="C86" s="143" t="s">
        <v>1305</v>
      </c>
      <c r="D86" s="143" t="s">
        <v>1306</v>
      </c>
      <c r="E86" s="143" t="s">
        <v>1307</v>
      </c>
      <c r="F86" s="143" t="s">
        <v>947</v>
      </c>
      <c r="G86" s="143" t="s">
        <v>205</v>
      </c>
      <c r="H86" s="143" t="s">
        <v>224</v>
      </c>
      <c r="I86" s="143" t="s">
        <v>344</v>
      </c>
      <c r="J86" s="143" t="s">
        <v>1308</v>
      </c>
      <c r="K86" s="143" t="s">
        <v>423</v>
      </c>
      <c r="L86" s="143" t="s">
        <v>1211</v>
      </c>
      <c r="M86" s="144">
        <v>7.4589999999999996</v>
      </c>
      <c r="N86" s="143" t="s">
        <v>1309</v>
      </c>
      <c r="O86" s="146">
        <v>3.875E-2</v>
      </c>
      <c r="P86" s="146">
        <v>4.41E-2</v>
      </c>
      <c r="Q86" s="145" t="s">
        <v>3876</v>
      </c>
      <c r="R86" s="144">
        <v>1962000</v>
      </c>
      <c r="S86" s="143" t="s">
        <v>1212</v>
      </c>
      <c r="T86" s="143" t="s">
        <v>1310</v>
      </c>
      <c r="U86" s="144">
        <v>7189.2677999999996</v>
      </c>
      <c r="V86" s="145" t="s">
        <v>3876</v>
      </c>
      <c r="W86" s="145" t="s">
        <v>3876</v>
      </c>
      <c r="X86" s="146">
        <v>5.163157894736842E-5</v>
      </c>
      <c r="Y86" s="146">
        <v>2.7909990155917126E-2</v>
      </c>
      <c r="Z86" s="147">
        <v>6.5456581573989682E-3</v>
      </c>
      <c r="AA86" s="183"/>
    </row>
    <row r="87" spans="1:27" ht="15" x14ac:dyDescent="0.2">
      <c r="A87" s="142" t="s">
        <v>1220</v>
      </c>
      <c r="B87" s="143" t="s">
        <v>1221</v>
      </c>
      <c r="C87" s="143" t="s">
        <v>1305</v>
      </c>
      <c r="D87" s="143" t="s">
        <v>1311</v>
      </c>
      <c r="E87" s="143" t="s">
        <v>1312</v>
      </c>
      <c r="F87" s="143" t="s">
        <v>947</v>
      </c>
      <c r="G87" s="143" t="s">
        <v>205</v>
      </c>
      <c r="H87" s="143" t="s">
        <v>224</v>
      </c>
      <c r="I87" s="143" t="s">
        <v>344</v>
      </c>
      <c r="J87" s="143" t="s">
        <v>1308</v>
      </c>
      <c r="K87" s="143" t="s">
        <v>423</v>
      </c>
      <c r="L87" s="143" t="s">
        <v>1211</v>
      </c>
      <c r="M87" s="144">
        <v>7.7590000000000003</v>
      </c>
      <c r="N87" s="143" t="s">
        <v>1313</v>
      </c>
      <c r="O87" s="146">
        <v>0.04</v>
      </c>
      <c r="P87" s="146">
        <v>4.3999999999999997E-2</v>
      </c>
      <c r="Q87" s="145" t="s">
        <v>3876</v>
      </c>
      <c r="R87" s="144">
        <v>1389000</v>
      </c>
      <c r="S87" s="143" t="s">
        <v>1212</v>
      </c>
      <c r="T87" s="143" t="s">
        <v>1314</v>
      </c>
      <c r="U87" s="144">
        <v>5136.6707999999999</v>
      </c>
      <c r="V87" s="145" t="s">
        <v>3876</v>
      </c>
      <c r="W87" s="145" t="s">
        <v>3876</v>
      </c>
      <c r="X87" s="146">
        <v>3.3071428571428572E-5</v>
      </c>
      <c r="Y87" s="146">
        <v>1.9941450967805509E-2</v>
      </c>
      <c r="Z87" s="147">
        <v>4.676817170790523E-3</v>
      </c>
      <c r="AA87" s="183"/>
    </row>
    <row r="88" spans="1:27" ht="15" x14ac:dyDescent="0.2">
      <c r="A88" s="142" t="s">
        <v>1220</v>
      </c>
      <c r="B88" s="143" t="s">
        <v>1222</v>
      </c>
      <c r="C88" s="143" t="s">
        <v>1225</v>
      </c>
      <c r="D88" s="143" t="s">
        <v>1231</v>
      </c>
      <c r="E88" s="143" t="s">
        <v>1232</v>
      </c>
      <c r="F88" s="143" t="s">
        <v>943</v>
      </c>
      <c r="G88" s="143" t="s">
        <v>204</v>
      </c>
      <c r="H88" s="143" t="s">
        <v>204</v>
      </c>
      <c r="I88" s="143" t="s">
        <v>340</v>
      </c>
      <c r="J88" s="143" t="s">
        <v>1228</v>
      </c>
      <c r="K88" s="143" t="s">
        <v>312</v>
      </c>
      <c r="L88" s="143" t="s">
        <v>1210</v>
      </c>
      <c r="M88" s="144">
        <v>1.32</v>
      </c>
      <c r="N88" s="143" t="s">
        <v>1233</v>
      </c>
      <c r="O88" s="146">
        <v>7.5209999999999999E-3</v>
      </c>
      <c r="P88" s="146">
        <v>1.5337999999999999E-2</v>
      </c>
      <c r="Q88" s="145" t="s">
        <v>3876</v>
      </c>
      <c r="R88" s="144">
        <v>1273511</v>
      </c>
      <c r="S88" s="145" t="s">
        <v>3876</v>
      </c>
      <c r="T88" s="143" t="s">
        <v>1234</v>
      </c>
      <c r="U88" s="144">
        <v>1445.3076000000001</v>
      </c>
      <c r="V88" s="145" t="s">
        <v>3876</v>
      </c>
      <c r="W88" s="145" t="s">
        <v>3876</v>
      </c>
      <c r="X88" s="146">
        <v>5.8679766404885259E-5</v>
      </c>
      <c r="Y88" s="146">
        <v>0.20152642761255138</v>
      </c>
      <c r="Z88" s="147">
        <v>0.11901615229822976</v>
      </c>
      <c r="AA88" s="183"/>
    </row>
    <row r="89" spans="1:27" ht="15" x14ac:dyDescent="0.2">
      <c r="A89" s="142" t="s">
        <v>1220</v>
      </c>
      <c r="B89" s="143" t="s">
        <v>1222</v>
      </c>
      <c r="C89" s="143" t="s">
        <v>1225</v>
      </c>
      <c r="D89" s="143" t="s">
        <v>1226</v>
      </c>
      <c r="E89" s="143" t="s">
        <v>1227</v>
      </c>
      <c r="F89" s="143" t="s">
        <v>943</v>
      </c>
      <c r="G89" s="143" t="s">
        <v>204</v>
      </c>
      <c r="H89" s="143" t="s">
        <v>204</v>
      </c>
      <c r="I89" s="143" t="s">
        <v>340</v>
      </c>
      <c r="J89" s="143" t="s">
        <v>1228</v>
      </c>
      <c r="K89" s="143" t="s">
        <v>312</v>
      </c>
      <c r="L89" s="143" t="s">
        <v>1210</v>
      </c>
      <c r="M89" s="144">
        <v>7.39</v>
      </c>
      <c r="N89" s="143" t="s">
        <v>1229</v>
      </c>
      <c r="O89" s="146">
        <v>1E-3</v>
      </c>
      <c r="P89" s="146">
        <v>2.1850000000000001E-2</v>
      </c>
      <c r="Q89" s="145" t="s">
        <v>3876</v>
      </c>
      <c r="R89" s="144">
        <v>948333</v>
      </c>
      <c r="S89" s="145" t="s">
        <v>3876</v>
      </c>
      <c r="T89" s="143" t="s">
        <v>1230</v>
      </c>
      <c r="U89" s="144">
        <v>926.04719999999998</v>
      </c>
      <c r="V89" s="145" t="s">
        <v>3876</v>
      </c>
      <c r="W89" s="145" t="s">
        <v>3876</v>
      </c>
      <c r="X89" s="146">
        <v>3.08862229961766E-5</v>
      </c>
      <c r="Y89" s="146">
        <v>0.12912336066066493</v>
      </c>
      <c r="Z89" s="147">
        <v>7.6256825170317358E-2</v>
      </c>
      <c r="AA89" s="183"/>
    </row>
    <row r="90" spans="1:27" ht="15" x14ac:dyDescent="0.2">
      <c r="A90" s="142" t="s">
        <v>1220</v>
      </c>
      <c r="B90" s="143" t="s">
        <v>1222</v>
      </c>
      <c r="C90" s="143" t="s">
        <v>1225</v>
      </c>
      <c r="D90" s="143" t="s">
        <v>1235</v>
      </c>
      <c r="E90" s="143" t="s">
        <v>1236</v>
      </c>
      <c r="F90" s="143" t="s">
        <v>943</v>
      </c>
      <c r="G90" s="143" t="s">
        <v>204</v>
      </c>
      <c r="H90" s="143" t="s">
        <v>204</v>
      </c>
      <c r="I90" s="143" t="s">
        <v>340</v>
      </c>
      <c r="J90" s="143" t="s">
        <v>1228</v>
      </c>
      <c r="K90" s="143" t="s">
        <v>312</v>
      </c>
      <c r="L90" s="143" t="s">
        <v>1210</v>
      </c>
      <c r="M90" s="144">
        <v>2.08</v>
      </c>
      <c r="N90" s="143" t="s">
        <v>1237</v>
      </c>
      <c r="O90" s="146">
        <v>1E-3</v>
      </c>
      <c r="P90" s="146">
        <v>1.6400000000000001E-2</v>
      </c>
      <c r="Q90" s="145" t="s">
        <v>3876</v>
      </c>
      <c r="R90" s="144">
        <v>321139</v>
      </c>
      <c r="S90" s="145" t="s">
        <v>3876</v>
      </c>
      <c r="T90" s="143" t="s">
        <v>1238</v>
      </c>
      <c r="U90" s="144">
        <v>353.89519999999999</v>
      </c>
      <c r="V90" s="145" t="s">
        <v>3876</v>
      </c>
      <c r="W90" s="145" t="s">
        <v>3876</v>
      </c>
      <c r="X90" s="146">
        <v>1.5894378324898357E-5</v>
      </c>
      <c r="Y90" s="146">
        <v>4.9345363781965967E-2</v>
      </c>
      <c r="Z90" s="147">
        <v>2.9142060426819369E-2</v>
      </c>
      <c r="AA90" s="183"/>
    </row>
    <row r="91" spans="1:27" ht="15" x14ac:dyDescent="0.2">
      <c r="A91" s="142" t="s">
        <v>1220</v>
      </c>
      <c r="B91" s="143" t="s">
        <v>1222</v>
      </c>
      <c r="C91" s="143" t="s">
        <v>1225</v>
      </c>
      <c r="D91" s="143" t="s">
        <v>1331</v>
      </c>
      <c r="E91" s="143" t="s">
        <v>1332</v>
      </c>
      <c r="F91" s="143" t="s">
        <v>943</v>
      </c>
      <c r="G91" s="143" t="s">
        <v>204</v>
      </c>
      <c r="H91" s="143" t="s">
        <v>204</v>
      </c>
      <c r="I91" s="143" t="s">
        <v>340</v>
      </c>
      <c r="J91" s="143" t="s">
        <v>1228</v>
      </c>
      <c r="K91" s="143" t="s">
        <v>312</v>
      </c>
      <c r="L91" s="143" t="s">
        <v>1210</v>
      </c>
      <c r="M91" s="144">
        <v>18.61</v>
      </c>
      <c r="N91" s="143" t="s">
        <v>1333</v>
      </c>
      <c r="O91" s="146">
        <v>0.01</v>
      </c>
      <c r="P91" s="146">
        <v>2.4271000000000001E-2</v>
      </c>
      <c r="Q91" s="145" t="s">
        <v>3876</v>
      </c>
      <c r="R91" s="144">
        <v>188447</v>
      </c>
      <c r="S91" s="145" t="s">
        <v>3876</v>
      </c>
      <c r="T91" s="143" t="s">
        <v>1334</v>
      </c>
      <c r="U91" s="144">
        <v>165.94639999999998</v>
      </c>
      <c r="V91" s="145" t="s">
        <v>3876</v>
      </c>
      <c r="W91" s="145" t="s">
        <v>3876</v>
      </c>
      <c r="X91" s="146">
        <v>1.0408501381709821E-5</v>
      </c>
      <c r="Y91" s="146">
        <v>2.3138735356961815E-2</v>
      </c>
      <c r="Z91" s="147">
        <v>1.3665122157214705E-2</v>
      </c>
      <c r="AA91" s="183"/>
    </row>
    <row r="92" spans="1:27" ht="15" x14ac:dyDescent="0.2">
      <c r="A92" s="142" t="s">
        <v>1220</v>
      </c>
      <c r="B92" s="143" t="s">
        <v>1222</v>
      </c>
      <c r="C92" s="143" t="s">
        <v>1225</v>
      </c>
      <c r="D92" s="143" t="s">
        <v>1239</v>
      </c>
      <c r="E92" s="143" t="s">
        <v>1240</v>
      </c>
      <c r="F92" s="143" t="s">
        <v>943</v>
      </c>
      <c r="G92" s="143" t="s">
        <v>204</v>
      </c>
      <c r="H92" s="143" t="s">
        <v>204</v>
      </c>
      <c r="I92" s="143" t="s">
        <v>340</v>
      </c>
      <c r="J92" s="143" t="s">
        <v>1228</v>
      </c>
      <c r="K92" s="143" t="s">
        <v>312</v>
      </c>
      <c r="L92" s="143" t="s">
        <v>1210</v>
      </c>
      <c r="M92" s="144">
        <v>2.89</v>
      </c>
      <c r="N92" s="143" t="s">
        <v>1241</v>
      </c>
      <c r="O92" s="146">
        <v>7.4999999999999997E-3</v>
      </c>
      <c r="P92" s="146">
        <v>1.7389999999999999E-2</v>
      </c>
      <c r="Q92" s="145" t="s">
        <v>3876</v>
      </c>
      <c r="R92" s="144">
        <v>43680</v>
      </c>
      <c r="S92" s="145" t="s">
        <v>3876</v>
      </c>
      <c r="T92" s="143" t="s">
        <v>1242</v>
      </c>
      <c r="U92" s="144">
        <v>48.773099999999999</v>
      </c>
      <c r="V92" s="145" t="s">
        <v>3876</v>
      </c>
      <c r="W92" s="145" t="s">
        <v>3876</v>
      </c>
      <c r="X92" s="146">
        <v>1.9595665681184877E-6</v>
      </c>
      <c r="Y92" s="146">
        <v>6.8006740971470339E-3</v>
      </c>
      <c r="Z92" s="147">
        <v>4.0162973842457345E-3</v>
      </c>
      <c r="AA92" s="183"/>
    </row>
    <row r="93" spans="1:27" ht="15" x14ac:dyDescent="0.2">
      <c r="A93" s="142" t="s">
        <v>1220</v>
      </c>
      <c r="B93" s="143" t="s">
        <v>1222</v>
      </c>
      <c r="C93" s="143" t="s">
        <v>1225</v>
      </c>
      <c r="D93" s="143" t="s">
        <v>1251</v>
      </c>
      <c r="E93" s="143" t="s">
        <v>1252</v>
      </c>
      <c r="F93" s="143" t="s">
        <v>943</v>
      </c>
      <c r="G93" s="143" t="s">
        <v>204</v>
      </c>
      <c r="H93" s="143" t="s">
        <v>204</v>
      </c>
      <c r="I93" s="143" t="s">
        <v>340</v>
      </c>
      <c r="J93" s="143" t="s">
        <v>1228</v>
      </c>
      <c r="K93" s="143" t="s">
        <v>312</v>
      </c>
      <c r="L93" s="143" t="s">
        <v>1210</v>
      </c>
      <c r="M93" s="144">
        <v>9.8800000000000008</v>
      </c>
      <c r="N93" s="143" t="s">
        <v>1253</v>
      </c>
      <c r="O93" s="146">
        <v>4.011E-2</v>
      </c>
      <c r="P93" s="146">
        <v>2.3077E-2</v>
      </c>
      <c r="Q93" s="145" t="s">
        <v>3876</v>
      </c>
      <c r="R93" s="144">
        <v>8599</v>
      </c>
      <c r="S93" s="145" t="s">
        <v>3876</v>
      </c>
      <c r="T93" s="143" t="s">
        <v>1254</v>
      </c>
      <c r="U93" s="144">
        <v>13.6793</v>
      </c>
      <c r="V93" s="145" t="s">
        <v>3876</v>
      </c>
      <c r="W93" s="145" t="s">
        <v>3876</v>
      </c>
      <c r="X93" s="146">
        <v>5.3972109367992813E-7</v>
      </c>
      <c r="Y93" s="146">
        <v>1.9073712890564397E-3</v>
      </c>
      <c r="Z93" s="147">
        <v>1.1264427922279788E-3</v>
      </c>
      <c r="AA93" s="183"/>
    </row>
    <row r="94" spans="1:27" ht="15" x14ac:dyDescent="0.2">
      <c r="A94" s="142" t="s">
        <v>1220</v>
      </c>
      <c r="B94" s="143" t="s">
        <v>1222</v>
      </c>
      <c r="C94" s="143" t="s">
        <v>1225</v>
      </c>
      <c r="D94" s="143" t="s">
        <v>1255</v>
      </c>
      <c r="E94" s="143" t="s">
        <v>1256</v>
      </c>
      <c r="F94" s="143" t="s">
        <v>945</v>
      </c>
      <c r="G94" s="143" t="s">
        <v>204</v>
      </c>
      <c r="H94" s="143" t="s">
        <v>204</v>
      </c>
      <c r="I94" s="143" t="s">
        <v>340</v>
      </c>
      <c r="J94" s="143" t="s">
        <v>1228</v>
      </c>
      <c r="K94" s="143" t="s">
        <v>312</v>
      </c>
      <c r="L94" s="143" t="s">
        <v>1210</v>
      </c>
      <c r="M94" s="144">
        <v>11.5</v>
      </c>
      <c r="N94" s="143" t="s">
        <v>1257</v>
      </c>
      <c r="O94" s="146">
        <v>1.5041000000000001E-2</v>
      </c>
      <c r="P94" s="146">
        <v>5.2136000000000002E-2</v>
      </c>
      <c r="Q94" s="145" t="s">
        <v>3876</v>
      </c>
      <c r="R94" s="144">
        <v>1315669</v>
      </c>
      <c r="S94" s="145" t="s">
        <v>3876</v>
      </c>
      <c r="T94" s="143" t="s">
        <v>1258</v>
      </c>
      <c r="U94" s="144">
        <v>866.10490000000004</v>
      </c>
      <c r="V94" s="145" t="s">
        <v>3876</v>
      </c>
      <c r="W94" s="145" t="s">
        <v>3876</v>
      </c>
      <c r="X94" s="146">
        <v>4.1013970796753731E-5</v>
      </c>
      <c r="Y94" s="146">
        <v>0.12076531174741165</v>
      </c>
      <c r="Z94" s="147">
        <v>7.1320783609116908E-2</v>
      </c>
      <c r="AA94" s="183"/>
    </row>
    <row r="95" spans="1:27" ht="15" x14ac:dyDescent="0.2">
      <c r="A95" s="142" t="s">
        <v>1220</v>
      </c>
      <c r="B95" s="143" t="s">
        <v>1222</v>
      </c>
      <c r="C95" s="143" t="s">
        <v>1225</v>
      </c>
      <c r="D95" s="143" t="s">
        <v>1272</v>
      </c>
      <c r="E95" s="143" t="s">
        <v>1273</v>
      </c>
      <c r="F95" s="143" t="s">
        <v>945</v>
      </c>
      <c r="G95" s="143" t="s">
        <v>204</v>
      </c>
      <c r="H95" s="143" t="s">
        <v>204</v>
      </c>
      <c r="I95" s="143" t="s">
        <v>340</v>
      </c>
      <c r="J95" s="143" t="s">
        <v>1228</v>
      </c>
      <c r="K95" s="143" t="s">
        <v>312</v>
      </c>
      <c r="L95" s="143" t="s">
        <v>1210</v>
      </c>
      <c r="M95" s="144">
        <v>0.67</v>
      </c>
      <c r="N95" s="143" t="s">
        <v>1274</v>
      </c>
      <c r="O95" s="143" t="s">
        <v>1266</v>
      </c>
      <c r="P95" s="146">
        <v>4.3515999999999999E-2</v>
      </c>
      <c r="Q95" s="145" t="s">
        <v>3876</v>
      </c>
      <c r="R95" s="144">
        <v>581518.09</v>
      </c>
      <c r="S95" s="145" t="s">
        <v>3876</v>
      </c>
      <c r="T95" s="143" t="s">
        <v>1275</v>
      </c>
      <c r="U95" s="144">
        <v>565.06110000000001</v>
      </c>
      <c r="V95" s="145" t="s">
        <v>3876</v>
      </c>
      <c r="W95" s="145" t="s">
        <v>3876</v>
      </c>
      <c r="X95" s="146">
        <v>4.845984083333333E-5</v>
      </c>
      <c r="Y95" s="146">
        <v>7.8789281844420439E-2</v>
      </c>
      <c r="Z95" s="147">
        <v>4.6530855920753018E-2</v>
      </c>
      <c r="AA95" s="183"/>
    </row>
    <row r="96" spans="1:27" ht="15" x14ac:dyDescent="0.2">
      <c r="A96" s="142" t="s">
        <v>1220</v>
      </c>
      <c r="B96" s="143" t="s">
        <v>1222</v>
      </c>
      <c r="C96" s="143" t="s">
        <v>1225</v>
      </c>
      <c r="D96" s="143" t="s">
        <v>1276</v>
      </c>
      <c r="E96" s="143" t="s">
        <v>1277</v>
      </c>
      <c r="F96" s="143" t="s">
        <v>945</v>
      </c>
      <c r="G96" s="143" t="s">
        <v>204</v>
      </c>
      <c r="H96" s="143" t="s">
        <v>204</v>
      </c>
      <c r="I96" s="143" t="s">
        <v>340</v>
      </c>
      <c r="J96" s="143" t="s">
        <v>1228</v>
      </c>
      <c r="K96" s="143" t="s">
        <v>312</v>
      </c>
      <c r="L96" s="143" t="s">
        <v>1210</v>
      </c>
      <c r="M96" s="144">
        <v>0.6</v>
      </c>
      <c r="N96" s="143" t="s">
        <v>1278</v>
      </c>
      <c r="O96" s="143" t="s">
        <v>1266</v>
      </c>
      <c r="P96" s="146">
        <v>4.3658000000000002E-2</v>
      </c>
      <c r="Q96" s="145" t="s">
        <v>3876</v>
      </c>
      <c r="R96" s="144">
        <v>508778</v>
      </c>
      <c r="S96" s="145" t="s">
        <v>3876</v>
      </c>
      <c r="T96" s="143" t="s">
        <v>1279</v>
      </c>
      <c r="U96" s="144">
        <v>495.95679999999999</v>
      </c>
      <c r="V96" s="145" t="s">
        <v>3876</v>
      </c>
      <c r="W96" s="145" t="s">
        <v>3876</v>
      </c>
      <c r="X96" s="146">
        <v>4.239816666666667E-5</v>
      </c>
      <c r="Y96" s="146">
        <v>6.9153721104969965E-2</v>
      </c>
      <c r="Z96" s="147">
        <v>4.0840349826683511E-2</v>
      </c>
      <c r="AA96" s="183"/>
    </row>
    <row r="97" spans="1:27" ht="15" x14ac:dyDescent="0.2">
      <c r="A97" s="142" t="s">
        <v>1220</v>
      </c>
      <c r="B97" s="143" t="s">
        <v>1222</v>
      </c>
      <c r="C97" s="143" t="s">
        <v>1225</v>
      </c>
      <c r="D97" s="143" t="s">
        <v>1280</v>
      </c>
      <c r="E97" s="143" t="s">
        <v>1281</v>
      </c>
      <c r="F97" s="143" t="s">
        <v>945</v>
      </c>
      <c r="G97" s="143" t="s">
        <v>204</v>
      </c>
      <c r="H97" s="143" t="s">
        <v>204</v>
      </c>
      <c r="I97" s="143" t="s">
        <v>340</v>
      </c>
      <c r="J97" s="143" t="s">
        <v>1228</v>
      </c>
      <c r="K97" s="143" t="s">
        <v>314</v>
      </c>
      <c r="L97" s="143" t="s">
        <v>1210</v>
      </c>
      <c r="M97" s="144">
        <v>0.92</v>
      </c>
      <c r="N97" s="143" t="s">
        <v>1282</v>
      </c>
      <c r="O97" s="143" t="s">
        <v>1266</v>
      </c>
      <c r="P97" s="146">
        <v>4.3203999999999999E-2</v>
      </c>
      <c r="Q97" s="145" t="s">
        <v>3876</v>
      </c>
      <c r="R97" s="144">
        <v>505000</v>
      </c>
      <c r="S97" s="145" t="s">
        <v>3876</v>
      </c>
      <c r="T97" s="143" t="s">
        <v>1283</v>
      </c>
      <c r="U97" s="144">
        <v>485.6585</v>
      </c>
      <c r="V97" s="145" t="s">
        <v>3876</v>
      </c>
      <c r="W97" s="145" t="s">
        <v>3876</v>
      </c>
      <c r="X97" s="146">
        <v>4.2083333333333331E-5</v>
      </c>
      <c r="Y97" s="146">
        <v>6.7717778726852043E-2</v>
      </c>
      <c r="Z97" s="147">
        <v>3.9992320420365983E-2</v>
      </c>
      <c r="AA97" s="183"/>
    </row>
    <row r="98" spans="1:27" ht="15" x14ac:dyDescent="0.2">
      <c r="A98" s="142" t="s">
        <v>1220</v>
      </c>
      <c r="B98" s="143" t="s">
        <v>1222</v>
      </c>
      <c r="C98" s="143" t="s">
        <v>1225</v>
      </c>
      <c r="D98" s="143" t="s">
        <v>1284</v>
      </c>
      <c r="E98" s="143" t="s">
        <v>1285</v>
      </c>
      <c r="F98" s="143" t="s">
        <v>945</v>
      </c>
      <c r="G98" s="143" t="s">
        <v>204</v>
      </c>
      <c r="H98" s="143" t="s">
        <v>204</v>
      </c>
      <c r="I98" s="143" t="s">
        <v>340</v>
      </c>
      <c r="J98" s="143" t="s">
        <v>1228</v>
      </c>
      <c r="K98" s="143" t="s">
        <v>312</v>
      </c>
      <c r="L98" s="143" t="s">
        <v>1210</v>
      </c>
      <c r="M98" s="144">
        <v>14.48</v>
      </c>
      <c r="N98" s="143" t="s">
        <v>1286</v>
      </c>
      <c r="O98" s="146">
        <v>3.7602999999999998E-2</v>
      </c>
      <c r="P98" s="146">
        <v>5.4753999999999997E-2</v>
      </c>
      <c r="Q98" s="145" t="s">
        <v>3876</v>
      </c>
      <c r="R98" s="144">
        <v>602280</v>
      </c>
      <c r="S98" s="145" t="s">
        <v>3876</v>
      </c>
      <c r="T98" s="143" t="s">
        <v>1287</v>
      </c>
      <c r="U98" s="144">
        <v>474.53640000000001</v>
      </c>
      <c r="V98" s="145" t="s">
        <v>3876</v>
      </c>
      <c r="W98" s="145" t="s">
        <v>3876</v>
      </c>
      <c r="X98" s="146">
        <v>2.2947195639577451E-5</v>
      </c>
      <c r="Y98" s="146">
        <v>6.6166970712239773E-2</v>
      </c>
      <c r="Z98" s="147">
        <v>3.9076454421851585E-2</v>
      </c>
      <c r="AA98" s="183"/>
    </row>
    <row r="99" spans="1:27" ht="15" x14ac:dyDescent="0.2">
      <c r="A99" s="142" t="s">
        <v>1220</v>
      </c>
      <c r="B99" s="143" t="s">
        <v>1222</v>
      </c>
      <c r="C99" s="143" t="s">
        <v>1225</v>
      </c>
      <c r="D99" s="143" t="s">
        <v>1259</v>
      </c>
      <c r="E99" s="143" t="s">
        <v>1260</v>
      </c>
      <c r="F99" s="143" t="s">
        <v>945</v>
      </c>
      <c r="G99" s="143" t="s">
        <v>204</v>
      </c>
      <c r="H99" s="143" t="s">
        <v>204</v>
      </c>
      <c r="I99" s="143" t="s">
        <v>340</v>
      </c>
      <c r="J99" s="143" t="s">
        <v>1228</v>
      </c>
      <c r="K99" s="143" t="s">
        <v>312</v>
      </c>
      <c r="L99" s="143" t="s">
        <v>1210</v>
      </c>
      <c r="M99" s="144">
        <v>7.42</v>
      </c>
      <c r="N99" s="143" t="s">
        <v>1261</v>
      </c>
      <c r="O99" s="146">
        <v>1.2999999999999999E-2</v>
      </c>
      <c r="P99" s="146">
        <v>4.9000000000000002E-2</v>
      </c>
      <c r="Q99" s="145" t="s">
        <v>3876</v>
      </c>
      <c r="R99" s="144">
        <v>594740</v>
      </c>
      <c r="S99" s="145" t="s">
        <v>3876</v>
      </c>
      <c r="T99" s="143" t="s">
        <v>1262</v>
      </c>
      <c r="U99" s="144">
        <v>459.49609999999996</v>
      </c>
      <c r="V99" s="145" t="s">
        <v>3876</v>
      </c>
      <c r="W99" s="145" t="s">
        <v>3876</v>
      </c>
      <c r="X99" s="146">
        <v>1.9822755092317263E-5</v>
      </c>
      <c r="Y99" s="146">
        <v>6.4069828595356967E-2</v>
      </c>
      <c r="Z99" s="147">
        <v>3.7837938022137411E-2</v>
      </c>
      <c r="AA99" s="183"/>
    </row>
    <row r="100" spans="1:27" ht="15" x14ac:dyDescent="0.2">
      <c r="A100" s="142" t="s">
        <v>1220</v>
      </c>
      <c r="B100" s="143" t="s">
        <v>1222</v>
      </c>
      <c r="C100" s="143" t="s">
        <v>1225</v>
      </c>
      <c r="D100" s="143" t="s">
        <v>1268</v>
      </c>
      <c r="E100" s="143" t="s">
        <v>1269</v>
      </c>
      <c r="F100" s="143" t="s">
        <v>945</v>
      </c>
      <c r="G100" s="143" t="s">
        <v>204</v>
      </c>
      <c r="H100" s="143" t="s">
        <v>204</v>
      </c>
      <c r="I100" s="143" t="s">
        <v>340</v>
      </c>
      <c r="J100" s="143" t="s">
        <v>1228</v>
      </c>
      <c r="K100" s="143" t="s">
        <v>312</v>
      </c>
      <c r="L100" s="143" t="s">
        <v>1210</v>
      </c>
      <c r="M100" s="144">
        <v>11.51</v>
      </c>
      <c r="N100" s="143" t="s">
        <v>1270</v>
      </c>
      <c r="O100" s="146">
        <v>5.5E-2</v>
      </c>
      <c r="P100" s="146">
        <v>5.3379000000000003E-2</v>
      </c>
      <c r="Q100" s="145" t="s">
        <v>3876</v>
      </c>
      <c r="R100" s="144">
        <v>281306</v>
      </c>
      <c r="S100" s="145" t="s">
        <v>3876</v>
      </c>
      <c r="T100" s="143" t="s">
        <v>1271</v>
      </c>
      <c r="U100" s="144">
        <v>292.81140000000005</v>
      </c>
      <c r="V100" s="145" t="s">
        <v>3876</v>
      </c>
      <c r="W100" s="145" t="s">
        <v>3876</v>
      </c>
      <c r="X100" s="146">
        <v>1.4569368762181809E-5</v>
      </c>
      <c r="Y100" s="146">
        <v>4.0828151132438859E-2</v>
      </c>
      <c r="Z100" s="147">
        <v>2.4112020992976931E-2</v>
      </c>
      <c r="AA100" s="183"/>
    </row>
    <row r="101" spans="1:27" ht="15" x14ac:dyDescent="0.2">
      <c r="A101" s="142" t="s">
        <v>1220</v>
      </c>
      <c r="B101" s="143" t="s">
        <v>1222</v>
      </c>
      <c r="C101" s="143" t="s">
        <v>1225</v>
      </c>
      <c r="D101" s="143" t="s">
        <v>1288</v>
      </c>
      <c r="E101" s="143" t="s">
        <v>1289</v>
      </c>
      <c r="F101" s="143" t="s">
        <v>945</v>
      </c>
      <c r="G101" s="143" t="s">
        <v>204</v>
      </c>
      <c r="H101" s="143" t="s">
        <v>204</v>
      </c>
      <c r="I101" s="143" t="s">
        <v>340</v>
      </c>
      <c r="J101" s="143" t="s">
        <v>1228</v>
      </c>
      <c r="K101" s="143" t="s">
        <v>312</v>
      </c>
      <c r="L101" s="143" t="s">
        <v>1210</v>
      </c>
      <c r="M101" s="144">
        <v>0.85</v>
      </c>
      <c r="N101" s="143" t="s">
        <v>1290</v>
      </c>
      <c r="O101" s="143" t="s">
        <v>1266</v>
      </c>
      <c r="P101" s="146">
        <v>4.3234000000000002E-2</v>
      </c>
      <c r="Q101" s="145" t="s">
        <v>3876</v>
      </c>
      <c r="R101" s="144">
        <v>156402</v>
      </c>
      <c r="S101" s="145" t="s">
        <v>3876</v>
      </c>
      <c r="T101" s="143" t="s">
        <v>1291</v>
      </c>
      <c r="U101" s="144">
        <v>150.89660000000001</v>
      </c>
      <c r="V101" s="145" t="s">
        <v>3876</v>
      </c>
      <c r="W101" s="145" t="s">
        <v>3876</v>
      </c>
      <c r="X101" s="146">
        <v>1.1171571428571428E-5</v>
      </c>
      <c r="Y101" s="146">
        <v>2.1040269918545906E-2</v>
      </c>
      <c r="Z101" s="147">
        <v>1.2425824238972222E-2</v>
      </c>
      <c r="AA101" s="183"/>
    </row>
    <row r="102" spans="1:27" ht="15" x14ac:dyDescent="0.2">
      <c r="A102" s="142" t="s">
        <v>1220</v>
      </c>
      <c r="B102" s="143" t="s">
        <v>1222</v>
      </c>
      <c r="C102" s="143" t="s">
        <v>1225</v>
      </c>
      <c r="D102" s="143" t="s">
        <v>1315</v>
      </c>
      <c r="E102" s="143" t="s">
        <v>1316</v>
      </c>
      <c r="F102" s="143" t="s">
        <v>945</v>
      </c>
      <c r="G102" s="143" t="s">
        <v>204</v>
      </c>
      <c r="H102" s="143" t="s">
        <v>204</v>
      </c>
      <c r="I102" s="143" t="s">
        <v>340</v>
      </c>
      <c r="J102" s="143" t="s">
        <v>1228</v>
      </c>
      <c r="K102" s="143" t="s">
        <v>312</v>
      </c>
      <c r="L102" s="143" t="s">
        <v>1210</v>
      </c>
      <c r="M102" s="144">
        <v>0.42</v>
      </c>
      <c r="N102" s="143" t="s">
        <v>1317</v>
      </c>
      <c r="O102" s="143" t="s">
        <v>1266</v>
      </c>
      <c r="P102" s="146">
        <v>4.3450999999999997E-2</v>
      </c>
      <c r="Q102" s="145" t="s">
        <v>3876</v>
      </c>
      <c r="R102" s="144">
        <v>115808</v>
      </c>
      <c r="S102" s="145" t="s">
        <v>3876</v>
      </c>
      <c r="T102" s="143" t="s">
        <v>1318</v>
      </c>
      <c r="U102" s="144">
        <v>113.735</v>
      </c>
      <c r="V102" s="145" t="s">
        <v>3876</v>
      </c>
      <c r="W102" s="145" t="s">
        <v>3876</v>
      </c>
      <c r="X102" s="146">
        <v>8.2719999999999997E-6</v>
      </c>
      <c r="Y102" s="146">
        <v>1.585864152591332E-2</v>
      </c>
      <c r="Z102" s="147">
        <v>9.3656922193840249E-3</v>
      </c>
      <c r="AA102" s="183"/>
    </row>
    <row r="103" spans="1:27" ht="15" x14ac:dyDescent="0.2">
      <c r="A103" s="142" t="s">
        <v>1220</v>
      </c>
      <c r="B103" s="143" t="s">
        <v>1222</v>
      </c>
      <c r="C103" s="143" t="s">
        <v>1225</v>
      </c>
      <c r="D103" s="143" t="s">
        <v>1327</v>
      </c>
      <c r="E103" s="143" t="s">
        <v>1328</v>
      </c>
      <c r="F103" s="143" t="s">
        <v>945</v>
      </c>
      <c r="G103" s="143" t="s">
        <v>204</v>
      </c>
      <c r="H103" s="143" t="s">
        <v>204</v>
      </c>
      <c r="I103" s="143" t="s">
        <v>340</v>
      </c>
      <c r="J103" s="143" t="s">
        <v>1228</v>
      </c>
      <c r="K103" s="143" t="s">
        <v>312</v>
      </c>
      <c r="L103" s="143" t="s">
        <v>1210</v>
      </c>
      <c r="M103" s="144">
        <v>4.01</v>
      </c>
      <c r="N103" s="143" t="s">
        <v>1329</v>
      </c>
      <c r="O103" s="146">
        <v>2.2499999999999999E-2</v>
      </c>
      <c r="P103" s="146">
        <v>4.6257E-2</v>
      </c>
      <c r="Q103" s="145" t="s">
        <v>3876</v>
      </c>
      <c r="R103" s="144">
        <v>112565</v>
      </c>
      <c r="S103" s="145" t="s">
        <v>3876</v>
      </c>
      <c r="T103" s="143" t="s">
        <v>1330</v>
      </c>
      <c r="U103" s="144">
        <v>104.3815</v>
      </c>
      <c r="V103" s="145" t="s">
        <v>3876</v>
      </c>
      <c r="W103" s="145" t="s">
        <v>3876</v>
      </c>
      <c r="X103" s="146">
        <v>3.6910768714231105E-6</v>
      </c>
      <c r="Y103" s="146">
        <v>1.4554434812244582E-2</v>
      </c>
      <c r="Z103" s="147">
        <v>8.5954623954286446E-3</v>
      </c>
      <c r="AA103" s="183"/>
    </row>
    <row r="104" spans="1:27" ht="15" x14ac:dyDescent="0.2">
      <c r="A104" s="142" t="s">
        <v>1220</v>
      </c>
      <c r="B104" s="143" t="s">
        <v>1222</v>
      </c>
      <c r="C104" s="143" t="s">
        <v>1292</v>
      </c>
      <c r="D104" s="143" t="s">
        <v>1297</v>
      </c>
      <c r="E104" s="143" t="s">
        <v>1298</v>
      </c>
      <c r="F104" s="143" t="s">
        <v>945</v>
      </c>
      <c r="G104" s="143" t="s">
        <v>204</v>
      </c>
      <c r="H104" s="143" t="s">
        <v>204</v>
      </c>
      <c r="I104" s="143" t="s">
        <v>340</v>
      </c>
      <c r="J104" s="143" t="s">
        <v>1224</v>
      </c>
      <c r="K104" s="143" t="s">
        <v>413</v>
      </c>
      <c r="L104" s="143" t="s">
        <v>1210</v>
      </c>
      <c r="M104" s="144">
        <v>4.3099999999999996</v>
      </c>
      <c r="N104" s="143" t="s">
        <v>1299</v>
      </c>
      <c r="O104" s="146">
        <v>3.7284200000000003E-2</v>
      </c>
      <c r="P104" s="146">
        <v>4.6670999999999997E-2</v>
      </c>
      <c r="Q104" s="145" t="s">
        <v>3876</v>
      </c>
      <c r="R104" s="144">
        <v>46335</v>
      </c>
      <c r="S104" s="145" t="s">
        <v>3876</v>
      </c>
      <c r="T104" s="143" t="s">
        <v>1300</v>
      </c>
      <c r="U104" s="144">
        <v>45.171999999999997</v>
      </c>
      <c r="V104" s="145" t="s">
        <v>3876</v>
      </c>
      <c r="W104" s="145" t="s">
        <v>3876</v>
      </c>
      <c r="X104" s="146">
        <v>1.7556033432962135E-6</v>
      </c>
      <c r="Y104" s="146">
        <v>6.2985553121138443E-3</v>
      </c>
      <c r="Z104" s="147">
        <v>3.7197593743217689E-3</v>
      </c>
      <c r="AA104" s="183"/>
    </row>
    <row r="105" spans="1:27" ht="15" x14ac:dyDescent="0.2">
      <c r="A105" s="142" t="s">
        <v>1220</v>
      </c>
      <c r="B105" s="143" t="s">
        <v>1222</v>
      </c>
      <c r="C105" s="143" t="s">
        <v>1225</v>
      </c>
      <c r="D105" s="143" t="s">
        <v>1335</v>
      </c>
      <c r="E105" s="143" t="s">
        <v>1336</v>
      </c>
      <c r="F105" s="143" t="s">
        <v>945</v>
      </c>
      <c r="G105" s="143" t="s">
        <v>204</v>
      </c>
      <c r="H105" s="143" t="s">
        <v>204</v>
      </c>
      <c r="I105" s="143" t="s">
        <v>340</v>
      </c>
      <c r="J105" s="143" t="s">
        <v>1228</v>
      </c>
      <c r="K105" s="143" t="s">
        <v>312</v>
      </c>
      <c r="L105" s="143" t="s">
        <v>1210</v>
      </c>
      <c r="M105" s="144">
        <v>2.68</v>
      </c>
      <c r="N105" s="143" t="s">
        <v>1337</v>
      </c>
      <c r="O105" s="146">
        <v>2.0055E-2</v>
      </c>
      <c r="P105" s="146">
        <v>4.4908999999999998E-2</v>
      </c>
      <c r="Q105" s="145" t="s">
        <v>3876</v>
      </c>
      <c r="R105" s="144">
        <v>12297</v>
      </c>
      <c r="S105" s="145" t="s">
        <v>3876</v>
      </c>
      <c r="T105" s="143" t="s">
        <v>1338</v>
      </c>
      <c r="U105" s="144">
        <v>11.5838</v>
      </c>
      <c r="V105" s="145" t="s">
        <v>3876</v>
      </c>
      <c r="W105" s="145" t="s">
        <v>3876</v>
      </c>
      <c r="X105" s="146">
        <v>4.7583218756396739E-7</v>
      </c>
      <c r="Y105" s="146">
        <v>1.6151831885035715E-3</v>
      </c>
      <c r="Z105" s="147">
        <v>9.5388426535333891E-4</v>
      </c>
      <c r="AA105" s="183"/>
    </row>
    <row r="106" spans="1:27" ht="15" x14ac:dyDescent="0.2">
      <c r="A106" s="142" t="s">
        <v>1220</v>
      </c>
      <c r="B106" s="143" t="s">
        <v>1222</v>
      </c>
      <c r="C106" s="143" t="s">
        <v>1225</v>
      </c>
      <c r="D106" s="143" t="s">
        <v>1323</v>
      </c>
      <c r="E106" s="143" t="s">
        <v>1324</v>
      </c>
      <c r="F106" s="143" t="s">
        <v>945</v>
      </c>
      <c r="G106" s="143" t="s">
        <v>204</v>
      </c>
      <c r="H106" s="143" t="s">
        <v>204</v>
      </c>
      <c r="I106" s="143" t="s">
        <v>340</v>
      </c>
      <c r="J106" s="143" t="s">
        <v>1228</v>
      </c>
      <c r="K106" s="143" t="s">
        <v>312</v>
      </c>
      <c r="L106" s="143" t="s">
        <v>1210</v>
      </c>
      <c r="M106" s="144">
        <v>0.35</v>
      </c>
      <c r="N106" s="143" t="s">
        <v>1325</v>
      </c>
      <c r="O106" s="143" t="s">
        <v>1266</v>
      </c>
      <c r="P106" s="146">
        <v>4.3479999999999998E-2</v>
      </c>
      <c r="Q106" s="145" t="s">
        <v>3876</v>
      </c>
      <c r="R106" s="144">
        <v>527</v>
      </c>
      <c r="S106" s="145" t="s">
        <v>3876</v>
      </c>
      <c r="T106" s="143" t="s">
        <v>1326</v>
      </c>
      <c r="U106" s="144">
        <v>0.51929999999999998</v>
      </c>
      <c r="V106" s="145" t="s">
        <v>3876</v>
      </c>
      <c r="W106" s="145" t="s">
        <v>3876</v>
      </c>
      <c r="X106" s="146">
        <v>3.7642857142857141E-8</v>
      </c>
      <c r="Y106" s="146">
        <v>7.2402040794162931E-5</v>
      </c>
      <c r="Z106" s="147">
        <v>4.2758721106432487E-5</v>
      </c>
      <c r="AA106" s="183"/>
    </row>
    <row r="107" spans="1:27" ht="15" x14ac:dyDescent="0.2">
      <c r="A107" s="142" t="s">
        <v>1220</v>
      </c>
      <c r="B107" s="143" t="s">
        <v>1222</v>
      </c>
      <c r="C107" s="143" t="s">
        <v>1225</v>
      </c>
      <c r="D107" s="143" t="s">
        <v>1301</v>
      </c>
      <c r="E107" s="143" t="s">
        <v>1302</v>
      </c>
      <c r="F107" s="143" t="s">
        <v>945</v>
      </c>
      <c r="G107" s="143" t="s">
        <v>204</v>
      </c>
      <c r="H107" s="143" t="s">
        <v>204</v>
      </c>
      <c r="I107" s="143" t="s">
        <v>340</v>
      </c>
      <c r="J107" s="143" t="s">
        <v>1228</v>
      </c>
      <c r="K107" s="143" t="s">
        <v>312</v>
      </c>
      <c r="L107" s="143" t="s">
        <v>1210</v>
      </c>
      <c r="M107" s="144">
        <v>16.82</v>
      </c>
      <c r="N107" s="143" t="s">
        <v>1303</v>
      </c>
      <c r="O107" s="146">
        <v>2.8000000000000001E-2</v>
      </c>
      <c r="P107" s="146">
        <v>5.5648999999999997E-2</v>
      </c>
      <c r="Q107" s="145" t="s">
        <v>3876</v>
      </c>
      <c r="R107" s="144">
        <v>240</v>
      </c>
      <c r="S107" s="145" t="s">
        <v>3876</v>
      </c>
      <c r="T107" s="143" t="s">
        <v>1304</v>
      </c>
      <c r="U107" s="144">
        <v>0.1502</v>
      </c>
      <c r="V107" s="145" t="s">
        <v>3876</v>
      </c>
      <c r="W107" s="145" t="s">
        <v>3876</v>
      </c>
      <c r="X107" s="146">
        <v>1.4393000396047394E-8</v>
      </c>
      <c r="Y107" s="146">
        <v>2.0948710000797372E-5</v>
      </c>
      <c r="Z107" s="147">
        <v>1.2371751384884206E-5</v>
      </c>
      <c r="AA107" s="183"/>
    </row>
    <row r="108" spans="1:27" ht="15" x14ac:dyDescent="0.2">
      <c r="A108" s="142" t="s">
        <v>1220</v>
      </c>
      <c r="B108" s="143" t="s">
        <v>1222</v>
      </c>
      <c r="C108" s="143" t="s">
        <v>1305</v>
      </c>
      <c r="D108" s="143" t="s">
        <v>1306</v>
      </c>
      <c r="E108" s="143" t="s">
        <v>1307</v>
      </c>
      <c r="F108" s="143" t="s">
        <v>947</v>
      </c>
      <c r="G108" s="143" t="s">
        <v>205</v>
      </c>
      <c r="H108" s="143" t="s">
        <v>224</v>
      </c>
      <c r="I108" s="143" t="s">
        <v>344</v>
      </c>
      <c r="J108" s="143" t="s">
        <v>1308</v>
      </c>
      <c r="K108" s="143" t="s">
        <v>423</v>
      </c>
      <c r="L108" s="143" t="s">
        <v>1211</v>
      </c>
      <c r="M108" s="144">
        <v>7.4589999999999996</v>
      </c>
      <c r="N108" s="143" t="s">
        <v>1309</v>
      </c>
      <c r="O108" s="146">
        <v>3.875E-2</v>
      </c>
      <c r="P108" s="146">
        <v>4.41E-2</v>
      </c>
      <c r="Q108" s="145" t="s">
        <v>3876</v>
      </c>
      <c r="R108" s="144">
        <v>29900</v>
      </c>
      <c r="S108" s="143" t="s">
        <v>1212</v>
      </c>
      <c r="T108" s="143" t="s">
        <v>1310</v>
      </c>
      <c r="U108" s="144">
        <v>109.5612</v>
      </c>
      <c r="V108" s="145" t="s">
        <v>3876</v>
      </c>
      <c r="W108" s="145" t="s">
        <v>3876</v>
      </c>
      <c r="X108" s="146">
        <v>7.8684210526315787E-7</v>
      </c>
      <c r="Y108" s="146">
        <v>1.5276665054143698E-2</v>
      </c>
      <c r="Z108" s="147">
        <v>9.0219923820044554E-3</v>
      </c>
      <c r="AA108" s="183"/>
    </row>
    <row r="109" spans="1:27" ht="15" x14ac:dyDescent="0.2">
      <c r="A109" s="142" t="s">
        <v>1220</v>
      </c>
      <c r="B109" s="143" t="s">
        <v>1222</v>
      </c>
      <c r="C109" s="143" t="s">
        <v>1305</v>
      </c>
      <c r="D109" s="143" t="s">
        <v>1311</v>
      </c>
      <c r="E109" s="143" t="s">
        <v>1312</v>
      </c>
      <c r="F109" s="143" t="s">
        <v>947</v>
      </c>
      <c r="G109" s="143" t="s">
        <v>205</v>
      </c>
      <c r="H109" s="143" t="s">
        <v>224</v>
      </c>
      <c r="I109" s="143" t="s">
        <v>344</v>
      </c>
      <c r="J109" s="143" t="s">
        <v>1308</v>
      </c>
      <c r="K109" s="143" t="s">
        <v>423</v>
      </c>
      <c r="L109" s="143" t="s">
        <v>1211</v>
      </c>
      <c r="M109" s="144">
        <v>7.7590000000000003</v>
      </c>
      <c r="N109" s="143" t="s">
        <v>1313</v>
      </c>
      <c r="O109" s="146">
        <v>0.04</v>
      </c>
      <c r="P109" s="146">
        <v>4.3999999999999997E-2</v>
      </c>
      <c r="Q109" s="145" t="s">
        <v>3876</v>
      </c>
      <c r="R109" s="144">
        <v>11500</v>
      </c>
      <c r="S109" s="143" t="s">
        <v>1212</v>
      </c>
      <c r="T109" s="143" t="s">
        <v>1314</v>
      </c>
      <c r="U109" s="144">
        <v>42.528199999999998</v>
      </c>
      <c r="V109" s="145" t="s">
        <v>3876</v>
      </c>
      <c r="W109" s="145" t="s">
        <v>3876</v>
      </c>
      <c r="X109" s="146">
        <v>2.7380952380952379E-7</v>
      </c>
      <c r="Y109" s="146">
        <v>5.929922775702888E-3</v>
      </c>
      <c r="Z109" s="147">
        <v>3.5020547952483061E-3</v>
      </c>
      <c r="AA109" s="183"/>
    </row>
    <row r="110" spans="1:27" ht="15" x14ac:dyDescent="0.2">
      <c r="A110" s="142" t="s">
        <v>1220</v>
      </c>
      <c r="B110" s="143" t="s">
        <v>1220</v>
      </c>
      <c r="C110" s="143" t="s">
        <v>1225</v>
      </c>
      <c r="D110" s="143" t="s">
        <v>1226</v>
      </c>
      <c r="E110" s="143" t="s">
        <v>1227</v>
      </c>
      <c r="F110" s="143" t="s">
        <v>943</v>
      </c>
      <c r="G110" s="143" t="s">
        <v>204</v>
      </c>
      <c r="H110" s="143" t="s">
        <v>204</v>
      </c>
      <c r="I110" s="143" t="s">
        <v>340</v>
      </c>
      <c r="J110" s="143" t="s">
        <v>1228</v>
      </c>
      <c r="K110" s="143" t="s">
        <v>312</v>
      </c>
      <c r="L110" s="143" t="s">
        <v>1210</v>
      </c>
      <c r="M110" s="144">
        <v>7.39</v>
      </c>
      <c r="N110" s="143" t="s">
        <v>1229</v>
      </c>
      <c r="O110" s="146">
        <v>1E-3</v>
      </c>
      <c r="P110" s="146">
        <v>2.1850000000000001E-2</v>
      </c>
      <c r="Q110" s="145" t="s">
        <v>3876</v>
      </c>
      <c r="R110" s="144">
        <v>303016795</v>
      </c>
      <c r="S110" s="145" t="s">
        <v>3876</v>
      </c>
      <c r="T110" s="143" t="s">
        <v>1230</v>
      </c>
      <c r="U110" s="144">
        <v>295895.90030000004</v>
      </c>
      <c r="V110" s="145" t="s">
        <v>3876</v>
      </c>
      <c r="W110" s="145" t="s">
        <v>3876</v>
      </c>
      <c r="X110" s="146">
        <v>9.8689429788447001E-3</v>
      </c>
      <c r="Y110" s="146">
        <v>0.10377299888492884</v>
      </c>
      <c r="Z110" s="147">
        <v>1.3112351281275806E-2</v>
      </c>
      <c r="AA110" s="183"/>
    </row>
    <row r="111" spans="1:27" ht="15" x14ac:dyDescent="0.2">
      <c r="A111" s="142" t="s">
        <v>1220</v>
      </c>
      <c r="B111" s="143" t="s">
        <v>1220</v>
      </c>
      <c r="C111" s="143" t="s">
        <v>1225</v>
      </c>
      <c r="D111" s="143" t="s">
        <v>1231</v>
      </c>
      <c r="E111" s="143" t="s">
        <v>1232</v>
      </c>
      <c r="F111" s="143" t="s">
        <v>943</v>
      </c>
      <c r="G111" s="143" t="s">
        <v>204</v>
      </c>
      <c r="H111" s="143" t="s">
        <v>204</v>
      </c>
      <c r="I111" s="143" t="s">
        <v>340</v>
      </c>
      <c r="J111" s="143" t="s">
        <v>1228</v>
      </c>
      <c r="K111" s="143" t="s">
        <v>312</v>
      </c>
      <c r="L111" s="143" t="s">
        <v>1210</v>
      </c>
      <c r="M111" s="144">
        <v>1.32</v>
      </c>
      <c r="N111" s="143" t="s">
        <v>1233</v>
      </c>
      <c r="O111" s="146">
        <v>7.5209999999999999E-3</v>
      </c>
      <c r="P111" s="146">
        <v>1.5337999999999999E-2</v>
      </c>
      <c r="Q111" s="145" t="s">
        <v>3876</v>
      </c>
      <c r="R111" s="144">
        <v>170628024</v>
      </c>
      <c r="S111" s="145" t="s">
        <v>3876</v>
      </c>
      <c r="T111" s="143" t="s">
        <v>1234</v>
      </c>
      <c r="U111" s="144">
        <v>193645.7444</v>
      </c>
      <c r="V111" s="145" t="s">
        <v>3876</v>
      </c>
      <c r="W111" s="145" t="s">
        <v>3876</v>
      </c>
      <c r="X111" s="146">
        <v>7.8620542660779186E-3</v>
      </c>
      <c r="Y111" s="146">
        <v>6.7913072131218721E-2</v>
      </c>
      <c r="Z111" s="147">
        <v>8.5812308398508768E-3</v>
      </c>
      <c r="AA111" s="183"/>
    </row>
    <row r="112" spans="1:27" ht="15" x14ac:dyDescent="0.2">
      <c r="A112" s="142" t="s">
        <v>1220</v>
      </c>
      <c r="B112" s="143" t="s">
        <v>1220</v>
      </c>
      <c r="C112" s="143" t="s">
        <v>1225</v>
      </c>
      <c r="D112" s="143" t="s">
        <v>1235</v>
      </c>
      <c r="E112" s="143" t="s">
        <v>1236</v>
      </c>
      <c r="F112" s="143" t="s">
        <v>943</v>
      </c>
      <c r="G112" s="143" t="s">
        <v>204</v>
      </c>
      <c r="H112" s="143" t="s">
        <v>204</v>
      </c>
      <c r="I112" s="143" t="s">
        <v>340</v>
      </c>
      <c r="J112" s="143" t="s">
        <v>1228</v>
      </c>
      <c r="K112" s="143" t="s">
        <v>312</v>
      </c>
      <c r="L112" s="143" t="s">
        <v>1210</v>
      </c>
      <c r="M112" s="144">
        <v>2.08</v>
      </c>
      <c r="N112" s="143" t="s">
        <v>1237</v>
      </c>
      <c r="O112" s="146">
        <v>1E-3</v>
      </c>
      <c r="P112" s="146">
        <v>1.6400000000000001E-2</v>
      </c>
      <c r="Q112" s="145" t="s">
        <v>3876</v>
      </c>
      <c r="R112" s="144">
        <v>158010130</v>
      </c>
      <c r="S112" s="145" t="s">
        <v>3876</v>
      </c>
      <c r="T112" s="143" t="s">
        <v>1238</v>
      </c>
      <c r="U112" s="144">
        <v>174127.16330000001</v>
      </c>
      <c r="V112" s="145" t="s">
        <v>3876</v>
      </c>
      <c r="W112" s="145" t="s">
        <v>3876</v>
      </c>
      <c r="X112" s="146">
        <v>7.8205163041124622E-3</v>
      </c>
      <c r="Y112" s="146">
        <v>6.1067753555986384E-2</v>
      </c>
      <c r="Z112" s="147">
        <v>7.7162830908683172E-3</v>
      </c>
      <c r="AA112" s="183"/>
    </row>
    <row r="113" spans="1:27" ht="15" x14ac:dyDescent="0.2">
      <c r="A113" s="142" t="s">
        <v>1220</v>
      </c>
      <c r="B113" s="143" t="s">
        <v>1220</v>
      </c>
      <c r="C113" s="143" t="s">
        <v>1225</v>
      </c>
      <c r="D113" s="143" t="s">
        <v>1243</v>
      </c>
      <c r="E113" s="143" t="s">
        <v>1244</v>
      </c>
      <c r="F113" s="143" t="s">
        <v>943</v>
      </c>
      <c r="G113" s="143" t="s">
        <v>204</v>
      </c>
      <c r="H113" s="143" t="s">
        <v>204</v>
      </c>
      <c r="I113" s="143" t="s">
        <v>340</v>
      </c>
      <c r="J113" s="143" t="s">
        <v>1228</v>
      </c>
      <c r="K113" s="143" t="s">
        <v>312</v>
      </c>
      <c r="L113" s="143" t="s">
        <v>1210</v>
      </c>
      <c r="M113" s="144">
        <v>4.22</v>
      </c>
      <c r="N113" s="143" t="s">
        <v>1245</v>
      </c>
      <c r="O113" s="146">
        <v>1.0999999999999999E-2</v>
      </c>
      <c r="P113" s="146">
        <v>1.9415999999999999E-2</v>
      </c>
      <c r="Q113" s="145" t="s">
        <v>3876</v>
      </c>
      <c r="R113" s="144">
        <v>128030234</v>
      </c>
      <c r="S113" s="145" t="s">
        <v>3876</v>
      </c>
      <c r="T113" s="143" t="s">
        <v>1246</v>
      </c>
      <c r="U113" s="144">
        <v>128004.628</v>
      </c>
      <c r="V113" s="145" t="s">
        <v>3876</v>
      </c>
      <c r="W113" s="145" t="s">
        <v>3876</v>
      </c>
      <c r="X113" s="146">
        <v>8.1422834563895114E-3</v>
      </c>
      <c r="Y113" s="146">
        <v>4.489222087767987E-2</v>
      </c>
      <c r="Z113" s="147">
        <v>5.6724058885249369E-3</v>
      </c>
      <c r="AA113" s="183"/>
    </row>
    <row r="114" spans="1:27" ht="15" x14ac:dyDescent="0.2">
      <c r="A114" s="142" t="s">
        <v>1220</v>
      </c>
      <c r="B114" s="143" t="s">
        <v>1220</v>
      </c>
      <c r="C114" s="143" t="s">
        <v>1225</v>
      </c>
      <c r="D114" s="143" t="s">
        <v>1239</v>
      </c>
      <c r="E114" s="143" t="s">
        <v>1240</v>
      </c>
      <c r="F114" s="143" t="s">
        <v>943</v>
      </c>
      <c r="G114" s="143" t="s">
        <v>204</v>
      </c>
      <c r="H114" s="143" t="s">
        <v>204</v>
      </c>
      <c r="I114" s="143" t="s">
        <v>340</v>
      </c>
      <c r="J114" s="143" t="s">
        <v>1228</v>
      </c>
      <c r="K114" s="143" t="s">
        <v>312</v>
      </c>
      <c r="L114" s="143" t="s">
        <v>1210</v>
      </c>
      <c r="M114" s="144">
        <v>2.89</v>
      </c>
      <c r="N114" s="143" t="s">
        <v>1241</v>
      </c>
      <c r="O114" s="146">
        <v>7.4999999999999997E-3</v>
      </c>
      <c r="P114" s="146">
        <v>1.7389999999999999E-2</v>
      </c>
      <c r="Q114" s="145" t="s">
        <v>3876</v>
      </c>
      <c r="R114" s="144">
        <v>50042702</v>
      </c>
      <c r="S114" s="145" t="s">
        <v>3876</v>
      </c>
      <c r="T114" s="143" t="s">
        <v>1242</v>
      </c>
      <c r="U114" s="144">
        <v>55877.681100000002</v>
      </c>
      <c r="V114" s="145" t="s">
        <v>3876</v>
      </c>
      <c r="W114" s="145" t="s">
        <v>3876</v>
      </c>
      <c r="X114" s="146">
        <v>2.2450092906940518E-3</v>
      </c>
      <c r="Y114" s="146">
        <v>1.9596738337382062E-2</v>
      </c>
      <c r="Z114" s="147">
        <v>2.4761674020034232E-3</v>
      </c>
      <c r="AA114" s="183"/>
    </row>
    <row r="115" spans="1:27" ht="15" x14ac:dyDescent="0.2">
      <c r="A115" s="142" t="s">
        <v>1220</v>
      </c>
      <c r="B115" s="143" t="s">
        <v>1220</v>
      </c>
      <c r="C115" s="143" t="s">
        <v>1225</v>
      </c>
      <c r="D115" s="143" t="s">
        <v>1247</v>
      </c>
      <c r="E115" s="143" t="s">
        <v>1248</v>
      </c>
      <c r="F115" s="143" t="s">
        <v>943</v>
      </c>
      <c r="G115" s="143" t="s">
        <v>204</v>
      </c>
      <c r="H115" s="143" t="s">
        <v>204</v>
      </c>
      <c r="I115" s="143" t="s">
        <v>340</v>
      </c>
      <c r="J115" s="143" t="s">
        <v>1228</v>
      </c>
      <c r="K115" s="143" t="s">
        <v>312</v>
      </c>
      <c r="L115" s="143" t="s">
        <v>1210</v>
      </c>
      <c r="M115" s="144">
        <v>4.8600000000000003</v>
      </c>
      <c r="N115" s="143" t="s">
        <v>1249</v>
      </c>
      <c r="O115" s="146">
        <v>5.0000000000000001E-3</v>
      </c>
      <c r="P115" s="146">
        <v>1.9880999999999999E-2</v>
      </c>
      <c r="Q115" s="145" t="s">
        <v>3876</v>
      </c>
      <c r="R115" s="144">
        <v>31241472</v>
      </c>
      <c r="S115" s="145" t="s">
        <v>3876</v>
      </c>
      <c r="T115" s="143" t="s">
        <v>1250</v>
      </c>
      <c r="U115" s="144">
        <v>33069.098100000003</v>
      </c>
      <c r="V115" s="145" t="s">
        <v>3876</v>
      </c>
      <c r="W115" s="145" t="s">
        <v>3876</v>
      </c>
      <c r="X115" s="146">
        <v>1.2978281076507661E-3</v>
      </c>
      <c r="Y115" s="146">
        <v>1.1597590496589994E-2</v>
      </c>
      <c r="Z115" s="147">
        <v>1.465426288550283E-3</v>
      </c>
      <c r="AA115" s="183"/>
    </row>
    <row r="116" spans="1:27" ht="15" x14ac:dyDescent="0.2">
      <c r="A116" s="142" t="s">
        <v>1220</v>
      </c>
      <c r="B116" s="143" t="s">
        <v>1220</v>
      </c>
      <c r="C116" s="143" t="s">
        <v>1225</v>
      </c>
      <c r="D116" s="143" t="s">
        <v>1251</v>
      </c>
      <c r="E116" s="143" t="s">
        <v>1252</v>
      </c>
      <c r="F116" s="143" t="s">
        <v>943</v>
      </c>
      <c r="G116" s="143" t="s">
        <v>204</v>
      </c>
      <c r="H116" s="143" t="s">
        <v>204</v>
      </c>
      <c r="I116" s="143" t="s">
        <v>340</v>
      </c>
      <c r="J116" s="143" t="s">
        <v>1228</v>
      </c>
      <c r="K116" s="143" t="s">
        <v>312</v>
      </c>
      <c r="L116" s="143" t="s">
        <v>1210</v>
      </c>
      <c r="M116" s="144">
        <v>9.8800000000000008</v>
      </c>
      <c r="N116" s="143" t="s">
        <v>1253</v>
      </c>
      <c r="O116" s="146">
        <v>4.011E-2</v>
      </c>
      <c r="P116" s="146">
        <v>2.3077E-2</v>
      </c>
      <c r="Q116" s="145" t="s">
        <v>3876</v>
      </c>
      <c r="R116" s="144">
        <v>12231606</v>
      </c>
      <c r="S116" s="145" t="s">
        <v>3876</v>
      </c>
      <c r="T116" s="143" t="s">
        <v>1254</v>
      </c>
      <c r="U116" s="144">
        <v>19458.038800000002</v>
      </c>
      <c r="V116" s="145" t="s">
        <v>3876</v>
      </c>
      <c r="W116" s="145" t="s">
        <v>3876</v>
      </c>
      <c r="X116" s="146">
        <v>7.6772366179578679E-4</v>
      </c>
      <c r="Y116" s="146">
        <v>6.8240859001501043E-3</v>
      </c>
      <c r="Z116" s="147">
        <v>8.6226487099588594E-4</v>
      </c>
      <c r="AA116" s="183"/>
    </row>
    <row r="117" spans="1:27" ht="15" x14ac:dyDescent="0.2">
      <c r="A117" s="142" t="s">
        <v>1220</v>
      </c>
      <c r="B117" s="143" t="s">
        <v>1220</v>
      </c>
      <c r="C117" s="143" t="s">
        <v>1225</v>
      </c>
      <c r="D117" s="143" t="s">
        <v>1255</v>
      </c>
      <c r="E117" s="143" t="s">
        <v>1256</v>
      </c>
      <c r="F117" s="143" t="s">
        <v>945</v>
      </c>
      <c r="G117" s="143" t="s">
        <v>204</v>
      </c>
      <c r="H117" s="143" t="s">
        <v>204</v>
      </c>
      <c r="I117" s="143" t="s">
        <v>340</v>
      </c>
      <c r="J117" s="143" t="s">
        <v>1228</v>
      </c>
      <c r="K117" s="143" t="s">
        <v>312</v>
      </c>
      <c r="L117" s="143" t="s">
        <v>1210</v>
      </c>
      <c r="M117" s="144">
        <v>11.5</v>
      </c>
      <c r="N117" s="143" t="s">
        <v>1257</v>
      </c>
      <c r="O117" s="146">
        <v>1.5041000000000001E-2</v>
      </c>
      <c r="P117" s="146">
        <v>5.2136000000000002E-2</v>
      </c>
      <c r="Q117" s="145" t="s">
        <v>3876</v>
      </c>
      <c r="R117" s="144">
        <v>538851674</v>
      </c>
      <c r="S117" s="145" t="s">
        <v>3876</v>
      </c>
      <c r="T117" s="143" t="s">
        <v>1258</v>
      </c>
      <c r="U117" s="144">
        <v>354726.05699999997</v>
      </c>
      <c r="V117" s="145" t="s">
        <v>3876</v>
      </c>
      <c r="W117" s="145" t="s">
        <v>3876</v>
      </c>
      <c r="X117" s="146">
        <v>1.6797877597798428E-2</v>
      </c>
      <c r="Y117" s="146">
        <v>0.12440519343936726</v>
      </c>
      <c r="Z117" s="147">
        <v>1.5719354891159078E-2</v>
      </c>
      <c r="AA117" s="183"/>
    </row>
    <row r="118" spans="1:27" ht="15" x14ac:dyDescent="0.2">
      <c r="A118" s="142" t="s">
        <v>1220</v>
      </c>
      <c r="B118" s="143" t="s">
        <v>1220</v>
      </c>
      <c r="C118" s="143" t="s">
        <v>1225</v>
      </c>
      <c r="D118" s="143" t="s">
        <v>1259</v>
      </c>
      <c r="E118" s="143" t="s">
        <v>1260</v>
      </c>
      <c r="F118" s="143" t="s">
        <v>945</v>
      </c>
      <c r="G118" s="143" t="s">
        <v>204</v>
      </c>
      <c r="H118" s="143" t="s">
        <v>204</v>
      </c>
      <c r="I118" s="143" t="s">
        <v>340</v>
      </c>
      <c r="J118" s="143" t="s">
        <v>1228</v>
      </c>
      <c r="K118" s="143" t="s">
        <v>312</v>
      </c>
      <c r="L118" s="143" t="s">
        <v>1210</v>
      </c>
      <c r="M118" s="144">
        <v>7.42</v>
      </c>
      <c r="N118" s="143" t="s">
        <v>1261</v>
      </c>
      <c r="O118" s="146">
        <v>1.2999999999999999E-2</v>
      </c>
      <c r="P118" s="146">
        <v>4.9000000000000002E-2</v>
      </c>
      <c r="Q118" s="145" t="s">
        <v>3876</v>
      </c>
      <c r="R118" s="144">
        <v>310999073</v>
      </c>
      <c r="S118" s="145" t="s">
        <v>3876</v>
      </c>
      <c r="T118" s="143" t="s">
        <v>1262</v>
      </c>
      <c r="U118" s="144">
        <v>240277.88380000001</v>
      </c>
      <c r="V118" s="145" t="s">
        <v>3876</v>
      </c>
      <c r="W118" s="145" t="s">
        <v>3876</v>
      </c>
      <c r="X118" s="146">
        <v>1.0365636173818304E-2</v>
      </c>
      <c r="Y118" s="146">
        <v>8.4267326924350183E-2</v>
      </c>
      <c r="Z118" s="147">
        <v>1.0647690671360789E-2</v>
      </c>
      <c r="AA118" s="183"/>
    </row>
    <row r="119" spans="1:27" ht="15" x14ac:dyDescent="0.2">
      <c r="A119" s="142" t="s">
        <v>1220</v>
      </c>
      <c r="B119" s="143" t="s">
        <v>1220</v>
      </c>
      <c r="C119" s="143" t="s">
        <v>1225</v>
      </c>
      <c r="D119" s="143" t="s">
        <v>1315</v>
      </c>
      <c r="E119" s="143" t="s">
        <v>1316</v>
      </c>
      <c r="F119" s="143" t="s">
        <v>945</v>
      </c>
      <c r="G119" s="143" t="s">
        <v>204</v>
      </c>
      <c r="H119" s="143" t="s">
        <v>204</v>
      </c>
      <c r="I119" s="143" t="s">
        <v>340</v>
      </c>
      <c r="J119" s="143" t="s">
        <v>1228</v>
      </c>
      <c r="K119" s="143" t="s">
        <v>312</v>
      </c>
      <c r="L119" s="143" t="s">
        <v>1210</v>
      </c>
      <c r="M119" s="144">
        <v>0.42</v>
      </c>
      <c r="N119" s="143" t="s">
        <v>1317</v>
      </c>
      <c r="O119" s="143" t="s">
        <v>1266</v>
      </c>
      <c r="P119" s="146">
        <v>4.3450999999999997E-2</v>
      </c>
      <c r="Q119" s="145" t="s">
        <v>3876</v>
      </c>
      <c r="R119" s="144">
        <v>236371205</v>
      </c>
      <c r="S119" s="145" t="s">
        <v>3876</v>
      </c>
      <c r="T119" s="143" t="s">
        <v>1318</v>
      </c>
      <c r="U119" s="144">
        <v>232140.16039999999</v>
      </c>
      <c r="V119" s="145" t="s">
        <v>3876</v>
      </c>
      <c r="W119" s="145" t="s">
        <v>3876</v>
      </c>
      <c r="X119" s="146">
        <v>1.68836575E-2</v>
      </c>
      <c r="Y119" s="146">
        <v>8.141336390146918E-2</v>
      </c>
      <c r="Z119" s="147">
        <v>1.0287075038181643E-2</v>
      </c>
      <c r="AA119" s="183"/>
    </row>
    <row r="120" spans="1:27" ht="15" x14ac:dyDescent="0.2">
      <c r="A120" s="142" t="s">
        <v>1220</v>
      </c>
      <c r="B120" s="143" t="s">
        <v>1220</v>
      </c>
      <c r="C120" s="143" t="s">
        <v>1225</v>
      </c>
      <c r="D120" s="143" t="s">
        <v>1319</v>
      </c>
      <c r="E120" s="143" t="s">
        <v>1320</v>
      </c>
      <c r="F120" s="143" t="s">
        <v>945</v>
      </c>
      <c r="G120" s="143" t="s">
        <v>204</v>
      </c>
      <c r="H120" s="143" t="s">
        <v>204</v>
      </c>
      <c r="I120" s="143" t="s">
        <v>340</v>
      </c>
      <c r="J120" s="143" t="s">
        <v>1228</v>
      </c>
      <c r="K120" s="143" t="s">
        <v>312</v>
      </c>
      <c r="L120" s="143" t="s">
        <v>1210</v>
      </c>
      <c r="M120" s="144">
        <v>0.1</v>
      </c>
      <c r="N120" s="143" t="s">
        <v>1321</v>
      </c>
      <c r="O120" s="143" t="s">
        <v>1266</v>
      </c>
      <c r="P120" s="146">
        <v>4.3596000000000003E-2</v>
      </c>
      <c r="Q120" s="145" t="s">
        <v>3876</v>
      </c>
      <c r="R120" s="144">
        <v>211653809</v>
      </c>
      <c r="S120" s="145" t="s">
        <v>3876</v>
      </c>
      <c r="T120" s="143" t="s">
        <v>1322</v>
      </c>
      <c r="U120" s="144">
        <v>210764.86300000001</v>
      </c>
      <c r="V120" s="145" t="s">
        <v>3876</v>
      </c>
      <c r="W120" s="145" t="s">
        <v>3876</v>
      </c>
      <c r="X120" s="146">
        <v>4.8103138409090907E-3</v>
      </c>
      <c r="Y120" s="146">
        <v>7.3916880463165829E-2</v>
      </c>
      <c r="Z120" s="147">
        <v>9.3398486375425114E-3</v>
      </c>
      <c r="AA120" s="183"/>
    </row>
    <row r="121" spans="1:27" ht="15" x14ac:dyDescent="0.2">
      <c r="A121" s="142" t="s">
        <v>1220</v>
      </c>
      <c r="B121" s="143" t="s">
        <v>1220</v>
      </c>
      <c r="C121" s="143" t="s">
        <v>1225</v>
      </c>
      <c r="D121" s="143" t="s">
        <v>1284</v>
      </c>
      <c r="E121" s="143" t="s">
        <v>1285</v>
      </c>
      <c r="F121" s="143" t="s">
        <v>945</v>
      </c>
      <c r="G121" s="143" t="s">
        <v>204</v>
      </c>
      <c r="H121" s="143" t="s">
        <v>204</v>
      </c>
      <c r="I121" s="143" t="s">
        <v>340</v>
      </c>
      <c r="J121" s="143" t="s">
        <v>1228</v>
      </c>
      <c r="K121" s="143" t="s">
        <v>312</v>
      </c>
      <c r="L121" s="143" t="s">
        <v>1210</v>
      </c>
      <c r="M121" s="144">
        <v>14.48</v>
      </c>
      <c r="N121" s="143" t="s">
        <v>1286</v>
      </c>
      <c r="O121" s="146">
        <v>3.7602999999999998E-2</v>
      </c>
      <c r="P121" s="146">
        <v>5.4753999999999997E-2</v>
      </c>
      <c r="Q121" s="145" t="s">
        <v>3876</v>
      </c>
      <c r="R121" s="144">
        <v>208722219</v>
      </c>
      <c r="S121" s="145" t="s">
        <v>3876</v>
      </c>
      <c r="T121" s="143" t="s">
        <v>1287</v>
      </c>
      <c r="U121" s="144">
        <v>164452.23639999999</v>
      </c>
      <c r="V121" s="145" t="s">
        <v>3876</v>
      </c>
      <c r="W121" s="145" t="s">
        <v>3876</v>
      </c>
      <c r="X121" s="146">
        <v>7.9524300885298032E-3</v>
      </c>
      <c r="Y121" s="146">
        <v>5.7674681268213825E-2</v>
      </c>
      <c r="Z121" s="147">
        <v>7.2875477142471693E-3</v>
      </c>
      <c r="AA121" s="183"/>
    </row>
    <row r="122" spans="1:27" ht="15" x14ac:dyDescent="0.2">
      <c r="A122" s="142" t="s">
        <v>1220</v>
      </c>
      <c r="B122" s="143" t="s">
        <v>1220</v>
      </c>
      <c r="C122" s="143" t="s">
        <v>1225</v>
      </c>
      <c r="D122" s="143" t="s">
        <v>1268</v>
      </c>
      <c r="E122" s="143" t="s">
        <v>1269</v>
      </c>
      <c r="F122" s="143" t="s">
        <v>945</v>
      </c>
      <c r="G122" s="143" t="s">
        <v>204</v>
      </c>
      <c r="H122" s="143" t="s">
        <v>204</v>
      </c>
      <c r="I122" s="143" t="s">
        <v>340</v>
      </c>
      <c r="J122" s="143" t="s">
        <v>1228</v>
      </c>
      <c r="K122" s="143" t="s">
        <v>312</v>
      </c>
      <c r="L122" s="143" t="s">
        <v>1210</v>
      </c>
      <c r="M122" s="144">
        <v>11.51</v>
      </c>
      <c r="N122" s="143" t="s">
        <v>1270</v>
      </c>
      <c r="O122" s="146">
        <v>5.5E-2</v>
      </c>
      <c r="P122" s="146">
        <v>5.3379000000000003E-2</v>
      </c>
      <c r="Q122" s="145" t="s">
        <v>3876</v>
      </c>
      <c r="R122" s="144">
        <v>120925260</v>
      </c>
      <c r="S122" s="145" t="s">
        <v>3876</v>
      </c>
      <c r="T122" s="143" t="s">
        <v>1271</v>
      </c>
      <c r="U122" s="144">
        <v>125871.10309999999</v>
      </c>
      <c r="V122" s="145" t="s">
        <v>3876</v>
      </c>
      <c r="W122" s="145" t="s">
        <v>3876</v>
      </c>
      <c r="X122" s="146">
        <v>6.2629474863768039E-3</v>
      </c>
      <c r="Y122" s="146">
        <v>4.414397709178678E-2</v>
      </c>
      <c r="Z122" s="147">
        <v>5.5778607229222616E-3</v>
      </c>
      <c r="AA122" s="183"/>
    </row>
    <row r="123" spans="1:27" ht="15" x14ac:dyDescent="0.2">
      <c r="A123" s="142" t="s">
        <v>1220</v>
      </c>
      <c r="B123" s="143" t="s">
        <v>1220</v>
      </c>
      <c r="C123" s="143" t="s">
        <v>1225</v>
      </c>
      <c r="D123" s="143" t="s">
        <v>1339</v>
      </c>
      <c r="E123" s="143" t="s">
        <v>1340</v>
      </c>
      <c r="F123" s="143" t="s">
        <v>945</v>
      </c>
      <c r="G123" s="143" t="s">
        <v>204</v>
      </c>
      <c r="H123" s="143" t="s">
        <v>204</v>
      </c>
      <c r="I123" s="143" t="s">
        <v>340</v>
      </c>
      <c r="J123" s="143" t="s">
        <v>1228</v>
      </c>
      <c r="K123" s="143" t="s">
        <v>312</v>
      </c>
      <c r="L123" s="143" t="s">
        <v>1210</v>
      </c>
      <c r="M123" s="144">
        <v>0.01</v>
      </c>
      <c r="N123" s="143" t="s">
        <v>1341</v>
      </c>
      <c r="O123" s="143" t="s">
        <v>1266</v>
      </c>
      <c r="P123" s="146">
        <v>0.114994</v>
      </c>
      <c r="Q123" s="145" t="s">
        <v>3876</v>
      </c>
      <c r="R123" s="144">
        <v>103610305</v>
      </c>
      <c r="S123" s="145" t="s">
        <v>3876</v>
      </c>
      <c r="T123" s="143" t="s">
        <v>1342</v>
      </c>
      <c r="U123" s="144">
        <v>103579.2219</v>
      </c>
      <c r="V123" s="145" t="s">
        <v>3876</v>
      </c>
      <c r="W123" s="145" t="s">
        <v>3876</v>
      </c>
      <c r="X123" s="146">
        <v>2.354779659090909E-3</v>
      </c>
      <c r="Y123" s="146">
        <v>3.6326040570616391E-2</v>
      </c>
      <c r="Z123" s="147">
        <v>4.5900167648424348E-3</v>
      </c>
      <c r="AA123" s="183"/>
    </row>
    <row r="124" spans="1:27" ht="15" x14ac:dyDescent="0.2">
      <c r="A124" s="142" t="s">
        <v>1220</v>
      </c>
      <c r="B124" s="143" t="s">
        <v>1220</v>
      </c>
      <c r="C124" s="143" t="s">
        <v>1292</v>
      </c>
      <c r="D124" s="143" t="s">
        <v>1297</v>
      </c>
      <c r="E124" s="143" t="s">
        <v>1298</v>
      </c>
      <c r="F124" s="143" t="s">
        <v>945</v>
      </c>
      <c r="G124" s="143" t="s">
        <v>204</v>
      </c>
      <c r="H124" s="143" t="s">
        <v>204</v>
      </c>
      <c r="I124" s="143" t="s">
        <v>340</v>
      </c>
      <c r="J124" s="143" t="s">
        <v>1224</v>
      </c>
      <c r="K124" s="143" t="s">
        <v>413</v>
      </c>
      <c r="L124" s="143" t="s">
        <v>1210</v>
      </c>
      <c r="M124" s="144">
        <v>4.3099999999999996</v>
      </c>
      <c r="N124" s="143" t="s">
        <v>1299</v>
      </c>
      <c r="O124" s="146">
        <v>3.7284200000000003E-2</v>
      </c>
      <c r="P124" s="146">
        <v>4.6670999999999997E-2</v>
      </c>
      <c r="Q124" s="145" t="s">
        <v>3876</v>
      </c>
      <c r="R124" s="144">
        <v>81801134</v>
      </c>
      <c r="S124" s="145" t="s">
        <v>3876</v>
      </c>
      <c r="T124" s="143" t="s">
        <v>1300</v>
      </c>
      <c r="U124" s="144">
        <v>79747.925499999998</v>
      </c>
      <c r="V124" s="145" t="s">
        <v>3876</v>
      </c>
      <c r="W124" s="145" t="s">
        <v>3876</v>
      </c>
      <c r="X124" s="146">
        <v>3.0993923456527797E-3</v>
      </c>
      <c r="Y124" s="146">
        <v>2.7968219157159902E-2</v>
      </c>
      <c r="Z124" s="147">
        <v>3.5339550580690501E-3</v>
      </c>
      <c r="AA124" s="183"/>
    </row>
    <row r="125" spans="1:27" ht="15" x14ac:dyDescent="0.2">
      <c r="A125" s="142" t="s">
        <v>1220</v>
      </c>
      <c r="B125" s="143" t="s">
        <v>1220</v>
      </c>
      <c r="C125" s="143" t="s">
        <v>1292</v>
      </c>
      <c r="D125" s="143" t="s">
        <v>1293</v>
      </c>
      <c r="E125" s="143" t="s">
        <v>1294</v>
      </c>
      <c r="F125" s="143" t="s">
        <v>945</v>
      </c>
      <c r="G125" s="143" t="s">
        <v>204</v>
      </c>
      <c r="H125" s="143" t="s">
        <v>204</v>
      </c>
      <c r="I125" s="143" t="s">
        <v>340</v>
      </c>
      <c r="J125" s="143" t="s">
        <v>1228</v>
      </c>
      <c r="K125" s="143" t="s">
        <v>312</v>
      </c>
      <c r="L125" s="143" t="s">
        <v>1210</v>
      </c>
      <c r="M125" s="144">
        <v>5.58</v>
      </c>
      <c r="N125" s="143" t="s">
        <v>1295</v>
      </c>
      <c r="O125" s="146">
        <v>1.0026999999999999E-2</v>
      </c>
      <c r="P125" s="146">
        <v>4.7578000000000002E-2</v>
      </c>
      <c r="Q125" s="145" t="s">
        <v>3876</v>
      </c>
      <c r="R125" s="144">
        <v>89094442</v>
      </c>
      <c r="S125" s="145" t="s">
        <v>3876</v>
      </c>
      <c r="T125" s="143" t="s">
        <v>1296</v>
      </c>
      <c r="U125" s="144">
        <v>72816.887400000007</v>
      </c>
      <c r="V125" s="145" t="s">
        <v>3876</v>
      </c>
      <c r="W125" s="145" t="s">
        <v>3876</v>
      </c>
      <c r="X125" s="146">
        <v>2.3597769239625233E-3</v>
      </c>
      <c r="Y125" s="146">
        <v>2.5537450068391858E-2</v>
      </c>
      <c r="Z125" s="147">
        <v>3.2268125593643868E-3</v>
      </c>
      <c r="AA125" s="183"/>
    </row>
    <row r="126" spans="1:27" ht="15" x14ac:dyDescent="0.2">
      <c r="A126" s="142" t="s">
        <v>1220</v>
      </c>
      <c r="B126" s="143" t="s">
        <v>1220</v>
      </c>
      <c r="C126" s="143" t="s">
        <v>1225</v>
      </c>
      <c r="D126" s="143" t="s">
        <v>1276</v>
      </c>
      <c r="E126" s="143" t="s">
        <v>1277</v>
      </c>
      <c r="F126" s="143" t="s">
        <v>945</v>
      </c>
      <c r="G126" s="143" t="s">
        <v>204</v>
      </c>
      <c r="H126" s="143" t="s">
        <v>204</v>
      </c>
      <c r="I126" s="143" t="s">
        <v>340</v>
      </c>
      <c r="J126" s="143" t="s">
        <v>1228</v>
      </c>
      <c r="K126" s="143" t="s">
        <v>312</v>
      </c>
      <c r="L126" s="143" t="s">
        <v>1210</v>
      </c>
      <c r="M126" s="144">
        <v>0.6</v>
      </c>
      <c r="N126" s="143" t="s">
        <v>1278</v>
      </c>
      <c r="O126" s="143" t="s">
        <v>1266</v>
      </c>
      <c r="P126" s="146">
        <v>4.3658000000000002E-2</v>
      </c>
      <c r="Q126" s="145" t="s">
        <v>3876</v>
      </c>
      <c r="R126" s="144">
        <v>60438299</v>
      </c>
      <c r="S126" s="145" t="s">
        <v>3876</v>
      </c>
      <c r="T126" s="143" t="s">
        <v>1279</v>
      </c>
      <c r="U126" s="144">
        <v>58915.253899999996</v>
      </c>
      <c r="V126" s="145" t="s">
        <v>3876</v>
      </c>
      <c r="W126" s="145" t="s">
        <v>3876</v>
      </c>
      <c r="X126" s="146">
        <v>5.0365249166666667E-3</v>
      </c>
      <c r="Y126" s="146">
        <v>2.0662038801816794E-2</v>
      </c>
      <c r="Z126" s="147">
        <v>2.610774612548277E-3</v>
      </c>
      <c r="AA126" s="183"/>
    </row>
    <row r="127" spans="1:27" ht="15" x14ac:dyDescent="0.2">
      <c r="A127" s="142" t="s">
        <v>1220</v>
      </c>
      <c r="B127" s="143" t="s">
        <v>1220</v>
      </c>
      <c r="C127" s="143" t="s">
        <v>1225</v>
      </c>
      <c r="D127" s="143" t="s">
        <v>1288</v>
      </c>
      <c r="E127" s="143" t="s">
        <v>1289</v>
      </c>
      <c r="F127" s="143" t="s">
        <v>945</v>
      </c>
      <c r="G127" s="143" t="s">
        <v>204</v>
      </c>
      <c r="H127" s="143" t="s">
        <v>204</v>
      </c>
      <c r="I127" s="143" t="s">
        <v>340</v>
      </c>
      <c r="J127" s="143" t="s">
        <v>1228</v>
      </c>
      <c r="K127" s="143" t="s">
        <v>312</v>
      </c>
      <c r="L127" s="143" t="s">
        <v>1210</v>
      </c>
      <c r="M127" s="144">
        <v>0.85</v>
      </c>
      <c r="N127" s="143" t="s">
        <v>1290</v>
      </c>
      <c r="O127" s="143" t="s">
        <v>1266</v>
      </c>
      <c r="P127" s="146">
        <v>4.3234000000000002E-2</v>
      </c>
      <c r="Q127" s="145" t="s">
        <v>3876</v>
      </c>
      <c r="R127" s="144">
        <v>59486867</v>
      </c>
      <c r="S127" s="145" t="s">
        <v>3876</v>
      </c>
      <c r="T127" s="143" t="s">
        <v>1291</v>
      </c>
      <c r="U127" s="144">
        <v>57392.929299999996</v>
      </c>
      <c r="V127" s="145" t="s">
        <v>3876</v>
      </c>
      <c r="W127" s="145" t="s">
        <v>3876</v>
      </c>
      <c r="X127" s="146">
        <v>4.2490619285714282E-3</v>
      </c>
      <c r="Y127" s="146">
        <v>2.0128147703133398E-2</v>
      </c>
      <c r="Z127" s="147">
        <v>2.5433142162302933E-3</v>
      </c>
      <c r="AA127" s="183"/>
    </row>
    <row r="128" spans="1:27" ht="15" x14ac:dyDescent="0.2">
      <c r="A128" s="142" t="s">
        <v>1220</v>
      </c>
      <c r="B128" s="143" t="s">
        <v>1220</v>
      </c>
      <c r="C128" s="143" t="s">
        <v>1225</v>
      </c>
      <c r="D128" s="143" t="s">
        <v>1280</v>
      </c>
      <c r="E128" s="143" t="s">
        <v>1281</v>
      </c>
      <c r="F128" s="143" t="s">
        <v>945</v>
      </c>
      <c r="G128" s="143" t="s">
        <v>204</v>
      </c>
      <c r="H128" s="143" t="s">
        <v>204</v>
      </c>
      <c r="I128" s="143" t="s">
        <v>340</v>
      </c>
      <c r="J128" s="143" t="s">
        <v>1228</v>
      </c>
      <c r="K128" s="143" t="s">
        <v>314</v>
      </c>
      <c r="L128" s="143" t="s">
        <v>1210</v>
      </c>
      <c r="M128" s="144">
        <v>0.92</v>
      </c>
      <c r="N128" s="143" t="s">
        <v>1282</v>
      </c>
      <c r="O128" s="143" t="s">
        <v>1266</v>
      </c>
      <c r="P128" s="146">
        <v>4.3203999999999999E-2</v>
      </c>
      <c r="Q128" s="145" t="s">
        <v>3876</v>
      </c>
      <c r="R128" s="144">
        <v>41950000</v>
      </c>
      <c r="S128" s="145" t="s">
        <v>3876</v>
      </c>
      <c r="T128" s="143" t="s">
        <v>1283</v>
      </c>
      <c r="U128" s="144">
        <v>40343.315000000002</v>
      </c>
      <c r="V128" s="145" t="s">
        <v>3876</v>
      </c>
      <c r="W128" s="145" t="s">
        <v>3876</v>
      </c>
      <c r="X128" s="146">
        <v>3.4958333333333334E-3</v>
      </c>
      <c r="Y128" s="146">
        <v>1.4148715065051986E-2</v>
      </c>
      <c r="Z128" s="147">
        <v>1.7877764361167033E-3</v>
      </c>
      <c r="AA128" s="183"/>
    </row>
    <row r="129" spans="1:27" ht="15" x14ac:dyDescent="0.2">
      <c r="A129" s="142" t="s">
        <v>1220</v>
      </c>
      <c r="B129" s="143" t="s">
        <v>1220</v>
      </c>
      <c r="C129" s="143" t="s">
        <v>1225</v>
      </c>
      <c r="D129" s="143" t="s">
        <v>1301</v>
      </c>
      <c r="E129" s="143" t="s">
        <v>1302</v>
      </c>
      <c r="F129" s="143" t="s">
        <v>945</v>
      </c>
      <c r="G129" s="143" t="s">
        <v>204</v>
      </c>
      <c r="H129" s="143" t="s">
        <v>204</v>
      </c>
      <c r="I129" s="143" t="s">
        <v>340</v>
      </c>
      <c r="J129" s="143" t="s">
        <v>1228</v>
      </c>
      <c r="K129" s="143" t="s">
        <v>312</v>
      </c>
      <c r="L129" s="143" t="s">
        <v>1210</v>
      </c>
      <c r="M129" s="144">
        <v>16.82</v>
      </c>
      <c r="N129" s="143" t="s">
        <v>1303</v>
      </c>
      <c r="O129" s="146">
        <v>2.8000000000000001E-2</v>
      </c>
      <c r="P129" s="146">
        <v>5.5648999999999997E-2</v>
      </c>
      <c r="Q129" s="145" t="s">
        <v>3876</v>
      </c>
      <c r="R129" s="144">
        <v>41390548</v>
      </c>
      <c r="S129" s="145" t="s">
        <v>3876</v>
      </c>
      <c r="T129" s="143" t="s">
        <v>1304</v>
      </c>
      <c r="U129" s="144">
        <v>25910.483</v>
      </c>
      <c r="V129" s="145" t="s">
        <v>3876</v>
      </c>
      <c r="W129" s="145" t="s">
        <v>3876</v>
      </c>
      <c r="X129" s="146">
        <v>2.4822257239859114E-3</v>
      </c>
      <c r="Y129" s="146">
        <v>9.0870083889737791E-3</v>
      </c>
      <c r="Z129" s="147">
        <v>1.1481989281648198E-3</v>
      </c>
      <c r="AA129" s="183"/>
    </row>
    <row r="130" spans="1:27" ht="15" x14ac:dyDescent="0.2">
      <c r="A130" s="142" t="s">
        <v>1220</v>
      </c>
      <c r="B130" s="143" t="s">
        <v>1220</v>
      </c>
      <c r="C130" s="143" t="s">
        <v>1225</v>
      </c>
      <c r="D130" s="143" t="s">
        <v>1335</v>
      </c>
      <c r="E130" s="143" t="s">
        <v>1336</v>
      </c>
      <c r="F130" s="143" t="s">
        <v>945</v>
      </c>
      <c r="G130" s="143" t="s">
        <v>204</v>
      </c>
      <c r="H130" s="143" t="s">
        <v>204</v>
      </c>
      <c r="I130" s="143" t="s">
        <v>340</v>
      </c>
      <c r="J130" s="143" t="s">
        <v>1228</v>
      </c>
      <c r="K130" s="143" t="s">
        <v>312</v>
      </c>
      <c r="L130" s="143" t="s">
        <v>1210</v>
      </c>
      <c r="M130" s="144">
        <v>2.68</v>
      </c>
      <c r="N130" s="143" t="s">
        <v>1337</v>
      </c>
      <c r="O130" s="146">
        <v>2.0055E-2</v>
      </c>
      <c r="P130" s="146">
        <v>4.4908999999999998E-2</v>
      </c>
      <c r="Q130" s="145" t="s">
        <v>3876</v>
      </c>
      <c r="R130" s="144">
        <v>24448028</v>
      </c>
      <c r="S130" s="145" t="s">
        <v>3876</v>
      </c>
      <c r="T130" s="143" t="s">
        <v>1338</v>
      </c>
      <c r="U130" s="144">
        <v>23030.042399999998</v>
      </c>
      <c r="V130" s="145" t="s">
        <v>3876</v>
      </c>
      <c r="W130" s="145" t="s">
        <v>3876</v>
      </c>
      <c r="X130" s="146">
        <v>9.4601599128772273E-4</v>
      </c>
      <c r="Y130" s="146">
        <v>8.0768153909537878E-3</v>
      </c>
      <c r="Z130" s="147">
        <v>1.0205548820810073E-3</v>
      </c>
      <c r="AA130" s="183"/>
    </row>
    <row r="131" spans="1:27" ht="15" x14ac:dyDescent="0.2">
      <c r="A131" s="142" t="s">
        <v>1220</v>
      </c>
      <c r="B131" s="143" t="s">
        <v>1220</v>
      </c>
      <c r="C131" s="143" t="s">
        <v>1225</v>
      </c>
      <c r="D131" s="143" t="s">
        <v>1323</v>
      </c>
      <c r="E131" s="143" t="s">
        <v>1324</v>
      </c>
      <c r="F131" s="143" t="s">
        <v>945</v>
      </c>
      <c r="G131" s="143" t="s">
        <v>204</v>
      </c>
      <c r="H131" s="143" t="s">
        <v>204</v>
      </c>
      <c r="I131" s="143" t="s">
        <v>340</v>
      </c>
      <c r="J131" s="143" t="s">
        <v>1228</v>
      </c>
      <c r="K131" s="143" t="s">
        <v>312</v>
      </c>
      <c r="L131" s="143" t="s">
        <v>1210</v>
      </c>
      <c r="M131" s="144">
        <v>0.35</v>
      </c>
      <c r="N131" s="143" t="s">
        <v>1325</v>
      </c>
      <c r="O131" s="143" t="s">
        <v>1266</v>
      </c>
      <c r="P131" s="146">
        <v>4.3479999999999998E-2</v>
      </c>
      <c r="Q131" s="145" t="s">
        <v>3876</v>
      </c>
      <c r="R131" s="144">
        <v>7533097</v>
      </c>
      <c r="S131" s="145" t="s">
        <v>3876</v>
      </c>
      <c r="T131" s="143" t="s">
        <v>1326</v>
      </c>
      <c r="U131" s="144">
        <v>7422.3604999999998</v>
      </c>
      <c r="V131" s="145" t="s">
        <v>3876</v>
      </c>
      <c r="W131" s="145" t="s">
        <v>3876</v>
      </c>
      <c r="X131" s="146">
        <v>5.3807835714285717E-4</v>
      </c>
      <c r="Y131" s="146">
        <v>2.6030796789541233E-3</v>
      </c>
      <c r="Z131" s="147">
        <v>3.2891499263161647E-4</v>
      </c>
      <c r="AA131" s="183"/>
    </row>
    <row r="132" spans="1:27" ht="15" x14ac:dyDescent="0.2">
      <c r="A132" s="142" t="s">
        <v>1220</v>
      </c>
      <c r="B132" s="143" t="s">
        <v>1220</v>
      </c>
      <c r="C132" s="143" t="s">
        <v>1225</v>
      </c>
      <c r="D132" s="143" t="s">
        <v>1272</v>
      </c>
      <c r="E132" s="143" t="s">
        <v>1273</v>
      </c>
      <c r="F132" s="143" t="s">
        <v>945</v>
      </c>
      <c r="G132" s="143" t="s">
        <v>204</v>
      </c>
      <c r="H132" s="143" t="s">
        <v>204</v>
      </c>
      <c r="I132" s="143" t="s">
        <v>340</v>
      </c>
      <c r="J132" s="143" t="s">
        <v>1228</v>
      </c>
      <c r="K132" s="143" t="s">
        <v>312</v>
      </c>
      <c r="L132" s="143" t="s">
        <v>1210</v>
      </c>
      <c r="M132" s="144">
        <v>0.67</v>
      </c>
      <c r="N132" s="143" t="s">
        <v>1274</v>
      </c>
      <c r="O132" s="143" t="s">
        <v>1266</v>
      </c>
      <c r="P132" s="146">
        <v>4.3515999999999999E-2</v>
      </c>
      <c r="Q132" s="145" t="s">
        <v>3876</v>
      </c>
      <c r="R132" s="144">
        <v>4541379.3899999997</v>
      </c>
      <c r="S132" s="145" t="s">
        <v>3876</v>
      </c>
      <c r="T132" s="143" t="s">
        <v>1275</v>
      </c>
      <c r="U132" s="144">
        <v>4412.8584000000001</v>
      </c>
      <c r="V132" s="145" t="s">
        <v>3876</v>
      </c>
      <c r="W132" s="145" t="s">
        <v>3876</v>
      </c>
      <c r="X132" s="146">
        <v>3.7844828249999999E-4</v>
      </c>
      <c r="Y132" s="146">
        <v>1.547623824734103E-3</v>
      </c>
      <c r="Z132" s="147">
        <v>1.9555170862593592E-4</v>
      </c>
      <c r="AA132" s="183"/>
    </row>
    <row r="133" spans="1:27" ht="15" x14ac:dyDescent="0.2">
      <c r="A133" s="142" t="s">
        <v>1220</v>
      </c>
      <c r="B133" s="143" t="s">
        <v>1220</v>
      </c>
      <c r="C133" s="143" t="s">
        <v>1225</v>
      </c>
      <c r="D133" s="143" t="s">
        <v>1327</v>
      </c>
      <c r="E133" s="143" t="s">
        <v>1328</v>
      </c>
      <c r="F133" s="143" t="s">
        <v>945</v>
      </c>
      <c r="G133" s="143" t="s">
        <v>204</v>
      </c>
      <c r="H133" s="143" t="s">
        <v>204</v>
      </c>
      <c r="I133" s="143" t="s">
        <v>340</v>
      </c>
      <c r="J133" s="143" t="s">
        <v>1228</v>
      </c>
      <c r="K133" s="143" t="s">
        <v>312</v>
      </c>
      <c r="L133" s="143" t="s">
        <v>1210</v>
      </c>
      <c r="M133" s="144">
        <v>4.01</v>
      </c>
      <c r="N133" s="143" t="s">
        <v>1329</v>
      </c>
      <c r="O133" s="146">
        <v>2.2499999999999999E-2</v>
      </c>
      <c r="P133" s="146">
        <v>4.6257E-2</v>
      </c>
      <c r="Q133" s="145" t="s">
        <v>3876</v>
      </c>
      <c r="R133" s="144">
        <v>702597</v>
      </c>
      <c r="S133" s="145" t="s">
        <v>3876</v>
      </c>
      <c r="T133" s="143" t="s">
        <v>1330</v>
      </c>
      <c r="U133" s="144">
        <v>651.51819999999998</v>
      </c>
      <c r="V133" s="145" t="s">
        <v>3876</v>
      </c>
      <c r="W133" s="145" t="s">
        <v>3876</v>
      </c>
      <c r="X133" s="146">
        <v>2.3038595803591375E-5</v>
      </c>
      <c r="Y133" s="146">
        <v>2.2849251095535887E-4</v>
      </c>
      <c r="Z133" s="147">
        <v>2.8871422248379794E-5</v>
      </c>
      <c r="AA133" s="183"/>
    </row>
    <row r="134" spans="1:27" ht="15" x14ac:dyDescent="0.2">
      <c r="A134" s="142" t="s">
        <v>1220</v>
      </c>
      <c r="B134" s="143" t="s">
        <v>1220</v>
      </c>
      <c r="C134" s="143" t="s">
        <v>1305</v>
      </c>
      <c r="D134" s="143" t="s">
        <v>1306</v>
      </c>
      <c r="E134" s="143" t="s">
        <v>1307</v>
      </c>
      <c r="F134" s="143" t="s">
        <v>947</v>
      </c>
      <c r="G134" s="143" t="s">
        <v>205</v>
      </c>
      <c r="H134" s="143" t="s">
        <v>224</v>
      </c>
      <c r="I134" s="143" t="s">
        <v>344</v>
      </c>
      <c r="J134" s="143" t="s">
        <v>1308</v>
      </c>
      <c r="K134" s="143" t="s">
        <v>423</v>
      </c>
      <c r="L134" s="143" t="s">
        <v>1211</v>
      </c>
      <c r="M134" s="144">
        <v>7.4589999999999996</v>
      </c>
      <c r="N134" s="143" t="s">
        <v>1309</v>
      </c>
      <c r="O134" s="146">
        <v>3.875E-2</v>
      </c>
      <c r="P134" s="146">
        <v>4.41E-2</v>
      </c>
      <c r="Q134" s="145" t="s">
        <v>3876</v>
      </c>
      <c r="R134" s="144">
        <v>22133100</v>
      </c>
      <c r="S134" s="143" t="s">
        <v>1212</v>
      </c>
      <c r="T134" s="143" t="s">
        <v>1310</v>
      </c>
      <c r="U134" s="144">
        <v>81101.316599999991</v>
      </c>
      <c r="V134" s="145" t="s">
        <v>3876</v>
      </c>
      <c r="W134" s="145" t="s">
        <v>3876</v>
      </c>
      <c r="X134" s="146">
        <v>5.8244999999999998E-4</v>
      </c>
      <c r="Y134" s="146">
        <v>2.8442863941764852E-2</v>
      </c>
      <c r="Z134" s="147">
        <v>3.5939293212824217E-3</v>
      </c>
      <c r="AA134" s="183"/>
    </row>
    <row r="135" spans="1:27" ht="15" x14ac:dyDescent="0.2">
      <c r="A135" s="148" t="s">
        <v>1220</v>
      </c>
      <c r="B135" s="149" t="s">
        <v>1220</v>
      </c>
      <c r="C135" s="149" t="s">
        <v>1305</v>
      </c>
      <c r="D135" s="149" t="s">
        <v>1311</v>
      </c>
      <c r="E135" s="149" t="s">
        <v>1312</v>
      </c>
      <c r="F135" s="149" t="s">
        <v>947</v>
      </c>
      <c r="G135" s="149" t="s">
        <v>205</v>
      </c>
      <c r="H135" s="149" t="s">
        <v>224</v>
      </c>
      <c r="I135" s="149" t="s">
        <v>344</v>
      </c>
      <c r="J135" s="149" t="s">
        <v>1308</v>
      </c>
      <c r="K135" s="149" t="s">
        <v>423</v>
      </c>
      <c r="L135" s="149" t="s">
        <v>1211</v>
      </c>
      <c r="M135" s="150">
        <v>7.7590000000000003</v>
      </c>
      <c r="N135" s="149" t="s">
        <v>1313</v>
      </c>
      <c r="O135" s="152">
        <v>0.04</v>
      </c>
      <c r="P135" s="152">
        <v>4.3999999999999997E-2</v>
      </c>
      <c r="Q135" s="151" t="s">
        <v>3876</v>
      </c>
      <c r="R135" s="150">
        <v>18318000</v>
      </c>
      <c r="S135" s="149" t="s">
        <v>1212</v>
      </c>
      <c r="T135" s="149" t="s">
        <v>1314</v>
      </c>
      <c r="U135" s="150">
        <v>67741.926299999992</v>
      </c>
      <c r="V135" s="151" t="s">
        <v>3876</v>
      </c>
      <c r="W135" s="151" t="s">
        <v>3876</v>
      </c>
      <c r="X135" s="152">
        <v>4.3614285714285717E-4</v>
      </c>
      <c r="Y135" s="152">
        <v>2.375762162520462E-2</v>
      </c>
      <c r="Z135" s="153">
        <v>3.0019203810689914E-3</v>
      </c>
      <c r="AA135" s="183"/>
    </row>
    <row r="136" spans="1:27" x14ac:dyDescent="0.2">
      <c r="A136" s="183" t="s">
        <v>3893</v>
      </c>
      <c r="B136" s="183"/>
      <c r="C136" s="183"/>
      <c r="D136" s="183"/>
      <c r="E136" s="183"/>
      <c r="F136" s="183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</row>
    <row r="137" spans="1:27" x14ac:dyDescent="0.2">
      <c r="A137" s="4" t="s">
        <v>3892</v>
      </c>
    </row>
    <row r="138" spans="1:27" x14ac:dyDescent="0.2">
      <c r="A138" s="177"/>
    </row>
  </sheetData>
  <sheetProtection formatColumns="0"/>
  <customSheetViews>
    <customSheetView guid="{AE318230-F718-49FC-82EB-7CAC3DCD05F1}" showGridLines="0" hiddenRows="1">
      <selection activeCell="E26" sqref="E26"/>
      <pageMargins left="0" right="0" top="0" bottom="0" header="0" footer="0"/>
    </customSheetView>
  </customSheetViews>
  <mergeCells count="2">
    <mergeCell ref="A136:Z136"/>
    <mergeCell ref="AA2:AA135"/>
  </mergeCells>
  <dataValidations count="4">
    <dataValidation type="list" allowBlank="1" showInputMessage="1" showErrorMessage="1" sqref="G3:G21">
      <formula1>israel_abroad</formula1>
    </dataValidation>
    <dataValidation type="list" allowBlank="1" showInputMessage="1" showErrorMessage="1" sqref="I3:I21">
      <formula1>Stock_Exchange_Gov_Bonds</formula1>
    </dataValidation>
    <dataValidation type="list" allowBlank="1" showInputMessage="1" showErrorMessage="1" sqref="K3:K21">
      <formula1>Rating_Agency</formula1>
    </dataValidation>
    <dataValidation type="list" allowBlank="1" showInputMessage="1" showErrorMessage="1" sqref="H3:H21">
      <formula1>Country_list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בחירה'!$C$862:$C$869</xm:f>
          </x14:formula1>
          <xm:sqref>F3:F21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K1048573"/>
  <sheetViews>
    <sheetView rightToLeft="1" workbookViewId="0"/>
  </sheetViews>
  <sheetFormatPr defaultColWidth="11.625" defaultRowHeight="14.25" x14ac:dyDescent="0.2"/>
  <cols>
    <col min="1" max="1" width="29.375" style="4" customWidth="1"/>
    <col min="2" max="2" width="11.125" style="4" customWidth="1"/>
    <col min="3" max="3" width="9.625" style="4" customWidth="1"/>
    <col min="4" max="4" width="11.25" style="4" customWidth="1"/>
    <col min="5" max="5" width="18.125" style="4" customWidth="1"/>
    <col min="6" max="6" width="11.125" style="4" customWidth="1"/>
    <col min="7" max="7" width="12.75" style="4" customWidth="1"/>
    <col min="8" max="8" width="15.5" style="4" customWidth="1"/>
    <col min="9" max="9" width="11.5" style="4" customWidth="1"/>
    <col min="10" max="10" width="10.625" style="4" customWidth="1"/>
    <col min="11" max="11" width="19.875" style="4" customWidth="1"/>
    <col min="12" max="12" width="10.25" style="4" customWidth="1"/>
    <col min="13" max="13" width="9.625" style="4" customWidth="1"/>
    <col min="14" max="14" width="15.125" style="4" customWidth="1"/>
    <col min="15" max="15" width="6.25" style="4" customWidth="1"/>
    <col min="16" max="16" width="9" style="4" customWidth="1"/>
    <col min="17" max="17" width="19" style="4" customWidth="1"/>
    <col min="18" max="18" width="11.75" style="4" customWidth="1"/>
    <col min="19" max="19" width="6.5" style="4" customWidth="1"/>
    <col min="20" max="20" width="9.75" style="4" customWidth="1"/>
    <col min="21" max="21" width="9.875" style="4" customWidth="1"/>
    <col min="22" max="22" width="11.125" style="4" customWidth="1"/>
    <col min="23" max="23" width="12.25" style="4" customWidth="1"/>
    <col min="24" max="24" width="11.875" style="4" customWidth="1"/>
    <col min="25" max="25" width="17.5" style="4" customWidth="1"/>
    <col min="26" max="26" width="14.875" style="4" customWidth="1"/>
    <col min="27" max="27" width="10.5" style="4" customWidth="1"/>
    <col min="28" max="28" width="12.875" style="4" customWidth="1"/>
    <col min="29" max="29" width="22.25" style="4" customWidth="1"/>
    <col min="30" max="30" width="17.875" style="4" customWidth="1"/>
    <col min="31" max="31" width="21.375" style="4" customWidth="1"/>
    <col min="32" max="32" width="24.625" style="4" customWidth="1"/>
    <col min="33" max="33" width="22" style="4" customWidth="1"/>
    <col min="34" max="34" width="19" style="4" customWidth="1"/>
    <col min="35" max="35" width="21.75" style="4" customWidth="1"/>
    <col min="36" max="36" width="20.125" style="4" customWidth="1"/>
    <col min="37" max="16384" width="11.625" style="4"/>
  </cols>
  <sheetData>
    <row r="1" spans="1:37" x14ac:dyDescent="0.2">
      <c r="A1" s="4" t="s">
        <v>3899</v>
      </c>
    </row>
    <row r="2" spans="1:37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70</v>
      </c>
      <c r="M2" s="140" t="s">
        <v>83</v>
      </c>
      <c r="N2" s="140" t="s">
        <v>56</v>
      </c>
      <c r="O2" s="140" t="s">
        <v>71</v>
      </c>
      <c r="P2" s="140" t="s">
        <v>58</v>
      </c>
      <c r="Q2" s="140" t="s">
        <v>84</v>
      </c>
      <c r="R2" s="140" t="s">
        <v>59</v>
      </c>
      <c r="S2" s="140" t="s">
        <v>72</v>
      </c>
      <c r="T2" s="140" t="s">
        <v>85</v>
      </c>
      <c r="U2" s="140" t="s">
        <v>73</v>
      </c>
      <c r="V2" s="140" t="s">
        <v>62</v>
      </c>
      <c r="W2" s="140" t="s">
        <v>74</v>
      </c>
      <c r="X2" s="140" t="s">
        <v>86</v>
      </c>
      <c r="Y2" s="140" t="s">
        <v>87</v>
      </c>
      <c r="Z2" s="140" t="s">
        <v>76</v>
      </c>
      <c r="AA2" s="140" t="s">
        <v>61</v>
      </c>
      <c r="AB2" s="140" t="s">
        <v>77</v>
      </c>
      <c r="AC2" s="140" t="s">
        <v>75</v>
      </c>
      <c r="AD2" s="140" t="s">
        <v>63</v>
      </c>
      <c r="AE2" s="140" t="s">
        <v>78</v>
      </c>
      <c r="AF2" s="140" t="s">
        <v>88</v>
      </c>
      <c r="AG2" s="140" t="s">
        <v>17</v>
      </c>
      <c r="AH2" s="140" t="s">
        <v>79</v>
      </c>
      <c r="AI2" s="140" t="s">
        <v>64</v>
      </c>
      <c r="AJ2" s="141" t="s">
        <v>65</v>
      </c>
      <c r="AK2" s="183" t="s">
        <v>3894</v>
      </c>
    </row>
    <row r="3" spans="1:37" ht="15" x14ac:dyDescent="0.2">
      <c r="A3" s="154" t="s">
        <v>1205</v>
      </c>
      <c r="B3" s="155" t="s">
        <v>1206</v>
      </c>
      <c r="C3" s="145" t="s">
        <v>3876</v>
      </c>
      <c r="D3" s="145" t="s">
        <v>3876</v>
      </c>
      <c r="E3" s="145" t="s">
        <v>3876</v>
      </c>
      <c r="F3" s="145" t="s">
        <v>3876</v>
      </c>
      <c r="G3" s="145" t="s">
        <v>3876</v>
      </c>
      <c r="H3" s="145" t="s">
        <v>3876</v>
      </c>
      <c r="I3" s="145" t="s">
        <v>3876</v>
      </c>
      <c r="J3" s="145" t="s">
        <v>3876</v>
      </c>
      <c r="K3" s="145" t="s">
        <v>3876</v>
      </c>
      <c r="L3" s="145" t="s">
        <v>3876</v>
      </c>
      <c r="M3" s="145" t="s">
        <v>3876</v>
      </c>
      <c r="N3" s="145" t="s">
        <v>3876</v>
      </c>
      <c r="O3" s="145" t="s">
        <v>3876</v>
      </c>
      <c r="P3" s="145" t="s">
        <v>3876</v>
      </c>
      <c r="Q3" s="145" t="s">
        <v>3876</v>
      </c>
      <c r="R3" s="145" t="s">
        <v>3876</v>
      </c>
      <c r="S3" s="145" t="s">
        <v>3876</v>
      </c>
      <c r="T3" s="145" t="s">
        <v>3876</v>
      </c>
      <c r="U3" s="145" t="s">
        <v>3876</v>
      </c>
      <c r="V3" s="145" t="s">
        <v>3876</v>
      </c>
      <c r="W3" s="145" t="s">
        <v>3876</v>
      </c>
      <c r="X3" s="145" t="s">
        <v>3876</v>
      </c>
      <c r="Y3" s="145" t="s">
        <v>3876</v>
      </c>
      <c r="Z3" s="145" t="s">
        <v>3876</v>
      </c>
      <c r="AA3" s="145" t="s">
        <v>3876</v>
      </c>
      <c r="AB3" s="145" t="s">
        <v>3876</v>
      </c>
      <c r="AC3" s="145" t="s">
        <v>3876</v>
      </c>
      <c r="AD3" s="145" t="s">
        <v>3876</v>
      </c>
      <c r="AE3" s="145" t="s">
        <v>3876</v>
      </c>
      <c r="AF3" s="145" t="s">
        <v>3876</v>
      </c>
      <c r="AG3" s="145" t="s">
        <v>3876</v>
      </c>
      <c r="AH3" s="145" t="s">
        <v>3876</v>
      </c>
      <c r="AI3" s="145" t="s">
        <v>3876</v>
      </c>
      <c r="AJ3" s="156" t="s">
        <v>3876</v>
      </c>
      <c r="AK3" s="183"/>
    </row>
    <row r="4" spans="1:37" ht="15" x14ac:dyDescent="0.2">
      <c r="A4" s="154" t="s">
        <v>1205</v>
      </c>
      <c r="B4" s="155" t="s">
        <v>1215</v>
      </c>
      <c r="C4" s="145" t="s">
        <v>3876</v>
      </c>
      <c r="D4" s="145" t="s">
        <v>3876</v>
      </c>
      <c r="E4" s="145" t="s">
        <v>3876</v>
      </c>
      <c r="F4" s="145" t="s">
        <v>3876</v>
      </c>
      <c r="G4" s="145" t="s">
        <v>3876</v>
      </c>
      <c r="H4" s="145" t="s">
        <v>3876</v>
      </c>
      <c r="I4" s="145" t="s">
        <v>3876</v>
      </c>
      <c r="J4" s="145" t="s">
        <v>3876</v>
      </c>
      <c r="K4" s="145" t="s">
        <v>3876</v>
      </c>
      <c r="L4" s="145" t="s">
        <v>3876</v>
      </c>
      <c r="M4" s="145" t="s">
        <v>3876</v>
      </c>
      <c r="N4" s="145" t="s">
        <v>3876</v>
      </c>
      <c r="O4" s="145" t="s">
        <v>3876</v>
      </c>
      <c r="P4" s="145" t="s">
        <v>3876</v>
      </c>
      <c r="Q4" s="145" t="s">
        <v>3876</v>
      </c>
      <c r="R4" s="145" t="s">
        <v>3876</v>
      </c>
      <c r="S4" s="145" t="s">
        <v>3876</v>
      </c>
      <c r="T4" s="145" t="s">
        <v>3876</v>
      </c>
      <c r="U4" s="145" t="s">
        <v>3876</v>
      </c>
      <c r="V4" s="145" t="s">
        <v>3876</v>
      </c>
      <c r="W4" s="145" t="s">
        <v>3876</v>
      </c>
      <c r="X4" s="145" t="s">
        <v>3876</v>
      </c>
      <c r="Y4" s="145" t="s">
        <v>3876</v>
      </c>
      <c r="Z4" s="145" t="s">
        <v>3876</v>
      </c>
      <c r="AA4" s="145" t="s">
        <v>3876</v>
      </c>
      <c r="AB4" s="145" t="s">
        <v>3876</v>
      </c>
      <c r="AC4" s="145" t="s">
        <v>3876</v>
      </c>
      <c r="AD4" s="145" t="s">
        <v>3876</v>
      </c>
      <c r="AE4" s="145" t="s">
        <v>3876</v>
      </c>
      <c r="AF4" s="145" t="s">
        <v>3876</v>
      </c>
      <c r="AG4" s="145" t="s">
        <v>3876</v>
      </c>
      <c r="AH4" s="145" t="s">
        <v>3876</v>
      </c>
      <c r="AI4" s="145" t="s">
        <v>3876</v>
      </c>
      <c r="AJ4" s="156" t="s">
        <v>3876</v>
      </c>
      <c r="AK4" s="183"/>
    </row>
    <row r="5" spans="1:37" ht="15" x14ac:dyDescent="0.2">
      <c r="A5" s="154" t="s">
        <v>1205</v>
      </c>
      <c r="B5" s="155" t="s">
        <v>1205</v>
      </c>
      <c r="C5" s="145" t="s">
        <v>3876</v>
      </c>
      <c r="D5" s="145" t="s">
        <v>3876</v>
      </c>
      <c r="E5" s="145" t="s">
        <v>3876</v>
      </c>
      <c r="F5" s="145" t="s">
        <v>3876</v>
      </c>
      <c r="G5" s="145" t="s">
        <v>3876</v>
      </c>
      <c r="H5" s="145" t="s">
        <v>3876</v>
      </c>
      <c r="I5" s="145" t="s">
        <v>3876</v>
      </c>
      <c r="J5" s="145" t="s">
        <v>3876</v>
      </c>
      <c r="K5" s="145" t="s">
        <v>3876</v>
      </c>
      <c r="L5" s="145" t="s">
        <v>3876</v>
      </c>
      <c r="M5" s="145" t="s">
        <v>3876</v>
      </c>
      <c r="N5" s="145" t="s">
        <v>3876</v>
      </c>
      <c r="O5" s="145" t="s">
        <v>3876</v>
      </c>
      <c r="P5" s="145" t="s">
        <v>3876</v>
      </c>
      <c r="Q5" s="145" t="s">
        <v>3876</v>
      </c>
      <c r="R5" s="145" t="s">
        <v>3876</v>
      </c>
      <c r="S5" s="145" t="s">
        <v>3876</v>
      </c>
      <c r="T5" s="145" t="s">
        <v>3876</v>
      </c>
      <c r="U5" s="145" t="s">
        <v>3876</v>
      </c>
      <c r="V5" s="145" t="s">
        <v>3876</v>
      </c>
      <c r="W5" s="145" t="s">
        <v>3876</v>
      </c>
      <c r="X5" s="145" t="s">
        <v>3876</v>
      </c>
      <c r="Y5" s="145" t="s">
        <v>3876</v>
      </c>
      <c r="Z5" s="145" t="s">
        <v>3876</v>
      </c>
      <c r="AA5" s="145" t="s">
        <v>3876</v>
      </c>
      <c r="AB5" s="145" t="s">
        <v>3876</v>
      </c>
      <c r="AC5" s="145" t="s">
        <v>3876</v>
      </c>
      <c r="AD5" s="145" t="s">
        <v>3876</v>
      </c>
      <c r="AE5" s="145" t="s">
        <v>3876</v>
      </c>
      <c r="AF5" s="145" t="s">
        <v>3876</v>
      </c>
      <c r="AG5" s="145" t="s">
        <v>3876</v>
      </c>
      <c r="AH5" s="145" t="s">
        <v>3876</v>
      </c>
      <c r="AI5" s="145" t="s">
        <v>3876</v>
      </c>
      <c r="AJ5" s="156" t="s">
        <v>3876</v>
      </c>
      <c r="AK5" s="183"/>
    </row>
    <row r="6" spans="1:37" ht="15" x14ac:dyDescent="0.2">
      <c r="A6" s="154" t="s">
        <v>1220</v>
      </c>
      <c r="B6" s="155" t="s">
        <v>1221</v>
      </c>
      <c r="C6" s="145" t="s">
        <v>3876</v>
      </c>
      <c r="D6" s="145" t="s">
        <v>3876</v>
      </c>
      <c r="E6" s="145" t="s">
        <v>3876</v>
      </c>
      <c r="F6" s="145" t="s">
        <v>3876</v>
      </c>
      <c r="G6" s="145" t="s">
        <v>3876</v>
      </c>
      <c r="H6" s="145" t="s">
        <v>3876</v>
      </c>
      <c r="I6" s="145" t="s">
        <v>3876</v>
      </c>
      <c r="J6" s="145" t="s">
        <v>3876</v>
      </c>
      <c r="K6" s="145" t="s">
        <v>3876</v>
      </c>
      <c r="L6" s="145" t="s">
        <v>3876</v>
      </c>
      <c r="M6" s="145" t="s">
        <v>3876</v>
      </c>
      <c r="N6" s="145" t="s">
        <v>3876</v>
      </c>
      <c r="O6" s="145" t="s">
        <v>3876</v>
      </c>
      <c r="P6" s="145" t="s">
        <v>3876</v>
      </c>
      <c r="Q6" s="145" t="s">
        <v>3876</v>
      </c>
      <c r="R6" s="145" t="s">
        <v>3876</v>
      </c>
      <c r="S6" s="145" t="s">
        <v>3876</v>
      </c>
      <c r="T6" s="145" t="s">
        <v>3876</v>
      </c>
      <c r="U6" s="145" t="s">
        <v>3876</v>
      </c>
      <c r="V6" s="145" t="s">
        <v>3876</v>
      </c>
      <c r="W6" s="145" t="s">
        <v>3876</v>
      </c>
      <c r="X6" s="145" t="s">
        <v>3876</v>
      </c>
      <c r="Y6" s="145" t="s">
        <v>3876</v>
      </c>
      <c r="Z6" s="145" t="s">
        <v>3876</v>
      </c>
      <c r="AA6" s="145" t="s">
        <v>3876</v>
      </c>
      <c r="AB6" s="145" t="s">
        <v>3876</v>
      </c>
      <c r="AC6" s="145" t="s">
        <v>3876</v>
      </c>
      <c r="AD6" s="145" t="s">
        <v>3876</v>
      </c>
      <c r="AE6" s="145" t="s">
        <v>3876</v>
      </c>
      <c r="AF6" s="145" t="s">
        <v>3876</v>
      </c>
      <c r="AG6" s="145" t="s">
        <v>3876</v>
      </c>
      <c r="AH6" s="145" t="s">
        <v>3876</v>
      </c>
      <c r="AI6" s="145" t="s">
        <v>3876</v>
      </c>
      <c r="AJ6" s="156" t="s">
        <v>3876</v>
      </c>
      <c r="AK6" s="183"/>
    </row>
    <row r="7" spans="1:37" ht="15" x14ac:dyDescent="0.2">
      <c r="A7" s="154" t="s">
        <v>1220</v>
      </c>
      <c r="B7" s="155" t="s">
        <v>1222</v>
      </c>
      <c r="C7" s="145" t="s">
        <v>3876</v>
      </c>
      <c r="D7" s="145" t="s">
        <v>3876</v>
      </c>
      <c r="E7" s="145" t="s">
        <v>3876</v>
      </c>
      <c r="F7" s="145" t="s">
        <v>3876</v>
      </c>
      <c r="G7" s="145" t="s">
        <v>3876</v>
      </c>
      <c r="H7" s="145" t="s">
        <v>3876</v>
      </c>
      <c r="I7" s="145" t="s">
        <v>3876</v>
      </c>
      <c r="J7" s="145" t="s">
        <v>3876</v>
      </c>
      <c r="K7" s="145" t="s">
        <v>3876</v>
      </c>
      <c r="L7" s="145" t="s">
        <v>3876</v>
      </c>
      <c r="M7" s="145" t="s">
        <v>3876</v>
      </c>
      <c r="N7" s="145" t="s">
        <v>3876</v>
      </c>
      <c r="O7" s="145" t="s">
        <v>3876</v>
      </c>
      <c r="P7" s="145" t="s">
        <v>3876</v>
      </c>
      <c r="Q7" s="145" t="s">
        <v>3876</v>
      </c>
      <c r="R7" s="145" t="s">
        <v>3876</v>
      </c>
      <c r="S7" s="145" t="s">
        <v>3876</v>
      </c>
      <c r="T7" s="145" t="s">
        <v>3876</v>
      </c>
      <c r="U7" s="145" t="s">
        <v>3876</v>
      </c>
      <c r="V7" s="145" t="s">
        <v>3876</v>
      </c>
      <c r="W7" s="145" t="s">
        <v>3876</v>
      </c>
      <c r="X7" s="145" t="s">
        <v>3876</v>
      </c>
      <c r="Y7" s="145" t="s">
        <v>3876</v>
      </c>
      <c r="Z7" s="145" t="s">
        <v>3876</v>
      </c>
      <c r="AA7" s="145" t="s">
        <v>3876</v>
      </c>
      <c r="AB7" s="145" t="s">
        <v>3876</v>
      </c>
      <c r="AC7" s="145" t="s">
        <v>3876</v>
      </c>
      <c r="AD7" s="145" t="s">
        <v>3876</v>
      </c>
      <c r="AE7" s="145" t="s">
        <v>3876</v>
      </c>
      <c r="AF7" s="145" t="s">
        <v>3876</v>
      </c>
      <c r="AG7" s="145" t="s">
        <v>3876</v>
      </c>
      <c r="AH7" s="145" t="s">
        <v>3876</v>
      </c>
      <c r="AI7" s="145" t="s">
        <v>3876</v>
      </c>
      <c r="AJ7" s="156" t="s">
        <v>3876</v>
      </c>
      <c r="AK7" s="183"/>
    </row>
    <row r="8" spans="1:37" ht="15" x14ac:dyDescent="0.2">
      <c r="A8" s="157" t="s">
        <v>1220</v>
      </c>
      <c r="B8" s="158" t="s">
        <v>1220</v>
      </c>
      <c r="C8" s="151" t="s">
        <v>3876</v>
      </c>
      <c r="D8" s="151" t="s">
        <v>3876</v>
      </c>
      <c r="E8" s="151" t="s">
        <v>3876</v>
      </c>
      <c r="F8" s="151" t="s">
        <v>3876</v>
      </c>
      <c r="G8" s="151" t="s">
        <v>3876</v>
      </c>
      <c r="H8" s="151" t="s">
        <v>3876</v>
      </c>
      <c r="I8" s="151" t="s">
        <v>3876</v>
      </c>
      <c r="J8" s="151" t="s">
        <v>3876</v>
      </c>
      <c r="K8" s="151" t="s">
        <v>3876</v>
      </c>
      <c r="L8" s="151" t="s">
        <v>3876</v>
      </c>
      <c r="M8" s="151" t="s">
        <v>3876</v>
      </c>
      <c r="N8" s="151" t="s">
        <v>3876</v>
      </c>
      <c r="O8" s="151" t="s">
        <v>3876</v>
      </c>
      <c r="P8" s="151" t="s">
        <v>3876</v>
      </c>
      <c r="Q8" s="151" t="s">
        <v>3876</v>
      </c>
      <c r="R8" s="151" t="s">
        <v>3876</v>
      </c>
      <c r="S8" s="151" t="s">
        <v>3876</v>
      </c>
      <c r="T8" s="151" t="s">
        <v>3876</v>
      </c>
      <c r="U8" s="151" t="s">
        <v>3876</v>
      </c>
      <c r="V8" s="151" t="s">
        <v>3876</v>
      </c>
      <c r="W8" s="151" t="s">
        <v>3876</v>
      </c>
      <c r="X8" s="151" t="s">
        <v>3876</v>
      </c>
      <c r="Y8" s="151" t="s">
        <v>3876</v>
      </c>
      <c r="Z8" s="151" t="s">
        <v>3876</v>
      </c>
      <c r="AA8" s="151" t="s">
        <v>3876</v>
      </c>
      <c r="AB8" s="151" t="s">
        <v>3876</v>
      </c>
      <c r="AC8" s="151" t="s">
        <v>3876</v>
      </c>
      <c r="AD8" s="151" t="s">
        <v>3876</v>
      </c>
      <c r="AE8" s="151" t="s">
        <v>3876</v>
      </c>
      <c r="AF8" s="151" t="s">
        <v>3876</v>
      </c>
      <c r="AG8" s="151" t="s">
        <v>3876</v>
      </c>
      <c r="AH8" s="151" t="s">
        <v>3876</v>
      </c>
      <c r="AI8" s="151" t="s">
        <v>3876</v>
      </c>
      <c r="AJ8" s="159" t="s">
        <v>3876</v>
      </c>
      <c r="AK8" s="183"/>
    </row>
    <row r="9" spans="1:37" x14ac:dyDescent="0.2">
      <c r="A9" s="184" t="s">
        <v>3893</v>
      </c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  <c r="AB9" s="184"/>
      <c r="AC9" s="184"/>
      <c r="AD9" s="184"/>
      <c r="AE9" s="184"/>
      <c r="AF9" s="184"/>
      <c r="AG9" s="184"/>
      <c r="AH9" s="184"/>
      <c r="AI9" s="184"/>
      <c r="AJ9" s="184"/>
    </row>
    <row r="10" spans="1:37" x14ac:dyDescent="0.2">
      <c r="A10" s="16" t="s">
        <v>3892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/>
      <c r="P10" s="16"/>
      <c r="Q10" s="16"/>
      <c r="R10" s="16"/>
      <c r="S10" s="16"/>
      <c r="T10" s="99"/>
      <c r="U10" s="16"/>
      <c r="V10" s="16"/>
      <c r="W10" s="16"/>
      <c r="X10" s="16"/>
      <c r="Y10" s="16"/>
      <c r="Z10" s="16"/>
      <c r="AB10" s="99"/>
      <c r="AC10" s="99"/>
      <c r="AD10" s="99"/>
      <c r="AG10" s="16"/>
    </row>
    <row r="11" spans="1:37" x14ac:dyDescent="0.2">
      <c r="A11" s="178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/>
      <c r="P11" s="16"/>
      <c r="Q11" s="16"/>
      <c r="R11" s="16"/>
      <c r="S11" s="16"/>
      <c r="T11" s="99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G11" s="16"/>
    </row>
    <row r="12" spans="1:37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/>
      <c r="P12" s="16"/>
      <c r="Q12" s="16"/>
      <c r="R12" s="16"/>
      <c r="S12" s="16"/>
      <c r="T12" s="99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G12" s="16"/>
    </row>
    <row r="13" spans="1:37" x14ac:dyDescent="0.2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/>
      <c r="P13" s="16"/>
      <c r="Q13" s="16"/>
      <c r="R13" s="16"/>
      <c r="S13" s="16"/>
      <c r="T13" s="99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G13" s="16"/>
    </row>
    <row r="14" spans="1:37" x14ac:dyDescent="0.2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/>
      <c r="P14" s="16"/>
      <c r="Q14" s="16"/>
      <c r="R14" s="16"/>
      <c r="S14" s="16"/>
      <c r="T14" s="99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G14" s="16"/>
    </row>
    <row r="15" spans="1:37" x14ac:dyDescent="0.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/>
      <c r="P15" s="16"/>
      <c r="Q15" s="16"/>
      <c r="R15" s="16"/>
      <c r="S15" s="16"/>
      <c r="T15" s="99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G15" s="16"/>
    </row>
    <row r="16" spans="1:37" x14ac:dyDescent="0.2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/>
      <c r="P16" s="16"/>
      <c r="Q16" s="16"/>
      <c r="R16" s="16"/>
      <c r="S16" s="16"/>
      <c r="T16" s="99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G16" s="16"/>
    </row>
    <row r="17" spans="1:33" x14ac:dyDescent="0.2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/>
      <c r="P17" s="16"/>
      <c r="Q17" s="16"/>
      <c r="R17" s="16"/>
      <c r="S17" s="16"/>
      <c r="T17" s="99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G17" s="16"/>
    </row>
    <row r="18" spans="1:33" x14ac:dyDescent="0.2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/>
      <c r="P18" s="16"/>
      <c r="Q18" s="16"/>
      <c r="R18" s="16"/>
      <c r="S18" s="16"/>
      <c r="T18" s="99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G18" s="16"/>
    </row>
    <row r="19" spans="1:33" x14ac:dyDescent="0.2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/>
      <c r="P19" s="16"/>
      <c r="Q19" s="16"/>
      <c r="R19" s="16"/>
      <c r="S19" s="16"/>
      <c r="T19" s="99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G19" s="16"/>
    </row>
    <row r="20" spans="1:33" x14ac:dyDescent="0.2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/>
      <c r="P20" s="16"/>
      <c r="Q20" s="16"/>
      <c r="R20" s="16"/>
      <c r="S20" s="16"/>
      <c r="T20" s="99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G20" s="16"/>
    </row>
    <row r="21" spans="1:33" x14ac:dyDescent="0.2">
      <c r="E21" s="16"/>
      <c r="H21" s="16"/>
      <c r="I21" s="16"/>
      <c r="J21" s="16"/>
      <c r="K21" s="16"/>
      <c r="L21" s="16"/>
      <c r="M21" s="16"/>
      <c r="N21" s="16"/>
      <c r="O21"/>
      <c r="P21" s="16"/>
      <c r="Q21" s="16"/>
      <c r="T21" s="99"/>
      <c r="X21" s="16"/>
      <c r="Y21" s="16"/>
      <c r="AG21" s="16"/>
    </row>
    <row r="22" spans="1:33" x14ac:dyDescent="0.2">
      <c r="T22" s="98"/>
    </row>
    <row r="23" spans="1:33" x14ac:dyDescent="0.2">
      <c r="T23" s="98"/>
    </row>
    <row r="24" spans="1:33" x14ac:dyDescent="0.2">
      <c r="T24" s="98"/>
    </row>
    <row r="25" spans="1:33" x14ac:dyDescent="0.2">
      <c r="T25" s="98"/>
    </row>
    <row r="26" spans="1:33" x14ac:dyDescent="0.2">
      <c r="T26"/>
    </row>
    <row r="1048573" spans="12:14" x14ac:dyDescent="0.2">
      <c r="L1048573" s="6"/>
      <c r="N1048573" s="5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paperSize="9" orientation="portrait" verticalDpi="0" r:id="rId1"/>
    </customSheetView>
  </customSheetViews>
  <mergeCells count="2">
    <mergeCell ref="A9:AJ9"/>
    <mergeCell ref="AK2:AK8"/>
  </mergeCells>
  <dataValidations count="14">
    <dataValidation type="list" allowBlank="1" showInputMessage="1" showErrorMessage="1" sqref="L1048573:L1048576">
      <formula1>Stock_Exchange_Gov_Bonds</formula1>
    </dataValidation>
    <dataValidation type="list" allowBlank="1" showInputMessage="1" showErrorMessage="1" sqref="J10:J21">
      <formula1>israel_abroad</formula1>
    </dataValidation>
    <dataValidation type="list" allowBlank="1" showInputMessage="1" showErrorMessage="1" sqref="N1048573:N1048576 N10:N21">
      <formula1>Holding_interest</formula1>
    </dataValidation>
    <dataValidation type="list" allowBlank="1" showInputMessage="1" showErrorMessage="1" sqref="P10:P21">
      <formula1>Rating_Agency</formula1>
    </dataValidation>
    <dataValidation type="list" allowBlank="1" showInputMessage="1" showErrorMessage="1" sqref="Q10:Q21">
      <formula1>What_is_rated</formula1>
    </dataValidation>
    <dataValidation type="list" allowBlank="1" showInputMessage="1" showErrorMessage="1" sqref="AG10:AG21">
      <formula1>In_the_books</formula1>
    </dataValidation>
    <dataValidation type="list" allowBlank="1" showInputMessage="1" showErrorMessage="1" sqref="K10:K21">
      <formula1>Country_list</formula1>
    </dataValidation>
    <dataValidation type="list" allowBlank="1" showInputMessage="1" showErrorMessage="1" sqref="T10:T21">
      <formula1>Underlying_Interest_Rates</formula1>
    </dataValidation>
    <dataValidation type="list" allowBlank="1" showInputMessage="1" showErrorMessage="1" sqref="Y10:Y21">
      <formula1>Yes_No_Bad_Debt</formula1>
    </dataValidation>
    <dataValidation type="list" allowBlank="1" showInputMessage="1" showErrorMessage="1" sqref="X10:X21">
      <formula1>Subordination_Risk</formula1>
    </dataValidation>
    <dataValidation type="list" allowBlank="1" showInputMessage="1" showErrorMessage="1" sqref="E10:E21">
      <formula1>Issuer_Number_Type_2</formula1>
    </dataValidation>
    <dataValidation type="list" allowBlank="1" showInputMessage="1" showErrorMessage="1" sqref="H10:H21">
      <formula1>Type_of_Security_ID_Fund</formula1>
    </dataValidation>
    <dataValidation type="list" allowBlank="1" showInputMessage="1" showErrorMessage="1" sqref="M10:M21">
      <formula1>Industry_Sector</formula1>
    </dataValidation>
    <dataValidation type="list" allowBlank="1" showInputMessage="1" showErrorMessage="1" sqref="L10:L21">
      <formula1>Stock_Exchange</formula1>
    </dataValidation>
  </dataValidations>
  <pageMargins left="0.7" right="0.7" top="0.75" bottom="0.75" header="0.3" footer="0.3"/>
  <pageSetup paperSize="9"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I10:I21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K535"/>
  <sheetViews>
    <sheetView rightToLeft="1" topLeftCell="J1" workbookViewId="0"/>
  </sheetViews>
  <sheetFormatPr defaultColWidth="11.625" defaultRowHeight="14.25" x14ac:dyDescent="0.2"/>
  <cols>
    <col min="1" max="1" width="29.375" style="2" customWidth="1"/>
    <col min="2" max="2" width="11.125" style="2" customWidth="1"/>
    <col min="3" max="3" width="34.875" style="2" bestFit="1" customWidth="1"/>
    <col min="4" max="4" width="23.875" style="2" bestFit="1" customWidth="1"/>
    <col min="5" max="5" width="18.125" style="4" customWidth="1"/>
    <col min="6" max="6" width="20.5" style="2" bestFit="1" customWidth="1"/>
    <col min="7" max="7" width="13.375" style="2" bestFit="1" customWidth="1"/>
    <col min="8" max="8" width="15.5" style="2" customWidth="1"/>
    <col min="9" max="9" width="32.75" style="2" bestFit="1" customWidth="1"/>
    <col min="10" max="10" width="10.625" style="2" customWidth="1"/>
    <col min="11" max="11" width="19.875" style="2" customWidth="1"/>
    <col min="12" max="12" width="13.75" style="2" customWidth="1"/>
    <col min="13" max="13" width="11" style="2" bestFit="1" customWidth="1"/>
    <col min="14" max="14" width="34.25" style="2" bestFit="1" customWidth="1"/>
    <col min="15" max="15" width="15.125" style="2" customWidth="1"/>
    <col min="16" max="16" width="6.375" style="2" bestFit="1" customWidth="1"/>
    <col min="17" max="17" width="12.25" style="2" bestFit="1" customWidth="1"/>
    <col min="18" max="18" width="19" style="2" customWidth="1"/>
    <col min="19" max="19" width="11.75" style="2" customWidth="1"/>
    <col min="20" max="20" width="6.5" style="2" customWidth="1"/>
    <col min="21" max="21" width="9.875" style="2" bestFit="1" customWidth="1"/>
    <col min="22" max="22" width="11.125" style="2" customWidth="1"/>
    <col min="23" max="23" width="12.25" style="2" customWidth="1"/>
    <col min="24" max="24" width="11.875" style="4" customWidth="1"/>
    <col min="25" max="25" width="17.5" style="4" customWidth="1"/>
    <col min="26" max="26" width="14.875" style="2" customWidth="1"/>
    <col min="27" max="27" width="10.5" style="2" customWidth="1"/>
    <col min="28" max="28" width="12.875" style="2" customWidth="1"/>
    <col min="29" max="29" width="22.25" style="2" customWidth="1"/>
    <col min="30" max="30" width="17.875" style="2" customWidth="1"/>
    <col min="31" max="31" width="21.375" style="2" customWidth="1"/>
    <col min="32" max="32" width="24.625" style="2" customWidth="1"/>
    <col min="33" max="33" width="22" style="2" customWidth="1"/>
    <col min="34" max="34" width="19" style="2" customWidth="1"/>
    <col min="35" max="35" width="21.75" style="2" customWidth="1"/>
    <col min="36" max="36" width="20.125" style="2" customWidth="1"/>
    <col min="37" max="16384" width="11.625" style="2"/>
  </cols>
  <sheetData>
    <row r="1" spans="1:37" x14ac:dyDescent="0.2">
      <c r="A1" s="2" t="s">
        <v>3900</v>
      </c>
    </row>
    <row r="2" spans="1:37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89</v>
      </c>
      <c r="M2" s="140" t="s">
        <v>70</v>
      </c>
      <c r="N2" s="140" t="s">
        <v>83</v>
      </c>
      <c r="O2" s="140" t="s">
        <v>56</v>
      </c>
      <c r="P2" s="140" t="s">
        <v>71</v>
      </c>
      <c r="Q2" s="140" t="s">
        <v>58</v>
      </c>
      <c r="R2" s="140" t="s">
        <v>84</v>
      </c>
      <c r="S2" s="140" t="s">
        <v>59</v>
      </c>
      <c r="T2" s="140" t="s">
        <v>72</v>
      </c>
      <c r="U2" s="140" t="s">
        <v>73</v>
      </c>
      <c r="V2" s="140" t="s">
        <v>62</v>
      </c>
      <c r="W2" s="140" t="s">
        <v>74</v>
      </c>
      <c r="X2" s="140" t="s">
        <v>86</v>
      </c>
      <c r="Y2" s="140" t="s">
        <v>87</v>
      </c>
      <c r="Z2" s="140" t="s">
        <v>76</v>
      </c>
      <c r="AA2" s="140" t="s">
        <v>61</v>
      </c>
      <c r="AB2" s="140" t="s">
        <v>77</v>
      </c>
      <c r="AC2" s="140" t="s">
        <v>75</v>
      </c>
      <c r="AD2" s="140" t="s">
        <v>63</v>
      </c>
      <c r="AE2" s="140" t="s">
        <v>78</v>
      </c>
      <c r="AF2" s="140" t="s">
        <v>88</v>
      </c>
      <c r="AG2" s="140" t="s">
        <v>17</v>
      </c>
      <c r="AH2" s="140" t="s">
        <v>79</v>
      </c>
      <c r="AI2" s="140" t="s">
        <v>64</v>
      </c>
      <c r="AJ2" s="141" t="s">
        <v>65</v>
      </c>
      <c r="AK2" s="181" t="s">
        <v>3894</v>
      </c>
    </row>
    <row r="3" spans="1:37" ht="15" x14ac:dyDescent="0.2">
      <c r="A3" s="142" t="s">
        <v>1205</v>
      </c>
      <c r="B3" s="143" t="s">
        <v>1206</v>
      </c>
      <c r="C3" s="143" t="s">
        <v>1343</v>
      </c>
      <c r="D3" s="143" t="s">
        <v>1344</v>
      </c>
      <c r="E3" s="143" t="s">
        <v>309</v>
      </c>
      <c r="F3" s="143" t="s">
        <v>1345</v>
      </c>
      <c r="G3" s="143" t="s">
        <v>1346</v>
      </c>
      <c r="H3" s="143" t="s">
        <v>321</v>
      </c>
      <c r="I3" s="143" t="s">
        <v>951</v>
      </c>
      <c r="J3" s="143" t="s">
        <v>204</v>
      </c>
      <c r="K3" s="143" t="s">
        <v>204</v>
      </c>
      <c r="L3" s="143" t="s">
        <v>325</v>
      </c>
      <c r="M3" s="143" t="s">
        <v>340</v>
      </c>
      <c r="N3" s="143" t="s">
        <v>445</v>
      </c>
      <c r="O3" s="143" t="s">
        <v>339</v>
      </c>
      <c r="P3" s="143" t="s">
        <v>1347</v>
      </c>
      <c r="Q3" s="143" t="s">
        <v>413</v>
      </c>
      <c r="R3" s="143" t="s">
        <v>407</v>
      </c>
      <c r="S3" s="143" t="s">
        <v>1210</v>
      </c>
      <c r="T3" s="144">
        <v>5.29</v>
      </c>
      <c r="U3" s="143" t="s">
        <v>1295</v>
      </c>
      <c r="V3" s="146">
        <v>2.64E-2</v>
      </c>
      <c r="W3" s="146">
        <v>5.8282E-2</v>
      </c>
      <c r="X3" s="143" t="s">
        <v>412</v>
      </c>
      <c r="Y3" s="145" t="s">
        <v>3876</v>
      </c>
      <c r="Z3" s="144">
        <v>75266.25</v>
      </c>
      <c r="AA3" s="145" t="s">
        <v>3876</v>
      </c>
      <c r="AB3" s="143" t="s">
        <v>1348</v>
      </c>
      <c r="AC3" s="145" t="s">
        <v>3876</v>
      </c>
      <c r="AD3" s="144">
        <v>64.457999999999998</v>
      </c>
      <c r="AE3" s="145" t="s">
        <v>3876</v>
      </c>
      <c r="AF3" s="145" t="s">
        <v>3876</v>
      </c>
      <c r="AG3" s="145" t="s">
        <v>3876</v>
      </c>
      <c r="AH3" s="146">
        <v>4.600142174761335E-5</v>
      </c>
      <c r="AI3" s="146">
        <v>3.3002361719926744E-2</v>
      </c>
      <c r="AJ3" s="147">
        <v>2.2420403519147832E-3</v>
      </c>
      <c r="AK3" s="181"/>
    </row>
    <row r="4" spans="1:37" ht="15" x14ac:dyDescent="0.2">
      <c r="A4" s="142" t="s">
        <v>1205</v>
      </c>
      <c r="B4" s="143" t="s">
        <v>1206</v>
      </c>
      <c r="C4" s="143" t="s">
        <v>1349</v>
      </c>
      <c r="D4" s="143" t="s">
        <v>1350</v>
      </c>
      <c r="E4" s="143" t="s">
        <v>309</v>
      </c>
      <c r="F4" s="143" t="s">
        <v>1351</v>
      </c>
      <c r="G4" s="143" t="s">
        <v>1352</v>
      </c>
      <c r="H4" s="143" t="s">
        <v>321</v>
      </c>
      <c r="I4" s="143" t="s">
        <v>951</v>
      </c>
      <c r="J4" s="143" t="s">
        <v>204</v>
      </c>
      <c r="K4" s="143" t="s">
        <v>204</v>
      </c>
      <c r="L4" s="143" t="s">
        <v>325</v>
      </c>
      <c r="M4" s="143" t="s">
        <v>340</v>
      </c>
      <c r="N4" s="143" t="s">
        <v>448</v>
      </c>
      <c r="O4" s="143" t="s">
        <v>339</v>
      </c>
      <c r="P4" s="143" t="s">
        <v>1224</v>
      </c>
      <c r="Q4" s="143" t="s">
        <v>413</v>
      </c>
      <c r="R4" s="143" t="s">
        <v>407</v>
      </c>
      <c r="S4" s="143" t="s">
        <v>1210</v>
      </c>
      <c r="T4" s="144">
        <v>0.93</v>
      </c>
      <c r="U4" s="143" t="s">
        <v>1353</v>
      </c>
      <c r="V4" s="146">
        <v>2.98E-2</v>
      </c>
      <c r="W4" s="146">
        <v>4.5124999999999998E-2</v>
      </c>
      <c r="X4" s="143" t="s">
        <v>412</v>
      </c>
      <c r="Y4" s="145" t="s">
        <v>3876</v>
      </c>
      <c r="Z4" s="144">
        <v>63654</v>
      </c>
      <c r="AA4" s="145" t="s">
        <v>3876</v>
      </c>
      <c r="AB4" s="143" t="s">
        <v>1354</v>
      </c>
      <c r="AC4" s="145" t="s">
        <v>3876</v>
      </c>
      <c r="AD4" s="144">
        <v>62.902900000000002</v>
      </c>
      <c r="AE4" s="145" t="s">
        <v>3876</v>
      </c>
      <c r="AF4" s="145" t="s">
        <v>3876</v>
      </c>
      <c r="AG4" s="145" t="s">
        <v>3876</v>
      </c>
      <c r="AH4" s="146">
        <v>2.5039819268316764E-5</v>
      </c>
      <c r="AI4" s="146">
        <v>3.2206136709027625E-2</v>
      </c>
      <c r="AJ4" s="147">
        <v>2.1879482048499949E-3</v>
      </c>
      <c r="AK4" s="181"/>
    </row>
    <row r="5" spans="1:37" ht="15" x14ac:dyDescent="0.2">
      <c r="A5" s="142" t="s">
        <v>1205</v>
      </c>
      <c r="B5" s="143" t="s">
        <v>1206</v>
      </c>
      <c r="C5" s="143" t="s">
        <v>1355</v>
      </c>
      <c r="D5" s="143" t="s">
        <v>1356</v>
      </c>
      <c r="E5" s="143" t="s">
        <v>309</v>
      </c>
      <c r="F5" s="143" t="s">
        <v>1357</v>
      </c>
      <c r="G5" s="143" t="s">
        <v>1358</v>
      </c>
      <c r="H5" s="143" t="s">
        <v>321</v>
      </c>
      <c r="I5" s="143" t="s">
        <v>951</v>
      </c>
      <c r="J5" s="143" t="s">
        <v>204</v>
      </c>
      <c r="K5" s="143" t="s">
        <v>204</v>
      </c>
      <c r="L5" s="143" t="s">
        <v>325</v>
      </c>
      <c r="M5" s="143" t="s">
        <v>340</v>
      </c>
      <c r="N5" s="143" t="s">
        <v>484</v>
      </c>
      <c r="O5" s="143" t="s">
        <v>339</v>
      </c>
      <c r="P5" s="143" t="s">
        <v>1359</v>
      </c>
      <c r="Q5" s="143" t="s">
        <v>415</v>
      </c>
      <c r="R5" s="143" t="s">
        <v>407</v>
      </c>
      <c r="S5" s="143" t="s">
        <v>1210</v>
      </c>
      <c r="T5" s="144">
        <v>2.3199999999999998</v>
      </c>
      <c r="U5" s="143" t="s">
        <v>1360</v>
      </c>
      <c r="V5" s="146">
        <v>3.6499999999999998E-2</v>
      </c>
      <c r="W5" s="146">
        <v>5.8046E-2</v>
      </c>
      <c r="X5" s="143" t="s">
        <v>412</v>
      </c>
      <c r="Y5" s="145" t="s">
        <v>3876</v>
      </c>
      <c r="Z5" s="144">
        <v>50903.47</v>
      </c>
      <c r="AA5" s="145" t="s">
        <v>3876</v>
      </c>
      <c r="AB5" s="143" t="s">
        <v>1361</v>
      </c>
      <c r="AC5" s="145" t="s">
        <v>3876</v>
      </c>
      <c r="AD5" s="144">
        <v>48.714599999999997</v>
      </c>
      <c r="AE5" s="145" t="s">
        <v>3876</v>
      </c>
      <c r="AF5" s="145" t="s">
        <v>3876</v>
      </c>
      <c r="AG5" s="145" t="s">
        <v>3876</v>
      </c>
      <c r="AH5" s="146">
        <v>2.5328050001538438E-5</v>
      </c>
      <c r="AI5" s="146">
        <v>2.4941777976687254E-2</v>
      </c>
      <c r="AJ5" s="147">
        <v>1.694438511607114E-3</v>
      </c>
      <c r="AK5" s="181"/>
    </row>
    <row r="6" spans="1:37" ht="15" x14ac:dyDescent="0.2">
      <c r="A6" s="142" t="s">
        <v>1205</v>
      </c>
      <c r="B6" s="143" t="s">
        <v>1206</v>
      </c>
      <c r="C6" s="143" t="s">
        <v>1362</v>
      </c>
      <c r="D6" s="143" t="s">
        <v>1363</v>
      </c>
      <c r="E6" s="143" t="s">
        <v>309</v>
      </c>
      <c r="F6" s="143" t="s">
        <v>1364</v>
      </c>
      <c r="G6" s="143" t="s">
        <v>1365</v>
      </c>
      <c r="H6" s="143" t="s">
        <v>321</v>
      </c>
      <c r="I6" s="143" t="s">
        <v>951</v>
      </c>
      <c r="J6" s="143" t="s">
        <v>204</v>
      </c>
      <c r="K6" s="143" t="s">
        <v>204</v>
      </c>
      <c r="L6" s="143" t="s">
        <v>325</v>
      </c>
      <c r="M6" s="143" t="s">
        <v>340</v>
      </c>
      <c r="N6" s="143" t="s">
        <v>445</v>
      </c>
      <c r="O6" s="143" t="s">
        <v>339</v>
      </c>
      <c r="P6" s="143" t="s">
        <v>1366</v>
      </c>
      <c r="Q6" s="143" t="s">
        <v>415</v>
      </c>
      <c r="R6" s="143" t="s">
        <v>407</v>
      </c>
      <c r="S6" s="143" t="s">
        <v>1210</v>
      </c>
      <c r="T6" s="144">
        <v>4.16</v>
      </c>
      <c r="U6" s="143" t="s">
        <v>1367</v>
      </c>
      <c r="V6" s="146">
        <v>3.95E-2</v>
      </c>
      <c r="W6" s="146">
        <v>5.3097999999999999E-2</v>
      </c>
      <c r="X6" s="143" t="s">
        <v>412</v>
      </c>
      <c r="Y6" s="145" t="s">
        <v>3876</v>
      </c>
      <c r="Z6" s="144">
        <v>42734</v>
      </c>
      <c r="AA6" s="145" t="s">
        <v>3876</v>
      </c>
      <c r="AB6" s="143" t="s">
        <v>1368</v>
      </c>
      <c r="AC6" s="145" t="s">
        <v>3876</v>
      </c>
      <c r="AD6" s="144">
        <v>40.545999999999999</v>
      </c>
      <c r="AE6" s="145" t="s">
        <v>3876</v>
      </c>
      <c r="AF6" s="145" t="s">
        <v>3876</v>
      </c>
      <c r="AG6" s="145" t="s">
        <v>3876</v>
      </c>
      <c r="AH6" s="146">
        <v>1.7805093457512285E-4</v>
      </c>
      <c r="AI6" s="146">
        <v>2.07594720501754E-2</v>
      </c>
      <c r="AJ6" s="147">
        <v>1.4103104019018572E-3</v>
      </c>
      <c r="AK6" s="181"/>
    </row>
    <row r="7" spans="1:37" ht="15" x14ac:dyDescent="0.2">
      <c r="A7" s="142" t="s">
        <v>1205</v>
      </c>
      <c r="B7" s="143" t="s">
        <v>1206</v>
      </c>
      <c r="C7" s="143" t="s">
        <v>1369</v>
      </c>
      <c r="D7" s="143" t="s">
        <v>1370</v>
      </c>
      <c r="E7" s="143" t="s">
        <v>309</v>
      </c>
      <c r="F7" s="143" t="s">
        <v>1371</v>
      </c>
      <c r="G7" s="143" t="s">
        <v>1372</v>
      </c>
      <c r="H7" s="143" t="s">
        <v>321</v>
      </c>
      <c r="I7" s="143" t="s">
        <v>951</v>
      </c>
      <c r="J7" s="143" t="s">
        <v>204</v>
      </c>
      <c r="K7" s="143" t="s">
        <v>204</v>
      </c>
      <c r="L7" s="143" t="s">
        <v>325</v>
      </c>
      <c r="M7" s="143" t="s">
        <v>340</v>
      </c>
      <c r="N7" s="143" t="s">
        <v>445</v>
      </c>
      <c r="O7" s="143" t="s">
        <v>339</v>
      </c>
      <c r="P7" s="143" t="s">
        <v>1366</v>
      </c>
      <c r="Q7" s="143" t="s">
        <v>415</v>
      </c>
      <c r="R7" s="143" t="s">
        <v>407</v>
      </c>
      <c r="S7" s="143" t="s">
        <v>1210</v>
      </c>
      <c r="T7" s="144">
        <v>1.05</v>
      </c>
      <c r="U7" s="143" t="s">
        <v>1373</v>
      </c>
      <c r="V7" s="146">
        <v>3.61E-2</v>
      </c>
      <c r="W7" s="146">
        <v>5.1234000000000002E-2</v>
      </c>
      <c r="X7" s="143" t="s">
        <v>412</v>
      </c>
      <c r="Y7" s="145" t="s">
        <v>3876</v>
      </c>
      <c r="Z7" s="144">
        <v>39130</v>
      </c>
      <c r="AA7" s="145" t="s">
        <v>3876</v>
      </c>
      <c r="AB7" s="143" t="s">
        <v>1374</v>
      </c>
      <c r="AC7" s="145" t="s">
        <v>3876</v>
      </c>
      <c r="AD7" s="144">
        <v>39.133900000000004</v>
      </c>
      <c r="AE7" s="145" t="s">
        <v>3876</v>
      </c>
      <c r="AF7" s="145" t="s">
        <v>3876</v>
      </c>
      <c r="AG7" s="145" t="s">
        <v>3876</v>
      </c>
      <c r="AH7" s="146">
        <v>5.0983713355048862E-5</v>
      </c>
      <c r="AI7" s="146">
        <v>2.0036476802573401E-2</v>
      </c>
      <c r="AJ7" s="147">
        <v>1.3611931740766877E-3</v>
      </c>
      <c r="AK7" s="181"/>
    </row>
    <row r="8" spans="1:37" ht="15" x14ac:dyDescent="0.2">
      <c r="A8" s="142" t="s">
        <v>1205</v>
      </c>
      <c r="B8" s="143" t="s">
        <v>1206</v>
      </c>
      <c r="C8" s="143" t="s">
        <v>1343</v>
      </c>
      <c r="D8" s="143" t="s">
        <v>1344</v>
      </c>
      <c r="E8" s="143" t="s">
        <v>309</v>
      </c>
      <c r="F8" s="143" t="s">
        <v>1375</v>
      </c>
      <c r="G8" s="143" t="s">
        <v>1376</v>
      </c>
      <c r="H8" s="143" t="s">
        <v>321</v>
      </c>
      <c r="I8" s="143" t="s">
        <v>951</v>
      </c>
      <c r="J8" s="143" t="s">
        <v>204</v>
      </c>
      <c r="K8" s="143" t="s">
        <v>204</v>
      </c>
      <c r="L8" s="143" t="s">
        <v>325</v>
      </c>
      <c r="M8" s="143" t="s">
        <v>340</v>
      </c>
      <c r="N8" s="143" t="s">
        <v>445</v>
      </c>
      <c r="O8" s="143" t="s">
        <v>339</v>
      </c>
      <c r="P8" s="143" t="s">
        <v>1347</v>
      </c>
      <c r="Q8" s="143" t="s">
        <v>413</v>
      </c>
      <c r="R8" s="143" t="s">
        <v>407</v>
      </c>
      <c r="S8" s="143" t="s">
        <v>1210</v>
      </c>
      <c r="T8" s="144">
        <v>7.66</v>
      </c>
      <c r="U8" s="143" t="s">
        <v>1377</v>
      </c>
      <c r="V8" s="146">
        <v>5.3100000000000001E-2</v>
      </c>
      <c r="W8" s="146">
        <v>6.3355999999999996E-2</v>
      </c>
      <c r="X8" s="143" t="s">
        <v>412</v>
      </c>
      <c r="Y8" s="145" t="s">
        <v>3876</v>
      </c>
      <c r="Z8" s="144">
        <v>38262.910000000003</v>
      </c>
      <c r="AA8" s="145" t="s">
        <v>3876</v>
      </c>
      <c r="AB8" s="143" t="s">
        <v>1378</v>
      </c>
      <c r="AC8" s="145" t="s">
        <v>3876</v>
      </c>
      <c r="AD8" s="144">
        <v>36.475999999999999</v>
      </c>
      <c r="AE8" s="145" t="s">
        <v>3876</v>
      </c>
      <c r="AF8" s="145" t="s">
        <v>3876</v>
      </c>
      <c r="AG8" s="145" t="s">
        <v>3876</v>
      </c>
      <c r="AH8" s="146">
        <v>3.0048286224519134E-5</v>
      </c>
      <c r="AI8" s="146">
        <v>1.8675647668600946E-2</v>
      </c>
      <c r="AJ8" s="147">
        <v>1.2687442197769931E-3</v>
      </c>
      <c r="AK8" s="181"/>
    </row>
    <row r="9" spans="1:37" ht="15" x14ac:dyDescent="0.2">
      <c r="A9" s="142" t="s">
        <v>1205</v>
      </c>
      <c r="B9" s="143" t="s">
        <v>1206</v>
      </c>
      <c r="C9" s="143" t="s">
        <v>1379</v>
      </c>
      <c r="D9" s="143" t="s">
        <v>1380</v>
      </c>
      <c r="E9" s="143" t="s">
        <v>309</v>
      </c>
      <c r="F9" s="143" t="s">
        <v>1381</v>
      </c>
      <c r="G9" s="143" t="s">
        <v>1382</v>
      </c>
      <c r="H9" s="143" t="s">
        <v>321</v>
      </c>
      <c r="I9" s="143" t="s">
        <v>951</v>
      </c>
      <c r="J9" s="143" t="s">
        <v>204</v>
      </c>
      <c r="K9" s="143" t="s">
        <v>204</v>
      </c>
      <c r="L9" s="143" t="s">
        <v>325</v>
      </c>
      <c r="M9" s="143" t="s">
        <v>340</v>
      </c>
      <c r="N9" s="143" t="s">
        <v>445</v>
      </c>
      <c r="O9" s="143" t="s">
        <v>339</v>
      </c>
      <c r="P9" s="143" t="s">
        <v>1347</v>
      </c>
      <c r="Q9" s="143" t="s">
        <v>413</v>
      </c>
      <c r="R9" s="143" t="s">
        <v>407</v>
      </c>
      <c r="S9" s="143" t="s">
        <v>1210</v>
      </c>
      <c r="T9" s="144">
        <v>5.4</v>
      </c>
      <c r="U9" s="143" t="s">
        <v>1383</v>
      </c>
      <c r="V9" s="146">
        <v>5.2499999999999998E-2</v>
      </c>
      <c r="W9" s="146">
        <v>5.9947E-2</v>
      </c>
      <c r="X9" s="143" t="s">
        <v>412</v>
      </c>
      <c r="Y9" s="145" t="s">
        <v>3876</v>
      </c>
      <c r="Z9" s="144">
        <v>37000</v>
      </c>
      <c r="AA9" s="145" t="s">
        <v>3876</v>
      </c>
      <c r="AB9" s="143" t="s">
        <v>1384</v>
      </c>
      <c r="AC9" s="145" t="s">
        <v>3876</v>
      </c>
      <c r="AD9" s="144">
        <v>36.045400000000001</v>
      </c>
      <c r="AE9" s="145" t="s">
        <v>3876</v>
      </c>
      <c r="AF9" s="145" t="s">
        <v>3876</v>
      </c>
      <c r="AG9" s="145" t="s">
        <v>3876</v>
      </c>
      <c r="AH9" s="146">
        <v>7.3999999999999996E-5</v>
      </c>
      <c r="AI9" s="146">
        <v>1.8455164985404841E-2</v>
      </c>
      <c r="AJ9" s="147">
        <v>1.2537655622851676E-3</v>
      </c>
      <c r="AK9" s="181"/>
    </row>
    <row r="10" spans="1:37" ht="15" x14ac:dyDescent="0.2">
      <c r="A10" s="142" t="s">
        <v>1205</v>
      </c>
      <c r="B10" s="143" t="s">
        <v>1206</v>
      </c>
      <c r="C10" s="143" t="s">
        <v>1385</v>
      </c>
      <c r="D10" s="143" t="s">
        <v>1386</v>
      </c>
      <c r="E10" s="143" t="s">
        <v>309</v>
      </c>
      <c r="F10" s="143" t="s">
        <v>1387</v>
      </c>
      <c r="G10" s="143" t="s">
        <v>1388</v>
      </c>
      <c r="H10" s="143" t="s">
        <v>321</v>
      </c>
      <c r="I10" s="143" t="s">
        <v>951</v>
      </c>
      <c r="J10" s="143" t="s">
        <v>204</v>
      </c>
      <c r="K10" s="143" t="s">
        <v>204</v>
      </c>
      <c r="L10" s="143" t="s">
        <v>325</v>
      </c>
      <c r="M10" s="143" t="s">
        <v>340</v>
      </c>
      <c r="N10" s="143" t="s">
        <v>440</v>
      </c>
      <c r="O10" s="143" t="s">
        <v>339</v>
      </c>
      <c r="P10" s="143" t="s">
        <v>1389</v>
      </c>
      <c r="Q10" s="143" t="s">
        <v>413</v>
      </c>
      <c r="R10" s="143" t="s">
        <v>407</v>
      </c>
      <c r="S10" s="143" t="s">
        <v>1210</v>
      </c>
      <c r="T10" s="144">
        <v>3.26</v>
      </c>
      <c r="U10" s="143" t="s">
        <v>1390</v>
      </c>
      <c r="V10" s="146">
        <v>2.5000000000000001E-2</v>
      </c>
      <c r="W10" s="146">
        <v>5.9434000000000001E-2</v>
      </c>
      <c r="X10" s="143" t="s">
        <v>412</v>
      </c>
      <c r="Y10" s="145" t="s">
        <v>3876</v>
      </c>
      <c r="Z10" s="144">
        <v>38000</v>
      </c>
      <c r="AA10" s="145" t="s">
        <v>3876</v>
      </c>
      <c r="AB10" s="143" t="s">
        <v>1391</v>
      </c>
      <c r="AC10" s="145" t="s">
        <v>3876</v>
      </c>
      <c r="AD10" s="144">
        <v>34.3444</v>
      </c>
      <c r="AE10" s="145" t="s">
        <v>3876</v>
      </c>
      <c r="AF10" s="145" t="s">
        <v>3876</v>
      </c>
      <c r="AG10" s="145" t="s">
        <v>3876</v>
      </c>
      <c r="AH10" s="146">
        <v>4.7016398144262763E-5</v>
      </c>
      <c r="AI10" s="146">
        <v>1.7584256751894501E-2</v>
      </c>
      <c r="AJ10" s="147">
        <v>1.1945997541252618E-3</v>
      </c>
      <c r="AK10" s="181"/>
    </row>
    <row r="11" spans="1:37" ht="15" x14ac:dyDescent="0.2">
      <c r="A11" s="142" t="s">
        <v>1205</v>
      </c>
      <c r="B11" s="143" t="s">
        <v>1206</v>
      </c>
      <c r="C11" s="143" t="s">
        <v>1392</v>
      </c>
      <c r="D11" s="143" t="s">
        <v>1393</v>
      </c>
      <c r="E11" s="143" t="s">
        <v>309</v>
      </c>
      <c r="F11" s="143" t="s">
        <v>1394</v>
      </c>
      <c r="G11" s="143" t="s">
        <v>1395</v>
      </c>
      <c r="H11" s="143" t="s">
        <v>321</v>
      </c>
      <c r="I11" s="143" t="s">
        <v>951</v>
      </c>
      <c r="J11" s="143" t="s">
        <v>204</v>
      </c>
      <c r="K11" s="143" t="s">
        <v>204</v>
      </c>
      <c r="L11" s="143" t="s">
        <v>325</v>
      </c>
      <c r="M11" s="143" t="s">
        <v>340</v>
      </c>
      <c r="N11" s="143" t="s">
        <v>484</v>
      </c>
      <c r="O11" s="143" t="s">
        <v>339</v>
      </c>
      <c r="P11" s="143" t="s">
        <v>1396</v>
      </c>
      <c r="Q11" s="143" t="s">
        <v>415</v>
      </c>
      <c r="R11" s="143" t="s">
        <v>407</v>
      </c>
      <c r="S11" s="143" t="s">
        <v>1210</v>
      </c>
      <c r="T11" s="144">
        <v>0.9</v>
      </c>
      <c r="U11" s="143" t="s">
        <v>1397</v>
      </c>
      <c r="V11" s="146">
        <v>3.6499999999999998E-2</v>
      </c>
      <c r="W11" s="146">
        <v>4.8802999999999999E-2</v>
      </c>
      <c r="X11" s="143" t="s">
        <v>412</v>
      </c>
      <c r="Y11" s="145" t="s">
        <v>3876</v>
      </c>
      <c r="Z11" s="144">
        <v>25294.79</v>
      </c>
      <c r="AA11" s="145" t="s">
        <v>3876</v>
      </c>
      <c r="AB11" s="143" t="s">
        <v>1398</v>
      </c>
      <c r="AC11" s="145" t="s">
        <v>3876</v>
      </c>
      <c r="AD11" s="144">
        <v>25.110099999999999</v>
      </c>
      <c r="AE11" s="145" t="s">
        <v>3876</v>
      </c>
      <c r="AF11" s="145" t="s">
        <v>3876</v>
      </c>
      <c r="AG11" s="145" t="s">
        <v>3876</v>
      </c>
      <c r="AH11" s="146">
        <v>2.3751402445336998E-5</v>
      </c>
      <c r="AI11" s="146">
        <v>1.2856335072028718E-2</v>
      </c>
      <c r="AJ11" s="147">
        <v>8.7340482641342363E-4</v>
      </c>
      <c r="AK11" s="181"/>
    </row>
    <row r="12" spans="1:37" ht="15" x14ac:dyDescent="0.2">
      <c r="A12" s="142" t="s">
        <v>1205</v>
      </c>
      <c r="B12" s="143" t="s">
        <v>1206</v>
      </c>
      <c r="C12" s="143" t="s">
        <v>1399</v>
      </c>
      <c r="D12" s="143" t="s">
        <v>1400</v>
      </c>
      <c r="E12" s="143" t="s">
        <v>309</v>
      </c>
      <c r="F12" s="143" t="s">
        <v>1401</v>
      </c>
      <c r="G12" s="143" t="s">
        <v>1402</v>
      </c>
      <c r="H12" s="143" t="s">
        <v>321</v>
      </c>
      <c r="I12" s="143" t="s">
        <v>951</v>
      </c>
      <c r="J12" s="143" t="s">
        <v>204</v>
      </c>
      <c r="K12" s="143" t="s">
        <v>204</v>
      </c>
      <c r="L12" s="143" t="s">
        <v>325</v>
      </c>
      <c r="M12" s="143" t="s">
        <v>340</v>
      </c>
      <c r="N12" s="143" t="s">
        <v>451</v>
      </c>
      <c r="O12" s="143" t="s">
        <v>339</v>
      </c>
      <c r="P12" s="143" t="s">
        <v>1403</v>
      </c>
      <c r="Q12" s="143" t="s">
        <v>413</v>
      </c>
      <c r="R12" s="143" t="s">
        <v>407</v>
      </c>
      <c r="S12" s="143" t="s">
        <v>1210</v>
      </c>
      <c r="T12" s="144">
        <v>1.46</v>
      </c>
      <c r="U12" s="143" t="s">
        <v>1404</v>
      </c>
      <c r="V12" s="146">
        <v>0.04</v>
      </c>
      <c r="W12" s="146">
        <v>4.9484E-2</v>
      </c>
      <c r="X12" s="143" t="s">
        <v>412</v>
      </c>
      <c r="Y12" s="145" t="s">
        <v>3876</v>
      </c>
      <c r="Z12" s="144">
        <v>13143.8</v>
      </c>
      <c r="AA12" s="145" t="s">
        <v>3876</v>
      </c>
      <c r="AB12" s="143" t="s">
        <v>1405</v>
      </c>
      <c r="AC12" s="145" t="s">
        <v>3876</v>
      </c>
      <c r="AD12" s="144">
        <v>12.980799999999999</v>
      </c>
      <c r="AE12" s="145" t="s">
        <v>3876</v>
      </c>
      <c r="AF12" s="145" t="s">
        <v>3876</v>
      </c>
      <c r="AG12" s="145" t="s">
        <v>3876</v>
      </c>
      <c r="AH12" s="146">
        <v>9.9757315235393047E-5</v>
      </c>
      <c r="AI12" s="146">
        <v>6.6461494994015354E-3</v>
      </c>
      <c r="AJ12" s="147">
        <v>4.5151118241090391E-4</v>
      </c>
      <c r="AK12" s="181"/>
    </row>
    <row r="13" spans="1:37" ht="15" x14ac:dyDescent="0.2">
      <c r="A13" s="142" t="s">
        <v>1205</v>
      </c>
      <c r="B13" s="143" t="s">
        <v>1206</v>
      </c>
      <c r="C13" s="143" t="s">
        <v>1406</v>
      </c>
      <c r="D13" s="143" t="s">
        <v>1407</v>
      </c>
      <c r="E13" s="143" t="s">
        <v>309</v>
      </c>
      <c r="F13" s="143" t="s">
        <v>1408</v>
      </c>
      <c r="G13" s="143" t="s">
        <v>1409</v>
      </c>
      <c r="H13" s="143" t="s">
        <v>321</v>
      </c>
      <c r="I13" s="143" t="s">
        <v>951</v>
      </c>
      <c r="J13" s="143" t="s">
        <v>204</v>
      </c>
      <c r="K13" s="143" t="s">
        <v>204</v>
      </c>
      <c r="L13" s="143" t="s">
        <v>325</v>
      </c>
      <c r="M13" s="143" t="s">
        <v>340</v>
      </c>
      <c r="N13" s="143" t="s">
        <v>475</v>
      </c>
      <c r="O13" s="143" t="s">
        <v>339</v>
      </c>
      <c r="P13" s="143" t="s">
        <v>1410</v>
      </c>
      <c r="Q13" s="143" t="s">
        <v>413</v>
      </c>
      <c r="R13" s="143" t="s">
        <v>407</v>
      </c>
      <c r="S13" s="143" t="s">
        <v>1210</v>
      </c>
      <c r="T13" s="144">
        <v>2.5</v>
      </c>
      <c r="U13" s="143" t="s">
        <v>1411</v>
      </c>
      <c r="V13" s="146">
        <v>5.0900000000000001E-2</v>
      </c>
      <c r="W13" s="146">
        <v>5.1853000000000003E-2</v>
      </c>
      <c r="X13" s="143" t="s">
        <v>412</v>
      </c>
      <c r="Y13" s="145" t="s">
        <v>3876</v>
      </c>
      <c r="Z13" s="144">
        <v>12506.85</v>
      </c>
      <c r="AA13" s="145" t="s">
        <v>3876</v>
      </c>
      <c r="AB13" s="143" t="s">
        <v>1412</v>
      </c>
      <c r="AC13" s="145" t="s">
        <v>3876</v>
      </c>
      <c r="AD13" s="144">
        <v>12.9396</v>
      </c>
      <c r="AE13" s="145" t="s">
        <v>3876</v>
      </c>
      <c r="AF13" s="145" t="s">
        <v>3876</v>
      </c>
      <c r="AG13" s="145" t="s">
        <v>3876</v>
      </c>
      <c r="AH13" s="146">
        <v>2.0189965265772561E-5</v>
      </c>
      <c r="AI13" s="146">
        <v>6.625039897255997E-3</v>
      </c>
      <c r="AJ13" s="147">
        <v>4.5007708565671355E-4</v>
      </c>
      <c r="AK13" s="181"/>
    </row>
    <row r="14" spans="1:37" ht="15" x14ac:dyDescent="0.2">
      <c r="A14" s="142" t="s">
        <v>1205</v>
      </c>
      <c r="B14" s="143" t="s">
        <v>1206</v>
      </c>
      <c r="C14" s="143" t="s">
        <v>1369</v>
      </c>
      <c r="D14" s="143" t="s">
        <v>1370</v>
      </c>
      <c r="E14" s="143" t="s">
        <v>309</v>
      </c>
      <c r="F14" s="143" t="s">
        <v>1413</v>
      </c>
      <c r="G14" s="143" t="s">
        <v>1414</v>
      </c>
      <c r="H14" s="143" t="s">
        <v>321</v>
      </c>
      <c r="I14" s="143" t="s">
        <v>951</v>
      </c>
      <c r="J14" s="143" t="s">
        <v>204</v>
      </c>
      <c r="K14" s="143" t="s">
        <v>204</v>
      </c>
      <c r="L14" s="143" t="s">
        <v>325</v>
      </c>
      <c r="M14" s="143" t="s">
        <v>340</v>
      </c>
      <c r="N14" s="143" t="s">
        <v>445</v>
      </c>
      <c r="O14" s="143" t="s">
        <v>339</v>
      </c>
      <c r="P14" s="143" t="s">
        <v>1366</v>
      </c>
      <c r="Q14" s="143" t="s">
        <v>415</v>
      </c>
      <c r="R14" s="143" t="s">
        <v>407</v>
      </c>
      <c r="S14" s="143" t="s">
        <v>1210</v>
      </c>
      <c r="T14" s="144">
        <v>4.53</v>
      </c>
      <c r="U14" s="143" t="s">
        <v>1415</v>
      </c>
      <c r="V14" s="146">
        <v>2.6200000000000001E-2</v>
      </c>
      <c r="W14" s="146">
        <v>5.5462999999999998E-2</v>
      </c>
      <c r="X14" s="143" t="s">
        <v>412</v>
      </c>
      <c r="Y14" s="145" t="s">
        <v>3876</v>
      </c>
      <c r="Z14" s="144">
        <v>10590</v>
      </c>
      <c r="AA14" s="145" t="s">
        <v>3876</v>
      </c>
      <c r="AB14" s="143" t="s">
        <v>1416</v>
      </c>
      <c r="AC14" s="145" t="s">
        <v>3876</v>
      </c>
      <c r="AD14" s="144">
        <v>9.3699999999999992</v>
      </c>
      <c r="AE14" s="145" t="s">
        <v>3876</v>
      </c>
      <c r="AF14" s="145" t="s">
        <v>3876</v>
      </c>
      <c r="AG14" s="145" t="s">
        <v>3876</v>
      </c>
      <c r="AH14" s="146">
        <v>8.1879691748862069E-6</v>
      </c>
      <c r="AI14" s="146">
        <v>4.7974356361289621E-3</v>
      </c>
      <c r="AJ14" s="147">
        <v>3.2591741079610753E-4</v>
      </c>
      <c r="AK14" s="181"/>
    </row>
    <row r="15" spans="1:37" ht="15" x14ac:dyDescent="0.2">
      <c r="A15" s="142" t="s">
        <v>1205</v>
      </c>
      <c r="B15" s="143" t="s">
        <v>1206</v>
      </c>
      <c r="C15" s="143" t="s">
        <v>1362</v>
      </c>
      <c r="D15" s="143" t="s">
        <v>1363</v>
      </c>
      <c r="E15" s="143" t="s">
        <v>309</v>
      </c>
      <c r="F15" s="143" t="s">
        <v>1417</v>
      </c>
      <c r="G15" s="143" t="s">
        <v>1418</v>
      </c>
      <c r="H15" s="143" t="s">
        <v>321</v>
      </c>
      <c r="I15" s="143" t="s">
        <v>951</v>
      </c>
      <c r="J15" s="143" t="s">
        <v>204</v>
      </c>
      <c r="K15" s="143" t="s">
        <v>204</v>
      </c>
      <c r="L15" s="143" t="s">
        <v>325</v>
      </c>
      <c r="M15" s="143" t="s">
        <v>340</v>
      </c>
      <c r="N15" s="143" t="s">
        <v>445</v>
      </c>
      <c r="O15" s="143" t="s">
        <v>339</v>
      </c>
      <c r="P15" s="143" t="s">
        <v>1366</v>
      </c>
      <c r="Q15" s="143" t="s">
        <v>415</v>
      </c>
      <c r="R15" s="143" t="s">
        <v>407</v>
      </c>
      <c r="S15" s="143" t="s">
        <v>1210</v>
      </c>
      <c r="T15" s="144">
        <v>3.28</v>
      </c>
      <c r="U15" s="143" t="s">
        <v>1419</v>
      </c>
      <c r="V15" s="146">
        <v>4.36E-2</v>
      </c>
      <c r="W15" s="146">
        <v>5.1854999999999998E-2</v>
      </c>
      <c r="X15" s="143" t="s">
        <v>412</v>
      </c>
      <c r="Y15" s="145" t="s">
        <v>3876</v>
      </c>
      <c r="Z15" s="144">
        <v>7345</v>
      </c>
      <c r="AA15" s="145" t="s">
        <v>3876</v>
      </c>
      <c r="AB15" s="143" t="s">
        <v>1420</v>
      </c>
      <c r="AC15" s="145" t="s">
        <v>3876</v>
      </c>
      <c r="AD15" s="144">
        <v>7.1686999999999994</v>
      </c>
      <c r="AE15" s="145" t="s">
        <v>3876</v>
      </c>
      <c r="AF15" s="145" t="s">
        <v>3876</v>
      </c>
      <c r="AG15" s="145" t="s">
        <v>3876</v>
      </c>
      <c r="AH15" s="146">
        <v>2.4483333333333333E-5</v>
      </c>
      <c r="AI15" s="146">
        <v>3.670368766449294E-3</v>
      </c>
      <c r="AJ15" s="147">
        <v>2.4934927235278085E-4</v>
      </c>
      <c r="AK15" s="181"/>
    </row>
    <row r="16" spans="1:37" ht="15" x14ac:dyDescent="0.2">
      <c r="A16" s="142" t="s">
        <v>1205</v>
      </c>
      <c r="B16" s="143" t="s">
        <v>1206</v>
      </c>
      <c r="C16" s="143" t="s">
        <v>1421</v>
      </c>
      <c r="D16" s="143" t="s">
        <v>1422</v>
      </c>
      <c r="E16" s="143" t="s">
        <v>309</v>
      </c>
      <c r="F16" s="143" t="s">
        <v>1423</v>
      </c>
      <c r="G16" s="143" t="s">
        <v>1424</v>
      </c>
      <c r="H16" s="143" t="s">
        <v>321</v>
      </c>
      <c r="I16" s="143" t="s">
        <v>951</v>
      </c>
      <c r="J16" s="143" t="s">
        <v>204</v>
      </c>
      <c r="K16" s="143" t="s">
        <v>204</v>
      </c>
      <c r="L16" s="143" t="s">
        <v>325</v>
      </c>
      <c r="M16" s="143" t="s">
        <v>340</v>
      </c>
      <c r="N16" s="143" t="s">
        <v>465</v>
      </c>
      <c r="O16" s="143" t="s">
        <v>339</v>
      </c>
      <c r="P16" s="143" t="s">
        <v>1425</v>
      </c>
      <c r="Q16" s="143" t="s">
        <v>415</v>
      </c>
      <c r="R16" s="143" t="s">
        <v>407</v>
      </c>
      <c r="S16" s="143" t="s">
        <v>1210</v>
      </c>
      <c r="T16" s="144">
        <v>0.61</v>
      </c>
      <c r="U16" s="143" t="s">
        <v>1426</v>
      </c>
      <c r="V16" s="146">
        <v>3.5000000000000003E-2</v>
      </c>
      <c r="W16" s="146">
        <v>5.5946000000000003E-2</v>
      </c>
      <c r="X16" s="143" t="s">
        <v>412</v>
      </c>
      <c r="Y16" s="145" t="s">
        <v>3876</v>
      </c>
      <c r="Z16" s="144">
        <v>7112.23</v>
      </c>
      <c r="AA16" s="145" t="s">
        <v>3876</v>
      </c>
      <c r="AB16" s="143" t="s">
        <v>1427</v>
      </c>
      <c r="AC16" s="145" t="s">
        <v>3876</v>
      </c>
      <c r="AD16" s="144">
        <v>7.1201000000000008</v>
      </c>
      <c r="AE16" s="145" t="s">
        <v>3876</v>
      </c>
      <c r="AF16" s="145" t="s">
        <v>3876</v>
      </c>
      <c r="AG16" s="145" t="s">
        <v>3876</v>
      </c>
      <c r="AH16" s="146">
        <v>4.9462619097294665E-5</v>
      </c>
      <c r="AI16" s="146">
        <v>3.6454516021466382E-3</v>
      </c>
      <c r="AJ16" s="147">
        <v>2.4765650598969618E-4</v>
      </c>
      <c r="AK16" s="181"/>
    </row>
    <row r="17" spans="1:37" ht="15" x14ac:dyDescent="0.2">
      <c r="A17" s="142" t="s">
        <v>1205</v>
      </c>
      <c r="B17" s="143" t="s">
        <v>1206</v>
      </c>
      <c r="C17" s="143" t="s">
        <v>1428</v>
      </c>
      <c r="D17" s="143" t="s">
        <v>1429</v>
      </c>
      <c r="E17" s="143" t="s">
        <v>309</v>
      </c>
      <c r="F17" s="143" t="s">
        <v>1430</v>
      </c>
      <c r="G17" s="143" t="s">
        <v>1431</v>
      </c>
      <c r="H17" s="143" t="s">
        <v>321</v>
      </c>
      <c r="I17" s="143" t="s">
        <v>951</v>
      </c>
      <c r="J17" s="143" t="s">
        <v>204</v>
      </c>
      <c r="K17" s="143" t="s">
        <v>204</v>
      </c>
      <c r="L17" s="143" t="s">
        <v>325</v>
      </c>
      <c r="M17" s="143" t="s">
        <v>340</v>
      </c>
      <c r="N17" s="143" t="s">
        <v>445</v>
      </c>
      <c r="O17" s="143" t="s">
        <v>339</v>
      </c>
      <c r="P17" s="143" t="s">
        <v>1396</v>
      </c>
      <c r="Q17" s="143" t="s">
        <v>415</v>
      </c>
      <c r="R17" s="143" t="s">
        <v>407</v>
      </c>
      <c r="S17" s="143" t="s">
        <v>1210</v>
      </c>
      <c r="T17" s="144">
        <v>1.2</v>
      </c>
      <c r="U17" s="143" t="s">
        <v>1432</v>
      </c>
      <c r="V17" s="146">
        <v>2.9399999999999999E-2</v>
      </c>
      <c r="W17" s="146">
        <v>4.9301999999999999E-2</v>
      </c>
      <c r="X17" s="143" t="s">
        <v>412</v>
      </c>
      <c r="Y17" s="145" t="s">
        <v>3876</v>
      </c>
      <c r="Z17" s="144">
        <v>6628.44</v>
      </c>
      <c r="AA17" s="145" t="s">
        <v>3876</v>
      </c>
      <c r="AB17" s="143" t="s">
        <v>1433</v>
      </c>
      <c r="AC17" s="145" t="s">
        <v>3876</v>
      </c>
      <c r="AD17" s="144">
        <v>6.6198000000000006</v>
      </c>
      <c r="AE17" s="145" t="s">
        <v>3876</v>
      </c>
      <c r="AF17" s="145" t="s">
        <v>3876</v>
      </c>
      <c r="AG17" s="145" t="s">
        <v>3876</v>
      </c>
      <c r="AH17" s="146">
        <v>4.1318707606449278E-5</v>
      </c>
      <c r="AI17" s="146">
        <v>3.3893347321966812E-3</v>
      </c>
      <c r="AJ17" s="147">
        <v>2.3025701312591126E-4</v>
      </c>
      <c r="AK17" s="181"/>
    </row>
    <row r="18" spans="1:37" ht="15" x14ac:dyDescent="0.2">
      <c r="A18" s="142" t="s">
        <v>1205</v>
      </c>
      <c r="B18" s="143" t="s">
        <v>1206</v>
      </c>
      <c r="C18" s="143" t="s">
        <v>1362</v>
      </c>
      <c r="D18" s="143" t="s">
        <v>1363</v>
      </c>
      <c r="E18" s="143" t="s">
        <v>309</v>
      </c>
      <c r="F18" s="143" t="s">
        <v>1434</v>
      </c>
      <c r="G18" s="143" t="s">
        <v>1435</v>
      </c>
      <c r="H18" s="143" t="s">
        <v>321</v>
      </c>
      <c r="I18" s="143" t="s">
        <v>951</v>
      </c>
      <c r="J18" s="143" t="s">
        <v>204</v>
      </c>
      <c r="K18" s="143" t="s">
        <v>204</v>
      </c>
      <c r="L18" s="143" t="s">
        <v>325</v>
      </c>
      <c r="M18" s="143" t="s">
        <v>340</v>
      </c>
      <c r="N18" s="143" t="s">
        <v>445</v>
      </c>
      <c r="O18" s="143" t="s">
        <v>339</v>
      </c>
      <c r="P18" s="143" t="s">
        <v>1366</v>
      </c>
      <c r="Q18" s="143" t="s">
        <v>415</v>
      </c>
      <c r="R18" s="143" t="s">
        <v>407</v>
      </c>
      <c r="S18" s="143" t="s">
        <v>1210</v>
      </c>
      <c r="T18" s="144">
        <v>4.97</v>
      </c>
      <c r="U18" s="143" t="s">
        <v>1436</v>
      </c>
      <c r="V18" s="146">
        <v>3.95E-2</v>
      </c>
      <c r="W18" s="146">
        <v>5.5541E-2</v>
      </c>
      <c r="X18" s="143" t="s">
        <v>412</v>
      </c>
      <c r="Y18" s="145" t="s">
        <v>3876</v>
      </c>
      <c r="Z18" s="144">
        <v>1670</v>
      </c>
      <c r="AA18" s="145" t="s">
        <v>3876</v>
      </c>
      <c r="AB18" s="143" t="s">
        <v>1437</v>
      </c>
      <c r="AC18" s="145" t="s">
        <v>3876</v>
      </c>
      <c r="AD18" s="144">
        <v>1.5500999999999998</v>
      </c>
      <c r="AE18" s="145" t="s">
        <v>3876</v>
      </c>
      <c r="AF18" s="145" t="s">
        <v>3876</v>
      </c>
      <c r="AG18" s="145" t="s">
        <v>3876</v>
      </c>
      <c r="AH18" s="146">
        <v>6.9580441976050723E-6</v>
      </c>
      <c r="AI18" s="146">
        <v>7.9364469565842326E-4</v>
      </c>
      <c r="AJ18" s="147">
        <v>5.3916851401423338E-5</v>
      </c>
      <c r="AK18" s="181"/>
    </row>
    <row r="19" spans="1:37" ht="15" x14ac:dyDescent="0.2">
      <c r="A19" s="142" t="s">
        <v>1205</v>
      </c>
      <c r="B19" s="143" t="s">
        <v>1206</v>
      </c>
      <c r="C19" s="143" t="s">
        <v>1438</v>
      </c>
      <c r="D19" s="143" t="s">
        <v>1439</v>
      </c>
      <c r="E19" s="143" t="s">
        <v>309</v>
      </c>
      <c r="F19" s="143" t="s">
        <v>1440</v>
      </c>
      <c r="G19" s="143" t="s">
        <v>1441</v>
      </c>
      <c r="H19" s="143" t="s">
        <v>321</v>
      </c>
      <c r="I19" s="143" t="s">
        <v>951</v>
      </c>
      <c r="J19" s="143" t="s">
        <v>204</v>
      </c>
      <c r="K19" s="143" t="s">
        <v>204</v>
      </c>
      <c r="L19" s="143" t="s">
        <v>325</v>
      </c>
      <c r="M19" s="143" t="s">
        <v>340</v>
      </c>
      <c r="N19" s="143" t="s">
        <v>464</v>
      </c>
      <c r="O19" s="143" t="s">
        <v>339</v>
      </c>
      <c r="P19" s="143" t="s">
        <v>1410</v>
      </c>
      <c r="Q19" s="143" t="s">
        <v>413</v>
      </c>
      <c r="R19" s="143" t="s">
        <v>407</v>
      </c>
      <c r="S19" s="143" t="s">
        <v>1210</v>
      </c>
      <c r="T19" s="144">
        <v>5.38</v>
      </c>
      <c r="U19" s="143" t="s">
        <v>1442</v>
      </c>
      <c r="V19" s="146">
        <v>2.5499999999999998E-2</v>
      </c>
      <c r="W19" s="146">
        <v>6.1415999999999998E-2</v>
      </c>
      <c r="X19" s="143" t="s">
        <v>412</v>
      </c>
      <c r="Y19" s="145" t="s">
        <v>3876</v>
      </c>
      <c r="Z19" s="144">
        <v>839.15</v>
      </c>
      <c r="AA19" s="145" t="s">
        <v>3876</v>
      </c>
      <c r="AB19" s="143" t="s">
        <v>1443</v>
      </c>
      <c r="AC19" s="145" t="s">
        <v>3876</v>
      </c>
      <c r="AD19" s="144">
        <v>0.69499999999999995</v>
      </c>
      <c r="AE19" s="145" t="s">
        <v>3876</v>
      </c>
      <c r="AF19" s="145" t="s">
        <v>3876</v>
      </c>
      <c r="AG19" s="145" t="s">
        <v>3876</v>
      </c>
      <c r="AH19" s="146">
        <v>4.8396254168568228E-7</v>
      </c>
      <c r="AI19" s="146">
        <v>3.5583028447101566E-4</v>
      </c>
      <c r="AJ19" s="147">
        <v>2.4173598937788509E-5</v>
      </c>
      <c r="AK19" s="181"/>
    </row>
    <row r="20" spans="1:37" ht="15" x14ac:dyDescent="0.2">
      <c r="A20" s="142" t="s">
        <v>1205</v>
      </c>
      <c r="B20" s="143" t="s">
        <v>1206</v>
      </c>
      <c r="C20" s="143" t="s">
        <v>1444</v>
      </c>
      <c r="D20" s="143" t="s">
        <v>1445</v>
      </c>
      <c r="E20" s="143" t="s">
        <v>309</v>
      </c>
      <c r="F20" s="143" t="s">
        <v>1446</v>
      </c>
      <c r="G20" s="143" t="s">
        <v>1447</v>
      </c>
      <c r="H20" s="143" t="s">
        <v>321</v>
      </c>
      <c r="I20" s="143" t="s">
        <v>951</v>
      </c>
      <c r="J20" s="143" t="s">
        <v>204</v>
      </c>
      <c r="K20" s="143" t="s">
        <v>204</v>
      </c>
      <c r="L20" s="143" t="s">
        <v>325</v>
      </c>
      <c r="M20" s="143" t="s">
        <v>340</v>
      </c>
      <c r="N20" s="143" t="s">
        <v>461</v>
      </c>
      <c r="O20" s="143" t="s">
        <v>339</v>
      </c>
      <c r="P20" s="143" t="s">
        <v>1425</v>
      </c>
      <c r="Q20" s="143" t="s">
        <v>415</v>
      </c>
      <c r="R20" s="143" t="s">
        <v>407</v>
      </c>
      <c r="S20" s="143" t="s">
        <v>1210</v>
      </c>
      <c r="T20" s="144">
        <v>3.33</v>
      </c>
      <c r="U20" s="143" t="s">
        <v>1448</v>
      </c>
      <c r="V20" s="146">
        <v>2.6599999999999999E-2</v>
      </c>
      <c r="W20" s="146">
        <v>6.3514000000000001E-2</v>
      </c>
      <c r="X20" s="143" t="s">
        <v>412</v>
      </c>
      <c r="Y20" s="145" t="s">
        <v>3876</v>
      </c>
      <c r="Z20" s="144">
        <v>0.48</v>
      </c>
      <c r="AA20" s="145" t="s">
        <v>3876</v>
      </c>
      <c r="AB20" s="143" t="s">
        <v>1449</v>
      </c>
      <c r="AC20" s="145" t="s">
        <v>3876</v>
      </c>
      <c r="AD20" s="144">
        <v>4.0000000000000002E-4</v>
      </c>
      <c r="AE20" s="145" t="s">
        <v>3876</v>
      </c>
      <c r="AF20" s="145" t="s">
        <v>3876</v>
      </c>
      <c r="AG20" s="145" t="s">
        <v>3876</v>
      </c>
      <c r="AH20" s="146">
        <v>6.5986377994830775E-10</v>
      </c>
      <c r="AI20" s="146">
        <v>2.1582549860141973E-7</v>
      </c>
      <c r="AJ20" s="147">
        <v>1.4662268141383934E-8</v>
      </c>
      <c r="AK20" s="181"/>
    </row>
    <row r="21" spans="1:37" ht="15" x14ac:dyDescent="0.2">
      <c r="A21" s="142" t="s">
        <v>1205</v>
      </c>
      <c r="B21" s="143" t="s">
        <v>1206</v>
      </c>
      <c r="C21" s="143" t="s">
        <v>1450</v>
      </c>
      <c r="D21" s="143" t="s">
        <v>1451</v>
      </c>
      <c r="E21" s="143" t="s">
        <v>309</v>
      </c>
      <c r="F21" s="143" t="s">
        <v>1452</v>
      </c>
      <c r="G21" s="143" t="s">
        <v>1453</v>
      </c>
      <c r="H21" s="143" t="s">
        <v>321</v>
      </c>
      <c r="I21" s="143" t="s">
        <v>951</v>
      </c>
      <c r="J21" s="143" t="s">
        <v>204</v>
      </c>
      <c r="K21" s="143" t="s">
        <v>204</v>
      </c>
      <c r="L21" s="143" t="s">
        <v>325</v>
      </c>
      <c r="M21" s="143" t="s">
        <v>340</v>
      </c>
      <c r="N21" s="143" t="s">
        <v>465</v>
      </c>
      <c r="O21" s="143" t="s">
        <v>339</v>
      </c>
      <c r="P21" s="143" t="s">
        <v>1454</v>
      </c>
      <c r="Q21" s="143" t="s">
        <v>415</v>
      </c>
      <c r="R21" s="143" t="s">
        <v>407</v>
      </c>
      <c r="S21" s="143" t="s">
        <v>1210</v>
      </c>
      <c r="T21" s="144">
        <v>0.5</v>
      </c>
      <c r="U21" s="143" t="s">
        <v>1455</v>
      </c>
      <c r="V21" s="146">
        <v>3.7999999999999999E-2</v>
      </c>
      <c r="W21" s="146">
        <v>7.2817000000000007E-2</v>
      </c>
      <c r="X21" s="143" t="s">
        <v>412</v>
      </c>
      <c r="Y21" s="145" t="s">
        <v>3876</v>
      </c>
      <c r="Z21" s="144">
        <v>0.39</v>
      </c>
      <c r="AA21" s="145" t="s">
        <v>3876</v>
      </c>
      <c r="AB21" s="143" t="s">
        <v>1326</v>
      </c>
      <c r="AC21" s="145" t="s">
        <v>3876</v>
      </c>
      <c r="AD21" s="144">
        <v>4.0000000000000002E-4</v>
      </c>
      <c r="AE21" s="145" t="s">
        <v>3876</v>
      </c>
      <c r="AF21" s="145" t="s">
        <v>3876</v>
      </c>
      <c r="AG21" s="145" t="s">
        <v>3876</v>
      </c>
      <c r="AH21" s="146">
        <v>1.1671351407464426E-9</v>
      </c>
      <c r="AI21" s="146">
        <v>1.9674385312540746E-7</v>
      </c>
      <c r="AJ21" s="147">
        <v>1.3365942154134357E-8</v>
      </c>
      <c r="AK21" s="181"/>
    </row>
    <row r="22" spans="1:37" ht="15" x14ac:dyDescent="0.2">
      <c r="A22" s="142" t="s">
        <v>1205</v>
      </c>
      <c r="B22" s="143" t="s">
        <v>1206</v>
      </c>
      <c r="C22" s="143" t="s">
        <v>1349</v>
      </c>
      <c r="D22" s="143" t="s">
        <v>1350</v>
      </c>
      <c r="E22" s="143" t="s">
        <v>309</v>
      </c>
      <c r="F22" s="143" t="s">
        <v>1456</v>
      </c>
      <c r="G22" s="143" t="s">
        <v>1457</v>
      </c>
      <c r="H22" s="143" t="s">
        <v>321</v>
      </c>
      <c r="I22" s="143" t="s">
        <v>754</v>
      </c>
      <c r="J22" s="143" t="s">
        <v>204</v>
      </c>
      <c r="K22" s="143" t="s">
        <v>204</v>
      </c>
      <c r="L22" s="143" t="s">
        <v>325</v>
      </c>
      <c r="M22" s="143" t="s">
        <v>340</v>
      </c>
      <c r="N22" s="143" t="s">
        <v>448</v>
      </c>
      <c r="O22" s="143" t="s">
        <v>339</v>
      </c>
      <c r="P22" s="143" t="s">
        <v>1224</v>
      </c>
      <c r="Q22" s="143" t="s">
        <v>413</v>
      </c>
      <c r="R22" s="143" t="s">
        <v>407</v>
      </c>
      <c r="S22" s="143" t="s">
        <v>1210</v>
      </c>
      <c r="T22" s="144">
        <v>1.97</v>
      </c>
      <c r="U22" s="143" t="s">
        <v>1458</v>
      </c>
      <c r="V22" s="146">
        <v>3.8E-3</v>
      </c>
      <c r="W22" s="146">
        <v>2.2020999999999999E-2</v>
      </c>
      <c r="X22" s="143" t="s">
        <v>412</v>
      </c>
      <c r="Y22" s="145" t="s">
        <v>3876</v>
      </c>
      <c r="Z22" s="144">
        <v>97447</v>
      </c>
      <c r="AA22" s="145" t="s">
        <v>3876</v>
      </c>
      <c r="AB22" s="143" t="s">
        <v>1459</v>
      </c>
      <c r="AC22" s="145" t="s">
        <v>3876</v>
      </c>
      <c r="AD22" s="144">
        <v>105.2135</v>
      </c>
      <c r="AE22" s="145" t="s">
        <v>3876</v>
      </c>
      <c r="AF22" s="145" t="s">
        <v>3876</v>
      </c>
      <c r="AG22" s="145" t="s">
        <v>3876</v>
      </c>
      <c r="AH22" s="146">
        <v>3.2482333333333332E-5</v>
      </c>
      <c r="AI22" s="146">
        <v>5.3869092288632264E-2</v>
      </c>
      <c r="AJ22" s="147">
        <v>3.6596374422261523E-3</v>
      </c>
      <c r="AK22" s="181"/>
    </row>
    <row r="23" spans="1:37" ht="15" x14ac:dyDescent="0.2">
      <c r="A23" s="142" t="s">
        <v>1205</v>
      </c>
      <c r="B23" s="143" t="s">
        <v>1206</v>
      </c>
      <c r="C23" s="143" t="s">
        <v>1349</v>
      </c>
      <c r="D23" s="143" t="s">
        <v>1350</v>
      </c>
      <c r="E23" s="143" t="s">
        <v>309</v>
      </c>
      <c r="F23" s="143" t="s">
        <v>1460</v>
      </c>
      <c r="G23" s="143" t="s">
        <v>1461</v>
      </c>
      <c r="H23" s="143" t="s">
        <v>321</v>
      </c>
      <c r="I23" s="143" t="s">
        <v>754</v>
      </c>
      <c r="J23" s="143" t="s">
        <v>204</v>
      </c>
      <c r="K23" s="143" t="s">
        <v>204</v>
      </c>
      <c r="L23" s="143" t="s">
        <v>325</v>
      </c>
      <c r="M23" s="143" t="s">
        <v>340</v>
      </c>
      <c r="N23" s="143" t="s">
        <v>448</v>
      </c>
      <c r="O23" s="143" t="s">
        <v>339</v>
      </c>
      <c r="P23" s="143" t="s">
        <v>1224</v>
      </c>
      <c r="Q23" s="143" t="s">
        <v>413</v>
      </c>
      <c r="R23" s="143" t="s">
        <v>407</v>
      </c>
      <c r="S23" s="143" t="s">
        <v>1210</v>
      </c>
      <c r="T23" s="144">
        <v>0.24</v>
      </c>
      <c r="U23" s="143" t="s">
        <v>1462</v>
      </c>
      <c r="V23" s="146">
        <v>8.6E-3</v>
      </c>
      <c r="W23" s="146">
        <v>2.5704999999999999E-2</v>
      </c>
      <c r="X23" s="143" t="s">
        <v>412</v>
      </c>
      <c r="Y23" s="145" t="s">
        <v>3876</v>
      </c>
      <c r="Z23" s="144">
        <v>85025</v>
      </c>
      <c r="AA23" s="145" t="s">
        <v>3876</v>
      </c>
      <c r="AB23" s="143" t="s">
        <v>1463</v>
      </c>
      <c r="AC23" s="145" t="s">
        <v>3876</v>
      </c>
      <c r="AD23" s="144">
        <v>97.727699999999999</v>
      </c>
      <c r="AE23" s="145" t="s">
        <v>3876</v>
      </c>
      <c r="AF23" s="145" t="s">
        <v>3876</v>
      </c>
      <c r="AG23" s="145" t="s">
        <v>3876</v>
      </c>
      <c r="AH23" s="146">
        <v>3.3991630922649398E-5</v>
      </c>
      <c r="AI23" s="146">
        <v>5.0036383923466606E-2</v>
      </c>
      <c r="AJ23" s="147">
        <v>3.3992595067090631E-3</v>
      </c>
      <c r="AK23" s="181"/>
    </row>
    <row r="24" spans="1:37" ht="15" x14ac:dyDescent="0.2">
      <c r="A24" s="142" t="s">
        <v>1205</v>
      </c>
      <c r="B24" s="143" t="s">
        <v>1206</v>
      </c>
      <c r="C24" s="143" t="s">
        <v>1349</v>
      </c>
      <c r="D24" s="143" t="s">
        <v>1350</v>
      </c>
      <c r="E24" s="143" t="s">
        <v>309</v>
      </c>
      <c r="F24" s="143" t="s">
        <v>1464</v>
      </c>
      <c r="G24" s="143" t="s">
        <v>1465</v>
      </c>
      <c r="H24" s="143" t="s">
        <v>321</v>
      </c>
      <c r="I24" s="143" t="s">
        <v>754</v>
      </c>
      <c r="J24" s="143" t="s">
        <v>204</v>
      </c>
      <c r="K24" s="143" t="s">
        <v>204</v>
      </c>
      <c r="L24" s="143" t="s">
        <v>325</v>
      </c>
      <c r="M24" s="143" t="s">
        <v>340</v>
      </c>
      <c r="N24" s="143" t="s">
        <v>448</v>
      </c>
      <c r="O24" s="143" t="s">
        <v>339</v>
      </c>
      <c r="P24" s="143" t="s">
        <v>1224</v>
      </c>
      <c r="Q24" s="143" t="s">
        <v>413</v>
      </c>
      <c r="R24" s="143" t="s">
        <v>407</v>
      </c>
      <c r="S24" s="143" t="s">
        <v>1210</v>
      </c>
      <c r="T24" s="144">
        <v>3.17</v>
      </c>
      <c r="U24" s="143" t="s">
        <v>1466</v>
      </c>
      <c r="V24" s="146">
        <v>1.2200000000000001E-2</v>
      </c>
      <c r="W24" s="146">
        <v>2.41E-2</v>
      </c>
      <c r="X24" s="143" t="s">
        <v>412</v>
      </c>
      <c r="Y24" s="145" t="s">
        <v>3876</v>
      </c>
      <c r="Z24" s="144">
        <v>67596</v>
      </c>
      <c r="AA24" s="145" t="s">
        <v>3876</v>
      </c>
      <c r="AB24" s="143" t="s">
        <v>1467</v>
      </c>
      <c r="AC24" s="145" t="s">
        <v>3876</v>
      </c>
      <c r="AD24" s="144">
        <v>75.383099999999999</v>
      </c>
      <c r="AE24" s="145" t="s">
        <v>3876</v>
      </c>
      <c r="AF24" s="145" t="s">
        <v>3876</v>
      </c>
      <c r="AG24" s="145" t="s">
        <v>3876</v>
      </c>
      <c r="AH24" s="146">
        <v>2.2415350515915177E-5</v>
      </c>
      <c r="AI24" s="146">
        <v>3.8595959391227182E-2</v>
      </c>
      <c r="AJ24" s="147">
        <v>2.6220456314720903E-3</v>
      </c>
      <c r="AK24" s="181"/>
    </row>
    <row r="25" spans="1:37" ht="15" x14ac:dyDescent="0.2">
      <c r="A25" s="142" t="s">
        <v>1205</v>
      </c>
      <c r="B25" s="143" t="s">
        <v>1206</v>
      </c>
      <c r="C25" s="143" t="s">
        <v>1468</v>
      </c>
      <c r="D25" s="143" t="s">
        <v>1469</v>
      </c>
      <c r="E25" s="143" t="s">
        <v>309</v>
      </c>
      <c r="F25" s="143" t="s">
        <v>1470</v>
      </c>
      <c r="G25" s="143" t="s">
        <v>1471</v>
      </c>
      <c r="H25" s="143" t="s">
        <v>321</v>
      </c>
      <c r="I25" s="143" t="s">
        <v>754</v>
      </c>
      <c r="J25" s="143" t="s">
        <v>204</v>
      </c>
      <c r="K25" s="143" t="s">
        <v>204</v>
      </c>
      <c r="L25" s="143" t="s">
        <v>325</v>
      </c>
      <c r="M25" s="143" t="s">
        <v>340</v>
      </c>
      <c r="N25" s="143" t="s">
        <v>448</v>
      </c>
      <c r="O25" s="143" t="s">
        <v>339</v>
      </c>
      <c r="P25" s="143" t="s">
        <v>1224</v>
      </c>
      <c r="Q25" s="143" t="s">
        <v>413</v>
      </c>
      <c r="R25" s="143" t="s">
        <v>407</v>
      </c>
      <c r="S25" s="143" t="s">
        <v>1210</v>
      </c>
      <c r="T25" s="144">
        <v>5.39</v>
      </c>
      <c r="U25" s="143" t="s">
        <v>1472</v>
      </c>
      <c r="V25" s="146">
        <v>1E-3</v>
      </c>
      <c r="W25" s="146">
        <v>2.5815000000000001E-2</v>
      </c>
      <c r="X25" s="143" t="s">
        <v>412</v>
      </c>
      <c r="Y25" s="145" t="s">
        <v>3876</v>
      </c>
      <c r="Z25" s="144">
        <v>74000</v>
      </c>
      <c r="AA25" s="145" t="s">
        <v>3876</v>
      </c>
      <c r="AB25" s="143" t="s">
        <v>1473</v>
      </c>
      <c r="AC25" s="145" t="s">
        <v>3876</v>
      </c>
      <c r="AD25" s="144">
        <v>71.876199999999997</v>
      </c>
      <c r="AE25" s="145" t="s">
        <v>3876</v>
      </c>
      <c r="AF25" s="145" t="s">
        <v>3876</v>
      </c>
      <c r="AG25" s="145" t="s">
        <v>3876</v>
      </c>
      <c r="AH25" s="146">
        <v>2.9756746638593455E-5</v>
      </c>
      <c r="AI25" s="146">
        <v>3.6800455245994089E-2</v>
      </c>
      <c r="AJ25" s="147">
        <v>2.5000667022122428E-3</v>
      </c>
      <c r="AK25" s="181"/>
    </row>
    <row r="26" spans="1:37" ht="15" x14ac:dyDescent="0.2">
      <c r="A26" s="142" t="s">
        <v>1205</v>
      </c>
      <c r="B26" s="143" t="s">
        <v>1206</v>
      </c>
      <c r="C26" s="143" t="s">
        <v>1474</v>
      </c>
      <c r="D26" s="143" t="s">
        <v>1475</v>
      </c>
      <c r="E26" s="143" t="s">
        <v>309</v>
      </c>
      <c r="F26" s="143" t="s">
        <v>1476</v>
      </c>
      <c r="G26" s="143" t="s">
        <v>1477</v>
      </c>
      <c r="H26" s="143" t="s">
        <v>321</v>
      </c>
      <c r="I26" s="143" t="s">
        <v>754</v>
      </c>
      <c r="J26" s="143" t="s">
        <v>204</v>
      </c>
      <c r="K26" s="143" t="s">
        <v>204</v>
      </c>
      <c r="L26" s="143" t="s">
        <v>325</v>
      </c>
      <c r="M26" s="143" t="s">
        <v>340</v>
      </c>
      <c r="N26" s="143" t="s">
        <v>448</v>
      </c>
      <c r="O26" s="143" t="s">
        <v>339</v>
      </c>
      <c r="P26" s="143" t="s">
        <v>1224</v>
      </c>
      <c r="Q26" s="143" t="s">
        <v>413</v>
      </c>
      <c r="R26" s="143" t="s">
        <v>407</v>
      </c>
      <c r="S26" s="143" t="s">
        <v>1210</v>
      </c>
      <c r="T26" s="144">
        <v>3.26</v>
      </c>
      <c r="U26" s="143" t="s">
        <v>1478</v>
      </c>
      <c r="V26" s="146">
        <v>1.7500000000000002E-2</v>
      </c>
      <c r="W26" s="146">
        <v>2.4340000000000001E-2</v>
      </c>
      <c r="X26" s="143" t="s">
        <v>412</v>
      </c>
      <c r="Y26" s="145" t="s">
        <v>3876</v>
      </c>
      <c r="Z26" s="144">
        <v>60687.040000000001</v>
      </c>
      <c r="AA26" s="145" t="s">
        <v>3876</v>
      </c>
      <c r="AB26" s="143" t="s">
        <v>1479</v>
      </c>
      <c r="AC26" s="145" t="s">
        <v>3876</v>
      </c>
      <c r="AD26" s="144">
        <v>67.6721</v>
      </c>
      <c r="AE26" s="145" t="s">
        <v>3876</v>
      </c>
      <c r="AF26" s="145" t="s">
        <v>3876</v>
      </c>
      <c r="AG26" s="145" t="s">
        <v>3876</v>
      </c>
      <c r="AH26" s="146">
        <v>2.333766983693745E-5</v>
      </c>
      <c r="AI26" s="146">
        <v>3.4647974726654575E-2</v>
      </c>
      <c r="AJ26" s="147">
        <v>2.3538363135502159E-3</v>
      </c>
      <c r="AK26" s="181"/>
    </row>
    <row r="27" spans="1:37" ht="15" x14ac:dyDescent="0.2">
      <c r="A27" s="142" t="s">
        <v>1205</v>
      </c>
      <c r="B27" s="143" t="s">
        <v>1206</v>
      </c>
      <c r="C27" s="143" t="s">
        <v>1480</v>
      </c>
      <c r="D27" s="143" t="s">
        <v>1481</v>
      </c>
      <c r="E27" s="143" t="s">
        <v>309</v>
      </c>
      <c r="F27" s="143" t="s">
        <v>1482</v>
      </c>
      <c r="G27" s="143" t="s">
        <v>1483</v>
      </c>
      <c r="H27" s="143" t="s">
        <v>321</v>
      </c>
      <c r="I27" s="143" t="s">
        <v>754</v>
      </c>
      <c r="J27" s="143" t="s">
        <v>204</v>
      </c>
      <c r="K27" s="143" t="s">
        <v>204</v>
      </c>
      <c r="L27" s="143" t="s">
        <v>325</v>
      </c>
      <c r="M27" s="143" t="s">
        <v>340</v>
      </c>
      <c r="N27" s="143" t="s">
        <v>456</v>
      </c>
      <c r="O27" s="143" t="s">
        <v>339</v>
      </c>
      <c r="P27" s="143" t="s">
        <v>1347</v>
      </c>
      <c r="Q27" s="143" t="s">
        <v>413</v>
      </c>
      <c r="R27" s="143" t="s">
        <v>407</v>
      </c>
      <c r="S27" s="143" t="s">
        <v>1210</v>
      </c>
      <c r="T27" s="144">
        <v>5.43</v>
      </c>
      <c r="U27" s="143" t="s">
        <v>1484</v>
      </c>
      <c r="V27" s="146">
        <v>5.1499999999999997E-2</v>
      </c>
      <c r="W27" s="146">
        <v>3.8883000000000001E-2</v>
      </c>
      <c r="X27" s="143" t="s">
        <v>412</v>
      </c>
      <c r="Y27" s="145" t="s">
        <v>3876</v>
      </c>
      <c r="Z27" s="144">
        <v>45530.6</v>
      </c>
      <c r="AA27" s="145" t="s">
        <v>3876</v>
      </c>
      <c r="AB27" s="143" t="s">
        <v>1485</v>
      </c>
      <c r="AC27" s="145" t="s">
        <v>3876</v>
      </c>
      <c r="AD27" s="144">
        <v>66.989199999999997</v>
      </c>
      <c r="AE27" s="145" t="s">
        <v>3876</v>
      </c>
      <c r="AF27" s="145" t="s">
        <v>3876</v>
      </c>
      <c r="AG27" s="145" t="s">
        <v>3876</v>
      </c>
      <c r="AH27" s="146">
        <v>1.5678652587810154E-5</v>
      </c>
      <c r="AI27" s="146">
        <v>3.4298307618601157E-2</v>
      </c>
      <c r="AJ27" s="147">
        <v>2.3300814146540029E-3</v>
      </c>
      <c r="AK27" s="181"/>
    </row>
    <row r="28" spans="1:37" ht="15" x14ac:dyDescent="0.2">
      <c r="A28" s="142" t="s">
        <v>1205</v>
      </c>
      <c r="B28" s="143" t="s">
        <v>1206</v>
      </c>
      <c r="C28" s="143" t="s">
        <v>1349</v>
      </c>
      <c r="D28" s="143" t="s">
        <v>1350</v>
      </c>
      <c r="E28" s="143" t="s">
        <v>309</v>
      </c>
      <c r="F28" s="143" t="s">
        <v>1486</v>
      </c>
      <c r="G28" s="143" t="s">
        <v>1487</v>
      </c>
      <c r="H28" s="143" t="s">
        <v>321</v>
      </c>
      <c r="I28" s="143" t="s">
        <v>754</v>
      </c>
      <c r="J28" s="143" t="s">
        <v>204</v>
      </c>
      <c r="K28" s="143" t="s">
        <v>204</v>
      </c>
      <c r="L28" s="143" t="s">
        <v>325</v>
      </c>
      <c r="M28" s="143" t="s">
        <v>340</v>
      </c>
      <c r="N28" s="143" t="s">
        <v>448</v>
      </c>
      <c r="O28" s="143" t="s">
        <v>339</v>
      </c>
      <c r="P28" s="143" t="s">
        <v>1209</v>
      </c>
      <c r="Q28" s="143" t="s">
        <v>415</v>
      </c>
      <c r="R28" s="143" t="s">
        <v>407</v>
      </c>
      <c r="S28" s="143" t="s">
        <v>1210</v>
      </c>
      <c r="T28" s="144">
        <v>2.41</v>
      </c>
      <c r="U28" s="143" t="s">
        <v>1488</v>
      </c>
      <c r="V28" s="146">
        <v>5.0000000000000001E-3</v>
      </c>
      <c r="W28" s="146">
        <v>2.1951999999999999E-2</v>
      </c>
      <c r="X28" s="143" t="s">
        <v>412</v>
      </c>
      <c r="Y28" s="145" t="s">
        <v>3876</v>
      </c>
      <c r="Z28" s="144">
        <v>61199</v>
      </c>
      <c r="AA28" s="145" t="s">
        <v>3876</v>
      </c>
      <c r="AB28" s="143" t="s">
        <v>1489</v>
      </c>
      <c r="AC28" s="145" t="s">
        <v>3876</v>
      </c>
      <c r="AD28" s="144">
        <v>66.266300000000001</v>
      </c>
      <c r="AE28" s="145" t="s">
        <v>3876</v>
      </c>
      <c r="AF28" s="145" t="s">
        <v>3876</v>
      </c>
      <c r="AG28" s="145" t="s">
        <v>3876</v>
      </c>
      <c r="AH28" s="146">
        <v>8.0183148536085112E-5</v>
      </c>
      <c r="AI28" s="146">
        <v>3.3928187194331903E-2</v>
      </c>
      <c r="AJ28" s="147">
        <v>2.3049370042835643E-3</v>
      </c>
      <c r="AK28" s="181"/>
    </row>
    <row r="29" spans="1:37" ht="15" x14ac:dyDescent="0.2">
      <c r="A29" s="142" t="s">
        <v>1205</v>
      </c>
      <c r="B29" s="143" t="s">
        <v>1206</v>
      </c>
      <c r="C29" s="143" t="s">
        <v>1343</v>
      </c>
      <c r="D29" s="143" t="s">
        <v>1344</v>
      </c>
      <c r="E29" s="143" t="s">
        <v>309</v>
      </c>
      <c r="F29" s="143" t="s">
        <v>1490</v>
      </c>
      <c r="G29" s="143" t="s">
        <v>1491</v>
      </c>
      <c r="H29" s="143" t="s">
        <v>321</v>
      </c>
      <c r="I29" s="143" t="s">
        <v>754</v>
      </c>
      <c r="J29" s="143" t="s">
        <v>204</v>
      </c>
      <c r="K29" s="143" t="s">
        <v>204</v>
      </c>
      <c r="L29" s="143" t="s">
        <v>325</v>
      </c>
      <c r="M29" s="143" t="s">
        <v>340</v>
      </c>
      <c r="N29" s="143" t="s">
        <v>445</v>
      </c>
      <c r="O29" s="143" t="s">
        <v>339</v>
      </c>
      <c r="P29" s="143" t="s">
        <v>1347</v>
      </c>
      <c r="Q29" s="143" t="s">
        <v>413</v>
      </c>
      <c r="R29" s="143" t="s">
        <v>407</v>
      </c>
      <c r="S29" s="143" t="s">
        <v>1210</v>
      </c>
      <c r="T29" s="144">
        <v>6.93</v>
      </c>
      <c r="U29" s="143" t="s">
        <v>1492</v>
      </c>
      <c r="V29" s="146">
        <v>2.5000000000000001E-2</v>
      </c>
      <c r="W29" s="146">
        <v>6.1810999999999998E-2</v>
      </c>
      <c r="X29" s="143" t="s">
        <v>412</v>
      </c>
      <c r="Y29" s="145" t="s">
        <v>3876</v>
      </c>
      <c r="Z29" s="144">
        <v>70000</v>
      </c>
      <c r="AA29" s="145" t="s">
        <v>3876</v>
      </c>
      <c r="AB29" s="143" t="s">
        <v>1493</v>
      </c>
      <c r="AC29" s="145" t="s">
        <v>3876</v>
      </c>
      <c r="AD29" s="144">
        <v>55.097000000000001</v>
      </c>
      <c r="AE29" s="145" t="s">
        <v>3876</v>
      </c>
      <c r="AF29" s="145" t="s">
        <v>3876</v>
      </c>
      <c r="AG29" s="145" t="s">
        <v>3876</v>
      </c>
      <c r="AH29" s="146">
        <v>5.2487640945137209E-5</v>
      </c>
      <c r="AI29" s="146">
        <v>2.8209541999834945E-2</v>
      </c>
      <c r="AJ29" s="147">
        <v>1.9164365268585142E-3</v>
      </c>
      <c r="AK29" s="181"/>
    </row>
    <row r="30" spans="1:37" ht="15" x14ac:dyDescent="0.2">
      <c r="A30" s="142" t="s">
        <v>1205</v>
      </c>
      <c r="B30" s="143" t="s">
        <v>1206</v>
      </c>
      <c r="C30" s="143" t="s">
        <v>1468</v>
      </c>
      <c r="D30" s="143" t="s">
        <v>1469</v>
      </c>
      <c r="E30" s="143" t="s">
        <v>309</v>
      </c>
      <c r="F30" s="143" t="s">
        <v>1494</v>
      </c>
      <c r="G30" s="143" t="s">
        <v>1495</v>
      </c>
      <c r="H30" s="143" t="s">
        <v>321</v>
      </c>
      <c r="I30" s="143" t="s">
        <v>754</v>
      </c>
      <c r="J30" s="143" t="s">
        <v>204</v>
      </c>
      <c r="K30" s="143" t="s">
        <v>204</v>
      </c>
      <c r="L30" s="143" t="s">
        <v>325</v>
      </c>
      <c r="M30" s="143" t="s">
        <v>340</v>
      </c>
      <c r="N30" s="143" t="s">
        <v>448</v>
      </c>
      <c r="O30" s="143" t="s">
        <v>339</v>
      </c>
      <c r="P30" s="143" t="s">
        <v>1224</v>
      </c>
      <c r="Q30" s="143" t="s">
        <v>413</v>
      </c>
      <c r="R30" s="143" t="s">
        <v>407</v>
      </c>
      <c r="S30" s="143" t="s">
        <v>1210</v>
      </c>
      <c r="T30" s="144">
        <v>5.29</v>
      </c>
      <c r="U30" s="143" t="s">
        <v>1496</v>
      </c>
      <c r="V30" s="146">
        <v>2.0251999999999999E-2</v>
      </c>
      <c r="W30" s="146">
        <v>2.5944999999999999E-2</v>
      </c>
      <c r="X30" s="143" t="s">
        <v>412</v>
      </c>
      <c r="Y30" s="145" t="s">
        <v>3876</v>
      </c>
      <c r="Z30" s="144">
        <v>54000</v>
      </c>
      <c r="AA30" s="145" t="s">
        <v>3876</v>
      </c>
      <c r="AB30" s="143" t="s">
        <v>1497</v>
      </c>
      <c r="AC30" s="145" t="s">
        <v>3876</v>
      </c>
      <c r="AD30" s="144">
        <v>53.530199999999994</v>
      </c>
      <c r="AE30" s="145" t="s">
        <v>3876</v>
      </c>
      <c r="AF30" s="145" t="s">
        <v>3876</v>
      </c>
      <c r="AG30" s="145" t="s">
        <v>3876</v>
      </c>
      <c r="AH30" s="146">
        <v>2.5439035351779462E-5</v>
      </c>
      <c r="AI30" s="146">
        <v>2.7407343869168276E-2</v>
      </c>
      <c r="AJ30" s="147">
        <v>1.8619385913941165E-3</v>
      </c>
      <c r="AK30" s="181"/>
    </row>
    <row r="31" spans="1:37" ht="15" x14ac:dyDescent="0.2">
      <c r="A31" s="142" t="s">
        <v>1205</v>
      </c>
      <c r="B31" s="143" t="s">
        <v>1206</v>
      </c>
      <c r="C31" s="143" t="s">
        <v>1498</v>
      </c>
      <c r="D31" s="143" t="s">
        <v>1499</v>
      </c>
      <c r="E31" s="143" t="s">
        <v>313</v>
      </c>
      <c r="F31" s="143" t="s">
        <v>1500</v>
      </c>
      <c r="G31" s="143" t="s">
        <v>1501</v>
      </c>
      <c r="H31" s="143" t="s">
        <v>321</v>
      </c>
      <c r="I31" s="143" t="s">
        <v>754</v>
      </c>
      <c r="J31" s="143" t="s">
        <v>204</v>
      </c>
      <c r="K31" s="143" t="s">
        <v>204</v>
      </c>
      <c r="L31" s="143" t="s">
        <v>325</v>
      </c>
      <c r="M31" s="143" t="s">
        <v>340</v>
      </c>
      <c r="N31" s="143" t="s">
        <v>440</v>
      </c>
      <c r="O31" s="143" t="s">
        <v>339</v>
      </c>
      <c r="P31" s="143" t="s">
        <v>1502</v>
      </c>
      <c r="Q31" s="143" t="s">
        <v>415</v>
      </c>
      <c r="R31" s="143" t="s">
        <v>407</v>
      </c>
      <c r="S31" s="143" t="s">
        <v>1210</v>
      </c>
      <c r="T31" s="144">
        <v>10.64</v>
      </c>
      <c r="U31" s="143" t="s">
        <v>1503</v>
      </c>
      <c r="V31" s="146">
        <v>3.2000000000000001E-2</v>
      </c>
      <c r="W31" s="146">
        <v>3.5250999999999998E-2</v>
      </c>
      <c r="X31" s="143" t="s">
        <v>412</v>
      </c>
      <c r="Y31" s="145" t="s">
        <v>3876</v>
      </c>
      <c r="Z31" s="144">
        <v>51000</v>
      </c>
      <c r="AA31" s="145" t="s">
        <v>3876</v>
      </c>
      <c r="AB31" s="143" t="s">
        <v>1504</v>
      </c>
      <c r="AC31" s="145" t="s">
        <v>3876</v>
      </c>
      <c r="AD31" s="144">
        <v>51</v>
      </c>
      <c r="AE31" s="145" t="s">
        <v>3876</v>
      </c>
      <c r="AF31" s="145" t="s">
        <v>3876</v>
      </c>
      <c r="AG31" s="145" t="s">
        <v>3876</v>
      </c>
      <c r="AH31" s="146">
        <v>1.6340005395405703E-5</v>
      </c>
      <c r="AI31" s="146">
        <v>2.6111887071738608E-2</v>
      </c>
      <c r="AJ31" s="147">
        <v>1.7739307561171066E-3</v>
      </c>
      <c r="AK31" s="181"/>
    </row>
    <row r="32" spans="1:37" ht="15" x14ac:dyDescent="0.2">
      <c r="A32" s="142" t="s">
        <v>1205</v>
      </c>
      <c r="B32" s="143" t="s">
        <v>1206</v>
      </c>
      <c r="C32" s="143" t="s">
        <v>1498</v>
      </c>
      <c r="D32" s="143" t="s">
        <v>1499</v>
      </c>
      <c r="E32" s="143" t="s">
        <v>313</v>
      </c>
      <c r="F32" s="143" t="s">
        <v>1505</v>
      </c>
      <c r="G32" s="143" t="s">
        <v>1506</v>
      </c>
      <c r="H32" s="143" t="s">
        <v>321</v>
      </c>
      <c r="I32" s="143" t="s">
        <v>754</v>
      </c>
      <c r="J32" s="143" t="s">
        <v>204</v>
      </c>
      <c r="K32" s="143" t="s">
        <v>204</v>
      </c>
      <c r="L32" s="143" t="s">
        <v>325</v>
      </c>
      <c r="M32" s="143" t="s">
        <v>340</v>
      </c>
      <c r="N32" s="143" t="s">
        <v>440</v>
      </c>
      <c r="O32" s="143" t="s">
        <v>339</v>
      </c>
      <c r="P32" s="143" t="s">
        <v>1502</v>
      </c>
      <c r="Q32" s="143" t="s">
        <v>415</v>
      </c>
      <c r="R32" s="143" t="s">
        <v>407</v>
      </c>
      <c r="S32" s="143" t="s">
        <v>1210</v>
      </c>
      <c r="T32" s="144">
        <v>5.97</v>
      </c>
      <c r="U32" s="143" t="s">
        <v>1507</v>
      </c>
      <c r="V32" s="146">
        <v>2.3900000000000001E-2</v>
      </c>
      <c r="W32" s="146">
        <v>3.0173999999999999E-2</v>
      </c>
      <c r="X32" s="143" t="s">
        <v>412</v>
      </c>
      <c r="Y32" s="145" t="s">
        <v>3876</v>
      </c>
      <c r="Z32" s="144">
        <v>46000</v>
      </c>
      <c r="AA32" s="145" t="s">
        <v>3876</v>
      </c>
      <c r="AB32" s="143" t="s">
        <v>1508</v>
      </c>
      <c r="AC32" s="145" t="s">
        <v>3876</v>
      </c>
      <c r="AD32" s="144">
        <v>50.576999999999998</v>
      </c>
      <c r="AE32" s="145" t="s">
        <v>3876</v>
      </c>
      <c r="AF32" s="145" t="s">
        <v>3876</v>
      </c>
      <c r="AG32" s="145" t="s">
        <v>3876</v>
      </c>
      <c r="AH32" s="146">
        <v>1.1827783360262968E-5</v>
      </c>
      <c r="AI32" s="146">
        <v>2.5895312008378895E-2</v>
      </c>
      <c r="AJ32" s="147">
        <v>1.7592175657281353E-3</v>
      </c>
      <c r="AK32" s="181"/>
    </row>
    <row r="33" spans="1:37" ht="15" x14ac:dyDescent="0.2">
      <c r="A33" s="142" t="s">
        <v>1205</v>
      </c>
      <c r="B33" s="143" t="s">
        <v>1206</v>
      </c>
      <c r="C33" s="143" t="s">
        <v>1509</v>
      </c>
      <c r="D33" s="143" t="s">
        <v>1510</v>
      </c>
      <c r="E33" s="143" t="s">
        <v>309</v>
      </c>
      <c r="F33" s="143" t="s">
        <v>1511</v>
      </c>
      <c r="G33" s="143" t="s">
        <v>1512</v>
      </c>
      <c r="H33" s="143" t="s">
        <v>321</v>
      </c>
      <c r="I33" s="143" t="s">
        <v>754</v>
      </c>
      <c r="J33" s="143" t="s">
        <v>204</v>
      </c>
      <c r="K33" s="143" t="s">
        <v>204</v>
      </c>
      <c r="L33" s="143" t="s">
        <v>325</v>
      </c>
      <c r="M33" s="143" t="s">
        <v>340</v>
      </c>
      <c r="N33" s="143" t="s">
        <v>448</v>
      </c>
      <c r="O33" s="143" t="s">
        <v>339</v>
      </c>
      <c r="P33" s="143" t="s">
        <v>1347</v>
      </c>
      <c r="Q33" s="143" t="s">
        <v>413</v>
      </c>
      <c r="R33" s="143" t="s">
        <v>407</v>
      </c>
      <c r="S33" s="143" t="s">
        <v>1210</v>
      </c>
      <c r="T33" s="144">
        <v>1.48</v>
      </c>
      <c r="U33" s="143" t="s">
        <v>1513</v>
      </c>
      <c r="V33" s="146">
        <v>2E-3</v>
      </c>
      <c r="W33" s="146">
        <v>2.0419E-2</v>
      </c>
      <c r="X33" s="143" t="s">
        <v>412</v>
      </c>
      <c r="Y33" s="145" t="s">
        <v>3876</v>
      </c>
      <c r="Z33" s="144">
        <v>45243.75</v>
      </c>
      <c r="AA33" s="145" t="s">
        <v>3876</v>
      </c>
      <c r="AB33" s="143" t="s">
        <v>1514</v>
      </c>
      <c r="AC33" s="145" t="s">
        <v>3876</v>
      </c>
      <c r="AD33" s="144">
        <v>49.546399999999998</v>
      </c>
      <c r="AE33" s="145" t="s">
        <v>3876</v>
      </c>
      <c r="AF33" s="145" t="s">
        <v>3876</v>
      </c>
      <c r="AG33" s="145" t="s">
        <v>3876</v>
      </c>
      <c r="AH33" s="146">
        <v>1.0818157291319297E-4</v>
      </c>
      <c r="AI33" s="146">
        <v>2.5367662770347674E-2</v>
      </c>
      <c r="AJ33" s="147">
        <v>1.7233713165001963E-3</v>
      </c>
      <c r="AK33" s="181"/>
    </row>
    <row r="34" spans="1:37" ht="15" x14ac:dyDescent="0.2">
      <c r="A34" s="142" t="s">
        <v>1205</v>
      </c>
      <c r="B34" s="143" t="s">
        <v>1206</v>
      </c>
      <c r="C34" s="143" t="s">
        <v>1498</v>
      </c>
      <c r="D34" s="143" t="s">
        <v>1499</v>
      </c>
      <c r="E34" s="143" t="s">
        <v>313</v>
      </c>
      <c r="F34" s="143" t="s">
        <v>1515</v>
      </c>
      <c r="G34" s="143" t="s">
        <v>1516</v>
      </c>
      <c r="H34" s="143" t="s">
        <v>321</v>
      </c>
      <c r="I34" s="143" t="s">
        <v>754</v>
      </c>
      <c r="J34" s="143" t="s">
        <v>204</v>
      </c>
      <c r="K34" s="143" t="s">
        <v>204</v>
      </c>
      <c r="L34" s="143" t="s">
        <v>325</v>
      </c>
      <c r="M34" s="143" t="s">
        <v>340</v>
      </c>
      <c r="N34" s="143" t="s">
        <v>440</v>
      </c>
      <c r="O34" s="143" t="s">
        <v>339</v>
      </c>
      <c r="P34" s="143" t="s">
        <v>1502</v>
      </c>
      <c r="Q34" s="143" t="s">
        <v>415</v>
      </c>
      <c r="R34" s="143" t="s">
        <v>407</v>
      </c>
      <c r="S34" s="143" t="s">
        <v>1210</v>
      </c>
      <c r="T34" s="144">
        <v>7.89</v>
      </c>
      <c r="U34" s="143" t="s">
        <v>1517</v>
      </c>
      <c r="V34" s="146">
        <v>0.03</v>
      </c>
      <c r="W34" s="146">
        <v>3.3659000000000001E-2</v>
      </c>
      <c r="X34" s="143" t="s">
        <v>412</v>
      </c>
      <c r="Y34" s="145" t="s">
        <v>3876</v>
      </c>
      <c r="Z34" s="144">
        <v>49000</v>
      </c>
      <c r="AA34" s="145" t="s">
        <v>3876</v>
      </c>
      <c r="AB34" s="143" t="s">
        <v>1518</v>
      </c>
      <c r="AC34" s="145" t="s">
        <v>3876</v>
      </c>
      <c r="AD34" s="144">
        <v>49.2254</v>
      </c>
      <c r="AE34" s="145" t="s">
        <v>3876</v>
      </c>
      <c r="AF34" s="145" t="s">
        <v>3876</v>
      </c>
      <c r="AG34" s="145" t="s">
        <v>3876</v>
      </c>
      <c r="AH34" s="146">
        <v>1.9169949031408983E-5</v>
      </c>
      <c r="AI34" s="146">
        <v>2.520329580119925E-2</v>
      </c>
      <c r="AJ34" s="147">
        <v>1.7122049223954317E-3</v>
      </c>
      <c r="AK34" s="181"/>
    </row>
    <row r="35" spans="1:37" ht="15" x14ac:dyDescent="0.2">
      <c r="A35" s="142" t="s">
        <v>1205</v>
      </c>
      <c r="B35" s="143" t="s">
        <v>1206</v>
      </c>
      <c r="C35" s="143" t="s">
        <v>1519</v>
      </c>
      <c r="D35" s="143" t="s">
        <v>1520</v>
      </c>
      <c r="E35" s="143" t="s">
        <v>309</v>
      </c>
      <c r="F35" s="143" t="s">
        <v>1521</v>
      </c>
      <c r="G35" s="143" t="s">
        <v>1522</v>
      </c>
      <c r="H35" s="143" t="s">
        <v>321</v>
      </c>
      <c r="I35" s="143" t="s">
        <v>754</v>
      </c>
      <c r="J35" s="143" t="s">
        <v>204</v>
      </c>
      <c r="K35" s="143" t="s">
        <v>204</v>
      </c>
      <c r="L35" s="143" t="s">
        <v>325</v>
      </c>
      <c r="M35" s="143" t="s">
        <v>340</v>
      </c>
      <c r="N35" s="143" t="s">
        <v>465</v>
      </c>
      <c r="O35" s="143" t="s">
        <v>339</v>
      </c>
      <c r="P35" s="143" t="s">
        <v>1359</v>
      </c>
      <c r="Q35" s="143" t="s">
        <v>415</v>
      </c>
      <c r="R35" s="143" t="s">
        <v>407</v>
      </c>
      <c r="S35" s="143" t="s">
        <v>1210</v>
      </c>
      <c r="T35" s="144">
        <v>2.1</v>
      </c>
      <c r="U35" s="143" t="s">
        <v>1523</v>
      </c>
      <c r="V35" s="146">
        <v>0.04</v>
      </c>
      <c r="W35" s="146">
        <v>5.3921999999999998E-2</v>
      </c>
      <c r="X35" s="143" t="s">
        <v>412</v>
      </c>
      <c r="Y35" s="145" t="s">
        <v>3876</v>
      </c>
      <c r="Z35" s="144">
        <v>42857.25</v>
      </c>
      <c r="AA35" s="145" t="s">
        <v>3876</v>
      </c>
      <c r="AB35" s="143" t="s">
        <v>1524</v>
      </c>
      <c r="AC35" s="145" t="s">
        <v>3876</v>
      </c>
      <c r="AD35" s="144">
        <v>47.262999999999998</v>
      </c>
      <c r="AE35" s="145" t="s">
        <v>3876</v>
      </c>
      <c r="AF35" s="145" t="s">
        <v>3876</v>
      </c>
      <c r="AG35" s="145" t="s">
        <v>3876</v>
      </c>
      <c r="AH35" s="146">
        <v>1.982230339488616E-5</v>
      </c>
      <c r="AI35" s="146">
        <v>2.41985387001563E-2</v>
      </c>
      <c r="AJ35" s="147">
        <v>1.6439459903975124E-3</v>
      </c>
      <c r="AK35" s="181"/>
    </row>
    <row r="36" spans="1:37" ht="15" x14ac:dyDescent="0.2">
      <c r="A36" s="142" t="s">
        <v>1205</v>
      </c>
      <c r="B36" s="143" t="s">
        <v>1206</v>
      </c>
      <c r="C36" s="143" t="s">
        <v>1343</v>
      </c>
      <c r="D36" s="143" t="s">
        <v>1344</v>
      </c>
      <c r="E36" s="143" t="s">
        <v>309</v>
      </c>
      <c r="F36" s="143" t="s">
        <v>1525</v>
      </c>
      <c r="G36" s="143" t="s">
        <v>1526</v>
      </c>
      <c r="H36" s="143" t="s">
        <v>321</v>
      </c>
      <c r="I36" s="143" t="s">
        <v>754</v>
      </c>
      <c r="J36" s="143" t="s">
        <v>204</v>
      </c>
      <c r="K36" s="143" t="s">
        <v>204</v>
      </c>
      <c r="L36" s="143" t="s">
        <v>325</v>
      </c>
      <c r="M36" s="143" t="s">
        <v>340</v>
      </c>
      <c r="N36" s="143" t="s">
        <v>445</v>
      </c>
      <c r="O36" s="143" t="s">
        <v>339</v>
      </c>
      <c r="P36" s="143" t="s">
        <v>1347</v>
      </c>
      <c r="Q36" s="143" t="s">
        <v>413</v>
      </c>
      <c r="R36" s="143" t="s">
        <v>407</v>
      </c>
      <c r="S36" s="143" t="s">
        <v>1210</v>
      </c>
      <c r="T36" s="144">
        <v>1.06</v>
      </c>
      <c r="U36" s="143" t="s">
        <v>1373</v>
      </c>
      <c r="V36" s="146">
        <v>2.4799999999999999E-2</v>
      </c>
      <c r="W36" s="146">
        <v>2.7913E-2</v>
      </c>
      <c r="X36" s="143" t="s">
        <v>412</v>
      </c>
      <c r="Y36" s="145" t="s">
        <v>3876</v>
      </c>
      <c r="Z36" s="144">
        <v>39784</v>
      </c>
      <c r="AA36" s="145" t="s">
        <v>3876</v>
      </c>
      <c r="AB36" s="143" t="s">
        <v>1527</v>
      </c>
      <c r="AC36" s="145" t="s">
        <v>3876</v>
      </c>
      <c r="AD36" s="144">
        <v>45.584499999999998</v>
      </c>
      <c r="AE36" s="145" t="s">
        <v>3876</v>
      </c>
      <c r="AF36" s="145" t="s">
        <v>3876</v>
      </c>
      <c r="AG36" s="145" t="s">
        <v>3876</v>
      </c>
      <c r="AH36" s="146">
        <v>9.3944026904809889E-5</v>
      </c>
      <c r="AI36" s="146">
        <v>2.3339166749554031E-2</v>
      </c>
      <c r="AJ36" s="147">
        <v>1.5855639083239546E-3</v>
      </c>
      <c r="AK36" s="181"/>
    </row>
    <row r="37" spans="1:37" ht="15" x14ac:dyDescent="0.2">
      <c r="A37" s="142" t="s">
        <v>1205</v>
      </c>
      <c r="B37" s="143" t="s">
        <v>1206</v>
      </c>
      <c r="C37" s="143" t="s">
        <v>1438</v>
      </c>
      <c r="D37" s="143" t="s">
        <v>1439</v>
      </c>
      <c r="E37" s="143" t="s">
        <v>309</v>
      </c>
      <c r="F37" s="143" t="s">
        <v>1528</v>
      </c>
      <c r="G37" s="143" t="s">
        <v>1529</v>
      </c>
      <c r="H37" s="143" t="s">
        <v>321</v>
      </c>
      <c r="I37" s="143" t="s">
        <v>754</v>
      </c>
      <c r="J37" s="143" t="s">
        <v>204</v>
      </c>
      <c r="K37" s="143" t="s">
        <v>204</v>
      </c>
      <c r="L37" s="143" t="s">
        <v>325</v>
      </c>
      <c r="M37" s="143" t="s">
        <v>340</v>
      </c>
      <c r="N37" s="143" t="s">
        <v>464</v>
      </c>
      <c r="O37" s="143" t="s">
        <v>339</v>
      </c>
      <c r="P37" s="143" t="s">
        <v>1366</v>
      </c>
      <c r="Q37" s="143" t="s">
        <v>415</v>
      </c>
      <c r="R37" s="143" t="s">
        <v>407</v>
      </c>
      <c r="S37" s="143" t="s">
        <v>1210</v>
      </c>
      <c r="T37" s="144">
        <v>5.37</v>
      </c>
      <c r="U37" s="143" t="s">
        <v>1530</v>
      </c>
      <c r="V37" s="146">
        <v>5.8999999999999999E-3</v>
      </c>
      <c r="W37" s="146">
        <v>3.5757999999999998E-2</v>
      </c>
      <c r="X37" s="143" t="s">
        <v>412</v>
      </c>
      <c r="Y37" s="145" t="s">
        <v>3876</v>
      </c>
      <c r="Z37" s="144">
        <v>46000</v>
      </c>
      <c r="AA37" s="145" t="s">
        <v>3876</v>
      </c>
      <c r="AB37" s="143" t="s">
        <v>1531</v>
      </c>
      <c r="AC37" s="145" t="s">
        <v>3876</v>
      </c>
      <c r="AD37" s="144">
        <v>43.24</v>
      </c>
      <c r="AE37" s="145" t="s">
        <v>3876</v>
      </c>
      <c r="AF37" s="145" t="s">
        <v>3876</v>
      </c>
      <c r="AG37" s="145" t="s">
        <v>3876</v>
      </c>
      <c r="AH37" s="146">
        <v>3.2844919854825454E-5</v>
      </c>
      <c r="AI37" s="146">
        <v>2.2138784254548578E-2</v>
      </c>
      <c r="AJ37" s="147">
        <v>1.504015017539288E-3</v>
      </c>
      <c r="AK37" s="181"/>
    </row>
    <row r="38" spans="1:37" ht="15" x14ac:dyDescent="0.2">
      <c r="A38" s="142" t="s">
        <v>1205</v>
      </c>
      <c r="B38" s="143" t="s">
        <v>1206</v>
      </c>
      <c r="C38" s="143" t="s">
        <v>1474</v>
      </c>
      <c r="D38" s="143" t="s">
        <v>1475</v>
      </c>
      <c r="E38" s="143" t="s">
        <v>309</v>
      </c>
      <c r="F38" s="143" t="s">
        <v>1532</v>
      </c>
      <c r="G38" s="143" t="s">
        <v>1533</v>
      </c>
      <c r="H38" s="143" t="s">
        <v>321</v>
      </c>
      <c r="I38" s="143" t="s">
        <v>754</v>
      </c>
      <c r="J38" s="143" t="s">
        <v>204</v>
      </c>
      <c r="K38" s="143" t="s">
        <v>204</v>
      </c>
      <c r="L38" s="143" t="s">
        <v>325</v>
      </c>
      <c r="M38" s="143" t="s">
        <v>340</v>
      </c>
      <c r="N38" s="143" t="s">
        <v>448</v>
      </c>
      <c r="O38" s="143" t="s">
        <v>339</v>
      </c>
      <c r="P38" s="143" t="s">
        <v>1224</v>
      </c>
      <c r="Q38" s="143" t="s">
        <v>413</v>
      </c>
      <c r="R38" s="143" t="s">
        <v>407</v>
      </c>
      <c r="S38" s="143" t="s">
        <v>1210</v>
      </c>
      <c r="T38" s="144">
        <v>4.16</v>
      </c>
      <c r="U38" s="143" t="s">
        <v>1534</v>
      </c>
      <c r="V38" s="146">
        <v>1.3899999999999999E-2</v>
      </c>
      <c r="W38" s="146">
        <v>2.5141E-2</v>
      </c>
      <c r="X38" s="143" t="s">
        <v>412</v>
      </c>
      <c r="Y38" s="145" t="s">
        <v>3876</v>
      </c>
      <c r="Z38" s="144">
        <v>41400</v>
      </c>
      <c r="AA38" s="145" t="s">
        <v>3876</v>
      </c>
      <c r="AB38" s="143" t="s">
        <v>1535</v>
      </c>
      <c r="AC38" s="145" t="s">
        <v>3876</v>
      </c>
      <c r="AD38" s="144">
        <v>42.004400000000004</v>
      </c>
      <c r="AE38" s="145" t="s">
        <v>3876</v>
      </c>
      <c r="AF38" s="145" t="s">
        <v>3876</v>
      </c>
      <c r="AG38" s="145" t="s">
        <v>3876</v>
      </c>
      <c r="AH38" s="146">
        <v>2.3E-5</v>
      </c>
      <c r="AI38" s="146">
        <v>2.1506180270423923E-2</v>
      </c>
      <c r="AJ38" s="147">
        <v>1.4610385884210909E-3</v>
      </c>
      <c r="AK38" s="181"/>
    </row>
    <row r="39" spans="1:37" ht="15" x14ac:dyDescent="0.2">
      <c r="A39" s="142" t="s">
        <v>1205</v>
      </c>
      <c r="B39" s="143" t="s">
        <v>1206</v>
      </c>
      <c r="C39" s="143" t="s">
        <v>1519</v>
      </c>
      <c r="D39" s="143" t="s">
        <v>1520</v>
      </c>
      <c r="E39" s="143" t="s">
        <v>309</v>
      </c>
      <c r="F39" s="143" t="s">
        <v>1536</v>
      </c>
      <c r="G39" s="143" t="s">
        <v>1537</v>
      </c>
      <c r="H39" s="143" t="s">
        <v>321</v>
      </c>
      <c r="I39" s="143" t="s">
        <v>754</v>
      </c>
      <c r="J39" s="143" t="s">
        <v>204</v>
      </c>
      <c r="K39" s="143" t="s">
        <v>204</v>
      </c>
      <c r="L39" s="143" t="s">
        <v>325</v>
      </c>
      <c r="M39" s="143" t="s">
        <v>340</v>
      </c>
      <c r="N39" s="143" t="s">
        <v>465</v>
      </c>
      <c r="O39" s="143" t="s">
        <v>339</v>
      </c>
      <c r="P39" s="143" t="s">
        <v>1359</v>
      </c>
      <c r="Q39" s="143" t="s">
        <v>415</v>
      </c>
      <c r="R39" s="143" t="s">
        <v>407</v>
      </c>
      <c r="S39" s="143" t="s">
        <v>1210</v>
      </c>
      <c r="T39" s="144">
        <v>4.3099999999999996</v>
      </c>
      <c r="U39" s="143" t="s">
        <v>1538</v>
      </c>
      <c r="V39" s="146">
        <v>1.7899999999999999E-2</v>
      </c>
      <c r="W39" s="146">
        <v>6.0524000000000001E-2</v>
      </c>
      <c r="X39" s="143" t="s">
        <v>412</v>
      </c>
      <c r="Y39" s="145" t="s">
        <v>3876</v>
      </c>
      <c r="Z39" s="144">
        <v>43630.65</v>
      </c>
      <c r="AA39" s="145" t="s">
        <v>3876</v>
      </c>
      <c r="AB39" s="143" t="s">
        <v>1539</v>
      </c>
      <c r="AC39" s="145" t="s">
        <v>3876</v>
      </c>
      <c r="AD39" s="144">
        <v>41.196100000000001</v>
      </c>
      <c r="AE39" s="145" t="s">
        <v>3876</v>
      </c>
      <c r="AF39" s="145" t="s">
        <v>3876</v>
      </c>
      <c r="AG39" s="145" t="s">
        <v>3876</v>
      </c>
      <c r="AH39" s="146">
        <v>6.2099726487587281E-5</v>
      </c>
      <c r="AI39" s="146">
        <v>2.1092291362163892E-2</v>
      </c>
      <c r="AJ39" s="147">
        <v>1.4329207330565565E-3</v>
      </c>
      <c r="AK39" s="181"/>
    </row>
    <row r="40" spans="1:37" ht="15" x14ac:dyDescent="0.2">
      <c r="A40" s="142" t="s">
        <v>1205</v>
      </c>
      <c r="B40" s="143" t="s">
        <v>1206</v>
      </c>
      <c r="C40" s="143" t="s">
        <v>1519</v>
      </c>
      <c r="D40" s="143" t="s">
        <v>1520</v>
      </c>
      <c r="E40" s="143" t="s">
        <v>309</v>
      </c>
      <c r="F40" s="143" t="s">
        <v>1540</v>
      </c>
      <c r="G40" s="143" t="s">
        <v>1541</v>
      </c>
      <c r="H40" s="143" t="s">
        <v>321</v>
      </c>
      <c r="I40" s="143" t="s">
        <v>754</v>
      </c>
      <c r="J40" s="143" t="s">
        <v>204</v>
      </c>
      <c r="K40" s="143" t="s">
        <v>204</v>
      </c>
      <c r="L40" s="143" t="s">
        <v>325</v>
      </c>
      <c r="M40" s="143" t="s">
        <v>340</v>
      </c>
      <c r="N40" s="143" t="s">
        <v>465</v>
      </c>
      <c r="O40" s="143" t="s">
        <v>339</v>
      </c>
      <c r="P40" s="143" t="s">
        <v>1359</v>
      </c>
      <c r="Q40" s="143" t="s">
        <v>415</v>
      </c>
      <c r="R40" s="143" t="s">
        <v>407</v>
      </c>
      <c r="S40" s="143" t="s">
        <v>1210</v>
      </c>
      <c r="T40" s="144">
        <v>2.46</v>
      </c>
      <c r="U40" s="143" t="s">
        <v>1542</v>
      </c>
      <c r="V40" s="146">
        <v>3.2800000000000003E-2</v>
      </c>
      <c r="W40" s="146">
        <v>5.8094E-2</v>
      </c>
      <c r="X40" s="143" t="s">
        <v>412</v>
      </c>
      <c r="Y40" s="145" t="s">
        <v>3876</v>
      </c>
      <c r="Z40" s="144">
        <v>36564.800000000003</v>
      </c>
      <c r="AA40" s="145" t="s">
        <v>3876</v>
      </c>
      <c r="AB40" s="143" t="s">
        <v>1543</v>
      </c>
      <c r="AC40" s="145" t="s">
        <v>3876</v>
      </c>
      <c r="AD40" s="144">
        <v>39.636199999999995</v>
      </c>
      <c r="AE40" s="145" t="s">
        <v>3876</v>
      </c>
      <c r="AF40" s="145" t="s">
        <v>3876</v>
      </c>
      <c r="AG40" s="145" t="s">
        <v>3876</v>
      </c>
      <c r="AH40" s="146">
        <v>2.6448267337947449E-5</v>
      </c>
      <c r="AI40" s="146">
        <v>2.0293668752673868E-2</v>
      </c>
      <c r="AJ40" s="147">
        <v>1.3786657033219123E-3</v>
      </c>
      <c r="AK40" s="181"/>
    </row>
    <row r="41" spans="1:37" ht="15" x14ac:dyDescent="0.2">
      <c r="A41" s="142" t="s">
        <v>1205</v>
      </c>
      <c r="B41" s="143" t="s">
        <v>1206</v>
      </c>
      <c r="C41" s="143" t="s">
        <v>1544</v>
      </c>
      <c r="D41" s="143" t="s">
        <v>1545</v>
      </c>
      <c r="E41" s="143" t="s">
        <v>309</v>
      </c>
      <c r="F41" s="143" t="s">
        <v>1546</v>
      </c>
      <c r="G41" s="143" t="s">
        <v>1547</v>
      </c>
      <c r="H41" s="143" t="s">
        <v>321</v>
      </c>
      <c r="I41" s="143" t="s">
        <v>754</v>
      </c>
      <c r="J41" s="143" t="s">
        <v>204</v>
      </c>
      <c r="K41" s="143" t="s">
        <v>204</v>
      </c>
      <c r="L41" s="143" t="s">
        <v>325</v>
      </c>
      <c r="M41" s="143" t="s">
        <v>340</v>
      </c>
      <c r="N41" s="143" t="s">
        <v>465</v>
      </c>
      <c r="O41" s="143" t="s">
        <v>339</v>
      </c>
      <c r="P41" s="143" t="s">
        <v>1425</v>
      </c>
      <c r="Q41" s="143" t="s">
        <v>415</v>
      </c>
      <c r="R41" s="143" t="s">
        <v>407</v>
      </c>
      <c r="S41" s="143" t="s">
        <v>1210</v>
      </c>
      <c r="T41" s="144">
        <v>1.71</v>
      </c>
      <c r="U41" s="143" t="s">
        <v>1548</v>
      </c>
      <c r="V41" s="146">
        <v>2.5700000000000001E-2</v>
      </c>
      <c r="W41" s="146">
        <v>3.3569000000000002E-2</v>
      </c>
      <c r="X41" s="143" t="s">
        <v>412</v>
      </c>
      <c r="Y41" s="145" t="s">
        <v>3876</v>
      </c>
      <c r="Z41" s="144">
        <v>34433</v>
      </c>
      <c r="AA41" s="145" t="s">
        <v>3876</v>
      </c>
      <c r="AB41" s="143" t="s">
        <v>1549</v>
      </c>
      <c r="AC41" s="145" t="s">
        <v>3876</v>
      </c>
      <c r="AD41" s="144">
        <v>39.153800000000004</v>
      </c>
      <c r="AE41" s="145" t="s">
        <v>3876</v>
      </c>
      <c r="AF41" s="145" t="s">
        <v>3876</v>
      </c>
      <c r="AG41" s="145" t="s">
        <v>3876</v>
      </c>
      <c r="AH41" s="146">
        <v>2.6850145651103749E-5</v>
      </c>
      <c r="AI41" s="146">
        <v>2.0046640624217071E-2</v>
      </c>
      <c r="AJ41" s="147">
        <v>1.3618836609711759E-3</v>
      </c>
      <c r="AK41" s="181"/>
    </row>
    <row r="42" spans="1:37" ht="15" x14ac:dyDescent="0.2">
      <c r="A42" s="142" t="s">
        <v>1205</v>
      </c>
      <c r="B42" s="143" t="s">
        <v>1206</v>
      </c>
      <c r="C42" s="143" t="s">
        <v>1509</v>
      </c>
      <c r="D42" s="143" t="s">
        <v>1510</v>
      </c>
      <c r="E42" s="143" t="s">
        <v>309</v>
      </c>
      <c r="F42" s="143" t="s">
        <v>1550</v>
      </c>
      <c r="G42" s="143" t="s">
        <v>1551</v>
      </c>
      <c r="H42" s="143" t="s">
        <v>321</v>
      </c>
      <c r="I42" s="143" t="s">
        <v>754</v>
      </c>
      <c r="J42" s="143" t="s">
        <v>204</v>
      </c>
      <c r="K42" s="143" t="s">
        <v>204</v>
      </c>
      <c r="L42" s="143" t="s">
        <v>325</v>
      </c>
      <c r="M42" s="143" t="s">
        <v>340</v>
      </c>
      <c r="N42" s="143" t="s">
        <v>448</v>
      </c>
      <c r="O42" s="143" t="s">
        <v>339</v>
      </c>
      <c r="P42" s="143" t="s">
        <v>1347</v>
      </c>
      <c r="Q42" s="143" t="s">
        <v>413</v>
      </c>
      <c r="R42" s="143" t="s">
        <v>407</v>
      </c>
      <c r="S42" s="143" t="s">
        <v>1210</v>
      </c>
      <c r="T42" s="144">
        <v>4.75</v>
      </c>
      <c r="U42" s="143" t="s">
        <v>1552</v>
      </c>
      <c r="V42" s="146">
        <v>2.5899999999999999E-2</v>
      </c>
      <c r="W42" s="146">
        <v>2.7512000000000002E-2</v>
      </c>
      <c r="X42" s="143" t="s">
        <v>412</v>
      </c>
      <c r="Y42" s="145" t="s">
        <v>3876</v>
      </c>
      <c r="Z42" s="144">
        <v>37000</v>
      </c>
      <c r="AA42" s="145" t="s">
        <v>3876</v>
      </c>
      <c r="AB42" s="143" t="s">
        <v>1553</v>
      </c>
      <c r="AC42" s="145" t="s">
        <v>3876</v>
      </c>
      <c r="AD42" s="144">
        <v>37.858400000000003</v>
      </c>
      <c r="AE42" s="145" t="s">
        <v>3876</v>
      </c>
      <c r="AF42" s="145" t="s">
        <v>3876</v>
      </c>
      <c r="AG42" s="145" t="s">
        <v>3876</v>
      </c>
      <c r="AH42" s="146">
        <v>8.2222222222222218E-5</v>
      </c>
      <c r="AI42" s="146">
        <v>1.9383416970915862E-2</v>
      </c>
      <c r="AJ42" s="147">
        <v>1.3168270615173307E-3</v>
      </c>
      <c r="AK42" s="181"/>
    </row>
    <row r="43" spans="1:37" ht="15" x14ac:dyDescent="0.2">
      <c r="A43" s="142" t="s">
        <v>1205</v>
      </c>
      <c r="B43" s="143" t="s">
        <v>1206</v>
      </c>
      <c r="C43" s="143" t="s">
        <v>1554</v>
      </c>
      <c r="D43" s="143" t="s">
        <v>1555</v>
      </c>
      <c r="E43" s="143" t="s">
        <v>309</v>
      </c>
      <c r="F43" s="143" t="s">
        <v>1556</v>
      </c>
      <c r="G43" s="143" t="s">
        <v>1557</v>
      </c>
      <c r="H43" s="143" t="s">
        <v>321</v>
      </c>
      <c r="I43" s="143" t="s">
        <v>754</v>
      </c>
      <c r="J43" s="143" t="s">
        <v>204</v>
      </c>
      <c r="K43" s="143" t="s">
        <v>204</v>
      </c>
      <c r="L43" s="143" t="s">
        <v>325</v>
      </c>
      <c r="M43" s="143" t="s">
        <v>340</v>
      </c>
      <c r="N43" s="143" t="s">
        <v>464</v>
      </c>
      <c r="O43" s="143" t="s">
        <v>339</v>
      </c>
      <c r="P43" s="143" t="s">
        <v>1410</v>
      </c>
      <c r="Q43" s="143" t="s">
        <v>413</v>
      </c>
      <c r="R43" s="143" t="s">
        <v>407</v>
      </c>
      <c r="S43" s="143" t="s">
        <v>1210</v>
      </c>
      <c r="T43" s="144">
        <v>2.4300000000000002</v>
      </c>
      <c r="U43" s="143" t="s">
        <v>1299</v>
      </c>
      <c r="V43" s="146">
        <v>2.3400000000000001E-2</v>
      </c>
      <c r="W43" s="146">
        <v>2.7517E-2</v>
      </c>
      <c r="X43" s="143" t="s">
        <v>412</v>
      </c>
      <c r="Y43" s="145" t="s">
        <v>3876</v>
      </c>
      <c r="Z43" s="144">
        <v>31918.85</v>
      </c>
      <c r="AA43" s="145" t="s">
        <v>3876</v>
      </c>
      <c r="AB43" s="143" t="s">
        <v>1558</v>
      </c>
      <c r="AC43" s="145" t="s">
        <v>3876</v>
      </c>
      <c r="AD43" s="144">
        <v>36.093800000000002</v>
      </c>
      <c r="AE43" s="145" t="s">
        <v>3876</v>
      </c>
      <c r="AF43" s="145" t="s">
        <v>3876</v>
      </c>
      <c r="AG43" s="145" t="s">
        <v>3876</v>
      </c>
      <c r="AH43" s="146">
        <v>1.5130592836800774E-5</v>
      </c>
      <c r="AI43" s="146">
        <v>1.8479963895114922E-2</v>
      </c>
      <c r="AJ43" s="147">
        <v>1.2554502949332534E-3</v>
      </c>
      <c r="AK43" s="181"/>
    </row>
    <row r="44" spans="1:37" ht="15" x14ac:dyDescent="0.2">
      <c r="A44" s="142" t="s">
        <v>1205</v>
      </c>
      <c r="B44" s="143" t="s">
        <v>1206</v>
      </c>
      <c r="C44" s="143" t="s">
        <v>1498</v>
      </c>
      <c r="D44" s="143" t="s">
        <v>1499</v>
      </c>
      <c r="E44" s="143" t="s">
        <v>313</v>
      </c>
      <c r="F44" s="143" t="s">
        <v>1559</v>
      </c>
      <c r="G44" s="143" t="s">
        <v>1560</v>
      </c>
      <c r="H44" s="143" t="s">
        <v>321</v>
      </c>
      <c r="I44" s="143" t="s">
        <v>754</v>
      </c>
      <c r="J44" s="143" t="s">
        <v>204</v>
      </c>
      <c r="K44" s="143" t="s">
        <v>204</v>
      </c>
      <c r="L44" s="143" t="s">
        <v>325</v>
      </c>
      <c r="M44" s="143" t="s">
        <v>340</v>
      </c>
      <c r="N44" s="143" t="s">
        <v>440</v>
      </c>
      <c r="O44" s="143" t="s">
        <v>339</v>
      </c>
      <c r="P44" s="143" t="s">
        <v>1502</v>
      </c>
      <c r="Q44" s="143" t="s">
        <v>415</v>
      </c>
      <c r="R44" s="143" t="s">
        <v>407</v>
      </c>
      <c r="S44" s="143" t="s">
        <v>1210</v>
      </c>
      <c r="T44" s="144">
        <v>1.1299999999999999</v>
      </c>
      <c r="U44" s="143" t="s">
        <v>1561</v>
      </c>
      <c r="V44" s="146">
        <v>4.4999999999999998E-2</v>
      </c>
      <c r="W44" s="146">
        <v>2.6681E-2</v>
      </c>
      <c r="X44" s="143" t="s">
        <v>412</v>
      </c>
      <c r="Y44" s="145" t="s">
        <v>3876</v>
      </c>
      <c r="Z44" s="144">
        <v>29096</v>
      </c>
      <c r="AA44" s="145" t="s">
        <v>3876</v>
      </c>
      <c r="AB44" s="143" t="s">
        <v>1562</v>
      </c>
      <c r="AC44" s="145" t="s">
        <v>3876</v>
      </c>
      <c r="AD44" s="144">
        <v>34.708599999999997</v>
      </c>
      <c r="AE44" s="145" t="s">
        <v>3876</v>
      </c>
      <c r="AF44" s="145" t="s">
        <v>3876</v>
      </c>
      <c r="AG44" s="145" t="s">
        <v>3876</v>
      </c>
      <c r="AH44" s="146">
        <v>9.8443491369540558E-6</v>
      </c>
      <c r="AI44" s="146">
        <v>1.7770735766213113E-2</v>
      </c>
      <c r="AJ44" s="147">
        <v>1.2072683467076887E-3</v>
      </c>
      <c r="AK44" s="181"/>
    </row>
    <row r="45" spans="1:37" ht="15" x14ac:dyDescent="0.2">
      <c r="A45" s="142" t="s">
        <v>1205</v>
      </c>
      <c r="B45" s="143" t="s">
        <v>1206</v>
      </c>
      <c r="C45" s="143" t="s">
        <v>1474</v>
      </c>
      <c r="D45" s="143" t="s">
        <v>1475</v>
      </c>
      <c r="E45" s="143" t="s">
        <v>309</v>
      </c>
      <c r="F45" s="143" t="s">
        <v>1563</v>
      </c>
      <c r="G45" s="143" t="s">
        <v>1564</v>
      </c>
      <c r="H45" s="143" t="s">
        <v>321</v>
      </c>
      <c r="I45" s="143" t="s">
        <v>754</v>
      </c>
      <c r="J45" s="143" t="s">
        <v>204</v>
      </c>
      <c r="K45" s="143" t="s">
        <v>204</v>
      </c>
      <c r="L45" s="143" t="s">
        <v>325</v>
      </c>
      <c r="M45" s="143" t="s">
        <v>340</v>
      </c>
      <c r="N45" s="143" t="s">
        <v>448</v>
      </c>
      <c r="O45" s="143" t="s">
        <v>339</v>
      </c>
      <c r="P45" s="143" t="s">
        <v>1224</v>
      </c>
      <c r="Q45" s="143" t="s">
        <v>413</v>
      </c>
      <c r="R45" s="143" t="s">
        <v>407</v>
      </c>
      <c r="S45" s="143" t="s">
        <v>1210</v>
      </c>
      <c r="T45" s="144">
        <v>3.8</v>
      </c>
      <c r="U45" s="143" t="s">
        <v>1565</v>
      </c>
      <c r="V45" s="146">
        <v>1E-3</v>
      </c>
      <c r="W45" s="146">
        <v>2.5401E-2</v>
      </c>
      <c r="X45" s="143" t="s">
        <v>412</v>
      </c>
      <c r="Y45" s="145" t="s">
        <v>3876</v>
      </c>
      <c r="Z45" s="144">
        <v>32000</v>
      </c>
      <c r="AA45" s="145" t="s">
        <v>3876</v>
      </c>
      <c r="AB45" s="143" t="s">
        <v>1566</v>
      </c>
      <c r="AC45" s="145" t="s">
        <v>3876</v>
      </c>
      <c r="AD45" s="144">
        <v>32.310400000000001</v>
      </c>
      <c r="AE45" s="145" t="s">
        <v>3876</v>
      </c>
      <c r="AF45" s="145" t="s">
        <v>3876</v>
      </c>
      <c r="AG45" s="145" t="s">
        <v>3876</v>
      </c>
      <c r="AH45" s="146">
        <v>2.845051841516661E-5</v>
      </c>
      <c r="AI45" s="146">
        <v>1.6542853255739277E-2</v>
      </c>
      <c r="AJ45" s="147">
        <v>1.1238512216165913E-3</v>
      </c>
      <c r="AK45" s="181"/>
    </row>
    <row r="46" spans="1:37" ht="15" x14ac:dyDescent="0.2">
      <c r="A46" s="142" t="s">
        <v>1205</v>
      </c>
      <c r="B46" s="143" t="s">
        <v>1206</v>
      </c>
      <c r="C46" s="143" t="s">
        <v>1349</v>
      </c>
      <c r="D46" s="143" t="s">
        <v>1350</v>
      </c>
      <c r="E46" s="143" t="s">
        <v>309</v>
      </c>
      <c r="F46" s="143" t="s">
        <v>1567</v>
      </c>
      <c r="G46" s="143" t="s">
        <v>1568</v>
      </c>
      <c r="H46" s="143" t="s">
        <v>321</v>
      </c>
      <c r="I46" s="143" t="s">
        <v>754</v>
      </c>
      <c r="J46" s="143" t="s">
        <v>204</v>
      </c>
      <c r="K46" s="143" t="s">
        <v>204</v>
      </c>
      <c r="L46" s="143" t="s">
        <v>325</v>
      </c>
      <c r="M46" s="143" t="s">
        <v>340</v>
      </c>
      <c r="N46" s="143" t="s">
        <v>448</v>
      </c>
      <c r="O46" s="143" t="s">
        <v>339</v>
      </c>
      <c r="P46" s="143" t="s">
        <v>1224</v>
      </c>
      <c r="Q46" s="143" t="s">
        <v>413</v>
      </c>
      <c r="R46" s="143" t="s">
        <v>407</v>
      </c>
      <c r="S46" s="143" t="s">
        <v>1210</v>
      </c>
      <c r="T46" s="144">
        <v>4.63</v>
      </c>
      <c r="U46" s="143" t="s">
        <v>1569</v>
      </c>
      <c r="V46" s="146">
        <v>1.9900000000000001E-2</v>
      </c>
      <c r="W46" s="146">
        <v>2.5776E-2</v>
      </c>
      <c r="X46" s="143" t="s">
        <v>412</v>
      </c>
      <c r="Y46" s="145" t="s">
        <v>3876</v>
      </c>
      <c r="Z46" s="144">
        <v>27000</v>
      </c>
      <c r="AA46" s="145" t="s">
        <v>3876</v>
      </c>
      <c r="AB46" s="143" t="s">
        <v>1570</v>
      </c>
      <c r="AC46" s="145" t="s">
        <v>3876</v>
      </c>
      <c r="AD46" s="144">
        <v>27.062099999999997</v>
      </c>
      <c r="AE46" s="145" t="s">
        <v>3876</v>
      </c>
      <c r="AF46" s="145" t="s">
        <v>3876</v>
      </c>
      <c r="AG46" s="145" t="s">
        <v>3876</v>
      </c>
      <c r="AH46" s="146">
        <v>1.0000000000000001E-5</v>
      </c>
      <c r="AI46" s="146">
        <v>1.3855735276943087E-2</v>
      </c>
      <c r="AJ46" s="147">
        <v>9.4129983362974015E-4</v>
      </c>
      <c r="AK46" s="181"/>
    </row>
    <row r="47" spans="1:37" ht="15" x14ac:dyDescent="0.2">
      <c r="A47" s="142" t="s">
        <v>1205</v>
      </c>
      <c r="B47" s="143" t="s">
        <v>1206</v>
      </c>
      <c r="C47" s="143" t="s">
        <v>1571</v>
      </c>
      <c r="D47" s="143" t="s">
        <v>1572</v>
      </c>
      <c r="E47" s="143" t="s">
        <v>309</v>
      </c>
      <c r="F47" s="143" t="s">
        <v>1573</v>
      </c>
      <c r="G47" s="143" t="s">
        <v>1574</v>
      </c>
      <c r="H47" s="143" t="s">
        <v>321</v>
      </c>
      <c r="I47" s="143" t="s">
        <v>754</v>
      </c>
      <c r="J47" s="143" t="s">
        <v>204</v>
      </c>
      <c r="K47" s="143" t="s">
        <v>204</v>
      </c>
      <c r="L47" s="143" t="s">
        <v>325</v>
      </c>
      <c r="M47" s="143" t="s">
        <v>340</v>
      </c>
      <c r="N47" s="143" t="s">
        <v>440</v>
      </c>
      <c r="O47" s="143" t="s">
        <v>339</v>
      </c>
      <c r="P47" s="143" t="s">
        <v>1347</v>
      </c>
      <c r="Q47" s="143" t="s">
        <v>413</v>
      </c>
      <c r="R47" s="143" t="s">
        <v>407</v>
      </c>
      <c r="S47" s="143" t="s">
        <v>1210</v>
      </c>
      <c r="T47" s="144">
        <v>2.34</v>
      </c>
      <c r="U47" s="143" t="s">
        <v>1575</v>
      </c>
      <c r="V47" s="146">
        <v>1.9400000000000001E-2</v>
      </c>
      <c r="W47" s="146">
        <v>2.5323999999999999E-2</v>
      </c>
      <c r="X47" s="143" t="s">
        <v>412</v>
      </c>
      <c r="Y47" s="145" t="s">
        <v>3876</v>
      </c>
      <c r="Z47" s="144">
        <v>23804.78</v>
      </c>
      <c r="AA47" s="145" t="s">
        <v>3876</v>
      </c>
      <c r="AB47" s="143" t="s">
        <v>1576</v>
      </c>
      <c r="AC47" s="145" t="s">
        <v>3876</v>
      </c>
      <c r="AD47" s="144">
        <v>26.923200000000001</v>
      </c>
      <c r="AE47" s="145" t="s">
        <v>3876</v>
      </c>
      <c r="AF47" s="145" t="s">
        <v>3876</v>
      </c>
      <c r="AG47" s="145" t="s">
        <v>3876</v>
      </c>
      <c r="AH47" s="146">
        <v>7.9019069942494867E-5</v>
      </c>
      <c r="AI47" s="146">
        <v>1.3784621948652844E-2</v>
      </c>
      <c r="AJ47" s="147">
        <v>9.3646869599968939E-4</v>
      </c>
      <c r="AK47" s="181"/>
    </row>
    <row r="48" spans="1:37" ht="15" x14ac:dyDescent="0.2">
      <c r="A48" s="142" t="s">
        <v>1205</v>
      </c>
      <c r="B48" s="143" t="s">
        <v>1206</v>
      </c>
      <c r="C48" s="143" t="s">
        <v>1369</v>
      </c>
      <c r="D48" s="143" t="s">
        <v>1370</v>
      </c>
      <c r="E48" s="143" t="s">
        <v>309</v>
      </c>
      <c r="F48" s="143" t="s">
        <v>1577</v>
      </c>
      <c r="G48" s="143" t="s">
        <v>1578</v>
      </c>
      <c r="H48" s="143" t="s">
        <v>321</v>
      </c>
      <c r="I48" s="143" t="s">
        <v>754</v>
      </c>
      <c r="J48" s="143" t="s">
        <v>204</v>
      </c>
      <c r="K48" s="143" t="s">
        <v>204</v>
      </c>
      <c r="L48" s="143" t="s">
        <v>325</v>
      </c>
      <c r="M48" s="143" t="s">
        <v>340</v>
      </c>
      <c r="N48" s="143" t="s">
        <v>445</v>
      </c>
      <c r="O48" s="143" t="s">
        <v>339</v>
      </c>
      <c r="P48" s="143" t="s">
        <v>1366</v>
      </c>
      <c r="Q48" s="143" t="s">
        <v>415</v>
      </c>
      <c r="R48" s="143" t="s">
        <v>407</v>
      </c>
      <c r="S48" s="143" t="s">
        <v>1210</v>
      </c>
      <c r="T48" s="144">
        <v>5.24</v>
      </c>
      <c r="U48" s="143" t="s">
        <v>1579</v>
      </c>
      <c r="V48" s="146">
        <v>4.6899999999999997E-2</v>
      </c>
      <c r="W48" s="146">
        <v>5.7537999999999999E-2</v>
      </c>
      <c r="X48" s="143" t="s">
        <v>412</v>
      </c>
      <c r="Y48" s="145" t="s">
        <v>3876</v>
      </c>
      <c r="Z48" s="144">
        <v>27000</v>
      </c>
      <c r="AA48" s="145" t="s">
        <v>3876</v>
      </c>
      <c r="AB48" s="143" t="s">
        <v>1580</v>
      </c>
      <c r="AC48" s="145" t="s">
        <v>3876</v>
      </c>
      <c r="AD48" s="144">
        <v>25.7148</v>
      </c>
      <c r="AE48" s="145" t="s">
        <v>3876</v>
      </c>
      <c r="AF48" s="145" t="s">
        <v>3876</v>
      </c>
      <c r="AG48" s="145" t="s">
        <v>3876</v>
      </c>
      <c r="AH48" s="146">
        <v>5.3999999999999998E-5</v>
      </c>
      <c r="AI48" s="146">
        <v>1.3165920660242039E-2</v>
      </c>
      <c r="AJ48" s="147">
        <v>8.9443675700784646E-4</v>
      </c>
      <c r="AK48" s="181"/>
    </row>
    <row r="49" spans="1:37" ht="15" x14ac:dyDescent="0.2">
      <c r="A49" s="142" t="s">
        <v>1205</v>
      </c>
      <c r="B49" s="143" t="s">
        <v>1206</v>
      </c>
      <c r="C49" s="143" t="s">
        <v>1581</v>
      </c>
      <c r="D49" s="143" t="s">
        <v>1582</v>
      </c>
      <c r="E49" s="143" t="s">
        <v>309</v>
      </c>
      <c r="F49" s="143" t="s">
        <v>1583</v>
      </c>
      <c r="G49" s="143" t="s">
        <v>1584</v>
      </c>
      <c r="H49" s="143" t="s">
        <v>321</v>
      </c>
      <c r="I49" s="143" t="s">
        <v>754</v>
      </c>
      <c r="J49" s="143" t="s">
        <v>204</v>
      </c>
      <c r="K49" s="143" t="s">
        <v>204</v>
      </c>
      <c r="L49" s="143" t="s">
        <v>325</v>
      </c>
      <c r="M49" s="143" t="s">
        <v>340</v>
      </c>
      <c r="N49" s="143" t="s">
        <v>464</v>
      </c>
      <c r="O49" s="143" t="s">
        <v>339</v>
      </c>
      <c r="P49" s="143" t="s">
        <v>1410</v>
      </c>
      <c r="Q49" s="143" t="s">
        <v>413</v>
      </c>
      <c r="R49" s="143" t="s">
        <v>407</v>
      </c>
      <c r="S49" s="143" t="s">
        <v>1210</v>
      </c>
      <c r="T49" s="144">
        <v>1.01</v>
      </c>
      <c r="U49" s="143" t="s">
        <v>1585</v>
      </c>
      <c r="V49" s="146">
        <v>2.1100000000000001E-2</v>
      </c>
      <c r="W49" s="146">
        <v>2.5402999999999998E-2</v>
      </c>
      <c r="X49" s="143" t="s">
        <v>412</v>
      </c>
      <c r="Y49" s="145" t="s">
        <v>3876</v>
      </c>
      <c r="Z49" s="144">
        <v>19295.55</v>
      </c>
      <c r="AA49" s="145" t="s">
        <v>3876</v>
      </c>
      <c r="AB49" s="143" t="s">
        <v>1586</v>
      </c>
      <c r="AC49" s="144">
        <v>0.46970000000000001</v>
      </c>
      <c r="AD49" s="144">
        <v>22.551599999999997</v>
      </c>
      <c r="AE49" s="145" t="s">
        <v>3876</v>
      </c>
      <c r="AF49" s="145" t="s">
        <v>3876</v>
      </c>
      <c r="AG49" s="145" t="s">
        <v>3876</v>
      </c>
      <c r="AH49" s="146">
        <v>2.5092722248355665E-5</v>
      </c>
      <c r="AI49" s="146">
        <v>1.1786858423427806E-2</v>
      </c>
      <c r="AJ49" s="147">
        <v>8.0074912310519521E-4</v>
      </c>
      <c r="AK49" s="181"/>
    </row>
    <row r="50" spans="1:37" ht="15" x14ac:dyDescent="0.2">
      <c r="A50" s="142" t="s">
        <v>1205</v>
      </c>
      <c r="B50" s="143" t="s">
        <v>1206</v>
      </c>
      <c r="C50" s="143" t="s">
        <v>1349</v>
      </c>
      <c r="D50" s="143" t="s">
        <v>1350</v>
      </c>
      <c r="E50" s="143" t="s">
        <v>309</v>
      </c>
      <c r="F50" s="143" t="s">
        <v>1587</v>
      </c>
      <c r="G50" s="143" t="s">
        <v>1588</v>
      </c>
      <c r="H50" s="143" t="s">
        <v>321</v>
      </c>
      <c r="I50" s="143" t="s">
        <v>754</v>
      </c>
      <c r="J50" s="143" t="s">
        <v>204</v>
      </c>
      <c r="K50" s="143" t="s">
        <v>204</v>
      </c>
      <c r="L50" s="143" t="s">
        <v>325</v>
      </c>
      <c r="M50" s="143" t="s">
        <v>340</v>
      </c>
      <c r="N50" s="143" t="s">
        <v>448</v>
      </c>
      <c r="O50" s="143" t="s">
        <v>339</v>
      </c>
      <c r="P50" s="143" t="s">
        <v>1209</v>
      </c>
      <c r="Q50" s="143" t="s">
        <v>415</v>
      </c>
      <c r="R50" s="143" t="s">
        <v>407</v>
      </c>
      <c r="S50" s="143" t="s">
        <v>1210</v>
      </c>
      <c r="T50" s="144">
        <v>0.67</v>
      </c>
      <c r="U50" s="143" t="s">
        <v>1589</v>
      </c>
      <c r="V50" s="146">
        <v>9.4999999999999998E-3</v>
      </c>
      <c r="W50" s="146">
        <v>2.8906999999999999E-2</v>
      </c>
      <c r="X50" s="143" t="s">
        <v>412</v>
      </c>
      <c r="Y50" s="145" t="s">
        <v>3876</v>
      </c>
      <c r="Z50" s="144">
        <v>15308.52</v>
      </c>
      <c r="AA50" s="145" t="s">
        <v>3876</v>
      </c>
      <c r="AB50" s="143" t="s">
        <v>1590</v>
      </c>
      <c r="AC50" s="145" t="s">
        <v>3876</v>
      </c>
      <c r="AD50" s="144">
        <v>17.3522</v>
      </c>
      <c r="AE50" s="145" t="s">
        <v>3876</v>
      </c>
      <c r="AF50" s="145" t="s">
        <v>3876</v>
      </c>
      <c r="AG50" s="145" t="s">
        <v>3876</v>
      </c>
      <c r="AH50" s="146">
        <v>9.5250589734994519E-5</v>
      </c>
      <c r="AI50" s="146">
        <v>8.8842917764004863E-3</v>
      </c>
      <c r="AJ50" s="147">
        <v>6.0356106723257776E-4</v>
      </c>
      <c r="AK50" s="181"/>
    </row>
    <row r="51" spans="1:37" ht="15" x14ac:dyDescent="0.2">
      <c r="A51" s="142" t="s">
        <v>1205</v>
      </c>
      <c r="B51" s="143" t="s">
        <v>1206</v>
      </c>
      <c r="C51" s="143" t="s">
        <v>1519</v>
      </c>
      <c r="D51" s="143" t="s">
        <v>1520</v>
      </c>
      <c r="E51" s="143" t="s">
        <v>309</v>
      </c>
      <c r="F51" s="143" t="s">
        <v>1591</v>
      </c>
      <c r="G51" s="143" t="s">
        <v>1592</v>
      </c>
      <c r="H51" s="143" t="s">
        <v>321</v>
      </c>
      <c r="I51" s="143" t="s">
        <v>754</v>
      </c>
      <c r="J51" s="143" t="s">
        <v>204</v>
      </c>
      <c r="K51" s="143" t="s">
        <v>204</v>
      </c>
      <c r="L51" s="143" t="s">
        <v>325</v>
      </c>
      <c r="M51" s="143" t="s">
        <v>340</v>
      </c>
      <c r="N51" s="143" t="s">
        <v>465</v>
      </c>
      <c r="O51" s="143" t="s">
        <v>339</v>
      </c>
      <c r="P51" s="143" t="s">
        <v>1359</v>
      </c>
      <c r="Q51" s="143" t="s">
        <v>415</v>
      </c>
      <c r="R51" s="143" t="s">
        <v>407</v>
      </c>
      <c r="S51" s="143" t="s">
        <v>1210</v>
      </c>
      <c r="T51" s="144">
        <v>0.25</v>
      </c>
      <c r="U51" s="143" t="s">
        <v>1593</v>
      </c>
      <c r="V51" s="146">
        <v>5.3499999999999999E-2</v>
      </c>
      <c r="W51" s="146">
        <v>3.9487000000000001E-2</v>
      </c>
      <c r="X51" s="143" t="s">
        <v>412</v>
      </c>
      <c r="Y51" s="145" t="s">
        <v>3876</v>
      </c>
      <c r="Z51" s="144">
        <v>13714.47</v>
      </c>
      <c r="AA51" s="145" t="s">
        <v>3876</v>
      </c>
      <c r="AB51" s="143" t="s">
        <v>1594</v>
      </c>
      <c r="AC51" s="145" t="s">
        <v>3876</v>
      </c>
      <c r="AD51" s="144">
        <v>16.399799999999999</v>
      </c>
      <c r="AE51" s="145" t="s">
        <v>3876</v>
      </c>
      <c r="AF51" s="145" t="s">
        <v>3876</v>
      </c>
      <c r="AG51" s="145" t="s">
        <v>3876</v>
      </c>
      <c r="AH51" s="146">
        <v>4.1486095980671397E-5</v>
      </c>
      <c r="AI51" s="146">
        <v>8.3966424580502672E-3</v>
      </c>
      <c r="AJ51" s="147">
        <v>5.7043224273803329E-4</v>
      </c>
      <c r="AK51" s="181"/>
    </row>
    <row r="52" spans="1:37" ht="15" x14ac:dyDescent="0.2">
      <c r="A52" s="142" t="s">
        <v>1205</v>
      </c>
      <c r="B52" s="143" t="s">
        <v>1206</v>
      </c>
      <c r="C52" s="143" t="s">
        <v>1362</v>
      </c>
      <c r="D52" s="143" t="s">
        <v>1363</v>
      </c>
      <c r="E52" s="143" t="s">
        <v>309</v>
      </c>
      <c r="F52" s="143" t="s">
        <v>1595</v>
      </c>
      <c r="G52" s="143" t="s">
        <v>1596</v>
      </c>
      <c r="H52" s="143" t="s">
        <v>321</v>
      </c>
      <c r="I52" s="143" t="s">
        <v>754</v>
      </c>
      <c r="J52" s="143" t="s">
        <v>204</v>
      </c>
      <c r="K52" s="143" t="s">
        <v>204</v>
      </c>
      <c r="L52" s="143" t="s">
        <v>325</v>
      </c>
      <c r="M52" s="143" t="s">
        <v>340</v>
      </c>
      <c r="N52" s="143" t="s">
        <v>445</v>
      </c>
      <c r="O52" s="143" t="s">
        <v>339</v>
      </c>
      <c r="P52" s="143" t="s">
        <v>1366</v>
      </c>
      <c r="Q52" s="143" t="s">
        <v>415</v>
      </c>
      <c r="R52" s="143" t="s">
        <v>407</v>
      </c>
      <c r="S52" s="143" t="s">
        <v>1210</v>
      </c>
      <c r="T52" s="144">
        <v>2.44</v>
      </c>
      <c r="U52" s="143" t="s">
        <v>1513</v>
      </c>
      <c r="V52" s="146">
        <v>2.4E-2</v>
      </c>
      <c r="W52" s="146">
        <v>2.2946000000000001E-2</v>
      </c>
      <c r="X52" s="143" t="s">
        <v>412</v>
      </c>
      <c r="Y52" s="145" t="s">
        <v>3876</v>
      </c>
      <c r="Z52" s="144">
        <v>14090.79</v>
      </c>
      <c r="AA52" s="145" t="s">
        <v>3876</v>
      </c>
      <c r="AB52" s="143" t="s">
        <v>1597</v>
      </c>
      <c r="AC52" s="145" t="s">
        <v>3876</v>
      </c>
      <c r="AD52" s="144">
        <v>16.042400000000001</v>
      </c>
      <c r="AE52" s="145" t="s">
        <v>3876</v>
      </c>
      <c r="AF52" s="145" t="s">
        <v>3876</v>
      </c>
      <c r="AG52" s="145" t="s">
        <v>3876</v>
      </c>
      <c r="AH52" s="146">
        <v>4.7734378180402007E-5</v>
      </c>
      <c r="AI52" s="146">
        <v>8.2136550581991766E-3</v>
      </c>
      <c r="AJ52" s="147">
        <v>5.5800085561974737E-4</v>
      </c>
      <c r="AK52" s="181"/>
    </row>
    <row r="53" spans="1:37" ht="15" x14ac:dyDescent="0.2">
      <c r="A53" s="142" t="s">
        <v>1205</v>
      </c>
      <c r="B53" s="143" t="s">
        <v>1206</v>
      </c>
      <c r="C53" s="143" t="s">
        <v>1468</v>
      </c>
      <c r="D53" s="143" t="s">
        <v>1469</v>
      </c>
      <c r="E53" s="143" t="s">
        <v>309</v>
      </c>
      <c r="F53" s="143" t="s">
        <v>1598</v>
      </c>
      <c r="G53" s="143" t="s">
        <v>1599</v>
      </c>
      <c r="H53" s="143" t="s">
        <v>321</v>
      </c>
      <c r="I53" s="143" t="s">
        <v>754</v>
      </c>
      <c r="J53" s="143" t="s">
        <v>204</v>
      </c>
      <c r="K53" s="143" t="s">
        <v>204</v>
      </c>
      <c r="L53" s="143" t="s">
        <v>325</v>
      </c>
      <c r="M53" s="143" t="s">
        <v>340</v>
      </c>
      <c r="N53" s="143" t="s">
        <v>448</v>
      </c>
      <c r="O53" s="143" t="s">
        <v>339</v>
      </c>
      <c r="P53" s="143" t="s">
        <v>1224</v>
      </c>
      <c r="Q53" s="143" t="s">
        <v>413</v>
      </c>
      <c r="R53" s="143" t="s">
        <v>407</v>
      </c>
      <c r="S53" s="143" t="s">
        <v>1210</v>
      </c>
      <c r="T53" s="144">
        <v>1.99</v>
      </c>
      <c r="U53" s="143" t="s">
        <v>1404</v>
      </c>
      <c r="V53" s="146">
        <v>8.3000000000000001E-3</v>
      </c>
      <c r="W53" s="146">
        <v>2.1007000000000001E-2</v>
      </c>
      <c r="X53" s="143" t="s">
        <v>412</v>
      </c>
      <c r="Y53" s="145" t="s">
        <v>3876</v>
      </c>
      <c r="Z53" s="144">
        <v>10282</v>
      </c>
      <c r="AA53" s="145" t="s">
        <v>3876</v>
      </c>
      <c r="AB53" s="143" t="s">
        <v>1600</v>
      </c>
      <c r="AC53" s="145" t="s">
        <v>3876</v>
      </c>
      <c r="AD53" s="144">
        <v>11.3873</v>
      </c>
      <c r="AE53" s="145" t="s">
        <v>3876</v>
      </c>
      <c r="AF53" s="145" t="s">
        <v>3876</v>
      </c>
      <c r="AG53" s="145" t="s">
        <v>3876</v>
      </c>
      <c r="AH53" s="146">
        <v>6.7602574183995774E-6</v>
      </c>
      <c r="AI53" s="146">
        <v>5.8302800653002966E-3</v>
      </c>
      <c r="AJ53" s="147">
        <v>3.9608447662928763E-4</v>
      </c>
      <c r="AK53" s="181"/>
    </row>
    <row r="54" spans="1:37" ht="15" x14ac:dyDescent="0.2">
      <c r="A54" s="142" t="s">
        <v>1205</v>
      </c>
      <c r="B54" s="143" t="s">
        <v>1206</v>
      </c>
      <c r="C54" s="143" t="s">
        <v>1601</v>
      </c>
      <c r="D54" s="143" t="s">
        <v>1602</v>
      </c>
      <c r="E54" s="143" t="s">
        <v>309</v>
      </c>
      <c r="F54" s="143" t="s">
        <v>1603</v>
      </c>
      <c r="G54" s="143" t="s">
        <v>1604</v>
      </c>
      <c r="H54" s="143" t="s">
        <v>321</v>
      </c>
      <c r="I54" s="143" t="s">
        <v>754</v>
      </c>
      <c r="J54" s="143" t="s">
        <v>204</v>
      </c>
      <c r="K54" s="143" t="s">
        <v>204</v>
      </c>
      <c r="L54" s="143" t="s">
        <v>325</v>
      </c>
      <c r="M54" s="143" t="s">
        <v>340</v>
      </c>
      <c r="N54" s="143" t="s">
        <v>484</v>
      </c>
      <c r="O54" s="143" t="s">
        <v>339</v>
      </c>
      <c r="P54" s="143" t="s">
        <v>1403</v>
      </c>
      <c r="Q54" s="143" t="s">
        <v>413</v>
      </c>
      <c r="R54" s="143" t="s">
        <v>407</v>
      </c>
      <c r="S54" s="143" t="s">
        <v>1210</v>
      </c>
      <c r="T54" s="144">
        <v>0.01</v>
      </c>
      <c r="U54" s="143" t="s">
        <v>1605</v>
      </c>
      <c r="V54" s="146">
        <v>1.9800000000000002E-2</v>
      </c>
      <c r="W54" s="146">
        <v>7.3847999999999997E-2</v>
      </c>
      <c r="X54" s="143" t="s">
        <v>412</v>
      </c>
      <c r="Y54" s="145" t="s">
        <v>3876</v>
      </c>
      <c r="Z54" s="144">
        <v>7573.05</v>
      </c>
      <c r="AA54" s="145" t="s">
        <v>3876</v>
      </c>
      <c r="AB54" s="143" t="s">
        <v>1606</v>
      </c>
      <c r="AC54" s="145" t="s">
        <v>3876</v>
      </c>
      <c r="AD54" s="144">
        <v>8.6854999999999993</v>
      </c>
      <c r="AE54" s="145" t="s">
        <v>3876</v>
      </c>
      <c r="AF54" s="145" t="s">
        <v>3876</v>
      </c>
      <c r="AG54" s="145" t="s">
        <v>3876</v>
      </c>
      <c r="AH54" s="146">
        <v>4.9842440877402817E-5</v>
      </c>
      <c r="AI54" s="146">
        <v>4.4469726628454873E-3</v>
      </c>
      <c r="AJ54" s="147">
        <v>3.0210844419481281E-4</v>
      </c>
      <c r="AK54" s="181"/>
    </row>
    <row r="55" spans="1:37" ht="15" x14ac:dyDescent="0.2">
      <c r="A55" s="142" t="s">
        <v>1205</v>
      </c>
      <c r="B55" s="143" t="s">
        <v>1206</v>
      </c>
      <c r="C55" s="143" t="s">
        <v>1607</v>
      </c>
      <c r="D55" s="143" t="s">
        <v>1608</v>
      </c>
      <c r="E55" s="143" t="s">
        <v>309</v>
      </c>
      <c r="F55" s="143" t="s">
        <v>1609</v>
      </c>
      <c r="G55" s="143" t="s">
        <v>1610</v>
      </c>
      <c r="H55" s="143" t="s">
        <v>321</v>
      </c>
      <c r="I55" s="143" t="s">
        <v>754</v>
      </c>
      <c r="J55" s="143" t="s">
        <v>204</v>
      </c>
      <c r="K55" s="143" t="s">
        <v>204</v>
      </c>
      <c r="L55" s="143" t="s">
        <v>325</v>
      </c>
      <c r="M55" s="143" t="s">
        <v>340</v>
      </c>
      <c r="N55" s="143" t="s">
        <v>448</v>
      </c>
      <c r="O55" s="143" t="s">
        <v>339</v>
      </c>
      <c r="P55" s="143" t="s">
        <v>1224</v>
      </c>
      <c r="Q55" s="143" t="s">
        <v>413</v>
      </c>
      <c r="R55" s="143" t="s">
        <v>407</v>
      </c>
      <c r="S55" s="143" t="s">
        <v>1210</v>
      </c>
      <c r="T55" s="144">
        <v>2.98</v>
      </c>
      <c r="U55" s="143" t="s">
        <v>1611</v>
      </c>
      <c r="V55" s="146">
        <v>1.4999999999999999E-2</v>
      </c>
      <c r="W55" s="146">
        <v>2.4263E-2</v>
      </c>
      <c r="X55" s="143" t="s">
        <v>412</v>
      </c>
      <c r="Y55" s="145" t="s">
        <v>3876</v>
      </c>
      <c r="Z55" s="144">
        <v>6816</v>
      </c>
      <c r="AA55" s="145" t="s">
        <v>3876</v>
      </c>
      <c r="AB55" s="143" t="s">
        <v>1612</v>
      </c>
      <c r="AC55" s="145" t="s">
        <v>3876</v>
      </c>
      <c r="AD55" s="144">
        <v>7.5773000000000001</v>
      </c>
      <c r="AE55" s="145" t="s">
        <v>3876</v>
      </c>
      <c r="AF55" s="145" t="s">
        <v>3876</v>
      </c>
      <c r="AG55" s="145" t="s">
        <v>3876</v>
      </c>
      <c r="AH55" s="146">
        <v>2.4417847579417679E-5</v>
      </c>
      <c r="AI55" s="146">
        <v>3.8795849880344071E-3</v>
      </c>
      <c r="AJ55" s="147">
        <v>2.6356253427172236E-4</v>
      </c>
      <c r="AK55" s="181"/>
    </row>
    <row r="56" spans="1:37" ht="15" x14ac:dyDescent="0.2">
      <c r="A56" s="142" t="s">
        <v>1205</v>
      </c>
      <c r="B56" s="143" t="s">
        <v>1206</v>
      </c>
      <c r="C56" s="143" t="s">
        <v>1613</v>
      </c>
      <c r="D56" s="143" t="s">
        <v>1614</v>
      </c>
      <c r="E56" s="143" t="s">
        <v>309</v>
      </c>
      <c r="F56" s="143" t="s">
        <v>1615</v>
      </c>
      <c r="G56" s="143" t="s">
        <v>1616</v>
      </c>
      <c r="H56" s="143" t="s">
        <v>321</v>
      </c>
      <c r="I56" s="143" t="s">
        <v>754</v>
      </c>
      <c r="J56" s="143" t="s">
        <v>204</v>
      </c>
      <c r="K56" s="143" t="s">
        <v>204</v>
      </c>
      <c r="L56" s="143" t="s">
        <v>325</v>
      </c>
      <c r="M56" s="143" t="s">
        <v>340</v>
      </c>
      <c r="N56" s="143" t="s">
        <v>445</v>
      </c>
      <c r="O56" s="143" t="s">
        <v>339</v>
      </c>
      <c r="P56" s="143" t="s">
        <v>1617</v>
      </c>
      <c r="Q56" s="143" t="s">
        <v>415</v>
      </c>
      <c r="R56" s="143" t="s">
        <v>407</v>
      </c>
      <c r="S56" s="143" t="s">
        <v>1210</v>
      </c>
      <c r="T56" s="144">
        <v>4.76</v>
      </c>
      <c r="U56" s="143" t="s">
        <v>1618</v>
      </c>
      <c r="V56" s="146">
        <v>5.1700000000000003E-2</v>
      </c>
      <c r="W56" s="146">
        <v>5.8743999999999998E-2</v>
      </c>
      <c r="X56" s="143" t="s">
        <v>412</v>
      </c>
      <c r="Y56" s="145" t="s">
        <v>3876</v>
      </c>
      <c r="Z56" s="144">
        <v>7725</v>
      </c>
      <c r="AA56" s="145" t="s">
        <v>3876</v>
      </c>
      <c r="AB56" s="143" t="s">
        <v>1619</v>
      </c>
      <c r="AC56" s="145" t="s">
        <v>3876</v>
      </c>
      <c r="AD56" s="144">
        <v>7.5381</v>
      </c>
      <c r="AE56" s="145" t="s">
        <v>3876</v>
      </c>
      <c r="AF56" s="145" t="s">
        <v>3876</v>
      </c>
      <c r="AG56" s="145" t="s">
        <v>3876</v>
      </c>
      <c r="AH56" s="146">
        <v>1.2659493226966277E-5</v>
      </c>
      <c r="AI56" s="146">
        <v>3.8594674686383253E-3</v>
      </c>
      <c r="AJ56" s="147">
        <v>2.6219583540788892E-4</v>
      </c>
      <c r="AK56" s="181"/>
    </row>
    <row r="57" spans="1:37" ht="15" x14ac:dyDescent="0.2">
      <c r="A57" s="142" t="s">
        <v>1205</v>
      </c>
      <c r="B57" s="143" t="s">
        <v>1206</v>
      </c>
      <c r="C57" s="143" t="s">
        <v>1620</v>
      </c>
      <c r="D57" s="143" t="s">
        <v>1621</v>
      </c>
      <c r="E57" s="143" t="s">
        <v>309</v>
      </c>
      <c r="F57" s="143" t="s">
        <v>1622</v>
      </c>
      <c r="G57" s="143" t="s">
        <v>1623</v>
      </c>
      <c r="H57" s="143" t="s">
        <v>321</v>
      </c>
      <c r="I57" s="143" t="s">
        <v>754</v>
      </c>
      <c r="J57" s="143" t="s">
        <v>204</v>
      </c>
      <c r="K57" s="143" t="s">
        <v>204</v>
      </c>
      <c r="L57" s="143" t="s">
        <v>325</v>
      </c>
      <c r="M57" s="143" t="s">
        <v>340</v>
      </c>
      <c r="N57" s="143" t="s">
        <v>464</v>
      </c>
      <c r="O57" s="143" t="s">
        <v>339</v>
      </c>
      <c r="P57" s="143" t="s">
        <v>1410</v>
      </c>
      <c r="Q57" s="143" t="s">
        <v>413</v>
      </c>
      <c r="R57" s="143" t="s">
        <v>407</v>
      </c>
      <c r="S57" s="143" t="s">
        <v>1210</v>
      </c>
      <c r="T57" s="144">
        <v>0.22</v>
      </c>
      <c r="U57" s="143" t="s">
        <v>1624</v>
      </c>
      <c r="V57" s="146">
        <v>0.04</v>
      </c>
      <c r="W57" s="146">
        <v>2.2232999999999999E-2</v>
      </c>
      <c r="X57" s="143" t="s">
        <v>412</v>
      </c>
      <c r="Y57" s="145" t="s">
        <v>3876</v>
      </c>
      <c r="Z57" s="144">
        <v>5912.72</v>
      </c>
      <c r="AA57" s="145" t="s">
        <v>3876</v>
      </c>
      <c r="AB57" s="143" t="s">
        <v>1625</v>
      </c>
      <c r="AC57" s="145" t="s">
        <v>3876</v>
      </c>
      <c r="AD57" s="144">
        <v>6.8002000000000002</v>
      </c>
      <c r="AE57" s="145" t="s">
        <v>3876</v>
      </c>
      <c r="AF57" s="145" t="s">
        <v>3876</v>
      </c>
      <c r="AG57" s="145" t="s">
        <v>3876</v>
      </c>
      <c r="AH57" s="146">
        <v>7.2628099962125474E-5</v>
      </c>
      <c r="AI57" s="146">
        <v>3.4816972096769518E-3</v>
      </c>
      <c r="AJ57" s="147">
        <v>2.3653172774394275E-4</v>
      </c>
      <c r="AK57" s="181"/>
    </row>
    <row r="58" spans="1:37" ht="15" x14ac:dyDescent="0.2">
      <c r="A58" s="142" t="s">
        <v>1205</v>
      </c>
      <c r="B58" s="143" t="s">
        <v>1206</v>
      </c>
      <c r="C58" s="143" t="s">
        <v>1626</v>
      </c>
      <c r="D58" s="143" t="s">
        <v>1627</v>
      </c>
      <c r="E58" s="143" t="s">
        <v>309</v>
      </c>
      <c r="F58" s="143" t="s">
        <v>1628</v>
      </c>
      <c r="G58" s="143" t="s">
        <v>1629</v>
      </c>
      <c r="H58" s="143" t="s">
        <v>321</v>
      </c>
      <c r="I58" s="143" t="s">
        <v>754</v>
      </c>
      <c r="J58" s="143" t="s">
        <v>204</v>
      </c>
      <c r="K58" s="143" t="s">
        <v>204</v>
      </c>
      <c r="L58" s="143" t="s">
        <v>325</v>
      </c>
      <c r="M58" s="143" t="s">
        <v>340</v>
      </c>
      <c r="N58" s="143" t="s">
        <v>445</v>
      </c>
      <c r="O58" s="143" t="s">
        <v>339</v>
      </c>
      <c r="P58" s="143" t="s">
        <v>1410</v>
      </c>
      <c r="Q58" s="143" t="s">
        <v>413</v>
      </c>
      <c r="R58" s="143" t="s">
        <v>407</v>
      </c>
      <c r="S58" s="143" t="s">
        <v>1210</v>
      </c>
      <c r="T58" s="144">
        <v>4.79</v>
      </c>
      <c r="U58" s="143" t="s">
        <v>1630</v>
      </c>
      <c r="V58" s="146">
        <v>4.4000000000000003E-3</v>
      </c>
      <c r="W58" s="146">
        <v>2.8766E-2</v>
      </c>
      <c r="X58" s="143" t="s">
        <v>412</v>
      </c>
      <c r="Y58" s="145" t="s">
        <v>3876</v>
      </c>
      <c r="Z58" s="144">
        <v>4748.4799999999996</v>
      </c>
      <c r="AA58" s="145" t="s">
        <v>3876</v>
      </c>
      <c r="AB58" s="143" t="s">
        <v>1631</v>
      </c>
      <c r="AC58" s="145" t="s">
        <v>3876</v>
      </c>
      <c r="AD58" s="144">
        <v>4.7998000000000003</v>
      </c>
      <c r="AE58" s="145" t="s">
        <v>3876</v>
      </c>
      <c r="AF58" s="145" t="s">
        <v>3876</v>
      </c>
      <c r="AG58" s="145" t="s">
        <v>3876</v>
      </c>
      <c r="AH58" s="146">
        <v>5.5668245458833344E-6</v>
      </c>
      <c r="AI58" s="146">
        <v>2.4574683269892425E-3</v>
      </c>
      <c r="AJ58" s="147">
        <v>1.6694996556369554E-4</v>
      </c>
      <c r="AK58" s="181"/>
    </row>
    <row r="59" spans="1:37" ht="15" x14ac:dyDescent="0.2">
      <c r="A59" s="142" t="s">
        <v>1205</v>
      </c>
      <c r="B59" s="143" t="s">
        <v>1206</v>
      </c>
      <c r="C59" s="143" t="s">
        <v>1613</v>
      </c>
      <c r="D59" s="143" t="s">
        <v>1614</v>
      </c>
      <c r="E59" s="143" t="s">
        <v>309</v>
      </c>
      <c r="F59" s="143" t="s">
        <v>1632</v>
      </c>
      <c r="G59" s="143" t="s">
        <v>1633</v>
      </c>
      <c r="H59" s="143" t="s">
        <v>321</v>
      </c>
      <c r="I59" s="143" t="s">
        <v>754</v>
      </c>
      <c r="J59" s="143" t="s">
        <v>204</v>
      </c>
      <c r="K59" s="143" t="s">
        <v>204</v>
      </c>
      <c r="L59" s="143" t="s">
        <v>325</v>
      </c>
      <c r="M59" s="143" t="s">
        <v>340</v>
      </c>
      <c r="N59" s="143" t="s">
        <v>445</v>
      </c>
      <c r="O59" s="143" t="s">
        <v>339</v>
      </c>
      <c r="P59" s="143" t="s">
        <v>1617</v>
      </c>
      <c r="Q59" s="143" t="s">
        <v>415</v>
      </c>
      <c r="R59" s="143" t="s">
        <v>407</v>
      </c>
      <c r="S59" s="143" t="s">
        <v>1210</v>
      </c>
      <c r="T59" s="144">
        <v>5.55</v>
      </c>
      <c r="U59" s="143" t="s">
        <v>1634</v>
      </c>
      <c r="V59" s="146">
        <v>5.3999999999999999E-2</v>
      </c>
      <c r="W59" s="146">
        <v>6.1131999999999999E-2</v>
      </c>
      <c r="X59" s="143" t="s">
        <v>412</v>
      </c>
      <c r="Y59" s="145" t="s">
        <v>3876</v>
      </c>
      <c r="Z59" s="144">
        <v>4187</v>
      </c>
      <c r="AA59" s="145" t="s">
        <v>3876</v>
      </c>
      <c r="AB59" s="143" t="s">
        <v>1635</v>
      </c>
      <c r="AC59" s="145" t="s">
        <v>3876</v>
      </c>
      <c r="AD59" s="144">
        <v>4.0484</v>
      </c>
      <c r="AE59" s="145" t="s">
        <v>3876</v>
      </c>
      <c r="AF59" s="145" t="s">
        <v>3876</v>
      </c>
      <c r="AG59" s="145" t="s">
        <v>3876</v>
      </c>
      <c r="AH59" s="146">
        <v>7.3262495237019189E-6</v>
      </c>
      <c r="AI59" s="146">
        <v>2.0727771092875183E-3</v>
      </c>
      <c r="AJ59" s="147">
        <v>1.408156773441428E-4</v>
      </c>
      <c r="AK59" s="181"/>
    </row>
    <row r="60" spans="1:37" ht="15" x14ac:dyDescent="0.2">
      <c r="A60" s="142" t="s">
        <v>1205</v>
      </c>
      <c r="B60" s="143" t="s">
        <v>1206</v>
      </c>
      <c r="C60" s="143" t="s">
        <v>1571</v>
      </c>
      <c r="D60" s="143" t="s">
        <v>1572</v>
      </c>
      <c r="E60" s="143" t="s">
        <v>309</v>
      </c>
      <c r="F60" s="143" t="s">
        <v>1636</v>
      </c>
      <c r="G60" s="143" t="s">
        <v>1637</v>
      </c>
      <c r="H60" s="143" t="s">
        <v>321</v>
      </c>
      <c r="I60" s="143" t="s">
        <v>754</v>
      </c>
      <c r="J60" s="143" t="s">
        <v>204</v>
      </c>
      <c r="K60" s="143" t="s">
        <v>204</v>
      </c>
      <c r="L60" s="143" t="s">
        <v>325</v>
      </c>
      <c r="M60" s="143" t="s">
        <v>340</v>
      </c>
      <c r="N60" s="143" t="s">
        <v>440</v>
      </c>
      <c r="O60" s="143" t="s">
        <v>339</v>
      </c>
      <c r="P60" s="143" t="s">
        <v>1347</v>
      </c>
      <c r="Q60" s="143" t="s">
        <v>413</v>
      </c>
      <c r="R60" s="143" t="s">
        <v>407</v>
      </c>
      <c r="S60" s="143" t="s">
        <v>1210</v>
      </c>
      <c r="T60" s="144">
        <v>3.31</v>
      </c>
      <c r="U60" s="143" t="s">
        <v>1638</v>
      </c>
      <c r="V60" s="146">
        <v>1.23E-2</v>
      </c>
      <c r="W60" s="146">
        <v>2.8667000000000002E-2</v>
      </c>
      <c r="X60" s="143" t="s">
        <v>412</v>
      </c>
      <c r="Y60" s="145" t="s">
        <v>3876</v>
      </c>
      <c r="Z60" s="144">
        <v>2593.04</v>
      </c>
      <c r="AA60" s="145" t="s">
        <v>3876</v>
      </c>
      <c r="AB60" s="143" t="s">
        <v>1639</v>
      </c>
      <c r="AC60" s="145" t="s">
        <v>3876</v>
      </c>
      <c r="AD60" s="144">
        <v>2.8103000000000002</v>
      </c>
      <c r="AE60" s="145" t="s">
        <v>3876</v>
      </c>
      <c r="AF60" s="145" t="s">
        <v>3876</v>
      </c>
      <c r="AG60" s="145" t="s">
        <v>3876</v>
      </c>
      <c r="AH60" s="146">
        <v>2.3258240262476199E-6</v>
      </c>
      <c r="AI60" s="146">
        <v>1.4388861941525622E-3</v>
      </c>
      <c r="AJ60" s="147">
        <v>9.7751819596452033E-5</v>
      </c>
      <c r="AK60" s="181"/>
    </row>
    <row r="61" spans="1:37" ht="15" x14ac:dyDescent="0.2">
      <c r="A61" s="142" t="s">
        <v>1205</v>
      </c>
      <c r="B61" s="143" t="s">
        <v>1206</v>
      </c>
      <c r="C61" s="143" t="s">
        <v>1640</v>
      </c>
      <c r="D61" s="143" t="s">
        <v>1641</v>
      </c>
      <c r="E61" s="143" t="s">
        <v>309</v>
      </c>
      <c r="F61" s="143" t="s">
        <v>1642</v>
      </c>
      <c r="G61" s="143" t="s">
        <v>1643</v>
      </c>
      <c r="H61" s="143" t="s">
        <v>321</v>
      </c>
      <c r="I61" s="143" t="s">
        <v>754</v>
      </c>
      <c r="J61" s="143" t="s">
        <v>204</v>
      </c>
      <c r="K61" s="143" t="s">
        <v>204</v>
      </c>
      <c r="L61" s="143" t="s">
        <v>325</v>
      </c>
      <c r="M61" s="143" t="s">
        <v>340</v>
      </c>
      <c r="N61" s="143" t="s">
        <v>464</v>
      </c>
      <c r="O61" s="143" t="s">
        <v>339</v>
      </c>
      <c r="P61" s="143" t="s">
        <v>1366</v>
      </c>
      <c r="Q61" s="143" t="s">
        <v>415</v>
      </c>
      <c r="R61" s="143" t="s">
        <v>407</v>
      </c>
      <c r="S61" s="143" t="s">
        <v>1210</v>
      </c>
      <c r="T61" s="144">
        <v>3.16</v>
      </c>
      <c r="U61" s="143" t="s">
        <v>1644</v>
      </c>
      <c r="V61" s="146">
        <v>1.9599999999999999E-2</v>
      </c>
      <c r="W61" s="146">
        <v>2.9968999999999999E-2</v>
      </c>
      <c r="X61" s="143" t="s">
        <v>412</v>
      </c>
      <c r="Y61" s="145" t="s">
        <v>3876</v>
      </c>
      <c r="Z61" s="144">
        <v>1899</v>
      </c>
      <c r="AA61" s="145" t="s">
        <v>3876</v>
      </c>
      <c r="AB61" s="143" t="s">
        <v>1645</v>
      </c>
      <c r="AC61" s="145" t="s">
        <v>3876</v>
      </c>
      <c r="AD61" s="144">
        <v>2.11</v>
      </c>
      <c r="AE61" s="145" t="s">
        <v>3876</v>
      </c>
      <c r="AF61" s="145" t="s">
        <v>3876</v>
      </c>
      <c r="AG61" s="145" t="s">
        <v>3876</v>
      </c>
      <c r="AH61" s="146">
        <v>1.6583812330495524E-6</v>
      </c>
      <c r="AI61" s="146">
        <v>1.0803045247166911E-3</v>
      </c>
      <c r="AJ61" s="147">
        <v>7.3391303244473344E-5</v>
      </c>
      <c r="AK61" s="181"/>
    </row>
    <row r="62" spans="1:37" ht="15" x14ac:dyDescent="0.2">
      <c r="A62" s="142" t="s">
        <v>1205</v>
      </c>
      <c r="B62" s="143" t="s">
        <v>1206</v>
      </c>
      <c r="C62" s="143" t="s">
        <v>1646</v>
      </c>
      <c r="D62" s="143" t="s">
        <v>1647</v>
      </c>
      <c r="E62" s="143" t="s">
        <v>309</v>
      </c>
      <c r="F62" s="143" t="s">
        <v>1648</v>
      </c>
      <c r="G62" s="143" t="s">
        <v>1649</v>
      </c>
      <c r="H62" s="143" t="s">
        <v>321</v>
      </c>
      <c r="I62" s="143" t="s">
        <v>755</v>
      </c>
      <c r="J62" s="143" t="s">
        <v>204</v>
      </c>
      <c r="K62" s="143" t="s">
        <v>204</v>
      </c>
      <c r="L62" s="143" t="s">
        <v>325</v>
      </c>
      <c r="M62" s="143" t="s">
        <v>340</v>
      </c>
      <c r="N62" s="143" t="s">
        <v>454</v>
      </c>
      <c r="O62" s="143" t="s">
        <v>339</v>
      </c>
      <c r="P62" s="143" t="s">
        <v>1617</v>
      </c>
      <c r="Q62" s="143" t="s">
        <v>415</v>
      </c>
      <c r="R62" s="143" t="s">
        <v>407</v>
      </c>
      <c r="S62" s="143" t="s">
        <v>1210</v>
      </c>
      <c r="T62" s="144">
        <v>3.16</v>
      </c>
      <c r="U62" s="143" t="s">
        <v>1650</v>
      </c>
      <c r="V62" s="146">
        <v>4.6899999999999997E-2</v>
      </c>
      <c r="W62" s="146">
        <v>7.5714000000000004E-2</v>
      </c>
      <c r="X62" s="143" t="s">
        <v>412</v>
      </c>
      <c r="Y62" s="145" t="s">
        <v>3876</v>
      </c>
      <c r="Z62" s="144">
        <v>0.77</v>
      </c>
      <c r="AA62" s="145" t="s">
        <v>3876</v>
      </c>
      <c r="AB62" s="143" t="s">
        <v>1651</v>
      </c>
      <c r="AC62" s="145" t="s">
        <v>3876</v>
      </c>
      <c r="AD62" s="144">
        <v>8.0000000000000004E-4</v>
      </c>
      <c r="AE62" s="145" t="s">
        <v>3876</v>
      </c>
      <c r="AF62" s="145" t="s">
        <v>3876</v>
      </c>
      <c r="AG62" s="145" t="s">
        <v>3876</v>
      </c>
      <c r="AH62" s="146">
        <v>6.4348875763549344E-10</v>
      </c>
      <c r="AI62" s="146">
        <v>3.9975763113474649E-7</v>
      </c>
      <c r="AJ62" s="147">
        <v>2.7157836387472834E-8</v>
      </c>
      <c r="AK62" s="181"/>
    </row>
    <row r="63" spans="1:37" ht="15" x14ac:dyDescent="0.2">
      <c r="A63" s="142" t="s">
        <v>1205</v>
      </c>
      <c r="B63" s="143" t="s">
        <v>1215</v>
      </c>
      <c r="C63" s="143" t="s">
        <v>1343</v>
      </c>
      <c r="D63" s="143" t="s">
        <v>1344</v>
      </c>
      <c r="E63" s="143" t="s">
        <v>309</v>
      </c>
      <c r="F63" s="143" t="s">
        <v>1345</v>
      </c>
      <c r="G63" s="143" t="s">
        <v>1346</v>
      </c>
      <c r="H63" s="143" t="s">
        <v>321</v>
      </c>
      <c r="I63" s="143" t="s">
        <v>951</v>
      </c>
      <c r="J63" s="143" t="s">
        <v>204</v>
      </c>
      <c r="K63" s="143" t="s">
        <v>204</v>
      </c>
      <c r="L63" s="143" t="s">
        <v>325</v>
      </c>
      <c r="M63" s="143" t="s">
        <v>340</v>
      </c>
      <c r="N63" s="143" t="s">
        <v>445</v>
      </c>
      <c r="O63" s="143" t="s">
        <v>339</v>
      </c>
      <c r="P63" s="143" t="s">
        <v>1347</v>
      </c>
      <c r="Q63" s="143" t="s">
        <v>413</v>
      </c>
      <c r="R63" s="143" t="s">
        <v>407</v>
      </c>
      <c r="S63" s="143" t="s">
        <v>1210</v>
      </c>
      <c r="T63" s="144">
        <v>5.29</v>
      </c>
      <c r="U63" s="143" t="s">
        <v>1295</v>
      </c>
      <c r="V63" s="146">
        <v>2.64E-2</v>
      </c>
      <c r="W63" s="146">
        <v>5.8282E-2</v>
      </c>
      <c r="X63" s="143" t="s">
        <v>412</v>
      </c>
      <c r="Y63" s="145" t="s">
        <v>3876</v>
      </c>
      <c r="Z63" s="144">
        <v>14440.75</v>
      </c>
      <c r="AA63" s="145" t="s">
        <v>3876</v>
      </c>
      <c r="AB63" s="143" t="s">
        <v>1348</v>
      </c>
      <c r="AC63" s="145" t="s">
        <v>3876</v>
      </c>
      <c r="AD63" s="144">
        <v>12.367100000000001</v>
      </c>
      <c r="AE63" s="145" t="s">
        <v>3876</v>
      </c>
      <c r="AF63" s="145" t="s">
        <v>3876</v>
      </c>
      <c r="AG63" s="145" t="s">
        <v>3876</v>
      </c>
      <c r="AH63" s="146">
        <v>8.825935012065136E-6</v>
      </c>
      <c r="AI63" s="146">
        <v>5.2101585765804342E-2</v>
      </c>
      <c r="AJ63" s="147">
        <v>5.8723762468924521E-3</v>
      </c>
      <c r="AK63" s="181"/>
    </row>
    <row r="64" spans="1:37" ht="15" x14ac:dyDescent="0.2">
      <c r="A64" s="142" t="s">
        <v>1205</v>
      </c>
      <c r="B64" s="143" t="s">
        <v>1215</v>
      </c>
      <c r="C64" s="143" t="s">
        <v>1369</v>
      </c>
      <c r="D64" s="143" t="s">
        <v>1370</v>
      </c>
      <c r="E64" s="143" t="s">
        <v>309</v>
      </c>
      <c r="F64" s="143" t="s">
        <v>1371</v>
      </c>
      <c r="G64" s="143" t="s">
        <v>1372</v>
      </c>
      <c r="H64" s="143" t="s">
        <v>321</v>
      </c>
      <c r="I64" s="143" t="s">
        <v>951</v>
      </c>
      <c r="J64" s="143" t="s">
        <v>204</v>
      </c>
      <c r="K64" s="143" t="s">
        <v>204</v>
      </c>
      <c r="L64" s="143" t="s">
        <v>325</v>
      </c>
      <c r="M64" s="143" t="s">
        <v>340</v>
      </c>
      <c r="N64" s="143" t="s">
        <v>445</v>
      </c>
      <c r="O64" s="143" t="s">
        <v>339</v>
      </c>
      <c r="P64" s="143" t="s">
        <v>1366</v>
      </c>
      <c r="Q64" s="143" t="s">
        <v>415</v>
      </c>
      <c r="R64" s="143" t="s">
        <v>407</v>
      </c>
      <c r="S64" s="143" t="s">
        <v>1210</v>
      </c>
      <c r="T64" s="144">
        <v>1.05</v>
      </c>
      <c r="U64" s="143" t="s">
        <v>1373</v>
      </c>
      <c r="V64" s="146">
        <v>3.61E-2</v>
      </c>
      <c r="W64" s="146">
        <v>5.1234000000000002E-2</v>
      </c>
      <c r="X64" s="143" t="s">
        <v>412</v>
      </c>
      <c r="Y64" s="145" t="s">
        <v>3876</v>
      </c>
      <c r="Z64" s="144">
        <v>7978</v>
      </c>
      <c r="AA64" s="145" t="s">
        <v>3876</v>
      </c>
      <c r="AB64" s="143" t="s">
        <v>1374</v>
      </c>
      <c r="AC64" s="145" t="s">
        <v>3876</v>
      </c>
      <c r="AD64" s="144">
        <v>7.9788000000000006</v>
      </c>
      <c r="AE64" s="145" t="s">
        <v>3876</v>
      </c>
      <c r="AF64" s="145" t="s">
        <v>3876</v>
      </c>
      <c r="AG64" s="145" t="s">
        <v>3876</v>
      </c>
      <c r="AH64" s="146">
        <v>1.0394788273615635E-5</v>
      </c>
      <c r="AI64" s="146">
        <v>3.3614139094396527E-2</v>
      </c>
      <c r="AJ64" s="147">
        <v>3.7886538207293607E-3</v>
      </c>
      <c r="AK64" s="181"/>
    </row>
    <row r="65" spans="1:37" ht="15" x14ac:dyDescent="0.2">
      <c r="A65" s="142" t="s">
        <v>1205</v>
      </c>
      <c r="B65" s="143" t="s">
        <v>1215</v>
      </c>
      <c r="C65" s="143" t="s">
        <v>1385</v>
      </c>
      <c r="D65" s="143" t="s">
        <v>1386</v>
      </c>
      <c r="E65" s="143" t="s">
        <v>309</v>
      </c>
      <c r="F65" s="143" t="s">
        <v>1387</v>
      </c>
      <c r="G65" s="143" t="s">
        <v>1388</v>
      </c>
      <c r="H65" s="143" t="s">
        <v>321</v>
      </c>
      <c r="I65" s="143" t="s">
        <v>951</v>
      </c>
      <c r="J65" s="143" t="s">
        <v>204</v>
      </c>
      <c r="K65" s="143" t="s">
        <v>204</v>
      </c>
      <c r="L65" s="143" t="s">
        <v>325</v>
      </c>
      <c r="M65" s="143" t="s">
        <v>340</v>
      </c>
      <c r="N65" s="143" t="s">
        <v>440</v>
      </c>
      <c r="O65" s="143" t="s">
        <v>339</v>
      </c>
      <c r="P65" s="143" t="s">
        <v>1389</v>
      </c>
      <c r="Q65" s="143" t="s">
        <v>413</v>
      </c>
      <c r="R65" s="143" t="s">
        <v>407</v>
      </c>
      <c r="S65" s="143" t="s">
        <v>1210</v>
      </c>
      <c r="T65" s="144">
        <v>3.26</v>
      </c>
      <c r="U65" s="143" t="s">
        <v>1390</v>
      </c>
      <c r="V65" s="146">
        <v>2.5000000000000001E-2</v>
      </c>
      <c r="W65" s="146">
        <v>5.9434000000000001E-2</v>
      </c>
      <c r="X65" s="143" t="s">
        <v>412</v>
      </c>
      <c r="Y65" s="145" t="s">
        <v>3876</v>
      </c>
      <c r="Z65" s="144">
        <v>8550</v>
      </c>
      <c r="AA65" s="145" t="s">
        <v>3876</v>
      </c>
      <c r="AB65" s="143" t="s">
        <v>1391</v>
      </c>
      <c r="AC65" s="145" t="s">
        <v>3876</v>
      </c>
      <c r="AD65" s="144">
        <v>7.7275</v>
      </c>
      <c r="AE65" s="145" t="s">
        <v>3876</v>
      </c>
      <c r="AF65" s="145" t="s">
        <v>3876</v>
      </c>
      <c r="AG65" s="145" t="s">
        <v>3876</v>
      </c>
      <c r="AH65" s="146">
        <v>1.0578689582459122E-5</v>
      </c>
      <c r="AI65" s="146">
        <v>3.2555396216527532E-2</v>
      </c>
      <c r="AJ65" s="147">
        <v>3.6693227785704668E-3</v>
      </c>
      <c r="AK65" s="181"/>
    </row>
    <row r="66" spans="1:37" ht="15" x14ac:dyDescent="0.2">
      <c r="A66" s="142" t="s">
        <v>1205</v>
      </c>
      <c r="B66" s="143" t="s">
        <v>1215</v>
      </c>
      <c r="C66" s="143" t="s">
        <v>1355</v>
      </c>
      <c r="D66" s="143" t="s">
        <v>1356</v>
      </c>
      <c r="E66" s="143" t="s">
        <v>309</v>
      </c>
      <c r="F66" s="143" t="s">
        <v>1357</v>
      </c>
      <c r="G66" s="143" t="s">
        <v>1358</v>
      </c>
      <c r="H66" s="143" t="s">
        <v>321</v>
      </c>
      <c r="I66" s="143" t="s">
        <v>951</v>
      </c>
      <c r="J66" s="143" t="s">
        <v>204</v>
      </c>
      <c r="K66" s="143" t="s">
        <v>204</v>
      </c>
      <c r="L66" s="143" t="s">
        <v>325</v>
      </c>
      <c r="M66" s="143" t="s">
        <v>340</v>
      </c>
      <c r="N66" s="143" t="s">
        <v>484</v>
      </c>
      <c r="O66" s="143" t="s">
        <v>339</v>
      </c>
      <c r="P66" s="143" t="s">
        <v>1359</v>
      </c>
      <c r="Q66" s="143" t="s">
        <v>415</v>
      </c>
      <c r="R66" s="143" t="s">
        <v>407</v>
      </c>
      <c r="S66" s="143" t="s">
        <v>1210</v>
      </c>
      <c r="T66" s="144">
        <v>2.3199999999999998</v>
      </c>
      <c r="U66" s="143" t="s">
        <v>1360</v>
      </c>
      <c r="V66" s="146">
        <v>3.6499999999999998E-2</v>
      </c>
      <c r="W66" s="146">
        <v>5.8046E-2</v>
      </c>
      <c r="X66" s="143" t="s">
        <v>412</v>
      </c>
      <c r="Y66" s="145" t="s">
        <v>3876</v>
      </c>
      <c r="Z66" s="144">
        <v>7350.47</v>
      </c>
      <c r="AA66" s="145" t="s">
        <v>3876</v>
      </c>
      <c r="AB66" s="143" t="s">
        <v>1361</v>
      </c>
      <c r="AC66" s="145" t="s">
        <v>3876</v>
      </c>
      <c r="AD66" s="144">
        <v>7.0343999999999998</v>
      </c>
      <c r="AE66" s="145" t="s">
        <v>3876</v>
      </c>
      <c r="AF66" s="145" t="s">
        <v>3876</v>
      </c>
      <c r="AG66" s="145" t="s">
        <v>3876</v>
      </c>
      <c r="AH66" s="146">
        <v>3.6573748645192212E-6</v>
      </c>
      <c r="AI66" s="146">
        <v>2.9635453725453939E-2</v>
      </c>
      <c r="AJ66" s="147">
        <v>3.3402156952669374E-3</v>
      </c>
      <c r="AK66" s="181"/>
    </row>
    <row r="67" spans="1:37" ht="15" x14ac:dyDescent="0.2">
      <c r="A67" s="142" t="s">
        <v>1205</v>
      </c>
      <c r="B67" s="143" t="s">
        <v>1215</v>
      </c>
      <c r="C67" s="143" t="s">
        <v>1379</v>
      </c>
      <c r="D67" s="143" t="s">
        <v>1380</v>
      </c>
      <c r="E67" s="143" t="s">
        <v>309</v>
      </c>
      <c r="F67" s="143" t="s">
        <v>1381</v>
      </c>
      <c r="G67" s="143" t="s">
        <v>1382</v>
      </c>
      <c r="H67" s="143" t="s">
        <v>321</v>
      </c>
      <c r="I67" s="143" t="s">
        <v>951</v>
      </c>
      <c r="J67" s="143" t="s">
        <v>204</v>
      </c>
      <c r="K67" s="143" t="s">
        <v>204</v>
      </c>
      <c r="L67" s="143" t="s">
        <v>325</v>
      </c>
      <c r="M67" s="143" t="s">
        <v>340</v>
      </c>
      <c r="N67" s="143" t="s">
        <v>445</v>
      </c>
      <c r="O67" s="143" t="s">
        <v>339</v>
      </c>
      <c r="P67" s="143" t="s">
        <v>1347</v>
      </c>
      <c r="Q67" s="143" t="s">
        <v>413</v>
      </c>
      <c r="R67" s="143" t="s">
        <v>407</v>
      </c>
      <c r="S67" s="143" t="s">
        <v>1210</v>
      </c>
      <c r="T67" s="144">
        <v>5.4</v>
      </c>
      <c r="U67" s="143" t="s">
        <v>1383</v>
      </c>
      <c r="V67" s="146">
        <v>5.2499999999999998E-2</v>
      </c>
      <c r="W67" s="146">
        <v>5.9947E-2</v>
      </c>
      <c r="X67" s="143" t="s">
        <v>412</v>
      </c>
      <c r="Y67" s="145" t="s">
        <v>3876</v>
      </c>
      <c r="Z67" s="144">
        <v>7000</v>
      </c>
      <c r="AA67" s="145" t="s">
        <v>3876</v>
      </c>
      <c r="AB67" s="143" t="s">
        <v>1384</v>
      </c>
      <c r="AC67" s="145" t="s">
        <v>3876</v>
      </c>
      <c r="AD67" s="144">
        <v>6.8193999999999999</v>
      </c>
      <c r="AE67" s="145" t="s">
        <v>3876</v>
      </c>
      <c r="AF67" s="145" t="s">
        <v>3876</v>
      </c>
      <c r="AG67" s="145" t="s">
        <v>3876</v>
      </c>
      <c r="AH67" s="146">
        <v>1.4E-5</v>
      </c>
      <c r="AI67" s="146">
        <v>2.8729674054445604E-2</v>
      </c>
      <c r="AJ67" s="147">
        <v>3.2381251552811379E-3</v>
      </c>
      <c r="AK67" s="181"/>
    </row>
    <row r="68" spans="1:37" ht="15" x14ac:dyDescent="0.2">
      <c r="A68" s="142" t="s">
        <v>1205</v>
      </c>
      <c r="B68" s="143" t="s">
        <v>1215</v>
      </c>
      <c r="C68" s="143" t="s">
        <v>1581</v>
      </c>
      <c r="D68" s="143" t="s">
        <v>1582</v>
      </c>
      <c r="E68" s="143" t="s">
        <v>309</v>
      </c>
      <c r="F68" s="143" t="s">
        <v>1652</v>
      </c>
      <c r="G68" s="143" t="s">
        <v>1653</v>
      </c>
      <c r="H68" s="143" t="s">
        <v>321</v>
      </c>
      <c r="I68" s="143" t="s">
        <v>951</v>
      </c>
      <c r="J68" s="143" t="s">
        <v>204</v>
      </c>
      <c r="K68" s="143" t="s">
        <v>204</v>
      </c>
      <c r="L68" s="143" t="s">
        <v>325</v>
      </c>
      <c r="M68" s="143" t="s">
        <v>340</v>
      </c>
      <c r="N68" s="143" t="s">
        <v>464</v>
      </c>
      <c r="O68" s="143" t="s">
        <v>339</v>
      </c>
      <c r="P68" s="143" t="s">
        <v>1410</v>
      </c>
      <c r="Q68" s="143" t="s">
        <v>413</v>
      </c>
      <c r="R68" s="143" t="s">
        <v>407</v>
      </c>
      <c r="S68" s="143" t="s">
        <v>1210</v>
      </c>
      <c r="T68" s="144">
        <v>0.5</v>
      </c>
      <c r="U68" s="143" t="s">
        <v>1455</v>
      </c>
      <c r="V68" s="146">
        <v>3.5000000000000003E-2</v>
      </c>
      <c r="W68" s="146">
        <v>4.5698000000000003E-2</v>
      </c>
      <c r="X68" s="143" t="s">
        <v>412</v>
      </c>
      <c r="Y68" s="145" t="s">
        <v>3876</v>
      </c>
      <c r="Z68" s="144">
        <v>6195.73</v>
      </c>
      <c r="AA68" s="145" t="s">
        <v>3876</v>
      </c>
      <c r="AB68" s="143" t="s">
        <v>1654</v>
      </c>
      <c r="AC68" s="145" t="s">
        <v>3876</v>
      </c>
      <c r="AD68" s="144">
        <v>6.1660000000000004</v>
      </c>
      <c r="AE68" s="145" t="s">
        <v>3876</v>
      </c>
      <c r="AF68" s="145" t="s">
        <v>3876</v>
      </c>
      <c r="AG68" s="145" t="s">
        <v>3876</v>
      </c>
      <c r="AH68" s="146">
        <v>9.0531000578397903E-6</v>
      </c>
      <c r="AI68" s="146">
        <v>2.5976903711893918E-2</v>
      </c>
      <c r="AJ68" s="147">
        <v>2.9278600657421504E-3</v>
      </c>
      <c r="AK68" s="181"/>
    </row>
    <row r="69" spans="1:37" ht="15" x14ac:dyDescent="0.2">
      <c r="A69" s="142" t="s">
        <v>1205</v>
      </c>
      <c r="B69" s="143" t="s">
        <v>1215</v>
      </c>
      <c r="C69" s="143" t="s">
        <v>1349</v>
      </c>
      <c r="D69" s="143" t="s">
        <v>1350</v>
      </c>
      <c r="E69" s="143" t="s">
        <v>309</v>
      </c>
      <c r="F69" s="143" t="s">
        <v>1351</v>
      </c>
      <c r="G69" s="143" t="s">
        <v>1352</v>
      </c>
      <c r="H69" s="143" t="s">
        <v>321</v>
      </c>
      <c r="I69" s="143" t="s">
        <v>951</v>
      </c>
      <c r="J69" s="143" t="s">
        <v>204</v>
      </c>
      <c r="K69" s="143" t="s">
        <v>204</v>
      </c>
      <c r="L69" s="143" t="s">
        <v>325</v>
      </c>
      <c r="M69" s="143" t="s">
        <v>340</v>
      </c>
      <c r="N69" s="143" t="s">
        <v>448</v>
      </c>
      <c r="O69" s="143" t="s">
        <v>339</v>
      </c>
      <c r="P69" s="143" t="s">
        <v>1224</v>
      </c>
      <c r="Q69" s="143" t="s">
        <v>413</v>
      </c>
      <c r="R69" s="143" t="s">
        <v>407</v>
      </c>
      <c r="S69" s="143" t="s">
        <v>1210</v>
      </c>
      <c r="T69" s="144">
        <v>0.93</v>
      </c>
      <c r="U69" s="143" t="s">
        <v>1353</v>
      </c>
      <c r="V69" s="146">
        <v>2.98E-2</v>
      </c>
      <c r="W69" s="146">
        <v>4.5124999999999998E-2</v>
      </c>
      <c r="X69" s="143" t="s">
        <v>412</v>
      </c>
      <c r="Y69" s="145" t="s">
        <v>3876</v>
      </c>
      <c r="Z69" s="144">
        <v>6231</v>
      </c>
      <c r="AA69" s="145" t="s">
        <v>3876</v>
      </c>
      <c r="AB69" s="143" t="s">
        <v>1354</v>
      </c>
      <c r="AC69" s="145" t="s">
        <v>3876</v>
      </c>
      <c r="AD69" s="144">
        <v>6.1574999999999998</v>
      </c>
      <c r="AE69" s="145" t="s">
        <v>3876</v>
      </c>
      <c r="AF69" s="145" t="s">
        <v>3876</v>
      </c>
      <c r="AG69" s="145" t="s">
        <v>3876</v>
      </c>
      <c r="AH69" s="146">
        <v>2.4511124809262852E-6</v>
      </c>
      <c r="AI69" s="146">
        <v>2.5941025128993489E-2</v>
      </c>
      <c r="AJ69" s="147">
        <v>2.9238161861768778E-3</v>
      </c>
      <c r="AK69" s="181"/>
    </row>
    <row r="70" spans="1:37" ht="15" x14ac:dyDescent="0.2">
      <c r="A70" s="142" t="s">
        <v>1205</v>
      </c>
      <c r="B70" s="143" t="s">
        <v>1215</v>
      </c>
      <c r="C70" s="143" t="s">
        <v>1655</v>
      </c>
      <c r="D70" s="143" t="s">
        <v>1656</v>
      </c>
      <c r="E70" s="143" t="s">
        <v>309</v>
      </c>
      <c r="F70" s="143" t="s">
        <v>1657</v>
      </c>
      <c r="G70" s="143" t="s">
        <v>1658</v>
      </c>
      <c r="H70" s="143" t="s">
        <v>321</v>
      </c>
      <c r="I70" s="143" t="s">
        <v>951</v>
      </c>
      <c r="J70" s="143" t="s">
        <v>204</v>
      </c>
      <c r="K70" s="143" t="s">
        <v>204</v>
      </c>
      <c r="L70" s="143" t="s">
        <v>325</v>
      </c>
      <c r="M70" s="143" t="s">
        <v>340</v>
      </c>
      <c r="N70" s="143" t="s">
        <v>447</v>
      </c>
      <c r="O70" s="143" t="s">
        <v>339</v>
      </c>
      <c r="P70" s="143" t="s">
        <v>1359</v>
      </c>
      <c r="Q70" s="143" t="s">
        <v>415</v>
      </c>
      <c r="R70" s="143" t="s">
        <v>407</v>
      </c>
      <c r="S70" s="143" t="s">
        <v>1210</v>
      </c>
      <c r="T70" s="144">
        <v>2.4900000000000002</v>
      </c>
      <c r="U70" s="143" t="s">
        <v>1419</v>
      </c>
      <c r="V70" s="146">
        <v>4.53E-2</v>
      </c>
      <c r="W70" s="146">
        <v>6.2630000000000005E-2</v>
      </c>
      <c r="X70" s="143" t="s">
        <v>412</v>
      </c>
      <c r="Y70" s="145" t="s">
        <v>3876</v>
      </c>
      <c r="Z70" s="144">
        <v>6089</v>
      </c>
      <c r="AA70" s="145" t="s">
        <v>3876</v>
      </c>
      <c r="AB70" s="143" t="s">
        <v>1659</v>
      </c>
      <c r="AC70" s="145" t="s">
        <v>3876</v>
      </c>
      <c r="AD70" s="144">
        <v>5.8514999999999997</v>
      </c>
      <c r="AE70" s="145" t="s">
        <v>3876</v>
      </c>
      <c r="AF70" s="145" t="s">
        <v>3876</v>
      </c>
      <c r="AG70" s="145" t="s">
        <v>3876</v>
      </c>
      <c r="AH70" s="146">
        <v>8.6985714285714281E-6</v>
      </c>
      <c r="AI70" s="146">
        <v>2.4652098555611349E-2</v>
      </c>
      <c r="AJ70" s="147">
        <v>2.7785411109125559E-3</v>
      </c>
      <c r="AK70" s="181"/>
    </row>
    <row r="71" spans="1:37" ht="15" x14ac:dyDescent="0.2">
      <c r="A71" s="142" t="s">
        <v>1205</v>
      </c>
      <c r="B71" s="143" t="s">
        <v>1215</v>
      </c>
      <c r="C71" s="143" t="s">
        <v>1406</v>
      </c>
      <c r="D71" s="143" t="s">
        <v>1407</v>
      </c>
      <c r="E71" s="143" t="s">
        <v>309</v>
      </c>
      <c r="F71" s="143" t="s">
        <v>1408</v>
      </c>
      <c r="G71" s="143" t="s">
        <v>1409</v>
      </c>
      <c r="H71" s="143" t="s">
        <v>321</v>
      </c>
      <c r="I71" s="143" t="s">
        <v>951</v>
      </c>
      <c r="J71" s="143" t="s">
        <v>204</v>
      </c>
      <c r="K71" s="143" t="s">
        <v>204</v>
      </c>
      <c r="L71" s="143" t="s">
        <v>325</v>
      </c>
      <c r="M71" s="143" t="s">
        <v>340</v>
      </c>
      <c r="N71" s="143" t="s">
        <v>475</v>
      </c>
      <c r="O71" s="143" t="s">
        <v>339</v>
      </c>
      <c r="P71" s="143" t="s">
        <v>1410</v>
      </c>
      <c r="Q71" s="143" t="s">
        <v>413</v>
      </c>
      <c r="R71" s="143" t="s">
        <v>407</v>
      </c>
      <c r="S71" s="143" t="s">
        <v>1210</v>
      </c>
      <c r="T71" s="144">
        <v>2.5</v>
      </c>
      <c r="U71" s="143" t="s">
        <v>1411</v>
      </c>
      <c r="V71" s="146">
        <v>5.0900000000000001E-2</v>
      </c>
      <c r="W71" s="146">
        <v>5.1853000000000003E-2</v>
      </c>
      <c r="X71" s="143" t="s">
        <v>412</v>
      </c>
      <c r="Y71" s="145" t="s">
        <v>3876</v>
      </c>
      <c r="Z71" s="144">
        <v>4397.07</v>
      </c>
      <c r="AA71" s="145" t="s">
        <v>3876</v>
      </c>
      <c r="AB71" s="143" t="s">
        <v>1412</v>
      </c>
      <c r="AC71" s="145" t="s">
        <v>3876</v>
      </c>
      <c r="AD71" s="144">
        <v>4.5491999999999999</v>
      </c>
      <c r="AE71" s="145" t="s">
        <v>3876</v>
      </c>
      <c r="AF71" s="145" t="s">
        <v>3876</v>
      </c>
      <c r="AG71" s="145" t="s">
        <v>3876</v>
      </c>
      <c r="AH71" s="146">
        <v>7.0982454072104929E-6</v>
      </c>
      <c r="AI71" s="146">
        <v>1.9165510296467965E-2</v>
      </c>
      <c r="AJ71" s="147">
        <v>2.1601470621345049E-3</v>
      </c>
      <c r="AK71" s="181"/>
    </row>
    <row r="72" spans="1:37" ht="15" x14ac:dyDescent="0.2">
      <c r="A72" s="142" t="s">
        <v>1205</v>
      </c>
      <c r="B72" s="143" t="s">
        <v>1215</v>
      </c>
      <c r="C72" s="143" t="s">
        <v>1660</v>
      </c>
      <c r="D72" s="143" t="s">
        <v>1661</v>
      </c>
      <c r="E72" s="143" t="s">
        <v>309</v>
      </c>
      <c r="F72" s="143" t="s">
        <v>1662</v>
      </c>
      <c r="G72" s="143" t="s">
        <v>1663</v>
      </c>
      <c r="H72" s="143" t="s">
        <v>321</v>
      </c>
      <c r="I72" s="143" t="s">
        <v>951</v>
      </c>
      <c r="J72" s="143" t="s">
        <v>204</v>
      </c>
      <c r="K72" s="143" t="s">
        <v>224</v>
      </c>
      <c r="L72" s="143" t="s">
        <v>325</v>
      </c>
      <c r="M72" s="143" t="s">
        <v>340</v>
      </c>
      <c r="N72" s="143" t="s">
        <v>465</v>
      </c>
      <c r="O72" s="143" t="s">
        <v>339</v>
      </c>
      <c r="P72" s="143" t="s">
        <v>1347</v>
      </c>
      <c r="Q72" s="143" t="s">
        <v>413</v>
      </c>
      <c r="R72" s="143" t="s">
        <v>407</v>
      </c>
      <c r="S72" s="143" t="s">
        <v>1210</v>
      </c>
      <c r="T72" s="144">
        <v>1.1599999999999999</v>
      </c>
      <c r="U72" s="143" t="s">
        <v>1664</v>
      </c>
      <c r="V72" s="146">
        <v>4.8000000000000001E-2</v>
      </c>
      <c r="W72" s="146">
        <v>5.4014E-2</v>
      </c>
      <c r="X72" s="143" t="s">
        <v>412</v>
      </c>
      <c r="Y72" s="145" t="s">
        <v>3876</v>
      </c>
      <c r="Z72" s="144">
        <v>4275.75</v>
      </c>
      <c r="AA72" s="145" t="s">
        <v>3876</v>
      </c>
      <c r="AB72" s="143" t="s">
        <v>1665</v>
      </c>
      <c r="AC72" s="145" t="s">
        <v>3876</v>
      </c>
      <c r="AD72" s="144">
        <v>4.2847</v>
      </c>
      <c r="AE72" s="145" t="s">
        <v>3876</v>
      </c>
      <c r="AF72" s="145" t="s">
        <v>3876</v>
      </c>
      <c r="AG72" s="145" t="s">
        <v>3876</v>
      </c>
      <c r="AH72" s="146">
        <v>1.1402E-5</v>
      </c>
      <c r="AI72" s="146">
        <v>1.805127573340121E-2</v>
      </c>
      <c r="AJ72" s="147">
        <v>2.0345615451978151E-3</v>
      </c>
      <c r="AK72" s="181"/>
    </row>
    <row r="73" spans="1:37" ht="15" x14ac:dyDescent="0.2">
      <c r="A73" s="142" t="s">
        <v>1205</v>
      </c>
      <c r="B73" s="143" t="s">
        <v>1215</v>
      </c>
      <c r="C73" s="143" t="s">
        <v>1666</v>
      </c>
      <c r="D73" s="143" t="s">
        <v>1667</v>
      </c>
      <c r="E73" s="143" t="s">
        <v>309</v>
      </c>
      <c r="F73" s="143" t="s">
        <v>1668</v>
      </c>
      <c r="G73" s="143" t="s">
        <v>1669</v>
      </c>
      <c r="H73" s="143" t="s">
        <v>321</v>
      </c>
      <c r="I73" s="143" t="s">
        <v>951</v>
      </c>
      <c r="J73" s="143" t="s">
        <v>204</v>
      </c>
      <c r="K73" s="143" t="s">
        <v>204</v>
      </c>
      <c r="L73" s="143" t="s">
        <v>325</v>
      </c>
      <c r="M73" s="143" t="s">
        <v>340</v>
      </c>
      <c r="N73" s="143" t="s">
        <v>443</v>
      </c>
      <c r="O73" s="143" t="s">
        <v>339</v>
      </c>
      <c r="P73" s="143" t="s">
        <v>1403</v>
      </c>
      <c r="Q73" s="143" t="s">
        <v>413</v>
      </c>
      <c r="R73" s="143" t="s">
        <v>407</v>
      </c>
      <c r="S73" s="143" t="s">
        <v>1210</v>
      </c>
      <c r="T73" s="144">
        <v>0.95</v>
      </c>
      <c r="U73" s="143" t="s">
        <v>1670</v>
      </c>
      <c r="V73" s="146">
        <v>4.7500000000000001E-2</v>
      </c>
      <c r="W73" s="146">
        <v>6.4534999999999995E-2</v>
      </c>
      <c r="X73" s="143" t="s">
        <v>412</v>
      </c>
      <c r="Y73" s="145" t="s">
        <v>3876</v>
      </c>
      <c r="Z73" s="144">
        <v>4023.07</v>
      </c>
      <c r="AA73" s="145" t="s">
        <v>3876</v>
      </c>
      <c r="AB73" s="143" t="s">
        <v>1671</v>
      </c>
      <c r="AC73" s="145" t="s">
        <v>3876</v>
      </c>
      <c r="AD73" s="144">
        <v>4.0158000000000005</v>
      </c>
      <c r="AE73" s="145" t="s">
        <v>3876</v>
      </c>
      <c r="AF73" s="145" t="s">
        <v>3876</v>
      </c>
      <c r="AG73" s="145" t="s">
        <v>3876</v>
      </c>
      <c r="AH73" s="146">
        <v>4.856954922593721E-6</v>
      </c>
      <c r="AI73" s="146">
        <v>1.6918415566850701E-2</v>
      </c>
      <c r="AJ73" s="147">
        <v>1.9068767341633671E-3</v>
      </c>
      <c r="AK73" s="181"/>
    </row>
    <row r="74" spans="1:37" ht="15" x14ac:dyDescent="0.2">
      <c r="A74" s="142" t="s">
        <v>1205</v>
      </c>
      <c r="B74" s="143" t="s">
        <v>1215</v>
      </c>
      <c r="C74" s="143" t="s">
        <v>1392</v>
      </c>
      <c r="D74" s="143" t="s">
        <v>1393</v>
      </c>
      <c r="E74" s="143" t="s">
        <v>309</v>
      </c>
      <c r="F74" s="143" t="s">
        <v>1394</v>
      </c>
      <c r="G74" s="143" t="s">
        <v>1395</v>
      </c>
      <c r="H74" s="143" t="s">
        <v>321</v>
      </c>
      <c r="I74" s="143" t="s">
        <v>951</v>
      </c>
      <c r="J74" s="143" t="s">
        <v>204</v>
      </c>
      <c r="K74" s="143" t="s">
        <v>204</v>
      </c>
      <c r="L74" s="143" t="s">
        <v>325</v>
      </c>
      <c r="M74" s="143" t="s">
        <v>340</v>
      </c>
      <c r="N74" s="143" t="s">
        <v>484</v>
      </c>
      <c r="O74" s="143" t="s">
        <v>339</v>
      </c>
      <c r="P74" s="143" t="s">
        <v>1396</v>
      </c>
      <c r="Q74" s="143" t="s">
        <v>415</v>
      </c>
      <c r="R74" s="143" t="s">
        <v>407</v>
      </c>
      <c r="S74" s="143" t="s">
        <v>1210</v>
      </c>
      <c r="T74" s="144">
        <v>0.9</v>
      </c>
      <c r="U74" s="143" t="s">
        <v>1397</v>
      </c>
      <c r="V74" s="146">
        <v>3.6499999999999998E-2</v>
      </c>
      <c r="W74" s="146">
        <v>4.8802999999999999E-2</v>
      </c>
      <c r="X74" s="143" t="s">
        <v>412</v>
      </c>
      <c r="Y74" s="145" t="s">
        <v>3876</v>
      </c>
      <c r="Z74" s="144">
        <v>2871.77</v>
      </c>
      <c r="AA74" s="145" t="s">
        <v>3876</v>
      </c>
      <c r="AB74" s="143" t="s">
        <v>1398</v>
      </c>
      <c r="AC74" s="145" t="s">
        <v>3876</v>
      </c>
      <c r="AD74" s="144">
        <v>2.8508</v>
      </c>
      <c r="AE74" s="145" t="s">
        <v>3876</v>
      </c>
      <c r="AF74" s="145" t="s">
        <v>3876</v>
      </c>
      <c r="AG74" s="145" t="s">
        <v>3876</v>
      </c>
      <c r="AH74" s="146">
        <v>2.6965460081086036E-6</v>
      </c>
      <c r="AI74" s="146">
        <v>1.2010254486040135E-2</v>
      </c>
      <c r="AJ74" s="147">
        <v>1.3536772849866978E-3</v>
      </c>
      <c r="AK74" s="181"/>
    </row>
    <row r="75" spans="1:37" ht="15" x14ac:dyDescent="0.2">
      <c r="A75" s="142" t="s">
        <v>1205</v>
      </c>
      <c r="B75" s="143" t="s">
        <v>1215</v>
      </c>
      <c r="C75" s="143" t="s">
        <v>1672</v>
      </c>
      <c r="D75" s="143" t="s">
        <v>1673</v>
      </c>
      <c r="E75" s="143" t="s">
        <v>309</v>
      </c>
      <c r="F75" s="143" t="s">
        <v>1674</v>
      </c>
      <c r="G75" s="143" t="s">
        <v>1675</v>
      </c>
      <c r="H75" s="143" t="s">
        <v>321</v>
      </c>
      <c r="I75" s="143" t="s">
        <v>951</v>
      </c>
      <c r="J75" s="143" t="s">
        <v>204</v>
      </c>
      <c r="K75" s="143" t="s">
        <v>204</v>
      </c>
      <c r="L75" s="143" t="s">
        <v>325</v>
      </c>
      <c r="M75" s="143" t="s">
        <v>340</v>
      </c>
      <c r="N75" s="143" t="s">
        <v>464</v>
      </c>
      <c r="O75" s="143" t="s">
        <v>339</v>
      </c>
      <c r="P75" s="143" t="s">
        <v>1366</v>
      </c>
      <c r="Q75" s="143" t="s">
        <v>415</v>
      </c>
      <c r="R75" s="143" t="s">
        <v>407</v>
      </c>
      <c r="S75" s="143" t="s">
        <v>1210</v>
      </c>
      <c r="T75" s="144">
        <v>1.56</v>
      </c>
      <c r="U75" s="143" t="s">
        <v>1676</v>
      </c>
      <c r="V75" s="146">
        <v>6.7400000000000002E-2</v>
      </c>
      <c r="W75" s="146">
        <v>6.4237000000000002E-2</v>
      </c>
      <c r="X75" s="143" t="s">
        <v>412</v>
      </c>
      <c r="Y75" s="145" t="s">
        <v>3876</v>
      </c>
      <c r="Z75" s="144">
        <v>2450.25</v>
      </c>
      <c r="AA75" s="145" t="s">
        <v>3876</v>
      </c>
      <c r="AB75" s="143" t="s">
        <v>1677</v>
      </c>
      <c r="AC75" s="145" t="s">
        <v>3876</v>
      </c>
      <c r="AD75" s="144">
        <v>2.4825999999999997</v>
      </c>
      <c r="AE75" s="145" t="s">
        <v>3876</v>
      </c>
      <c r="AF75" s="145" t="s">
        <v>3876</v>
      </c>
      <c r="AG75" s="145" t="s">
        <v>3876</v>
      </c>
      <c r="AH75" s="146">
        <v>2.3346004871147131E-6</v>
      </c>
      <c r="AI75" s="146">
        <v>1.0458998785633705E-2</v>
      </c>
      <c r="AJ75" s="147">
        <v>1.1788350610115864E-3</v>
      </c>
      <c r="AK75" s="181"/>
    </row>
    <row r="76" spans="1:37" ht="15" x14ac:dyDescent="0.2">
      <c r="A76" s="142" t="s">
        <v>1205</v>
      </c>
      <c r="B76" s="143" t="s">
        <v>1215</v>
      </c>
      <c r="C76" s="143" t="s">
        <v>1678</v>
      </c>
      <c r="D76" s="143" t="s">
        <v>1679</v>
      </c>
      <c r="E76" s="143" t="s">
        <v>309</v>
      </c>
      <c r="F76" s="143" t="s">
        <v>1680</v>
      </c>
      <c r="G76" s="143" t="s">
        <v>1681</v>
      </c>
      <c r="H76" s="143" t="s">
        <v>321</v>
      </c>
      <c r="I76" s="143" t="s">
        <v>951</v>
      </c>
      <c r="J76" s="143" t="s">
        <v>204</v>
      </c>
      <c r="K76" s="143" t="s">
        <v>204</v>
      </c>
      <c r="L76" s="143" t="s">
        <v>325</v>
      </c>
      <c r="M76" s="143" t="s">
        <v>340</v>
      </c>
      <c r="N76" s="143" t="s">
        <v>445</v>
      </c>
      <c r="O76" s="143" t="s">
        <v>339</v>
      </c>
      <c r="P76" s="143" t="s">
        <v>1366</v>
      </c>
      <c r="Q76" s="143" t="s">
        <v>415</v>
      </c>
      <c r="R76" s="143" t="s">
        <v>407</v>
      </c>
      <c r="S76" s="143" t="s">
        <v>1210</v>
      </c>
      <c r="T76" s="144">
        <v>2.2000000000000002</v>
      </c>
      <c r="U76" s="143" t="s">
        <v>1432</v>
      </c>
      <c r="V76" s="146">
        <v>1.84E-2</v>
      </c>
      <c r="W76" s="146">
        <v>4.8425999999999997E-2</v>
      </c>
      <c r="X76" s="143" t="s">
        <v>412</v>
      </c>
      <c r="Y76" s="145" t="s">
        <v>3876</v>
      </c>
      <c r="Z76" s="144">
        <v>2389</v>
      </c>
      <c r="AA76" s="145" t="s">
        <v>3876</v>
      </c>
      <c r="AB76" s="143" t="s">
        <v>1682</v>
      </c>
      <c r="AC76" s="145" t="s">
        <v>3876</v>
      </c>
      <c r="AD76" s="144">
        <v>2.2519</v>
      </c>
      <c r="AE76" s="145" t="s">
        <v>3876</v>
      </c>
      <c r="AF76" s="145" t="s">
        <v>3876</v>
      </c>
      <c r="AG76" s="145" t="s">
        <v>3876</v>
      </c>
      <c r="AH76" s="146">
        <v>7.9633333333333339E-6</v>
      </c>
      <c r="AI76" s="146">
        <v>9.4869829214488215E-3</v>
      </c>
      <c r="AJ76" s="147">
        <v>1.0692790314101174E-3</v>
      </c>
      <c r="AK76" s="181"/>
    </row>
    <row r="77" spans="1:37" ht="15" x14ac:dyDescent="0.2">
      <c r="A77" s="142" t="s">
        <v>1205</v>
      </c>
      <c r="B77" s="143" t="s">
        <v>1215</v>
      </c>
      <c r="C77" s="143" t="s">
        <v>1343</v>
      </c>
      <c r="D77" s="143" t="s">
        <v>1344</v>
      </c>
      <c r="E77" s="143" t="s">
        <v>309</v>
      </c>
      <c r="F77" s="143" t="s">
        <v>1375</v>
      </c>
      <c r="G77" s="143" t="s">
        <v>1376</v>
      </c>
      <c r="H77" s="143" t="s">
        <v>321</v>
      </c>
      <c r="I77" s="143" t="s">
        <v>951</v>
      </c>
      <c r="J77" s="143" t="s">
        <v>204</v>
      </c>
      <c r="K77" s="143" t="s">
        <v>204</v>
      </c>
      <c r="L77" s="143" t="s">
        <v>325</v>
      </c>
      <c r="M77" s="143" t="s">
        <v>340</v>
      </c>
      <c r="N77" s="143" t="s">
        <v>445</v>
      </c>
      <c r="O77" s="143" t="s">
        <v>339</v>
      </c>
      <c r="P77" s="143" t="s">
        <v>1347</v>
      </c>
      <c r="Q77" s="143" t="s">
        <v>413</v>
      </c>
      <c r="R77" s="143" t="s">
        <v>407</v>
      </c>
      <c r="S77" s="143" t="s">
        <v>1210</v>
      </c>
      <c r="T77" s="144">
        <v>7.66</v>
      </c>
      <c r="U77" s="143" t="s">
        <v>1377</v>
      </c>
      <c r="V77" s="146">
        <v>5.3100000000000001E-2</v>
      </c>
      <c r="W77" s="146">
        <v>6.3355999999999996E-2</v>
      </c>
      <c r="X77" s="143" t="s">
        <v>412</v>
      </c>
      <c r="Y77" s="145" t="s">
        <v>3876</v>
      </c>
      <c r="Z77" s="144">
        <v>2283.81</v>
      </c>
      <c r="AA77" s="145" t="s">
        <v>3876</v>
      </c>
      <c r="AB77" s="143" t="s">
        <v>1378</v>
      </c>
      <c r="AC77" s="145" t="s">
        <v>3876</v>
      </c>
      <c r="AD77" s="144">
        <v>2.1772</v>
      </c>
      <c r="AE77" s="145" t="s">
        <v>3876</v>
      </c>
      <c r="AF77" s="145" t="s">
        <v>3876</v>
      </c>
      <c r="AG77" s="145" t="s">
        <v>3876</v>
      </c>
      <c r="AH77" s="146">
        <v>1.7935012408209163E-6</v>
      </c>
      <c r="AI77" s="146">
        <v>9.1722122683735776E-3</v>
      </c>
      <c r="AJ77" s="147">
        <v>1.0338011917403874E-3</v>
      </c>
      <c r="AK77" s="181"/>
    </row>
    <row r="78" spans="1:37" ht="15" x14ac:dyDescent="0.2">
      <c r="A78" s="142" t="s">
        <v>1205</v>
      </c>
      <c r="B78" s="143" t="s">
        <v>1215</v>
      </c>
      <c r="C78" s="143" t="s">
        <v>1362</v>
      </c>
      <c r="D78" s="143" t="s">
        <v>1363</v>
      </c>
      <c r="E78" s="143" t="s">
        <v>309</v>
      </c>
      <c r="F78" s="143" t="s">
        <v>1417</v>
      </c>
      <c r="G78" s="143" t="s">
        <v>1418</v>
      </c>
      <c r="H78" s="143" t="s">
        <v>321</v>
      </c>
      <c r="I78" s="143" t="s">
        <v>951</v>
      </c>
      <c r="J78" s="143" t="s">
        <v>204</v>
      </c>
      <c r="K78" s="143" t="s">
        <v>204</v>
      </c>
      <c r="L78" s="143" t="s">
        <v>325</v>
      </c>
      <c r="M78" s="143" t="s">
        <v>340</v>
      </c>
      <c r="N78" s="143" t="s">
        <v>445</v>
      </c>
      <c r="O78" s="143" t="s">
        <v>339</v>
      </c>
      <c r="P78" s="143" t="s">
        <v>1366</v>
      </c>
      <c r="Q78" s="143" t="s">
        <v>415</v>
      </c>
      <c r="R78" s="143" t="s">
        <v>407</v>
      </c>
      <c r="S78" s="143" t="s">
        <v>1210</v>
      </c>
      <c r="T78" s="144">
        <v>3.28</v>
      </c>
      <c r="U78" s="143" t="s">
        <v>1419</v>
      </c>
      <c r="V78" s="146">
        <v>4.36E-2</v>
      </c>
      <c r="W78" s="146">
        <v>5.1854999999999998E-2</v>
      </c>
      <c r="X78" s="143" t="s">
        <v>412</v>
      </c>
      <c r="Y78" s="145" t="s">
        <v>3876</v>
      </c>
      <c r="Z78" s="144">
        <v>2000</v>
      </c>
      <c r="AA78" s="145" t="s">
        <v>3876</v>
      </c>
      <c r="AB78" s="143" t="s">
        <v>1420</v>
      </c>
      <c r="AC78" s="145" t="s">
        <v>3876</v>
      </c>
      <c r="AD78" s="144">
        <v>1.952</v>
      </c>
      <c r="AE78" s="145" t="s">
        <v>3876</v>
      </c>
      <c r="AF78" s="145" t="s">
        <v>3876</v>
      </c>
      <c r="AG78" s="145" t="s">
        <v>3876</v>
      </c>
      <c r="AH78" s="146">
        <v>6.6666666666666666E-6</v>
      </c>
      <c r="AI78" s="146">
        <v>8.2236448594125312E-3</v>
      </c>
      <c r="AJ78" s="147">
        <v>9.2688804045939252E-4</v>
      </c>
      <c r="AK78" s="181"/>
    </row>
    <row r="79" spans="1:37" ht="15" x14ac:dyDescent="0.2">
      <c r="A79" s="142" t="s">
        <v>1205</v>
      </c>
      <c r="B79" s="143" t="s">
        <v>1215</v>
      </c>
      <c r="C79" s="143" t="s">
        <v>1683</v>
      </c>
      <c r="D79" s="143" t="s">
        <v>1684</v>
      </c>
      <c r="E79" s="143" t="s">
        <v>309</v>
      </c>
      <c r="F79" s="143" t="s">
        <v>1685</v>
      </c>
      <c r="G79" s="143" t="s">
        <v>1686</v>
      </c>
      <c r="H79" s="143" t="s">
        <v>321</v>
      </c>
      <c r="I79" s="143" t="s">
        <v>951</v>
      </c>
      <c r="J79" s="143" t="s">
        <v>204</v>
      </c>
      <c r="K79" s="143" t="s">
        <v>204</v>
      </c>
      <c r="L79" s="143" t="s">
        <v>325</v>
      </c>
      <c r="M79" s="143" t="s">
        <v>340</v>
      </c>
      <c r="N79" s="143" t="s">
        <v>464</v>
      </c>
      <c r="O79" s="143" t="s">
        <v>339</v>
      </c>
      <c r="P79" s="143" t="s">
        <v>1425</v>
      </c>
      <c r="Q79" s="143" t="s">
        <v>415</v>
      </c>
      <c r="R79" s="143" t="s">
        <v>407</v>
      </c>
      <c r="S79" s="143" t="s">
        <v>1210</v>
      </c>
      <c r="T79" s="144">
        <v>3.35</v>
      </c>
      <c r="U79" s="143" t="s">
        <v>1687</v>
      </c>
      <c r="V79" s="146">
        <v>3.04E-2</v>
      </c>
      <c r="W79" s="146">
        <v>6.1107000000000002E-2</v>
      </c>
      <c r="X79" s="143" t="s">
        <v>412</v>
      </c>
      <c r="Y79" s="145" t="s">
        <v>3876</v>
      </c>
      <c r="Z79" s="144">
        <v>2074</v>
      </c>
      <c r="AA79" s="145" t="s">
        <v>3876</v>
      </c>
      <c r="AB79" s="143" t="s">
        <v>1688</v>
      </c>
      <c r="AC79" s="145" t="s">
        <v>3876</v>
      </c>
      <c r="AD79" s="144">
        <v>1.8797000000000001</v>
      </c>
      <c r="AE79" s="145" t="s">
        <v>3876</v>
      </c>
      <c r="AF79" s="145" t="s">
        <v>3876</v>
      </c>
      <c r="AG79" s="145" t="s">
        <v>3876</v>
      </c>
      <c r="AH79" s="146">
        <v>3.8265460053513751E-6</v>
      </c>
      <c r="AI79" s="146">
        <v>7.9189074195909256E-3</v>
      </c>
      <c r="AJ79" s="147">
        <v>8.9254104551011917E-4</v>
      </c>
      <c r="AK79" s="181"/>
    </row>
    <row r="80" spans="1:37" ht="15" x14ac:dyDescent="0.2">
      <c r="A80" s="142" t="s">
        <v>1205</v>
      </c>
      <c r="B80" s="143" t="s">
        <v>1215</v>
      </c>
      <c r="C80" s="143" t="s">
        <v>1689</v>
      </c>
      <c r="D80" s="143" t="s">
        <v>1690</v>
      </c>
      <c r="E80" s="143" t="s">
        <v>309</v>
      </c>
      <c r="F80" s="143" t="s">
        <v>1691</v>
      </c>
      <c r="G80" s="143" t="s">
        <v>1692</v>
      </c>
      <c r="H80" s="143" t="s">
        <v>321</v>
      </c>
      <c r="I80" s="143" t="s">
        <v>951</v>
      </c>
      <c r="J80" s="143" t="s">
        <v>204</v>
      </c>
      <c r="K80" s="143" t="s">
        <v>204</v>
      </c>
      <c r="L80" s="143" t="s">
        <v>325</v>
      </c>
      <c r="M80" s="143" t="s">
        <v>340</v>
      </c>
      <c r="N80" s="143" t="s">
        <v>451</v>
      </c>
      <c r="O80" s="143" t="s">
        <v>339</v>
      </c>
      <c r="P80" s="143" t="s">
        <v>1403</v>
      </c>
      <c r="Q80" s="143" t="s">
        <v>413</v>
      </c>
      <c r="R80" s="143" t="s">
        <v>407</v>
      </c>
      <c r="S80" s="143" t="s">
        <v>1210</v>
      </c>
      <c r="T80" s="144">
        <v>2.58</v>
      </c>
      <c r="U80" s="143" t="s">
        <v>1542</v>
      </c>
      <c r="V80" s="146">
        <v>2.1999999999999999E-2</v>
      </c>
      <c r="W80" s="146">
        <v>5.3846999999999999E-2</v>
      </c>
      <c r="X80" s="143" t="s">
        <v>412</v>
      </c>
      <c r="Y80" s="145" t="s">
        <v>3876</v>
      </c>
      <c r="Z80" s="144">
        <v>1995.75</v>
      </c>
      <c r="AA80" s="145" t="s">
        <v>3876</v>
      </c>
      <c r="AB80" s="143" t="s">
        <v>1693</v>
      </c>
      <c r="AC80" s="145" t="s">
        <v>3876</v>
      </c>
      <c r="AD80" s="144">
        <v>1.8434999999999999</v>
      </c>
      <c r="AE80" s="145" t="s">
        <v>3876</v>
      </c>
      <c r="AF80" s="145" t="s">
        <v>3876</v>
      </c>
      <c r="AG80" s="145" t="s">
        <v>3876</v>
      </c>
      <c r="AH80" s="146">
        <v>1.8415224913494809E-6</v>
      </c>
      <c r="AI80" s="146">
        <v>7.7664332710363692E-3</v>
      </c>
      <c r="AJ80" s="147">
        <v>8.753556651598613E-4</v>
      </c>
      <c r="AK80" s="181"/>
    </row>
    <row r="81" spans="1:37" ht="15" x14ac:dyDescent="0.2">
      <c r="A81" s="142" t="s">
        <v>1205</v>
      </c>
      <c r="B81" s="143" t="s">
        <v>1215</v>
      </c>
      <c r="C81" s="143" t="s">
        <v>1428</v>
      </c>
      <c r="D81" s="143" t="s">
        <v>1429</v>
      </c>
      <c r="E81" s="143" t="s">
        <v>309</v>
      </c>
      <c r="F81" s="143" t="s">
        <v>1430</v>
      </c>
      <c r="G81" s="143" t="s">
        <v>1431</v>
      </c>
      <c r="H81" s="143" t="s">
        <v>321</v>
      </c>
      <c r="I81" s="143" t="s">
        <v>951</v>
      </c>
      <c r="J81" s="143" t="s">
        <v>204</v>
      </c>
      <c r="K81" s="143" t="s">
        <v>204</v>
      </c>
      <c r="L81" s="143" t="s">
        <v>325</v>
      </c>
      <c r="M81" s="143" t="s">
        <v>340</v>
      </c>
      <c r="N81" s="143" t="s">
        <v>445</v>
      </c>
      <c r="O81" s="143" t="s">
        <v>339</v>
      </c>
      <c r="P81" s="143" t="s">
        <v>1396</v>
      </c>
      <c r="Q81" s="143" t="s">
        <v>415</v>
      </c>
      <c r="R81" s="143" t="s">
        <v>407</v>
      </c>
      <c r="S81" s="143" t="s">
        <v>1210</v>
      </c>
      <c r="T81" s="144">
        <v>1.2</v>
      </c>
      <c r="U81" s="143" t="s">
        <v>1432</v>
      </c>
      <c r="V81" s="146">
        <v>2.9399999999999999E-2</v>
      </c>
      <c r="W81" s="146">
        <v>4.9301999999999999E-2</v>
      </c>
      <c r="X81" s="143" t="s">
        <v>412</v>
      </c>
      <c r="Y81" s="145" t="s">
        <v>3876</v>
      </c>
      <c r="Z81" s="144">
        <v>1567.22</v>
      </c>
      <c r="AA81" s="145" t="s">
        <v>3876</v>
      </c>
      <c r="AB81" s="143" t="s">
        <v>1433</v>
      </c>
      <c r="AC81" s="145" t="s">
        <v>3876</v>
      </c>
      <c r="AD81" s="144">
        <v>1.5652000000000001</v>
      </c>
      <c r="AE81" s="145" t="s">
        <v>3876</v>
      </c>
      <c r="AF81" s="145" t="s">
        <v>3876</v>
      </c>
      <c r="AG81" s="145" t="s">
        <v>3876</v>
      </c>
      <c r="AH81" s="146">
        <v>9.7693431538913285E-6</v>
      </c>
      <c r="AI81" s="146">
        <v>6.5940091996224224E-3</v>
      </c>
      <c r="AJ81" s="147">
        <v>7.4321160146084513E-4</v>
      </c>
      <c r="AK81" s="181"/>
    </row>
    <row r="82" spans="1:37" ht="15" x14ac:dyDescent="0.2">
      <c r="A82" s="142" t="s">
        <v>1205</v>
      </c>
      <c r="B82" s="143" t="s">
        <v>1215</v>
      </c>
      <c r="C82" s="143" t="s">
        <v>1399</v>
      </c>
      <c r="D82" s="143" t="s">
        <v>1400</v>
      </c>
      <c r="E82" s="143" t="s">
        <v>309</v>
      </c>
      <c r="F82" s="143" t="s">
        <v>1401</v>
      </c>
      <c r="G82" s="143" t="s">
        <v>1402</v>
      </c>
      <c r="H82" s="143" t="s">
        <v>321</v>
      </c>
      <c r="I82" s="143" t="s">
        <v>951</v>
      </c>
      <c r="J82" s="143" t="s">
        <v>204</v>
      </c>
      <c r="K82" s="143" t="s">
        <v>204</v>
      </c>
      <c r="L82" s="143" t="s">
        <v>325</v>
      </c>
      <c r="M82" s="143" t="s">
        <v>340</v>
      </c>
      <c r="N82" s="143" t="s">
        <v>451</v>
      </c>
      <c r="O82" s="143" t="s">
        <v>339</v>
      </c>
      <c r="P82" s="143" t="s">
        <v>1403</v>
      </c>
      <c r="Q82" s="143" t="s">
        <v>413</v>
      </c>
      <c r="R82" s="143" t="s">
        <v>407</v>
      </c>
      <c r="S82" s="143" t="s">
        <v>1210</v>
      </c>
      <c r="T82" s="144">
        <v>1.46</v>
      </c>
      <c r="U82" s="143" t="s">
        <v>1404</v>
      </c>
      <c r="V82" s="146">
        <v>0.04</v>
      </c>
      <c r="W82" s="146">
        <v>4.9484E-2</v>
      </c>
      <c r="X82" s="143" t="s">
        <v>412</v>
      </c>
      <c r="Y82" s="145" t="s">
        <v>3876</v>
      </c>
      <c r="Z82" s="144">
        <v>1571.07</v>
      </c>
      <c r="AA82" s="145" t="s">
        <v>3876</v>
      </c>
      <c r="AB82" s="143" t="s">
        <v>1405</v>
      </c>
      <c r="AC82" s="145" t="s">
        <v>3876</v>
      </c>
      <c r="AD82" s="144">
        <v>1.5515999999999999</v>
      </c>
      <c r="AE82" s="145" t="s">
        <v>3876</v>
      </c>
      <c r="AF82" s="145" t="s">
        <v>3876</v>
      </c>
      <c r="AG82" s="145" t="s">
        <v>3876</v>
      </c>
      <c r="AH82" s="146">
        <v>1.1923928030468278E-5</v>
      </c>
      <c r="AI82" s="146">
        <v>6.5367390880298193E-3</v>
      </c>
      <c r="AJ82" s="147">
        <v>7.3675668002169757E-4</v>
      </c>
      <c r="AK82" s="181"/>
    </row>
    <row r="83" spans="1:37" ht="15" x14ac:dyDescent="0.2">
      <c r="A83" s="142" t="s">
        <v>1205</v>
      </c>
      <c r="B83" s="143" t="s">
        <v>1215</v>
      </c>
      <c r="C83" s="143" t="s">
        <v>1694</v>
      </c>
      <c r="D83" s="143" t="s">
        <v>1695</v>
      </c>
      <c r="E83" s="143" t="s">
        <v>309</v>
      </c>
      <c r="F83" s="143" t="s">
        <v>1696</v>
      </c>
      <c r="G83" s="143" t="s">
        <v>1697</v>
      </c>
      <c r="H83" s="143" t="s">
        <v>321</v>
      </c>
      <c r="I83" s="143" t="s">
        <v>951</v>
      </c>
      <c r="J83" s="143" t="s">
        <v>204</v>
      </c>
      <c r="K83" s="143" t="s">
        <v>224</v>
      </c>
      <c r="L83" s="143" t="s">
        <v>325</v>
      </c>
      <c r="M83" s="143" t="s">
        <v>340</v>
      </c>
      <c r="N83" s="143" t="s">
        <v>465</v>
      </c>
      <c r="O83" s="143" t="s">
        <v>339</v>
      </c>
      <c r="P83" s="143" t="s">
        <v>1403</v>
      </c>
      <c r="Q83" s="143" t="s">
        <v>413</v>
      </c>
      <c r="R83" s="143" t="s">
        <v>407</v>
      </c>
      <c r="S83" s="143" t="s">
        <v>1210</v>
      </c>
      <c r="T83" s="144">
        <v>1.38</v>
      </c>
      <c r="U83" s="143" t="s">
        <v>1698</v>
      </c>
      <c r="V83" s="146">
        <v>3.95E-2</v>
      </c>
      <c r="W83" s="146">
        <v>6.1266000000000001E-2</v>
      </c>
      <c r="X83" s="143" t="s">
        <v>412</v>
      </c>
      <c r="Y83" s="145" t="s">
        <v>3876</v>
      </c>
      <c r="Z83" s="144">
        <v>1500</v>
      </c>
      <c r="AA83" s="145" t="s">
        <v>3876</v>
      </c>
      <c r="AB83" s="143" t="s">
        <v>1699</v>
      </c>
      <c r="AC83" s="145" t="s">
        <v>3876</v>
      </c>
      <c r="AD83" s="144">
        <v>1.4633</v>
      </c>
      <c r="AE83" s="145" t="s">
        <v>3876</v>
      </c>
      <c r="AF83" s="145" t="s">
        <v>3876</v>
      </c>
      <c r="AG83" s="145" t="s">
        <v>3876</v>
      </c>
      <c r="AH83" s="146">
        <v>4.778752641192691E-6</v>
      </c>
      <c r="AI83" s="146">
        <v>6.1645739449464072E-3</v>
      </c>
      <c r="AJ83" s="147">
        <v>6.9480990020604817E-4</v>
      </c>
      <c r="AK83" s="181"/>
    </row>
    <row r="84" spans="1:37" ht="15" x14ac:dyDescent="0.2">
      <c r="A84" s="142" t="s">
        <v>1205</v>
      </c>
      <c r="B84" s="143" t="s">
        <v>1215</v>
      </c>
      <c r="C84" s="143" t="s">
        <v>1700</v>
      </c>
      <c r="D84" s="143" t="s">
        <v>1701</v>
      </c>
      <c r="E84" s="143" t="s">
        <v>309</v>
      </c>
      <c r="F84" s="143" t="s">
        <v>1702</v>
      </c>
      <c r="G84" s="143" t="s">
        <v>1703</v>
      </c>
      <c r="H84" s="143" t="s">
        <v>321</v>
      </c>
      <c r="I84" s="143" t="s">
        <v>951</v>
      </c>
      <c r="J84" s="143" t="s">
        <v>204</v>
      </c>
      <c r="K84" s="143" t="s">
        <v>204</v>
      </c>
      <c r="L84" s="143" t="s">
        <v>325</v>
      </c>
      <c r="M84" s="143" t="s">
        <v>340</v>
      </c>
      <c r="N84" s="143" t="s">
        <v>454</v>
      </c>
      <c r="O84" s="143" t="s">
        <v>339</v>
      </c>
      <c r="P84" s="143" t="s">
        <v>1359</v>
      </c>
      <c r="Q84" s="143" t="s">
        <v>415</v>
      </c>
      <c r="R84" s="143" t="s">
        <v>407</v>
      </c>
      <c r="S84" s="143" t="s">
        <v>1210</v>
      </c>
      <c r="T84" s="144">
        <v>2.88</v>
      </c>
      <c r="U84" s="143" t="s">
        <v>1704</v>
      </c>
      <c r="V84" s="146">
        <v>6.7500000000000004E-2</v>
      </c>
      <c r="W84" s="146">
        <v>6.2689999999999996E-2</v>
      </c>
      <c r="X84" s="143" t="s">
        <v>412</v>
      </c>
      <c r="Y84" s="145" t="s">
        <v>3876</v>
      </c>
      <c r="Z84" s="144">
        <v>971.92</v>
      </c>
      <c r="AA84" s="145" t="s">
        <v>3876</v>
      </c>
      <c r="AB84" s="143" t="s">
        <v>1705</v>
      </c>
      <c r="AC84" s="145" t="s">
        <v>3876</v>
      </c>
      <c r="AD84" s="144">
        <v>1.0152999999999999</v>
      </c>
      <c r="AE84" s="145" t="s">
        <v>3876</v>
      </c>
      <c r="AF84" s="145" t="s">
        <v>3876</v>
      </c>
      <c r="AG84" s="145" t="s">
        <v>3876</v>
      </c>
      <c r="AH84" s="146">
        <v>5.5538285714285716E-7</v>
      </c>
      <c r="AI84" s="146">
        <v>4.2772543252175893E-3</v>
      </c>
      <c r="AJ84" s="147">
        <v>4.8208986985979899E-4</v>
      </c>
      <c r="AK84" s="181"/>
    </row>
    <row r="85" spans="1:37" ht="15" x14ac:dyDescent="0.2">
      <c r="A85" s="142" t="s">
        <v>1205</v>
      </c>
      <c r="B85" s="143" t="s">
        <v>1215</v>
      </c>
      <c r="C85" s="143" t="s">
        <v>1706</v>
      </c>
      <c r="D85" s="143" t="s">
        <v>1707</v>
      </c>
      <c r="E85" s="143" t="s">
        <v>309</v>
      </c>
      <c r="F85" s="143" t="s">
        <v>1708</v>
      </c>
      <c r="G85" s="143" t="s">
        <v>1709</v>
      </c>
      <c r="H85" s="143" t="s">
        <v>321</v>
      </c>
      <c r="I85" s="143" t="s">
        <v>951</v>
      </c>
      <c r="J85" s="143" t="s">
        <v>204</v>
      </c>
      <c r="K85" s="143" t="s">
        <v>204</v>
      </c>
      <c r="L85" s="143" t="s">
        <v>325</v>
      </c>
      <c r="M85" s="143" t="s">
        <v>340</v>
      </c>
      <c r="N85" s="143" t="s">
        <v>451</v>
      </c>
      <c r="O85" s="143" t="s">
        <v>339</v>
      </c>
      <c r="P85" s="143" t="s">
        <v>1710</v>
      </c>
      <c r="Q85" s="143" t="s">
        <v>413</v>
      </c>
      <c r="R85" s="143" t="s">
        <v>407</v>
      </c>
      <c r="S85" s="143" t="s">
        <v>1210</v>
      </c>
      <c r="T85" s="144">
        <v>1.43</v>
      </c>
      <c r="U85" s="143" t="s">
        <v>1711</v>
      </c>
      <c r="V85" s="146">
        <v>5.5E-2</v>
      </c>
      <c r="W85" s="146">
        <v>7.8688999999999995E-2</v>
      </c>
      <c r="X85" s="143" t="s">
        <v>412</v>
      </c>
      <c r="Y85" s="145" t="s">
        <v>3876</v>
      </c>
      <c r="Z85" s="144">
        <v>1000.4</v>
      </c>
      <c r="AA85" s="145" t="s">
        <v>3876</v>
      </c>
      <c r="AB85" s="143" t="s">
        <v>1712</v>
      </c>
      <c r="AC85" s="145" t="s">
        <v>3876</v>
      </c>
      <c r="AD85" s="144">
        <v>0.9607</v>
      </c>
      <c r="AE85" s="145" t="s">
        <v>3876</v>
      </c>
      <c r="AF85" s="145" t="s">
        <v>3876</v>
      </c>
      <c r="AG85" s="145" t="s">
        <v>3876</v>
      </c>
      <c r="AH85" s="146">
        <v>1.1786983397410603E-6</v>
      </c>
      <c r="AI85" s="146">
        <v>4.0472976562281006E-3</v>
      </c>
      <c r="AJ85" s="147">
        <v>4.5617142494224177E-4</v>
      </c>
      <c r="AK85" s="181"/>
    </row>
    <row r="86" spans="1:37" ht="15" x14ac:dyDescent="0.2">
      <c r="A86" s="142" t="s">
        <v>1205</v>
      </c>
      <c r="B86" s="143" t="s">
        <v>1215</v>
      </c>
      <c r="C86" s="143" t="s">
        <v>1450</v>
      </c>
      <c r="D86" s="143" t="s">
        <v>1451</v>
      </c>
      <c r="E86" s="143" t="s">
        <v>309</v>
      </c>
      <c r="F86" s="143" t="s">
        <v>1452</v>
      </c>
      <c r="G86" s="143" t="s">
        <v>1453</v>
      </c>
      <c r="H86" s="143" t="s">
        <v>321</v>
      </c>
      <c r="I86" s="143" t="s">
        <v>951</v>
      </c>
      <c r="J86" s="143" t="s">
        <v>204</v>
      </c>
      <c r="K86" s="143" t="s">
        <v>204</v>
      </c>
      <c r="L86" s="143" t="s">
        <v>325</v>
      </c>
      <c r="M86" s="143" t="s">
        <v>340</v>
      </c>
      <c r="N86" s="143" t="s">
        <v>465</v>
      </c>
      <c r="O86" s="143" t="s">
        <v>339</v>
      </c>
      <c r="P86" s="143" t="s">
        <v>1454</v>
      </c>
      <c r="Q86" s="143" t="s">
        <v>415</v>
      </c>
      <c r="R86" s="143" t="s">
        <v>407</v>
      </c>
      <c r="S86" s="143" t="s">
        <v>1210</v>
      </c>
      <c r="T86" s="144">
        <v>0.5</v>
      </c>
      <c r="U86" s="143" t="s">
        <v>1455</v>
      </c>
      <c r="V86" s="146">
        <v>3.7999999999999999E-2</v>
      </c>
      <c r="W86" s="146">
        <v>7.2817000000000007E-2</v>
      </c>
      <c r="X86" s="143" t="s">
        <v>412</v>
      </c>
      <c r="Y86" s="145" t="s">
        <v>3876</v>
      </c>
      <c r="Z86" s="144">
        <v>0.23</v>
      </c>
      <c r="AA86" s="145" t="s">
        <v>3876</v>
      </c>
      <c r="AB86" s="143" t="s">
        <v>1326</v>
      </c>
      <c r="AC86" s="145" t="s">
        <v>3876</v>
      </c>
      <c r="AD86" s="144">
        <v>2.0000000000000001E-4</v>
      </c>
      <c r="AE86" s="145" t="s">
        <v>3876</v>
      </c>
      <c r="AF86" s="145" t="s">
        <v>3876</v>
      </c>
      <c r="AG86" s="145" t="s">
        <v>3876</v>
      </c>
      <c r="AH86" s="146">
        <v>6.883104676196969E-10</v>
      </c>
      <c r="AI86" s="146">
        <v>9.5473062212869295E-7</v>
      </c>
      <c r="AJ86" s="147">
        <v>1.0760780780782125E-7</v>
      </c>
      <c r="AK86" s="181"/>
    </row>
    <row r="87" spans="1:37" ht="15" x14ac:dyDescent="0.2">
      <c r="A87" s="142" t="s">
        <v>1205</v>
      </c>
      <c r="B87" s="143" t="s">
        <v>1215</v>
      </c>
      <c r="C87" s="143" t="s">
        <v>1349</v>
      </c>
      <c r="D87" s="143" t="s">
        <v>1350</v>
      </c>
      <c r="E87" s="143" t="s">
        <v>309</v>
      </c>
      <c r="F87" s="143" t="s">
        <v>1460</v>
      </c>
      <c r="G87" s="143" t="s">
        <v>1461</v>
      </c>
      <c r="H87" s="143" t="s">
        <v>321</v>
      </c>
      <c r="I87" s="143" t="s">
        <v>754</v>
      </c>
      <c r="J87" s="143" t="s">
        <v>204</v>
      </c>
      <c r="K87" s="143" t="s">
        <v>204</v>
      </c>
      <c r="L87" s="143" t="s">
        <v>325</v>
      </c>
      <c r="M87" s="143" t="s">
        <v>340</v>
      </c>
      <c r="N87" s="143" t="s">
        <v>448</v>
      </c>
      <c r="O87" s="143" t="s">
        <v>339</v>
      </c>
      <c r="P87" s="143" t="s">
        <v>1224</v>
      </c>
      <c r="Q87" s="143" t="s">
        <v>413</v>
      </c>
      <c r="R87" s="143" t="s">
        <v>407</v>
      </c>
      <c r="S87" s="143" t="s">
        <v>1210</v>
      </c>
      <c r="T87" s="144">
        <v>0.24</v>
      </c>
      <c r="U87" s="143" t="s">
        <v>1462</v>
      </c>
      <c r="V87" s="146">
        <v>8.6E-3</v>
      </c>
      <c r="W87" s="146">
        <v>2.5704999999999999E-2</v>
      </c>
      <c r="X87" s="143" t="s">
        <v>412</v>
      </c>
      <c r="Y87" s="145" t="s">
        <v>3876</v>
      </c>
      <c r="Z87" s="144">
        <v>11285</v>
      </c>
      <c r="AA87" s="145" t="s">
        <v>3876</v>
      </c>
      <c r="AB87" s="143" t="s">
        <v>1463</v>
      </c>
      <c r="AC87" s="145" t="s">
        <v>3876</v>
      </c>
      <c r="AD87" s="144">
        <v>12.971</v>
      </c>
      <c r="AE87" s="145" t="s">
        <v>3876</v>
      </c>
      <c r="AF87" s="145" t="s">
        <v>3876</v>
      </c>
      <c r="AG87" s="145" t="s">
        <v>3876</v>
      </c>
      <c r="AH87" s="146">
        <v>4.5115619519211821E-6</v>
      </c>
      <c r="AI87" s="146">
        <v>5.4645863101894412E-2</v>
      </c>
      <c r="AJ87" s="147">
        <v>6.1591420636013987E-3</v>
      </c>
      <c r="AK87" s="181"/>
    </row>
    <row r="88" spans="1:37" ht="15" x14ac:dyDescent="0.2">
      <c r="A88" s="142" t="s">
        <v>1205</v>
      </c>
      <c r="B88" s="143" t="s">
        <v>1215</v>
      </c>
      <c r="C88" s="143" t="s">
        <v>1544</v>
      </c>
      <c r="D88" s="143" t="s">
        <v>1545</v>
      </c>
      <c r="E88" s="143" t="s">
        <v>309</v>
      </c>
      <c r="F88" s="143" t="s">
        <v>1713</v>
      </c>
      <c r="G88" s="143" t="s">
        <v>1714</v>
      </c>
      <c r="H88" s="143" t="s">
        <v>321</v>
      </c>
      <c r="I88" s="143" t="s">
        <v>754</v>
      </c>
      <c r="J88" s="143" t="s">
        <v>204</v>
      </c>
      <c r="K88" s="143" t="s">
        <v>293</v>
      </c>
      <c r="L88" s="143" t="s">
        <v>325</v>
      </c>
      <c r="M88" s="143" t="s">
        <v>340</v>
      </c>
      <c r="N88" s="143" t="s">
        <v>465</v>
      </c>
      <c r="O88" s="143" t="s">
        <v>339</v>
      </c>
      <c r="P88" s="143" t="s">
        <v>1425</v>
      </c>
      <c r="Q88" s="143" t="s">
        <v>415</v>
      </c>
      <c r="R88" s="143" t="s">
        <v>407</v>
      </c>
      <c r="S88" s="143" t="s">
        <v>1210</v>
      </c>
      <c r="T88" s="144">
        <v>5.35</v>
      </c>
      <c r="U88" s="143" t="s">
        <v>1715</v>
      </c>
      <c r="V88" s="146">
        <v>1.54E-2</v>
      </c>
      <c r="W88" s="146">
        <v>4.0224999999999997E-2</v>
      </c>
      <c r="X88" s="143" t="s">
        <v>412</v>
      </c>
      <c r="Y88" s="145" t="s">
        <v>3876</v>
      </c>
      <c r="Z88" s="144">
        <v>12000</v>
      </c>
      <c r="AA88" s="145" t="s">
        <v>3876</v>
      </c>
      <c r="AB88" s="143" t="s">
        <v>1716</v>
      </c>
      <c r="AC88" s="145" t="s">
        <v>3876</v>
      </c>
      <c r="AD88" s="144">
        <v>11.676</v>
      </c>
      <c r="AE88" s="145" t="s">
        <v>3876</v>
      </c>
      <c r="AF88" s="145" t="s">
        <v>3876</v>
      </c>
      <c r="AG88" s="145" t="s">
        <v>3876</v>
      </c>
      <c r="AH88" s="146">
        <v>2.0119341225703799E-5</v>
      </c>
      <c r="AI88" s="146">
        <v>4.9190203575051598E-2</v>
      </c>
      <c r="AJ88" s="147">
        <v>5.5442339961085385E-3</v>
      </c>
      <c r="AK88" s="181"/>
    </row>
    <row r="89" spans="1:37" ht="15" x14ac:dyDescent="0.2">
      <c r="A89" s="142" t="s">
        <v>1205</v>
      </c>
      <c r="B89" s="143" t="s">
        <v>1215</v>
      </c>
      <c r="C89" s="143" t="s">
        <v>1349</v>
      </c>
      <c r="D89" s="143" t="s">
        <v>1350</v>
      </c>
      <c r="E89" s="143" t="s">
        <v>309</v>
      </c>
      <c r="F89" s="143" t="s">
        <v>1464</v>
      </c>
      <c r="G89" s="143" t="s">
        <v>1465</v>
      </c>
      <c r="H89" s="143" t="s">
        <v>321</v>
      </c>
      <c r="I89" s="143" t="s">
        <v>754</v>
      </c>
      <c r="J89" s="143" t="s">
        <v>204</v>
      </c>
      <c r="K89" s="143" t="s">
        <v>204</v>
      </c>
      <c r="L89" s="143" t="s">
        <v>325</v>
      </c>
      <c r="M89" s="143" t="s">
        <v>340</v>
      </c>
      <c r="N89" s="143" t="s">
        <v>448</v>
      </c>
      <c r="O89" s="143" t="s">
        <v>339</v>
      </c>
      <c r="P89" s="143" t="s">
        <v>1224</v>
      </c>
      <c r="Q89" s="143" t="s">
        <v>413</v>
      </c>
      <c r="R89" s="143" t="s">
        <v>407</v>
      </c>
      <c r="S89" s="143" t="s">
        <v>1210</v>
      </c>
      <c r="T89" s="144">
        <v>3.17</v>
      </c>
      <c r="U89" s="143" t="s">
        <v>1466</v>
      </c>
      <c r="V89" s="146">
        <v>1.2200000000000001E-2</v>
      </c>
      <c r="W89" s="146">
        <v>2.41E-2</v>
      </c>
      <c r="X89" s="143" t="s">
        <v>412</v>
      </c>
      <c r="Y89" s="145" t="s">
        <v>3876</v>
      </c>
      <c r="Z89" s="144">
        <v>9441</v>
      </c>
      <c r="AA89" s="145" t="s">
        <v>3876</v>
      </c>
      <c r="AB89" s="143" t="s">
        <v>1467</v>
      </c>
      <c r="AC89" s="145" t="s">
        <v>3876</v>
      </c>
      <c r="AD89" s="144">
        <v>10.528600000000001</v>
      </c>
      <c r="AE89" s="145" t="s">
        <v>3876</v>
      </c>
      <c r="AF89" s="145" t="s">
        <v>3876</v>
      </c>
      <c r="AG89" s="145" t="s">
        <v>3876</v>
      </c>
      <c r="AH89" s="146">
        <v>3.1307077966263566E-6</v>
      </c>
      <c r="AI89" s="146">
        <v>4.4356297941841358E-2</v>
      </c>
      <c r="AJ89" s="147">
        <v>4.9994038877164398E-3</v>
      </c>
      <c r="AK89" s="181"/>
    </row>
    <row r="90" spans="1:37" ht="15" x14ac:dyDescent="0.2">
      <c r="A90" s="142" t="s">
        <v>1205</v>
      </c>
      <c r="B90" s="143" t="s">
        <v>1215</v>
      </c>
      <c r="C90" s="143" t="s">
        <v>1480</v>
      </c>
      <c r="D90" s="143" t="s">
        <v>1481</v>
      </c>
      <c r="E90" s="143" t="s">
        <v>309</v>
      </c>
      <c r="F90" s="143" t="s">
        <v>1482</v>
      </c>
      <c r="G90" s="143" t="s">
        <v>1483</v>
      </c>
      <c r="H90" s="143" t="s">
        <v>321</v>
      </c>
      <c r="I90" s="143" t="s">
        <v>754</v>
      </c>
      <c r="J90" s="143" t="s">
        <v>204</v>
      </c>
      <c r="K90" s="143" t="s">
        <v>204</v>
      </c>
      <c r="L90" s="143" t="s">
        <v>325</v>
      </c>
      <c r="M90" s="143" t="s">
        <v>340</v>
      </c>
      <c r="N90" s="143" t="s">
        <v>456</v>
      </c>
      <c r="O90" s="143" t="s">
        <v>339</v>
      </c>
      <c r="P90" s="143" t="s">
        <v>1347</v>
      </c>
      <c r="Q90" s="143" t="s">
        <v>413</v>
      </c>
      <c r="R90" s="143" t="s">
        <v>407</v>
      </c>
      <c r="S90" s="143" t="s">
        <v>1210</v>
      </c>
      <c r="T90" s="144">
        <v>5.43</v>
      </c>
      <c r="U90" s="143" t="s">
        <v>1484</v>
      </c>
      <c r="V90" s="146">
        <v>5.1499999999999997E-2</v>
      </c>
      <c r="W90" s="146">
        <v>3.8883000000000001E-2</v>
      </c>
      <c r="X90" s="143" t="s">
        <v>412</v>
      </c>
      <c r="Y90" s="145" t="s">
        <v>3876</v>
      </c>
      <c r="Z90" s="144">
        <v>6323.74</v>
      </c>
      <c r="AA90" s="145" t="s">
        <v>3876</v>
      </c>
      <c r="AB90" s="143" t="s">
        <v>1485</v>
      </c>
      <c r="AC90" s="145" t="s">
        <v>3876</v>
      </c>
      <c r="AD90" s="144">
        <v>9.3041</v>
      </c>
      <c r="AE90" s="145" t="s">
        <v>3876</v>
      </c>
      <c r="AF90" s="145" t="s">
        <v>3876</v>
      </c>
      <c r="AG90" s="145" t="s">
        <v>3876</v>
      </c>
      <c r="AH90" s="146">
        <v>2.1776063244419926E-6</v>
      </c>
      <c r="AI90" s="146">
        <v>3.9197626847397797E-2</v>
      </c>
      <c r="AJ90" s="147">
        <v>4.4179694235772773E-3</v>
      </c>
      <c r="AK90" s="181"/>
    </row>
    <row r="91" spans="1:37" ht="15" x14ac:dyDescent="0.2">
      <c r="A91" s="142" t="s">
        <v>1205</v>
      </c>
      <c r="B91" s="143" t="s">
        <v>1215</v>
      </c>
      <c r="C91" s="143" t="s">
        <v>1498</v>
      </c>
      <c r="D91" s="143" t="s">
        <v>1499</v>
      </c>
      <c r="E91" s="143" t="s">
        <v>313</v>
      </c>
      <c r="F91" s="143" t="s">
        <v>1559</v>
      </c>
      <c r="G91" s="143" t="s">
        <v>1560</v>
      </c>
      <c r="H91" s="143" t="s">
        <v>321</v>
      </c>
      <c r="I91" s="143" t="s">
        <v>754</v>
      </c>
      <c r="J91" s="143" t="s">
        <v>204</v>
      </c>
      <c r="K91" s="143" t="s">
        <v>204</v>
      </c>
      <c r="L91" s="143" t="s">
        <v>325</v>
      </c>
      <c r="M91" s="143" t="s">
        <v>340</v>
      </c>
      <c r="N91" s="143" t="s">
        <v>440</v>
      </c>
      <c r="O91" s="143" t="s">
        <v>339</v>
      </c>
      <c r="P91" s="143" t="s">
        <v>1502</v>
      </c>
      <c r="Q91" s="143" t="s">
        <v>415</v>
      </c>
      <c r="R91" s="143" t="s">
        <v>407</v>
      </c>
      <c r="S91" s="143" t="s">
        <v>1210</v>
      </c>
      <c r="T91" s="144">
        <v>1.1299999999999999</v>
      </c>
      <c r="U91" s="143" t="s">
        <v>1561</v>
      </c>
      <c r="V91" s="146">
        <v>4.4999999999999998E-2</v>
      </c>
      <c r="W91" s="146">
        <v>2.6681E-2</v>
      </c>
      <c r="X91" s="143" t="s">
        <v>412</v>
      </c>
      <c r="Y91" s="145" t="s">
        <v>3876</v>
      </c>
      <c r="Z91" s="144">
        <v>6068</v>
      </c>
      <c r="AA91" s="145" t="s">
        <v>3876</v>
      </c>
      <c r="AB91" s="143" t="s">
        <v>1562</v>
      </c>
      <c r="AC91" s="145" t="s">
        <v>3876</v>
      </c>
      <c r="AD91" s="144">
        <v>7.2385000000000002</v>
      </c>
      <c r="AE91" s="145" t="s">
        <v>3876</v>
      </c>
      <c r="AF91" s="145" t="s">
        <v>3876</v>
      </c>
      <c r="AG91" s="145" t="s">
        <v>3876</v>
      </c>
      <c r="AH91" s="146">
        <v>2.0530488920482957E-6</v>
      </c>
      <c r="AI91" s="146">
        <v>3.049538666062971E-2</v>
      </c>
      <c r="AJ91" s="147">
        <v>3.4371388439239799E-3</v>
      </c>
      <c r="AK91" s="181"/>
    </row>
    <row r="92" spans="1:37" ht="15" x14ac:dyDescent="0.2">
      <c r="A92" s="142" t="s">
        <v>1205</v>
      </c>
      <c r="B92" s="143" t="s">
        <v>1215</v>
      </c>
      <c r="C92" s="143" t="s">
        <v>1509</v>
      </c>
      <c r="D92" s="143" t="s">
        <v>1510</v>
      </c>
      <c r="E92" s="143" t="s">
        <v>309</v>
      </c>
      <c r="F92" s="143" t="s">
        <v>1550</v>
      </c>
      <c r="G92" s="143" t="s">
        <v>1551</v>
      </c>
      <c r="H92" s="143" t="s">
        <v>321</v>
      </c>
      <c r="I92" s="143" t="s">
        <v>754</v>
      </c>
      <c r="J92" s="143" t="s">
        <v>204</v>
      </c>
      <c r="K92" s="143" t="s">
        <v>204</v>
      </c>
      <c r="L92" s="143" t="s">
        <v>325</v>
      </c>
      <c r="M92" s="143" t="s">
        <v>340</v>
      </c>
      <c r="N92" s="143" t="s">
        <v>448</v>
      </c>
      <c r="O92" s="143" t="s">
        <v>339</v>
      </c>
      <c r="P92" s="143" t="s">
        <v>1347</v>
      </c>
      <c r="Q92" s="143" t="s">
        <v>413</v>
      </c>
      <c r="R92" s="143" t="s">
        <v>407</v>
      </c>
      <c r="S92" s="143" t="s">
        <v>1210</v>
      </c>
      <c r="T92" s="144">
        <v>4.75</v>
      </c>
      <c r="U92" s="143" t="s">
        <v>1552</v>
      </c>
      <c r="V92" s="146">
        <v>2.5899999999999999E-2</v>
      </c>
      <c r="W92" s="146">
        <v>2.7512000000000002E-2</v>
      </c>
      <c r="X92" s="143" t="s">
        <v>412</v>
      </c>
      <c r="Y92" s="145" t="s">
        <v>3876</v>
      </c>
      <c r="Z92" s="144">
        <v>7000</v>
      </c>
      <c r="AA92" s="145" t="s">
        <v>3876</v>
      </c>
      <c r="AB92" s="143" t="s">
        <v>1553</v>
      </c>
      <c r="AC92" s="145" t="s">
        <v>3876</v>
      </c>
      <c r="AD92" s="144">
        <v>7.1623999999999999</v>
      </c>
      <c r="AE92" s="145" t="s">
        <v>3876</v>
      </c>
      <c r="AF92" s="145" t="s">
        <v>3876</v>
      </c>
      <c r="AG92" s="145" t="s">
        <v>3876</v>
      </c>
      <c r="AH92" s="146">
        <v>1.5555555555555555E-5</v>
      </c>
      <c r="AI92" s="146">
        <v>3.0174710010787045E-2</v>
      </c>
      <c r="AJ92" s="147">
        <v>3.4009953386200577E-3</v>
      </c>
      <c r="AK92" s="181"/>
    </row>
    <row r="93" spans="1:37" ht="15" x14ac:dyDescent="0.2">
      <c r="A93" s="142" t="s">
        <v>1205</v>
      </c>
      <c r="B93" s="143" t="s">
        <v>1215</v>
      </c>
      <c r="C93" s="143" t="s">
        <v>1474</v>
      </c>
      <c r="D93" s="143" t="s">
        <v>1475</v>
      </c>
      <c r="E93" s="143" t="s">
        <v>309</v>
      </c>
      <c r="F93" s="143" t="s">
        <v>1476</v>
      </c>
      <c r="G93" s="143" t="s">
        <v>1477</v>
      </c>
      <c r="H93" s="143" t="s">
        <v>321</v>
      </c>
      <c r="I93" s="143" t="s">
        <v>754</v>
      </c>
      <c r="J93" s="143" t="s">
        <v>204</v>
      </c>
      <c r="K93" s="143" t="s">
        <v>204</v>
      </c>
      <c r="L93" s="143" t="s">
        <v>325</v>
      </c>
      <c r="M93" s="143" t="s">
        <v>340</v>
      </c>
      <c r="N93" s="143" t="s">
        <v>448</v>
      </c>
      <c r="O93" s="143" t="s">
        <v>339</v>
      </c>
      <c r="P93" s="143" t="s">
        <v>1224</v>
      </c>
      <c r="Q93" s="143" t="s">
        <v>413</v>
      </c>
      <c r="R93" s="143" t="s">
        <v>407</v>
      </c>
      <c r="S93" s="143" t="s">
        <v>1210</v>
      </c>
      <c r="T93" s="144">
        <v>3.26</v>
      </c>
      <c r="U93" s="143" t="s">
        <v>1478</v>
      </c>
      <c r="V93" s="146">
        <v>1.7500000000000002E-2</v>
      </c>
      <c r="W93" s="146">
        <v>2.4340000000000001E-2</v>
      </c>
      <c r="X93" s="143" t="s">
        <v>412</v>
      </c>
      <c r="Y93" s="145" t="s">
        <v>3876</v>
      </c>
      <c r="Z93" s="144">
        <v>6187.19</v>
      </c>
      <c r="AA93" s="145" t="s">
        <v>3876</v>
      </c>
      <c r="AB93" s="143" t="s">
        <v>1479</v>
      </c>
      <c r="AC93" s="145" t="s">
        <v>3876</v>
      </c>
      <c r="AD93" s="144">
        <v>6.8993000000000002</v>
      </c>
      <c r="AE93" s="145" t="s">
        <v>3876</v>
      </c>
      <c r="AF93" s="145" t="s">
        <v>3876</v>
      </c>
      <c r="AG93" s="145" t="s">
        <v>3876</v>
      </c>
      <c r="AH93" s="146">
        <v>2.3793316899028362E-6</v>
      </c>
      <c r="AI93" s="146">
        <v>2.9066437236357011E-2</v>
      </c>
      <c r="AJ93" s="147">
        <v>3.276081775626126E-3</v>
      </c>
      <c r="AK93" s="181"/>
    </row>
    <row r="94" spans="1:37" ht="15" x14ac:dyDescent="0.2">
      <c r="A94" s="142" t="s">
        <v>1205</v>
      </c>
      <c r="B94" s="143" t="s">
        <v>1215</v>
      </c>
      <c r="C94" s="143" t="s">
        <v>1717</v>
      </c>
      <c r="D94" s="143" t="s">
        <v>1718</v>
      </c>
      <c r="E94" s="143" t="s">
        <v>309</v>
      </c>
      <c r="F94" s="143" t="s">
        <v>1719</v>
      </c>
      <c r="G94" s="143" t="s">
        <v>1720</v>
      </c>
      <c r="H94" s="143" t="s">
        <v>321</v>
      </c>
      <c r="I94" s="143" t="s">
        <v>754</v>
      </c>
      <c r="J94" s="143" t="s">
        <v>204</v>
      </c>
      <c r="K94" s="143" t="s">
        <v>204</v>
      </c>
      <c r="L94" s="143" t="s">
        <v>325</v>
      </c>
      <c r="M94" s="143" t="s">
        <v>340</v>
      </c>
      <c r="N94" s="143" t="s">
        <v>464</v>
      </c>
      <c r="O94" s="143" t="s">
        <v>339</v>
      </c>
      <c r="P94" s="143" t="s">
        <v>1721</v>
      </c>
      <c r="Q94" s="143" t="s">
        <v>413</v>
      </c>
      <c r="R94" s="143" t="s">
        <v>407</v>
      </c>
      <c r="S94" s="143" t="s">
        <v>1210</v>
      </c>
      <c r="T94" s="144">
        <v>10.57</v>
      </c>
      <c r="U94" s="143" t="s">
        <v>1722</v>
      </c>
      <c r="V94" s="146">
        <v>1.6899999999999998E-2</v>
      </c>
      <c r="W94" s="146">
        <v>3.8008E-2</v>
      </c>
      <c r="X94" s="143" t="s">
        <v>412</v>
      </c>
      <c r="Y94" s="145" t="s">
        <v>3876</v>
      </c>
      <c r="Z94" s="144">
        <v>6642</v>
      </c>
      <c r="AA94" s="145" t="s">
        <v>3876</v>
      </c>
      <c r="AB94" s="143" t="s">
        <v>1723</v>
      </c>
      <c r="AC94" s="144">
        <v>6.2799999999999995E-2</v>
      </c>
      <c r="AD94" s="144">
        <v>6.0273000000000003</v>
      </c>
      <c r="AE94" s="145" t="s">
        <v>3876</v>
      </c>
      <c r="AF94" s="145" t="s">
        <v>3876</v>
      </c>
      <c r="AG94" s="145" t="s">
        <v>3876</v>
      </c>
      <c r="AH94" s="146">
        <v>1.5223609659497221E-6</v>
      </c>
      <c r="AI94" s="146">
        <v>2.5657081040385058E-2</v>
      </c>
      <c r="AJ94" s="147">
        <v>2.8918128124430201E-3</v>
      </c>
      <c r="AK94" s="181"/>
    </row>
    <row r="95" spans="1:37" ht="15" x14ac:dyDescent="0.2">
      <c r="A95" s="142" t="s">
        <v>1205</v>
      </c>
      <c r="B95" s="143" t="s">
        <v>1215</v>
      </c>
      <c r="C95" s="143" t="s">
        <v>1724</v>
      </c>
      <c r="D95" s="143" t="s">
        <v>1725</v>
      </c>
      <c r="E95" s="143" t="s">
        <v>309</v>
      </c>
      <c r="F95" s="143" t="s">
        <v>1726</v>
      </c>
      <c r="G95" s="143" t="s">
        <v>1727</v>
      </c>
      <c r="H95" s="143" t="s">
        <v>321</v>
      </c>
      <c r="I95" s="143" t="s">
        <v>754</v>
      </c>
      <c r="J95" s="143" t="s">
        <v>204</v>
      </c>
      <c r="K95" s="143" t="s">
        <v>204</v>
      </c>
      <c r="L95" s="143" t="s">
        <v>325</v>
      </c>
      <c r="M95" s="143" t="s">
        <v>340</v>
      </c>
      <c r="N95" s="143" t="s">
        <v>464</v>
      </c>
      <c r="O95" s="143" t="s">
        <v>339</v>
      </c>
      <c r="P95" s="143" t="s">
        <v>1728</v>
      </c>
      <c r="Q95" s="143" t="s">
        <v>413</v>
      </c>
      <c r="R95" s="143" t="s">
        <v>407</v>
      </c>
      <c r="S95" s="143" t="s">
        <v>1210</v>
      </c>
      <c r="T95" s="144">
        <v>3.03</v>
      </c>
      <c r="U95" s="143" t="s">
        <v>1419</v>
      </c>
      <c r="V95" s="146">
        <v>1.7999999999999999E-2</v>
      </c>
      <c r="W95" s="146">
        <v>3.0234E-2</v>
      </c>
      <c r="X95" s="143" t="s">
        <v>412</v>
      </c>
      <c r="Y95" s="145" t="s">
        <v>3876</v>
      </c>
      <c r="Z95" s="144">
        <v>5275.2</v>
      </c>
      <c r="AA95" s="145" t="s">
        <v>3876</v>
      </c>
      <c r="AB95" s="143" t="s">
        <v>1729</v>
      </c>
      <c r="AC95" s="145" t="s">
        <v>3876</v>
      </c>
      <c r="AD95" s="144">
        <v>5.8301999999999996</v>
      </c>
      <c r="AE95" s="145" t="s">
        <v>3876</v>
      </c>
      <c r="AF95" s="145" t="s">
        <v>3876</v>
      </c>
      <c r="AG95" s="145" t="s">
        <v>3876</v>
      </c>
      <c r="AH95" s="146">
        <v>6.6882809002514338E-6</v>
      </c>
      <c r="AI95" s="146">
        <v>2.4562034646359952E-2</v>
      </c>
      <c r="AJ95" s="147">
        <v>2.7683899964384678E-3</v>
      </c>
      <c r="AK95" s="181"/>
    </row>
    <row r="96" spans="1:37" ht="15" x14ac:dyDescent="0.2">
      <c r="A96" s="142" t="s">
        <v>1205</v>
      </c>
      <c r="B96" s="143" t="s">
        <v>1215</v>
      </c>
      <c r="C96" s="143" t="s">
        <v>1362</v>
      </c>
      <c r="D96" s="143" t="s">
        <v>1363</v>
      </c>
      <c r="E96" s="143" t="s">
        <v>309</v>
      </c>
      <c r="F96" s="143" t="s">
        <v>1595</v>
      </c>
      <c r="G96" s="143" t="s">
        <v>1596</v>
      </c>
      <c r="H96" s="143" t="s">
        <v>321</v>
      </c>
      <c r="I96" s="143" t="s">
        <v>754</v>
      </c>
      <c r="J96" s="143" t="s">
        <v>204</v>
      </c>
      <c r="K96" s="143" t="s">
        <v>204</v>
      </c>
      <c r="L96" s="143" t="s">
        <v>325</v>
      </c>
      <c r="M96" s="143" t="s">
        <v>340</v>
      </c>
      <c r="N96" s="143" t="s">
        <v>445</v>
      </c>
      <c r="O96" s="143" t="s">
        <v>339</v>
      </c>
      <c r="P96" s="143" t="s">
        <v>1366</v>
      </c>
      <c r="Q96" s="143" t="s">
        <v>415</v>
      </c>
      <c r="R96" s="143" t="s">
        <v>407</v>
      </c>
      <c r="S96" s="143" t="s">
        <v>1210</v>
      </c>
      <c r="T96" s="144">
        <v>2.44</v>
      </c>
      <c r="U96" s="143" t="s">
        <v>1513</v>
      </c>
      <c r="V96" s="146">
        <v>2.4E-2</v>
      </c>
      <c r="W96" s="146">
        <v>2.2946000000000001E-2</v>
      </c>
      <c r="X96" s="143" t="s">
        <v>412</v>
      </c>
      <c r="Y96" s="145" t="s">
        <v>3876</v>
      </c>
      <c r="Z96" s="144">
        <v>4726.51</v>
      </c>
      <c r="AA96" s="145" t="s">
        <v>3876</v>
      </c>
      <c r="AB96" s="143" t="s">
        <v>1597</v>
      </c>
      <c r="AC96" s="145" t="s">
        <v>3876</v>
      </c>
      <c r="AD96" s="144">
        <v>5.3811</v>
      </c>
      <c r="AE96" s="145" t="s">
        <v>3876</v>
      </c>
      <c r="AF96" s="145" t="s">
        <v>3876</v>
      </c>
      <c r="AG96" s="145" t="s">
        <v>3876</v>
      </c>
      <c r="AH96" s="146">
        <v>1.6011665478901599E-5</v>
      </c>
      <c r="AI96" s="146">
        <v>2.2670346059421056E-2</v>
      </c>
      <c r="AJ96" s="147">
        <v>2.5551775392516378E-3</v>
      </c>
      <c r="AK96" s="181"/>
    </row>
    <row r="97" spans="1:37" ht="15" x14ac:dyDescent="0.2">
      <c r="A97" s="142" t="s">
        <v>1205</v>
      </c>
      <c r="B97" s="143" t="s">
        <v>1215</v>
      </c>
      <c r="C97" s="143" t="s">
        <v>1498</v>
      </c>
      <c r="D97" s="143" t="s">
        <v>1499</v>
      </c>
      <c r="E97" s="143" t="s">
        <v>313</v>
      </c>
      <c r="F97" s="143" t="s">
        <v>1500</v>
      </c>
      <c r="G97" s="143" t="s">
        <v>1501</v>
      </c>
      <c r="H97" s="143" t="s">
        <v>321</v>
      </c>
      <c r="I97" s="143" t="s">
        <v>754</v>
      </c>
      <c r="J97" s="143" t="s">
        <v>204</v>
      </c>
      <c r="K97" s="143" t="s">
        <v>204</v>
      </c>
      <c r="L97" s="143" t="s">
        <v>325</v>
      </c>
      <c r="M97" s="143" t="s">
        <v>340</v>
      </c>
      <c r="N97" s="143" t="s">
        <v>440</v>
      </c>
      <c r="O97" s="143" t="s">
        <v>339</v>
      </c>
      <c r="P97" s="143" t="s">
        <v>1502</v>
      </c>
      <c r="Q97" s="143" t="s">
        <v>415</v>
      </c>
      <c r="R97" s="143" t="s">
        <v>407</v>
      </c>
      <c r="S97" s="143" t="s">
        <v>1210</v>
      </c>
      <c r="T97" s="144">
        <v>10.64</v>
      </c>
      <c r="U97" s="143" t="s">
        <v>1503</v>
      </c>
      <c r="V97" s="146">
        <v>3.2000000000000001E-2</v>
      </c>
      <c r="W97" s="146">
        <v>3.5250999999999998E-2</v>
      </c>
      <c r="X97" s="143" t="s">
        <v>412</v>
      </c>
      <c r="Y97" s="145" t="s">
        <v>3876</v>
      </c>
      <c r="Z97" s="144">
        <v>5304</v>
      </c>
      <c r="AA97" s="145" t="s">
        <v>3876</v>
      </c>
      <c r="AB97" s="143" t="s">
        <v>1504</v>
      </c>
      <c r="AC97" s="145" t="s">
        <v>3876</v>
      </c>
      <c r="AD97" s="144">
        <v>5.3040000000000003</v>
      </c>
      <c r="AE97" s="145" t="s">
        <v>3876</v>
      </c>
      <c r="AF97" s="145" t="s">
        <v>3876</v>
      </c>
      <c r="AG97" s="145" t="s">
        <v>3876</v>
      </c>
      <c r="AH97" s="146">
        <v>1.6993605611221931E-6</v>
      </c>
      <c r="AI97" s="146">
        <v>2.2345395663075855E-2</v>
      </c>
      <c r="AJ97" s="147">
        <v>2.5185523394449889E-3</v>
      </c>
      <c r="AK97" s="181"/>
    </row>
    <row r="98" spans="1:37" ht="15" x14ac:dyDescent="0.2">
      <c r="A98" s="142" t="s">
        <v>1205</v>
      </c>
      <c r="B98" s="143" t="s">
        <v>1215</v>
      </c>
      <c r="C98" s="143" t="s">
        <v>1349</v>
      </c>
      <c r="D98" s="143" t="s">
        <v>1350</v>
      </c>
      <c r="E98" s="143" t="s">
        <v>309</v>
      </c>
      <c r="F98" s="143" t="s">
        <v>1486</v>
      </c>
      <c r="G98" s="143" t="s">
        <v>1487</v>
      </c>
      <c r="H98" s="143" t="s">
        <v>321</v>
      </c>
      <c r="I98" s="143" t="s">
        <v>754</v>
      </c>
      <c r="J98" s="143" t="s">
        <v>204</v>
      </c>
      <c r="K98" s="143" t="s">
        <v>204</v>
      </c>
      <c r="L98" s="143" t="s">
        <v>325</v>
      </c>
      <c r="M98" s="143" t="s">
        <v>340</v>
      </c>
      <c r="N98" s="143" t="s">
        <v>448</v>
      </c>
      <c r="O98" s="143" t="s">
        <v>339</v>
      </c>
      <c r="P98" s="143" t="s">
        <v>1209</v>
      </c>
      <c r="Q98" s="143" t="s">
        <v>415</v>
      </c>
      <c r="R98" s="143" t="s">
        <v>407</v>
      </c>
      <c r="S98" s="143" t="s">
        <v>1210</v>
      </c>
      <c r="T98" s="144">
        <v>2.41</v>
      </c>
      <c r="U98" s="143" t="s">
        <v>1488</v>
      </c>
      <c r="V98" s="146">
        <v>5.0000000000000001E-3</v>
      </c>
      <c r="W98" s="146">
        <v>2.1951999999999999E-2</v>
      </c>
      <c r="X98" s="143" t="s">
        <v>412</v>
      </c>
      <c r="Y98" s="145" t="s">
        <v>3876</v>
      </c>
      <c r="Z98" s="144">
        <v>4526</v>
      </c>
      <c r="AA98" s="145" t="s">
        <v>3876</v>
      </c>
      <c r="AB98" s="143" t="s">
        <v>1489</v>
      </c>
      <c r="AC98" s="145" t="s">
        <v>3876</v>
      </c>
      <c r="AD98" s="144">
        <v>4.9008000000000003</v>
      </c>
      <c r="AE98" s="145" t="s">
        <v>3876</v>
      </c>
      <c r="AF98" s="145" t="s">
        <v>3876</v>
      </c>
      <c r="AG98" s="145" t="s">
        <v>3876</v>
      </c>
      <c r="AH98" s="146">
        <v>5.9299813767270907E-6</v>
      </c>
      <c r="AI98" s="146">
        <v>2.0646542300702647E-2</v>
      </c>
      <c r="AJ98" s="147">
        <v>2.3270743645327262E-3</v>
      </c>
      <c r="AK98" s="181"/>
    </row>
    <row r="99" spans="1:37" ht="15" x14ac:dyDescent="0.2">
      <c r="A99" s="142" t="s">
        <v>1205</v>
      </c>
      <c r="B99" s="143" t="s">
        <v>1215</v>
      </c>
      <c r="C99" s="143" t="s">
        <v>1349</v>
      </c>
      <c r="D99" s="143" t="s">
        <v>1350</v>
      </c>
      <c r="E99" s="143" t="s">
        <v>309</v>
      </c>
      <c r="F99" s="143" t="s">
        <v>1456</v>
      </c>
      <c r="G99" s="143" t="s">
        <v>1457</v>
      </c>
      <c r="H99" s="143" t="s">
        <v>321</v>
      </c>
      <c r="I99" s="143" t="s">
        <v>754</v>
      </c>
      <c r="J99" s="143" t="s">
        <v>204</v>
      </c>
      <c r="K99" s="143" t="s">
        <v>204</v>
      </c>
      <c r="L99" s="143" t="s">
        <v>325</v>
      </c>
      <c r="M99" s="143" t="s">
        <v>340</v>
      </c>
      <c r="N99" s="143" t="s">
        <v>448</v>
      </c>
      <c r="O99" s="143" t="s">
        <v>339</v>
      </c>
      <c r="P99" s="143" t="s">
        <v>1224</v>
      </c>
      <c r="Q99" s="143" t="s">
        <v>413</v>
      </c>
      <c r="R99" s="143" t="s">
        <v>407</v>
      </c>
      <c r="S99" s="143" t="s">
        <v>1210</v>
      </c>
      <c r="T99" s="144">
        <v>1.97</v>
      </c>
      <c r="U99" s="143" t="s">
        <v>1458</v>
      </c>
      <c r="V99" s="146">
        <v>3.8E-3</v>
      </c>
      <c r="W99" s="146">
        <v>2.2020999999999999E-2</v>
      </c>
      <c r="X99" s="143" t="s">
        <v>412</v>
      </c>
      <c r="Y99" s="145" t="s">
        <v>3876</v>
      </c>
      <c r="Z99" s="144">
        <v>4177</v>
      </c>
      <c r="AA99" s="145" t="s">
        <v>3876</v>
      </c>
      <c r="AB99" s="143" t="s">
        <v>1459</v>
      </c>
      <c r="AC99" s="145" t="s">
        <v>3876</v>
      </c>
      <c r="AD99" s="144">
        <v>4.5099</v>
      </c>
      <c r="AE99" s="145" t="s">
        <v>3876</v>
      </c>
      <c r="AF99" s="145" t="s">
        <v>3876</v>
      </c>
      <c r="AG99" s="145" t="s">
        <v>3876</v>
      </c>
      <c r="AH99" s="146">
        <v>1.3923333333333334E-6</v>
      </c>
      <c r="AI99" s="146">
        <v>1.8999934782076899E-2</v>
      </c>
      <c r="AJ99" s="147">
        <v>2.141485025202507E-3</v>
      </c>
      <c r="AK99" s="181"/>
    </row>
    <row r="100" spans="1:37" ht="15" x14ac:dyDescent="0.2">
      <c r="A100" s="142" t="s">
        <v>1205</v>
      </c>
      <c r="B100" s="143" t="s">
        <v>1215</v>
      </c>
      <c r="C100" s="143" t="s">
        <v>1349</v>
      </c>
      <c r="D100" s="143" t="s">
        <v>1350</v>
      </c>
      <c r="E100" s="143" t="s">
        <v>309</v>
      </c>
      <c r="F100" s="143" t="s">
        <v>1567</v>
      </c>
      <c r="G100" s="143" t="s">
        <v>1568</v>
      </c>
      <c r="H100" s="143" t="s">
        <v>321</v>
      </c>
      <c r="I100" s="143" t="s">
        <v>754</v>
      </c>
      <c r="J100" s="143" t="s">
        <v>204</v>
      </c>
      <c r="K100" s="143" t="s">
        <v>204</v>
      </c>
      <c r="L100" s="143" t="s">
        <v>325</v>
      </c>
      <c r="M100" s="143" t="s">
        <v>340</v>
      </c>
      <c r="N100" s="143" t="s">
        <v>448</v>
      </c>
      <c r="O100" s="143" t="s">
        <v>339</v>
      </c>
      <c r="P100" s="143" t="s">
        <v>1224</v>
      </c>
      <c r="Q100" s="143" t="s">
        <v>413</v>
      </c>
      <c r="R100" s="143" t="s">
        <v>407</v>
      </c>
      <c r="S100" s="143" t="s">
        <v>1210</v>
      </c>
      <c r="T100" s="144">
        <v>4.63</v>
      </c>
      <c r="U100" s="143" t="s">
        <v>1569</v>
      </c>
      <c r="V100" s="146">
        <v>1.9900000000000001E-2</v>
      </c>
      <c r="W100" s="146">
        <v>2.5776E-2</v>
      </c>
      <c r="X100" s="143" t="s">
        <v>412</v>
      </c>
      <c r="Y100" s="145" t="s">
        <v>3876</v>
      </c>
      <c r="Z100" s="144">
        <v>4000</v>
      </c>
      <c r="AA100" s="145" t="s">
        <v>3876</v>
      </c>
      <c r="AB100" s="143" t="s">
        <v>1570</v>
      </c>
      <c r="AC100" s="145" t="s">
        <v>3876</v>
      </c>
      <c r="AD100" s="144">
        <v>4.0091999999999999</v>
      </c>
      <c r="AE100" s="145" t="s">
        <v>3876</v>
      </c>
      <c r="AF100" s="145" t="s">
        <v>3876</v>
      </c>
      <c r="AG100" s="145" t="s">
        <v>3876</v>
      </c>
      <c r="AH100" s="146">
        <v>1.4814814814814815E-6</v>
      </c>
      <c r="AI100" s="146">
        <v>1.6890490251207337E-2</v>
      </c>
      <c r="AJ100" s="147">
        <v>1.9037292683451827E-3</v>
      </c>
      <c r="AK100" s="181"/>
    </row>
    <row r="101" spans="1:37" ht="15" x14ac:dyDescent="0.2">
      <c r="A101" s="142" t="s">
        <v>1205</v>
      </c>
      <c r="B101" s="143" t="s">
        <v>1215</v>
      </c>
      <c r="C101" s="143" t="s">
        <v>1468</v>
      </c>
      <c r="D101" s="143" t="s">
        <v>1469</v>
      </c>
      <c r="E101" s="143" t="s">
        <v>309</v>
      </c>
      <c r="F101" s="143" t="s">
        <v>1494</v>
      </c>
      <c r="G101" s="143" t="s">
        <v>1495</v>
      </c>
      <c r="H101" s="143" t="s">
        <v>321</v>
      </c>
      <c r="I101" s="143" t="s">
        <v>754</v>
      </c>
      <c r="J101" s="143" t="s">
        <v>204</v>
      </c>
      <c r="K101" s="143" t="s">
        <v>204</v>
      </c>
      <c r="L101" s="143" t="s">
        <v>325</v>
      </c>
      <c r="M101" s="143" t="s">
        <v>340</v>
      </c>
      <c r="N101" s="143" t="s">
        <v>448</v>
      </c>
      <c r="O101" s="143" t="s">
        <v>339</v>
      </c>
      <c r="P101" s="143" t="s">
        <v>1224</v>
      </c>
      <c r="Q101" s="143" t="s">
        <v>413</v>
      </c>
      <c r="R101" s="143" t="s">
        <v>407</v>
      </c>
      <c r="S101" s="143" t="s">
        <v>1210</v>
      </c>
      <c r="T101" s="144">
        <v>5.29</v>
      </c>
      <c r="U101" s="143" t="s">
        <v>1496</v>
      </c>
      <c r="V101" s="146">
        <v>2.0251999999999999E-2</v>
      </c>
      <c r="W101" s="146">
        <v>2.5944999999999999E-2</v>
      </c>
      <c r="X101" s="143" t="s">
        <v>412</v>
      </c>
      <c r="Y101" s="145" t="s">
        <v>3876</v>
      </c>
      <c r="Z101" s="144">
        <v>4000</v>
      </c>
      <c r="AA101" s="145" t="s">
        <v>3876</v>
      </c>
      <c r="AB101" s="143" t="s">
        <v>1497</v>
      </c>
      <c r="AC101" s="145" t="s">
        <v>3876</v>
      </c>
      <c r="AD101" s="144">
        <v>3.9651999999999998</v>
      </c>
      <c r="AE101" s="145" t="s">
        <v>3876</v>
      </c>
      <c r="AF101" s="145" t="s">
        <v>3876</v>
      </c>
      <c r="AG101" s="145" t="s">
        <v>3876</v>
      </c>
      <c r="AH101" s="146">
        <v>1.8843729890207007E-6</v>
      </c>
      <c r="AI101" s="146">
        <v>1.6705121207245169E-2</v>
      </c>
      <c r="AJ101" s="147">
        <v>1.8828363002200733E-3</v>
      </c>
      <c r="AK101" s="181"/>
    </row>
    <row r="102" spans="1:37" ht="15" x14ac:dyDescent="0.2">
      <c r="A102" s="142" t="s">
        <v>1205</v>
      </c>
      <c r="B102" s="143" t="s">
        <v>1215</v>
      </c>
      <c r="C102" s="143" t="s">
        <v>1369</v>
      </c>
      <c r="D102" s="143" t="s">
        <v>1370</v>
      </c>
      <c r="E102" s="143" t="s">
        <v>309</v>
      </c>
      <c r="F102" s="143" t="s">
        <v>1577</v>
      </c>
      <c r="G102" s="143" t="s">
        <v>1578</v>
      </c>
      <c r="H102" s="143" t="s">
        <v>321</v>
      </c>
      <c r="I102" s="143" t="s">
        <v>754</v>
      </c>
      <c r="J102" s="143" t="s">
        <v>204</v>
      </c>
      <c r="K102" s="143" t="s">
        <v>204</v>
      </c>
      <c r="L102" s="143" t="s">
        <v>325</v>
      </c>
      <c r="M102" s="143" t="s">
        <v>340</v>
      </c>
      <c r="N102" s="143" t="s">
        <v>445</v>
      </c>
      <c r="O102" s="143" t="s">
        <v>339</v>
      </c>
      <c r="P102" s="143" t="s">
        <v>1366</v>
      </c>
      <c r="Q102" s="143" t="s">
        <v>415</v>
      </c>
      <c r="R102" s="143" t="s">
        <v>407</v>
      </c>
      <c r="S102" s="143" t="s">
        <v>1210</v>
      </c>
      <c r="T102" s="144">
        <v>5.24</v>
      </c>
      <c r="U102" s="143" t="s">
        <v>1579</v>
      </c>
      <c r="V102" s="146">
        <v>4.6899999999999997E-2</v>
      </c>
      <c r="W102" s="146">
        <v>5.7537999999999999E-2</v>
      </c>
      <c r="X102" s="143" t="s">
        <v>412</v>
      </c>
      <c r="Y102" s="145" t="s">
        <v>3876</v>
      </c>
      <c r="Z102" s="144">
        <v>4000</v>
      </c>
      <c r="AA102" s="145" t="s">
        <v>3876</v>
      </c>
      <c r="AB102" s="143" t="s">
        <v>1580</v>
      </c>
      <c r="AC102" s="145" t="s">
        <v>3876</v>
      </c>
      <c r="AD102" s="144">
        <v>3.8096000000000001</v>
      </c>
      <c r="AE102" s="145" t="s">
        <v>3876</v>
      </c>
      <c r="AF102" s="145" t="s">
        <v>3876</v>
      </c>
      <c r="AG102" s="145" t="s">
        <v>3876</v>
      </c>
      <c r="AH102" s="146">
        <v>7.9999999999999996E-6</v>
      </c>
      <c r="AI102" s="146">
        <v>1.6049588860869865E-2</v>
      </c>
      <c r="AJ102" s="147">
        <v>1.8089511674867324E-3</v>
      </c>
      <c r="AK102" s="181"/>
    </row>
    <row r="103" spans="1:37" ht="15" x14ac:dyDescent="0.2">
      <c r="A103" s="142" t="s">
        <v>1205</v>
      </c>
      <c r="B103" s="143" t="s">
        <v>1215</v>
      </c>
      <c r="C103" s="143" t="s">
        <v>1730</v>
      </c>
      <c r="D103" s="143" t="s">
        <v>1731</v>
      </c>
      <c r="E103" s="143" t="s">
        <v>309</v>
      </c>
      <c r="F103" s="143" t="s">
        <v>1732</v>
      </c>
      <c r="G103" s="143" t="s">
        <v>1733</v>
      </c>
      <c r="H103" s="143" t="s">
        <v>321</v>
      </c>
      <c r="I103" s="143" t="s">
        <v>754</v>
      </c>
      <c r="J103" s="143" t="s">
        <v>204</v>
      </c>
      <c r="K103" s="143" t="s">
        <v>204</v>
      </c>
      <c r="L103" s="143" t="s">
        <v>325</v>
      </c>
      <c r="M103" s="143" t="s">
        <v>340</v>
      </c>
      <c r="N103" s="143" t="s">
        <v>440</v>
      </c>
      <c r="O103" s="143" t="s">
        <v>339</v>
      </c>
      <c r="P103" s="143" t="s">
        <v>1359</v>
      </c>
      <c r="Q103" s="143" t="s">
        <v>415</v>
      </c>
      <c r="R103" s="143" t="s">
        <v>407</v>
      </c>
      <c r="S103" s="143" t="s">
        <v>1210</v>
      </c>
      <c r="T103" s="144">
        <v>3.69</v>
      </c>
      <c r="U103" s="143" t="s">
        <v>1538</v>
      </c>
      <c r="V103" s="146">
        <v>1.7999999999999999E-2</v>
      </c>
      <c r="W103" s="146">
        <v>3.5799999999999998E-2</v>
      </c>
      <c r="X103" s="143" t="s">
        <v>412</v>
      </c>
      <c r="Y103" s="145" t="s">
        <v>3876</v>
      </c>
      <c r="Z103" s="144">
        <v>3160</v>
      </c>
      <c r="AA103" s="145" t="s">
        <v>3876</v>
      </c>
      <c r="AB103" s="143" t="s">
        <v>1734</v>
      </c>
      <c r="AC103" s="145" t="s">
        <v>3876</v>
      </c>
      <c r="AD103" s="144">
        <v>3.3793000000000002</v>
      </c>
      <c r="AE103" s="145" t="s">
        <v>3876</v>
      </c>
      <c r="AF103" s="145" t="s">
        <v>3876</v>
      </c>
      <c r="AG103" s="145" t="s">
        <v>3876</v>
      </c>
      <c r="AH103" s="146">
        <v>3.1760221583829485E-6</v>
      </c>
      <c r="AI103" s="146">
        <v>1.4236780721307482E-2</v>
      </c>
      <c r="AJ103" s="147">
        <v>1.6046293353875957E-3</v>
      </c>
      <c r="AK103" s="181"/>
    </row>
    <row r="104" spans="1:37" ht="15" x14ac:dyDescent="0.2">
      <c r="A104" s="142" t="s">
        <v>1205</v>
      </c>
      <c r="B104" s="143" t="s">
        <v>1215</v>
      </c>
      <c r="C104" s="143" t="s">
        <v>1519</v>
      </c>
      <c r="D104" s="143" t="s">
        <v>1520</v>
      </c>
      <c r="E104" s="143" t="s">
        <v>309</v>
      </c>
      <c r="F104" s="143" t="s">
        <v>1591</v>
      </c>
      <c r="G104" s="143" t="s">
        <v>1592</v>
      </c>
      <c r="H104" s="143" t="s">
        <v>321</v>
      </c>
      <c r="I104" s="143" t="s">
        <v>754</v>
      </c>
      <c r="J104" s="143" t="s">
        <v>204</v>
      </c>
      <c r="K104" s="143" t="s">
        <v>204</v>
      </c>
      <c r="L104" s="143" t="s">
        <v>325</v>
      </c>
      <c r="M104" s="143" t="s">
        <v>340</v>
      </c>
      <c r="N104" s="143" t="s">
        <v>465</v>
      </c>
      <c r="O104" s="143" t="s">
        <v>339</v>
      </c>
      <c r="P104" s="143" t="s">
        <v>1359</v>
      </c>
      <c r="Q104" s="143" t="s">
        <v>415</v>
      </c>
      <c r="R104" s="143" t="s">
        <v>407</v>
      </c>
      <c r="S104" s="143" t="s">
        <v>1210</v>
      </c>
      <c r="T104" s="144">
        <v>0.25</v>
      </c>
      <c r="U104" s="143" t="s">
        <v>1593</v>
      </c>
      <c r="V104" s="146">
        <v>5.3499999999999999E-2</v>
      </c>
      <c r="W104" s="146">
        <v>3.9487000000000001E-2</v>
      </c>
      <c r="X104" s="143" t="s">
        <v>412</v>
      </c>
      <c r="Y104" s="145" t="s">
        <v>3876</v>
      </c>
      <c r="Z104" s="144">
        <v>2464.89</v>
      </c>
      <c r="AA104" s="145" t="s">
        <v>3876</v>
      </c>
      <c r="AB104" s="143" t="s">
        <v>1594</v>
      </c>
      <c r="AC104" s="145" t="s">
        <v>3876</v>
      </c>
      <c r="AD104" s="144">
        <v>2.9474999999999998</v>
      </c>
      <c r="AE104" s="145" t="s">
        <v>3876</v>
      </c>
      <c r="AF104" s="145" t="s">
        <v>3876</v>
      </c>
      <c r="AG104" s="145" t="s">
        <v>3876</v>
      </c>
      <c r="AH104" s="146">
        <v>7.4562606591284328E-6</v>
      </c>
      <c r="AI104" s="146">
        <v>1.2417684619423797E-2</v>
      </c>
      <c r="AJ104" s="147">
        <v>1.3995987862689247E-3</v>
      </c>
      <c r="AK104" s="181"/>
    </row>
    <row r="105" spans="1:37" ht="15" x14ac:dyDescent="0.2">
      <c r="A105" s="142" t="s">
        <v>1205</v>
      </c>
      <c r="B105" s="143" t="s">
        <v>1215</v>
      </c>
      <c r="C105" s="143" t="s">
        <v>1735</v>
      </c>
      <c r="D105" s="143" t="s">
        <v>1736</v>
      </c>
      <c r="E105" s="143" t="s">
        <v>309</v>
      </c>
      <c r="F105" s="143" t="s">
        <v>1737</v>
      </c>
      <c r="G105" s="143" t="s">
        <v>1738</v>
      </c>
      <c r="H105" s="143" t="s">
        <v>321</v>
      </c>
      <c r="I105" s="143" t="s">
        <v>754</v>
      </c>
      <c r="J105" s="143" t="s">
        <v>204</v>
      </c>
      <c r="K105" s="143" t="s">
        <v>204</v>
      </c>
      <c r="L105" s="143" t="s">
        <v>325</v>
      </c>
      <c r="M105" s="143" t="s">
        <v>340</v>
      </c>
      <c r="N105" s="143" t="s">
        <v>464</v>
      </c>
      <c r="O105" s="143" t="s">
        <v>339</v>
      </c>
      <c r="P105" s="143" t="s">
        <v>1209</v>
      </c>
      <c r="Q105" s="143" t="s">
        <v>415</v>
      </c>
      <c r="R105" s="143" t="s">
        <v>407</v>
      </c>
      <c r="S105" s="143" t="s">
        <v>1210</v>
      </c>
      <c r="T105" s="144">
        <v>1.71</v>
      </c>
      <c r="U105" s="143" t="s">
        <v>1513</v>
      </c>
      <c r="V105" s="146">
        <v>8.3000000000000001E-3</v>
      </c>
      <c r="W105" s="146">
        <v>2.2022E-2</v>
      </c>
      <c r="X105" s="143" t="s">
        <v>412</v>
      </c>
      <c r="Y105" s="145" t="s">
        <v>3876</v>
      </c>
      <c r="Z105" s="144">
        <v>2093.2800000000002</v>
      </c>
      <c r="AA105" s="145" t="s">
        <v>3876</v>
      </c>
      <c r="AB105" s="143" t="s">
        <v>1739</v>
      </c>
      <c r="AC105" s="145" t="s">
        <v>3876</v>
      </c>
      <c r="AD105" s="144">
        <v>2.3431999999999999</v>
      </c>
      <c r="AE105" s="145" t="s">
        <v>3876</v>
      </c>
      <c r="AF105" s="145" t="s">
        <v>3876</v>
      </c>
      <c r="AG105" s="145" t="s">
        <v>3876</v>
      </c>
      <c r="AH105" s="146">
        <v>1.763724466108708E-6</v>
      </c>
      <c r="AI105" s="146">
        <v>9.8718184599803308E-3</v>
      </c>
      <c r="AJ105" s="147">
        <v>1.1126538930811363E-3</v>
      </c>
      <c r="AK105" s="181"/>
    </row>
    <row r="106" spans="1:37" ht="15" x14ac:dyDescent="0.2">
      <c r="A106" s="142" t="s">
        <v>1205</v>
      </c>
      <c r="B106" s="143" t="s">
        <v>1215</v>
      </c>
      <c r="C106" s="143" t="s">
        <v>1740</v>
      </c>
      <c r="D106" s="143" t="s">
        <v>1741</v>
      </c>
      <c r="E106" s="143" t="s">
        <v>309</v>
      </c>
      <c r="F106" s="143" t="s">
        <v>1742</v>
      </c>
      <c r="G106" s="143" t="s">
        <v>1743</v>
      </c>
      <c r="H106" s="143" t="s">
        <v>321</v>
      </c>
      <c r="I106" s="143" t="s">
        <v>754</v>
      </c>
      <c r="J106" s="143" t="s">
        <v>204</v>
      </c>
      <c r="K106" s="143" t="s">
        <v>204</v>
      </c>
      <c r="L106" s="143" t="s">
        <v>325</v>
      </c>
      <c r="M106" s="143" t="s">
        <v>340</v>
      </c>
      <c r="N106" s="143" t="s">
        <v>464</v>
      </c>
      <c r="O106" s="143" t="s">
        <v>339</v>
      </c>
      <c r="P106" s="143" t="s">
        <v>1366</v>
      </c>
      <c r="Q106" s="143" t="s">
        <v>415</v>
      </c>
      <c r="R106" s="143" t="s">
        <v>407</v>
      </c>
      <c r="S106" s="143" t="s">
        <v>1210</v>
      </c>
      <c r="T106" s="144">
        <v>4.6900000000000004</v>
      </c>
      <c r="U106" s="143" t="s">
        <v>1744</v>
      </c>
      <c r="V106" s="146">
        <v>1.17E-2</v>
      </c>
      <c r="W106" s="146">
        <v>3.5473999999999999E-2</v>
      </c>
      <c r="X106" s="143" t="s">
        <v>412</v>
      </c>
      <c r="Y106" s="145" t="s">
        <v>3876</v>
      </c>
      <c r="Z106" s="144">
        <v>2135.2800000000002</v>
      </c>
      <c r="AA106" s="145" t="s">
        <v>3876</v>
      </c>
      <c r="AB106" s="143" t="s">
        <v>1745</v>
      </c>
      <c r="AC106" s="145" t="s">
        <v>3876</v>
      </c>
      <c r="AD106" s="144">
        <v>2.1714000000000002</v>
      </c>
      <c r="AE106" s="145" t="s">
        <v>3876</v>
      </c>
      <c r="AF106" s="145" t="s">
        <v>3876</v>
      </c>
      <c r="AG106" s="145" t="s">
        <v>3876</v>
      </c>
      <c r="AH106" s="146">
        <v>3.101028633888314E-6</v>
      </c>
      <c r="AI106" s="146">
        <v>9.1478200572176014E-3</v>
      </c>
      <c r="AJ106" s="147">
        <v>1.0310519425707862E-3</v>
      </c>
      <c r="AK106" s="181"/>
    </row>
    <row r="107" spans="1:37" ht="15" x14ac:dyDescent="0.2">
      <c r="A107" s="142" t="s">
        <v>1205</v>
      </c>
      <c r="B107" s="143" t="s">
        <v>1215</v>
      </c>
      <c r="C107" s="143" t="s">
        <v>1607</v>
      </c>
      <c r="D107" s="143" t="s">
        <v>1608</v>
      </c>
      <c r="E107" s="143" t="s">
        <v>309</v>
      </c>
      <c r="F107" s="143" t="s">
        <v>1609</v>
      </c>
      <c r="G107" s="143" t="s">
        <v>1610</v>
      </c>
      <c r="H107" s="143" t="s">
        <v>321</v>
      </c>
      <c r="I107" s="143" t="s">
        <v>754</v>
      </c>
      <c r="J107" s="143" t="s">
        <v>204</v>
      </c>
      <c r="K107" s="143" t="s">
        <v>204</v>
      </c>
      <c r="L107" s="143" t="s">
        <v>325</v>
      </c>
      <c r="M107" s="143" t="s">
        <v>340</v>
      </c>
      <c r="N107" s="143" t="s">
        <v>448</v>
      </c>
      <c r="O107" s="143" t="s">
        <v>339</v>
      </c>
      <c r="P107" s="143" t="s">
        <v>1224</v>
      </c>
      <c r="Q107" s="143" t="s">
        <v>413</v>
      </c>
      <c r="R107" s="143" t="s">
        <v>407</v>
      </c>
      <c r="S107" s="143" t="s">
        <v>1210</v>
      </c>
      <c r="T107" s="144">
        <v>2.98</v>
      </c>
      <c r="U107" s="143" t="s">
        <v>1611</v>
      </c>
      <c r="V107" s="146">
        <v>1.4999999999999999E-2</v>
      </c>
      <c r="W107" s="146">
        <v>2.4263E-2</v>
      </c>
      <c r="X107" s="143" t="s">
        <v>412</v>
      </c>
      <c r="Y107" s="145" t="s">
        <v>3876</v>
      </c>
      <c r="Z107" s="144">
        <v>1895.54</v>
      </c>
      <c r="AA107" s="145" t="s">
        <v>3876</v>
      </c>
      <c r="AB107" s="143" t="s">
        <v>1612</v>
      </c>
      <c r="AC107" s="145" t="s">
        <v>3876</v>
      </c>
      <c r="AD107" s="144">
        <v>2.1073000000000004</v>
      </c>
      <c r="AE107" s="145" t="s">
        <v>3876</v>
      </c>
      <c r="AF107" s="145" t="s">
        <v>3876</v>
      </c>
      <c r="AG107" s="145" t="s">
        <v>3876</v>
      </c>
      <c r="AH107" s="146">
        <v>6.7906406691152268E-6</v>
      </c>
      <c r="AI107" s="146">
        <v>8.8777945970699799E-3</v>
      </c>
      <c r="AJ107" s="147">
        <v>1.0006173391912509E-3</v>
      </c>
      <c r="AK107" s="181"/>
    </row>
    <row r="108" spans="1:37" ht="15" x14ac:dyDescent="0.2">
      <c r="A108" s="142" t="s">
        <v>1205</v>
      </c>
      <c r="B108" s="143" t="s">
        <v>1215</v>
      </c>
      <c r="C108" s="143" t="s">
        <v>1468</v>
      </c>
      <c r="D108" s="143" t="s">
        <v>1469</v>
      </c>
      <c r="E108" s="143" t="s">
        <v>309</v>
      </c>
      <c r="F108" s="143" t="s">
        <v>1598</v>
      </c>
      <c r="G108" s="143" t="s">
        <v>1599</v>
      </c>
      <c r="H108" s="143" t="s">
        <v>321</v>
      </c>
      <c r="I108" s="143" t="s">
        <v>754</v>
      </c>
      <c r="J108" s="143" t="s">
        <v>204</v>
      </c>
      <c r="K108" s="143" t="s">
        <v>204</v>
      </c>
      <c r="L108" s="143" t="s">
        <v>325</v>
      </c>
      <c r="M108" s="143" t="s">
        <v>340</v>
      </c>
      <c r="N108" s="143" t="s">
        <v>448</v>
      </c>
      <c r="O108" s="143" t="s">
        <v>339</v>
      </c>
      <c r="P108" s="143" t="s">
        <v>1224</v>
      </c>
      <c r="Q108" s="143" t="s">
        <v>413</v>
      </c>
      <c r="R108" s="143" t="s">
        <v>407</v>
      </c>
      <c r="S108" s="143" t="s">
        <v>1210</v>
      </c>
      <c r="T108" s="144">
        <v>1.99</v>
      </c>
      <c r="U108" s="143" t="s">
        <v>1404</v>
      </c>
      <c r="V108" s="146">
        <v>8.3000000000000001E-3</v>
      </c>
      <c r="W108" s="146">
        <v>2.1007000000000001E-2</v>
      </c>
      <c r="X108" s="143" t="s">
        <v>412</v>
      </c>
      <c r="Y108" s="145" t="s">
        <v>3876</v>
      </c>
      <c r="Z108" s="144">
        <v>1865</v>
      </c>
      <c r="AA108" s="145" t="s">
        <v>3876</v>
      </c>
      <c r="AB108" s="143" t="s">
        <v>1600</v>
      </c>
      <c r="AC108" s="145" t="s">
        <v>3876</v>
      </c>
      <c r="AD108" s="144">
        <v>2.0655000000000001</v>
      </c>
      <c r="AE108" s="145" t="s">
        <v>3876</v>
      </c>
      <c r="AF108" s="145" t="s">
        <v>3876</v>
      </c>
      <c r="AG108" s="145" t="s">
        <v>3876</v>
      </c>
      <c r="AH108" s="146">
        <v>1.2262089170701431E-6</v>
      </c>
      <c r="AI108" s="146">
        <v>8.7017600725183605E-3</v>
      </c>
      <c r="AJ108" s="147">
        <v>9.8077646591617287E-4</v>
      </c>
      <c r="AK108" s="181"/>
    </row>
    <row r="109" spans="1:37" ht="15" x14ac:dyDescent="0.2">
      <c r="A109" s="142" t="s">
        <v>1205</v>
      </c>
      <c r="B109" s="143" t="s">
        <v>1215</v>
      </c>
      <c r="C109" s="143" t="s">
        <v>1717</v>
      </c>
      <c r="D109" s="143" t="s">
        <v>1718</v>
      </c>
      <c r="E109" s="143" t="s">
        <v>309</v>
      </c>
      <c r="F109" s="143" t="s">
        <v>1746</v>
      </c>
      <c r="G109" s="143" t="s">
        <v>1747</v>
      </c>
      <c r="H109" s="143" t="s">
        <v>321</v>
      </c>
      <c r="I109" s="143" t="s">
        <v>754</v>
      </c>
      <c r="J109" s="143" t="s">
        <v>204</v>
      </c>
      <c r="K109" s="143" t="s">
        <v>204</v>
      </c>
      <c r="L109" s="143" t="s">
        <v>325</v>
      </c>
      <c r="M109" s="143" t="s">
        <v>340</v>
      </c>
      <c r="N109" s="143" t="s">
        <v>464</v>
      </c>
      <c r="O109" s="143" t="s">
        <v>339</v>
      </c>
      <c r="P109" s="143" t="s">
        <v>1502</v>
      </c>
      <c r="Q109" s="143" t="s">
        <v>415</v>
      </c>
      <c r="R109" s="143" t="s">
        <v>407</v>
      </c>
      <c r="S109" s="143" t="s">
        <v>1210</v>
      </c>
      <c r="T109" s="144">
        <v>2.8</v>
      </c>
      <c r="U109" s="143" t="s">
        <v>1542</v>
      </c>
      <c r="V109" s="146">
        <v>1.77E-2</v>
      </c>
      <c r="W109" s="146">
        <v>2.6707999999999999E-2</v>
      </c>
      <c r="X109" s="143" t="s">
        <v>412</v>
      </c>
      <c r="Y109" s="145" t="s">
        <v>3876</v>
      </c>
      <c r="Z109" s="144">
        <v>1600</v>
      </c>
      <c r="AA109" s="145" t="s">
        <v>3876</v>
      </c>
      <c r="AB109" s="143" t="s">
        <v>1748</v>
      </c>
      <c r="AC109" s="145" t="s">
        <v>3876</v>
      </c>
      <c r="AD109" s="144">
        <v>1.7727999999999999</v>
      </c>
      <c r="AE109" s="145" t="s">
        <v>3876</v>
      </c>
      <c r="AF109" s="145" t="s">
        <v>3876</v>
      </c>
      <c r="AG109" s="145" t="s">
        <v>3876</v>
      </c>
      <c r="AH109" s="146">
        <v>6.1663857340333063E-7</v>
      </c>
      <c r="AI109" s="146">
        <v>7.4686872985484298E-3</v>
      </c>
      <c r="AJ109" s="147">
        <v>8.4179667936803851E-4</v>
      </c>
      <c r="AK109" s="181"/>
    </row>
    <row r="110" spans="1:37" ht="15" x14ac:dyDescent="0.2">
      <c r="A110" s="142" t="s">
        <v>1205</v>
      </c>
      <c r="B110" s="143" t="s">
        <v>1215</v>
      </c>
      <c r="C110" s="143" t="s">
        <v>1554</v>
      </c>
      <c r="D110" s="143" t="s">
        <v>1555</v>
      </c>
      <c r="E110" s="143" t="s">
        <v>309</v>
      </c>
      <c r="F110" s="143" t="s">
        <v>1556</v>
      </c>
      <c r="G110" s="143" t="s">
        <v>1557</v>
      </c>
      <c r="H110" s="143" t="s">
        <v>321</v>
      </c>
      <c r="I110" s="143" t="s">
        <v>754</v>
      </c>
      <c r="J110" s="143" t="s">
        <v>204</v>
      </c>
      <c r="K110" s="143" t="s">
        <v>204</v>
      </c>
      <c r="L110" s="143" t="s">
        <v>325</v>
      </c>
      <c r="M110" s="143" t="s">
        <v>340</v>
      </c>
      <c r="N110" s="143" t="s">
        <v>464</v>
      </c>
      <c r="O110" s="143" t="s">
        <v>339</v>
      </c>
      <c r="P110" s="143" t="s">
        <v>1410</v>
      </c>
      <c r="Q110" s="143" t="s">
        <v>413</v>
      </c>
      <c r="R110" s="143" t="s">
        <v>407</v>
      </c>
      <c r="S110" s="143" t="s">
        <v>1210</v>
      </c>
      <c r="T110" s="144">
        <v>2.4300000000000002</v>
      </c>
      <c r="U110" s="143" t="s">
        <v>1299</v>
      </c>
      <c r="V110" s="146">
        <v>2.3400000000000001E-2</v>
      </c>
      <c r="W110" s="146">
        <v>2.7517E-2</v>
      </c>
      <c r="X110" s="143" t="s">
        <v>412</v>
      </c>
      <c r="Y110" s="145" t="s">
        <v>3876</v>
      </c>
      <c r="Z110" s="144">
        <v>1528.24</v>
      </c>
      <c r="AA110" s="145" t="s">
        <v>3876</v>
      </c>
      <c r="AB110" s="143" t="s">
        <v>1558</v>
      </c>
      <c r="AC110" s="145" t="s">
        <v>3876</v>
      </c>
      <c r="AD110" s="144">
        <v>1.7281</v>
      </c>
      <c r="AE110" s="145" t="s">
        <v>3876</v>
      </c>
      <c r="AF110" s="145" t="s">
        <v>3876</v>
      </c>
      <c r="AG110" s="145" t="s">
        <v>3876</v>
      </c>
      <c r="AH110" s="146">
        <v>7.2443641286927365E-7</v>
      </c>
      <c r="AI110" s="146">
        <v>7.2805115650399002E-3</v>
      </c>
      <c r="AJ110" s="147">
        <v>8.2058736891318614E-4</v>
      </c>
      <c r="AK110" s="181"/>
    </row>
    <row r="111" spans="1:37" ht="15" x14ac:dyDescent="0.2">
      <c r="A111" s="142" t="s">
        <v>1205</v>
      </c>
      <c r="B111" s="143" t="s">
        <v>1215</v>
      </c>
      <c r="C111" s="143" t="s">
        <v>1749</v>
      </c>
      <c r="D111" s="143" t="s">
        <v>1750</v>
      </c>
      <c r="E111" s="143" t="s">
        <v>309</v>
      </c>
      <c r="F111" s="143" t="s">
        <v>1751</v>
      </c>
      <c r="G111" s="143" t="s">
        <v>1752</v>
      </c>
      <c r="H111" s="143" t="s">
        <v>321</v>
      </c>
      <c r="I111" s="143" t="s">
        <v>754</v>
      </c>
      <c r="J111" s="143" t="s">
        <v>204</v>
      </c>
      <c r="K111" s="143" t="s">
        <v>204</v>
      </c>
      <c r="L111" s="143" t="s">
        <v>325</v>
      </c>
      <c r="M111" s="143" t="s">
        <v>340</v>
      </c>
      <c r="N111" s="143" t="s">
        <v>443</v>
      </c>
      <c r="O111" s="143" t="s">
        <v>339</v>
      </c>
      <c r="P111" s="143" t="s">
        <v>1617</v>
      </c>
      <c r="Q111" s="143" t="s">
        <v>415</v>
      </c>
      <c r="R111" s="143" t="s">
        <v>407</v>
      </c>
      <c r="S111" s="143" t="s">
        <v>1210</v>
      </c>
      <c r="T111" s="144">
        <v>1.04</v>
      </c>
      <c r="U111" s="143" t="s">
        <v>1753</v>
      </c>
      <c r="V111" s="146">
        <v>1.8499999999999999E-2</v>
      </c>
      <c r="W111" s="146">
        <v>2.9201000000000001E-2</v>
      </c>
      <c r="X111" s="143" t="s">
        <v>412</v>
      </c>
      <c r="Y111" s="145" t="s">
        <v>3876</v>
      </c>
      <c r="Z111" s="144">
        <v>1488.8</v>
      </c>
      <c r="AA111" s="145" t="s">
        <v>3876</v>
      </c>
      <c r="AB111" s="143" t="s">
        <v>1754</v>
      </c>
      <c r="AC111" s="145" t="s">
        <v>3876</v>
      </c>
      <c r="AD111" s="144">
        <v>1.6722000000000001</v>
      </c>
      <c r="AE111" s="145" t="s">
        <v>3876</v>
      </c>
      <c r="AF111" s="145" t="s">
        <v>3876</v>
      </c>
      <c r="AG111" s="145" t="s">
        <v>3876</v>
      </c>
      <c r="AH111" s="146">
        <v>4.0368763557483732E-6</v>
      </c>
      <c r="AI111" s="146">
        <v>7.0449511898514347E-3</v>
      </c>
      <c r="AJ111" s="147">
        <v>7.9403732956920693E-4</v>
      </c>
      <c r="AK111" s="181"/>
    </row>
    <row r="112" spans="1:37" ht="15" x14ac:dyDescent="0.2">
      <c r="A112" s="142" t="s">
        <v>1205</v>
      </c>
      <c r="B112" s="143" t="s">
        <v>1215</v>
      </c>
      <c r="C112" s="143" t="s">
        <v>1349</v>
      </c>
      <c r="D112" s="143" t="s">
        <v>1350</v>
      </c>
      <c r="E112" s="143" t="s">
        <v>309</v>
      </c>
      <c r="F112" s="143" t="s">
        <v>1587</v>
      </c>
      <c r="G112" s="143" t="s">
        <v>1588</v>
      </c>
      <c r="H112" s="143" t="s">
        <v>321</v>
      </c>
      <c r="I112" s="143" t="s">
        <v>754</v>
      </c>
      <c r="J112" s="143" t="s">
        <v>204</v>
      </c>
      <c r="K112" s="143" t="s">
        <v>204</v>
      </c>
      <c r="L112" s="143" t="s">
        <v>325</v>
      </c>
      <c r="M112" s="143" t="s">
        <v>340</v>
      </c>
      <c r="N112" s="143" t="s">
        <v>448</v>
      </c>
      <c r="O112" s="143" t="s">
        <v>339</v>
      </c>
      <c r="P112" s="143" t="s">
        <v>1209</v>
      </c>
      <c r="Q112" s="143" t="s">
        <v>415</v>
      </c>
      <c r="R112" s="143" t="s">
        <v>407</v>
      </c>
      <c r="S112" s="143" t="s">
        <v>1210</v>
      </c>
      <c r="T112" s="144">
        <v>0.67</v>
      </c>
      <c r="U112" s="143" t="s">
        <v>1589</v>
      </c>
      <c r="V112" s="146">
        <v>9.4999999999999998E-3</v>
      </c>
      <c r="W112" s="146">
        <v>2.8906999999999999E-2</v>
      </c>
      <c r="X112" s="143" t="s">
        <v>412</v>
      </c>
      <c r="Y112" s="145" t="s">
        <v>3876</v>
      </c>
      <c r="Z112" s="144">
        <v>1471.32</v>
      </c>
      <c r="AA112" s="145" t="s">
        <v>3876</v>
      </c>
      <c r="AB112" s="143" t="s">
        <v>1590</v>
      </c>
      <c r="AC112" s="145" t="s">
        <v>3876</v>
      </c>
      <c r="AD112" s="144">
        <v>1.6677</v>
      </c>
      <c r="AE112" s="145" t="s">
        <v>3876</v>
      </c>
      <c r="AF112" s="145" t="s">
        <v>3876</v>
      </c>
      <c r="AG112" s="145" t="s">
        <v>3876</v>
      </c>
      <c r="AH112" s="146">
        <v>9.1546470650913435E-6</v>
      </c>
      <c r="AI112" s="146">
        <v>7.0260817165386184E-3</v>
      </c>
      <c r="AJ112" s="147">
        <v>7.9191054887251878E-4</v>
      </c>
      <c r="AK112" s="181"/>
    </row>
    <row r="113" spans="1:37" ht="15" x14ac:dyDescent="0.2">
      <c r="A113" s="142" t="s">
        <v>1205</v>
      </c>
      <c r="B113" s="143" t="s">
        <v>1215</v>
      </c>
      <c r="C113" s="143" t="s">
        <v>1519</v>
      </c>
      <c r="D113" s="143" t="s">
        <v>1520</v>
      </c>
      <c r="E113" s="143" t="s">
        <v>309</v>
      </c>
      <c r="F113" s="143" t="s">
        <v>1536</v>
      </c>
      <c r="G113" s="143" t="s">
        <v>1537</v>
      </c>
      <c r="H113" s="143" t="s">
        <v>321</v>
      </c>
      <c r="I113" s="143" t="s">
        <v>754</v>
      </c>
      <c r="J113" s="143" t="s">
        <v>204</v>
      </c>
      <c r="K113" s="143" t="s">
        <v>204</v>
      </c>
      <c r="L113" s="143" t="s">
        <v>325</v>
      </c>
      <c r="M113" s="143" t="s">
        <v>340</v>
      </c>
      <c r="N113" s="143" t="s">
        <v>465</v>
      </c>
      <c r="O113" s="143" t="s">
        <v>339</v>
      </c>
      <c r="P113" s="143" t="s">
        <v>1359</v>
      </c>
      <c r="Q113" s="143" t="s">
        <v>415</v>
      </c>
      <c r="R113" s="143" t="s">
        <v>407</v>
      </c>
      <c r="S113" s="143" t="s">
        <v>1210</v>
      </c>
      <c r="T113" s="144">
        <v>4.3099999999999996</v>
      </c>
      <c r="U113" s="143" t="s">
        <v>1538</v>
      </c>
      <c r="V113" s="146">
        <v>1.7899999999999999E-2</v>
      </c>
      <c r="W113" s="146">
        <v>6.0524000000000001E-2</v>
      </c>
      <c r="X113" s="143" t="s">
        <v>412</v>
      </c>
      <c r="Y113" s="145" t="s">
        <v>3876</v>
      </c>
      <c r="Z113" s="144">
        <v>1693.57</v>
      </c>
      <c r="AA113" s="145" t="s">
        <v>3876</v>
      </c>
      <c r="AB113" s="143" t="s">
        <v>1539</v>
      </c>
      <c r="AC113" s="145" t="s">
        <v>3876</v>
      </c>
      <c r="AD113" s="144">
        <v>1.5991</v>
      </c>
      <c r="AE113" s="145" t="s">
        <v>3876</v>
      </c>
      <c r="AF113" s="145" t="s">
        <v>3876</v>
      </c>
      <c r="AG113" s="145" t="s">
        <v>3876</v>
      </c>
      <c r="AH113" s="146">
        <v>2.4104668114635744E-6</v>
      </c>
      <c r="AI113" s="146">
        <v>6.7367693993981024E-3</v>
      </c>
      <c r="AJ113" s="147">
        <v>7.5930212142952052E-4</v>
      </c>
      <c r="AK113" s="181"/>
    </row>
    <row r="114" spans="1:37" ht="15" x14ac:dyDescent="0.2">
      <c r="A114" s="142" t="s">
        <v>1205</v>
      </c>
      <c r="B114" s="143" t="s">
        <v>1215</v>
      </c>
      <c r="C114" s="143" t="s">
        <v>1601</v>
      </c>
      <c r="D114" s="143" t="s">
        <v>1602</v>
      </c>
      <c r="E114" s="143" t="s">
        <v>309</v>
      </c>
      <c r="F114" s="143" t="s">
        <v>1603</v>
      </c>
      <c r="G114" s="143" t="s">
        <v>1604</v>
      </c>
      <c r="H114" s="143" t="s">
        <v>321</v>
      </c>
      <c r="I114" s="143" t="s">
        <v>754</v>
      </c>
      <c r="J114" s="143" t="s">
        <v>204</v>
      </c>
      <c r="K114" s="143" t="s">
        <v>204</v>
      </c>
      <c r="L114" s="143" t="s">
        <v>325</v>
      </c>
      <c r="M114" s="143" t="s">
        <v>340</v>
      </c>
      <c r="N114" s="143" t="s">
        <v>484</v>
      </c>
      <c r="O114" s="143" t="s">
        <v>339</v>
      </c>
      <c r="P114" s="143" t="s">
        <v>1403</v>
      </c>
      <c r="Q114" s="143" t="s">
        <v>413</v>
      </c>
      <c r="R114" s="143" t="s">
        <v>407</v>
      </c>
      <c r="S114" s="143" t="s">
        <v>1210</v>
      </c>
      <c r="T114" s="144">
        <v>0.01</v>
      </c>
      <c r="U114" s="143" t="s">
        <v>1605</v>
      </c>
      <c r="V114" s="146">
        <v>1.9800000000000002E-2</v>
      </c>
      <c r="W114" s="146">
        <v>7.3847999999999997E-2</v>
      </c>
      <c r="X114" s="143" t="s">
        <v>412</v>
      </c>
      <c r="Y114" s="145" t="s">
        <v>3876</v>
      </c>
      <c r="Z114" s="144">
        <v>1393.16</v>
      </c>
      <c r="AA114" s="145" t="s">
        <v>3876</v>
      </c>
      <c r="AB114" s="143" t="s">
        <v>1606</v>
      </c>
      <c r="AC114" s="145" t="s">
        <v>3876</v>
      </c>
      <c r="AD114" s="144">
        <v>1.5977999999999999</v>
      </c>
      <c r="AE114" s="145" t="s">
        <v>3876</v>
      </c>
      <c r="AF114" s="145" t="s">
        <v>3876</v>
      </c>
      <c r="AG114" s="145" t="s">
        <v>3876</v>
      </c>
      <c r="AH114" s="146">
        <v>9.1691583883326413E-6</v>
      </c>
      <c r="AI114" s="146">
        <v>6.7314881089476355E-3</v>
      </c>
      <c r="AJ114" s="147">
        <v>7.5870686652243057E-4</v>
      </c>
      <c r="AK114" s="181"/>
    </row>
    <row r="115" spans="1:37" ht="15" x14ac:dyDescent="0.2">
      <c r="A115" s="142" t="s">
        <v>1205</v>
      </c>
      <c r="B115" s="143" t="s">
        <v>1215</v>
      </c>
      <c r="C115" s="143" t="s">
        <v>1519</v>
      </c>
      <c r="D115" s="143" t="s">
        <v>1520</v>
      </c>
      <c r="E115" s="143" t="s">
        <v>309</v>
      </c>
      <c r="F115" s="143" t="s">
        <v>1521</v>
      </c>
      <c r="G115" s="143" t="s">
        <v>1522</v>
      </c>
      <c r="H115" s="143" t="s">
        <v>321</v>
      </c>
      <c r="I115" s="143" t="s">
        <v>754</v>
      </c>
      <c r="J115" s="143" t="s">
        <v>204</v>
      </c>
      <c r="K115" s="143" t="s">
        <v>204</v>
      </c>
      <c r="L115" s="143" t="s">
        <v>325</v>
      </c>
      <c r="M115" s="143" t="s">
        <v>340</v>
      </c>
      <c r="N115" s="143" t="s">
        <v>465</v>
      </c>
      <c r="O115" s="143" t="s">
        <v>339</v>
      </c>
      <c r="P115" s="143" t="s">
        <v>1359</v>
      </c>
      <c r="Q115" s="143" t="s">
        <v>415</v>
      </c>
      <c r="R115" s="143" t="s">
        <v>407</v>
      </c>
      <c r="S115" s="143" t="s">
        <v>1210</v>
      </c>
      <c r="T115" s="144">
        <v>2.1</v>
      </c>
      <c r="U115" s="143" t="s">
        <v>1523</v>
      </c>
      <c r="V115" s="146">
        <v>0.04</v>
      </c>
      <c r="W115" s="146">
        <v>5.3921999999999998E-2</v>
      </c>
      <c r="X115" s="143" t="s">
        <v>412</v>
      </c>
      <c r="Y115" s="145" t="s">
        <v>3876</v>
      </c>
      <c r="Z115" s="144">
        <v>1263</v>
      </c>
      <c r="AA115" s="145" t="s">
        <v>3876</v>
      </c>
      <c r="AB115" s="143" t="s">
        <v>1524</v>
      </c>
      <c r="AC115" s="145" t="s">
        <v>3876</v>
      </c>
      <c r="AD115" s="144">
        <v>1.3928</v>
      </c>
      <c r="AE115" s="145" t="s">
        <v>3876</v>
      </c>
      <c r="AF115" s="145" t="s">
        <v>3876</v>
      </c>
      <c r="AG115" s="145" t="s">
        <v>3876</v>
      </c>
      <c r="AH115" s="146">
        <v>5.8416182064274358E-7</v>
      </c>
      <c r="AI115" s="146">
        <v>5.8679261787206232E-3</v>
      </c>
      <c r="AJ115" s="147">
        <v>6.6137469337936201E-4</v>
      </c>
      <c r="AK115" s="181"/>
    </row>
    <row r="116" spans="1:37" ht="15" x14ac:dyDescent="0.2">
      <c r="A116" s="142" t="s">
        <v>1205</v>
      </c>
      <c r="B116" s="143" t="s">
        <v>1215</v>
      </c>
      <c r="C116" s="143" t="s">
        <v>1613</v>
      </c>
      <c r="D116" s="143" t="s">
        <v>1614</v>
      </c>
      <c r="E116" s="143" t="s">
        <v>309</v>
      </c>
      <c r="F116" s="143" t="s">
        <v>1615</v>
      </c>
      <c r="G116" s="143" t="s">
        <v>1616</v>
      </c>
      <c r="H116" s="143" t="s">
        <v>321</v>
      </c>
      <c r="I116" s="143" t="s">
        <v>754</v>
      </c>
      <c r="J116" s="143" t="s">
        <v>204</v>
      </c>
      <c r="K116" s="143" t="s">
        <v>204</v>
      </c>
      <c r="L116" s="143" t="s">
        <v>325</v>
      </c>
      <c r="M116" s="143" t="s">
        <v>340</v>
      </c>
      <c r="N116" s="143" t="s">
        <v>445</v>
      </c>
      <c r="O116" s="143" t="s">
        <v>339</v>
      </c>
      <c r="P116" s="143" t="s">
        <v>1617</v>
      </c>
      <c r="Q116" s="143" t="s">
        <v>415</v>
      </c>
      <c r="R116" s="143" t="s">
        <v>407</v>
      </c>
      <c r="S116" s="143" t="s">
        <v>1210</v>
      </c>
      <c r="T116" s="144">
        <v>4.76</v>
      </c>
      <c r="U116" s="143" t="s">
        <v>1618</v>
      </c>
      <c r="V116" s="146">
        <v>5.1700000000000003E-2</v>
      </c>
      <c r="W116" s="146">
        <v>5.8743999999999998E-2</v>
      </c>
      <c r="X116" s="143" t="s">
        <v>412</v>
      </c>
      <c r="Y116" s="145" t="s">
        <v>3876</v>
      </c>
      <c r="Z116" s="144">
        <v>1379</v>
      </c>
      <c r="AA116" s="145" t="s">
        <v>3876</v>
      </c>
      <c r="AB116" s="143" t="s">
        <v>1619</v>
      </c>
      <c r="AC116" s="145" t="s">
        <v>3876</v>
      </c>
      <c r="AD116" s="144">
        <v>1.3455999999999999</v>
      </c>
      <c r="AE116" s="145" t="s">
        <v>3876</v>
      </c>
      <c r="AF116" s="145" t="s">
        <v>3876</v>
      </c>
      <c r="AG116" s="145" t="s">
        <v>3876</v>
      </c>
      <c r="AH116" s="146">
        <v>2.2598629333315853E-6</v>
      </c>
      <c r="AI116" s="146">
        <v>5.6690412036939234E-3</v>
      </c>
      <c r="AJ116" s="147">
        <v>6.3895834297382145E-4</v>
      </c>
      <c r="AK116" s="181"/>
    </row>
    <row r="117" spans="1:37" ht="15" x14ac:dyDescent="0.2">
      <c r="A117" s="142" t="s">
        <v>1205</v>
      </c>
      <c r="B117" s="143" t="s">
        <v>1215</v>
      </c>
      <c r="C117" s="143" t="s">
        <v>1343</v>
      </c>
      <c r="D117" s="143" t="s">
        <v>1344</v>
      </c>
      <c r="E117" s="143" t="s">
        <v>309</v>
      </c>
      <c r="F117" s="143" t="s">
        <v>1525</v>
      </c>
      <c r="G117" s="143" t="s">
        <v>1526</v>
      </c>
      <c r="H117" s="143" t="s">
        <v>321</v>
      </c>
      <c r="I117" s="143" t="s">
        <v>754</v>
      </c>
      <c r="J117" s="143" t="s">
        <v>204</v>
      </c>
      <c r="K117" s="143" t="s">
        <v>204</v>
      </c>
      <c r="L117" s="143" t="s">
        <v>325</v>
      </c>
      <c r="M117" s="143" t="s">
        <v>340</v>
      </c>
      <c r="N117" s="143" t="s">
        <v>445</v>
      </c>
      <c r="O117" s="143" t="s">
        <v>339</v>
      </c>
      <c r="P117" s="143" t="s">
        <v>1347</v>
      </c>
      <c r="Q117" s="143" t="s">
        <v>413</v>
      </c>
      <c r="R117" s="143" t="s">
        <v>407</v>
      </c>
      <c r="S117" s="143" t="s">
        <v>1210</v>
      </c>
      <c r="T117" s="144">
        <v>1.06</v>
      </c>
      <c r="U117" s="143" t="s">
        <v>1373</v>
      </c>
      <c r="V117" s="146">
        <v>2.4799999999999999E-2</v>
      </c>
      <c r="W117" s="146">
        <v>2.7913E-2</v>
      </c>
      <c r="X117" s="143" t="s">
        <v>412</v>
      </c>
      <c r="Y117" s="145" t="s">
        <v>3876</v>
      </c>
      <c r="Z117" s="144">
        <v>1110</v>
      </c>
      <c r="AA117" s="145" t="s">
        <v>3876</v>
      </c>
      <c r="AB117" s="143" t="s">
        <v>1527</v>
      </c>
      <c r="AC117" s="145" t="s">
        <v>3876</v>
      </c>
      <c r="AD117" s="144">
        <v>1.2718</v>
      </c>
      <c r="AE117" s="145" t="s">
        <v>3876</v>
      </c>
      <c r="AF117" s="145" t="s">
        <v>3876</v>
      </c>
      <c r="AG117" s="145" t="s">
        <v>3876</v>
      </c>
      <c r="AH117" s="146">
        <v>2.6211006903362907E-6</v>
      </c>
      <c r="AI117" s="146">
        <v>5.3581680485171694E-3</v>
      </c>
      <c r="AJ117" s="147">
        <v>6.0391979077960701E-4</v>
      </c>
      <c r="AK117" s="181"/>
    </row>
    <row r="118" spans="1:37" ht="15" x14ac:dyDescent="0.2">
      <c r="A118" s="142" t="s">
        <v>1205</v>
      </c>
      <c r="B118" s="143" t="s">
        <v>1215</v>
      </c>
      <c r="C118" s="143" t="s">
        <v>1740</v>
      </c>
      <c r="D118" s="143" t="s">
        <v>1741</v>
      </c>
      <c r="E118" s="143" t="s">
        <v>309</v>
      </c>
      <c r="F118" s="143" t="s">
        <v>1755</v>
      </c>
      <c r="G118" s="143" t="s">
        <v>1756</v>
      </c>
      <c r="H118" s="143" t="s">
        <v>321</v>
      </c>
      <c r="I118" s="143" t="s">
        <v>754</v>
      </c>
      <c r="J118" s="143" t="s">
        <v>204</v>
      </c>
      <c r="K118" s="143" t="s">
        <v>204</v>
      </c>
      <c r="L118" s="143" t="s">
        <v>325</v>
      </c>
      <c r="M118" s="143" t="s">
        <v>340</v>
      </c>
      <c r="N118" s="143" t="s">
        <v>464</v>
      </c>
      <c r="O118" s="143" t="s">
        <v>339</v>
      </c>
      <c r="P118" s="143" t="s">
        <v>1366</v>
      </c>
      <c r="Q118" s="143" t="s">
        <v>415</v>
      </c>
      <c r="R118" s="143" t="s">
        <v>407</v>
      </c>
      <c r="S118" s="143" t="s">
        <v>1210</v>
      </c>
      <c r="T118" s="144">
        <v>4.45</v>
      </c>
      <c r="U118" s="143" t="s">
        <v>1715</v>
      </c>
      <c r="V118" s="146">
        <v>1.3299999999999999E-2</v>
      </c>
      <c r="W118" s="146">
        <v>3.5557999999999999E-2</v>
      </c>
      <c r="X118" s="143" t="s">
        <v>412</v>
      </c>
      <c r="Y118" s="145" t="s">
        <v>3876</v>
      </c>
      <c r="Z118" s="144">
        <v>1140</v>
      </c>
      <c r="AA118" s="145" t="s">
        <v>3876</v>
      </c>
      <c r="AB118" s="143" t="s">
        <v>1757</v>
      </c>
      <c r="AC118" s="145" t="s">
        <v>3876</v>
      </c>
      <c r="AD118" s="144">
        <v>1.1767000000000001</v>
      </c>
      <c r="AE118" s="145" t="s">
        <v>3876</v>
      </c>
      <c r="AF118" s="145" t="s">
        <v>3876</v>
      </c>
      <c r="AG118" s="145" t="s">
        <v>3876</v>
      </c>
      <c r="AH118" s="146">
        <v>9.5999999999999991E-7</v>
      </c>
      <c r="AI118" s="146">
        <v>4.9573917496053286E-3</v>
      </c>
      <c r="AJ118" s="147">
        <v>5.5874824401275149E-4</v>
      </c>
      <c r="AK118" s="181"/>
    </row>
    <row r="119" spans="1:37" ht="15" x14ac:dyDescent="0.2">
      <c r="A119" s="142" t="s">
        <v>1205</v>
      </c>
      <c r="B119" s="143" t="s">
        <v>1215</v>
      </c>
      <c r="C119" s="143" t="s">
        <v>1519</v>
      </c>
      <c r="D119" s="143" t="s">
        <v>1520</v>
      </c>
      <c r="E119" s="143" t="s">
        <v>309</v>
      </c>
      <c r="F119" s="143" t="s">
        <v>1540</v>
      </c>
      <c r="G119" s="143" t="s">
        <v>1541</v>
      </c>
      <c r="H119" s="143" t="s">
        <v>321</v>
      </c>
      <c r="I119" s="143" t="s">
        <v>754</v>
      </c>
      <c r="J119" s="143" t="s">
        <v>204</v>
      </c>
      <c r="K119" s="143" t="s">
        <v>204</v>
      </c>
      <c r="L119" s="143" t="s">
        <v>325</v>
      </c>
      <c r="M119" s="143" t="s">
        <v>340</v>
      </c>
      <c r="N119" s="143" t="s">
        <v>465</v>
      </c>
      <c r="O119" s="143" t="s">
        <v>339</v>
      </c>
      <c r="P119" s="143" t="s">
        <v>1359</v>
      </c>
      <c r="Q119" s="143" t="s">
        <v>415</v>
      </c>
      <c r="R119" s="143" t="s">
        <v>407</v>
      </c>
      <c r="S119" s="143" t="s">
        <v>1210</v>
      </c>
      <c r="T119" s="144">
        <v>2.46</v>
      </c>
      <c r="U119" s="143" t="s">
        <v>1542</v>
      </c>
      <c r="V119" s="146">
        <v>3.2800000000000003E-2</v>
      </c>
      <c r="W119" s="146">
        <v>5.8094E-2</v>
      </c>
      <c r="X119" s="143" t="s">
        <v>412</v>
      </c>
      <c r="Y119" s="145" t="s">
        <v>3876</v>
      </c>
      <c r="Z119" s="144">
        <v>987.2</v>
      </c>
      <c r="AA119" s="145" t="s">
        <v>3876</v>
      </c>
      <c r="AB119" s="143" t="s">
        <v>1543</v>
      </c>
      <c r="AC119" s="145" t="s">
        <v>3876</v>
      </c>
      <c r="AD119" s="144">
        <v>1.0700999999999998</v>
      </c>
      <c r="AE119" s="145" t="s">
        <v>3876</v>
      </c>
      <c r="AF119" s="145" t="s">
        <v>3876</v>
      </c>
      <c r="AG119" s="145" t="s">
        <v>3876</v>
      </c>
      <c r="AH119" s="146">
        <v>7.14067341159304E-7</v>
      </c>
      <c r="AI119" s="146">
        <v>4.508363888550135E-3</v>
      </c>
      <c r="AJ119" s="147">
        <v>5.0813825764292999E-4</v>
      </c>
      <c r="AK119" s="181"/>
    </row>
    <row r="120" spans="1:37" ht="15" x14ac:dyDescent="0.2">
      <c r="A120" s="142" t="s">
        <v>1205</v>
      </c>
      <c r="B120" s="143" t="s">
        <v>1215</v>
      </c>
      <c r="C120" s="143" t="s">
        <v>1571</v>
      </c>
      <c r="D120" s="143" t="s">
        <v>1572</v>
      </c>
      <c r="E120" s="143" t="s">
        <v>309</v>
      </c>
      <c r="F120" s="143" t="s">
        <v>1573</v>
      </c>
      <c r="G120" s="143" t="s">
        <v>1574</v>
      </c>
      <c r="H120" s="143" t="s">
        <v>321</v>
      </c>
      <c r="I120" s="143" t="s">
        <v>754</v>
      </c>
      <c r="J120" s="143" t="s">
        <v>204</v>
      </c>
      <c r="K120" s="143" t="s">
        <v>204</v>
      </c>
      <c r="L120" s="143" t="s">
        <v>325</v>
      </c>
      <c r="M120" s="143" t="s">
        <v>340</v>
      </c>
      <c r="N120" s="143" t="s">
        <v>440</v>
      </c>
      <c r="O120" s="143" t="s">
        <v>339</v>
      </c>
      <c r="P120" s="143" t="s">
        <v>1347</v>
      </c>
      <c r="Q120" s="143" t="s">
        <v>413</v>
      </c>
      <c r="R120" s="143" t="s">
        <v>407</v>
      </c>
      <c r="S120" s="143" t="s">
        <v>1210</v>
      </c>
      <c r="T120" s="144">
        <v>2.34</v>
      </c>
      <c r="U120" s="143" t="s">
        <v>1575</v>
      </c>
      <c r="V120" s="146">
        <v>1.9400000000000001E-2</v>
      </c>
      <c r="W120" s="146">
        <v>2.5323999999999999E-2</v>
      </c>
      <c r="X120" s="143" t="s">
        <v>412</v>
      </c>
      <c r="Y120" s="145" t="s">
        <v>3876</v>
      </c>
      <c r="Z120" s="144">
        <v>768.73</v>
      </c>
      <c r="AA120" s="145" t="s">
        <v>3876</v>
      </c>
      <c r="AB120" s="143" t="s">
        <v>1576</v>
      </c>
      <c r="AC120" s="145" t="s">
        <v>3876</v>
      </c>
      <c r="AD120" s="144">
        <v>0.86939999999999995</v>
      </c>
      <c r="AE120" s="145" t="s">
        <v>3876</v>
      </c>
      <c r="AF120" s="145" t="s">
        <v>3876</v>
      </c>
      <c r="AG120" s="145" t="s">
        <v>3876</v>
      </c>
      <c r="AH120" s="146">
        <v>2.5517702594560452E-6</v>
      </c>
      <c r="AI120" s="146">
        <v>3.6628654723103878E-3</v>
      </c>
      <c r="AJ120" s="147">
        <v>4.1284202542018263E-4</v>
      </c>
      <c r="AK120" s="181"/>
    </row>
    <row r="121" spans="1:37" ht="15" x14ac:dyDescent="0.2">
      <c r="A121" s="142" t="s">
        <v>1205</v>
      </c>
      <c r="B121" s="143" t="s">
        <v>1215</v>
      </c>
      <c r="C121" s="143" t="s">
        <v>1613</v>
      </c>
      <c r="D121" s="143" t="s">
        <v>1614</v>
      </c>
      <c r="E121" s="143" t="s">
        <v>309</v>
      </c>
      <c r="F121" s="143" t="s">
        <v>1632</v>
      </c>
      <c r="G121" s="143" t="s">
        <v>1633</v>
      </c>
      <c r="H121" s="143" t="s">
        <v>321</v>
      </c>
      <c r="I121" s="143" t="s">
        <v>754</v>
      </c>
      <c r="J121" s="143" t="s">
        <v>204</v>
      </c>
      <c r="K121" s="143" t="s">
        <v>204</v>
      </c>
      <c r="L121" s="143" t="s">
        <v>325</v>
      </c>
      <c r="M121" s="143" t="s">
        <v>340</v>
      </c>
      <c r="N121" s="143" t="s">
        <v>445</v>
      </c>
      <c r="O121" s="143" t="s">
        <v>339</v>
      </c>
      <c r="P121" s="143" t="s">
        <v>1617</v>
      </c>
      <c r="Q121" s="143" t="s">
        <v>415</v>
      </c>
      <c r="R121" s="143" t="s">
        <v>407</v>
      </c>
      <c r="S121" s="143" t="s">
        <v>1210</v>
      </c>
      <c r="T121" s="144">
        <v>5.55</v>
      </c>
      <c r="U121" s="143" t="s">
        <v>1634</v>
      </c>
      <c r="V121" s="146">
        <v>5.3999999999999999E-2</v>
      </c>
      <c r="W121" s="146">
        <v>6.1131999999999999E-2</v>
      </c>
      <c r="X121" s="143" t="s">
        <v>412</v>
      </c>
      <c r="Y121" s="145" t="s">
        <v>3876</v>
      </c>
      <c r="Z121" s="144">
        <v>747</v>
      </c>
      <c r="AA121" s="145" t="s">
        <v>3876</v>
      </c>
      <c r="AB121" s="143" t="s">
        <v>1635</v>
      </c>
      <c r="AC121" s="145" t="s">
        <v>3876</v>
      </c>
      <c r="AD121" s="144">
        <v>0.72229999999999994</v>
      </c>
      <c r="AE121" s="145" t="s">
        <v>3876</v>
      </c>
      <c r="AF121" s="145" t="s">
        <v>3876</v>
      </c>
      <c r="AG121" s="145" t="s">
        <v>3876</v>
      </c>
      <c r="AH121" s="146">
        <v>1.3070715056616511E-6</v>
      </c>
      <c r="AI121" s="146">
        <v>3.0428931015782706E-3</v>
      </c>
      <c r="AJ121" s="147">
        <v>3.4296486198830915E-4</v>
      </c>
      <c r="AK121" s="181"/>
    </row>
    <row r="122" spans="1:37" ht="15" x14ac:dyDescent="0.2">
      <c r="A122" s="142" t="s">
        <v>1205</v>
      </c>
      <c r="B122" s="143" t="s">
        <v>1215</v>
      </c>
      <c r="C122" s="143" t="s">
        <v>1758</v>
      </c>
      <c r="D122" s="143" t="s">
        <v>1759</v>
      </c>
      <c r="E122" s="143" t="s">
        <v>309</v>
      </c>
      <c r="F122" s="143" t="s">
        <v>1760</v>
      </c>
      <c r="G122" s="143" t="s">
        <v>1761</v>
      </c>
      <c r="H122" s="143" t="s">
        <v>321</v>
      </c>
      <c r="I122" s="143" t="s">
        <v>754</v>
      </c>
      <c r="J122" s="143" t="s">
        <v>204</v>
      </c>
      <c r="K122" s="143" t="s">
        <v>204</v>
      </c>
      <c r="L122" s="143" t="s">
        <v>325</v>
      </c>
      <c r="M122" s="143" t="s">
        <v>340</v>
      </c>
      <c r="N122" s="143" t="s">
        <v>464</v>
      </c>
      <c r="O122" s="143" t="s">
        <v>339</v>
      </c>
      <c r="P122" s="143" t="s">
        <v>1403</v>
      </c>
      <c r="Q122" s="143" t="s">
        <v>413</v>
      </c>
      <c r="R122" s="143" t="s">
        <v>407</v>
      </c>
      <c r="S122" s="143" t="s">
        <v>1210</v>
      </c>
      <c r="T122" s="144">
        <v>1.82</v>
      </c>
      <c r="U122" s="143" t="s">
        <v>1762</v>
      </c>
      <c r="V122" s="146">
        <v>2.0500000000000001E-2</v>
      </c>
      <c r="W122" s="146">
        <v>2.7918999999999999E-2</v>
      </c>
      <c r="X122" s="143" t="s">
        <v>412</v>
      </c>
      <c r="Y122" s="145" t="s">
        <v>3876</v>
      </c>
      <c r="Z122" s="144">
        <v>0.6</v>
      </c>
      <c r="AA122" s="145" t="s">
        <v>3876</v>
      </c>
      <c r="AB122" s="143" t="s">
        <v>1763</v>
      </c>
      <c r="AC122" s="145" t="s">
        <v>3876</v>
      </c>
      <c r="AD122" s="144">
        <v>6.9999999999999999E-4</v>
      </c>
      <c r="AE122" s="145" t="s">
        <v>3876</v>
      </c>
      <c r="AF122" s="145" t="s">
        <v>3876</v>
      </c>
      <c r="AG122" s="145" t="s">
        <v>3876</v>
      </c>
      <c r="AH122" s="146">
        <v>6.809058631336522E-10</v>
      </c>
      <c r="AI122" s="146">
        <v>2.8894821020884625E-6</v>
      </c>
      <c r="AJ122" s="147">
        <v>3.2567388905198718E-7</v>
      </c>
      <c r="AK122" s="181"/>
    </row>
    <row r="123" spans="1:37" ht="15" x14ac:dyDescent="0.2">
      <c r="A123" s="142" t="s">
        <v>1205</v>
      </c>
      <c r="B123" s="143" t="s">
        <v>1205</v>
      </c>
      <c r="C123" s="143" t="s">
        <v>1343</v>
      </c>
      <c r="D123" s="143" t="s">
        <v>1344</v>
      </c>
      <c r="E123" s="143" t="s">
        <v>309</v>
      </c>
      <c r="F123" s="143" t="s">
        <v>1345</v>
      </c>
      <c r="G123" s="143" t="s">
        <v>1346</v>
      </c>
      <c r="H123" s="143" t="s">
        <v>321</v>
      </c>
      <c r="I123" s="143" t="s">
        <v>951</v>
      </c>
      <c r="J123" s="143" t="s">
        <v>204</v>
      </c>
      <c r="K123" s="143" t="s">
        <v>204</v>
      </c>
      <c r="L123" s="143" t="s">
        <v>325</v>
      </c>
      <c r="M123" s="143" t="s">
        <v>340</v>
      </c>
      <c r="N123" s="143" t="s">
        <v>445</v>
      </c>
      <c r="O123" s="143" t="s">
        <v>339</v>
      </c>
      <c r="P123" s="143" t="s">
        <v>1347</v>
      </c>
      <c r="Q123" s="143" t="s">
        <v>413</v>
      </c>
      <c r="R123" s="143" t="s">
        <v>407</v>
      </c>
      <c r="S123" s="143" t="s">
        <v>1210</v>
      </c>
      <c r="T123" s="144">
        <v>5.29</v>
      </c>
      <c r="U123" s="143" t="s">
        <v>1295</v>
      </c>
      <c r="V123" s="146">
        <v>2.64E-2</v>
      </c>
      <c r="W123" s="146">
        <v>5.8282E-2</v>
      </c>
      <c r="X123" s="143" t="s">
        <v>412</v>
      </c>
      <c r="Y123" s="145" t="s">
        <v>3876</v>
      </c>
      <c r="Z123" s="144">
        <v>2977636.18</v>
      </c>
      <c r="AA123" s="145" t="s">
        <v>3876</v>
      </c>
      <c r="AB123" s="143" t="s">
        <v>1348</v>
      </c>
      <c r="AC123" s="145" t="s">
        <v>3876</v>
      </c>
      <c r="AD123" s="144">
        <v>2550.0475999999999</v>
      </c>
      <c r="AE123" s="145" t="s">
        <v>3876</v>
      </c>
      <c r="AF123" s="145" t="s">
        <v>3876</v>
      </c>
      <c r="AG123" s="145" t="s">
        <v>3876</v>
      </c>
      <c r="AH123" s="146">
        <v>1.8198793978327916E-3</v>
      </c>
      <c r="AI123" s="146">
        <v>2.1133713476425293E-2</v>
      </c>
      <c r="AJ123" s="147">
        <v>2.5646409621656349E-3</v>
      </c>
      <c r="AK123" s="181"/>
    </row>
    <row r="124" spans="1:37" ht="15" x14ac:dyDescent="0.2">
      <c r="A124" s="142" t="s">
        <v>1205</v>
      </c>
      <c r="B124" s="143" t="s">
        <v>1205</v>
      </c>
      <c r="C124" s="143" t="s">
        <v>1349</v>
      </c>
      <c r="D124" s="143" t="s">
        <v>1350</v>
      </c>
      <c r="E124" s="143" t="s">
        <v>309</v>
      </c>
      <c r="F124" s="143" t="s">
        <v>1351</v>
      </c>
      <c r="G124" s="143" t="s">
        <v>1352</v>
      </c>
      <c r="H124" s="143" t="s">
        <v>321</v>
      </c>
      <c r="I124" s="143" t="s">
        <v>951</v>
      </c>
      <c r="J124" s="143" t="s">
        <v>204</v>
      </c>
      <c r="K124" s="143" t="s">
        <v>204</v>
      </c>
      <c r="L124" s="143" t="s">
        <v>325</v>
      </c>
      <c r="M124" s="143" t="s">
        <v>340</v>
      </c>
      <c r="N124" s="143" t="s">
        <v>448</v>
      </c>
      <c r="O124" s="143" t="s">
        <v>339</v>
      </c>
      <c r="P124" s="143" t="s">
        <v>1224</v>
      </c>
      <c r="Q124" s="143" t="s">
        <v>413</v>
      </c>
      <c r="R124" s="143" t="s">
        <v>407</v>
      </c>
      <c r="S124" s="143" t="s">
        <v>1210</v>
      </c>
      <c r="T124" s="144">
        <v>0.93</v>
      </c>
      <c r="U124" s="143" t="s">
        <v>1353</v>
      </c>
      <c r="V124" s="146">
        <v>2.98E-2</v>
      </c>
      <c r="W124" s="146">
        <v>4.5124999999999998E-2</v>
      </c>
      <c r="X124" s="143" t="s">
        <v>412</v>
      </c>
      <c r="Y124" s="145" t="s">
        <v>3876</v>
      </c>
      <c r="Z124" s="144">
        <v>2465697</v>
      </c>
      <c r="AA124" s="145" t="s">
        <v>3876</v>
      </c>
      <c r="AB124" s="143" t="s">
        <v>1354</v>
      </c>
      <c r="AC124" s="145" t="s">
        <v>3876</v>
      </c>
      <c r="AD124" s="144">
        <v>2436.6017999999999</v>
      </c>
      <c r="AE124" s="145" t="s">
        <v>3876</v>
      </c>
      <c r="AF124" s="145" t="s">
        <v>3876</v>
      </c>
      <c r="AG124" s="145" t="s">
        <v>3876</v>
      </c>
      <c r="AH124" s="146">
        <v>9.6994073036149879E-4</v>
      </c>
      <c r="AI124" s="146">
        <v>2.0193522380390631E-2</v>
      </c>
      <c r="AJ124" s="147">
        <v>2.4505458884416698E-3</v>
      </c>
      <c r="AK124" s="181"/>
    </row>
    <row r="125" spans="1:37" ht="15" x14ac:dyDescent="0.2">
      <c r="A125" s="142" t="s">
        <v>1205</v>
      </c>
      <c r="B125" s="143" t="s">
        <v>1205</v>
      </c>
      <c r="C125" s="143" t="s">
        <v>1355</v>
      </c>
      <c r="D125" s="143" t="s">
        <v>1356</v>
      </c>
      <c r="E125" s="143" t="s">
        <v>309</v>
      </c>
      <c r="F125" s="143" t="s">
        <v>1357</v>
      </c>
      <c r="G125" s="143" t="s">
        <v>1358</v>
      </c>
      <c r="H125" s="143" t="s">
        <v>321</v>
      </c>
      <c r="I125" s="143" t="s">
        <v>951</v>
      </c>
      <c r="J125" s="143" t="s">
        <v>204</v>
      </c>
      <c r="K125" s="143" t="s">
        <v>204</v>
      </c>
      <c r="L125" s="143" t="s">
        <v>325</v>
      </c>
      <c r="M125" s="143" t="s">
        <v>340</v>
      </c>
      <c r="N125" s="143" t="s">
        <v>484</v>
      </c>
      <c r="O125" s="143" t="s">
        <v>339</v>
      </c>
      <c r="P125" s="143" t="s">
        <v>1359</v>
      </c>
      <c r="Q125" s="143" t="s">
        <v>415</v>
      </c>
      <c r="R125" s="143" t="s">
        <v>407</v>
      </c>
      <c r="S125" s="143" t="s">
        <v>1210</v>
      </c>
      <c r="T125" s="144">
        <v>2.3199999999999998</v>
      </c>
      <c r="U125" s="143" t="s">
        <v>1360</v>
      </c>
      <c r="V125" s="146">
        <v>3.6499999999999998E-2</v>
      </c>
      <c r="W125" s="146">
        <v>5.8046E-2</v>
      </c>
      <c r="X125" s="143" t="s">
        <v>412</v>
      </c>
      <c r="Y125" s="145" t="s">
        <v>3876</v>
      </c>
      <c r="Z125" s="144">
        <v>2148449.73</v>
      </c>
      <c r="AA125" s="145" t="s">
        <v>3876</v>
      </c>
      <c r="AB125" s="143" t="s">
        <v>1361</v>
      </c>
      <c r="AC125" s="145" t="s">
        <v>3876</v>
      </c>
      <c r="AD125" s="144">
        <v>2056.0663999999997</v>
      </c>
      <c r="AE125" s="145" t="s">
        <v>3876</v>
      </c>
      <c r="AF125" s="145" t="s">
        <v>3876</v>
      </c>
      <c r="AG125" s="145" t="s">
        <v>3876</v>
      </c>
      <c r="AH125" s="146">
        <v>1.0690045725219078E-3</v>
      </c>
      <c r="AI125" s="146">
        <v>1.7039806468880054E-2</v>
      </c>
      <c r="AJ125" s="147">
        <v>2.0678327879391995E-3</v>
      </c>
      <c r="AK125" s="181"/>
    </row>
    <row r="126" spans="1:37" ht="15" x14ac:dyDescent="0.2">
      <c r="A126" s="142" t="s">
        <v>1205</v>
      </c>
      <c r="B126" s="143" t="s">
        <v>1205</v>
      </c>
      <c r="C126" s="143" t="s">
        <v>1369</v>
      </c>
      <c r="D126" s="143" t="s">
        <v>1370</v>
      </c>
      <c r="E126" s="143" t="s">
        <v>309</v>
      </c>
      <c r="F126" s="143" t="s">
        <v>1371</v>
      </c>
      <c r="G126" s="143" t="s">
        <v>1372</v>
      </c>
      <c r="H126" s="143" t="s">
        <v>321</v>
      </c>
      <c r="I126" s="143" t="s">
        <v>951</v>
      </c>
      <c r="J126" s="143" t="s">
        <v>204</v>
      </c>
      <c r="K126" s="143" t="s">
        <v>204</v>
      </c>
      <c r="L126" s="143" t="s">
        <v>325</v>
      </c>
      <c r="M126" s="143" t="s">
        <v>340</v>
      </c>
      <c r="N126" s="143" t="s">
        <v>445</v>
      </c>
      <c r="O126" s="143" t="s">
        <v>339</v>
      </c>
      <c r="P126" s="143" t="s">
        <v>1366</v>
      </c>
      <c r="Q126" s="143" t="s">
        <v>415</v>
      </c>
      <c r="R126" s="143" t="s">
        <v>407</v>
      </c>
      <c r="S126" s="143" t="s">
        <v>1210</v>
      </c>
      <c r="T126" s="144">
        <v>1.05</v>
      </c>
      <c r="U126" s="143" t="s">
        <v>1373</v>
      </c>
      <c r="V126" s="146">
        <v>3.61E-2</v>
      </c>
      <c r="W126" s="146">
        <v>5.1234000000000002E-2</v>
      </c>
      <c r="X126" s="143" t="s">
        <v>412</v>
      </c>
      <c r="Y126" s="145" t="s">
        <v>3876</v>
      </c>
      <c r="Z126" s="144">
        <v>2035382</v>
      </c>
      <c r="AA126" s="145" t="s">
        <v>3876</v>
      </c>
      <c r="AB126" s="143" t="s">
        <v>1374</v>
      </c>
      <c r="AC126" s="145" t="s">
        <v>3876</v>
      </c>
      <c r="AD126" s="144">
        <v>2035.5854999999999</v>
      </c>
      <c r="AE126" s="145" t="s">
        <v>3876</v>
      </c>
      <c r="AF126" s="145" t="s">
        <v>3876</v>
      </c>
      <c r="AG126" s="145" t="s">
        <v>3876</v>
      </c>
      <c r="AH126" s="146">
        <v>2.6519635179153094E-3</v>
      </c>
      <c r="AI126" s="146">
        <v>1.6870069839825665E-2</v>
      </c>
      <c r="AJ126" s="147">
        <v>2.0472347273031268E-3</v>
      </c>
      <c r="AK126" s="181"/>
    </row>
    <row r="127" spans="1:37" ht="15" x14ac:dyDescent="0.2">
      <c r="A127" s="142" t="s">
        <v>1205</v>
      </c>
      <c r="B127" s="143" t="s">
        <v>1205</v>
      </c>
      <c r="C127" s="143" t="s">
        <v>1764</v>
      </c>
      <c r="D127" s="143" t="s">
        <v>1765</v>
      </c>
      <c r="E127" s="143" t="s">
        <v>309</v>
      </c>
      <c r="F127" s="143" t="s">
        <v>1766</v>
      </c>
      <c r="G127" s="143" t="s">
        <v>1767</v>
      </c>
      <c r="H127" s="143" t="s">
        <v>321</v>
      </c>
      <c r="I127" s="143" t="s">
        <v>951</v>
      </c>
      <c r="J127" s="143" t="s">
        <v>204</v>
      </c>
      <c r="K127" s="143" t="s">
        <v>204</v>
      </c>
      <c r="L127" s="143" t="s">
        <v>325</v>
      </c>
      <c r="M127" s="143" t="s">
        <v>340</v>
      </c>
      <c r="N127" s="143" t="s">
        <v>440</v>
      </c>
      <c r="O127" s="143" t="s">
        <v>339</v>
      </c>
      <c r="P127" s="143" t="s">
        <v>1403</v>
      </c>
      <c r="Q127" s="143" t="s">
        <v>413</v>
      </c>
      <c r="R127" s="143" t="s">
        <v>407</v>
      </c>
      <c r="S127" s="143" t="s">
        <v>1210</v>
      </c>
      <c r="T127" s="144">
        <v>4.71</v>
      </c>
      <c r="U127" s="143" t="s">
        <v>1768</v>
      </c>
      <c r="V127" s="146">
        <v>5.7500000000000002E-2</v>
      </c>
      <c r="W127" s="146">
        <v>6.7768999999999996E-2</v>
      </c>
      <c r="X127" s="143" t="s">
        <v>412</v>
      </c>
      <c r="Y127" s="145" t="s">
        <v>3876</v>
      </c>
      <c r="Z127" s="144">
        <v>1788000</v>
      </c>
      <c r="AA127" s="145" t="s">
        <v>3876</v>
      </c>
      <c r="AB127" s="143" t="s">
        <v>1769</v>
      </c>
      <c r="AC127" s="145" t="s">
        <v>3876</v>
      </c>
      <c r="AD127" s="144">
        <v>1740.6179999999999</v>
      </c>
      <c r="AE127" s="145" t="s">
        <v>3876</v>
      </c>
      <c r="AF127" s="145" t="s">
        <v>3876</v>
      </c>
      <c r="AG127" s="145" t="s">
        <v>3876</v>
      </c>
      <c r="AH127" s="146">
        <v>3.4057142857142858E-3</v>
      </c>
      <c r="AI127" s="146">
        <v>1.44255039512727E-2</v>
      </c>
      <c r="AJ127" s="147">
        <v>1.7505791575430215E-3</v>
      </c>
      <c r="AK127" s="181"/>
    </row>
    <row r="128" spans="1:37" ht="15" x14ac:dyDescent="0.2">
      <c r="A128" s="142" t="s">
        <v>1205</v>
      </c>
      <c r="B128" s="143" t="s">
        <v>1205</v>
      </c>
      <c r="C128" s="143" t="s">
        <v>1379</v>
      </c>
      <c r="D128" s="143" t="s">
        <v>1380</v>
      </c>
      <c r="E128" s="143" t="s">
        <v>309</v>
      </c>
      <c r="F128" s="143" t="s">
        <v>1381</v>
      </c>
      <c r="G128" s="143" t="s">
        <v>1382</v>
      </c>
      <c r="H128" s="143" t="s">
        <v>321</v>
      </c>
      <c r="I128" s="143" t="s">
        <v>951</v>
      </c>
      <c r="J128" s="143" t="s">
        <v>204</v>
      </c>
      <c r="K128" s="143" t="s">
        <v>204</v>
      </c>
      <c r="L128" s="143" t="s">
        <v>325</v>
      </c>
      <c r="M128" s="143" t="s">
        <v>340</v>
      </c>
      <c r="N128" s="143" t="s">
        <v>445</v>
      </c>
      <c r="O128" s="143" t="s">
        <v>339</v>
      </c>
      <c r="P128" s="143" t="s">
        <v>1347</v>
      </c>
      <c r="Q128" s="143" t="s">
        <v>413</v>
      </c>
      <c r="R128" s="143" t="s">
        <v>407</v>
      </c>
      <c r="S128" s="143" t="s">
        <v>1210</v>
      </c>
      <c r="T128" s="144">
        <v>5.4</v>
      </c>
      <c r="U128" s="143" t="s">
        <v>1383</v>
      </c>
      <c r="V128" s="146">
        <v>5.2499999999999998E-2</v>
      </c>
      <c r="W128" s="146">
        <v>5.9947E-2</v>
      </c>
      <c r="X128" s="143" t="s">
        <v>412</v>
      </c>
      <c r="Y128" s="145" t="s">
        <v>3876</v>
      </c>
      <c r="Z128" s="144">
        <v>1280000</v>
      </c>
      <c r="AA128" s="145" t="s">
        <v>3876</v>
      </c>
      <c r="AB128" s="143" t="s">
        <v>1384</v>
      </c>
      <c r="AC128" s="145" t="s">
        <v>3876</v>
      </c>
      <c r="AD128" s="144">
        <v>1246.9760000000001</v>
      </c>
      <c r="AE128" s="145" t="s">
        <v>3876</v>
      </c>
      <c r="AF128" s="145" t="s">
        <v>3876</v>
      </c>
      <c r="AG128" s="145" t="s">
        <v>3876</v>
      </c>
      <c r="AH128" s="146">
        <v>2.5600000000000002E-3</v>
      </c>
      <c r="AI128" s="146">
        <v>1.0334408362513904E-2</v>
      </c>
      <c r="AJ128" s="147">
        <v>1.2541121576108984E-3</v>
      </c>
      <c r="AK128" s="181"/>
    </row>
    <row r="129" spans="1:37" ht="15" x14ac:dyDescent="0.2">
      <c r="A129" s="142" t="s">
        <v>1205</v>
      </c>
      <c r="B129" s="143" t="s">
        <v>1205</v>
      </c>
      <c r="C129" s="143" t="s">
        <v>1770</v>
      </c>
      <c r="D129" s="143" t="s">
        <v>1771</v>
      </c>
      <c r="E129" s="143" t="s">
        <v>309</v>
      </c>
      <c r="F129" s="143" t="s">
        <v>1772</v>
      </c>
      <c r="G129" s="143" t="s">
        <v>1773</v>
      </c>
      <c r="H129" s="143" t="s">
        <v>321</v>
      </c>
      <c r="I129" s="143" t="s">
        <v>951</v>
      </c>
      <c r="J129" s="143" t="s">
        <v>204</v>
      </c>
      <c r="K129" s="143" t="s">
        <v>204</v>
      </c>
      <c r="L129" s="143" t="s">
        <v>325</v>
      </c>
      <c r="M129" s="143" t="s">
        <v>340</v>
      </c>
      <c r="N129" s="143" t="s">
        <v>445</v>
      </c>
      <c r="O129" s="143" t="s">
        <v>339</v>
      </c>
      <c r="P129" s="143" t="s">
        <v>1396</v>
      </c>
      <c r="Q129" s="143" t="s">
        <v>415</v>
      </c>
      <c r="R129" s="143" t="s">
        <v>407</v>
      </c>
      <c r="S129" s="143" t="s">
        <v>1210</v>
      </c>
      <c r="T129" s="144">
        <v>5.2</v>
      </c>
      <c r="U129" s="143" t="s">
        <v>1774</v>
      </c>
      <c r="V129" s="146">
        <v>1.95E-2</v>
      </c>
      <c r="W129" s="146">
        <v>5.7405999999999999E-2</v>
      </c>
      <c r="X129" s="143" t="s">
        <v>412</v>
      </c>
      <c r="Y129" s="145" t="s">
        <v>3876</v>
      </c>
      <c r="Z129" s="144">
        <v>1342037.04</v>
      </c>
      <c r="AA129" s="145" t="s">
        <v>3876</v>
      </c>
      <c r="AB129" s="143" t="s">
        <v>1775</v>
      </c>
      <c r="AC129" s="145" t="s">
        <v>3876</v>
      </c>
      <c r="AD129" s="144">
        <v>1102.4833999999998</v>
      </c>
      <c r="AE129" s="145" t="s">
        <v>3876</v>
      </c>
      <c r="AF129" s="145" t="s">
        <v>3876</v>
      </c>
      <c r="AG129" s="145" t="s">
        <v>3876</v>
      </c>
      <c r="AH129" s="146">
        <v>1.2794497890818977E-3</v>
      </c>
      <c r="AI129" s="146">
        <v>9.1369151944998006E-3</v>
      </c>
      <c r="AJ129" s="147">
        <v>1.1087926881277745E-3</v>
      </c>
      <c r="AK129" s="181"/>
    </row>
    <row r="130" spans="1:37" ht="15" x14ac:dyDescent="0.2">
      <c r="A130" s="142" t="s">
        <v>1205</v>
      </c>
      <c r="B130" s="143" t="s">
        <v>1205</v>
      </c>
      <c r="C130" s="143" t="s">
        <v>1660</v>
      </c>
      <c r="D130" s="143" t="s">
        <v>1661</v>
      </c>
      <c r="E130" s="143" t="s">
        <v>309</v>
      </c>
      <c r="F130" s="143" t="s">
        <v>1662</v>
      </c>
      <c r="G130" s="143" t="s">
        <v>1663</v>
      </c>
      <c r="H130" s="143" t="s">
        <v>321</v>
      </c>
      <c r="I130" s="143" t="s">
        <v>951</v>
      </c>
      <c r="J130" s="143" t="s">
        <v>204</v>
      </c>
      <c r="K130" s="143" t="s">
        <v>224</v>
      </c>
      <c r="L130" s="143" t="s">
        <v>325</v>
      </c>
      <c r="M130" s="143" t="s">
        <v>340</v>
      </c>
      <c r="N130" s="143" t="s">
        <v>465</v>
      </c>
      <c r="O130" s="143" t="s">
        <v>339</v>
      </c>
      <c r="P130" s="143" t="s">
        <v>1347</v>
      </c>
      <c r="Q130" s="143" t="s">
        <v>413</v>
      </c>
      <c r="R130" s="143" t="s">
        <v>407</v>
      </c>
      <c r="S130" s="143" t="s">
        <v>1210</v>
      </c>
      <c r="T130" s="144">
        <v>1.1599999999999999</v>
      </c>
      <c r="U130" s="143" t="s">
        <v>1664</v>
      </c>
      <c r="V130" s="146">
        <v>4.8000000000000001E-2</v>
      </c>
      <c r="W130" s="146">
        <v>5.4014E-2</v>
      </c>
      <c r="X130" s="143" t="s">
        <v>412</v>
      </c>
      <c r="Y130" s="145" t="s">
        <v>3876</v>
      </c>
      <c r="Z130" s="144">
        <v>1090419.02</v>
      </c>
      <c r="AA130" s="145" t="s">
        <v>3876</v>
      </c>
      <c r="AB130" s="143" t="s">
        <v>1665</v>
      </c>
      <c r="AC130" s="145" t="s">
        <v>3876</v>
      </c>
      <c r="AD130" s="144">
        <v>1092.7088999999999</v>
      </c>
      <c r="AE130" s="145" t="s">
        <v>3876</v>
      </c>
      <c r="AF130" s="145" t="s">
        <v>3876</v>
      </c>
      <c r="AG130" s="145" t="s">
        <v>3876</v>
      </c>
      <c r="AH130" s="146">
        <v>2.9077840533333335E-3</v>
      </c>
      <c r="AI130" s="146">
        <v>9.0559080474315254E-3</v>
      </c>
      <c r="AJ130" s="147">
        <v>1.0989622223257648E-3</v>
      </c>
      <c r="AK130" s="181"/>
    </row>
    <row r="131" spans="1:37" ht="15" x14ac:dyDescent="0.2">
      <c r="A131" s="142" t="s">
        <v>1205</v>
      </c>
      <c r="B131" s="143" t="s">
        <v>1205</v>
      </c>
      <c r="C131" s="143" t="s">
        <v>1776</v>
      </c>
      <c r="D131" s="143" t="s">
        <v>1777</v>
      </c>
      <c r="E131" s="143" t="s">
        <v>309</v>
      </c>
      <c r="F131" s="143" t="s">
        <v>1778</v>
      </c>
      <c r="G131" s="143" t="s">
        <v>1779</v>
      </c>
      <c r="H131" s="143" t="s">
        <v>321</v>
      </c>
      <c r="I131" s="143" t="s">
        <v>951</v>
      </c>
      <c r="J131" s="143" t="s">
        <v>204</v>
      </c>
      <c r="K131" s="143" t="s">
        <v>204</v>
      </c>
      <c r="L131" s="143" t="s">
        <v>325</v>
      </c>
      <c r="M131" s="143" t="s">
        <v>340</v>
      </c>
      <c r="N131" s="143" t="s">
        <v>464</v>
      </c>
      <c r="O131" s="143" t="s">
        <v>339</v>
      </c>
      <c r="P131" s="143" t="s">
        <v>1410</v>
      </c>
      <c r="Q131" s="143" t="s">
        <v>413</v>
      </c>
      <c r="R131" s="143" t="s">
        <v>407</v>
      </c>
      <c r="S131" s="143" t="s">
        <v>1210</v>
      </c>
      <c r="T131" s="144">
        <v>5.5</v>
      </c>
      <c r="U131" s="143" t="s">
        <v>1780</v>
      </c>
      <c r="V131" s="146">
        <v>2.4400000000000002E-2</v>
      </c>
      <c r="W131" s="146">
        <v>6.1372000000000003E-2</v>
      </c>
      <c r="X131" s="143" t="s">
        <v>412</v>
      </c>
      <c r="Y131" s="145" t="s">
        <v>3876</v>
      </c>
      <c r="Z131" s="144">
        <v>1300000</v>
      </c>
      <c r="AA131" s="145" t="s">
        <v>3876</v>
      </c>
      <c r="AB131" s="143" t="s">
        <v>1781</v>
      </c>
      <c r="AC131" s="145" t="s">
        <v>3876</v>
      </c>
      <c r="AD131" s="144">
        <v>1080.56</v>
      </c>
      <c r="AE131" s="145" t="s">
        <v>3876</v>
      </c>
      <c r="AF131" s="145" t="s">
        <v>3876</v>
      </c>
      <c r="AG131" s="145" t="s">
        <v>3876</v>
      </c>
      <c r="AH131" s="146">
        <v>1.069661279413628E-3</v>
      </c>
      <c r="AI131" s="146">
        <v>8.9552231159204555E-3</v>
      </c>
      <c r="AJ131" s="147">
        <v>1.0867437970161673E-3</v>
      </c>
      <c r="AK131" s="181"/>
    </row>
    <row r="132" spans="1:37" ht="15" x14ac:dyDescent="0.2">
      <c r="A132" s="142" t="s">
        <v>1205</v>
      </c>
      <c r="B132" s="143" t="s">
        <v>1205</v>
      </c>
      <c r="C132" s="143" t="s">
        <v>1666</v>
      </c>
      <c r="D132" s="143" t="s">
        <v>1667</v>
      </c>
      <c r="E132" s="143" t="s">
        <v>309</v>
      </c>
      <c r="F132" s="143" t="s">
        <v>1668</v>
      </c>
      <c r="G132" s="143" t="s">
        <v>1669</v>
      </c>
      <c r="H132" s="143" t="s">
        <v>321</v>
      </c>
      <c r="I132" s="143" t="s">
        <v>951</v>
      </c>
      <c r="J132" s="143" t="s">
        <v>204</v>
      </c>
      <c r="K132" s="143" t="s">
        <v>204</v>
      </c>
      <c r="L132" s="143" t="s">
        <v>325</v>
      </c>
      <c r="M132" s="143" t="s">
        <v>340</v>
      </c>
      <c r="N132" s="143" t="s">
        <v>443</v>
      </c>
      <c r="O132" s="143" t="s">
        <v>339</v>
      </c>
      <c r="P132" s="143" t="s">
        <v>1403</v>
      </c>
      <c r="Q132" s="143" t="s">
        <v>413</v>
      </c>
      <c r="R132" s="143" t="s">
        <v>407</v>
      </c>
      <c r="S132" s="143" t="s">
        <v>1210</v>
      </c>
      <c r="T132" s="144">
        <v>0.95</v>
      </c>
      <c r="U132" s="143" t="s">
        <v>1670</v>
      </c>
      <c r="V132" s="146">
        <v>4.7500000000000001E-2</v>
      </c>
      <c r="W132" s="146">
        <v>6.4534999999999995E-2</v>
      </c>
      <c r="X132" s="143" t="s">
        <v>412</v>
      </c>
      <c r="Y132" s="145" t="s">
        <v>3876</v>
      </c>
      <c r="Z132" s="144">
        <v>1058831.68</v>
      </c>
      <c r="AA132" s="145" t="s">
        <v>3876</v>
      </c>
      <c r="AB132" s="143" t="s">
        <v>1671</v>
      </c>
      <c r="AC132" s="145" t="s">
        <v>3876</v>
      </c>
      <c r="AD132" s="144">
        <v>1056.9258</v>
      </c>
      <c r="AE132" s="145" t="s">
        <v>3876</v>
      </c>
      <c r="AF132" s="145" t="s">
        <v>3876</v>
      </c>
      <c r="AG132" s="145" t="s">
        <v>3876</v>
      </c>
      <c r="AH132" s="146">
        <v>1.278301829293097E-3</v>
      </c>
      <c r="AI132" s="146">
        <v>8.7593527462787816E-3</v>
      </c>
      <c r="AJ132" s="147">
        <v>1.0629743267894646E-3</v>
      </c>
      <c r="AK132" s="181"/>
    </row>
    <row r="133" spans="1:37" ht="15" x14ac:dyDescent="0.2">
      <c r="A133" s="142" t="s">
        <v>1205</v>
      </c>
      <c r="B133" s="143" t="s">
        <v>1205</v>
      </c>
      <c r="C133" s="143" t="s">
        <v>1379</v>
      </c>
      <c r="D133" s="143" t="s">
        <v>1380</v>
      </c>
      <c r="E133" s="143" t="s">
        <v>309</v>
      </c>
      <c r="F133" s="143" t="s">
        <v>1782</v>
      </c>
      <c r="G133" s="143" t="s">
        <v>1783</v>
      </c>
      <c r="H133" s="143" t="s">
        <v>321</v>
      </c>
      <c r="I133" s="143" t="s">
        <v>951</v>
      </c>
      <c r="J133" s="143" t="s">
        <v>204</v>
      </c>
      <c r="K133" s="143" t="s">
        <v>204</v>
      </c>
      <c r="L133" s="143" t="s">
        <v>325</v>
      </c>
      <c r="M133" s="143" t="s">
        <v>340</v>
      </c>
      <c r="N133" s="143" t="s">
        <v>445</v>
      </c>
      <c r="O133" s="143" t="s">
        <v>339</v>
      </c>
      <c r="P133" s="143" t="s">
        <v>1347</v>
      </c>
      <c r="Q133" s="143" t="s">
        <v>413</v>
      </c>
      <c r="R133" s="143" t="s">
        <v>407</v>
      </c>
      <c r="S133" s="143" t="s">
        <v>1210</v>
      </c>
      <c r="T133" s="144">
        <v>3.39</v>
      </c>
      <c r="U133" s="143" t="s">
        <v>1784</v>
      </c>
      <c r="V133" s="146">
        <v>4.7E-2</v>
      </c>
      <c r="W133" s="146">
        <v>5.5723000000000002E-2</v>
      </c>
      <c r="X133" s="143" t="s">
        <v>412</v>
      </c>
      <c r="Y133" s="145" t="s">
        <v>3876</v>
      </c>
      <c r="Z133" s="144">
        <v>1068000</v>
      </c>
      <c r="AA133" s="145" t="s">
        <v>3876</v>
      </c>
      <c r="AB133" s="143" t="s">
        <v>1785</v>
      </c>
      <c r="AC133" s="145" t="s">
        <v>3876</v>
      </c>
      <c r="AD133" s="144">
        <v>1054.6500000000001</v>
      </c>
      <c r="AE133" s="145" t="s">
        <v>3876</v>
      </c>
      <c r="AF133" s="145" t="s">
        <v>3876</v>
      </c>
      <c r="AG133" s="145" t="s">
        <v>3876</v>
      </c>
      <c r="AH133" s="146">
        <v>1.1878545211878545E-3</v>
      </c>
      <c r="AI133" s="146">
        <v>8.7404920219196595E-3</v>
      </c>
      <c r="AJ133" s="147">
        <v>1.0606855200295225E-3</v>
      </c>
      <c r="AK133" s="181"/>
    </row>
    <row r="134" spans="1:37" ht="15" x14ac:dyDescent="0.2">
      <c r="A134" s="142" t="s">
        <v>1205</v>
      </c>
      <c r="B134" s="143" t="s">
        <v>1205</v>
      </c>
      <c r="C134" s="143" t="s">
        <v>1362</v>
      </c>
      <c r="D134" s="143" t="s">
        <v>1363</v>
      </c>
      <c r="E134" s="143" t="s">
        <v>309</v>
      </c>
      <c r="F134" s="143" t="s">
        <v>1786</v>
      </c>
      <c r="G134" s="143" t="s">
        <v>1787</v>
      </c>
      <c r="H134" s="143" t="s">
        <v>321</v>
      </c>
      <c r="I134" s="143" t="s">
        <v>951</v>
      </c>
      <c r="J134" s="143" t="s">
        <v>204</v>
      </c>
      <c r="K134" s="143" t="s">
        <v>204</v>
      </c>
      <c r="L134" s="143" t="s">
        <v>325</v>
      </c>
      <c r="M134" s="143" t="s">
        <v>340</v>
      </c>
      <c r="N134" s="143" t="s">
        <v>445</v>
      </c>
      <c r="O134" s="143" t="s">
        <v>339</v>
      </c>
      <c r="P134" s="143" t="s">
        <v>1347</v>
      </c>
      <c r="Q134" s="143" t="s">
        <v>413</v>
      </c>
      <c r="R134" s="143" t="s">
        <v>407</v>
      </c>
      <c r="S134" s="143" t="s">
        <v>1210</v>
      </c>
      <c r="T134" s="144">
        <v>7.65</v>
      </c>
      <c r="U134" s="143" t="s">
        <v>1788</v>
      </c>
      <c r="V134" s="146">
        <v>6.0199999999999997E-2</v>
      </c>
      <c r="W134" s="146">
        <v>6.1143999999999997E-2</v>
      </c>
      <c r="X134" s="143" t="s">
        <v>412</v>
      </c>
      <c r="Y134" s="145" t="s">
        <v>3876</v>
      </c>
      <c r="Z134" s="144">
        <v>1000000</v>
      </c>
      <c r="AA134" s="145" t="s">
        <v>3876</v>
      </c>
      <c r="AB134" s="143" t="s">
        <v>1504</v>
      </c>
      <c r="AC134" s="145" t="s">
        <v>3876</v>
      </c>
      <c r="AD134" s="144">
        <v>1000</v>
      </c>
      <c r="AE134" s="145" t="s">
        <v>3876</v>
      </c>
      <c r="AF134" s="145" t="s">
        <v>3876</v>
      </c>
      <c r="AG134" s="145" t="s">
        <v>3876</v>
      </c>
      <c r="AH134" s="146">
        <v>2E-3</v>
      </c>
      <c r="AI134" s="146">
        <v>8.2875759938554582E-3</v>
      </c>
      <c r="AJ134" s="147">
        <v>1.0057227706153915E-3</v>
      </c>
      <c r="AK134" s="181"/>
    </row>
    <row r="135" spans="1:37" ht="15" x14ac:dyDescent="0.2">
      <c r="A135" s="142" t="s">
        <v>1205</v>
      </c>
      <c r="B135" s="143" t="s">
        <v>1205</v>
      </c>
      <c r="C135" s="143" t="s">
        <v>1349</v>
      </c>
      <c r="D135" s="143" t="s">
        <v>1350</v>
      </c>
      <c r="E135" s="143" t="s">
        <v>309</v>
      </c>
      <c r="F135" s="143" t="s">
        <v>1789</v>
      </c>
      <c r="G135" s="143" t="s">
        <v>1790</v>
      </c>
      <c r="H135" s="143" t="s">
        <v>321</v>
      </c>
      <c r="I135" s="143" t="s">
        <v>951</v>
      </c>
      <c r="J135" s="143" t="s">
        <v>204</v>
      </c>
      <c r="K135" s="143" t="s">
        <v>204</v>
      </c>
      <c r="L135" s="143" t="s">
        <v>325</v>
      </c>
      <c r="M135" s="143" t="s">
        <v>340</v>
      </c>
      <c r="N135" s="143" t="s">
        <v>448</v>
      </c>
      <c r="O135" s="143" t="s">
        <v>339</v>
      </c>
      <c r="P135" s="143" t="s">
        <v>1224</v>
      </c>
      <c r="Q135" s="143" t="s">
        <v>413</v>
      </c>
      <c r="R135" s="143" t="s">
        <v>407</v>
      </c>
      <c r="S135" s="143" t="s">
        <v>1210</v>
      </c>
      <c r="T135" s="144">
        <v>3.49</v>
      </c>
      <c r="U135" s="143" t="s">
        <v>1791</v>
      </c>
      <c r="V135" s="146">
        <v>2.7400000000000001E-2</v>
      </c>
      <c r="W135" s="146">
        <v>5.0221000000000002E-2</v>
      </c>
      <c r="X135" s="143" t="s">
        <v>412</v>
      </c>
      <c r="Y135" s="145" t="s">
        <v>3876</v>
      </c>
      <c r="Z135" s="144">
        <v>1011140.04</v>
      </c>
      <c r="AA135" s="145" t="s">
        <v>3876</v>
      </c>
      <c r="AB135" s="143" t="s">
        <v>1792</v>
      </c>
      <c r="AC135" s="145" t="s">
        <v>3876</v>
      </c>
      <c r="AD135" s="144">
        <v>941.27030000000002</v>
      </c>
      <c r="AE135" s="145" t="s">
        <v>3876</v>
      </c>
      <c r="AF135" s="145" t="s">
        <v>3876</v>
      </c>
      <c r="AG135" s="145" t="s">
        <v>3876</v>
      </c>
      <c r="AH135" s="146">
        <v>6.749688093950993E-4</v>
      </c>
      <c r="AI135" s="146">
        <v>7.8008488373246818E-3</v>
      </c>
      <c r="AJ135" s="147">
        <v>9.4665693703958876E-4</v>
      </c>
      <c r="AK135" s="181"/>
    </row>
    <row r="136" spans="1:37" ht="15" x14ac:dyDescent="0.2">
      <c r="A136" s="142" t="s">
        <v>1205</v>
      </c>
      <c r="B136" s="143" t="s">
        <v>1205</v>
      </c>
      <c r="C136" s="143" t="s">
        <v>1683</v>
      </c>
      <c r="D136" s="143" t="s">
        <v>1684</v>
      </c>
      <c r="E136" s="143" t="s">
        <v>309</v>
      </c>
      <c r="F136" s="143" t="s">
        <v>1793</v>
      </c>
      <c r="G136" s="143" t="s">
        <v>1794</v>
      </c>
      <c r="H136" s="143" t="s">
        <v>321</v>
      </c>
      <c r="I136" s="143" t="s">
        <v>951</v>
      </c>
      <c r="J136" s="143" t="s">
        <v>204</v>
      </c>
      <c r="K136" s="143" t="s">
        <v>204</v>
      </c>
      <c r="L136" s="143" t="s">
        <v>325</v>
      </c>
      <c r="M136" s="143" t="s">
        <v>340</v>
      </c>
      <c r="N136" s="143" t="s">
        <v>464</v>
      </c>
      <c r="O136" s="143" t="s">
        <v>339</v>
      </c>
      <c r="P136" s="143" t="s">
        <v>1425</v>
      </c>
      <c r="Q136" s="143" t="s">
        <v>415</v>
      </c>
      <c r="R136" s="143" t="s">
        <v>407</v>
      </c>
      <c r="S136" s="143" t="s">
        <v>1210</v>
      </c>
      <c r="T136" s="144">
        <v>5.55</v>
      </c>
      <c r="U136" s="143" t="s">
        <v>1795</v>
      </c>
      <c r="V136" s="146">
        <v>5.4800000000000001E-2</v>
      </c>
      <c r="W136" s="146">
        <v>6.3372999999999999E-2</v>
      </c>
      <c r="X136" s="143" t="s">
        <v>412</v>
      </c>
      <c r="Y136" s="145" t="s">
        <v>3876</v>
      </c>
      <c r="Z136" s="144">
        <v>920000</v>
      </c>
      <c r="AA136" s="145" t="s">
        <v>3876</v>
      </c>
      <c r="AB136" s="143" t="s">
        <v>1796</v>
      </c>
      <c r="AC136" s="145" t="s">
        <v>3876</v>
      </c>
      <c r="AD136" s="144">
        <v>883.01599999999996</v>
      </c>
      <c r="AE136" s="145" t="s">
        <v>3876</v>
      </c>
      <c r="AF136" s="145" t="s">
        <v>3876</v>
      </c>
      <c r="AG136" s="145" t="s">
        <v>3876</v>
      </c>
      <c r="AH136" s="146">
        <v>3.0666666666666668E-3</v>
      </c>
      <c r="AI136" s="146">
        <v>7.3180622037902722E-3</v>
      </c>
      <c r="AJ136" s="147">
        <v>8.8806929801772054E-4</v>
      </c>
      <c r="AK136" s="181"/>
    </row>
    <row r="137" spans="1:37" ht="15" x14ac:dyDescent="0.2">
      <c r="A137" s="142" t="s">
        <v>1205</v>
      </c>
      <c r="B137" s="143" t="s">
        <v>1205</v>
      </c>
      <c r="C137" s="143" t="s">
        <v>1672</v>
      </c>
      <c r="D137" s="143" t="s">
        <v>1673</v>
      </c>
      <c r="E137" s="143" t="s">
        <v>309</v>
      </c>
      <c r="F137" s="143" t="s">
        <v>1674</v>
      </c>
      <c r="G137" s="143" t="s">
        <v>1675</v>
      </c>
      <c r="H137" s="143" t="s">
        <v>321</v>
      </c>
      <c r="I137" s="143" t="s">
        <v>951</v>
      </c>
      <c r="J137" s="143" t="s">
        <v>204</v>
      </c>
      <c r="K137" s="143" t="s">
        <v>204</v>
      </c>
      <c r="L137" s="143" t="s">
        <v>325</v>
      </c>
      <c r="M137" s="143" t="s">
        <v>340</v>
      </c>
      <c r="N137" s="143" t="s">
        <v>464</v>
      </c>
      <c r="O137" s="143" t="s">
        <v>339</v>
      </c>
      <c r="P137" s="143" t="s">
        <v>1366</v>
      </c>
      <c r="Q137" s="143" t="s">
        <v>415</v>
      </c>
      <c r="R137" s="143" t="s">
        <v>407</v>
      </c>
      <c r="S137" s="143" t="s">
        <v>1210</v>
      </c>
      <c r="T137" s="144">
        <v>1.56</v>
      </c>
      <c r="U137" s="143" t="s">
        <v>1676</v>
      </c>
      <c r="V137" s="146">
        <v>6.7400000000000002E-2</v>
      </c>
      <c r="W137" s="146">
        <v>6.4237000000000002E-2</v>
      </c>
      <c r="X137" s="143" t="s">
        <v>412</v>
      </c>
      <c r="Y137" s="145" t="s">
        <v>3876</v>
      </c>
      <c r="Z137" s="144">
        <v>858396</v>
      </c>
      <c r="AA137" s="145" t="s">
        <v>3876</v>
      </c>
      <c r="AB137" s="143" t="s">
        <v>1677</v>
      </c>
      <c r="AC137" s="145" t="s">
        <v>3876</v>
      </c>
      <c r="AD137" s="144">
        <v>869.72680000000003</v>
      </c>
      <c r="AE137" s="145" t="s">
        <v>3876</v>
      </c>
      <c r="AF137" s="145" t="s">
        <v>3876</v>
      </c>
      <c r="AG137" s="145" t="s">
        <v>3876</v>
      </c>
      <c r="AH137" s="146">
        <v>8.178805100448205E-4</v>
      </c>
      <c r="AI137" s="146">
        <v>7.2079271743147946E-3</v>
      </c>
      <c r="AJ137" s="147">
        <v>8.7470407433011782E-4</v>
      </c>
      <c r="AK137" s="181"/>
    </row>
    <row r="138" spans="1:37" ht="15" x14ac:dyDescent="0.2">
      <c r="A138" s="142" t="s">
        <v>1205</v>
      </c>
      <c r="B138" s="143" t="s">
        <v>1205</v>
      </c>
      <c r="C138" s="143" t="s">
        <v>1797</v>
      </c>
      <c r="D138" s="143" t="s">
        <v>1798</v>
      </c>
      <c r="E138" s="143" t="s">
        <v>309</v>
      </c>
      <c r="F138" s="143" t="s">
        <v>1799</v>
      </c>
      <c r="G138" s="143" t="s">
        <v>1800</v>
      </c>
      <c r="H138" s="143" t="s">
        <v>321</v>
      </c>
      <c r="I138" s="143" t="s">
        <v>951</v>
      </c>
      <c r="J138" s="143" t="s">
        <v>204</v>
      </c>
      <c r="K138" s="143" t="s">
        <v>204</v>
      </c>
      <c r="L138" s="143" t="s">
        <v>325</v>
      </c>
      <c r="M138" s="143" t="s">
        <v>340</v>
      </c>
      <c r="N138" s="143" t="s">
        <v>443</v>
      </c>
      <c r="O138" s="143" t="s">
        <v>339</v>
      </c>
      <c r="P138" s="143" t="s">
        <v>1359</v>
      </c>
      <c r="Q138" s="143" t="s">
        <v>415</v>
      </c>
      <c r="R138" s="143" t="s">
        <v>407</v>
      </c>
      <c r="S138" s="143" t="s">
        <v>1210</v>
      </c>
      <c r="T138" s="144">
        <v>1.19</v>
      </c>
      <c r="U138" s="143" t="s">
        <v>1432</v>
      </c>
      <c r="V138" s="146">
        <v>6.9000000000000006E-2</v>
      </c>
      <c r="W138" s="146">
        <v>6.8987000000000007E-2</v>
      </c>
      <c r="X138" s="143" t="s">
        <v>412</v>
      </c>
      <c r="Y138" s="145" t="s">
        <v>3876</v>
      </c>
      <c r="Z138" s="144">
        <v>850000</v>
      </c>
      <c r="AA138" s="145" t="s">
        <v>3876</v>
      </c>
      <c r="AB138" s="143" t="s">
        <v>1801</v>
      </c>
      <c r="AC138" s="145" t="s">
        <v>3876</v>
      </c>
      <c r="AD138" s="144">
        <v>865.89499999999998</v>
      </c>
      <c r="AE138" s="145" t="s">
        <v>3876</v>
      </c>
      <c r="AF138" s="145" t="s">
        <v>3876</v>
      </c>
      <c r="AG138" s="145" t="s">
        <v>3876</v>
      </c>
      <c r="AH138" s="146">
        <v>2.3558758314855877E-3</v>
      </c>
      <c r="AI138" s="146">
        <v>7.1761706151994729E-3</v>
      </c>
      <c r="AJ138" s="147">
        <v>8.7085031846201441E-4</v>
      </c>
      <c r="AK138" s="181"/>
    </row>
    <row r="139" spans="1:37" ht="15" x14ac:dyDescent="0.2">
      <c r="A139" s="142" t="s">
        <v>1205</v>
      </c>
      <c r="B139" s="143" t="s">
        <v>1205</v>
      </c>
      <c r="C139" s="143" t="s">
        <v>1655</v>
      </c>
      <c r="D139" s="143" t="s">
        <v>1656</v>
      </c>
      <c r="E139" s="143" t="s">
        <v>309</v>
      </c>
      <c r="F139" s="143" t="s">
        <v>1657</v>
      </c>
      <c r="G139" s="143" t="s">
        <v>1658</v>
      </c>
      <c r="H139" s="143" t="s">
        <v>321</v>
      </c>
      <c r="I139" s="143" t="s">
        <v>951</v>
      </c>
      <c r="J139" s="143" t="s">
        <v>204</v>
      </c>
      <c r="K139" s="143" t="s">
        <v>204</v>
      </c>
      <c r="L139" s="143" t="s">
        <v>325</v>
      </c>
      <c r="M139" s="143" t="s">
        <v>340</v>
      </c>
      <c r="N139" s="143" t="s">
        <v>447</v>
      </c>
      <c r="O139" s="143" t="s">
        <v>339</v>
      </c>
      <c r="P139" s="143" t="s">
        <v>1359</v>
      </c>
      <c r="Q139" s="143" t="s">
        <v>415</v>
      </c>
      <c r="R139" s="143" t="s">
        <v>407</v>
      </c>
      <c r="S139" s="143" t="s">
        <v>1210</v>
      </c>
      <c r="T139" s="144">
        <v>2.4900000000000002</v>
      </c>
      <c r="U139" s="143" t="s">
        <v>1419</v>
      </c>
      <c r="V139" s="146">
        <v>4.53E-2</v>
      </c>
      <c r="W139" s="146">
        <v>6.2630000000000005E-2</v>
      </c>
      <c r="X139" s="143" t="s">
        <v>412</v>
      </c>
      <c r="Y139" s="145" t="s">
        <v>3876</v>
      </c>
      <c r="Z139" s="144">
        <v>885874</v>
      </c>
      <c r="AA139" s="145" t="s">
        <v>3876</v>
      </c>
      <c r="AB139" s="143" t="s">
        <v>1659</v>
      </c>
      <c r="AC139" s="145" t="s">
        <v>3876</v>
      </c>
      <c r="AD139" s="144">
        <v>851.32490000000007</v>
      </c>
      <c r="AE139" s="145" t="s">
        <v>3876</v>
      </c>
      <c r="AF139" s="145" t="s">
        <v>3876</v>
      </c>
      <c r="AG139" s="145" t="s">
        <v>3876</v>
      </c>
      <c r="AH139" s="146">
        <v>1.2655342857142858E-3</v>
      </c>
      <c r="AI139" s="146">
        <v>7.0554199202374629E-3</v>
      </c>
      <c r="AJ139" s="147">
        <v>8.561968512019899E-4</v>
      </c>
      <c r="AK139" s="181"/>
    </row>
    <row r="140" spans="1:37" ht="15" x14ac:dyDescent="0.2">
      <c r="A140" s="142" t="s">
        <v>1205</v>
      </c>
      <c r="B140" s="143" t="s">
        <v>1205</v>
      </c>
      <c r="C140" s="143" t="s">
        <v>1601</v>
      </c>
      <c r="D140" s="143" t="s">
        <v>1602</v>
      </c>
      <c r="E140" s="143" t="s">
        <v>309</v>
      </c>
      <c r="F140" s="143" t="s">
        <v>1802</v>
      </c>
      <c r="G140" s="143" t="s">
        <v>1803</v>
      </c>
      <c r="H140" s="143" t="s">
        <v>321</v>
      </c>
      <c r="I140" s="143" t="s">
        <v>951</v>
      </c>
      <c r="J140" s="143" t="s">
        <v>204</v>
      </c>
      <c r="K140" s="143" t="s">
        <v>204</v>
      </c>
      <c r="L140" s="143" t="s">
        <v>325</v>
      </c>
      <c r="M140" s="143" t="s">
        <v>340</v>
      </c>
      <c r="N140" s="143" t="s">
        <v>484</v>
      </c>
      <c r="O140" s="143" t="s">
        <v>339</v>
      </c>
      <c r="P140" s="143" t="s">
        <v>1403</v>
      </c>
      <c r="Q140" s="143" t="s">
        <v>413</v>
      </c>
      <c r="R140" s="143" t="s">
        <v>407</v>
      </c>
      <c r="S140" s="143" t="s">
        <v>1210</v>
      </c>
      <c r="T140" s="144">
        <v>3.49</v>
      </c>
      <c r="U140" s="143" t="s">
        <v>1804</v>
      </c>
      <c r="V140" s="146">
        <v>4.7300000000000002E-2</v>
      </c>
      <c r="W140" s="146">
        <v>5.6944000000000002E-2</v>
      </c>
      <c r="X140" s="143" t="s">
        <v>412</v>
      </c>
      <c r="Y140" s="145" t="s">
        <v>3876</v>
      </c>
      <c r="Z140" s="144">
        <v>850000</v>
      </c>
      <c r="AA140" s="145" t="s">
        <v>3876</v>
      </c>
      <c r="AB140" s="143" t="s">
        <v>1805</v>
      </c>
      <c r="AC140" s="144">
        <v>20.102499999999999</v>
      </c>
      <c r="AD140" s="144">
        <v>844.26250000000005</v>
      </c>
      <c r="AE140" s="145" t="s">
        <v>3876</v>
      </c>
      <c r="AF140" s="145" t="s">
        <v>3876</v>
      </c>
      <c r="AG140" s="145" t="s">
        <v>3876</v>
      </c>
      <c r="AH140" s="146">
        <v>2.1523619006621679E-3</v>
      </c>
      <c r="AI140" s="146">
        <v>7.1634906239288736E-3</v>
      </c>
      <c r="AJ140" s="147">
        <v>8.6931156262297284E-4</v>
      </c>
      <c r="AK140" s="181"/>
    </row>
    <row r="141" spans="1:37" ht="15" x14ac:dyDescent="0.2">
      <c r="A141" s="142" t="s">
        <v>1205</v>
      </c>
      <c r="B141" s="143" t="s">
        <v>1205</v>
      </c>
      <c r="C141" s="143" t="s">
        <v>1672</v>
      </c>
      <c r="D141" s="143" t="s">
        <v>1673</v>
      </c>
      <c r="E141" s="143" t="s">
        <v>309</v>
      </c>
      <c r="F141" s="143" t="s">
        <v>1806</v>
      </c>
      <c r="G141" s="143" t="s">
        <v>1807</v>
      </c>
      <c r="H141" s="143" t="s">
        <v>321</v>
      </c>
      <c r="I141" s="143" t="s">
        <v>951</v>
      </c>
      <c r="J141" s="143" t="s">
        <v>204</v>
      </c>
      <c r="K141" s="143" t="s">
        <v>204</v>
      </c>
      <c r="L141" s="143" t="s">
        <v>325</v>
      </c>
      <c r="M141" s="143" t="s">
        <v>340</v>
      </c>
      <c r="N141" s="143" t="s">
        <v>464</v>
      </c>
      <c r="O141" s="143" t="s">
        <v>339</v>
      </c>
      <c r="P141" s="143" t="s">
        <v>1347</v>
      </c>
      <c r="Q141" s="143" t="s">
        <v>413</v>
      </c>
      <c r="R141" s="143" t="s">
        <v>407</v>
      </c>
      <c r="S141" s="143" t="s">
        <v>1210</v>
      </c>
      <c r="T141" s="144">
        <v>6.47</v>
      </c>
      <c r="U141" s="143" t="s">
        <v>1808</v>
      </c>
      <c r="V141" s="146">
        <v>4.9399999999999999E-2</v>
      </c>
      <c r="W141" s="146">
        <v>6.9442000000000004E-2</v>
      </c>
      <c r="X141" s="143" t="s">
        <v>412</v>
      </c>
      <c r="Y141" s="145" t="s">
        <v>3876</v>
      </c>
      <c r="Z141" s="144">
        <v>890000</v>
      </c>
      <c r="AA141" s="145" t="s">
        <v>3876</v>
      </c>
      <c r="AB141" s="143" t="s">
        <v>1809</v>
      </c>
      <c r="AC141" s="145" t="s">
        <v>3876</v>
      </c>
      <c r="AD141" s="144">
        <v>798.86400000000003</v>
      </c>
      <c r="AE141" s="145" t="s">
        <v>3876</v>
      </c>
      <c r="AF141" s="145" t="s">
        <v>3876</v>
      </c>
      <c r="AG141" s="145" t="s">
        <v>3876</v>
      </c>
      <c r="AH141" s="146">
        <v>9.9153187217928683E-4</v>
      </c>
      <c r="AI141" s="146">
        <v>6.6206461087553476E-3</v>
      </c>
      <c r="AJ141" s="147">
        <v>8.0343571542489404E-4</v>
      </c>
      <c r="AK141" s="181"/>
    </row>
    <row r="142" spans="1:37" ht="15" x14ac:dyDescent="0.2">
      <c r="A142" s="142" t="s">
        <v>1205</v>
      </c>
      <c r="B142" s="143" t="s">
        <v>1205</v>
      </c>
      <c r="C142" s="143" t="s">
        <v>1399</v>
      </c>
      <c r="D142" s="143" t="s">
        <v>1400</v>
      </c>
      <c r="E142" s="143" t="s">
        <v>309</v>
      </c>
      <c r="F142" s="143" t="s">
        <v>1810</v>
      </c>
      <c r="G142" s="143" t="s">
        <v>1811</v>
      </c>
      <c r="H142" s="143" t="s">
        <v>321</v>
      </c>
      <c r="I142" s="143" t="s">
        <v>951</v>
      </c>
      <c r="J142" s="143" t="s">
        <v>204</v>
      </c>
      <c r="K142" s="143" t="s">
        <v>204</v>
      </c>
      <c r="L142" s="143" t="s">
        <v>325</v>
      </c>
      <c r="M142" s="143" t="s">
        <v>340</v>
      </c>
      <c r="N142" s="143" t="s">
        <v>451</v>
      </c>
      <c r="O142" s="143" t="s">
        <v>339</v>
      </c>
      <c r="P142" s="143" t="s">
        <v>1403</v>
      </c>
      <c r="Q142" s="143" t="s">
        <v>413</v>
      </c>
      <c r="R142" s="143" t="s">
        <v>407</v>
      </c>
      <c r="S142" s="143" t="s">
        <v>1210</v>
      </c>
      <c r="T142" s="144">
        <v>5.05</v>
      </c>
      <c r="U142" s="143" t="s">
        <v>1812</v>
      </c>
      <c r="V142" s="146">
        <v>2.07E-2</v>
      </c>
      <c r="W142" s="146">
        <v>5.9485999999999997E-2</v>
      </c>
      <c r="X142" s="143" t="s">
        <v>412</v>
      </c>
      <c r="Y142" s="145" t="s">
        <v>3876</v>
      </c>
      <c r="Z142" s="144">
        <v>950000</v>
      </c>
      <c r="AA142" s="145" t="s">
        <v>3876</v>
      </c>
      <c r="AB142" s="143" t="s">
        <v>1813</v>
      </c>
      <c r="AC142" s="145" t="s">
        <v>3876</v>
      </c>
      <c r="AD142" s="144">
        <v>782.23</v>
      </c>
      <c r="AE142" s="145" t="s">
        <v>3876</v>
      </c>
      <c r="AF142" s="145" t="s">
        <v>3876</v>
      </c>
      <c r="AG142" s="145" t="s">
        <v>3876</v>
      </c>
      <c r="AH142" s="146">
        <v>2.3131239347455564E-3</v>
      </c>
      <c r="AI142" s="146">
        <v>6.4827905696735553E-3</v>
      </c>
      <c r="AJ142" s="147">
        <v>7.8670652285847762E-4</v>
      </c>
      <c r="AK142" s="181"/>
    </row>
    <row r="143" spans="1:37" ht="15" x14ac:dyDescent="0.2">
      <c r="A143" s="142" t="s">
        <v>1205</v>
      </c>
      <c r="B143" s="143" t="s">
        <v>1205</v>
      </c>
      <c r="C143" s="143" t="s">
        <v>1438</v>
      </c>
      <c r="D143" s="143" t="s">
        <v>1439</v>
      </c>
      <c r="E143" s="143" t="s">
        <v>309</v>
      </c>
      <c r="F143" s="143" t="s">
        <v>1440</v>
      </c>
      <c r="G143" s="143" t="s">
        <v>1441</v>
      </c>
      <c r="H143" s="143" t="s">
        <v>321</v>
      </c>
      <c r="I143" s="143" t="s">
        <v>951</v>
      </c>
      <c r="J143" s="143" t="s">
        <v>204</v>
      </c>
      <c r="K143" s="143" t="s">
        <v>204</v>
      </c>
      <c r="L143" s="143" t="s">
        <v>325</v>
      </c>
      <c r="M143" s="143" t="s">
        <v>340</v>
      </c>
      <c r="N143" s="143" t="s">
        <v>464</v>
      </c>
      <c r="O143" s="143" t="s">
        <v>339</v>
      </c>
      <c r="P143" s="143" t="s">
        <v>1410</v>
      </c>
      <c r="Q143" s="143" t="s">
        <v>413</v>
      </c>
      <c r="R143" s="143" t="s">
        <v>407</v>
      </c>
      <c r="S143" s="143" t="s">
        <v>1210</v>
      </c>
      <c r="T143" s="144">
        <v>5.38</v>
      </c>
      <c r="U143" s="143" t="s">
        <v>1442</v>
      </c>
      <c r="V143" s="146">
        <v>2.5499999999999998E-2</v>
      </c>
      <c r="W143" s="146">
        <v>6.1415999999999998E-2</v>
      </c>
      <c r="X143" s="143" t="s">
        <v>412</v>
      </c>
      <c r="Y143" s="145" t="s">
        <v>3876</v>
      </c>
      <c r="Z143" s="144">
        <v>938598.49</v>
      </c>
      <c r="AA143" s="145" t="s">
        <v>3876</v>
      </c>
      <c r="AB143" s="143" t="s">
        <v>1443</v>
      </c>
      <c r="AC143" s="145" t="s">
        <v>3876</v>
      </c>
      <c r="AD143" s="144">
        <v>777.34730000000002</v>
      </c>
      <c r="AE143" s="145" t="s">
        <v>3876</v>
      </c>
      <c r="AF143" s="145" t="s">
        <v>3876</v>
      </c>
      <c r="AG143" s="145" t="s">
        <v>3876</v>
      </c>
      <c r="AH143" s="146">
        <v>5.4131741743757781E-4</v>
      </c>
      <c r="AI143" s="146">
        <v>6.4423245689177082E-3</v>
      </c>
      <c r="AJ143" s="147">
        <v>7.8179584952938006E-4</v>
      </c>
      <c r="AK143" s="181"/>
    </row>
    <row r="144" spans="1:37" ht="15" x14ac:dyDescent="0.2">
      <c r="A144" s="142" t="s">
        <v>1205</v>
      </c>
      <c r="B144" s="143" t="s">
        <v>1205</v>
      </c>
      <c r="C144" s="143" t="s">
        <v>1814</v>
      </c>
      <c r="D144" s="143" t="s">
        <v>1815</v>
      </c>
      <c r="E144" s="143" t="s">
        <v>309</v>
      </c>
      <c r="F144" s="143" t="s">
        <v>1816</v>
      </c>
      <c r="G144" s="143" t="s">
        <v>1817</v>
      </c>
      <c r="H144" s="143" t="s">
        <v>321</v>
      </c>
      <c r="I144" s="143" t="s">
        <v>951</v>
      </c>
      <c r="J144" s="143" t="s">
        <v>204</v>
      </c>
      <c r="K144" s="143" t="s">
        <v>204</v>
      </c>
      <c r="L144" s="143" t="s">
        <v>325</v>
      </c>
      <c r="M144" s="143" t="s">
        <v>340</v>
      </c>
      <c r="N144" s="143" t="s">
        <v>464</v>
      </c>
      <c r="O144" s="143" t="s">
        <v>339</v>
      </c>
      <c r="P144" s="143" t="s">
        <v>1728</v>
      </c>
      <c r="Q144" s="143" t="s">
        <v>413</v>
      </c>
      <c r="R144" s="143" t="s">
        <v>407</v>
      </c>
      <c r="S144" s="143" t="s">
        <v>1210</v>
      </c>
      <c r="T144" s="144">
        <v>2.4900000000000002</v>
      </c>
      <c r="U144" s="143" t="s">
        <v>1818</v>
      </c>
      <c r="V144" s="146">
        <v>5.0125999999999997E-2</v>
      </c>
      <c r="W144" s="146">
        <v>5.7846000000000002E-2</v>
      </c>
      <c r="X144" s="143" t="s">
        <v>412</v>
      </c>
      <c r="Y144" s="145" t="s">
        <v>3876</v>
      </c>
      <c r="Z144" s="144">
        <v>771428.61</v>
      </c>
      <c r="AA144" s="145" t="s">
        <v>3876</v>
      </c>
      <c r="AB144" s="143" t="s">
        <v>1819</v>
      </c>
      <c r="AC144" s="145" t="s">
        <v>3876</v>
      </c>
      <c r="AD144" s="144">
        <v>773.97430000000008</v>
      </c>
      <c r="AE144" s="145" t="s">
        <v>3876</v>
      </c>
      <c r="AF144" s="145" t="s">
        <v>3876</v>
      </c>
      <c r="AG144" s="145" t="s">
        <v>3876</v>
      </c>
      <c r="AH144" s="146">
        <v>1.6997230338596904E-3</v>
      </c>
      <c r="AI144" s="146">
        <v>6.4143710308656758E-3</v>
      </c>
      <c r="AJ144" s="147">
        <v>7.7840360193381821E-4</v>
      </c>
      <c r="AK144" s="181"/>
    </row>
    <row r="145" spans="1:37" ht="15" x14ac:dyDescent="0.2">
      <c r="A145" s="142" t="s">
        <v>1205</v>
      </c>
      <c r="B145" s="143" t="s">
        <v>1205</v>
      </c>
      <c r="C145" s="143" t="s">
        <v>1385</v>
      </c>
      <c r="D145" s="143" t="s">
        <v>1386</v>
      </c>
      <c r="E145" s="143" t="s">
        <v>309</v>
      </c>
      <c r="F145" s="143" t="s">
        <v>1387</v>
      </c>
      <c r="G145" s="143" t="s">
        <v>1388</v>
      </c>
      <c r="H145" s="143" t="s">
        <v>321</v>
      </c>
      <c r="I145" s="143" t="s">
        <v>951</v>
      </c>
      <c r="J145" s="143" t="s">
        <v>204</v>
      </c>
      <c r="K145" s="143" t="s">
        <v>204</v>
      </c>
      <c r="L145" s="143" t="s">
        <v>325</v>
      </c>
      <c r="M145" s="143" t="s">
        <v>340</v>
      </c>
      <c r="N145" s="143" t="s">
        <v>440</v>
      </c>
      <c r="O145" s="143" t="s">
        <v>339</v>
      </c>
      <c r="P145" s="143" t="s">
        <v>1389</v>
      </c>
      <c r="Q145" s="143" t="s">
        <v>413</v>
      </c>
      <c r="R145" s="143" t="s">
        <v>407</v>
      </c>
      <c r="S145" s="143" t="s">
        <v>1210</v>
      </c>
      <c r="T145" s="144">
        <v>3.26</v>
      </c>
      <c r="U145" s="143" t="s">
        <v>1390</v>
      </c>
      <c r="V145" s="146">
        <v>2.5000000000000001E-2</v>
      </c>
      <c r="W145" s="146">
        <v>5.9434000000000001E-2</v>
      </c>
      <c r="X145" s="143" t="s">
        <v>412</v>
      </c>
      <c r="Y145" s="145" t="s">
        <v>3876</v>
      </c>
      <c r="Z145" s="144">
        <v>854050</v>
      </c>
      <c r="AA145" s="145" t="s">
        <v>3876</v>
      </c>
      <c r="AB145" s="143" t="s">
        <v>1391</v>
      </c>
      <c r="AC145" s="145" t="s">
        <v>3876</v>
      </c>
      <c r="AD145" s="144">
        <v>771.8904</v>
      </c>
      <c r="AE145" s="145" t="s">
        <v>3876</v>
      </c>
      <c r="AF145" s="145" t="s">
        <v>3876</v>
      </c>
      <c r="AG145" s="145" t="s">
        <v>3876</v>
      </c>
      <c r="AH145" s="146">
        <v>1.0566935482923057E-3</v>
      </c>
      <c r="AI145" s="146">
        <v>6.3971002660517277E-3</v>
      </c>
      <c r="AJ145" s="147">
        <v>7.7630774164219509E-4</v>
      </c>
      <c r="AK145" s="181"/>
    </row>
    <row r="146" spans="1:37" ht="15" x14ac:dyDescent="0.2">
      <c r="A146" s="142" t="s">
        <v>1205</v>
      </c>
      <c r="B146" s="143" t="s">
        <v>1205</v>
      </c>
      <c r="C146" s="143" t="s">
        <v>1392</v>
      </c>
      <c r="D146" s="143" t="s">
        <v>1393</v>
      </c>
      <c r="E146" s="143" t="s">
        <v>309</v>
      </c>
      <c r="F146" s="143" t="s">
        <v>1820</v>
      </c>
      <c r="G146" s="143" t="s">
        <v>1821</v>
      </c>
      <c r="H146" s="143" t="s">
        <v>321</v>
      </c>
      <c r="I146" s="143" t="s">
        <v>951</v>
      </c>
      <c r="J146" s="143" t="s">
        <v>204</v>
      </c>
      <c r="K146" s="143" t="s">
        <v>204</v>
      </c>
      <c r="L146" s="143" t="s">
        <v>325</v>
      </c>
      <c r="M146" s="143" t="s">
        <v>340</v>
      </c>
      <c r="N146" s="143" t="s">
        <v>484</v>
      </c>
      <c r="O146" s="143" t="s">
        <v>339</v>
      </c>
      <c r="P146" s="143" t="s">
        <v>1396</v>
      </c>
      <c r="Q146" s="143" t="s">
        <v>415</v>
      </c>
      <c r="R146" s="143" t="s">
        <v>407</v>
      </c>
      <c r="S146" s="143" t="s">
        <v>1210</v>
      </c>
      <c r="T146" s="144">
        <v>8.09</v>
      </c>
      <c r="U146" s="143" t="s">
        <v>1822</v>
      </c>
      <c r="V146" s="146">
        <v>2.7900000000000001E-2</v>
      </c>
      <c r="W146" s="146">
        <v>5.8882999999999998E-2</v>
      </c>
      <c r="X146" s="143" t="s">
        <v>412</v>
      </c>
      <c r="Y146" s="145" t="s">
        <v>3876</v>
      </c>
      <c r="Z146" s="144">
        <v>940000</v>
      </c>
      <c r="AA146" s="145" t="s">
        <v>3876</v>
      </c>
      <c r="AB146" s="143" t="s">
        <v>1823</v>
      </c>
      <c r="AC146" s="145" t="s">
        <v>3876</v>
      </c>
      <c r="AD146" s="144">
        <v>739.59199999999998</v>
      </c>
      <c r="AE146" s="145" t="s">
        <v>3876</v>
      </c>
      <c r="AF146" s="145" t="s">
        <v>3876</v>
      </c>
      <c r="AG146" s="145" t="s">
        <v>3876</v>
      </c>
      <c r="AH146" s="146">
        <v>1.0902810721406509E-3</v>
      </c>
      <c r="AI146" s="146">
        <v>6.1294249044475469E-3</v>
      </c>
      <c r="AJ146" s="147">
        <v>7.4382451536497858E-4</v>
      </c>
      <c r="AK146" s="181"/>
    </row>
    <row r="147" spans="1:37" ht="15" x14ac:dyDescent="0.2">
      <c r="A147" s="142" t="s">
        <v>1205</v>
      </c>
      <c r="B147" s="143" t="s">
        <v>1205</v>
      </c>
      <c r="C147" s="143" t="s">
        <v>1399</v>
      </c>
      <c r="D147" s="143" t="s">
        <v>1400</v>
      </c>
      <c r="E147" s="143" t="s">
        <v>309</v>
      </c>
      <c r="F147" s="143" t="s">
        <v>1824</v>
      </c>
      <c r="G147" s="143" t="s">
        <v>1825</v>
      </c>
      <c r="H147" s="143" t="s">
        <v>321</v>
      </c>
      <c r="I147" s="143" t="s">
        <v>951</v>
      </c>
      <c r="J147" s="143" t="s">
        <v>204</v>
      </c>
      <c r="K147" s="143" t="s">
        <v>204</v>
      </c>
      <c r="L147" s="143" t="s">
        <v>325</v>
      </c>
      <c r="M147" s="143" t="s">
        <v>340</v>
      </c>
      <c r="N147" s="143" t="s">
        <v>451</v>
      </c>
      <c r="O147" s="143" t="s">
        <v>339</v>
      </c>
      <c r="P147" s="143" t="s">
        <v>1403</v>
      </c>
      <c r="Q147" s="143" t="s">
        <v>413</v>
      </c>
      <c r="R147" s="143" t="s">
        <v>407</v>
      </c>
      <c r="S147" s="143" t="s">
        <v>1210</v>
      </c>
      <c r="T147" s="144">
        <v>3.13</v>
      </c>
      <c r="U147" s="143" t="s">
        <v>1826</v>
      </c>
      <c r="V147" s="146">
        <v>0.04</v>
      </c>
      <c r="W147" s="146">
        <v>5.6988999999999998E-2</v>
      </c>
      <c r="X147" s="143" t="s">
        <v>412</v>
      </c>
      <c r="Y147" s="145" t="s">
        <v>3876</v>
      </c>
      <c r="Z147" s="144">
        <v>743750.08</v>
      </c>
      <c r="AA147" s="145" t="s">
        <v>3876</v>
      </c>
      <c r="AB147" s="143" t="s">
        <v>1827</v>
      </c>
      <c r="AC147" s="145" t="s">
        <v>3876</v>
      </c>
      <c r="AD147" s="144">
        <v>720.84259999999995</v>
      </c>
      <c r="AE147" s="145" t="s">
        <v>3876</v>
      </c>
      <c r="AF147" s="145" t="s">
        <v>3876</v>
      </c>
      <c r="AG147" s="145" t="s">
        <v>3876</v>
      </c>
      <c r="AH147" s="146">
        <v>1.0978181976034136E-3</v>
      </c>
      <c r="AI147" s="146">
        <v>5.9740376409362457E-3</v>
      </c>
      <c r="AJ147" s="147">
        <v>7.2496779425704606E-4</v>
      </c>
      <c r="AK147" s="181"/>
    </row>
    <row r="148" spans="1:37" ht="15" x14ac:dyDescent="0.2">
      <c r="A148" s="142" t="s">
        <v>1205</v>
      </c>
      <c r="B148" s="143" t="s">
        <v>1205</v>
      </c>
      <c r="C148" s="143" t="s">
        <v>1828</v>
      </c>
      <c r="D148" s="143" t="s">
        <v>1829</v>
      </c>
      <c r="E148" s="143" t="s">
        <v>309</v>
      </c>
      <c r="F148" s="143" t="s">
        <v>1830</v>
      </c>
      <c r="G148" s="143" t="s">
        <v>1831</v>
      </c>
      <c r="H148" s="143" t="s">
        <v>321</v>
      </c>
      <c r="I148" s="143" t="s">
        <v>951</v>
      </c>
      <c r="J148" s="143" t="s">
        <v>204</v>
      </c>
      <c r="K148" s="143" t="s">
        <v>204</v>
      </c>
      <c r="L148" s="143" t="s">
        <v>325</v>
      </c>
      <c r="M148" s="143" t="s">
        <v>340</v>
      </c>
      <c r="N148" s="143" t="s">
        <v>454</v>
      </c>
      <c r="O148" s="143" t="s">
        <v>339</v>
      </c>
      <c r="P148" s="143" t="s">
        <v>1389</v>
      </c>
      <c r="Q148" s="143" t="s">
        <v>413</v>
      </c>
      <c r="R148" s="143" t="s">
        <v>407</v>
      </c>
      <c r="S148" s="143" t="s">
        <v>1210</v>
      </c>
      <c r="T148" s="144">
        <v>3.87</v>
      </c>
      <c r="U148" s="143" t="s">
        <v>1832</v>
      </c>
      <c r="V148" s="146">
        <v>6.7000000000000004E-2</v>
      </c>
      <c r="W148" s="146">
        <v>6.6008999999999998E-2</v>
      </c>
      <c r="X148" s="143" t="s">
        <v>412</v>
      </c>
      <c r="Y148" s="145" t="s">
        <v>3876</v>
      </c>
      <c r="Z148" s="144">
        <v>693000</v>
      </c>
      <c r="AA148" s="145" t="s">
        <v>3876</v>
      </c>
      <c r="AB148" s="143" t="s">
        <v>1833</v>
      </c>
      <c r="AC148" s="145" t="s">
        <v>3876</v>
      </c>
      <c r="AD148" s="144">
        <v>712.47329999999999</v>
      </c>
      <c r="AE148" s="145" t="s">
        <v>3876</v>
      </c>
      <c r="AF148" s="145" t="s">
        <v>3876</v>
      </c>
      <c r="AG148" s="145" t="s">
        <v>3876</v>
      </c>
      <c r="AH148" s="146">
        <v>7.615384615384615E-4</v>
      </c>
      <c r="AI148" s="146">
        <v>5.904676617342979E-3</v>
      </c>
      <c r="AJ148" s="147">
        <v>7.1655062126549103E-4</v>
      </c>
      <c r="AK148" s="181"/>
    </row>
    <row r="149" spans="1:37" ht="15" x14ac:dyDescent="0.2">
      <c r="A149" s="142" t="s">
        <v>1205</v>
      </c>
      <c r="B149" s="143" t="s">
        <v>1205</v>
      </c>
      <c r="C149" s="143" t="s">
        <v>1343</v>
      </c>
      <c r="D149" s="143" t="s">
        <v>1344</v>
      </c>
      <c r="E149" s="143" t="s">
        <v>309</v>
      </c>
      <c r="F149" s="143" t="s">
        <v>1375</v>
      </c>
      <c r="G149" s="143" t="s">
        <v>1376</v>
      </c>
      <c r="H149" s="143" t="s">
        <v>321</v>
      </c>
      <c r="I149" s="143" t="s">
        <v>951</v>
      </c>
      <c r="J149" s="143" t="s">
        <v>204</v>
      </c>
      <c r="K149" s="143" t="s">
        <v>204</v>
      </c>
      <c r="L149" s="143" t="s">
        <v>325</v>
      </c>
      <c r="M149" s="143" t="s">
        <v>340</v>
      </c>
      <c r="N149" s="143" t="s">
        <v>445</v>
      </c>
      <c r="O149" s="143" t="s">
        <v>339</v>
      </c>
      <c r="P149" s="143" t="s">
        <v>1347</v>
      </c>
      <c r="Q149" s="143" t="s">
        <v>413</v>
      </c>
      <c r="R149" s="143" t="s">
        <v>407</v>
      </c>
      <c r="S149" s="143" t="s">
        <v>1210</v>
      </c>
      <c r="T149" s="144">
        <v>7.66</v>
      </c>
      <c r="U149" s="143" t="s">
        <v>1377</v>
      </c>
      <c r="V149" s="146">
        <v>5.3100000000000001E-2</v>
      </c>
      <c r="W149" s="146">
        <v>6.3355999999999996E-2</v>
      </c>
      <c r="X149" s="143" t="s">
        <v>412</v>
      </c>
      <c r="Y149" s="145" t="s">
        <v>3876</v>
      </c>
      <c r="Z149" s="144">
        <v>741030.16</v>
      </c>
      <c r="AA149" s="145" t="s">
        <v>3876</v>
      </c>
      <c r="AB149" s="143" t="s">
        <v>1378</v>
      </c>
      <c r="AC149" s="145" t="s">
        <v>3876</v>
      </c>
      <c r="AD149" s="144">
        <v>706.42409999999995</v>
      </c>
      <c r="AE149" s="145" t="s">
        <v>3876</v>
      </c>
      <c r="AF149" s="145" t="s">
        <v>3876</v>
      </c>
      <c r="AG149" s="145" t="s">
        <v>3876</v>
      </c>
      <c r="AH149" s="146">
        <v>5.8193917683420338E-4</v>
      </c>
      <c r="AI149" s="146">
        <v>5.8545430109255645E-3</v>
      </c>
      <c r="AJ149" s="147">
        <v>7.1046675433209026E-4</v>
      </c>
      <c r="AK149" s="181"/>
    </row>
    <row r="150" spans="1:37" ht="15" x14ac:dyDescent="0.2">
      <c r="A150" s="142" t="s">
        <v>1205</v>
      </c>
      <c r="B150" s="143" t="s">
        <v>1205</v>
      </c>
      <c r="C150" s="143" t="s">
        <v>1672</v>
      </c>
      <c r="D150" s="143" t="s">
        <v>1673</v>
      </c>
      <c r="E150" s="143" t="s">
        <v>309</v>
      </c>
      <c r="F150" s="143" t="s">
        <v>1834</v>
      </c>
      <c r="G150" s="143" t="s">
        <v>1835</v>
      </c>
      <c r="H150" s="143" t="s">
        <v>321</v>
      </c>
      <c r="I150" s="143" t="s">
        <v>951</v>
      </c>
      <c r="J150" s="143" t="s">
        <v>204</v>
      </c>
      <c r="K150" s="143" t="s">
        <v>204</v>
      </c>
      <c r="L150" s="143" t="s">
        <v>325</v>
      </c>
      <c r="M150" s="143" t="s">
        <v>340</v>
      </c>
      <c r="N150" s="143" t="s">
        <v>464</v>
      </c>
      <c r="O150" s="143" t="s">
        <v>339</v>
      </c>
      <c r="P150" s="143" t="s">
        <v>1366</v>
      </c>
      <c r="Q150" s="143" t="s">
        <v>415</v>
      </c>
      <c r="R150" s="143" t="s">
        <v>407</v>
      </c>
      <c r="S150" s="143" t="s">
        <v>1210</v>
      </c>
      <c r="T150" s="144">
        <v>4.57</v>
      </c>
      <c r="U150" s="143" t="s">
        <v>1836</v>
      </c>
      <c r="V150" s="146">
        <v>2.41E-2</v>
      </c>
      <c r="W150" s="146">
        <v>6.4957000000000001E-2</v>
      </c>
      <c r="X150" s="143" t="s">
        <v>412</v>
      </c>
      <c r="Y150" s="145" t="s">
        <v>3876</v>
      </c>
      <c r="Z150" s="144">
        <v>755555.56</v>
      </c>
      <c r="AA150" s="145" t="s">
        <v>3876</v>
      </c>
      <c r="AB150" s="143" t="s">
        <v>1837</v>
      </c>
      <c r="AC150" s="145" t="s">
        <v>3876</v>
      </c>
      <c r="AD150" s="144">
        <v>636.02670000000001</v>
      </c>
      <c r="AE150" s="145" t="s">
        <v>3876</v>
      </c>
      <c r="AF150" s="145" t="s">
        <v>3876</v>
      </c>
      <c r="AG150" s="145" t="s">
        <v>3876</v>
      </c>
      <c r="AH150" s="146">
        <v>4.2902379519715032E-4</v>
      </c>
      <c r="AI150" s="146">
        <v>5.2711193651251587E-3</v>
      </c>
      <c r="AJ150" s="147">
        <v>6.3966650514801619E-4</v>
      </c>
      <c r="AK150" s="181"/>
    </row>
    <row r="151" spans="1:37" ht="15" x14ac:dyDescent="0.2">
      <c r="A151" s="142" t="s">
        <v>1205</v>
      </c>
      <c r="B151" s="143" t="s">
        <v>1205</v>
      </c>
      <c r="C151" s="143" t="s">
        <v>1392</v>
      </c>
      <c r="D151" s="143" t="s">
        <v>1393</v>
      </c>
      <c r="E151" s="143" t="s">
        <v>309</v>
      </c>
      <c r="F151" s="143" t="s">
        <v>1394</v>
      </c>
      <c r="G151" s="143" t="s">
        <v>1395</v>
      </c>
      <c r="H151" s="143" t="s">
        <v>321</v>
      </c>
      <c r="I151" s="143" t="s">
        <v>951</v>
      </c>
      <c r="J151" s="143" t="s">
        <v>204</v>
      </c>
      <c r="K151" s="143" t="s">
        <v>204</v>
      </c>
      <c r="L151" s="143" t="s">
        <v>325</v>
      </c>
      <c r="M151" s="143" t="s">
        <v>340</v>
      </c>
      <c r="N151" s="143" t="s">
        <v>484</v>
      </c>
      <c r="O151" s="143" t="s">
        <v>339</v>
      </c>
      <c r="P151" s="143" t="s">
        <v>1396</v>
      </c>
      <c r="Q151" s="143" t="s">
        <v>415</v>
      </c>
      <c r="R151" s="143" t="s">
        <v>407</v>
      </c>
      <c r="S151" s="143" t="s">
        <v>1210</v>
      </c>
      <c r="T151" s="144">
        <v>0.9</v>
      </c>
      <c r="U151" s="143" t="s">
        <v>1397</v>
      </c>
      <c r="V151" s="146">
        <v>3.6499999999999998E-2</v>
      </c>
      <c r="W151" s="146">
        <v>4.8802999999999999E-2</v>
      </c>
      <c r="X151" s="143" t="s">
        <v>412</v>
      </c>
      <c r="Y151" s="145" t="s">
        <v>3876</v>
      </c>
      <c r="Z151" s="144">
        <v>609544.16</v>
      </c>
      <c r="AA151" s="145" t="s">
        <v>3876</v>
      </c>
      <c r="AB151" s="143" t="s">
        <v>1398</v>
      </c>
      <c r="AC151" s="145" t="s">
        <v>3876</v>
      </c>
      <c r="AD151" s="144">
        <v>605.09450000000004</v>
      </c>
      <c r="AE151" s="145" t="s">
        <v>3876</v>
      </c>
      <c r="AF151" s="145" t="s">
        <v>3876</v>
      </c>
      <c r="AG151" s="145" t="s">
        <v>3876</v>
      </c>
      <c r="AH151" s="146">
        <v>5.7235219791762991E-4</v>
      </c>
      <c r="AI151" s="146">
        <v>5.0147665497132319E-3</v>
      </c>
      <c r="AJ151" s="147">
        <v>6.0855730458535577E-4</v>
      </c>
      <c r="AK151" s="181"/>
    </row>
    <row r="152" spans="1:37" ht="15" x14ac:dyDescent="0.2">
      <c r="A152" s="142" t="s">
        <v>1205</v>
      </c>
      <c r="B152" s="143" t="s">
        <v>1205</v>
      </c>
      <c r="C152" s="143" t="s">
        <v>1689</v>
      </c>
      <c r="D152" s="143" t="s">
        <v>1690</v>
      </c>
      <c r="E152" s="143" t="s">
        <v>309</v>
      </c>
      <c r="F152" s="143" t="s">
        <v>1691</v>
      </c>
      <c r="G152" s="143" t="s">
        <v>1692</v>
      </c>
      <c r="H152" s="143" t="s">
        <v>321</v>
      </c>
      <c r="I152" s="143" t="s">
        <v>951</v>
      </c>
      <c r="J152" s="143" t="s">
        <v>204</v>
      </c>
      <c r="K152" s="143" t="s">
        <v>204</v>
      </c>
      <c r="L152" s="143" t="s">
        <v>325</v>
      </c>
      <c r="M152" s="143" t="s">
        <v>340</v>
      </c>
      <c r="N152" s="143" t="s">
        <v>451</v>
      </c>
      <c r="O152" s="143" t="s">
        <v>339</v>
      </c>
      <c r="P152" s="143" t="s">
        <v>1403</v>
      </c>
      <c r="Q152" s="143" t="s">
        <v>413</v>
      </c>
      <c r="R152" s="143" t="s">
        <v>407</v>
      </c>
      <c r="S152" s="143" t="s">
        <v>1210</v>
      </c>
      <c r="T152" s="144">
        <v>2.58</v>
      </c>
      <c r="U152" s="143" t="s">
        <v>1542</v>
      </c>
      <c r="V152" s="146">
        <v>2.1999999999999999E-2</v>
      </c>
      <c r="W152" s="146">
        <v>5.3846999999999999E-2</v>
      </c>
      <c r="X152" s="143" t="s">
        <v>412</v>
      </c>
      <c r="Y152" s="145" t="s">
        <v>3876</v>
      </c>
      <c r="Z152" s="144">
        <v>648749.26</v>
      </c>
      <c r="AA152" s="145" t="s">
        <v>3876</v>
      </c>
      <c r="AB152" s="143" t="s">
        <v>1693</v>
      </c>
      <c r="AC152" s="145" t="s">
        <v>3876</v>
      </c>
      <c r="AD152" s="144">
        <v>599.24969999999996</v>
      </c>
      <c r="AE152" s="145" t="s">
        <v>3876</v>
      </c>
      <c r="AF152" s="145" t="s">
        <v>3876</v>
      </c>
      <c r="AG152" s="145" t="s">
        <v>3876</v>
      </c>
      <c r="AH152" s="146">
        <v>5.986152341407151E-4</v>
      </c>
      <c r="AI152" s="146">
        <v>4.9663273572857622E-3</v>
      </c>
      <c r="AJ152" s="147">
        <v>6.0267905998758115E-4</v>
      </c>
      <c r="AK152" s="181"/>
    </row>
    <row r="153" spans="1:37" ht="15" x14ac:dyDescent="0.2">
      <c r="A153" s="142" t="s">
        <v>1205</v>
      </c>
      <c r="B153" s="143" t="s">
        <v>1205</v>
      </c>
      <c r="C153" s="143" t="s">
        <v>1838</v>
      </c>
      <c r="D153" s="143" t="s">
        <v>1839</v>
      </c>
      <c r="E153" s="143" t="s">
        <v>309</v>
      </c>
      <c r="F153" s="143" t="s">
        <v>1840</v>
      </c>
      <c r="G153" s="143" t="s">
        <v>1841</v>
      </c>
      <c r="H153" s="143" t="s">
        <v>321</v>
      </c>
      <c r="I153" s="143" t="s">
        <v>951</v>
      </c>
      <c r="J153" s="143" t="s">
        <v>204</v>
      </c>
      <c r="K153" s="143" t="s">
        <v>204</v>
      </c>
      <c r="L153" s="143" t="s">
        <v>325</v>
      </c>
      <c r="M153" s="143" t="s">
        <v>340</v>
      </c>
      <c r="N153" s="143" t="s">
        <v>454</v>
      </c>
      <c r="O153" s="143" t="s">
        <v>339</v>
      </c>
      <c r="P153" s="143" t="s">
        <v>1410</v>
      </c>
      <c r="Q153" s="143" t="s">
        <v>413</v>
      </c>
      <c r="R153" s="143" t="s">
        <v>407</v>
      </c>
      <c r="S153" s="143" t="s">
        <v>1210</v>
      </c>
      <c r="T153" s="144">
        <v>3.49</v>
      </c>
      <c r="U153" s="143" t="s">
        <v>1842</v>
      </c>
      <c r="V153" s="146">
        <v>2.24E-2</v>
      </c>
      <c r="W153" s="146">
        <v>5.5280999999999997E-2</v>
      </c>
      <c r="X153" s="143" t="s">
        <v>412</v>
      </c>
      <c r="Y153" s="145" t="s">
        <v>3876</v>
      </c>
      <c r="Z153" s="144">
        <v>662569.73</v>
      </c>
      <c r="AA153" s="145" t="s">
        <v>3876</v>
      </c>
      <c r="AB153" s="143" t="s">
        <v>1843</v>
      </c>
      <c r="AC153" s="145" t="s">
        <v>3876</v>
      </c>
      <c r="AD153" s="144">
        <v>595.58389999999997</v>
      </c>
      <c r="AE153" s="145" t="s">
        <v>3876</v>
      </c>
      <c r="AF153" s="145" t="s">
        <v>3876</v>
      </c>
      <c r="AG153" s="145" t="s">
        <v>3876</v>
      </c>
      <c r="AH153" s="146">
        <v>1.1276698808383124E-3</v>
      </c>
      <c r="AI153" s="146">
        <v>4.9359470830555004E-3</v>
      </c>
      <c r="AJ153" s="147">
        <v>5.9899232051230302E-4</v>
      </c>
      <c r="AK153" s="181"/>
    </row>
    <row r="154" spans="1:37" ht="15" x14ac:dyDescent="0.2">
      <c r="A154" s="142" t="s">
        <v>1205</v>
      </c>
      <c r="B154" s="143" t="s">
        <v>1205</v>
      </c>
      <c r="C154" s="143" t="s">
        <v>1683</v>
      </c>
      <c r="D154" s="143" t="s">
        <v>1684</v>
      </c>
      <c r="E154" s="143" t="s">
        <v>309</v>
      </c>
      <c r="F154" s="143" t="s">
        <v>1685</v>
      </c>
      <c r="G154" s="143" t="s">
        <v>1686</v>
      </c>
      <c r="H154" s="143" t="s">
        <v>321</v>
      </c>
      <c r="I154" s="143" t="s">
        <v>951</v>
      </c>
      <c r="J154" s="143" t="s">
        <v>204</v>
      </c>
      <c r="K154" s="143" t="s">
        <v>204</v>
      </c>
      <c r="L154" s="143" t="s">
        <v>325</v>
      </c>
      <c r="M154" s="143" t="s">
        <v>340</v>
      </c>
      <c r="N154" s="143" t="s">
        <v>464</v>
      </c>
      <c r="O154" s="143" t="s">
        <v>339</v>
      </c>
      <c r="P154" s="143" t="s">
        <v>1425</v>
      </c>
      <c r="Q154" s="143" t="s">
        <v>415</v>
      </c>
      <c r="R154" s="143" t="s">
        <v>407</v>
      </c>
      <c r="S154" s="143" t="s">
        <v>1210</v>
      </c>
      <c r="T154" s="144">
        <v>3.35</v>
      </c>
      <c r="U154" s="143" t="s">
        <v>1687</v>
      </c>
      <c r="V154" s="146">
        <v>3.04E-2</v>
      </c>
      <c r="W154" s="146">
        <v>6.1107000000000002E-2</v>
      </c>
      <c r="X154" s="143" t="s">
        <v>412</v>
      </c>
      <c r="Y154" s="145" t="s">
        <v>3876</v>
      </c>
      <c r="Z154" s="144">
        <v>637755</v>
      </c>
      <c r="AA154" s="145" t="s">
        <v>3876</v>
      </c>
      <c r="AB154" s="143" t="s">
        <v>1688</v>
      </c>
      <c r="AC154" s="145" t="s">
        <v>3876</v>
      </c>
      <c r="AD154" s="144">
        <v>577.99739999999997</v>
      </c>
      <c r="AE154" s="145" t="s">
        <v>3876</v>
      </c>
      <c r="AF154" s="145" t="s">
        <v>3876</v>
      </c>
      <c r="AG154" s="145" t="s">
        <v>3876</v>
      </c>
      <c r="AH154" s="146">
        <v>1.1766628966455477E-3</v>
      </c>
      <c r="AI154" s="146">
        <v>4.790197016241316E-3</v>
      </c>
      <c r="AJ154" s="147">
        <v>5.8130510278755218E-4</v>
      </c>
      <c r="AK154" s="181"/>
    </row>
    <row r="155" spans="1:37" ht="15" x14ac:dyDescent="0.2">
      <c r="A155" s="142" t="s">
        <v>1205</v>
      </c>
      <c r="B155" s="143" t="s">
        <v>1205</v>
      </c>
      <c r="C155" s="143" t="s">
        <v>1362</v>
      </c>
      <c r="D155" s="143" t="s">
        <v>1363</v>
      </c>
      <c r="E155" s="143" t="s">
        <v>309</v>
      </c>
      <c r="F155" s="143" t="s">
        <v>1417</v>
      </c>
      <c r="G155" s="143" t="s">
        <v>1418</v>
      </c>
      <c r="H155" s="143" t="s">
        <v>321</v>
      </c>
      <c r="I155" s="143" t="s">
        <v>951</v>
      </c>
      <c r="J155" s="143" t="s">
        <v>204</v>
      </c>
      <c r="K155" s="143" t="s">
        <v>204</v>
      </c>
      <c r="L155" s="143" t="s">
        <v>325</v>
      </c>
      <c r="M155" s="143" t="s">
        <v>340</v>
      </c>
      <c r="N155" s="143" t="s">
        <v>445</v>
      </c>
      <c r="O155" s="143" t="s">
        <v>339</v>
      </c>
      <c r="P155" s="143" t="s">
        <v>1366</v>
      </c>
      <c r="Q155" s="143" t="s">
        <v>415</v>
      </c>
      <c r="R155" s="143" t="s">
        <v>407</v>
      </c>
      <c r="S155" s="143" t="s">
        <v>1210</v>
      </c>
      <c r="T155" s="144">
        <v>3.28</v>
      </c>
      <c r="U155" s="143" t="s">
        <v>1419</v>
      </c>
      <c r="V155" s="146">
        <v>4.36E-2</v>
      </c>
      <c r="W155" s="146">
        <v>5.1854999999999998E-2</v>
      </c>
      <c r="X155" s="143" t="s">
        <v>412</v>
      </c>
      <c r="Y155" s="145" t="s">
        <v>3876</v>
      </c>
      <c r="Z155" s="144">
        <v>591000</v>
      </c>
      <c r="AA155" s="145" t="s">
        <v>3876</v>
      </c>
      <c r="AB155" s="143" t="s">
        <v>1420</v>
      </c>
      <c r="AC155" s="145" t="s">
        <v>3876</v>
      </c>
      <c r="AD155" s="144">
        <v>576.81600000000003</v>
      </c>
      <c r="AE155" s="145" t="s">
        <v>3876</v>
      </c>
      <c r="AF155" s="145" t="s">
        <v>3876</v>
      </c>
      <c r="AG155" s="145" t="s">
        <v>3876</v>
      </c>
      <c r="AH155" s="146">
        <v>1.97E-3</v>
      </c>
      <c r="AI155" s="146">
        <v>4.7804064344717304E-3</v>
      </c>
      <c r="AJ155" s="147">
        <v>5.8011698565528763E-4</v>
      </c>
      <c r="AK155" s="181"/>
    </row>
    <row r="156" spans="1:37" ht="15" x14ac:dyDescent="0.2">
      <c r="A156" s="142" t="s">
        <v>1205</v>
      </c>
      <c r="B156" s="143" t="s">
        <v>1205</v>
      </c>
      <c r="C156" s="143" t="s">
        <v>1406</v>
      </c>
      <c r="D156" s="143" t="s">
        <v>1407</v>
      </c>
      <c r="E156" s="143" t="s">
        <v>309</v>
      </c>
      <c r="F156" s="143" t="s">
        <v>1408</v>
      </c>
      <c r="G156" s="143" t="s">
        <v>1409</v>
      </c>
      <c r="H156" s="143" t="s">
        <v>321</v>
      </c>
      <c r="I156" s="143" t="s">
        <v>951</v>
      </c>
      <c r="J156" s="143" t="s">
        <v>204</v>
      </c>
      <c r="K156" s="143" t="s">
        <v>204</v>
      </c>
      <c r="L156" s="143" t="s">
        <v>325</v>
      </c>
      <c r="M156" s="143" t="s">
        <v>340</v>
      </c>
      <c r="N156" s="143" t="s">
        <v>475</v>
      </c>
      <c r="O156" s="143" t="s">
        <v>339</v>
      </c>
      <c r="P156" s="143" t="s">
        <v>1410</v>
      </c>
      <c r="Q156" s="143" t="s">
        <v>413</v>
      </c>
      <c r="R156" s="143" t="s">
        <v>407</v>
      </c>
      <c r="S156" s="143" t="s">
        <v>1210</v>
      </c>
      <c r="T156" s="144">
        <v>2.5</v>
      </c>
      <c r="U156" s="143" t="s">
        <v>1411</v>
      </c>
      <c r="V156" s="146">
        <v>5.0900000000000001E-2</v>
      </c>
      <c r="W156" s="146">
        <v>5.1853000000000003E-2</v>
      </c>
      <c r="X156" s="143" t="s">
        <v>412</v>
      </c>
      <c r="Y156" s="145" t="s">
        <v>3876</v>
      </c>
      <c r="Z156" s="144">
        <v>475026.8</v>
      </c>
      <c r="AA156" s="145" t="s">
        <v>3876</v>
      </c>
      <c r="AB156" s="143" t="s">
        <v>1412</v>
      </c>
      <c r="AC156" s="145" t="s">
        <v>3876</v>
      </c>
      <c r="AD156" s="144">
        <v>491.46269999999998</v>
      </c>
      <c r="AE156" s="145" t="s">
        <v>3876</v>
      </c>
      <c r="AF156" s="145" t="s">
        <v>3876</v>
      </c>
      <c r="AG156" s="145" t="s">
        <v>3876</v>
      </c>
      <c r="AH156" s="146">
        <v>7.6684173811240159E-4</v>
      </c>
      <c r="AI156" s="146">
        <v>4.0730347004804606E-3</v>
      </c>
      <c r="AJ156" s="147">
        <v>4.9427525573423811E-4</v>
      </c>
      <c r="AK156" s="181"/>
    </row>
    <row r="157" spans="1:37" ht="15" x14ac:dyDescent="0.2">
      <c r="A157" s="142" t="s">
        <v>1205</v>
      </c>
      <c r="B157" s="143" t="s">
        <v>1205</v>
      </c>
      <c r="C157" s="143" t="s">
        <v>1844</v>
      </c>
      <c r="D157" s="143" t="s">
        <v>1845</v>
      </c>
      <c r="E157" s="143" t="s">
        <v>309</v>
      </c>
      <c r="F157" s="143" t="s">
        <v>1846</v>
      </c>
      <c r="G157" s="143" t="s">
        <v>1847</v>
      </c>
      <c r="H157" s="143" t="s">
        <v>321</v>
      </c>
      <c r="I157" s="143" t="s">
        <v>951</v>
      </c>
      <c r="J157" s="143" t="s">
        <v>204</v>
      </c>
      <c r="K157" s="143" t="s">
        <v>204</v>
      </c>
      <c r="L157" s="143" t="s">
        <v>325</v>
      </c>
      <c r="M157" s="143" t="s">
        <v>340</v>
      </c>
      <c r="N157" s="143" t="s">
        <v>441</v>
      </c>
      <c r="O157" s="143" t="s">
        <v>339</v>
      </c>
      <c r="P157" s="145" t="s">
        <v>3876</v>
      </c>
      <c r="Q157" s="143" t="s">
        <v>410</v>
      </c>
      <c r="R157" s="143" t="s">
        <v>410</v>
      </c>
      <c r="S157" s="143" t="s">
        <v>1210</v>
      </c>
      <c r="T157" s="144">
        <v>3.85</v>
      </c>
      <c r="U157" s="143" t="s">
        <v>1579</v>
      </c>
      <c r="V157" s="146">
        <v>6.9500000000000006E-2</v>
      </c>
      <c r="W157" s="146">
        <v>6.7645999999999998E-2</v>
      </c>
      <c r="X157" s="143" t="s">
        <v>412</v>
      </c>
      <c r="Y157" s="145" t="s">
        <v>3876</v>
      </c>
      <c r="Z157" s="144">
        <v>480000</v>
      </c>
      <c r="AA157" s="145" t="s">
        <v>3876</v>
      </c>
      <c r="AB157" s="143" t="s">
        <v>1848</v>
      </c>
      <c r="AC157" s="145" t="s">
        <v>3876</v>
      </c>
      <c r="AD157" s="144">
        <v>485.42399999999998</v>
      </c>
      <c r="AE157" s="145" t="s">
        <v>3876</v>
      </c>
      <c r="AF157" s="145" t="s">
        <v>3876</v>
      </c>
      <c r="AG157" s="145" t="s">
        <v>3876</v>
      </c>
      <c r="AH157" s="146">
        <v>8.5875148268810687E-4</v>
      </c>
      <c r="AI157" s="146">
        <v>4.0229882892412923E-3</v>
      </c>
      <c r="AJ157" s="147">
        <v>4.8820197020320576E-4</v>
      </c>
      <c r="AK157" s="181"/>
    </row>
    <row r="158" spans="1:37" ht="15" x14ac:dyDescent="0.2">
      <c r="A158" s="142" t="s">
        <v>1205</v>
      </c>
      <c r="B158" s="143" t="s">
        <v>1205</v>
      </c>
      <c r="C158" s="143" t="s">
        <v>1369</v>
      </c>
      <c r="D158" s="143" t="s">
        <v>1370</v>
      </c>
      <c r="E158" s="143" t="s">
        <v>309</v>
      </c>
      <c r="F158" s="143" t="s">
        <v>1413</v>
      </c>
      <c r="G158" s="143" t="s">
        <v>1414</v>
      </c>
      <c r="H158" s="143" t="s">
        <v>321</v>
      </c>
      <c r="I158" s="143" t="s">
        <v>951</v>
      </c>
      <c r="J158" s="143" t="s">
        <v>204</v>
      </c>
      <c r="K158" s="143" t="s">
        <v>204</v>
      </c>
      <c r="L158" s="143" t="s">
        <v>325</v>
      </c>
      <c r="M158" s="143" t="s">
        <v>340</v>
      </c>
      <c r="N158" s="143" t="s">
        <v>445</v>
      </c>
      <c r="O158" s="143" t="s">
        <v>339</v>
      </c>
      <c r="P158" s="143" t="s">
        <v>1366</v>
      </c>
      <c r="Q158" s="143" t="s">
        <v>415</v>
      </c>
      <c r="R158" s="143" t="s">
        <v>407</v>
      </c>
      <c r="S158" s="143" t="s">
        <v>1210</v>
      </c>
      <c r="T158" s="144">
        <v>4.53</v>
      </c>
      <c r="U158" s="143" t="s">
        <v>1415</v>
      </c>
      <c r="V158" s="146">
        <v>2.6200000000000001E-2</v>
      </c>
      <c r="W158" s="146">
        <v>5.5462999999999998E-2</v>
      </c>
      <c r="X158" s="143" t="s">
        <v>412</v>
      </c>
      <c r="Y158" s="145" t="s">
        <v>3876</v>
      </c>
      <c r="Z158" s="144">
        <v>498454</v>
      </c>
      <c r="AA158" s="145" t="s">
        <v>3876</v>
      </c>
      <c r="AB158" s="143" t="s">
        <v>1416</v>
      </c>
      <c r="AC158" s="145" t="s">
        <v>3876</v>
      </c>
      <c r="AD158" s="144">
        <v>441.03209999999996</v>
      </c>
      <c r="AE158" s="145" t="s">
        <v>3876</v>
      </c>
      <c r="AF158" s="145" t="s">
        <v>3876</v>
      </c>
      <c r="AG158" s="145" t="s">
        <v>3876</v>
      </c>
      <c r="AH158" s="146">
        <v>3.8539433305937013E-4</v>
      </c>
      <c r="AI158" s="146">
        <v>3.6550870378495993E-3</v>
      </c>
      <c r="AJ158" s="147">
        <v>4.4355602473774615E-4</v>
      </c>
      <c r="AK158" s="181"/>
    </row>
    <row r="159" spans="1:37" ht="15" x14ac:dyDescent="0.2">
      <c r="A159" s="142" t="s">
        <v>1205</v>
      </c>
      <c r="B159" s="143" t="s">
        <v>1205</v>
      </c>
      <c r="C159" s="143" t="s">
        <v>1660</v>
      </c>
      <c r="D159" s="143" t="s">
        <v>1661</v>
      </c>
      <c r="E159" s="143" t="s">
        <v>309</v>
      </c>
      <c r="F159" s="143" t="s">
        <v>1849</v>
      </c>
      <c r="G159" s="143" t="s">
        <v>1850</v>
      </c>
      <c r="H159" s="143" t="s">
        <v>321</v>
      </c>
      <c r="I159" s="143" t="s">
        <v>951</v>
      </c>
      <c r="J159" s="143" t="s">
        <v>204</v>
      </c>
      <c r="K159" s="143" t="s">
        <v>224</v>
      </c>
      <c r="L159" s="143" t="s">
        <v>325</v>
      </c>
      <c r="M159" s="143" t="s">
        <v>340</v>
      </c>
      <c r="N159" s="143" t="s">
        <v>465</v>
      </c>
      <c r="O159" s="143" t="s">
        <v>339</v>
      </c>
      <c r="P159" s="143" t="s">
        <v>1403</v>
      </c>
      <c r="Q159" s="143" t="s">
        <v>413</v>
      </c>
      <c r="R159" s="143" t="s">
        <v>407</v>
      </c>
      <c r="S159" s="143" t="s">
        <v>1210</v>
      </c>
      <c r="T159" s="144">
        <v>1.89</v>
      </c>
      <c r="U159" s="143" t="s">
        <v>1851</v>
      </c>
      <c r="V159" s="146">
        <v>4.3499999999999997E-2</v>
      </c>
      <c r="W159" s="146">
        <v>6.9700999999999999E-2</v>
      </c>
      <c r="X159" s="143" t="s">
        <v>412</v>
      </c>
      <c r="Y159" s="145" t="s">
        <v>3876</v>
      </c>
      <c r="Z159" s="144">
        <v>450000</v>
      </c>
      <c r="AA159" s="145" t="s">
        <v>3876</v>
      </c>
      <c r="AB159" s="143" t="s">
        <v>1852</v>
      </c>
      <c r="AC159" s="145" t="s">
        <v>3876</v>
      </c>
      <c r="AD159" s="144">
        <v>437.35500000000002</v>
      </c>
      <c r="AE159" s="145" t="s">
        <v>3876</v>
      </c>
      <c r="AF159" s="145" t="s">
        <v>3876</v>
      </c>
      <c r="AG159" s="145" t="s">
        <v>3876</v>
      </c>
      <c r="AH159" s="146">
        <v>9.2783505154639173E-4</v>
      </c>
      <c r="AI159" s="146">
        <v>3.6246127987926541E-3</v>
      </c>
      <c r="AJ159" s="147">
        <v>4.3985788234249452E-4</v>
      </c>
      <c r="AK159" s="181"/>
    </row>
    <row r="160" spans="1:37" ht="15" x14ac:dyDescent="0.2">
      <c r="A160" s="142" t="s">
        <v>1205</v>
      </c>
      <c r="B160" s="143" t="s">
        <v>1205</v>
      </c>
      <c r="C160" s="143" t="s">
        <v>1678</v>
      </c>
      <c r="D160" s="143" t="s">
        <v>1679</v>
      </c>
      <c r="E160" s="143" t="s">
        <v>309</v>
      </c>
      <c r="F160" s="143" t="s">
        <v>1680</v>
      </c>
      <c r="G160" s="143" t="s">
        <v>1681</v>
      </c>
      <c r="H160" s="143" t="s">
        <v>321</v>
      </c>
      <c r="I160" s="143" t="s">
        <v>951</v>
      </c>
      <c r="J160" s="143" t="s">
        <v>204</v>
      </c>
      <c r="K160" s="143" t="s">
        <v>204</v>
      </c>
      <c r="L160" s="143" t="s">
        <v>325</v>
      </c>
      <c r="M160" s="143" t="s">
        <v>340</v>
      </c>
      <c r="N160" s="143" t="s">
        <v>445</v>
      </c>
      <c r="O160" s="143" t="s">
        <v>339</v>
      </c>
      <c r="P160" s="143" t="s">
        <v>1366</v>
      </c>
      <c r="Q160" s="143" t="s">
        <v>415</v>
      </c>
      <c r="R160" s="143" t="s">
        <v>407</v>
      </c>
      <c r="S160" s="143" t="s">
        <v>1210</v>
      </c>
      <c r="T160" s="144">
        <v>2.2000000000000002</v>
      </c>
      <c r="U160" s="143" t="s">
        <v>1432</v>
      </c>
      <c r="V160" s="146">
        <v>1.84E-2</v>
      </c>
      <c r="W160" s="146">
        <v>4.8425999999999997E-2</v>
      </c>
      <c r="X160" s="143" t="s">
        <v>412</v>
      </c>
      <c r="Y160" s="145" t="s">
        <v>3876</v>
      </c>
      <c r="Z160" s="144">
        <v>454790</v>
      </c>
      <c r="AA160" s="145" t="s">
        <v>3876</v>
      </c>
      <c r="AB160" s="143" t="s">
        <v>1682</v>
      </c>
      <c r="AC160" s="145" t="s">
        <v>3876</v>
      </c>
      <c r="AD160" s="144">
        <v>428.68509999999998</v>
      </c>
      <c r="AE160" s="145" t="s">
        <v>3876</v>
      </c>
      <c r="AF160" s="145" t="s">
        <v>3876</v>
      </c>
      <c r="AG160" s="145" t="s">
        <v>3876</v>
      </c>
      <c r="AH160" s="146">
        <v>1.5159666666666666E-3</v>
      </c>
      <c r="AI160" s="146">
        <v>3.552759962455031E-3</v>
      </c>
      <c r="AJ160" s="147">
        <v>4.311383202302887E-4</v>
      </c>
      <c r="AK160" s="181"/>
    </row>
    <row r="161" spans="1:37" ht="15" x14ac:dyDescent="0.2">
      <c r="A161" s="142" t="s">
        <v>1205</v>
      </c>
      <c r="B161" s="143" t="s">
        <v>1205</v>
      </c>
      <c r="C161" s="143" t="s">
        <v>1428</v>
      </c>
      <c r="D161" s="143" t="s">
        <v>1429</v>
      </c>
      <c r="E161" s="143" t="s">
        <v>309</v>
      </c>
      <c r="F161" s="143" t="s">
        <v>1430</v>
      </c>
      <c r="G161" s="143" t="s">
        <v>1431</v>
      </c>
      <c r="H161" s="143" t="s">
        <v>321</v>
      </c>
      <c r="I161" s="143" t="s">
        <v>951</v>
      </c>
      <c r="J161" s="143" t="s">
        <v>204</v>
      </c>
      <c r="K161" s="143" t="s">
        <v>204</v>
      </c>
      <c r="L161" s="143" t="s">
        <v>325</v>
      </c>
      <c r="M161" s="143" t="s">
        <v>340</v>
      </c>
      <c r="N161" s="143" t="s">
        <v>445</v>
      </c>
      <c r="O161" s="143" t="s">
        <v>339</v>
      </c>
      <c r="P161" s="143" t="s">
        <v>1396</v>
      </c>
      <c r="Q161" s="143" t="s">
        <v>415</v>
      </c>
      <c r="R161" s="143" t="s">
        <v>407</v>
      </c>
      <c r="S161" s="143" t="s">
        <v>1210</v>
      </c>
      <c r="T161" s="144">
        <v>1.2</v>
      </c>
      <c r="U161" s="143" t="s">
        <v>1432</v>
      </c>
      <c r="V161" s="146">
        <v>2.9399999999999999E-2</v>
      </c>
      <c r="W161" s="146">
        <v>4.9301999999999999E-2</v>
      </c>
      <c r="X161" s="143" t="s">
        <v>412</v>
      </c>
      <c r="Y161" s="145" t="s">
        <v>3876</v>
      </c>
      <c r="Z161" s="144">
        <v>372410.54</v>
      </c>
      <c r="AA161" s="145" t="s">
        <v>3876</v>
      </c>
      <c r="AB161" s="143" t="s">
        <v>1433</v>
      </c>
      <c r="AC161" s="145" t="s">
        <v>3876</v>
      </c>
      <c r="AD161" s="144">
        <v>371.9264</v>
      </c>
      <c r="AE161" s="145" t="s">
        <v>3876</v>
      </c>
      <c r="AF161" s="145" t="s">
        <v>3876</v>
      </c>
      <c r="AG161" s="145" t="s">
        <v>3876</v>
      </c>
      <c r="AH161" s="146">
        <v>2.3214394656691294E-3</v>
      </c>
      <c r="AI161" s="146">
        <v>3.0823683563162368E-3</v>
      </c>
      <c r="AJ161" s="147">
        <v>3.7405485580705036E-4</v>
      </c>
      <c r="AK161" s="181"/>
    </row>
    <row r="162" spans="1:37" ht="15" x14ac:dyDescent="0.2">
      <c r="A162" s="142" t="s">
        <v>1205</v>
      </c>
      <c r="B162" s="143" t="s">
        <v>1205</v>
      </c>
      <c r="C162" s="143" t="s">
        <v>1694</v>
      </c>
      <c r="D162" s="143" t="s">
        <v>1695</v>
      </c>
      <c r="E162" s="143" t="s">
        <v>309</v>
      </c>
      <c r="F162" s="143" t="s">
        <v>1696</v>
      </c>
      <c r="G162" s="143" t="s">
        <v>1697</v>
      </c>
      <c r="H162" s="143" t="s">
        <v>321</v>
      </c>
      <c r="I162" s="143" t="s">
        <v>951</v>
      </c>
      <c r="J162" s="143" t="s">
        <v>204</v>
      </c>
      <c r="K162" s="143" t="s">
        <v>224</v>
      </c>
      <c r="L162" s="143" t="s">
        <v>325</v>
      </c>
      <c r="M162" s="143" t="s">
        <v>340</v>
      </c>
      <c r="N162" s="143" t="s">
        <v>465</v>
      </c>
      <c r="O162" s="143" t="s">
        <v>339</v>
      </c>
      <c r="P162" s="143" t="s">
        <v>1403</v>
      </c>
      <c r="Q162" s="143" t="s">
        <v>413</v>
      </c>
      <c r="R162" s="143" t="s">
        <v>407</v>
      </c>
      <c r="S162" s="143" t="s">
        <v>1210</v>
      </c>
      <c r="T162" s="144">
        <v>1.38</v>
      </c>
      <c r="U162" s="143" t="s">
        <v>1698</v>
      </c>
      <c r="V162" s="146">
        <v>3.95E-2</v>
      </c>
      <c r="W162" s="146">
        <v>6.1266000000000001E-2</v>
      </c>
      <c r="X162" s="143" t="s">
        <v>412</v>
      </c>
      <c r="Y162" s="145" t="s">
        <v>3876</v>
      </c>
      <c r="Z162" s="144">
        <v>346000</v>
      </c>
      <c r="AA162" s="145" t="s">
        <v>3876</v>
      </c>
      <c r="AB162" s="143" t="s">
        <v>1699</v>
      </c>
      <c r="AC162" s="145" t="s">
        <v>3876</v>
      </c>
      <c r="AD162" s="144">
        <v>337.52300000000002</v>
      </c>
      <c r="AE162" s="145" t="s">
        <v>3876</v>
      </c>
      <c r="AF162" s="145" t="s">
        <v>3876</v>
      </c>
      <c r="AG162" s="145" t="s">
        <v>3876</v>
      </c>
      <c r="AH162" s="146">
        <v>1.1022989425684474E-3</v>
      </c>
      <c r="AI162" s="146">
        <v>2.7972475121740763E-3</v>
      </c>
      <c r="AJ162" s="147">
        <v>3.3945456670641876E-4</v>
      </c>
      <c r="AK162" s="181"/>
    </row>
    <row r="163" spans="1:37" ht="15" x14ac:dyDescent="0.2">
      <c r="A163" s="142" t="s">
        <v>1205</v>
      </c>
      <c r="B163" s="143" t="s">
        <v>1205</v>
      </c>
      <c r="C163" s="143" t="s">
        <v>1853</v>
      </c>
      <c r="D163" s="143" t="s">
        <v>1854</v>
      </c>
      <c r="E163" s="143" t="s">
        <v>309</v>
      </c>
      <c r="F163" s="143" t="s">
        <v>1855</v>
      </c>
      <c r="G163" s="143" t="s">
        <v>1856</v>
      </c>
      <c r="H163" s="143" t="s">
        <v>321</v>
      </c>
      <c r="I163" s="143" t="s">
        <v>951</v>
      </c>
      <c r="J163" s="143" t="s">
        <v>204</v>
      </c>
      <c r="K163" s="143" t="s">
        <v>204</v>
      </c>
      <c r="L163" s="143" t="s">
        <v>325</v>
      </c>
      <c r="M163" s="143" t="s">
        <v>340</v>
      </c>
      <c r="N163" s="143" t="s">
        <v>464</v>
      </c>
      <c r="O163" s="143" t="s">
        <v>339</v>
      </c>
      <c r="P163" s="143" t="s">
        <v>1396</v>
      </c>
      <c r="Q163" s="143" t="s">
        <v>415</v>
      </c>
      <c r="R163" s="143" t="s">
        <v>407</v>
      </c>
      <c r="S163" s="143" t="s">
        <v>1210</v>
      </c>
      <c r="T163" s="144">
        <v>2.34</v>
      </c>
      <c r="U163" s="143" t="s">
        <v>1542</v>
      </c>
      <c r="V163" s="146">
        <v>5.6500000000000002E-2</v>
      </c>
      <c r="W163" s="146">
        <v>5.2422999999999997E-2</v>
      </c>
      <c r="X163" s="143" t="s">
        <v>412</v>
      </c>
      <c r="Y163" s="145" t="s">
        <v>3876</v>
      </c>
      <c r="Z163" s="144">
        <v>282352.98</v>
      </c>
      <c r="AA163" s="145" t="s">
        <v>3876</v>
      </c>
      <c r="AB163" s="143" t="s">
        <v>1857</v>
      </c>
      <c r="AC163" s="145" t="s">
        <v>3876</v>
      </c>
      <c r="AD163" s="144">
        <v>285.4871</v>
      </c>
      <c r="AE163" s="145" t="s">
        <v>3876</v>
      </c>
      <c r="AF163" s="145" t="s">
        <v>3876</v>
      </c>
      <c r="AG163" s="145" t="s">
        <v>3876</v>
      </c>
      <c r="AH163" s="146">
        <v>1.8091502992245987E-3</v>
      </c>
      <c r="AI163" s="146">
        <v>2.3659960205866916E-3</v>
      </c>
      <c r="AJ163" s="147">
        <v>2.8712087525395414E-4</v>
      </c>
      <c r="AK163" s="181"/>
    </row>
    <row r="164" spans="1:37" ht="15" x14ac:dyDescent="0.2">
      <c r="A164" s="142" t="s">
        <v>1205</v>
      </c>
      <c r="B164" s="143" t="s">
        <v>1205</v>
      </c>
      <c r="C164" s="143" t="s">
        <v>1706</v>
      </c>
      <c r="D164" s="143" t="s">
        <v>1707</v>
      </c>
      <c r="E164" s="143" t="s">
        <v>309</v>
      </c>
      <c r="F164" s="143" t="s">
        <v>1708</v>
      </c>
      <c r="G164" s="143" t="s">
        <v>1709</v>
      </c>
      <c r="H164" s="143" t="s">
        <v>321</v>
      </c>
      <c r="I164" s="143" t="s">
        <v>951</v>
      </c>
      <c r="J164" s="143" t="s">
        <v>204</v>
      </c>
      <c r="K164" s="143" t="s">
        <v>204</v>
      </c>
      <c r="L164" s="143" t="s">
        <v>325</v>
      </c>
      <c r="M164" s="143" t="s">
        <v>340</v>
      </c>
      <c r="N164" s="143" t="s">
        <v>451</v>
      </c>
      <c r="O164" s="143" t="s">
        <v>339</v>
      </c>
      <c r="P164" s="143" t="s">
        <v>1710</v>
      </c>
      <c r="Q164" s="143" t="s">
        <v>413</v>
      </c>
      <c r="R164" s="143" t="s">
        <v>407</v>
      </c>
      <c r="S164" s="143" t="s">
        <v>1210</v>
      </c>
      <c r="T164" s="144">
        <v>1.43</v>
      </c>
      <c r="U164" s="143" t="s">
        <v>1711</v>
      </c>
      <c r="V164" s="146">
        <v>5.5E-2</v>
      </c>
      <c r="W164" s="146">
        <v>7.8688999999999995E-2</v>
      </c>
      <c r="X164" s="143" t="s">
        <v>412</v>
      </c>
      <c r="Y164" s="145" t="s">
        <v>3876</v>
      </c>
      <c r="Z164" s="144">
        <v>278611.40999999997</v>
      </c>
      <c r="AA164" s="145" t="s">
        <v>3876</v>
      </c>
      <c r="AB164" s="143" t="s">
        <v>1712</v>
      </c>
      <c r="AC164" s="145" t="s">
        <v>3876</v>
      </c>
      <c r="AD164" s="144">
        <v>267.5505</v>
      </c>
      <c r="AE164" s="145" t="s">
        <v>3876</v>
      </c>
      <c r="AF164" s="145" t="s">
        <v>3876</v>
      </c>
      <c r="AG164" s="145" t="s">
        <v>3876</v>
      </c>
      <c r="AH164" s="146">
        <v>3.2826749940015576E-4</v>
      </c>
      <c r="AI164" s="146">
        <v>2.2173454077749509E-3</v>
      </c>
      <c r="AJ164" s="147">
        <v>2.6908166737440743E-4</v>
      </c>
      <c r="AK164" s="181"/>
    </row>
    <row r="165" spans="1:37" ht="15" x14ac:dyDescent="0.2">
      <c r="A165" s="142" t="s">
        <v>1205</v>
      </c>
      <c r="B165" s="143" t="s">
        <v>1205</v>
      </c>
      <c r="C165" s="143" t="s">
        <v>1700</v>
      </c>
      <c r="D165" s="143" t="s">
        <v>1701</v>
      </c>
      <c r="E165" s="143" t="s">
        <v>309</v>
      </c>
      <c r="F165" s="143" t="s">
        <v>1702</v>
      </c>
      <c r="G165" s="143" t="s">
        <v>1703</v>
      </c>
      <c r="H165" s="143" t="s">
        <v>321</v>
      </c>
      <c r="I165" s="143" t="s">
        <v>951</v>
      </c>
      <c r="J165" s="143" t="s">
        <v>204</v>
      </c>
      <c r="K165" s="143" t="s">
        <v>204</v>
      </c>
      <c r="L165" s="143" t="s">
        <v>325</v>
      </c>
      <c r="M165" s="143" t="s">
        <v>340</v>
      </c>
      <c r="N165" s="143" t="s">
        <v>454</v>
      </c>
      <c r="O165" s="143" t="s">
        <v>339</v>
      </c>
      <c r="P165" s="143" t="s">
        <v>1359</v>
      </c>
      <c r="Q165" s="143" t="s">
        <v>415</v>
      </c>
      <c r="R165" s="143" t="s">
        <v>407</v>
      </c>
      <c r="S165" s="143" t="s">
        <v>1210</v>
      </c>
      <c r="T165" s="144">
        <v>2.88</v>
      </c>
      <c r="U165" s="143" t="s">
        <v>1704</v>
      </c>
      <c r="V165" s="146">
        <v>6.7500000000000004E-2</v>
      </c>
      <c r="W165" s="146">
        <v>6.2689999999999996E-2</v>
      </c>
      <c r="X165" s="143" t="s">
        <v>412</v>
      </c>
      <c r="Y165" s="145" t="s">
        <v>3876</v>
      </c>
      <c r="Z165" s="144">
        <v>247765.83</v>
      </c>
      <c r="AA165" s="145" t="s">
        <v>3876</v>
      </c>
      <c r="AB165" s="143" t="s">
        <v>1705</v>
      </c>
      <c r="AC165" s="145" t="s">
        <v>3876</v>
      </c>
      <c r="AD165" s="144">
        <v>258.81620000000004</v>
      </c>
      <c r="AE165" s="145" t="s">
        <v>3876</v>
      </c>
      <c r="AF165" s="145" t="s">
        <v>3876</v>
      </c>
      <c r="AG165" s="145" t="s">
        <v>3876</v>
      </c>
      <c r="AH165" s="146">
        <v>1.4158047428571428E-4</v>
      </c>
      <c r="AI165" s="146">
        <v>2.1449588100640057E-3</v>
      </c>
      <c r="AJ165" s="147">
        <v>2.6029733168213151E-4</v>
      </c>
      <c r="AK165" s="181"/>
    </row>
    <row r="166" spans="1:37" ht="15" x14ac:dyDescent="0.2">
      <c r="A166" s="142" t="s">
        <v>1205</v>
      </c>
      <c r="B166" s="143" t="s">
        <v>1205</v>
      </c>
      <c r="C166" s="143" t="s">
        <v>1421</v>
      </c>
      <c r="D166" s="143" t="s">
        <v>1422</v>
      </c>
      <c r="E166" s="143" t="s">
        <v>309</v>
      </c>
      <c r="F166" s="143" t="s">
        <v>1423</v>
      </c>
      <c r="G166" s="143" t="s">
        <v>1424</v>
      </c>
      <c r="H166" s="143" t="s">
        <v>321</v>
      </c>
      <c r="I166" s="143" t="s">
        <v>951</v>
      </c>
      <c r="J166" s="143" t="s">
        <v>204</v>
      </c>
      <c r="K166" s="143" t="s">
        <v>204</v>
      </c>
      <c r="L166" s="143" t="s">
        <v>325</v>
      </c>
      <c r="M166" s="143" t="s">
        <v>340</v>
      </c>
      <c r="N166" s="143" t="s">
        <v>465</v>
      </c>
      <c r="O166" s="143" t="s">
        <v>339</v>
      </c>
      <c r="P166" s="143" t="s">
        <v>1425</v>
      </c>
      <c r="Q166" s="143" t="s">
        <v>415</v>
      </c>
      <c r="R166" s="143" t="s">
        <v>407</v>
      </c>
      <c r="S166" s="143" t="s">
        <v>1210</v>
      </c>
      <c r="T166" s="144">
        <v>0.61</v>
      </c>
      <c r="U166" s="143" t="s">
        <v>1426</v>
      </c>
      <c r="V166" s="146">
        <v>3.5000000000000003E-2</v>
      </c>
      <c r="W166" s="146">
        <v>5.5946000000000003E-2</v>
      </c>
      <c r="X166" s="143" t="s">
        <v>412</v>
      </c>
      <c r="Y166" s="145" t="s">
        <v>3876</v>
      </c>
      <c r="Z166" s="144">
        <v>199156.03</v>
      </c>
      <c r="AA166" s="145" t="s">
        <v>3876</v>
      </c>
      <c r="AB166" s="143" t="s">
        <v>1427</v>
      </c>
      <c r="AC166" s="145" t="s">
        <v>3876</v>
      </c>
      <c r="AD166" s="144">
        <v>199.3751</v>
      </c>
      <c r="AE166" s="145" t="s">
        <v>3876</v>
      </c>
      <c r="AF166" s="145" t="s">
        <v>3876</v>
      </c>
      <c r="AG166" s="145" t="s">
        <v>3876</v>
      </c>
      <c r="AH166" s="146">
        <v>1.3850478475554628E-3</v>
      </c>
      <c r="AI166" s="146">
        <v>1.652336306066143E-3</v>
      </c>
      <c r="AJ166" s="147">
        <v>2.0051607960606602E-4</v>
      </c>
      <c r="AK166" s="181"/>
    </row>
    <row r="167" spans="1:37" ht="15" x14ac:dyDescent="0.2">
      <c r="A167" s="142" t="s">
        <v>1205</v>
      </c>
      <c r="B167" s="143" t="s">
        <v>1205</v>
      </c>
      <c r="C167" s="143" t="s">
        <v>1858</v>
      </c>
      <c r="D167" s="143" t="s">
        <v>1859</v>
      </c>
      <c r="E167" s="143" t="s">
        <v>309</v>
      </c>
      <c r="F167" s="143" t="s">
        <v>1860</v>
      </c>
      <c r="G167" s="143" t="s">
        <v>1861</v>
      </c>
      <c r="H167" s="143" t="s">
        <v>321</v>
      </c>
      <c r="I167" s="143" t="s">
        <v>951</v>
      </c>
      <c r="J167" s="143" t="s">
        <v>204</v>
      </c>
      <c r="K167" s="143" t="s">
        <v>204</v>
      </c>
      <c r="L167" s="143" t="s">
        <v>325</v>
      </c>
      <c r="M167" s="143" t="s">
        <v>340</v>
      </c>
      <c r="N167" s="143" t="s">
        <v>463</v>
      </c>
      <c r="O167" s="143" t="s">
        <v>339</v>
      </c>
      <c r="P167" s="143" t="s">
        <v>1403</v>
      </c>
      <c r="Q167" s="143" t="s">
        <v>413</v>
      </c>
      <c r="R167" s="143" t="s">
        <v>407</v>
      </c>
      <c r="S167" s="143" t="s">
        <v>1210</v>
      </c>
      <c r="T167" s="144">
        <v>3.27</v>
      </c>
      <c r="U167" s="143" t="s">
        <v>1862</v>
      </c>
      <c r="V167" s="146">
        <v>2.6200000000000001E-2</v>
      </c>
      <c r="W167" s="146">
        <v>5.6523999999999998E-2</v>
      </c>
      <c r="X167" s="143" t="s">
        <v>412</v>
      </c>
      <c r="Y167" s="145" t="s">
        <v>3876</v>
      </c>
      <c r="Z167" s="144">
        <v>144823.39000000001</v>
      </c>
      <c r="AA167" s="145" t="s">
        <v>3876</v>
      </c>
      <c r="AB167" s="143" t="s">
        <v>1863</v>
      </c>
      <c r="AC167" s="144">
        <v>26.155799999999999</v>
      </c>
      <c r="AD167" s="144">
        <v>157.68439999999998</v>
      </c>
      <c r="AE167" s="145" t="s">
        <v>3876</v>
      </c>
      <c r="AF167" s="145" t="s">
        <v>3876</v>
      </c>
      <c r="AG167" s="145" t="s">
        <v>3876</v>
      </c>
      <c r="AH167" s="146">
        <v>3.3708265819750138E-4</v>
      </c>
      <c r="AI167" s="146">
        <v>1.5235888226566247E-3</v>
      </c>
      <c r="AJ167" s="147">
        <v>1.8489217753622295E-4</v>
      </c>
      <c r="AK167" s="181"/>
    </row>
    <row r="168" spans="1:37" ht="15" x14ac:dyDescent="0.2">
      <c r="A168" s="142" t="s">
        <v>1205</v>
      </c>
      <c r="B168" s="143" t="s">
        <v>1205</v>
      </c>
      <c r="C168" s="143" t="s">
        <v>1864</v>
      </c>
      <c r="D168" s="143" t="s">
        <v>1865</v>
      </c>
      <c r="E168" s="143" t="s">
        <v>309</v>
      </c>
      <c r="F168" s="143" t="s">
        <v>1866</v>
      </c>
      <c r="G168" s="143" t="s">
        <v>1867</v>
      </c>
      <c r="H168" s="143" t="s">
        <v>321</v>
      </c>
      <c r="I168" s="143" t="s">
        <v>951</v>
      </c>
      <c r="J168" s="143" t="s">
        <v>204</v>
      </c>
      <c r="K168" s="143" t="s">
        <v>204</v>
      </c>
      <c r="L168" s="143" t="s">
        <v>325</v>
      </c>
      <c r="M168" s="143" t="s">
        <v>340</v>
      </c>
      <c r="N168" s="143" t="s">
        <v>465</v>
      </c>
      <c r="O168" s="143" t="s">
        <v>339</v>
      </c>
      <c r="P168" s="143" t="s">
        <v>1359</v>
      </c>
      <c r="Q168" s="143" t="s">
        <v>415</v>
      </c>
      <c r="R168" s="143" t="s">
        <v>407</v>
      </c>
      <c r="S168" s="143" t="s">
        <v>1210</v>
      </c>
      <c r="T168" s="144">
        <v>2.91</v>
      </c>
      <c r="U168" s="143" t="s">
        <v>1868</v>
      </c>
      <c r="V168" s="146">
        <v>2.8500000000000001E-2</v>
      </c>
      <c r="W168" s="146">
        <v>6.2257E-2</v>
      </c>
      <c r="X168" s="143" t="s">
        <v>412</v>
      </c>
      <c r="Y168" s="145" t="s">
        <v>3876</v>
      </c>
      <c r="Z168" s="144">
        <v>151058.85999999999</v>
      </c>
      <c r="AA168" s="145" t="s">
        <v>3876</v>
      </c>
      <c r="AB168" s="143" t="s">
        <v>1869</v>
      </c>
      <c r="AC168" s="145" t="s">
        <v>3876</v>
      </c>
      <c r="AD168" s="144">
        <v>137.7355</v>
      </c>
      <c r="AE168" s="145" t="s">
        <v>3876</v>
      </c>
      <c r="AF168" s="145" t="s">
        <v>3876</v>
      </c>
      <c r="AG168" s="145" t="s">
        <v>3876</v>
      </c>
      <c r="AH168" s="146">
        <v>3.1959324887192525E-4</v>
      </c>
      <c r="AI168" s="146">
        <v>1.1414931626408384E-3</v>
      </c>
      <c r="AJ168" s="147">
        <v>1.3852369704010366E-4</v>
      </c>
      <c r="AK168" s="181"/>
    </row>
    <row r="169" spans="1:37" ht="15" x14ac:dyDescent="0.2">
      <c r="A169" s="142" t="s">
        <v>1205</v>
      </c>
      <c r="B169" s="143" t="s">
        <v>1205</v>
      </c>
      <c r="C169" s="143" t="s">
        <v>1399</v>
      </c>
      <c r="D169" s="143" t="s">
        <v>1400</v>
      </c>
      <c r="E169" s="143" t="s">
        <v>309</v>
      </c>
      <c r="F169" s="143" t="s">
        <v>1401</v>
      </c>
      <c r="G169" s="143" t="s">
        <v>1402</v>
      </c>
      <c r="H169" s="143" t="s">
        <v>321</v>
      </c>
      <c r="I169" s="143" t="s">
        <v>951</v>
      </c>
      <c r="J169" s="143" t="s">
        <v>204</v>
      </c>
      <c r="K169" s="143" t="s">
        <v>204</v>
      </c>
      <c r="L169" s="143" t="s">
        <v>325</v>
      </c>
      <c r="M169" s="143" t="s">
        <v>340</v>
      </c>
      <c r="N169" s="143" t="s">
        <v>451</v>
      </c>
      <c r="O169" s="143" t="s">
        <v>339</v>
      </c>
      <c r="P169" s="143" t="s">
        <v>1403</v>
      </c>
      <c r="Q169" s="143" t="s">
        <v>413</v>
      </c>
      <c r="R169" s="143" t="s">
        <v>407</v>
      </c>
      <c r="S169" s="143" t="s">
        <v>1210</v>
      </c>
      <c r="T169" s="144">
        <v>1.46</v>
      </c>
      <c r="U169" s="143" t="s">
        <v>1404</v>
      </c>
      <c r="V169" s="146">
        <v>0.04</v>
      </c>
      <c r="W169" s="146">
        <v>4.9484E-2</v>
      </c>
      <c r="X169" s="143" t="s">
        <v>412</v>
      </c>
      <c r="Y169" s="145" t="s">
        <v>3876</v>
      </c>
      <c r="Z169" s="144">
        <v>99849.45</v>
      </c>
      <c r="AA169" s="145" t="s">
        <v>3876</v>
      </c>
      <c r="AB169" s="143" t="s">
        <v>1405</v>
      </c>
      <c r="AC169" s="145" t="s">
        <v>3876</v>
      </c>
      <c r="AD169" s="144">
        <v>98.6113</v>
      </c>
      <c r="AE169" s="145" t="s">
        <v>3876</v>
      </c>
      <c r="AF169" s="145" t="s">
        <v>3876</v>
      </c>
      <c r="AG169" s="145" t="s">
        <v>3876</v>
      </c>
      <c r="AH169" s="146">
        <v>7.5782597572472319E-4</v>
      </c>
      <c r="AI169" s="146">
        <v>8.1724878199990701E-4</v>
      </c>
      <c r="AJ169" s="147">
        <v>9.9175646766242557E-5</v>
      </c>
      <c r="AK169" s="181"/>
    </row>
    <row r="170" spans="1:37" ht="15" x14ac:dyDescent="0.2">
      <c r="A170" s="142" t="s">
        <v>1205</v>
      </c>
      <c r="B170" s="143" t="s">
        <v>1205</v>
      </c>
      <c r="C170" s="143" t="s">
        <v>1362</v>
      </c>
      <c r="D170" s="143" t="s">
        <v>1363</v>
      </c>
      <c r="E170" s="143" t="s">
        <v>309</v>
      </c>
      <c r="F170" s="143" t="s">
        <v>1434</v>
      </c>
      <c r="G170" s="143" t="s">
        <v>1435</v>
      </c>
      <c r="H170" s="143" t="s">
        <v>321</v>
      </c>
      <c r="I170" s="143" t="s">
        <v>951</v>
      </c>
      <c r="J170" s="143" t="s">
        <v>204</v>
      </c>
      <c r="K170" s="143" t="s">
        <v>204</v>
      </c>
      <c r="L170" s="143" t="s">
        <v>325</v>
      </c>
      <c r="M170" s="143" t="s">
        <v>340</v>
      </c>
      <c r="N170" s="143" t="s">
        <v>445</v>
      </c>
      <c r="O170" s="143" t="s">
        <v>339</v>
      </c>
      <c r="P170" s="143" t="s">
        <v>1366</v>
      </c>
      <c r="Q170" s="143" t="s">
        <v>415</v>
      </c>
      <c r="R170" s="143" t="s">
        <v>407</v>
      </c>
      <c r="S170" s="143" t="s">
        <v>1210</v>
      </c>
      <c r="T170" s="144">
        <v>4.97</v>
      </c>
      <c r="U170" s="143" t="s">
        <v>1436</v>
      </c>
      <c r="V170" s="146">
        <v>3.95E-2</v>
      </c>
      <c r="W170" s="146">
        <v>5.5541E-2</v>
      </c>
      <c r="X170" s="143" t="s">
        <v>412</v>
      </c>
      <c r="Y170" s="145" t="s">
        <v>3876</v>
      </c>
      <c r="Z170" s="144">
        <v>96323</v>
      </c>
      <c r="AA170" s="145" t="s">
        <v>3876</v>
      </c>
      <c r="AB170" s="143" t="s">
        <v>1437</v>
      </c>
      <c r="AC170" s="145" t="s">
        <v>3876</v>
      </c>
      <c r="AD170" s="144">
        <v>89.406999999999996</v>
      </c>
      <c r="AE170" s="145" t="s">
        <v>3876</v>
      </c>
      <c r="AF170" s="145" t="s">
        <v>3876</v>
      </c>
      <c r="AG170" s="145" t="s">
        <v>3876</v>
      </c>
      <c r="AH170" s="146">
        <v>4.0132915643467865E-4</v>
      </c>
      <c r="AI170" s="146">
        <v>7.4096737815578862E-4</v>
      </c>
      <c r="AJ170" s="147">
        <v>8.9918664401626125E-5</v>
      </c>
      <c r="AK170" s="181"/>
    </row>
    <row r="171" spans="1:37" ht="15" x14ac:dyDescent="0.2">
      <c r="A171" s="142" t="s">
        <v>1205</v>
      </c>
      <c r="B171" s="143" t="s">
        <v>1205</v>
      </c>
      <c r="C171" s="143" t="s">
        <v>1362</v>
      </c>
      <c r="D171" s="143" t="s">
        <v>1363</v>
      </c>
      <c r="E171" s="143" t="s">
        <v>309</v>
      </c>
      <c r="F171" s="143" t="s">
        <v>1364</v>
      </c>
      <c r="G171" s="143" t="s">
        <v>1365</v>
      </c>
      <c r="H171" s="143" t="s">
        <v>321</v>
      </c>
      <c r="I171" s="143" t="s">
        <v>951</v>
      </c>
      <c r="J171" s="143" t="s">
        <v>204</v>
      </c>
      <c r="K171" s="143" t="s">
        <v>204</v>
      </c>
      <c r="L171" s="143" t="s">
        <v>325</v>
      </c>
      <c r="M171" s="143" t="s">
        <v>340</v>
      </c>
      <c r="N171" s="143" t="s">
        <v>445</v>
      </c>
      <c r="O171" s="143" t="s">
        <v>339</v>
      </c>
      <c r="P171" s="143" t="s">
        <v>1366</v>
      </c>
      <c r="Q171" s="143" t="s">
        <v>415</v>
      </c>
      <c r="R171" s="143" t="s">
        <v>407</v>
      </c>
      <c r="S171" s="143" t="s">
        <v>1210</v>
      </c>
      <c r="T171" s="144">
        <v>4.16</v>
      </c>
      <c r="U171" s="143" t="s">
        <v>1367</v>
      </c>
      <c r="V171" s="146">
        <v>3.95E-2</v>
      </c>
      <c r="W171" s="146">
        <v>5.3097999999999999E-2</v>
      </c>
      <c r="X171" s="143" t="s">
        <v>412</v>
      </c>
      <c r="Y171" s="145" t="s">
        <v>3876</v>
      </c>
      <c r="Z171" s="144">
        <v>76523</v>
      </c>
      <c r="AA171" s="145" t="s">
        <v>3876</v>
      </c>
      <c r="AB171" s="143" t="s">
        <v>1368</v>
      </c>
      <c r="AC171" s="145" t="s">
        <v>3876</v>
      </c>
      <c r="AD171" s="144">
        <v>72.605000000000004</v>
      </c>
      <c r="AE171" s="145" t="s">
        <v>3876</v>
      </c>
      <c r="AF171" s="145" t="s">
        <v>3876</v>
      </c>
      <c r="AG171" s="145" t="s">
        <v>3876</v>
      </c>
      <c r="AH171" s="146">
        <v>3.1883258451097783E-4</v>
      </c>
      <c r="AI171" s="146">
        <v>6.0171964067557782E-4</v>
      </c>
      <c r="AJ171" s="147">
        <v>7.3020524288720554E-5</v>
      </c>
      <c r="AK171" s="181"/>
    </row>
    <row r="172" spans="1:37" ht="15" x14ac:dyDescent="0.2">
      <c r="A172" s="142" t="s">
        <v>1205</v>
      </c>
      <c r="B172" s="143" t="s">
        <v>1205</v>
      </c>
      <c r="C172" s="143" t="s">
        <v>1870</v>
      </c>
      <c r="D172" s="143" t="s">
        <v>1871</v>
      </c>
      <c r="E172" s="143" t="s">
        <v>309</v>
      </c>
      <c r="F172" s="143" t="s">
        <v>1872</v>
      </c>
      <c r="G172" s="143" t="s">
        <v>1873</v>
      </c>
      <c r="H172" s="143" t="s">
        <v>321</v>
      </c>
      <c r="I172" s="143" t="s">
        <v>951</v>
      </c>
      <c r="J172" s="143" t="s">
        <v>204</v>
      </c>
      <c r="K172" s="143" t="s">
        <v>204</v>
      </c>
      <c r="L172" s="143" t="s">
        <v>325</v>
      </c>
      <c r="M172" s="143" t="s">
        <v>340</v>
      </c>
      <c r="N172" s="143" t="s">
        <v>484</v>
      </c>
      <c r="O172" s="143" t="s">
        <v>339</v>
      </c>
      <c r="P172" s="143" t="s">
        <v>1347</v>
      </c>
      <c r="Q172" s="143" t="s">
        <v>413</v>
      </c>
      <c r="R172" s="143" t="s">
        <v>407</v>
      </c>
      <c r="S172" s="143" t="s">
        <v>1210</v>
      </c>
      <c r="T172" s="144">
        <v>2.33</v>
      </c>
      <c r="U172" s="143" t="s">
        <v>1874</v>
      </c>
      <c r="V172" s="146">
        <v>0.04</v>
      </c>
      <c r="W172" s="146">
        <v>5.2908999999999998E-2</v>
      </c>
      <c r="X172" s="143" t="s">
        <v>412</v>
      </c>
      <c r="Y172" s="145" t="s">
        <v>3876</v>
      </c>
      <c r="Z172" s="144">
        <v>69344.800000000003</v>
      </c>
      <c r="AA172" s="145" t="s">
        <v>3876</v>
      </c>
      <c r="AB172" s="143" t="s">
        <v>1875</v>
      </c>
      <c r="AC172" s="145" t="s">
        <v>3876</v>
      </c>
      <c r="AD172" s="144">
        <v>67.430899999999994</v>
      </c>
      <c r="AE172" s="145" t="s">
        <v>3876</v>
      </c>
      <c r="AF172" s="145" t="s">
        <v>3876</v>
      </c>
      <c r="AG172" s="145" t="s">
        <v>3876</v>
      </c>
      <c r="AH172" s="146">
        <v>1.1643156025859785E-4</v>
      </c>
      <c r="AI172" s="146">
        <v>5.5883857150481567E-4</v>
      </c>
      <c r="AJ172" s="147">
        <v>6.7816774998778141E-5</v>
      </c>
      <c r="AK172" s="181"/>
    </row>
    <row r="173" spans="1:37" ht="15" x14ac:dyDescent="0.2">
      <c r="A173" s="142" t="s">
        <v>1205</v>
      </c>
      <c r="B173" s="143" t="s">
        <v>1205</v>
      </c>
      <c r="C173" s="143" t="s">
        <v>1876</v>
      </c>
      <c r="D173" s="143" t="s">
        <v>1877</v>
      </c>
      <c r="E173" s="143" t="s">
        <v>309</v>
      </c>
      <c r="F173" s="143" t="s">
        <v>1878</v>
      </c>
      <c r="G173" s="143" t="s">
        <v>1879</v>
      </c>
      <c r="H173" s="143" t="s">
        <v>321</v>
      </c>
      <c r="I173" s="143" t="s">
        <v>951</v>
      </c>
      <c r="J173" s="143" t="s">
        <v>204</v>
      </c>
      <c r="K173" s="143" t="s">
        <v>204</v>
      </c>
      <c r="L173" s="143" t="s">
        <v>325</v>
      </c>
      <c r="M173" s="143" t="s">
        <v>340</v>
      </c>
      <c r="N173" s="143" t="s">
        <v>464</v>
      </c>
      <c r="O173" s="143" t="s">
        <v>339</v>
      </c>
      <c r="P173" s="143" t="s">
        <v>1410</v>
      </c>
      <c r="Q173" s="143" t="s">
        <v>413</v>
      </c>
      <c r="R173" s="143" t="s">
        <v>407</v>
      </c>
      <c r="S173" s="143" t="s">
        <v>1210</v>
      </c>
      <c r="T173" s="144">
        <v>0.98</v>
      </c>
      <c r="U173" s="143" t="s">
        <v>1880</v>
      </c>
      <c r="V173" s="146">
        <v>2.5499999999999998E-2</v>
      </c>
      <c r="W173" s="146">
        <v>4.9253999999999999E-2</v>
      </c>
      <c r="X173" s="143" t="s">
        <v>412</v>
      </c>
      <c r="Y173" s="145" t="s">
        <v>3876</v>
      </c>
      <c r="Z173" s="144">
        <v>59000.02</v>
      </c>
      <c r="AA173" s="145" t="s">
        <v>3876</v>
      </c>
      <c r="AB173" s="143" t="s">
        <v>1881</v>
      </c>
      <c r="AC173" s="145" t="s">
        <v>3876</v>
      </c>
      <c r="AD173" s="144">
        <v>57.719699999999996</v>
      </c>
      <c r="AE173" s="145" t="s">
        <v>3876</v>
      </c>
      <c r="AF173" s="145" t="s">
        <v>3876</v>
      </c>
      <c r="AG173" s="145" t="s">
        <v>3876</v>
      </c>
      <c r="AH173" s="146">
        <v>8.79180127555582E-4</v>
      </c>
      <c r="AI173" s="146">
        <v>4.7835656224725086E-4</v>
      </c>
      <c r="AJ173" s="147">
        <v>5.8050036281060941E-5</v>
      </c>
      <c r="AK173" s="181"/>
    </row>
    <row r="174" spans="1:37" ht="15" x14ac:dyDescent="0.2">
      <c r="A174" s="142" t="s">
        <v>1205</v>
      </c>
      <c r="B174" s="143" t="s">
        <v>1205</v>
      </c>
      <c r="C174" s="143" t="s">
        <v>1882</v>
      </c>
      <c r="D174" s="143" t="s">
        <v>1883</v>
      </c>
      <c r="E174" s="143" t="s">
        <v>309</v>
      </c>
      <c r="F174" s="143" t="s">
        <v>1884</v>
      </c>
      <c r="G174" s="143" t="s">
        <v>1885</v>
      </c>
      <c r="H174" s="143" t="s">
        <v>321</v>
      </c>
      <c r="I174" s="143" t="s">
        <v>951</v>
      </c>
      <c r="J174" s="143" t="s">
        <v>204</v>
      </c>
      <c r="K174" s="143" t="s">
        <v>204</v>
      </c>
      <c r="L174" s="143" t="s">
        <v>325</v>
      </c>
      <c r="M174" s="143" t="s">
        <v>340</v>
      </c>
      <c r="N174" s="143" t="s">
        <v>445</v>
      </c>
      <c r="O174" s="143" t="s">
        <v>339</v>
      </c>
      <c r="P174" s="143" t="s">
        <v>1425</v>
      </c>
      <c r="Q174" s="143" t="s">
        <v>415</v>
      </c>
      <c r="R174" s="143" t="s">
        <v>407</v>
      </c>
      <c r="S174" s="143" t="s">
        <v>1210</v>
      </c>
      <c r="T174" s="144">
        <v>1.35</v>
      </c>
      <c r="U174" s="143" t="s">
        <v>1886</v>
      </c>
      <c r="V174" s="146">
        <v>3.27E-2</v>
      </c>
      <c r="W174" s="146">
        <v>5.0407E-2</v>
      </c>
      <c r="X174" s="143" t="s">
        <v>412</v>
      </c>
      <c r="Y174" s="145" t="s">
        <v>3876</v>
      </c>
      <c r="Z174" s="144">
        <v>37287</v>
      </c>
      <c r="AA174" s="145" t="s">
        <v>3876</v>
      </c>
      <c r="AB174" s="143" t="s">
        <v>1887</v>
      </c>
      <c r="AC174" s="145" t="s">
        <v>3876</v>
      </c>
      <c r="AD174" s="144">
        <v>36.600900000000003</v>
      </c>
      <c r="AE174" s="145" t="s">
        <v>3876</v>
      </c>
      <c r="AF174" s="145" t="s">
        <v>3876</v>
      </c>
      <c r="AG174" s="145" t="s">
        <v>3876</v>
      </c>
      <c r="AH174" s="146">
        <v>1.1814900837471047E-4</v>
      </c>
      <c r="AI174" s="146">
        <v>3.0333289931496333E-4</v>
      </c>
      <c r="AJ174" s="147">
        <v>3.681037786489408E-5</v>
      </c>
      <c r="AK174" s="181"/>
    </row>
    <row r="175" spans="1:37" ht="15" x14ac:dyDescent="0.2">
      <c r="A175" s="142" t="s">
        <v>1205</v>
      </c>
      <c r="B175" s="143" t="s">
        <v>1205</v>
      </c>
      <c r="C175" s="143" t="s">
        <v>1888</v>
      </c>
      <c r="D175" s="143" t="s">
        <v>1889</v>
      </c>
      <c r="E175" s="143" t="s">
        <v>309</v>
      </c>
      <c r="F175" s="143" t="s">
        <v>1890</v>
      </c>
      <c r="G175" s="143" t="s">
        <v>1891</v>
      </c>
      <c r="H175" s="143" t="s">
        <v>321</v>
      </c>
      <c r="I175" s="143" t="s">
        <v>951</v>
      </c>
      <c r="J175" s="143" t="s">
        <v>204</v>
      </c>
      <c r="K175" s="143" t="s">
        <v>204</v>
      </c>
      <c r="L175" s="143" t="s">
        <v>325</v>
      </c>
      <c r="M175" s="143" t="s">
        <v>340</v>
      </c>
      <c r="N175" s="143" t="s">
        <v>454</v>
      </c>
      <c r="O175" s="143" t="s">
        <v>339</v>
      </c>
      <c r="P175" s="143" t="s">
        <v>1410</v>
      </c>
      <c r="Q175" s="143" t="s">
        <v>413</v>
      </c>
      <c r="R175" s="143" t="s">
        <v>407</v>
      </c>
      <c r="S175" s="143" t="s">
        <v>1210</v>
      </c>
      <c r="T175" s="144">
        <v>0.31</v>
      </c>
      <c r="U175" s="143" t="s">
        <v>1892</v>
      </c>
      <c r="V175" s="146">
        <v>2.3599999999999999E-2</v>
      </c>
      <c r="W175" s="146">
        <v>4.9519000000000001E-2</v>
      </c>
      <c r="X175" s="143" t="s">
        <v>412</v>
      </c>
      <c r="Y175" s="145" t="s">
        <v>3876</v>
      </c>
      <c r="Z175" s="144">
        <v>31952.47</v>
      </c>
      <c r="AA175" s="145" t="s">
        <v>3876</v>
      </c>
      <c r="AB175" s="143" t="s">
        <v>1893</v>
      </c>
      <c r="AC175" s="145" t="s">
        <v>3876</v>
      </c>
      <c r="AD175" s="144">
        <v>32.029200000000003</v>
      </c>
      <c r="AE175" s="145" t="s">
        <v>3876</v>
      </c>
      <c r="AF175" s="145" t="s">
        <v>3876</v>
      </c>
      <c r="AG175" s="145" t="s">
        <v>3876</v>
      </c>
      <c r="AH175" s="146">
        <v>5.0718206349206351E-4</v>
      </c>
      <c r="AI175" s="146">
        <v>2.6544406377234606E-4</v>
      </c>
      <c r="AJ175" s="147">
        <v>3.221245144038055E-5</v>
      </c>
      <c r="AK175" s="181"/>
    </row>
    <row r="176" spans="1:37" ht="15" x14ac:dyDescent="0.2">
      <c r="A176" s="142" t="s">
        <v>1205</v>
      </c>
      <c r="B176" s="143" t="s">
        <v>1205</v>
      </c>
      <c r="C176" s="143" t="s">
        <v>1349</v>
      </c>
      <c r="D176" s="143" t="s">
        <v>1350</v>
      </c>
      <c r="E176" s="143" t="s">
        <v>309</v>
      </c>
      <c r="F176" s="143" t="s">
        <v>1460</v>
      </c>
      <c r="G176" s="143" t="s">
        <v>1461</v>
      </c>
      <c r="H176" s="143" t="s">
        <v>321</v>
      </c>
      <c r="I176" s="143" t="s">
        <v>754</v>
      </c>
      <c r="J176" s="143" t="s">
        <v>204</v>
      </c>
      <c r="K176" s="143" t="s">
        <v>204</v>
      </c>
      <c r="L176" s="143" t="s">
        <v>325</v>
      </c>
      <c r="M176" s="143" t="s">
        <v>340</v>
      </c>
      <c r="N176" s="143" t="s">
        <v>448</v>
      </c>
      <c r="O176" s="143" t="s">
        <v>339</v>
      </c>
      <c r="P176" s="143" t="s">
        <v>1224</v>
      </c>
      <c r="Q176" s="143" t="s">
        <v>413</v>
      </c>
      <c r="R176" s="143" t="s">
        <v>407</v>
      </c>
      <c r="S176" s="143" t="s">
        <v>1210</v>
      </c>
      <c r="T176" s="144">
        <v>0.24</v>
      </c>
      <c r="U176" s="143" t="s">
        <v>1462</v>
      </c>
      <c r="V176" s="146">
        <v>8.6E-3</v>
      </c>
      <c r="W176" s="146">
        <v>2.5704999999999999E-2</v>
      </c>
      <c r="X176" s="143" t="s">
        <v>412</v>
      </c>
      <c r="Y176" s="145" t="s">
        <v>3876</v>
      </c>
      <c r="Z176" s="144">
        <v>2374331</v>
      </c>
      <c r="AA176" s="145" t="s">
        <v>3876</v>
      </c>
      <c r="AB176" s="143" t="s">
        <v>1463</v>
      </c>
      <c r="AC176" s="145" t="s">
        <v>3876</v>
      </c>
      <c r="AD176" s="144">
        <v>2729.0561000000002</v>
      </c>
      <c r="AE176" s="145" t="s">
        <v>3876</v>
      </c>
      <c r="AF176" s="145" t="s">
        <v>3876</v>
      </c>
      <c r="AG176" s="145" t="s">
        <v>3876</v>
      </c>
      <c r="AH176" s="146">
        <v>9.4921944181364389E-4</v>
      </c>
      <c r="AI176" s="146">
        <v>2.2617259417468609E-2</v>
      </c>
      <c r="AJ176" s="147">
        <v>2.744673813178708E-3</v>
      </c>
      <c r="AK176" s="181"/>
    </row>
    <row r="177" spans="1:37" ht="15" x14ac:dyDescent="0.2">
      <c r="A177" s="142" t="s">
        <v>1205</v>
      </c>
      <c r="B177" s="143" t="s">
        <v>1205</v>
      </c>
      <c r="C177" s="143" t="s">
        <v>1468</v>
      </c>
      <c r="D177" s="143" t="s">
        <v>1469</v>
      </c>
      <c r="E177" s="143" t="s">
        <v>309</v>
      </c>
      <c r="F177" s="143" t="s">
        <v>1470</v>
      </c>
      <c r="G177" s="143" t="s">
        <v>1471</v>
      </c>
      <c r="H177" s="143" t="s">
        <v>321</v>
      </c>
      <c r="I177" s="143" t="s">
        <v>754</v>
      </c>
      <c r="J177" s="143" t="s">
        <v>204</v>
      </c>
      <c r="K177" s="143" t="s">
        <v>204</v>
      </c>
      <c r="L177" s="143" t="s">
        <v>325</v>
      </c>
      <c r="M177" s="143" t="s">
        <v>340</v>
      </c>
      <c r="N177" s="143" t="s">
        <v>448</v>
      </c>
      <c r="O177" s="143" t="s">
        <v>339</v>
      </c>
      <c r="P177" s="143" t="s">
        <v>1224</v>
      </c>
      <c r="Q177" s="143" t="s">
        <v>413</v>
      </c>
      <c r="R177" s="143" t="s">
        <v>407</v>
      </c>
      <c r="S177" s="143" t="s">
        <v>1210</v>
      </c>
      <c r="T177" s="144">
        <v>5.39</v>
      </c>
      <c r="U177" s="143" t="s">
        <v>1472</v>
      </c>
      <c r="V177" s="146">
        <v>1E-3</v>
      </c>
      <c r="W177" s="146">
        <v>2.5815000000000001E-2</v>
      </c>
      <c r="X177" s="143" t="s">
        <v>412</v>
      </c>
      <c r="Y177" s="145" t="s">
        <v>3876</v>
      </c>
      <c r="Z177" s="144">
        <v>2610000</v>
      </c>
      <c r="AA177" s="145" t="s">
        <v>3876</v>
      </c>
      <c r="AB177" s="143" t="s">
        <v>1473</v>
      </c>
      <c r="AC177" s="145" t="s">
        <v>3876</v>
      </c>
      <c r="AD177" s="144">
        <v>2535.0929999999998</v>
      </c>
      <c r="AE177" s="145" t="s">
        <v>3876</v>
      </c>
      <c r="AF177" s="145" t="s">
        <v>3876</v>
      </c>
      <c r="AG177" s="145" t="s">
        <v>3876</v>
      </c>
      <c r="AH177" s="146">
        <v>1.0495284963071476E-3</v>
      </c>
      <c r="AI177" s="146">
        <v>2.1009775888991018E-2</v>
      </c>
      <c r="AJ177" s="147">
        <v>2.5496007557276844E-3</v>
      </c>
      <c r="AK177" s="181"/>
    </row>
    <row r="178" spans="1:37" ht="15" x14ac:dyDescent="0.2">
      <c r="A178" s="142" t="s">
        <v>1205</v>
      </c>
      <c r="B178" s="143" t="s">
        <v>1205</v>
      </c>
      <c r="C178" s="143" t="s">
        <v>1349</v>
      </c>
      <c r="D178" s="143" t="s">
        <v>1350</v>
      </c>
      <c r="E178" s="143" t="s">
        <v>309</v>
      </c>
      <c r="F178" s="143" t="s">
        <v>1464</v>
      </c>
      <c r="G178" s="143" t="s">
        <v>1465</v>
      </c>
      <c r="H178" s="143" t="s">
        <v>321</v>
      </c>
      <c r="I178" s="143" t="s">
        <v>754</v>
      </c>
      <c r="J178" s="143" t="s">
        <v>204</v>
      </c>
      <c r="K178" s="143" t="s">
        <v>204</v>
      </c>
      <c r="L178" s="143" t="s">
        <v>325</v>
      </c>
      <c r="M178" s="143" t="s">
        <v>340</v>
      </c>
      <c r="N178" s="143" t="s">
        <v>448</v>
      </c>
      <c r="O178" s="143" t="s">
        <v>339</v>
      </c>
      <c r="P178" s="143" t="s">
        <v>1224</v>
      </c>
      <c r="Q178" s="143" t="s">
        <v>413</v>
      </c>
      <c r="R178" s="143" t="s">
        <v>407</v>
      </c>
      <c r="S178" s="143" t="s">
        <v>1210</v>
      </c>
      <c r="T178" s="144">
        <v>3.17</v>
      </c>
      <c r="U178" s="143" t="s">
        <v>1466</v>
      </c>
      <c r="V178" s="146">
        <v>1.2200000000000001E-2</v>
      </c>
      <c r="W178" s="146">
        <v>2.41E-2</v>
      </c>
      <c r="X178" s="143" t="s">
        <v>412</v>
      </c>
      <c r="Y178" s="145" t="s">
        <v>3876</v>
      </c>
      <c r="Z178" s="144">
        <v>2246325</v>
      </c>
      <c r="AA178" s="145" t="s">
        <v>3876</v>
      </c>
      <c r="AB178" s="143" t="s">
        <v>1467</v>
      </c>
      <c r="AC178" s="145" t="s">
        <v>3876</v>
      </c>
      <c r="AD178" s="144">
        <v>2505.1016</v>
      </c>
      <c r="AE178" s="145" t="s">
        <v>3876</v>
      </c>
      <c r="AF178" s="145" t="s">
        <v>3876</v>
      </c>
      <c r="AG178" s="145" t="s">
        <v>3876</v>
      </c>
      <c r="AH178" s="146">
        <v>7.448985479564347E-4</v>
      </c>
      <c r="AI178" s="146">
        <v>2.0761220213831939E-2</v>
      </c>
      <c r="AJ178" s="147">
        <v>2.519437762053961E-3</v>
      </c>
      <c r="AK178" s="181"/>
    </row>
    <row r="179" spans="1:37" ht="15" x14ac:dyDescent="0.2">
      <c r="A179" s="142" t="s">
        <v>1205</v>
      </c>
      <c r="B179" s="143" t="s">
        <v>1205</v>
      </c>
      <c r="C179" s="143" t="s">
        <v>1343</v>
      </c>
      <c r="D179" s="143" t="s">
        <v>1344</v>
      </c>
      <c r="E179" s="143" t="s">
        <v>309</v>
      </c>
      <c r="F179" s="143" t="s">
        <v>1490</v>
      </c>
      <c r="G179" s="143" t="s">
        <v>1491</v>
      </c>
      <c r="H179" s="143" t="s">
        <v>321</v>
      </c>
      <c r="I179" s="143" t="s">
        <v>754</v>
      </c>
      <c r="J179" s="143" t="s">
        <v>204</v>
      </c>
      <c r="K179" s="143" t="s">
        <v>204</v>
      </c>
      <c r="L179" s="143" t="s">
        <v>325</v>
      </c>
      <c r="M179" s="143" t="s">
        <v>340</v>
      </c>
      <c r="N179" s="143" t="s">
        <v>445</v>
      </c>
      <c r="O179" s="143" t="s">
        <v>339</v>
      </c>
      <c r="P179" s="143" t="s">
        <v>1347</v>
      </c>
      <c r="Q179" s="143" t="s">
        <v>413</v>
      </c>
      <c r="R179" s="143" t="s">
        <v>407</v>
      </c>
      <c r="S179" s="143" t="s">
        <v>1210</v>
      </c>
      <c r="T179" s="144">
        <v>6.93</v>
      </c>
      <c r="U179" s="143" t="s">
        <v>1492</v>
      </c>
      <c r="V179" s="146">
        <v>2.5000000000000001E-2</v>
      </c>
      <c r="W179" s="146">
        <v>6.1810999999999998E-2</v>
      </c>
      <c r="X179" s="143" t="s">
        <v>412</v>
      </c>
      <c r="Y179" s="145" t="s">
        <v>3876</v>
      </c>
      <c r="Z179" s="144">
        <v>3055228</v>
      </c>
      <c r="AA179" s="145" t="s">
        <v>3876</v>
      </c>
      <c r="AB179" s="143" t="s">
        <v>1493</v>
      </c>
      <c r="AC179" s="145" t="s">
        <v>3876</v>
      </c>
      <c r="AD179" s="144">
        <v>2404.77</v>
      </c>
      <c r="AE179" s="145" t="s">
        <v>3876</v>
      </c>
      <c r="AF179" s="145" t="s">
        <v>3876</v>
      </c>
      <c r="AG179" s="145" t="s">
        <v>3876</v>
      </c>
      <c r="AH179" s="146">
        <v>2.2908815752789953E-3</v>
      </c>
      <c r="AI179" s="146">
        <v>1.9929713781295662E-2</v>
      </c>
      <c r="AJ179" s="147">
        <v>2.4185319056569967E-3</v>
      </c>
      <c r="AK179" s="181"/>
    </row>
    <row r="180" spans="1:37" ht="15" x14ac:dyDescent="0.2">
      <c r="A180" s="142" t="s">
        <v>1205</v>
      </c>
      <c r="B180" s="143" t="s">
        <v>1205</v>
      </c>
      <c r="C180" s="143" t="s">
        <v>1480</v>
      </c>
      <c r="D180" s="143" t="s">
        <v>1481</v>
      </c>
      <c r="E180" s="143" t="s">
        <v>309</v>
      </c>
      <c r="F180" s="143" t="s">
        <v>1482</v>
      </c>
      <c r="G180" s="143" t="s">
        <v>1483</v>
      </c>
      <c r="H180" s="143" t="s">
        <v>321</v>
      </c>
      <c r="I180" s="143" t="s">
        <v>754</v>
      </c>
      <c r="J180" s="143" t="s">
        <v>204</v>
      </c>
      <c r="K180" s="143" t="s">
        <v>204</v>
      </c>
      <c r="L180" s="143" t="s">
        <v>325</v>
      </c>
      <c r="M180" s="143" t="s">
        <v>340</v>
      </c>
      <c r="N180" s="143" t="s">
        <v>456</v>
      </c>
      <c r="O180" s="143" t="s">
        <v>339</v>
      </c>
      <c r="P180" s="143" t="s">
        <v>1347</v>
      </c>
      <c r="Q180" s="143" t="s">
        <v>413</v>
      </c>
      <c r="R180" s="143" t="s">
        <v>407</v>
      </c>
      <c r="S180" s="143" t="s">
        <v>1210</v>
      </c>
      <c r="T180" s="144">
        <v>5.43</v>
      </c>
      <c r="U180" s="143" t="s">
        <v>1484</v>
      </c>
      <c r="V180" s="146">
        <v>5.1499999999999997E-2</v>
      </c>
      <c r="W180" s="146">
        <v>3.8883000000000001E-2</v>
      </c>
      <c r="X180" s="143" t="s">
        <v>412</v>
      </c>
      <c r="Y180" s="145" t="s">
        <v>3876</v>
      </c>
      <c r="Z180" s="144">
        <v>1323313.3400000001</v>
      </c>
      <c r="AA180" s="145" t="s">
        <v>3876</v>
      </c>
      <c r="AB180" s="143" t="s">
        <v>1485</v>
      </c>
      <c r="AC180" s="145" t="s">
        <v>3876</v>
      </c>
      <c r="AD180" s="144">
        <v>1946.9909</v>
      </c>
      <c r="AE180" s="145" t="s">
        <v>3876</v>
      </c>
      <c r="AF180" s="145" t="s">
        <v>3876</v>
      </c>
      <c r="AG180" s="145" t="s">
        <v>3876</v>
      </c>
      <c r="AH180" s="146">
        <v>4.5568848472619944E-4</v>
      </c>
      <c r="AI180" s="146">
        <v>1.6135835185160662E-2</v>
      </c>
      <c r="AJ180" s="147">
        <v>1.9581330995510544E-3</v>
      </c>
      <c r="AK180" s="181"/>
    </row>
    <row r="181" spans="1:37" ht="15" x14ac:dyDescent="0.2">
      <c r="A181" s="142" t="s">
        <v>1205</v>
      </c>
      <c r="B181" s="143" t="s">
        <v>1205</v>
      </c>
      <c r="C181" s="143" t="s">
        <v>1474</v>
      </c>
      <c r="D181" s="143" t="s">
        <v>1475</v>
      </c>
      <c r="E181" s="143" t="s">
        <v>309</v>
      </c>
      <c r="F181" s="143" t="s">
        <v>1476</v>
      </c>
      <c r="G181" s="143" t="s">
        <v>1477</v>
      </c>
      <c r="H181" s="143" t="s">
        <v>321</v>
      </c>
      <c r="I181" s="143" t="s">
        <v>754</v>
      </c>
      <c r="J181" s="143" t="s">
        <v>204</v>
      </c>
      <c r="K181" s="143" t="s">
        <v>204</v>
      </c>
      <c r="L181" s="143" t="s">
        <v>325</v>
      </c>
      <c r="M181" s="143" t="s">
        <v>340</v>
      </c>
      <c r="N181" s="143" t="s">
        <v>448</v>
      </c>
      <c r="O181" s="143" t="s">
        <v>339</v>
      </c>
      <c r="P181" s="143" t="s">
        <v>1224</v>
      </c>
      <c r="Q181" s="143" t="s">
        <v>413</v>
      </c>
      <c r="R181" s="143" t="s">
        <v>407</v>
      </c>
      <c r="S181" s="143" t="s">
        <v>1210</v>
      </c>
      <c r="T181" s="144">
        <v>3.26</v>
      </c>
      <c r="U181" s="143" t="s">
        <v>1478</v>
      </c>
      <c r="V181" s="146">
        <v>1.7500000000000002E-2</v>
      </c>
      <c r="W181" s="146">
        <v>2.4340000000000001E-2</v>
      </c>
      <c r="X181" s="143" t="s">
        <v>412</v>
      </c>
      <c r="Y181" s="145" t="s">
        <v>3876</v>
      </c>
      <c r="Z181" s="144">
        <v>1710590.74</v>
      </c>
      <c r="AA181" s="145" t="s">
        <v>3876</v>
      </c>
      <c r="AB181" s="143" t="s">
        <v>1479</v>
      </c>
      <c r="AC181" s="145" t="s">
        <v>3876</v>
      </c>
      <c r="AD181" s="144">
        <v>1907.4796999999999</v>
      </c>
      <c r="AE181" s="145" t="s">
        <v>3876</v>
      </c>
      <c r="AF181" s="145" t="s">
        <v>3876</v>
      </c>
      <c r="AG181" s="145" t="s">
        <v>3876</v>
      </c>
      <c r="AH181" s="146">
        <v>6.578208776740885E-4</v>
      </c>
      <c r="AI181" s="146">
        <v>1.5808383253706235E-2</v>
      </c>
      <c r="AJ181" s="147">
        <v>1.9183958031461857E-3</v>
      </c>
      <c r="AK181" s="181"/>
    </row>
    <row r="182" spans="1:37" ht="15" x14ac:dyDescent="0.2">
      <c r="A182" s="142" t="s">
        <v>1205</v>
      </c>
      <c r="B182" s="143" t="s">
        <v>1205</v>
      </c>
      <c r="C182" s="143" t="s">
        <v>1894</v>
      </c>
      <c r="D182" s="143" t="s">
        <v>1895</v>
      </c>
      <c r="E182" s="143" t="s">
        <v>309</v>
      </c>
      <c r="F182" s="143" t="s">
        <v>1896</v>
      </c>
      <c r="G182" s="143" t="s">
        <v>1897</v>
      </c>
      <c r="H182" s="143" t="s">
        <v>321</v>
      </c>
      <c r="I182" s="143" t="s">
        <v>754</v>
      </c>
      <c r="J182" s="143" t="s">
        <v>204</v>
      </c>
      <c r="K182" s="143" t="s">
        <v>204</v>
      </c>
      <c r="L182" s="143" t="s">
        <v>325</v>
      </c>
      <c r="M182" s="143" t="s">
        <v>340</v>
      </c>
      <c r="N182" s="143" t="s">
        <v>448</v>
      </c>
      <c r="O182" s="143" t="s">
        <v>339</v>
      </c>
      <c r="P182" s="143" t="s">
        <v>1224</v>
      </c>
      <c r="Q182" s="143" t="s">
        <v>413</v>
      </c>
      <c r="R182" s="143" t="s">
        <v>407</v>
      </c>
      <c r="S182" s="143" t="s">
        <v>1210</v>
      </c>
      <c r="T182" s="144">
        <v>5.3</v>
      </c>
      <c r="U182" s="143" t="s">
        <v>1898</v>
      </c>
      <c r="V182" s="146">
        <v>2.1100000000000001E-2</v>
      </c>
      <c r="W182" s="146">
        <v>2.606E-2</v>
      </c>
      <c r="X182" s="143" t="s">
        <v>412</v>
      </c>
      <c r="Y182" s="145" t="s">
        <v>3876</v>
      </c>
      <c r="Z182" s="144">
        <v>1900000</v>
      </c>
      <c r="AA182" s="145" t="s">
        <v>3876</v>
      </c>
      <c r="AB182" s="143" t="s">
        <v>1899</v>
      </c>
      <c r="AC182" s="145" t="s">
        <v>3876</v>
      </c>
      <c r="AD182" s="144">
        <v>1906.46</v>
      </c>
      <c r="AE182" s="145" t="s">
        <v>3876</v>
      </c>
      <c r="AF182" s="145" t="s">
        <v>3876</v>
      </c>
      <c r="AG182" s="145" t="s">
        <v>3876</v>
      </c>
      <c r="AH182" s="146">
        <v>1.2158957247826426E-3</v>
      </c>
      <c r="AI182" s="146">
        <v>1.5799932129245679E-2</v>
      </c>
      <c r="AJ182" s="147">
        <v>1.9173702332674191E-3</v>
      </c>
      <c r="AK182" s="181"/>
    </row>
    <row r="183" spans="1:37" ht="15" x14ac:dyDescent="0.2">
      <c r="A183" s="142" t="s">
        <v>1205</v>
      </c>
      <c r="B183" s="143" t="s">
        <v>1205</v>
      </c>
      <c r="C183" s="143" t="s">
        <v>1498</v>
      </c>
      <c r="D183" s="143" t="s">
        <v>1499</v>
      </c>
      <c r="E183" s="143" t="s">
        <v>313</v>
      </c>
      <c r="F183" s="143" t="s">
        <v>1505</v>
      </c>
      <c r="G183" s="143" t="s">
        <v>1506</v>
      </c>
      <c r="H183" s="143" t="s">
        <v>321</v>
      </c>
      <c r="I183" s="143" t="s">
        <v>754</v>
      </c>
      <c r="J183" s="143" t="s">
        <v>204</v>
      </c>
      <c r="K183" s="143" t="s">
        <v>204</v>
      </c>
      <c r="L183" s="143" t="s">
        <v>325</v>
      </c>
      <c r="M183" s="143" t="s">
        <v>340</v>
      </c>
      <c r="N183" s="143" t="s">
        <v>440</v>
      </c>
      <c r="O183" s="143" t="s">
        <v>339</v>
      </c>
      <c r="P183" s="143" t="s">
        <v>1502</v>
      </c>
      <c r="Q183" s="143" t="s">
        <v>415</v>
      </c>
      <c r="R183" s="143" t="s">
        <v>407</v>
      </c>
      <c r="S183" s="143" t="s">
        <v>1210</v>
      </c>
      <c r="T183" s="144">
        <v>5.97</v>
      </c>
      <c r="U183" s="143" t="s">
        <v>1507</v>
      </c>
      <c r="V183" s="146">
        <v>2.3900000000000001E-2</v>
      </c>
      <c r="W183" s="146">
        <v>3.0173999999999999E-2</v>
      </c>
      <c r="X183" s="143" t="s">
        <v>412</v>
      </c>
      <c r="Y183" s="145" t="s">
        <v>3876</v>
      </c>
      <c r="Z183" s="144">
        <v>1700000</v>
      </c>
      <c r="AA183" s="145" t="s">
        <v>3876</v>
      </c>
      <c r="AB183" s="143" t="s">
        <v>1508</v>
      </c>
      <c r="AC183" s="145" t="s">
        <v>3876</v>
      </c>
      <c r="AD183" s="144">
        <v>1869.15</v>
      </c>
      <c r="AE183" s="145" t="s">
        <v>3876</v>
      </c>
      <c r="AF183" s="145" t="s">
        <v>3876</v>
      </c>
      <c r="AG183" s="145" t="s">
        <v>3876</v>
      </c>
      <c r="AH183" s="146">
        <v>4.3711373287928356E-4</v>
      </c>
      <c r="AI183" s="146">
        <v>1.5490722668914931E-2</v>
      </c>
      <c r="AJ183" s="147">
        <v>1.8798467166957589E-3</v>
      </c>
      <c r="AK183" s="181"/>
    </row>
    <row r="184" spans="1:37" ht="15" x14ac:dyDescent="0.2">
      <c r="A184" s="142" t="s">
        <v>1205</v>
      </c>
      <c r="B184" s="143" t="s">
        <v>1205</v>
      </c>
      <c r="C184" s="143" t="s">
        <v>1468</v>
      </c>
      <c r="D184" s="143" t="s">
        <v>1469</v>
      </c>
      <c r="E184" s="143" t="s">
        <v>309</v>
      </c>
      <c r="F184" s="143" t="s">
        <v>1494</v>
      </c>
      <c r="G184" s="143" t="s">
        <v>1495</v>
      </c>
      <c r="H184" s="143" t="s">
        <v>321</v>
      </c>
      <c r="I184" s="143" t="s">
        <v>754</v>
      </c>
      <c r="J184" s="143" t="s">
        <v>204</v>
      </c>
      <c r="K184" s="143" t="s">
        <v>204</v>
      </c>
      <c r="L184" s="143" t="s">
        <v>325</v>
      </c>
      <c r="M184" s="143" t="s">
        <v>340</v>
      </c>
      <c r="N184" s="143" t="s">
        <v>448</v>
      </c>
      <c r="O184" s="143" t="s">
        <v>339</v>
      </c>
      <c r="P184" s="143" t="s">
        <v>1224</v>
      </c>
      <c r="Q184" s="143" t="s">
        <v>413</v>
      </c>
      <c r="R184" s="143" t="s">
        <v>407</v>
      </c>
      <c r="S184" s="143" t="s">
        <v>1210</v>
      </c>
      <c r="T184" s="144">
        <v>5.29</v>
      </c>
      <c r="U184" s="143" t="s">
        <v>1496</v>
      </c>
      <c r="V184" s="146">
        <v>2.0251999999999999E-2</v>
      </c>
      <c r="W184" s="146">
        <v>2.5944999999999999E-2</v>
      </c>
      <c r="X184" s="143" t="s">
        <v>412</v>
      </c>
      <c r="Y184" s="145" t="s">
        <v>3876</v>
      </c>
      <c r="Z184" s="144">
        <v>1870000</v>
      </c>
      <c r="AA184" s="145" t="s">
        <v>3876</v>
      </c>
      <c r="AB184" s="143" t="s">
        <v>1497</v>
      </c>
      <c r="AC184" s="145" t="s">
        <v>3876</v>
      </c>
      <c r="AD184" s="144">
        <v>1853.731</v>
      </c>
      <c r="AE184" s="145" t="s">
        <v>3876</v>
      </c>
      <c r="AF184" s="145" t="s">
        <v>3876</v>
      </c>
      <c r="AG184" s="145" t="s">
        <v>3876</v>
      </c>
      <c r="AH184" s="146">
        <v>8.8094437236717761E-4</v>
      </c>
      <c r="AI184" s="146">
        <v>1.5362936534665673E-2</v>
      </c>
      <c r="AJ184" s="147">
        <v>1.8643394772956403E-3</v>
      </c>
      <c r="AK184" s="181"/>
    </row>
    <row r="185" spans="1:37" ht="15" x14ac:dyDescent="0.2">
      <c r="A185" s="142" t="s">
        <v>1205</v>
      </c>
      <c r="B185" s="143" t="s">
        <v>1205</v>
      </c>
      <c r="C185" s="143" t="s">
        <v>1717</v>
      </c>
      <c r="D185" s="143" t="s">
        <v>1718</v>
      </c>
      <c r="E185" s="143" t="s">
        <v>309</v>
      </c>
      <c r="F185" s="143" t="s">
        <v>1719</v>
      </c>
      <c r="G185" s="143" t="s">
        <v>1720</v>
      </c>
      <c r="H185" s="143" t="s">
        <v>321</v>
      </c>
      <c r="I185" s="143" t="s">
        <v>754</v>
      </c>
      <c r="J185" s="143" t="s">
        <v>204</v>
      </c>
      <c r="K185" s="143" t="s">
        <v>204</v>
      </c>
      <c r="L185" s="143" t="s">
        <v>325</v>
      </c>
      <c r="M185" s="143" t="s">
        <v>340</v>
      </c>
      <c r="N185" s="143" t="s">
        <v>464</v>
      </c>
      <c r="O185" s="143" t="s">
        <v>339</v>
      </c>
      <c r="P185" s="143" t="s">
        <v>1721</v>
      </c>
      <c r="Q185" s="143" t="s">
        <v>413</v>
      </c>
      <c r="R185" s="143" t="s">
        <v>407</v>
      </c>
      <c r="S185" s="143" t="s">
        <v>1210</v>
      </c>
      <c r="T185" s="144">
        <v>10.57</v>
      </c>
      <c r="U185" s="143" t="s">
        <v>1722</v>
      </c>
      <c r="V185" s="146">
        <v>1.6899999999999998E-2</v>
      </c>
      <c r="W185" s="146">
        <v>3.8008E-2</v>
      </c>
      <c r="X185" s="143" t="s">
        <v>412</v>
      </c>
      <c r="Y185" s="145" t="s">
        <v>3876</v>
      </c>
      <c r="Z185" s="144">
        <v>2029893</v>
      </c>
      <c r="AA185" s="145" t="s">
        <v>3876</v>
      </c>
      <c r="AB185" s="143" t="s">
        <v>1723</v>
      </c>
      <c r="AC185" s="144">
        <v>19.185700000000001</v>
      </c>
      <c r="AD185" s="144">
        <v>1842.0296000000001</v>
      </c>
      <c r="AE185" s="145" t="s">
        <v>3876</v>
      </c>
      <c r="AF185" s="145" t="s">
        <v>3876</v>
      </c>
      <c r="AG185" s="145" t="s">
        <v>3876</v>
      </c>
      <c r="AH185" s="146">
        <v>4.6525592716871114E-4</v>
      </c>
      <c r="AI185" s="146">
        <v>1.542496318995103E-2</v>
      </c>
      <c r="AJ185" s="147">
        <v>1.8718666021934204E-3</v>
      </c>
      <c r="AK185" s="181"/>
    </row>
    <row r="186" spans="1:37" ht="15" x14ac:dyDescent="0.2">
      <c r="A186" s="142" t="s">
        <v>1205</v>
      </c>
      <c r="B186" s="143" t="s">
        <v>1205</v>
      </c>
      <c r="C186" s="143" t="s">
        <v>1498</v>
      </c>
      <c r="D186" s="143" t="s">
        <v>1499</v>
      </c>
      <c r="E186" s="143" t="s">
        <v>313</v>
      </c>
      <c r="F186" s="143" t="s">
        <v>1559</v>
      </c>
      <c r="G186" s="143" t="s">
        <v>1560</v>
      </c>
      <c r="H186" s="143" t="s">
        <v>321</v>
      </c>
      <c r="I186" s="143" t="s">
        <v>754</v>
      </c>
      <c r="J186" s="143" t="s">
        <v>204</v>
      </c>
      <c r="K186" s="143" t="s">
        <v>204</v>
      </c>
      <c r="L186" s="143" t="s">
        <v>325</v>
      </c>
      <c r="M186" s="143" t="s">
        <v>340</v>
      </c>
      <c r="N186" s="143" t="s">
        <v>440</v>
      </c>
      <c r="O186" s="143" t="s">
        <v>339</v>
      </c>
      <c r="P186" s="143" t="s">
        <v>1502</v>
      </c>
      <c r="Q186" s="143" t="s">
        <v>415</v>
      </c>
      <c r="R186" s="143" t="s">
        <v>407</v>
      </c>
      <c r="S186" s="143" t="s">
        <v>1210</v>
      </c>
      <c r="T186" s="144">
        <v>1.1299999999999999</v>
      </c>
      <c r="U186" s="143" t="s">
        <v>1561</v>
      </c>
      <c r="V186" s="146">
        <v>4.4999999999999998E-2</v>
      </c>
      <c r="W186" s="146">
        <v>2.6681E-2</v>
      </c>
      <c r="X186" s="143" t="s">
        <v>412</v>
      </c>
      <c r="Y186" s="145" t="s">
        <v>3876</v>
      </c>
      <c r="Z186" s="144">
        <v>1523804</v>
      </c>
      <c r="AA186" s="145" t="s">
        <v>3876</v>
      </c>
      <c r="AB186" s="143" t="s">
        <v>1562</v>
      </c>
      <c r="AC186" s="145" t="s">
        <v>3876</v>
      </c>
      <c r="AD186" s="144">
        <v>1817.7458000000001</v>
      </c>
      <c r="AE186" s="145" t="s">
        <v>3876</v>
      </c>
      <c r="AF186" s="145" t="s">
        <v>3876</v>
      </c>
      <c r="AG186" s="145" t="s">
        <v>3876</v>
      </c>
      <c r="AH186" s="146">
        <v>5.1556429035905748E-4</v>
      </c>
      <c r="AI186" s="146">
        <v>1.5064706385395948E-2</v>
      </c>
      <c r="AJ186" s="147">
        <v>1.8281483338024199E-3</v>
      </c>
      <c r="AK186" s="181"/>
    </row>
    <row r="187" spans="1:37" ht="15" x14ac:dyDescent="0.2">
      <c r="A187" s="142" t="s">
        <v>1205</v>
      </c>
      <c r="B187" s="143" t="s">
        <v>1205</v>
      </c>
      <c r="C187" s="143" t="s">
        <v>1498</v>
      </c>
      <c r="D187" s="143" t="s">
        <v>1499</v>
      </c>
      <c r="E187" s="143" t="s">
        <v>313</v>
      </c>
      <c r="F187" s="143" t="s">
        <v>1500</v>
      </c>
      <c r="G187" s="143" t="s">
        <v>1501</v>
      </c>
      <c r="H187" s="143" t="s">
        <v>321</v>
      </c>
      <c r="I187" s="143" t="s">
        <v>754</v>
      </c>
      <c r="J187" s="143" t="s">
        <v>204</v>
      </c>
      <c r="K187" s="143" t="s">
        <v>204</v>
      </c>
      <c r="L187" s="143" t="s">
        <v>325</v>
      </c>
      <c r="M187" s="143" t="s">
        <v>340</v>
      </c>
      <c r="N187" s="143" t="s">
        <v>440</v>
      </c>
      <c r="O187" s="143" t="s">
        <v>339</v>
      </c>
      <c r="P187" s="143" t="s">
        <v>1502</v>
      </c>
      <c r="Q187" s="143" t="s">
        <v>415</v>
      </c>
      <c r="R187" s="143" t="s">
        <v>407</v>
      </c>
      <c r="S187" s="143" t="s">
        <v>1210</v>
      </c>
      <c r="T187" s="144">
        <v>10.64</v>
      </c>
      <c r="U187" s="143" t="s">
        <v>1503</v>
      </c>
      <c r="V187" s="146">
        <v>3.2000000000000001E-2</v>
      </c>
      <c r="W187" s="146">
        <v>3.5250999999999998E-2</v>
      </c>
      <c r="X187" s="143" t="s">
        <v>412</v>
      </c>
      <c r="Y187" s="145" t="s">
        <v>3876</v>
      </c>
      <c r="Z187" s="144">
        <v>1805389</v>
      </c>
      <c r="AA187" s="145" t="s">
        <v>3876</v>
      </c>
      <c r="AB187" s="143" t="s">
        <v>1504</v>
      </c>
      <c r="AC187" s="145" t="s">
        <v>3876</v>
      </c>
      <c r="AD187" s="144">
        <v>1805.3889999999999</v>
      </c>
      <c r="AE187" s="145" t="s">
        <v>3876</v>
      </c>
      <c r="AF187" s="145" t="s">
        <v>3876</v>
      </c>
      <c r="AG187" s="145" t="s">
        <v>3876</v>
      </c>
      <c r="AH187" s="146">
        <v>5.7843266668247272E-4</v>
      </c>
      <c r="AI187" s="146">
        <v>1.4962298535970713E-2</v>
      </c>
      <c r="AJ187" s="147">
        <v>1.815720827118551E-3</v>
      </c>
      <c r="AK187" s="181"/>
    </row>
    <row r="188" spans="1:37" ht="15" x14ac:dyDescent="0.2">
      <c r="A188" s="142" t="s">
        <v>1205</v>
      </c>
      <c r="B188" s="143" t="s">
        <v>1205</v>
      </c>
      <c r="C188" s="143" t="s">
        <v>1498</v>
      </c>
      <c r="D188" s="143" t="s">
        <v>1499</v>
      </c>
      <c r="E188" s="143" t="s">
        <v>313</v>
      </c>
      <c r="F188" s="143" t="s">
        <v>1515</v>
      </c>
      <c r="G188" s="143" t="s">
        <v>1516</v>
      </c>
      <c r="H188" s="143" t="s">
        <v>321</v>
      </c>
      <c r="I188" s="143" t="s">
        <v>754</v>
      </c>
      <c r="J188" s="143" t="s">
        <v>204</v>
      </c>
      <c r="K188" s="143" t="s">
        <v>204</v>
      </c>
      <c r="L188" s="143" t="s">
        <v>325</v>
      </c>
      <c r="M188" s="143" t="s">
        <v>340</v>
      </c>
      <c r="N188" s="143" t="s">
        <v>440</v>
      </c>
      <c r="O188" s="143" t="s">
        <v>339</v>
      </c>
      <c r="P188" s="143" t="s">
        <v>1502</v>
      </c>
      <c r="Q188" s="143" t="s">
        <v>415</v>
      </c>
      <c r="R188" s="143" t="s">
        <v>407</v>
      </c>
      <c r="S188" s="143" t="s">
        <v>1210</v>
      </c>
      <c r="T188" s="144">
        <v>7.89</v>
      </c>
      <c r="U188" s="143" t="s">
        <v>1517</v>
      </c>
      <c r="V188" s="146">
        <v>0.03</v>
      </c>
      <c r="W188" s="146">
        <v>3.3659000000000001E-2</v>
      </c>
      <c r="X188" s="143" t="s">
        <v>412</v>
      </c>
      <c r="Y188" s="145" t="s">
        <v>3876</v>
      </c>
      <c r="Z188" s="144">
        <v>1778000</v>
      </c>
      <c r="AA188" s="145" t="s">
        <v>3876</v>
      </c>
      <c r="AB188" s="143" t="s">
        <v>1518</v>
      </c>
      <c r="AC188" s="145" t="s">
        <v>3876</v>
      </c>
      <c r="AD188" s="144">
        <v>1786.1788000000001</v>
      </c>
      <c r="AE188" s="145" t="s">
        <v>3876</v>
      </c>
      <c r="AF188" s="145" t="s">
        <v>3876</v>
      </c>
      <c r="AG188" s="145" t="s">
        <v>3876</v>
      </c>
      <c r="AH188" s="146">
        <v>6.955952934254117E-4</v>
      </c>
      <c r="AI188" s="146">
        <v>1.480309254361355E-2</v>
      </c>
      <c r="AJ188" s="147">
        <v>1.7964006915504752E-3</v>
      </c>
      <c r="AK188" s="181"/>
    </row>
    <row r="189" spans="1:37" ht="15" x14ac:dyDescent="0.2">
      <c r="A189" s="142" t="s">
        <v>1205</v>
      </c>
      <c r="B189" s="143" t="s">
        <v>1205</v>
      </c>
      <c r="C189" s="143" t="s">
        <v>1509</v>
      </c>
      <c r="D189" s="143" t="s">
        <v>1510</v>
      </c>
      <c r="E189" s="143" t="s">
        <v>309</v>
      </c>
      <c r="F189" s="143" t="s">
        <v>1900</v>
      </c>
      <c r="G189" s="143" t="s">
        <v>1901</v>
      </c>
      <c r="H189" s="143" t="s">
        <v>321</v>
      </c>
      <c r="I189" s="143" t="s">
        <v>754</v>
      </c>
      <c r="J189" s="143" t="s">
        <v>204</v>
      </c>
      <c r="K189" s="143" t="s">
        <v>204</v>
      </c>
      <c r="L189" s="143" t="s">
        <v>325</v>
      </c>
      <c r="M189" s="143" t="s">
        <v>340</v>
      </c>
      <c r="N189" s="143" t="s">
        <v>448</v>
      </c>
      <c r="O189" s="143" t="s">
        <v>339</v>
      </c>
      <c r="P189" s="143" t="s">
        <v>1347</v>
      </c>
      <c r="Q189" s="143" t="s">
        <v>413</v>
      </c>
      <c r="R189" s="143" t="s">
        <v>407</v>
      </c>
      <c r="S189" s="143" t="s">
        <v>1210</v>
      </c>
      <c r="T189" s="144">
        <v>2.46</v>
      </c>
      <c r="U189" s="143" t="s">
        <v>1542</v>
      </c>
      <c r="V189" s="146">
        <v>2E-3</v>
      </c>
      <c r="W189" s="146">
        <v>2.4365999999999999E-2</v>
      </c>
      <c r="X189" s="143" t="s">
        <v>412</v>
      </c>
      <c r="Y189" s="145" t="s">
        <v>3876</v>
      </c>
      <c r="Z189" s="144">
        <v>1571000</v>
      </c>
      <c r="AA189" s="145" t="s">
        <v>3876</v>
      </c>
      <c r="AB189" s="143" t="s">
        <v>1902</v>
      </c>
      <c r="AC189" s="145" t="s">
        <v>3876</v>
      </c>
      <c r="AD189" s="144">
        <v>1690.396</v>
      </c>
      <c r="AE189" s="145" t="s">
        <v>3876</v>
      </c>
      <c r="AF189" s="145" t="s">
        <v>3876</v>
      </c>
      <c r="AG189" s="145" t="s">
        <v>3876</v>
      </c>
      <c r="AH189" s="146">
        <v>1.8644538491299611E-3</v>
      </c>
      <c r="AI189" s="146">
        <v>1.4009285309709293E-2</v>
      </c>
      <c r="AJ189" s="147">
        <v>1.7000697485571752E-3</v>
      </c>
      <c r="AK189" s="181"/>
    </row>
    <row r="190" spans="1:37" ht="15" x14ac:dyDescent="0.2">
      <c r="A190" s="142" t="s">
        <v>1205</v>
      </c>
      <c r="B190" s="143" t="s">
        <v>1205</v>
      </c>
      <c r="C190" s="143" t="s">
        <v>1349</v>
      </c>
      <c r="D190" s="143" t="s">
        <v>1350</v>
      </c>
      <c r="E190" s="143" t="s">
        <v>309</v>
      </c>
      <c r="F190" s="143" t="s">
        <v>1456</v>
      </c>
      <c r="G190" s="143" t="s">
        <v>1457</v>
      </c>
      <c r="H190" s="143" t="s">
        <v>321</v>
      </c>
      <c r="I190" s="143" t="s">
        <v>754</v>
      </c>
      <c r="J190" s="143" t="s">
        <v>204</v>
      </c>
      <c r="K190" s="143" t="s">
        <v>204</v>
      </c>
      <c r="L190" s="143" t="s">
        <v>325</v>
      </c>
      <c r="M190" s="143" t="s">
        <v>340</v>
      </c>
      <c r="N190" s="143" t="s">
        <v>448</v>
      </c>
      <c r="O190" s="143" t="s">
        <v>339</v>
      </c>
      <c r="P190" s="143" t="s">
        <v>1224</v>
      </c>
      <c r="Q190" s="143" t="s">
        <v>413</v>
      </c>
      <c r="R190" s="143" t="s">
        <v>407</v>
      </c>
      <c r="S190" s="143" t="s">
        <v>1210</v>
      </c>
      <c r="T190" s="144">
        <v>1.97</v>
      </c>
      <c r="U190" s="143" t="s">
        <v>1458</v>
      </c>
      <c r="V190" s="146">
        <v>3.8E-3</v>
      </c>
      <c r="W190" s="146">
        <v>2.2020999999999999E-2</v>
      </c>
      <c r="X190" s="143" t="s">
        <v>412</v>
      </c>
      <c r="Y190" s="145" t="s">
        <v>3876</v>
      </c>
      <c r="Z190" s="144">
        <v>1554896</v>
      </c>
      <c r="AA190" s="145" t="s">
        <v>3876</v>
      </c>
      <c r="AB190" s="143" t="s">
        <v>1459</v>
      </c>
      <c r="AC190" s="145" t="s">
        <v>3876</v>
      </c>
      <c r="AD190" s="144">
        <v>1678.8211999999999</v>
      </c>
      <c r="AE190" s="145" t="s">
        <v>3876</v>
      </c>
      <c r="AF190" s="145" t="s">
        <v>3876</v>
      </c>
      <c r="AG190" s="145" t="s">
        <v>3876</v>
      </c>
      <c r="AH190" s="146">
        <v>5.1829866666666669E-4</v>
      </c>
      <c r="AI190" s="146">
        <v>1.3913358367916465E-2</v>
      </c>
      <c r="AJ190" s="147">
        <v>1.6884287198959513E-3</v>
      </c>
      <c r="AK190" s="181"/>
    </row>
    <row r="191" spans="1:37" ht="15" x14ac:dyDescent="0.2">
      <c r="A191" s="142" t="s">
        <v>1205</v>
      </c>
      <c r="B191" s="143" t="s">
        <v>1205</v>
      </c>
      <c r="C191" s="143" t="s">
        <v>1438</v>
      </c>
      <c r="D191" s="143" t="s">
        <v>1439</v>
      </c>
      <c r="E191" s="143" t="s">
        <v>309</v>
      </c>
      <c r="F191" s="143" t="s">
        <v>1528</v>
      </c>
      <c r="G191" s="143" t="s">
        <v>1529</v>
      </c>
      <c r="H191" s="143" t="s">
        <v>321</v>
      </c>
      <c r="I191" s="143" t="s">
        <v>754</v>
      </c>
      <c r="J191" s="143" t="s">
        <v>204</v>
      </c>
      <c r="K191" s="143" t="s">
        <v>204</v>
      </c>
      <c r="L191" s="143" t="s">
        <v>325</v>
      </c>
      <c r="M191" s="143" t="s">
        <v>340</v>
      </c>
      <c r="N191" s="143" t="s">
        <v>464</v>
      </c>
      <c r="O191" s="143" t="s">
        <v>339</v>
      </c>
      <c r="P191" s="143" t="s">
        <v>1366</v>
      </c>
      <c r="Q191" s="143" t="s">
        <v>415</v>
      </c>
      <c r="R191" s="143" t="s">
        <v>407</v>
      </c>
      <c r="S191" s="143" t="s">
        <v>1210</v>
      </c>
      <c r="T191" s="144">
        <v>5.37</v>
      </c>
      <c r="U191" s="143" t="s">
        <v>1530</v>
      </c>
      <c r="V191" s="146">
        <v>5.8999999999999999E-3</v>
      </c>
      <c r="W191" s="146">
        <v>3.5757999999999998E-2</v>
      </c>
      <c r="X191" s="143" t="s">
        <v>412</v>
      </c>
      <c r="Y191" s="145" t="s">
        <v>3876</v>
      </c>
      <c r="Z191" s="144">
        <v>1700000</v>
      </c>
      <c r="AA191" s="145" t="s">
        <v>3876</v>
      </c>
      <c r="AB191" s="143" t="s">
        <v>1531</v>
      </c>
      <c r="AC191" s="145" t="s">
        <v>3876</v>
      </c>
      <c r="AD191" s="144">
        <v>1598</v>
      </c>
      <c r="AE191" s="145" t="s">
        <v>3876</v>
      </c>
      <c r="AF191" s="145" t="s">
        <v>3876</v>
      </c>
      <c r="AG191" s="145" t="s">
        <v>3876</v>
      </c>
      <c r="AH191" s="146">
        <v>1.2138339946348537E-3</v>
      </c>
      <c r="AI191" s="146">
        <v>1.3243546438181023E-2</v>
      </c>
      <c r="AJ191" s="147">
        <v>1.6071449874433955E-3</v>
      </c>
      <c r="AK191" s="181"/>
    </row>
    <row r="192" spans="1:37" ht="15" x14ac:dyDescent="0.2">
      <c r="A192" s="142" t="s">
        <v>1205</v>
      </c>
      <c r="B192" s="143" t="s">
        <v>1205</v>
      </c>
      <c r="C192" s="143" t="s">
        <v>1474</v>
      </c>
      <c r="D192" s="143" t="s">
        <v>1475</v>
      </c>
      <c r="E192" s="143" t="s">
        <v>309</v>
      </c>
      <c r="F192" s="143" t="s">
        <v>1532</v>
      </c>
      <c r="G192" s="143" t="s">
        <v>1533</v>
      </c>
      <c r="H192" s="143" t="s">
        <v>321</v>
      </c>
      <c r="I192" s="143" t="s">
        <v>754</v>
      </c>
      <c r="J192" s="143" t="s">
        <v>204</v>
      </c>
      <c r="K192" s="143" t="s">
        <v>204</v>
      </c>
      <c r="L192" s="143" t="s">
        <v>325</v>
      </c>
      <c r="M192" s="143" t="s">
        <v>340</v>
      </c>
      <c r="N192" s="143" t="s">
        <v>448</v>
      </c>
      <c r="O192" s="143" t="s">
        <v>339</v>
      </c>
      <c r="P192" s="143" t="s">
        <v>1224</v>
      </c>
      <c r="Q192" s="143" t="s">
        <v>413</v>
      </c>
      <c r="R192" s="143" t="s">
        <v>407</v>
      </c>
      <c r="S192" s="143" t="s">
        <v>1210</v>
      </c>
      <c r="T192" s="144">
        <v>4.16</v>
      </c>
      <c r="U192" s="143" t="s">
        <v>1534</v>
      </c>
      <c r="V192" s="146">
        <v>1.3899999999999999E-2</v>
      </c>
      <c r="W192" s="146">
        <v>2.5141E-2</v>
      </c>
      <c r="X192" s="143" t="s">
        <v>412</v>
      </c>
      <c r="Y192" s="145" t="s">
        <v>3876</v>
      </c>
      <c r="Z192" s="144">
        <v>1528200</v>
      </c>
      <c r="AA192" s="145" t="s">
        <v>3876</v>
      </c>
      <c r="AB192" s="143" t="s">
        <v>1535</v>
      </c>
      <c r="AC192" s="145" t="s">
        <v>3876</v>
      </c>
      <c r="AD192" s="144">
        <v>1550.5117</v>
      </c>
      <c r="AE192" s="145" t="s">
        <v>3876</v>
      </c>
      <c r="AF192" s="145" t="s">
        <v>3876</v>
      </c>
      <c r="AG192" s="145" t="s">
        <v>3876</v>
      </c>
      <c r="AH192" s="146">
        <v>8.4900000000000004E-4</v>
      </c>
      <c r="AI192" s="146">
        <v>1.2849983708863538E-2</v>
      </c>
      <c r="AJ192" s="147">
        <v>1.5593849429100361E-3</v>
      </c>
      <c r="AK192" s="181"/>
    </row>
    <row r="193" spans="1:37" ht="15" x14ac:dyDescent="0.2">
      <c r="A193" s="142" t="s">
        <v>1205</v>
      </c>
      <c r="B193" s="143" t="s">
        <v>1205</v>
      </c>
      <c r="C193" s="143" t="s">
        <v>1672</v>
      </c>
      <c r="D193" s="143" t="s">
        <v>1673</v>
      </c>
      <c r="E193" s="143" t="s">
        <v>309</v>
      </c>
      <c r="F193" s="143" t="s">
        <v>1903</v>
      </c>
      <c r="G193" s="143" t="s">
        <v>1904</v>
      </c>
      <c r="H193" s="143" t="s">
        <v>321</v>
      </c>
      <c r="I193" s="143" t="s">
        <v>754</v>
      </c>
      <c r="J193" s="143" t="s">
        <v>204</v>
      </c>
      <c r="K193" s="143" t="s">
        <v>204</v>
      </c>
      <c r="L193" s="143" t="s">
        <v>325</v>
      </c>
      <c r="M193" s="143" t="s">
        <v>340</v>
      </c>
      <c r="N193" s="143" t="s">
        <v>464</v>
      </c>
      <c r="O193" s="143" t="s">
        <v>339</v>
      </c>
      <c r="P193" s="143" t="s">
        <v>1347</v>
      </c>
      <c r="Q193" s="143" t="s">
        <v>413</v>
      </c>
      <c r="R193" s="143" t="s">
        <v>407</v>
      </c>
      <c r="S193" s="143" t="s">
        <v>1210</v>
      </c>
      <c r="T193" s="144">
        <v>7.13</v>
      </c>
      <c r="U193" s="143" t="s">
        <v>1808</v>
      </c>
      <c r="V193" s="146">
        <v>2.5600000000000001E-2</v>
      </c>
      <c r="W193" s="146">
        <v>4.5317999999999997E-2</v>
      </c>
      <c r="X193" s="143" t="s">
        <v>412</v>
      </c>
      <c r="Y193" s="145" t="s">
        <v>3876</v>
      </c>
      <c r="Z193" s="144">
        <v>1634735</v>
      </c>
      <c r="AA193" s="145" t="s">
        <v>3876</v>
      </c>
      <c r="AB193" s="143" t="s">
        <v>1905</v>
      </c>
      <c r="AC193" s="145" t="s">
        <v>3876</v>
      </c>
      <c r="AD193" s="144">
        <v>1521.4478999999999</v>
      </c>
      <c r="AE193" s="145" t="s">
        <v>3876</v>
      </c>
      <c r="AF193" s="145" t="s">
        <v>3876</v>
      </c>
      <c r="AG193" s="145" t="s">
        <v>3876</v>
      </c>
      <c r="AH193" s="146">
        <v>1.556179080039601E-3</v>
      </c>
      <c r="AI193" s="146">
        <v>1.2609114797732853E-2</v>
      </c>
      <c r="AJ193" s="147">
        <v>1.5301547616318107E-3</v>
      </c>
      <c r="AK193" s="181"/>
    </row>
    <row r="194" spans="1:37" ht="15" x14ac:dyDescent="0.2">
      <c r="A194" s="142" t="s">
        <v>1205</v>
      </c>
      <c r="B194" s="143" t="s">
        <v>1205</v>
      </c>
      <c r="C194" s="143" t="s">
        <v>1343</v>
      </c>
      <c r="D194" s="143" t="s">
        <v>1344</v>
      </c>
      <c r="E194" s="143" t="s">
        <v>309</v>
      </c>
      <c r="F194" s="143" t="s">
        <v>1525</v>
      </c>
      <c r="G194" s="143" t="s">
        <v>1526</v>
      </c>
      <c r="H194" s="143" t="s">
        <v>321</v>
      </c>
      <c r="I194" s="143" t="s">
        <v>754</v>
      </c>
      <c r="J194" s="143" t="s">
        <v>204</v>
      </c>
      <c r="K194" s="143" t="s">
        <v>204</v>
      </c>
      <c r="L194" s="143" t="s">
        <v>325</v>
      </c>
      <c r="M194" s="143" t="s">
        <v>340</v>
      </c>
      <c r="N194" s="143" t="s">
        <v>445</v>
      </c>
      <c r="O194" s="143" t="s">
        <v>339</v>
      </c>
      <c r="P194" s="143" t="s">
        <v>1347</v>
      </c>
      <c r="Q194" s="143" t="s">
        <v>413</v>
      </c>
      <c r="R194" s="143" t="s">
        <v>407</v>
      </c>
      <c r="S194" s="143" t="s">
        <v>1210</v>
      </c>
      <c r="T194" s="144">
        <v>1.06</v>
      </c>
      <c r="U194" s="143" t="s">
        <v>1373</v>
      </c>
      <c r="V194" s="146">
        <v>2.4799999999999999E-2</v>
      </c>
      <c r="W194" s="146">
        <v>2.7913E-2</v>
      </c>
      <c r="X194" s="143" t="s">
        <v>412</v>
      </c>
      <c r="Y194" s="145" t="s">
        <v>3876</v>
      </c>
      <c r="Z194" s="144">
        <v>1268339.3999999999</v>
      </c>
      <c r="AA194" s="145" t="s">
        <v>3876</v>
      </c>
      <c r="AB194" s="143" t="s">
        <v>1527</v>
      </c>
      <c r="AC194" s="145" t="s">
        <v>3876</v>
      </c>
      <c r="AD194" s="144">
        <v>1453.2633000000001</v>
      </c>
      <c r="AE194" s="145" t="s">
        <v>3876</v>
      </c>
      <c r="AF194" s="145" t="s">
        <v>3876</v>
      </c>
      <c r="AG194" s="145" t="s">
        <v>3876</v>
      </c>
      <c r="AH194" s="146">
        <v>2.9949957449736187E-3</v>
      </c>
      <c r="AI194" s="146">
        <v>1.2044029909539488E-2</v>
      </c>
      <c r="AJ194" s="147">
        <v>1.4615799769410783E-3</v>
      </c>
      <c r="AK194" s="181"/>
    </row>
    <row r="195" spans="1:37" ht="15" x14ac:dyDescent="0.2">
      <c r="A195" s="142" t="s">
        <v>1205</v>
      </c>
      <c r="B195" s="143" t="s">
        <v>1205</v>
      </c>
      <c r="C195" s="143" t="s">
        <v>1581</v>
      </c>
      <c r="D195" s="143" t="s">
        <v>1582</v>
      </c>
      <c r="E195" s="143" t="s">
        <v>309</v>
      </c>
      <c r="F195" s="143" t="s">
        <v>1583</v>
      </c>
      <c r="G195" s="143" t="s">
        <v>1584</v>
      </c>
      <c r="H195" s="143" t="s">
        <v>321</v>
      </c>
      <c r="I195" s="143" t="s">
        <v>754</v>
      </c>
      <c r="J195" s="143" t="s">
        <v>204</v>
      </c>
      <c r="K195" s="143" t="s">
        <v>204</v>
      </c>
      <c r="L195" s="143" t="s">
        <v>325</v>
      </c>
      <c r="M195" s="143" t="s">
        <v>340</v>
      </c>
      <c r="N195" s="143" t="s">
        <v>464</v>
      </c>
      <c r="O195" s="143" t="s">
        <v>339</v>
      </c>
      <c r="P195" s="143" t="s">
        <v>1410</v>
      </c>
      <c r="Q195" s="143" t="s">
        <v>413</v>
      </c>
      <c r="R195" s="143" t="s">
        <v>407</v>
      </c>
      <c r="S195" s="143" t="s">
        <v>1210</v>
      </c>
      <c r="T195" s="144">
        <v>1.01</v>
      </c>
      <c r="U195" s="143" t="s">
        <v>1585</v>
      </c>
      <c r="V195" s="146">
        <v>2.1100000000000001E-2</v>
      </c>
      <c r="W195" s="146">
        <v>2.5402999999999998E-2</v>
      </c>
      <c r="X195" s="143" t="s">
        <v>412</v>
      </c>
      <c r="Y195" s="145" t="s">
        <v>3876</v>
      </c>
      <c r="Z195" s="144">
        <v>1222775.31</v>
      </c>
      <c r="AA195" s="145" t="s">
        <v>3876</v>
      </c>
      <c r="AB195" s="143" t="s">
        <v>1586</v>
      </c>
      <c r="AC195" s="144">
        <v>29.767799999999998</v>
      </c>
      <c r="AD195" s="144">
        <v>1429.1118999999999</v>
      </c>
      <c r="AE195" s="145" t="s">
        <v>3876</v>
      </c>
      <c r="AF195" s="145" t="s">
        <v>3876</v>
      </c>
      <c r="AG195" s="145" t="s">
        <v>3876</v>
      </c>
      <c r="AH195" s="146">
        <v>1.5901470145176994E-3</v>
      </c>
      <c r="AI195" s="146">
        <v>1.2090576750628105E-2</v>
      </c>
      <c r="AJ195" s="147">
        <v>1.4672285788987253E-3</v>
      </c>
      <c r="AK195" s="181"/>
    </row>
    <row r="196" spans="1:37" ht="15" x14ac:dyDescent="0.2">
      <c r="A196" s="142" t="s">
        <v>1205</v>
      </c>
      <c r="B196" s="143" t="s">
        <v>1205</v>
      </c>
      <c r="C196" s="143" t="s">
        <v>1474</v>
      </c>
      <c r="D196" s="143" t="s">
        <v>1475</v>
      </c>
      <c r="E196" s="143" t="s">
        <v>309</v>
      </c>
      <c r="F196" s="143" t="s">
        <v>1563</v>
      </c>
      <c r="G196" s="143" t="s">
        <v>1564</v>
      </c>
      <c r="H196" s="143" t="s">
        <v>321</v>
      </c>
      <c r="I196" s="143" t="s">
        <v>754</v>
      </c>
      <c r="J196" s="143" t="s">
        <v>204</v>
      </c>
      <c r="K196" s="143" t="s">
        <v>204</v>
      </c>
      <c r="L196" s="143" t="s">
        <v>325</v>
      </c>
      <c r="M196" s="143" t="s">
        <v>340</v>
      </c>
      <c r="N196" s="143" t="s">
        <v>448</v>
      </c>
      <c r="O196" s="143" t="s">
        <v>339</v>
      </c>
      <c r="P196" s="143" t="s">
        <v>1224</v>
      </c>
      <c r="Q196" s="143" t="s">
        <v>413</v>
      </c>
      <c r="R196" s="143" t="s">
        <v>407</v>
      </c>
      <c r="S196" s="143" t="s">
        <v>1210</v>
      </c>
      <c r="T196" s="144">
        <v>3.8</v>
      </c>
      <c r="U196" s="143" t="s">
        <v>1565</v>
      </c>
      <c r="V196" s="146">
        <v>1E-3</v>
      </c>
      <c r="W196" s="146">
        <v>2.5401E-2</v>
      </c>
      <c r="X196" s="143" t="s">
        <v>412</v>
      </c>
      <c r="Y196" s="145" t="s">
        <v>3876</v>
      </c>
      <c r="Z196" s="144">
        <v>1408000.02</v>
      </c>
      <c r="AA196" s="145" t="s">
        <v>3876</v>
      </c>
      <c r="AB196" s="143" t="s">
        <v>1566</v>
      </c>
      <c r="AC196" s="145" t="s">
        <v>3876</v>
      </c>
      <c r="AD196" s="144">
        <v>1421.6576</v>
      </c>
      <c r="AE196" s="145" t="s">
        <v>3876</v>
      </c>
      <c r="AF196" s="145" t="s">
        <v>3876</v>
      </c>
      <c r="AG196" s="145" t="s">
        <v>3876</v>
      </c>
      <c r="AH196" s="146">
        <v>1.2518228280489049E-3</v>
      </c>
      <c r="AI196" s="146">
        <v>1.1782095564601476E-2</v>
      </c>
      <c r="AJ196" s="147">
        <v>1.4297934406479935E-3</v>
      </c>
      <c r="AK196" s="181"/>
    </row>
    <row r="197" spans="1:37" ht="15" x14ac:dyDescent="0.2">
      <c r="A197" s="142" t="s">
        <v>1205</v>
      </c>
      <c r="B197" s="143" t="s">
        <v>1205</v>
      </c>
      <c r="C197" s="143" t="s">
        <v>1740</v>
      </c>
      <c r="D197" s="143" t="s">
        <v>1741</v>
      </c>
      <c r="E197" s="143" t="s">
        <v>309</v>
      </c>
      <c r="F197" s="143" t="s">
        <v>1742</v>
      </c>
      <c r="G197" s="143" t="s">
        <v>1743</v>
      </c>
      <c r="H197" s="143" t="s">
        <v>321</v>
      </c>
      <c r="I197" s="143" t="s">
        <v>754</v>
      </c>
      <c r="J197" s="143" t="s">
        <v>204</v>
      </c>
      <c r="K197" s="143" t="s">
        <v>204</v>
      </c>
      <c r="L197" s="143" t="s">
        <v>325</v>
      </c>
      <c r="M197" s="143" t="s">
        <v>340</v>
      </c>
      <c r="N197" s="143" t="s">
        <v>464</v>
      </c>
      <c r="O197" s="143" t="s">
        <v>339</v>
      </c>
      <c r="P197" s="143" t="s">
        <v>1366</v>
      </c>
      <c r="Q197" s="143" t="s">
        <v>415</v>
      </c>
      <c r="R197" s="143" t="s">
        <v>407</v>
      </c>
      <c r="S197" s="143" t="s">
        <v>1210</v>
      </c>
      <c r="T197" s="144">
        <v>4.6900000000000004</v>
      </c>
      <c r="U197" s="143" t="s">
        <v>1744</v>
      </c>
      <c r="V197" s="146">
        <v>1.17E-2</v>
      </c>
      <c r="W197" s="146">
        <v>3.5473999999999999E-2</v>
      </c>
      <c r="X197" s="143" t="s">
        <v>412</v>
      </c>
      <c r="Y197" s="145" t="s">
        <v>3876</v>
      </c>
      <c r="Z197" s="144">
        <v>1365890.5</v>
      </c>
      <c r="AA197" s="145" t="s">
        <v>3876</v>
      </c>
      <c r="AB197" s="143" t="s">
        <v>1745</v>
      </c>
      <c r="AC197" s="145" t="s">
        <v>3876</v>
      </c>
      <c r="AD197" s="144">
        <v>1388.9739999999999</v>
      </c>
      <c r="AE197" s="145" t="s">
        <v>3876</v>
      </c>
      <c r="AF197" s="145" t="s">
        <v>3876</v>
      </c>
      <c r="AG197" s="145" t="s">
        <v>3876</v>
      </c>
      <c r="AH197" s="146">
        <v>1.9836581390993342E-3</v>
      </c>
      <c r="AI197" s="146">
        <v>1.1511227988310025E-2</v>
      </c>
      <c r="AJ197" s="147">
        <v>1.3969228293257338E-3</v>
      </c>
      <c r="AK197" s="181"/>
    </row>
    <row r="198" spans="1:37" ht="15" x14ac:dyDescent="0.2">
      <c r="A198" s="142" t="s">
        <v>1205</v>
      </c>
      <c r="B198" s="143" t="s">
        <v>1205</v>
      </c>
      <c r="C198" s="143" t="s">
        <v>1730</v>
      </c>
      <c r="D198" s="143" t="s">
        <v>1731</v>
      </c>
      <c r="E198" s="143" t="s">
        <v>309</v>
      </c>
      <c r="F198" s="143" t="s">
        <v>1732</v>
      </c>
      <c r="G198" s="143" t="s">
        <v>1733</v>
      </c>
      <c r="H198" s="143" t="s">
        <v>321</v>
      </c>
      <c r="I198" s="143" t="s">
        <v>754</v>
      </c>
      <c r="J198" s="143" t="s">
        <v>204</v>
      </c>
      <c r="K198" s="143" t="s">
        <v>204</v>
      </c>
      <c r="L198" s="143" t="s">
        <v>325</v>
      </c>
      <c r="M198" s="143" t="s">
        <v>340</v>
      </c>
      <c r="N198" s="143" t="s">
        <v>440</v>
      </c>
      <c r="O198" s="143" t="s">
        <v>339</v>
      </c>
      <c r="P198" s="143" t="s">
        <v>1359</v>
      </c>
      <c r="Q198" s="143" t="s">
        <v>415</v>
      </c>
      <c r="R198" s="143" t="s">
        <v>407</v>
      </c>
      <c r="S198" s="143" t="s">
        <v>1210</v>
      </c>
      <c r="T198" s="144">
        <v>3.69</v>
      </c>
      <c r="U198" s="143" t="s">
        <v>1538</v>
      </c>
      <c r="V198" s="146">
        <v>1.7999999999999999E-2</v>
      </c>
      <c r="W198" s="146">
        <v>3.5799999999999998E-2</v>
      </c>
      <c r="X198" s="143" t="s">
        <v>412</v>
      </c>
      <c r="Y198" s="145" t="s">
        <v>3876</v>
      </c>
      <c r="Z198" s="144">
        <v>1254519.98</v>
      </c>
      <c r="AA198" s="145" t="s">
        <v>3876</v>
      </c>
      <c r="AB198" s="143" t="s">
        <v>1734</v>
      </c>
      <c r="AC198" s="145" t="s">
        <v>3876</v>
      </c>
      <c r="AD198" s="144">
        <v>1341.5836999999999</v>
      </c>
      <c r="AE198" s="145" t="s">
        <v>3876</v>
      </c>
      <c r="AF198" s="145" t="s">
        <v>3876</v>
      </c>
      <c r="AG198" s="145" t="s">
        <v>3876</v>
      </c>
      <c r="AH198" s="146">
        <v>1.2608807767766244E-3</v>
      </c>
      <c r="AI198" s="146">
        <v>1.1118476589162197E-2</v>
      </c>
      <c r="AJ198" s="147">
        <v>1.3492612421973763E-3</v>
      </c>
      <c r="AK198" s="181"/>
    </row>
    <row r="199" spans="1:37" ht="15" x14ac:dyDescent="0.2">
      <c r="A199" s="142" t="s">
        <v>1205</v>
      </c>
      <c r="B199" s="143" t="s">
        <v>1205</v>
      </c>
      <c r="C199" s="143" t="s">
        <v>1509</v>
      </c>
      <c r="D199" s="143" t="s">
        <v>1510</v>
      </c>
      <c r="E199" s="143" t="s">
        <v>309</v>
      </c>
      <c r="F199" s="143" t="s">
        <v>1550</v>
      </c>
      <c r="G199" s="143" t="s">
        <v>1551</v>
      </c>
      <c r="H199" s="143" t="s">
        <v>321</v>
      </c>
      <c r="I199" s="143" t="s">
        <v>754</v>
      </c>
      <c r="J199" s="143" t="s">
        <v>204</v>
      </c>
      <c r="K199" s="143" t="s">
        <v>204</v>
      </c>
      <c r="L199" s="143" t="s">
        <v>325</v>
      </c>
      <c r="M199" s="143" t="s">
        <v>340</v>
      </c>
      <c r="N199" s="143" t="s">
        <v>448</v>
      </c>
      <c r="O199" s="143" t="s">
        <v>339</v>
      </c>
      <c r="P199" s="143" t="s">
        <v>1347</v>
      </c>
      <c r="Q199" s="143" t="s">
        <v>413</v>
      </c>
      <c r="R199" s="143" t="s">
        <v>407</v>
      </c>
      <c r="S199" s="143" t="s">
        <v>1210</v>
      </c>
      <c r="T199" s="144">
        <v>4.75</v>
      </c>
      <c r="U199" s="143" t="s">
        <v>1552</v>
      </c>
      <c r="V199" s="146">
        <v>2.5899999999999999E-2</v>
      </c>
      <c r="W199" s="146">
        <v>2.7512000000000002E-2</v>
      </c>
      <c r="X199" s="143" t="s">
        <v>412</v>
      </c>
      <c r="Y199" s="145" t="s">
        <v>3876</v>
      </c>
      <c r="Z199" s="144">
        <v>1280000</v>
      </c>
      <c r="AA199" s="145" t="s">
        <v>3876</v>
      </c>
      <c r="AB199" s="143" t="s">
        <v>1553</v>
      </c>
      <c r="AC199" s="145" t="s">
        <v>3876</v>
      </c>
      <c r="AD199" s="144">
        <v>1309.6959999999999</v>
      </c>
      <c r="AE199" s="145" t="s">
        <v>3876</v>
      </c>
      <c r="AF199" s="145" t="s">
        <v>3876</v>
      </c>
      <c r="AG199" s="145" t="s">
        <v>3876</v>
      </c>
      <c r="AH199" s="146">
        <v>2.8444444444444446E-3</v>
      </c>
      <c r="AI199" s="146">
        <v>1.0854205128848519E-2</v>
      </c>
      <c r="AJ199" s="147">
        <v>1.3171910897838957E-3</v>
      </c>
      <c r="AK199" s="181"/>
    </row>
    <row r="200" spans="1:37" ht="15" x14ac:dyDescent="0.2">
      <c r="A200" s="142" t="s">
        <v>1205</v>
      </c>
      <c r="B200" s="143" t="s">
        <v>1205</v>
      </c>
      <c r="C200" s="143" t="s">
        <v>1474</v>
      </c>
      <c r="D200" s="143" t="s">
        <v>1475</v>
      </c>
      <c r="E200" s="143" t="s">
        <v>309</v>
      </c>
      <c r="F200" s="143" t="s">
        <v>1906</v>
      </c>
      <c r="G200" s="143" t="s">
        <v>1907</v>
      </c>
      <c r="H200" s="143" t="s">
        <v>321</v>
      </c>
      <c r="I200" s="143" t="s">
        <v>754</v>
      </c>
      <c r="J200" s="143" t="s">
        <v>204</v>
      </c>
      <c r="K200" s="143" t="s">
        <v>204</v>
      </c>
      <c r="L200" s="143" t="s">
        <v>325</v>
      </c>
      <c r="M200" s="143" t="s">
        <v>340</v>
      </c>
      <c r="N200" s="143" t="s">
        <v>448</v>
      </c>
      <c r="O200" s="143" t="s">
        <v>339</v>
      </c>
      <c r="P200" s="143" t="s">
        <v>1224</v>
      </c>
      <c r="Q200" s="143" t="s">
        <v>413</v>
      </c>
      <c r="R200" s="143" t="s">
        <v>407</v>
      </c>
      <c r="S200" s="143" t="s">
        <v>1210</v>
      </c>
      <c r="T200" s="144">
        <v>2.29</v>
      </c>
      <c r="U200" s="143" t="s">
        <v>1908</v>
      </c>
      <c r="V200" s="146">
        <v>6.0000000000000001E-3</v>
      </c>
      <c r="W200" s="146">
        <v>2.1609E-2</v>
      </c>
      <c r="X200" s="143" t="s">
        <v>412</v>
      </c>
      <c r="Y200" s="145" t="s">
        <v>3876</v>
      </c>
      <c r="Z200" s="144">
        <v>1159600.02</v>
      </c>
      <c r="AA200" s="145" t="s">
        <v>3876</v>
      </c>
      <c r="AB200" s="143" t="s">
        <v>1909</v>
      </c>
      <c r="AC200" s="145" t="s">
        <v>3876</v>
      </c>
      <c r="AD200" s="144">
        <v>1283.4453000000001</v>
      </c>
      <c r="AE200" s="145" t="s">
        <v>3876</v>
      </c>
      <c r="AF200" s="145" t="s">
        <v>3876</v>
      </c>
      <c r="AG200" s="145" t="s">
        <v>3876</v>
      </c>
      <c r="AH200" s="146">
        <v>1.3034222364099464E-3</v>
      </c>
      <c r="AI200" s="146">
        <v>1.063665047540888E-2</v>
      </c>
      <c r="AJ200" s="147">
        <v>1.290790165197526E-3</v>
      </c>
      <c r="AK200" s="181"/>
    </row>
    <row r="201" spans="1:37" ht="15" x14ac:dyDescent="0.2">
      <c r="A201" s="142" t="s">
        <v>1205</v>
      </c>
      <c r="B201" s="143" t="s">
        <v>1205</v>
      </c>
      <c r="C201" s="143" t="s">
        <v>1776</v>
      </c>
      <c r="D201" s="143" t="s">
        <v>1777</v>
      </c>
      <c r="E201" s="143" t="s">
        <v>309</v>
      </c>
      <c r="F201" s="143" t="s">
        <v>1910</v>
      </c>
      <c r="G201" s="143" t="s">
        <v>1911</v>
      </c>
      <c r="H201" s="143" t="s">
        <v>321</v>
      </c>
      <c r="I201" s="143" t="s">
        <v>754</v>
      </c>
      <c r="J201" s="143" t="s">
        <v>204</v>
      </c>
      <c r="K201" s="143" t="s">
        <v>204</v>
      </c>
      <c r="L201" s="143" t="s">
        <v>325</v>
      </c>
      <c r="M201" s="143" t="s">
        <v>340</v>
      </c>
      <c r="N201" s="143" t="s">
        <v>464</v>
      </c>
      <c r="O201" s="143" t="s">
        <v>339</v>
      </c>
      <c r="P201" s="143" t="s">
        <v>1410</v>
      </c>
      <c r="Q201" s="143" t="s">
        <v>413</v>
      </c>
      <c r="R201" s="143" t="s">
        <v>407</v>
      </c>
      <c r="S201" s="143" t="s">
        <v>1210</v>
      </c>
      <c r="T201" s="144">
        <v>5.8</v>
      </c>
      <c r="U201" s="143" t="s">
        <v>1780</v>
      </c>
      <c r="V201" s="146">
        <v>9.1999999999999998E-3</v>
      </c>
      <c r="W201" s="146">
        <v>3.5089000000000002E-2</v>
      </c>
      <c r="X201" s="143" t="s">
        <v>412</v>
      </c>
      <c r="Y201" s="145" t="s">
        <v>3876</v>
      </c>
      <c r="Z201" s="144">
        <v>1300000</v>
      </c>
      <c r="AA201" s="145" t="s">
        <v>3876</v>
      </c>
      <c r="AB201" s="143" t="s">
        <v>1912</v>
      </c>
      <c r="AC201" s="145" t="s">
        <v>3876</v>
      </c>
      <c r="AD201" s="144">
        <v>1281.67</v>
      </c>
      <c r="AE201" s="145" t="s">
        <v>3876</v>
      </c>
      <c r="AF201" s="145" t="s">
        <v>3876</v>
      </c>
      <c r="AG201" s="145" t="s">
        <v>3876</v>
      </c>
      <c r="AH201" s="146">
        <v>5.0256831739740741E-4</v>
      </c>
      <c r="AI201" s="146">
        <v>1.0621937524044726E-2</v>
      </c>
      <c r="AJ201" s="147">
        <v>1.2890047034146287E-3</v>
      </c>
      <c r="AK201" s="181"/>
    </row>
    <row r="202" spans="1:37" ht="15" x14ac:dyDescent="0.2">
      <c r="A202" s="142" t="s">
        <v>1205</v>
      </c>
      <c r="B202" s="143" t="s">
        <v>1205</v>
      </c>
      <c r="C202" s="143" t="s">
        <v>1349</v>
      </c>
      <c r="D202" s="143" t="s">
        <v>1350</v>
      </c>
      <c r="E202" s="143" t="s">
        <v>309</v>
      </c>
      <c r="F202" s="143" t="s">
        <v>1486</v>
      </c>
      <c r="G202" s="143" t="s">
        <v>1487</v>
      </c>
      <c r="H202" s="143" t="s">
        <v>321</v>
      </c>
      <c r="I202" s="143" t="s">
        <v>754</v>
      </c>
      <c r="J202" s="143" t="s">
        <v>204</v>
      </c>
      <c r="K202" s="143" t="s">
        <v>204</v>
      </c>
      <c r="L202" s="143" t="s">
        <v>325</v>
      </c>
      <c r="M202" s="143" t="s">
        <v>340</v>
      </c>
      <c r="N202" s="143" t="s">
        <v>448</v>
      </c>
      <c r="O202" s="143" t="s">
        <v>339</v>
      </c>
      <c r="P202" s="143" t="s">
        <v>1209</v>
      </c>
      <c r="Q202" s="143" t="s">
        <v>415</v>
      </c>
      <c r="R202" s="143" t="s">
        <v>407</v>
      </c>
      <c r="S202" s="143" t="s">
        <v>1210</v>
      </c>
      <c r="T202" s="144">
        <v>2.41</v>
      </c>
      <c r="U202" s="143" t="s">
        <v>1488</v>
      </c>
      <c r="V202" s="146">
        <v>5.0000000000000001E-3</v>
      </c>
      <c r="W202" s="146">
        <v>2.1951999999999999E-2</v>
      </c>
      <c r="X202" s="143" t="s">
        <v>412</v>
      </c>
      <c r="Y202" s="145" t="s">
        <v>3876</v>
      </c>
      <c r="Z202" s="144">
        <v>1165600</v>
      </c>
      <c r="AA202" s="145" t="s">
        <v>3876</v>
      </c>
      <c r="AB202" s="143" t="s">
        <v>1489</v>
      </c>
      <c r="AC202" s="145" t="s">
        <v>3876</v>
      </c>
      <c r="AD202" s="144">
        <v>1262.1116999999999</v>
      </c>
      <c r="AE202" s="145" t="s">
        <v>3876</v>
      </c>
      <c r="AF202" s="145" t="s">
        <v>3876</v>
      </c>
      <c r="AG202" s="145" t="s">
        <v>3876</v>
      </c>
      <c r="AH202" s="146">
        <v>1.5271732860612233E-3</v>
      </c>
      <c r="AI202" s="146">
        <v>1.0459846460732582E-2</v>
      </c>
      <c r="AJ202" s="147">
        <v>1.2693344556356464E-3</v>
      </c>
      <c r="AK202" s="181"/>
    </row>
    <row r="203" spans="1:37" ht="15" x14ac:dyDescent="0.2">
      <c r="A203" s="142" t="s">
        <v>1205</v>
      </c>
      <c r="B203" s="143" t="s">
        <v>1205</v>
      </c>
      <c r="C203" s="143" t="s">
        <v>1730</v>
      </c>
      <c r="D203" s="143" t="s">
        <v>1731</v>
      </c>
      <c r="E203" s="143" t="s">
        <v>309</v>
      </c>
      <c r="F203" s="143" t="s">
        <v>1913</v>
      </c>
      <c r="G203" s="143" t="s">
        <v>1914</v>
      </c>
      <c r="H203" s="143" t="s">
        <v>321</v>
      </c>
      <c r="I203" s="143" t="s">
        <v>754</v>
      </c>
      <c r="J203" s="143" t="s">
        <v>204</v>
      </c>
      <c r="K203" s="143" t="s">
        <v>204</v>
      </c>
      <c r="L203" s="143" t="s">
        <v>325</v>
      </c>
      <c r="M203" s="143" t="s">
        <v>340</v>
      </c>
      <c r="N203" s="143" t="s">
        <v>440</v>
      </c>
      <c r="O203" s="143" t="s">
        <v>339</v>
      </c>
      <c r="P203" s="143" t="s">
        <v>1359</v>
      </c>
      <c r="Q203" s="143" t="s">
        <v>415</v>
      </c>
      <c r="R203" s="143" t="s">
        <v>407</v>
      </c>
      <c r="S203" s="143" t="s">
        <v>1210</v>
      </c>
      <c r="T203" s="144">
        <v>5.97</v>
      </c>
      <c r="U203" s="143" t="s">
        <v>1915</v>
      </c>
      <c r="V203" s="146">
        <v>3.3000000000000002E-2</v>
      </c>
      <c r="W203" s="146">
        <v>4.1916000000000002E-2</v>
      </c>
      <c r="X203" s="143" t="s">
        <v>412</v>
      </c>
      <c r="Y203" s="145" t="s">
        <v>3876</v>
      </c>
      <c r="Z203" s="144">
        <v>1250200.03</v>
      </c>
      <c r="AA203" s="145" t="s">
        <v>3876</v>
      </c>
      <c r="AB203" s="143" t="s">
        <v>1916</v>
      </c>
      <c r="AC203" s="145" t="s">
        <v>3876</v>
      </c>
      <c r="AD203" s="144">
        <v>1259.0764999999999</v>
      </c>
      <c r="AE203" s="145" t="s">
        <v>3876</v>
      </c>
      <c r="AF203" s="145" t="s">
        <v>3876</v>
      </c>
      <c r="AG203" s="145" t="s">
        <v>3876</v>
      </c>
      <c r="AH203" s="146">
        <v>9.9852142477978799E-4</v>
      </c>
      <c r="AI203" s="146">
        <v>1.0434691763214007E-2</v>
      </c>
      <c r="AJ203" s="147">
        <v>1.2662818559248104E-3</v>
      </c>
      <c r="AK203" s="181"/>
    </row>
    <row r="204" spans="1:37" ht="15" x14ac:dyDescent="0.2">
      <c r="A204" s="142" t="s">
        <v>1205</v>
      </c>
      <c r="B204" s="143" t="s">
        <v>1205</v>
      </c>
      <c r="C204" s="143" t="s">
        <v>1349</v>
      </c>
      <c r="D204" s="143" t="s">
        <v>1350</v>
      </c>
      <c r="E204" s="143" t="s">
        <v>309</v>
      </c>
      <c r="F204" s="143" t="s">
        <v>1917</v>
      </c>
      <c r="G204" s="143" t="s">
        <v>1918</v>
      </c>
      <c r="H204" s="143" t="s">
        <v>321</v>
      </c>
      <c r="I204" s="143" t="s">
        <v>754</v>
      </c>
      <c r="J204" s="143" t="s">
        <v>204</v>
      </c>
      <c r="K204" s="143" t="s">
        <v>204</v>
      </c>
      <c r="L204" s="143" t="s">
        <v>325</v>
      </c>
      <c r="M204" s="143" t="s">
        <v>340</v>
      </c>
      <c r="N204" s="143" t="s">
        <v>448</v>
      </c>
      <c r="O204" s="143" t="s">
        <v>339</v>
      </c>
      <c r="P204" s="143" t="s">
        <v>1224</v>
      </c>
      <c r="Q204" s="143" t="s">
        <v>413</v>
      </c>
      <c r="R204" s="143" t="s">
        <v>407</v>
      </c>
      <c r="S204" s="143" t="s">
        <v>1210</v>
      </c>
      <c r="T204" s="144">
        <v>3.73</v>
      </c>
      <c r="U204" s="143" t="s">
        <v>1919</v>
      </c>
      <c r="V204" s="146">
        <v>1.6400000000000001E-2</v>
      </c>
      <c r="W204" s="146">
        <v>2.5266E-2</v>
      </c>
      <c r="X204" s="143" t="s">
        <v>412</v>
      </c>
      <c r="Y204" s="145" t="s">
        <v>3876</v>
      </c>
      <c r="Z204" s="144">
        <v>1155570</v>
      </c>
      <c r="AA204" s="145" t="s">
        <v>3876</v>
      </c>
      <c r="AB204" s="143" t="s">
        <v>1920</v>
      </c>
      <c r="AC204" s="145" t="s">
        <v>3876</v>
      </c>
      <c r="AD204" s="144">
        <v>1189.8904</v>
      </c>
      <c r="AE204" s="145" t="s">
        <v>3876</v>
      </c>
      <c r="AF204" s="145" t="s">
        <v>3876</v>
      </c>
      <c r="AG204" s="145" t="s">
        <v>3876</v>
      </c>
      <c r="AH204" s="146">
        <v>1.0743801652892562E-3</v>
      </c>
      <c r="AI204" s="146">
        <v>9.8613073546987735E-3</v>
      </c>
      <c r="AJ204" s="147">
        <v>1.1966998989826167E-3</v>
      </c>
      <c r="AK204" s="181"/>
    </row>
    <row r="205" spans="1:37" ht="15" x14ac:dyDescent="0.2">
      <c r="A205" s="142" t="s">
        <v>1205</v>
      </c>
      <c r="B205" s="143" t="s">
        <v>1205</v>
      </c>
      <c r="C205" s="143" t="s">
        <v>1613</v>
      </c>
      <c r="D205" s="143" t="s">
        <v>1614</v>
      </c>
      <c r="E205" s="143" t="s">
        <v>309</v>
      </c>
      <c r="F205" s="143" t="s">
        <v>1615</v>
      </c>
      <c r="G205" s="143" t="s">
        <v>1616</v>
      </c>
      <c r="H205" s="143" t="s">
        <v>321</v>
      </c>
      <c r="I205" s="143" t="s">
        <v>754</v>
      </c>
      <c r="J205" s="143" t="s">
        <v>204</v>
      </c>
      <c r="K205" s="143" t="s">
        <v>204</v>
      </c>
      <c r="L205" s="143" t="s">
        <v>325</v>
      </c>
      <c r="M205" s="143" t="s">
        <v>340</v>
      </c>
      <c r="N205" s="143" t="s">
        <v>445</v>
      </c>
      <c r="O205" s="143" t="s">
        <v>339</v>
      </c>
      <c r="P205" s="143" t="s">
        <v>1617</v>
      </c>
      <c r="Q205" s="143" t="s">
        <v>415</v>
      </c>
      <c r="R205" s="143" t="s">
        <v>407</v>
      </c>
      <c r="S205" s="143" t="s">
        <v>1210</v>
      </c>
      <c r="T205" s="144">
        <v>4.76</v>
      </c>
      <c r="U205" s="143" t="s">
        <v>1618</v>
      </c>
      <c r="V205" s="146">
        <v>5.1700000000000003E-2</v>
      </c>
      <c r="W205" s="146">
        <v>5.8743999999999998E-2</v>
      </c>
      <c r="X205" s="143" t="s">
        <v>412</v>
      </c>
      <c r="Y205" s="145" t="s">
        <v>3876</v>
      </c>
      <c r="Z205" s="144">
        <v>1187299</v>
      </c>
      <c r="AA205" s="145" t="s">
        <v>3876</v>
      </c>
      <c r="AB205" s="143" t="s">
        <v>1619</v>
      </c>
      <c r="AC205" s="145" t="s">
        <v>3876</v>
      </c>
      <c r="AD205" s="144">
        <v>1158.5663999999999</v>
      </c>
      <c r="AE205" s="145" t="s">
        <v>3876</v>
      </c>
      <c r="AF205" s="145" t="s">
        <v>3876</v>
      </c>
      <c r="AG205" s="145" t="s">
        <v>3876</v>
      </c>
      <c r="AH205" s="146">
        <v>1.9457092102114996E-3</v>
      </c>
      <c r="AI205" s="146">
        <v>9.6017067872323208E-3</v>
      </c>
      <c r="AJ205" s="147">
        <v>1.1651965737450247E-3</v>
      </c>
      <c r="AK205" s="181"/>
    </row>
    <row r="206" spans="1:37" ht="15" x14ac:dyDescent="0.2">
      <c r="A206" s="142" t="s">
        <v>1205</v>
      </c>
      <c r="B206" s="143" t="s">
        <v>1205</v>
      </c>
      <c r="C206" s="143" t="s">
        <v>1607</v>
      </c>
      <c r="D206" s="143" t="s">
        <v>1608</v>
      </c>
      <c r="E206" s="143" t="s">
        <v>309</v>
      </c>
      <c r="F206" s="143" t="s">
        <v>1609</v>
      </c>
      <c r="G206" s="143" t="s">
        <v>1610</v>
      </c>
      <c r="H206" s="143" t="s">
        <v>321</v>
      </c>
      <c r="I206" s="143" t="s">
        <v>754</v>
      </c>
      <c r="J206" s="143" t="s">
        <v>204</v>
      </c>
      <c r="K206" s="143" t="s">
        <v>204</v>
      </c>
      <c r="L206" s="143" t="s">
        <v>325</v>
      </c>
      <c r="M206" s="143" t="s">
        <v>340</v>
      </c>
      <c r="N206" s="143" t="s">
        <v>448</v>
      </c>
      <c r="O206" s="143" t="s">
        <v>339</v>
      </c>
      <c r="P206" s="143" t="s">
        <v>1224</v>
      </c>
      <c r="Q206" s="143" t="s">
        <v>413</v>
      </c>
      <c r="R206" s="143" t="s">
        <v>407</v>
      </c>
      <c r="S206" s="143" t="s">
        <v>1210</v>
      </c>
      <c r="T206" s="144">
        <v>2.98</v>
      </c>
      <c r="U206" s="143" t="s">
        <v>1611</v>
      </c>
      <c r="V206" s="146">
        <v>1.4999999999999999E-2</v>
      </c>
      <c r="W206" s="146">
        <v>2.4263E-2</v>
      </c>
      <c r="X206" s="143" t="s">
        <v>412</v>
      </c>
      <c r="Y206" s="145" t="s">
        <v>3876</v>
      </c>
      <c r="Z206" s="144">
        <v>996332.29</v>
      </c>
      <c r="AA206" s="145" t="s">
        <v>3876</v>
      </c>
      <c r="AB206" s="143" t="s">
        <v>1612</v>
      </c>
      <c r="AC206" s="145" t="s">
        <v>3876</v>
      </c>
      <c r="AD206" s="144">
        <v>1107.6226000000001</v>
      </c>
      <c r="AE206" s="145" t="s">
        <v>3876</v>
      </c>
      <c r="AF206" s="145" t="s">
        <v>3876</v>
      </c>
      <c r="AG206" s="145" t="s">
        <v>3876</v>
      </c>
      <c r="AH206" s="146">
        <v>3.5692913726044855E-3</v>
      </c>
      <c r="AI206" s="146">
        <v>9.1795065263092709E-3</v>
      </c>
      <c r="AJ206" s="147">
        <v>1.1139612769000982E-3</v>
      </c>
      <c r="AK206" s="181"/>
    </row>
    <row r="207" spans="1:37" ht="15" x14ac:dyDescent="0.2">
      <c r="A207" s="142" t="s">
        <v>1205</v>
      </c>
      <c r="B207" s="143" t="s">
        <v>1205</v>
      </c>
      <c r="C207" s="143" t="s">
        <v>1724</v>
      </c>
      <c r="D207" s="143" t="s">
        <v>1725</v>
      </c>
      <c r="E207" s="143" t="s">
        <v>309</v>
      </c>
      <c r="F207" s="143" t="s">
        <v>1921</v>
      </c>
      <c r="G207" s="143" t="s">
        <v>1922</v>
      </c>
      <c r="H207" s="143" t="s">
        <v>321</v>
      </c>
      <c r="I207" s="143" t="s">
        <v>754</v>
      </c>
      <c r="J207" s="143" t="s">
        <v>204</v>
      </c>
      <c r="K207" s="143" t="s">
        <v>204</v>
      </c>
      <c r="L207" s="143" t="s">
        <v>325</v>
      </c>
      <c r="M207" s="143" t="s">
        <v>340</v>
      </c>
      <c r="N207" s="143" t="s">
        <v>464</v>
      </c>
      <c r="O207" s="143" t="s">
        <v>339</v>
      </c>
      <c r="P207" s="143" t="s">
        <v>1728</v>
      </c>
      <c r="Q207" s="143" t="s">
        <v>413</v>
      </c>
      <c r="R207" s="143" t="s">
        <v>407</v>
      </c>
      <c r="S207" s="143" t="s">
        <v>1210</v>
      </c>
      <c r="T207" s="144">
        <v>3.44</v>
      </c>
      <c r="U207" s="143" t="s">
        <v>1436</v>
      </c>
      <c r="V207" s="146">
        <v>2.7E-2</v>
      </c>
      <c r="W207" s="146">
        <v>3.4224999999999998E-2</v>
      </c>
      <c r="X207" s="143" t="s">
        <v>412</v>
      </c>
      <c r="Y207" s="145" t="s">
        <v>3876</v>
      </c>
      <c r="Z207" s="144">
        <v>1051000</v>
      </c>
      <c r="AA207" s="145" t="s">
        <v>3876</v>
      </c>
      <c r="AB207" s="143" t="s">
        <v>1923</v>
      </c>
      <c r="AC207" s="145" t="s">
        <v>3876</v>
      </c>
      <c r="AD207" s="144">
        <v>1082.0045</v>
      </c>
      <c r="AE207" s="145" t="s">
        <v>3876</v>
      </c>
      <c r="AF207" s="145" t="s">
        <v>3876</v>
      </c>
      <c r="AG207" s="145" t="s">
        <v>3876</v>
      </c>
      <c r="AH207" s="146">
        <v>2.4016489342254398E-3</v>
      </c>
      <c r="AI207" s="146">
        <v>8.9671945194435797E-3</v>
      </c>
      <c r="AJ207" s="147">
        <v>1.0881965635583214E-3</v>
      </c>
      <c r="AK207" s="181"/>
    </row>
    <row r="208" spans="1:37" ht="15" x14ac:dyDescent="0.2">
      <c r="A208" s="142" t="s">
        <v>1205</v>
      </c>
      <c r="B208" s="143" t="s">
        <v>1205</v>
      </c>
      <c r="C208" s="143" t="s">
        <v>1724</v>
      </c>
      <c r="D208" s="143" t="s">
        <v>1725</v>
      </c>
      <c r="E208" s="143" t="s">
        <v>309</v>
      </c>
      <c r="F208" s="143" t="s">
        <v>1726</v>
      </c>
      <c r="G208" s="143" t="s">
        <v>1727</v>
      </c>
      <c r="H208" s="143" t="s">
        <v>321</v>
      </c>
      <c r="I208" s="143" t="s">
        <v>754</v>
      </c>
      <c r="J208" s="143" t="s">
        <v>204</v>
      </c>
      <c r="K208" s="143" t="s">
        <v>204</v>
      </c>
      <c r="L208" s="143" t="s">
        <v>325</v>
      </c>
      <c r="M208" s="143" t="s">
        <v>340</v>
      </c>
      <c r="N208" s="143" t="s">
        <v>464</v>
      </c>
      <c r="O208" s="143" t="s">
        <v>339</v>
      </c>
      <c r="P208" s="143" t="s">
        <v>1728</v>
      </c>
      <c r="Q208" s="143" t="s">
        <v>413</v>
      </c>
      <c r="R208" s="143" t="s">
        <v>407</v>
      </c>
      <c r="S208" s="143" t="s">
        <v>1210</v>
      </c>
      <c r="T208" s="144">
        <v>3.03</v>
      </c>
      <c r="U208" s="143" t="s">
        <v>1419</v>
      </c>
      <c r="V208" s="146">
        <v>1.7999999999999999E-2</v>
      </c>
      <c r="W208" s="146">
        <v>3.0234E-2</v>
      </c>
      <c r="X208" s="143" t="s">
        <v>412</v>
      </c>
      <c r="Y208" s="145" t="s">
        <v>3876</v>
      </c>
      <c r="Z208" s="144">
        <v>926807.27</v>
      </c>
      <c r="AA208" s="145" t="s">
        <v>3876</v>
      </c>
      <c r="AB208" s="143" t="s">
        <v>1729</v>
      </c>
      <c r="AC208" s="145" t="s">
        <v>3876</v>
      </c>
      <c r="AD208" s="144">
        <v>1024.3073999999999</v>
      </c>
      <c r="AE208" s="145" t="s">
        <v>3876</v>
      </c>
      <c r="AF208" s="145" t="s">
        <v>3876</v>
      </c>
      <c r="AG208" s="145" t="s">
        <v>3876</v>
      </c>
      <c r="AH208" s="146">
        <v>1.1750734307998129E-3</v>
      </c>
      <c r="AI208" s="146">
        <v>8.489025375506257E-3</v>
      </c>
      <c r="AJ208" s="147">
        <v>1.0301692710641124E-3</v>
      </c>
      <c r="AK208" s="181"/>
    </row>
    <row r="209" spans="1:37" ht="15" x14ac:dyDescent="0.2">
      <c r="A209" s="142" t="s">
        <v>1205</v>
      </c>
      <c r="B209" s="143" t="s">
        <v>1205</v>
      </c>
      <c r="C209" s="143" t="s">
        <v>1581</v>
      </c>
      <c r="D209" s="143" t="s">
        <v>1582</v>
      </c>
      <c r="E209" s="143" t="s">
        <v>309</v>
      </c>
      <c r="F209" s="143" t="s">
        <v>1924</v>
      </c>
      <c r="G209" s="143" t="s">
        <v>1925</v>
      </c>
      <c r="H209" s="143" t="s">
        <v>321</v>
      </c>
      <c r="I209" s="143" t="s">
        <v>754</v>
      </c>
      <c r="J209" s="143" t="s">
        <v>204</v>
      </c>
      <c r="K209" s="143" t="s">
        <v>204</v>
      </c>
      <c r="L209" s="143" t="s">
        <v>325</v>
      </c>
      <c r="M209" s="143" t="s">
        <v>340</v>
      </c>
      <c r="N209" s="143" t="s">
        <v>464</v>
      </c>
      <c r="O209" s="143" t="s">
        <v>339</v>
      </c>
      <c r="P209" s="143" t="s">
        <v>1410</v>
      </c>
      <c r="Q209" s="143" t="s">
        <v>413</v>
      </c>
      <c r="R209" s="143" t="s">
        <v>407</v>
      </c>
      <c r="S209" s="143" t="s">
        <v>1210</v>
      </c>
      <c r="T209" s="144">
        <v>6.29</v>
      </c>
      <c r="U209" s="143" t="s">
        <v>1926</v>
      </c>
      <c r="V209" s="146">
        <v>3.61E-2</v>
      </c>
      <c r="W209" s="146">
        <v>3.6984999999999997E-2</v>
      </c>
      <c r="X209" s="143" t="s">
        <v>412</v>
      </c>
      <c r="Y209" s="145" t="s">
        <v>3876</v>
      </c>
      <c r="Z209" s="144">
        <v>940404.05</v>
      </c>
      <c r="AA209" s="145" t="s">
        <v>3876</v>
      </c>
      <c r="AB209" s="143" t="s">
        <v>1927</v>
      </c>
      <c r="AC209" s="144">
        <v>27.862099999999998</v>
      </c>
      <c r="AD209" s="144">
        <v>1004.1895999999999</v>
      </c>
      <c r="AE209" s="145" t="s">
        <v>3876</v>
      </c>
      <c r="AF209" s="145" t="s">
        <v>3876</v>
      </c>
      <c r="AG209" s="145" t="s">
        <v>3876</v>
      </c>
      <c r="AH209" s="146">
        <v>8.8016534210995042E-4</v>
      </c>
      <c r="AI209" s="146">
        <v>8.5532067666206791E-3</v>
      </c>
      <c r="AJ209" s="147">
        <v>1.0379578797648237E-3</v>
      </c>
      <c r="AK209" s="181"/>
    </row>
    <row r="210" spans="1:37" ht="15" x14ac:dyDescent="0.2">
      <c r="A210" s="142" t="s">
        <v>1205</v>
      </c>
      <c r="B210" s="143" t="s">
        <v>1205</v>
      </c>
      <c r="C210" s="143" t="s">
        <v>1519</v>
      </c>
      <c r="D210" s="143" t="s">
        <v>1520</v>
      </c>
      <c r="E210" s="143" t="s">
        <v>309</v>
      </c>
      <c r="F210" s="143" t="s">
        <v>1536</v>
      </c>
      <c r="G210" s="143" t="s">
        <v>1537</v>
      </c>
      <c r="H210" s="143" t="s">
        <v>321</v>
      </c>
      <c r="I210" s="143" t="s">
        <v>754</v>
      </c>
      <c r="J210" s="143" t="s">
        <v>204</v>
      </c>
      <c r="K210" s="143" t="s">
        <v>204</v>
      </c>
      <c r="L210" s="143" t="s">
        <v>325</v>
      </c>
      <c r="M210" s="143" t="s">
        <v>340</v>
      </c>
      <c r="N210" s="143" t="s">
        <v>465</v>
      </c>
      <c r="O210" s="143" t="s">
        <v>339</v>
      </c>
      <c r="P210" s="143" t="s">
        <v>1359</v>
      </c>
      <c r="Q210" s="143" t="s">
        <v>415</v>
      </c>
      <c r="R210" s="143" t="s">
        <v>407</v>
      </c>
      <c r="S210" s="143" t="s">
        <v>1210</v>
      </c>
      <c r="T210" s="144">
        <v>4.3099999999999996</v>
      </c>
      <c r="U210" s="143" t="s">
        <v>1538</v>
      </c>
      <c r="V210" s="146">
        <v>1.7899999999999999E-2</v>
      </c>
      <c r="W210" s="146">
        <v>6.0524000000000001E-2</v>
      </c>
      <c r="X210" s="143" t="s">
        <v>412</v>
      </c>
      <c r="Y210" s="145" t="s">
        <v>3876</v>
      </c>
      <c r="Z210" s="144">
        <v>1049122.78</v>
      </c>
      <c r="AA210" s="145" t="s">
        <v>3876</v>
      </c>
      <c r="AB210" s="143" t="s">
        <v>1539</v>
      </c>
      <c r="AC210" s="145" t="s">
        <v>3876</v>
      </c>
      <c r="AD210" s="144">
        <v>990.58169999999996</v>
      </c>
      <c r="AE210" s="145" t="s">
        <v>3876</v>
      </c>
      <c r="AF210" s="145" t="s">
        <v>3876</v>
      </c>
      <c r="AG210" s="145" t="s">
        <v>3876</v>
      </c>
      <c r="AH210" s="146">
        <v>1.4932217991228004E-3</v>
      </c>
      <c r="AI210" s="146">
        <v>8.209521356184574E-3</v>
      </c>
      <c r="AJ210" s="147">
        <v>9.9625060088615524E-4</v>
      </c>
      <c r="AK210" s="181"/>
    </row>
    <row r="211" spans="1:37" ht="15" x14ac:dyDescent="0.2">
      <c r="A211" s="142" t="s">
        <v>1205</v>
      </c>
      <c r="B211" s="143" t="s">
        <v>1205</v>
      </c>
      <c r="C211" s="143" t="s">
        <v>1928</v>
      </c>
      <c r="D211" s="143" t="s">
        <v>1929</v>
      </c>
      <c r="E211" s="143" t="s">
        <v>309</v>
      </c>
      <c r="F211" s="143" t="s">
        <v>1930</v>
      </c>
      <c r="G211" s="143" t="s">
        <v>1931</v>
      </c>
      <c r="H211" s="143" t="s">
        <v>321</v>
      </c>
      <c r="I211" s="143" t="s">
        <v>754</v>
      </c>
      <c r="J211" s="143" t="s">
        <v>204</v>
      </c>
      <c r="K211" s="143" t="s">
        <v>204</v>
      </c>
      <c r="L211" s="143" t="s">
        <v>325</v>
      </c>
      <c r="M211" s="143" t="s">
        <v>340</v>
      </c>
      <c r="N211" s="143" t="s">
        <v>464</v>
      </c>
      <c r="O211" s="143" t="s">
        <v>339</v>
      </c>
      <c r="P211" s="145" t="s">
        <v>3876</v>
      </c>
      <c r="Q211" s="143" t="s">
        <v>410</v>
      </c>
      <c r="R211" s="143" t="s">
        <v>410</v>
      </c>
      <c r="S211" s="143" t="s">
        <v>1210</v>
      </c>
      <c r="T211" s="144">
        <v>3.25</v>
      </c>
      <c r="U211" s="143" t="s">
        <v>1419</v>
      </c>
      <c r="V211" s="146">
        <v>4.4999999999999998E-2</v>
      </c>
      <c r="W211" s="146">
        <v>4.4255999999999997E-2</v>
      </c>
      <c r="X211" s="143" t="s">
        <v>412</v>
      </c>
      <c r="Y211" s="145" t="s">
        <v>3876</v>
      </c>
      <c r="Z211" s="144">
        <v>950000</v>
      </c>
      <c r="AA211" s="145" t="s">
        <v>3876</v>
      </c>
      <c r="AB211" s="143" t="s">
        <v>1920</v>
      </c>
      <c r="AC211" s="145" t="s">
        <v>3876</v>
      </c>
      <c r="AD211" s="144">
        <v>978.21500000000003</v>
      </c>
      <c r="AE211" s="145" t="s">
        <v>3876</v>
      </c>
      <c r="AF211" s="145" t="s">
        <v>3876</v>
      </c>
      <c r="AG211" s="145" t="s">
        <v>3876</v>
      </c>
      <c r="AH211" s="146">
        <v>9.6972517988402082E-4</v>
      </c>
      <c r="AI211" s="146">
        <v>8.1070311508293184E-3</v>
      </c>
      <c r="AJ211" s="147">
        <v>9.8381310005753522E-4</v>
      </c>
      <c r="AK211" s="181"/>
    </row>
    <row r="212" spans="1:37" ht="15" x14ac:dyDescent="0.2">
      <c r="A212" s="142" t="s">
        <v>1205</v>
      </c>
      <c r="B212" s="143" t="s">
        <v>1205</v>
      </c>
      <c r="C212" s="143" t="s">
        <v>1554</v>
      </c>
      <c r="D212" s="143" t="s">
        <v>1555</v>
      </c>
      <c r="E212" s="143" t="s">
        <v>309</v>
      </c>
      <c r="F212" s="143" t="s">
        <v>1556</v>
      </c>
      <c r="G212" s="143" t="s">
        <v>1557</v>
      </c>
      <c r="H212" s="143" t="s">
        <v>321</v>
      </c>
      <c r="I212" s="143" t="s">
        <v>754</v>
      </c>
      <c r="J212" s="143" t="s">
        <v>204</v>
      </c>
      <c r="K212" s="143" t="s">
        <v>204</v>
      </c>
      <c r="L212" s="143" t="s">
        <v>325</v>
      </c>
      <c r="M212" s="143" t="s">
        <v>340</v>
      </c>
      <c r="N212" s="143" t="s">
        <v>464</v>
      </c>
      <c r="O212" s="143" t="s">
        <v>339</v>
      </c>
      <c r="P212" s="143" t="s">
        <v>1410</v>
      </c>
      <c r="Q212" s="143" t="s">
        <v>413</v>
      </c>
      <c r="R212" s="143" t="s">
        <v>407</v>
      </c>
      <c r="S212" s="143" t="s">
        <v>1210</v>
      </c>
      <c r="T212" s="144">
        <v>2.4300000000000002</v>
      </c>
      <c r="U212" s="143" t="s">
        <v>1299</v>
      </c>
      <c r="V212" s="146">
        <v>2.3400000000000001E-2</v>
      </c>
      <c r="W212" s="146">
        <v>2.7517E-2</v>
      </c>
      <c r="X212" s="143" t="s">
        <v>412</v>
      </c>
      <c r="Y212" s="145" t="s">
        <v>3876</v>
      </c>
      <c r="Z212" s="144">
        <v>852683.72</v>
      </c>
      <c r="AA212" s="145" t="s">
        <v>3876</v>
      </c>
      <c r="AB212" s="143" t="s">
        <v>1558</v>
      </c>
      <c r="AC212" s="145" t="s">
        <v>3876</v>
      </c>
      <c r="AD212" s="144">
        <v>964.21480000000008</v>
      </c>
      <c r="AE212" s="145" t="s">
        <v>3876</v>
      </c>
      <c r="AF212" s="145" t="s">
        <v>3876</v>
      </c>
      <c r="AG212" s="145" t="s">
        <v>3876</v>
      </c>
      <c r="AH212" s="146">
        <v>4.0420034512172705E-4</v>
      </c>
      <c r="AI212" s="146">
        <v>7.9910030197949868E-3</v>
      </c>
      <c r="AJ212" s="147">
        <v>9.6973273041752329E-4</v>
      </c>
      <c r="AK212" s="181"/>
    </row>
    <row r="213" spans="1:37" ht="15" x14ac:dyDescent="0.2">
      <c r="A213" s="142" t="s">
        <v>1205</v>
      </c>
      <c r="B213" s="143" t="s">
        <v>1205</v>
      </c>
      <c r="C213" s="143" t="s">
        <v>1740</v>
      </c>
      <c r="D213" s="143" t="s">
        <v>1741</v>
      </c>
      <c r="E213" s="143" t="s">
        <v>309</v>
      </c>
      <c r="F213" s="143" t="s">
        <v>1932</v>
      </c>
      <c r="G213" s="143" t="s">
        <v>1933</v>
      </c>
      <c r="H213" s="143" t="s">
        <v>321</v>
      </c>
      <c r="I213" s="143" t="s">
        <v>754</v>
      </c>
      <c r="J213" s="143" t="s">
        <v>204</v>
      </c>
      <c r="K213" s="143" t="s">
        <v>204</v>
      </c>
      <c r="L213" s="143" t="s">
        <v>325</v>
      </c>
      <c r="M213" s="143" t="s">
        <v>340</v>
      </c>
      <c r="N213" s="143" t="s">
        <v>464</v>
      </c>
      <c r="O213" s="143" t="s">
        <v>339</v>
      </c>
      <c r="P213" s="143" t="s">
        <v>1410</v>
      </c>
      <c r="Q213" s="143" t="s">
        <v>413</v>
      </c>
      <c r="R213" s="143" t="s">
        <v>407</v>
      </c>
      <c r="S213" s="143" t="s">
        <v>1210</v>
      </c>
      <c r="T213" s="144">
        <v>5.59</v>
      </c>
      <c r="U213" s="143" t="s">
        <v>1934</v>
      </c>
      <c r="V213" s="146">
        <v>2.5999999999999999E-2</v>
      </c>
      <c r="W213" s="146">
        <v>3.1829000000000003E-2</v>
      </c>
      <c r="X213" s="143" t="s">
        <v>412</v>
      </c>
      <c r="Y213" s="145" t="s">
        <v>3876</v>
      </c>
      <c r="Z213" s="144">
        <v>939000</v>
      </c>
      <c r="AA213" s="145" t="s">
        <v>3876</v>
      </c>
      <c r="AB213" s="143" t="s">
        <v>1935</v>
      </c>
      <c r="AC213" s="144">
        <v>12.882299999999999</v>
      </c>
      <c r="AD213" s="144">
        <v>940.61430000000007</v>
      </c>
      <c r="AE213" s="145" t="s">
        <v>3876</v>
      </c>
      <c r="AF213" s="145" t="s">
        <v>3876</v>
      </c>
      <c r="AG213" s="145" t="s">
        <v>3876</v>
      </c>
      <c r="AH213" s="146">
        <v>1.751865671641791E-3</v>
      </c>
      <c r="AI213" s="146">
        <v>7.9021758638858405E-3</v>
      </c>
      <c r="AJ213" s="147">
        <v>9.589532825532665E-4</v>
      </c>
      <c r="AK213" s="181"/>
    </row>
    <row r="214" spans="1:37" ht="15" x14ac:dyDescent="0.2">
      <c r="A214" s="142" t="s">
        <v>1205</v>
      </c>
      <c r="B214" s="143" t="s">
        <v>1205</v>
      </c>
      <c r="C214" s="143" t="s">
        <v>1349</v>
      </c>
      <c r="D214" s="143" t="s">
        <v>1350</v>
      </c>
      <c r="E214" s="143" t="s">
        <v>309</v>
      </c>
      <c r="F214" s="143" t="s">
        <v>1567</v>
      </c>
      <c r="G214" s="143" t="s">
        <v>1568</v>
      </c>
      <c r="H214" s="143" t="s">
        <v>321</v>
      </c>
      <c r="I214" s="143" t="s">
        <v>754</v>
      </c>
      <c r="J214" s="143" t="s">
        <v>204</v>
      </c>
      <c r="K214" s="143" t="s">
        <v>204</v>
      </c>
      <c r="L214" s="143" t="s">
        <v>325</v>
      </c>
      <c r="M214" s="143" t="s">
        <v>340</v>
      </c>
      <c r="N214" s="143" t="s">
        <v>448</v>
      </c>
      <c r="O214" s="143" t="s">
        <v>339</v>
      </c>
      <c r="P214" s="143" t="s">
        <v>1224</v>
      </c>
      <c r="Q214" s="143" t="s">
        <v>413</v>
      </c>
      <c r="R214" s="143" t="s">
        <v>407</v>
      </c>
      <c r="S214" s="143" t="s">
        <v>1210</v>
      </c>
      <c r="T214" s="144">
        <v>4.63</v>
      </c>
      <c r="U214" s="143" t="s">
        <v>1569</v>
      </c>
      <c r="V214" s="146">
        <v>1.9900000000000001E-2</v>
      </c>
      <c r="W214" s="146">
        <v>2.5776E-2</v>
      </c>
      <c r="X214" s="143" t="s">
        <v>412</v>
      </c>
      <c r="Y214" s="145" t="s">
        <v>3876</v>
      </c>
      <c r="Z214" s="144">
        <v>930000</v>
      </c>
      <c r="AA214" s="145" t="s">
        <v>3876</v>
      </c>
      <c r="AB214" s="143" t="s">
        <v>1570</v>
      </c>
      <c r="AC214" s="145" t="s">
        <v>3876</v>
      </c>
      <c r="AD214" s="144">
        <v>932.13900000000001</v>
      </c>
      <c r="AE214" s="145" t="s">
        <v>3876</v>
      </c>
      <c r="AF214" s="145" t="s">
        <v>3876</v>
      </c>
      <c r="AG214" s="145" t="s">
        <v>3876</v>
      </c>
      <c r="AH214" s="146">
        <v>3.4444444444444442E-4</v>
      </c>
      <c r="AI214" s="146">
        <v>7.7251727993364336E-3</v>
      </c>
      <c r="AJ214" s="147">
        <v>9.374734176786604E-4</v>
      </c>
      <c r="AK214" s="181"/>
    </row>
    <row r="215" spans="1:37" ht="15" x14ac:dyDescent="0.2">
      <c r="A215" s="142" t="s">
        <v>1205</v>
      </c>
      <c r="B215" s="143" t="s">
        <v>1205</v>
      </c>
      <c r="C215" s="143" t="s">
        <v>1936</v>
      </c>
      <c r="D215" s="143" t="s">
        <v>1937</v>
      </c>
      <c r="E215" s="143" t="s">
        <v>309</v>
      </c>
      <c r="F215" s="143" t="s">
        <v>1938</v>
      </c>
      <c r="G215" s="143" t="s">
        <v>1939</v>
      </c>
      <c r="H215" s="143" t="s">
        <v>321</v>
      </c>
      <c r="I215" s="143" t="s">
        <v>754</v>
      </c>
      <c r="J215" s="143" t="s">
        <v>204</v>
      </c>
      <c r="K215" s="143" t="s">
        <v>204</v>
      </c>
      <c r="L215" s="143" t="s">
        <v>325</v>
      </c>
      <c r="M215" s="143" t="s">
        <v>340</v>
      </c>
      <c r="N215" s="143" t="s">
        <v>477</v>
      </c>
      <c r="O215" s="143" t="s">
        <v>339</v>
      </c>
      <c r="P215" s="143" t="s">
        <v>1224</v>
      </c>
      <c r="Q215" s="143" t="s">
        <v>413</v>
      </c>
      <c r="R215" s="143" t="s">
        <v>407</v>
      </c>
      <c r="S215" s="143" t="s">
        <v>1210</v>
      </c>
      <c r="T215" s="144">
        <v>11.71</v>
      </c>
      <c r="U215" s="143" t="s">
        <v>1940</v>
      </c>
      <c r="V215" s="146">
        <v>2.07E-2</v>
      </c>
      <c r="W215" s="146">
        <v>3.2603E-2</v>
      </c>
      <c r="X215" s="143" t="s">
        <v>412</v>
      </c>
      <c r="Y215" s="145" t="s">
        <v>3876</v>
      </c>
      <c r="Z215" s="144">
        <v>950000</v>
      </c>
      <c r="AA215" s="145" t="s">
        <v>3876</v>
      </c>
      <c r="AB215" s="143" t="s">
        <v>1941</v>
      </c>
      <c r="AC215" s="145" t="s">
        <v>3876</v>
      </c>
      <c r="AD215" s="144">
        <v>924.54</v>
      </c>
      <c r="AE215" s="145" t="s">
        <v>3876</v>
      </c>
      <c r="AF215" s="145" t="s">
        <v>3876</v>
      </c>
      <c r="AG215" s="145" t="s">
        <v>3876</v>
      </c>
      <c r="AH215" s="146">
        <v>2.086317212577355E-4</v>
      </c>
      <c r="AI215" s="146">
        <v>7.6621955093591262E-3</v>
      </c>
      <c r="AJ215" s="147">
        <v>9.2983093034475401E-4</v>
      </c>
      <c r="AK215" s="181"/>
    </row>
    <row r="216" spans="1:37" ht="15" x14ac:dyDescent="0.2">
      <c r="A216" s="142" t="s">
        <v>1205</v>
      </c>
      <c r="B216" s="143" t="s">
        <v>1205</v>
      </c>
      <c r="C216" s="143" t="s">
        <v>1724</v>
      </c>
      <c r="D216" s="143" t="s">
        <v>1725</v>
      </c>
      <c r="E216" s="143" t="s">
        <v>309</v>
      </c>
      <c r="F216" s="143" t="s">
        <v>1942</v>
      </c>
      <c r="G216" s="143" t="s">
        <v>1943</v>
      </c>
      <c r="H216" s="143" t="s">
        <v>321</v>
      </c>
      <c r="I216" s="143" t="s">
        <v>754</v>
      </c>
      <c r="J216" s="143" t="s">
        <v>204</v>
      </c>
      <c r="K216" s="143" t="s">
        <v>204</v>
      </c>
      <c r="L216" s="143" t="s">
        <v>325</v>
      </c>
      <c r="M216" s="143" t="s">
        <v>340</v>
      </c>
      <c r="N216" s="143" t="s">
        <v>464</v>
      </c>
      <c r="O216" s="143" t="s">
        <v>339</v>
      </c>
      <c r="P216" s="143" t="s">
        <v>1389</v>
      </c>
      <c r="Q216" s="143" t="s">
        <v>413</v>
      </c>
      <c r="R216" s="143" t="s">
        <v>407</v>
      </c>
      <c r="S216" s="143" t="s">
        <v>1210</v>
      </c>
      <c r="T216" s="144">
        <v>4.96</v>
      </c>
      <c r="U216" s="143" t="s">
        <v>1944</v>
      </c>
      <c r="V216" s="146">
        <v>4.4499999999999998E-2</v>
      </c>
      <c r="W216" s="146">
        <v>4.759E-2</v>
      </c>
      <c r="X216" s="143" t="s">
        <v>412</v>
      </c>
      <c r="Y216" s="145" t="s">
        <v>3876</v>
      </c>
      <c r="Z216" s="144">
        <v>896000</v>
      </c>
      <c r="AA216" s="145" t="s">
        <v>3876</v>
      </c>
      <c r="AB216" s="143" t="s">
        <v>1945</v>
      </c>
      <c r="AC216" s="145" t="s">
        <v>3876</v>
      </c>
      <c r="AD216" s="144">
        <v>908.36480000000006</v>
      </c>
      <c r="AE216" s="145" t="s">
        <v>3876</v>
      </c>
      <c r="AF216" s="145" t="s">
        <v>3876</v>
      </c>
      <c r="AG216" s="145" t="s">
        <v>3876</v>
      </c>
      <c r="AH216" s="146">
        <v>1.991111111111111E-3</v>
      </c>
      <c r="AI216" s="146">
        <v>7.5281423101433154E-3</v>
      </c>
      <c r="AJ216" s="147">
        <v>9.1356316338549594E-4</v>
      </c>
      <c r="AK216" s="181"/>
    </row>
    <row r="217" spans="1:37" ht="15" x14ac:dyDescent="0.2">
      <c r="A217" s="142" t="s">
        <v>1205</v>
      </c>
      <c r="B217" s="143" t="s">
        <v>1205</v>
      </c>
      <c r="C217" s="143" t="s">
        <v>1369</v>
      </c>
      <c r="D217" s="143" t="s">
        <v>1370</v>
      </c>
      <c r="E217" s="143" t="s">
        <v>309</v>
      </c>
      <c r="F217" s="143" t="s">
        <v>1577</v>
      </c>
      <c r="G217" s="143" t="s">
        <v>1578</v>
      </c>
      <c r="H217" s="143" t="s">
        <v>321</v>
      </c>
      <c r="I217" s="143" t="s">
        <v>754</v>
      </c>
      <c r="J217" s="143" t="s">
        <v>204</v>
      </c>
      <c r="K217" s="143" t="s">
        <v>204</v>
      </c>
      <c r="L217" s="143" t="s">
        <v>325</v>
      </c>
      <c r="M217" s="143" t="s">
        <v>340</v>
      </c>
      <c r="N217" s="143" t="s">
        <v>445</v>
      </c>
      <c r="O217" s="143" t="s">
        <v>339</v>
      </c>
      <c r="P217" s="143" t="s">
        <v>1366</v>
      </c>
      <c r="Q217" s="143" t="s">
        <v>415</v>
      </c>
      <c r="R217" s="143" t="s">
        <v>407</v>
      </c>
      <c r="S217" s="143" t="s">
        <v>1210</v>
      </c>
      <c r="T217" s="144">
        <v>5.24</v>
      </c>
      <c r="U217" s="143" t="s">
        <v>1579</v>
      </c>
      <c r="V217" s="146">
        <v>4.6899999999999997E-2</v>
      </c>
      <c r="W217" s="146">
        <v>5.7537999999999999E-2</v>
      </c>
      <c r="X217" s="143" t="s">
        <v>412</v>
      </c>
      <c r="Y217" s="145" t="s">
        <v>3876</v>
      </c>
      <c r="Z217" s="144">
        <v>935000</v>
      </c>
      <c r="AA217" s="145" t="s">
        <v>3876</v>
      </c>
      <c r="AB217" s="143" t="s">
        <v>1580</v>
      </c>
      <c r="AC217" s="145" t="s">
        <v>3876</v>
      </c>
      <c r="AD217" s="144">
        <v>890.49400000000003</v>
      </c>
      <c r="AE217" s="145" t="s">
        <v>3876</v>
      </c>
      <c r="AF217" s="145" t="s">
        <v>3876</v>
      </c>
      <c r="AG217" s="145" t="s">
        <v>3876</v>
      </c>
      <c r="AH217" s="146">
        <v>1.8699999999999999E-3</v>
      </c>
      <c r="AI217" s="146">
        <v>7.380036697072323E-3</v>
      </c>
      <c r="AJ217" s="147">
        <v>8.9559009289638235E-4</v>
      </c>
      <c r="AK217" s="181"/>
    </row>
    <row r="218" spans="1:37" ht="15" x14ac:dyDescent="0.2">
      <c r="A218" s="142" t="s">
        <v>1205</v>
      </c>
      <c r="B218" s="143" t="s">
        <v>1205</v>
      </c>
      <c r="C218" s="143" t="s">
        <v>1544</v>
      </c>
      <c r="D218" s="143" t="s">
        <v>1545</v>
      </c>
      <c r="E218" s="143" t="s">
        <v>309</v>
      </c>
      <c r="F218" s="143" t="s">
        <v>1713</v>
      </c>
      <c r="G218" s="143" t="s">
        <v>1714</v>
      </c>
      <c r="H218" s="143" t="s">
        <v>321</v>
      </c>
      <c r="I218" s="143" t="s">
        <v>754</v>
      </c>
      <c r="J218" s="143" t="s">
        <v>204</v>
      </c>
      <c r="K218" s="143" t="s">
        <v>293</v>
      </c>
      <c r="L218" s="143" t="s">
        <v>325</v>
      </c>
      <c r="M218" s="143" t="s">
        <v>340</v>
      </c>
      <c r="N218" s="143" t="s">
        <v>465</v>
      </c>
      <c r="O218" s="143" t="s">
        <v>339</v>
      </c>
      <c r="P218" s="143" t="s">
        <v>1425</v>
      </c>
      <c r="Q218" s="143" t="s">
        <v>415</v>
      </c>
      <c r="R218" s="143" t="s">
        <v>407</v>
      </c>
      <c r="S218" s="143" t="s">
        <v>1210</v>
      </c>
      <c r="T218" s="144">
        <v>5.35</v>
      </c>
      <c r="U218" s="143" t="s">
        <v>1715</v>
      </c>
      <c r="V218" s="146">
        <v>1.54E-2</v>
      </c>
      <c r="W218" s="146">
        <v>4.0224999999999997E-2</v>
      </c>
      <c r="X218" s="143" t="s">
        <v>412</v>
      </c>
      <c r="Y218" s="145" t="s">
        <v>3876</v>
      </c>
      <c r="Z218" s="144">
        <v>893000</v>
      </c>
      <c r="AA218" s="145" t="s">
        <v>3876</v>
      </c>
      <c r="AB218" s="143" t="s">
        <v>1716</v>
      </c>
      <c r="AC218" s="145" t="s">
        <v>3876</v>
      </c>
      <c r="AD218" s="144">
        <v>868.88900000000001</v>
      </c>
      <c r="AE218" s="145" t="s">
        <v>3876</v>
      </c>
      <c r="AF218" s="145" t="s">
        <v>3876</v>
      </c>
      <c r="AG218" s="145" t="s">
        <v>3876</v>
      </c>
      <c r="AH218" s="146">
        <v>1.4972143095461244E-3</v>
      </c>
      <c r="AI218" s="146">
        <v>7.2009836177250762E-3</v>
      </c>
      <c r="AJ218" s="147">
        <v>8.7386145243723685E-4</v>
      </c>
      <c r="AK218" s="181"/>
    </row>
    <row r="219" spans="1:37" ht="15" x14ac:dyDescent="0.2">
      <c r="A219" s="142" t="s">
        <v>1205</v>
      </c>
      <c r="B219" s="143" t="s">
        <v>1205</v>
      </c>
      <c r="C219" s="143" t="s">
        <v>1946</v>
      </c>
      <c r="D219" s="143" t="s">
        <v>1947</v>
      </c>
      <c r="E219" s="143" t="s">
        <v>309</v>
      </c>
      <c r="F219" s="143" t="s">
        <v>1948</v>
      </c>
      <c r="G219" s="143" t="s">
        <v>1949</v>
      </c>
      <c r="H219" s="143" t="s">
        <v>321</v>
      </c>
      <c r="I219" s="143" t="s">
        <v>754</v>
      </c>
      <c r="J219" s="143" t="s">
        <v>204</v>
      </c>
      <c r="K219" s="143" t="s">
        <v>204</v>
      </c>
      <c r="L219" s="143" t="s">
        <v>325</v>
      </c>
      <c r="M219" s="143" t="s">
        <v>340</v>
      </c>
      <c r="N219" s="143" t="s">
        <v>448</v>
      </c>
      <c r="O219" s="143" t="s">
        <v>339</v>
      </c>
      <c r="P219" s="143" t="s">
        <v>1224</v>
      </c>
      <c r="Q219" s="143" t="s">
        <v>413</v>
      </c>
      <c r="R219" s="143" t="s">
        <v>407</v>
      </c>
      <c r="S219" s="143" t="s">
        <v>1210</v>
      </c>
      <c r="T219" s="144">
        <v>2.42</v>
      </c>
      <c r="U219" s="143" t="s">
        <v>1950</v>
      </c>
      <c r="V219" s="146">
        <v>1E-3</v>
      </c>
      <c r="W219" s="146">
        <v>2.1586999999999999E-2</v>
      </c>
      <c r="X219" s="143" t="s">
        <v>412</v>
      </c>
      <c r="Y219" s="145" t="s">
        <v>3876</v>
      </c>
      <c r="Z219" s="144">
        <v>821000</v>
      </c>
      <c r="AA219" s="145" t="s">
        <v>3876</v>
      </c>
      <c r="AB219" s="143" t="s">
        <v>1951</v>
      </c>
      <c r="AC219" s="145" t="s">
        <v>3876</v>
      </c>
      <c r="AD219" s="144">
        <v>866.0729</v>
      </c>
      <c r="AE219" s="145" t="s">
        <v>3876</v>
      </c>
      <c r="AF219" s="145" t="s">
        <v>3876</v>
      </c>
      <c r="AG219" s="145" t="s">
        <v>3876</v>
      </c>
      <c r="AH219" s="146">
        <v>1.7585835370020114E-3</v>
      </c>
      <c r="AI219" s="146">
        <v>7.1776449749687797E-3</v>
      </c>
      <c r="AJ219" s="147">
        <v>8.7102923654290684E-4</v>
      </c>
      <c r="AK219" s="181"/>
    </row>
    <row r="220" spans="1:37" ht="15" x14ac:dyDescent="0.2">
      <c r="A220" s="142" t="s">
        <v>1205</v>
      </c>
      <c r="B220" s="143" t="s">
        <v>1205</v>
      </c>
      <c r="C220" s="143" t="s">
        <v>1853</v>
      </c>
      <c r="D220" s="143" t="s">
        <v>1854</v>
      </c>
      <c r="E220" s="143" t="s">
        <v>309</v>
      </c>
      <c r="F220" s="143" t="s">
        <v>1952</v>
      </c>
      <c r="G220" s="143" t="s">
        <v>1953</v>
      </c>
      <c r="H220" s="143" t="s">
        <v>321</v>
      </c>
      <c r="I220" s="143" t="s">
        <v>754</v>
      </c>
      <c r="J220" s="143" t="s">
        <v>204</v>
      </c>
      <c r="K220" s="143" t="s">
        <v>204</v>
      </c>
      <c r="L220" s="143" t="s">
        <v>325</v>
      </c>
      <c r="M220" s="143" t="s">
        <v>340</v>
      </c>
      <c r="N220" s="143" t="s">
        <v>464</v>
      </c>
      <c r="O220" s="143" t="s">
        <v>339</v>
      </c>
      <c r="P220" s="143" t="s">
        <v>1410</v>
      </c>
      <c r="Q220" s="143" t="s">
        <v>413</v>
      </c>
      <c r="R220" s="143" t="s">
        <v>407</v>
      </c>
      <c r="S220" s="143" t="s">
        <v>1210</v>
      </c>
      <c r="T220" s="144">
        <v>6.05</v>
      </c>
      <c r="U220" s="143" t="s">
        <v>1954</v>
      </c>
      <c r="V220" s="146">
        <v>3.5000000000000001E-3</v>
      </c>
      <c r="W220" s="146">
        <v>3.6639999999999999E-2</v>
      </c>
      <c r="X220" s="143" t="s">
        <v>412</v>
      </c>
      <c r="Y220" s="145" t="s">
        <v>3876</v>
      </c>
      <c r="Z220" s="144">
        <v>950000</v>
      </c>
      <c r="AA220" s="145" t="s">
        <v>3876</v>
      </c>
      <c r="AB220" s="143" t="s">
        <v>1955</v>
      </c>
      <c r="AC220" s="145" t="s">
        <v>3876</v>
      </c>
      <c r="AD220" s="144">
        <v>863.55</v>
      </c>
      <c r="AE220" s="145" t="s">
        <v>3876</v>
      </c>
      <c r="AF220" s="145" t="s">
        <v>3876</v>
      </c>
      <c r="AG220" s="145" t="s">
        <v>3876</v>
      </c>
      <c r="AH220" s="146">
        <v>2.7265631946457873E-4</v>
      </c>
      <c r="AI220" s="146">
        <v>7.1567362494938816E-3</v>
      </c>
      <c r="AJ220" s="147">
        <v>8.6849189856492124E-4</v>
      </c>
      <c r="AK220" s="181"/>
    </row>
    <row r="221" spans="1:37" ht="15" x14ac:dyDescent="0.2">
      <c r="A221" s="142" t="s">
        <v>1205</v>
      </c>
      <c r="B221" s="143" t="s">
        <v>1205</v>
      </c>
      <c r="C221" s="143" t="s">
        <v>1740</v>
      </c>
      <c r="D221" s="143" t="s">
        <v>1741</v>
      </c>
      <c r="E221" s="143" t="s">
        <v>309</v>
      </c>
      <c r="F221" s="143" t="s">
        <v>1956</v>
      </c>
      <c r="G221" s="143" t="s">
        <v>1957</v>
      </c>
      <c r="H221" s="143" t="s">
        <v>321</v>
      </c>
      <c r="I221" s="143" t="s">
        <v>754</v>
      </c>
      <c r="J221" s="143" t="s">
        <v>204</v>
      </c>
      <c r="K221" s="143" t="s">
        <v>204</v>
      </c>
      <c r="L221" s="143" t="s">
        <v>325</v>
      </c>
      <c r="M221" s="143" t="s">
        <v>340</v>
      </c>
      <c r="N221" s="143" t="s">
        <v>464</v>
      </c>
      <c r="O221" s="143" t="s">
        <v>339</v>
      </c>
      <c r="P221" s="143" t="s">
        <v>1347</v>
      </c>
      <c r="Q221" s="143" t="s">
        <v>413</v>
      </c>
      <c r="R221" s="143" t="s">
        <v>407</v>
      </c>
      <c r="S221" s="143" t="s">
        <v>1210</v>
      </c>
      <c r="T221" s="144">
        <v>5.53</v>
      </c>
      <c r="U221" s="143" t="s">
        <v>1958</v>
      </c>
      <c r="V221" s="146">
        <v>1.8700000000000001E-2</v>
      </c>
      <c r="W221" s="146">
        <v>3.7307E-2</v>
      </c>
      <c r="X221" s="143" t="s">
        <v>412</v>
      </c>
      <c r="Y221" s="145" t="s">
        <v>3876</v>
      </c>
      <c r="Z221" s="144">
        <v>835999.99</v>
      </c>
      <c r="AA221" s="145" t="s">
        <v>3876</v>
      </c>
      <c r="AB221" s="143" t="s">
        <v>1959</v>
      </c>
      <c r="AC221" s="145" t="s">
        <v>3876</v>
      </c>
      <c r="AD221" s="144">
        <v>826.05160000000001</v>
      </c>
      <c r="AE221" s="145" t="s">
        <v>3876</v>
      </c>
      <c r="AF221" s="145" t="s">
        <v>3876</v>
      </c>
      <c r="AG221" s="145" t="s">
        <v>3876</v>
      </c>
      <c r="AH221" s="146">
        <v>1.5970815245174941E-3</v>
      </c>
      <c r="AI221" s="146">
        <v>6.8459653279563538E-3</v>
      </c>
      <c r="AJ221" s="147">
        <v>8.3077889388573042E-4</v>
      </c>
      <c r="AK221" s="181"/>
    </row>
    <row r="222" spans="1:37" ht="15" x14ac:dyDescent="0.2">
      <c r="A222" s="142" t="s">
        <v>1205</v>
      </c>
      <c r="B222" s="143" t="s">
        <v>1205</v>
      </c>
      <c r="C222" s="143" t="s">
        <v>1814</v>
      </c>
      <c r="D222" s="143" t="s">
        <v>1815</v>
      </c>
      <c r="E222" s="143" t="s">
        <v>309</v>
      </c>
      <c r="F222" s="143" t="s">
        <v>1960</v>
      </c>
      <c r="G222" s="143" t="s">
        <v>1961</v>
      </c>
      <c r="H222" s="143" t="s">
        <v>321</v>
      </c>
      <c r="I222" s="143" t="s">
        <v>754</v>
      </c>
      <c r="J222" s="143" t="s">
        <v>204</v>
      </c>
      <c r="K222" s="143" t="s">
        <v>204</v>
      </c>
      <c r="L222" s="143" t="s">
        <v>325</v>
      </c>
      <c r="M222" s="143" t="s">
        <v>340</v>
      </c>
      <c r="N222" s="143" t="s">
        <v>464</v>
      </c>
      <c r="O222" s="143" t="s">
        <v>339</v>
      </c>
      <c r="P222" s="143" t="s">
        <v>1728</v>
      </c>
      <c r="Q222" s="143" t="s">
        <v>413</v>
      </c>
      <c r="R222" s="143" t="s">
        <v>407</v>
      </c>
      <c r="S222" s="143" t="s">
        <v>1210</v>
      </c>
      <c r="T222" s="144">
        <v>1.69</v>
      </c>
      <c r="U222" s="143" t="s">
        <v>1962</v>
      </c>
      <c r="V222" s="146">
        <v>3.0599999999999999E-2</v>
      </c>
      <c r="W222" s="146">
        <v>2.9069000000000001E-2</v>
      </c>
      <c r="X222" s="143" t="s">
        <v>412</v>
      </c>
      <c r="Y222" s="145" t="s">
        <v>3876</v>
      </c>
      <c r="Z222" s="144">
        <v>695454.57</v>
      </c>
      <c r="AA222" s="145" t="s">
        <v>3876</v>
      </c>
      <c r="AB222" s="143" t="s">
        <v>1963</v>
      </c>
      <c r="AC222" s="144">
        <v>13.304500000000001</v>
      </c>
      <c r="AD222" s="144">
        <v>817.52819999999997</v>
      </c>
      <c r="AE222" s="145" t="s">
        <v>3876</v>
      </c>
      <c r="AF222" s="145" t="s">
        <v>3876</v>
      </c>
      <c r="AG222" s="145" t="s">
        <v>3876</v>
      </c>
      <c r="AH222" s="146">
        <v>1.9917277726946661E-3</v>
      </c>
      <c r="AI222" s="146">
        <v>6.8855888472764857E-3</v>
      </c>
      <c r="AJ222" s="147">
        <v>8.3558732950812721E-4</v>
      </c>
      <c r="AK222" s="181"/>
    </row>
    <row r="223" spans="1:37" ht="15" x14ac:dyDescent="0.2">
      <c r="A223" s="142" t="s">
        <v>1205</v>
      </c>
      <c r="B223" s="143" t="s">
        <v>1205</v>
      </c>
      <c r="C223" s="143" t="s">
        <v>1814</v>
      </c>
      <c r="D223" s="143" t="s">
        <v>1815</v>
      </c>
      <c r="E223" s="143" t="s">
        <v>309</v>
      </c>
      <c r="F223" s="143" t="s">
        <v>1964</v>
      </c>
      <c r="G223" s="143" t="s">
        <v>1965</v>
      </c>
      <c r="H223" s="143" t="s">
        <v>321</v>
      </c>
      <c r="I223" s="143" t="s">
        <v>754</v>
      </c>
      <c r="J223" s="143" t="s">
        <v>204</v>
      </c>
      <c r="K223" s="143" t="s">
        <v>204</v>
      </c>
      <c r="L223" s="143" t="s">
        <v>325</v>
      </c>
      <c r="M223" s="143" t="s">
        <v>340</v>
      </c>
      <c r="N223" s="143" t="s">
        <v>464</v>
      </c>
      <c r="O223" s="143" t="s">
        <v>339</v>
      </c>
      <c r="P223" s="143" t="s">
        <v>1728</v>
      </c>
      <c r="Q223" s="143" t="s">
        <v>413</v>
      </c>
      <c r="R223" s="143" t="s">
        <v>407</v>
      </c>
      <c r="S223" s="143" t="s">
        <v>1210</v>
      </c>
      <c r="T223" s="144">
        <v>6.3</v>
      </c>
      <c r="U223" s="143" t="s">
        <v>1788</v>
      </c>
      <c r="V223" s="146">
        <v>3.6799999999999999E-2</v>
      </c>
      <c r="W223" s="146">
        <v>4.3203999999999999E-2</v>
      </c>
      <c r="X223" s="143" t="s">
        <v>412</v>
      </c>
      <c r="Y223" s="145" t="s">
        <v>3876</v>
      </c>
      <c r="Z223" s="144">
        <v>825000</v>
      </c>
      <c r="AA223" s="145" t="s">
        <v>3876</v>
      </c>
      <c r="AB223" s="143" t="s">
        <v>1318</v>
      </c>
      <c r="AC223" s="145" t="s">
        <v>3876</v>
      </c>
      <c r="AD223" s="144">
        <v>810.23249999999996</v>
      </c>
      <c r="AE223" s="145" t="s">
        <v>3876</v>
      </c>
      <c r="AF223" s="145" t="s">
        <v>3876</v>
      </c>
      <c r="AG223" s="145" t="s">
        <v>3876</v>
      </c>
      <c r="AH223" s="146">
        <v>3.3857682821227331E-3</v>
      </c>
      <c r="AI223" s="146">
        <v>6.714863416441493E-3</v>
      </c>
      <c r="AJ223" s="147">
        <v>8.1486927474263518E-4</v>
      </c>
      <c r="AK223" s="181"/>
    </row>
    <row r="224" spans="1:37" ht="15" x14ac:dyDescent="0.2">
      <c r="A224" s="142" t="s">
        <v>1205</v>
      </c>
      <c r="B224" s="143" t="s">
        <v>1205</v>
      </c>
      <c r="C224" s="143" t="s">
        <v>1894</v>
      </c>
      <c r="D224" s="143" t="s">
        <v>1895</v>
      </c>
      <c r="E224" s="143" t="s">
        <v>309</v>
      </c>
      <c r="F224" s="143" t="s">
        <v>1966</v>
      </c>
      <c r="G224" s="143" t="s">
        <v>1967</v>
      </c>
      <c r="H224" s="143" t="s">
        <v>321</v>
      </c>
      <c r="I224" s="143" t="s">
        <v>754</v>
      </c>
      <c r="J224" s="143" t="s">
        <v>204</v>
      </c>
      <c r="K224" s="143" t="s">
        <v>204</v>
      </c>
      <c r="L224" s="143" t="s">
        <v>325</v>
      </c>
      <c r="M224" s="143" t="s">
        <v>340</v>
      </c>
      <c r="N224" s="143" t="s">
        <v>448</v>
      </c>
      <c r="O224" s="143" t="s">
        <v>339</v>
      </c>
      <c r="P224" s="143" t="s">
        <v>1224</v>
      </c>
      <c r="Q224" s="143" t="s">
        <v>413</v>
      </c>
      <c r="R224" s="143" t="s">
        <v>407</v>
      </c>
      <c r="S224" s="143" t="s">
        <v>1210</v>
      </c>
      <c r="T224" s="144">
        <v>3.96</v>
      </c>
      <c r="U224" s="143" t="s">
        <v>1968</v>
      </c>
      <c r="V224" s="146">
        <v>2E-3</v>
      </c>
      <c r="W224" s="146">
        <v>2.5773000000000001E-2</v>
      </c>
      <c r="X224" s="143" t="s">
        <v>412</v>
      </c>
      <c r="Y224" s="145" t="s">
        <v>3876</v>
      </c>
      <c r="Z224" s="144">
        <v>796315.78</v>
      </c>
      <c r="AA224" s="145" t="s">
        <v>3876</v>
      </c>
      <c r="AB224" s="143" t="s">
        <v>1969</v>
      </c>
      <c r="AC224" s="145" t="s">
        <v>3876</v>
      </c>
      <c r="AD224" s="144">
        <v>803.08450000000005</v>
      </c>
      <c r="AE224" s="145" t="s">
        <v>3876</v>
      </c>
      <c r="AF224" s="145" t="s">
        <v>3876</v>
      </c>
      <c r="AG224" s="145" t="s">
        <v>3876</v>
      </c>
      <c r="AH224" s="146">
        <v>2.0612736960744276E-4</v>
      </c>
      <c r="AI224" s="146">
        <v>6.6556235259620632E-3</v>
      </c>
      <c r="AJ224" s="147">
        <v>8.0768033230300051E-4</v>
      </c>
      <c r="AK224" s="181"/>
    </row>
    <row r="225" spans="1:37" ht="15" x14ac:dyDescent="0.2">
      <c r="A225" s="142" t="s">
        <v>1205</v>
      </c>
      <c r="B225" s="143" t="s">
        <v>1205</v>
      </c>
      <c r="C225" s="143" t="s">
        <v>1717</v>
      </c>
      <c r="D225" s="143" t="s">
        <v>1718</v>
      </c>
      <c r="E225" s="143" t="s">
        <v>309</v>
      </c>
      <c r="F225" s="143" t="s">
        <v>1970</v>
      </c>
      <c r="G225" s="143" t="s">
        <v>1971</v>
      </c>
      <c r="H225" s="143" t="s">
        <v>321</v>
      </c>
      <c r="I225" s="143" t="s">
        <v>754</v>
      </c>
      <c r="J225" s="143" t="s">
        <v>204</v>
      </c>
      <c r="K225" s="143" t="s">
        <v>204</v>
      </c>
      <c r="L225" s="143" t="s">
        <v>325</v>
      </c>
      <c r="M225" s="143" t="s">
        <v>340</v>
      </c>
      <c r="N225" s="143" t="s">
        <v>464</v>
      </c>
      <c r="O225" s="143" t="s">
        <v>339</v>
      </c>
      <c r="P225" s="143" t="s">
        <v>1502</v>
      </c>
      <c r="Q225" s="143" t="s">
        <v>415</v>
      </c>
      <c r="R225" s="143" t="s">
        <v>407</v>
      </c>
      <c r="S225" s="143" t="s">
        <v>1210</v>
      </c>
      <c r="T225" s="144">
        <v>3.14</v>
      </c>
      <c r="U225" s="143" t="s">
        <v>1862</v>
      </c>
      <c r="V225" s="146">
        <v>1.34E-2</v>
      </c>
      <c r="W225" s="146">
        <v>2.7778000000000001E-2</v>
      </c>
      <c r="X225" s="143" t="s">
        <v>412</v>
      </c>
      <c r="Y225" s="145" t="s">
        <v>3876</v>
      </c>
      <c r="Z225" s="144">
        <v>658343.79</v>
      </c>
      <c r="AA225" s="145" t="s">
        <v>3876</v>
      </c>
      <c r="AB225" s="143" t="s">
        <v>1972</v>
      </c>
      <c r="AC225" s="144">
        <v>68.594200000000001</v>
      </c>
      <c r="AD225" s="144">
        <v>792.77240000000006</v>
      </c>
      <c r="AE225" s="145" t="s">
        <v>3876</v>
      </c>
      <c r="AF225" s="145" t="s">
        <v>3876</v>
      </c>
      <c r="AG225" s="145" t="s">
        <v>3876</v>
      </c>
      <c r="AH225" s="146">
        <v>2.4836932765310058E-4</v>
      </c>
      <c r="AI225" s="146">
        <v>7.1386415621601217E-3</v>
      </c>
      <c r="AJ225" s="147">
        <v>8.6629605274797538E-4</v>
      </c>
      <c r="AK225" s="181"/>
    </row>
    <row r="226" spans="1:37" ht="15" x14ac:dyDescent="0.2">
      <c r="A226" s="142" t="s">
        <v>1205</v>
      </c>
      <c r="B226" s="143" t="s">
        <v>1205</v>
      </c>
      <c r="C226" s="143" t="s">
        <v>1544</v>
      </c>
      <c r="D226" s="143" t="s">
        <v>1545</v>
      </c>
      <c r="E226" s="143" t="s">
        <v>309</v>
      </c>
      <c r="F226" s="143" t="s">
        <v>1546</v>
      </c>
      <c r="G226" s="143" t="s">
        <v>1547</v>
      </c>
      <c r="H226" s="143" t="s">
        <v>321</v>
      </c>
      <c r="I226" s="143" t="s">
        <v>754</v>
      </c>
      <c r="J226" s="143" t="s">
        <v>204</v>
      </c>
      <c r="K226" s="143" t="s">
        <v>204</v>
      </c>
      <c r="L226" s="143" t="s">
        <v>325</v>
      </c>
      <c r="M226" s="143" t="s">
        <v>340</v>
      </c>
      <c r="N226" s="143" t="s">
        <v>465</v>
      </c>
      <c r="O226" s="143" t="s">
        <v>339</v>
      </c>
      <c r="P226" s="143" t="s">
        <v>1425</v>
      </c>
      <c r="Q226" s="143" t="s">
        <v>415</v>
      </c>
      <c r="R226" s="143" t="s">
        <v>407</v>
      </c>
      <c r="S226" s="143" t="s">
        <v>1210</v>
      </c>
      <c r="T226" s="144">
        <v>1.71</v>
      </c>
      <c r="U226" s="143" t="s">
        <v>1548</v>
      </c>
      <c r="V226" s="146">
        <v>2.5700000000000001E-2</v>
      </c>
      <c r="W226" s="146">
        <v>3.3569000000000002E-2</v>
      </c>
      <c r="X226" s="143" t="s">
        <v>412</v>
      </c>
      <c r="Y226" s="145" t="s">
        <v>3876</v>
      </c>
      <c r="Z226" s="144">
        <v>606176</v>
      </c>
      <c r="AA226" s="145" t="s">
        <v>3876</v>
      </c>
      <c r="AB226" s="143" t="s">
        <v>1549</v>
      </c>
      <c r="AC226" s="145" t="s">
        <v>3876</v>
      </c>
      <c r="AD226" s="144">
        <v>689.28269999999998</v>
      </c>
      <c r="AE226" s="145" t="s">
        <v>3876</v>
      </c>
      <c r="AF226" s="145" t="s">
        <v>3876</v>
      </c>
      <c r="AG226" s="145" t="s">
        <v>3876</v>
      </c>
      <c r="AH226" s="146">
        <v>4.7268358522938655E-4</v>
      </c>
      <c r="AI226" s="146">
        <v>5.7124830028121238E-3</v>
      </c>
      <c r="AJ226" s="147">
        <v>6.9322733655065164E-4</v>
      </c>
      <c r="AK226" s="181"/>
    </row>
    <row r="227" spans="1:37" ht="15" x14ac:dyDescent="0.2">
      <c r="A227" s="142" t="s">
        <v>1205</v>
      </c>
      <c r="B227" s="143" t="s">
        <v>1205</v>
      </c>
      <c r="C227" s="143" t="s">
        <v>1498</v>
      </c>
      <c r="D227" s="143" t="s">
        <v>1499</v>
      </c>
      <c r="E227" s="143" t="s">
        <v>313</v>
      </c>
      <c r="F227" s="143" t="s">
        <v>1973</v>
      </c>
      <c r="G227" s="143" t="s">
        <v>1974</v>
      </c>
      <c r="H227" s="143" t="s">
        <v>321</v>
      </c>
      <c r="I227" s="143" t="s">
        <v>754</v>
      </c>
      <c r="J227" s="143" t="s">
        <v>204</v>
      </c>
      <c r="K227" s="143" t="s">
        <v>204</v>
      </c>
      <c r="L227" s="143" t="s">
        <v>325</v>
      </c>
      <c r="M227" s="143" t="s">
        <v>340</v>
      </c>
      <c r="N227" s="143" t="s">
        <v>440</v>
      </c>
      <c r="O227" s="143" t="s">
        <v>339</v>
      </c>
      <c r="P227" s="143" t="s">
        <v>1502</v>
      </c>
      <c r="Q227" s="143" t="s">
        <v>415</v>
      </c>
      <c r="R227" s="143" t="s">
        <v>407</v>
      </c>
      <c r="S227" s="143" t="s">
        <v>1210</v>
      </c>
      <c r="T227" s="144">
        <v>2.99</v>
      </c>
      <c r="U227" s="143" t="s">
        <v>1975</v>
      </c>
      <c r="V227" s="146">
        <v>0.01</v>
      </c>
      <c r="W227" s="146">
        <v>2.3366999999999999E-2</v>
      </c>
      <c r="X227" s="143" t="s">
        <v>412</v>
      </c>
      <c r="Y227" s="145" t="s">
        <v>3876</v>
      </c>
      <c r="Z227" s="144">
        <v>634221</v>
      </c>
      <c r="AA227" s="145" t="s">
        <v>3876</v>
      </c>
      <c r="AB227" s="143" t="s">
        <v>1976</v>
      </c>
      <c r="AC227" s="145" t="s">
        <v>3876</v>
      </c>
      <c r="AD227" s="144">
        <v>688.44690000000003</v>
      </c>
      <c r="AE227" s="145" t="s">
        <v>3876</v>
      </c>
      <c r="AF227" s="145" t="s">
        <v>3876</v>
      </c>
      <c r="AG227" s="145" t="s">
        <v>3876</v>
      </c>
      <c r="AH227" s="146">
        <v>5.277518200677184E-4</v>
      </c>
      <c r="AI227" s="146">
        <v>5.7055559641901177E-3</v>
      </c>
      <c r="AJ227" s="147">
        <v>6.9238671916382487E-4</v>
      </c>
      <c r="AK227" s="181"/>
    </row>
    <row r="228" spans="1:37" ht="15" x14ac:dyDescent="0.2">
      <c r="A228" s="142" t="s">
        <v>1205</v>
      </c>
      <c r="B228" s="143" t="s">
        <v>1205</v>
      </c>
      <c r="C228" s="143" t="s">
        <v>1749</v>
      </c>
      <c r="D228" s="143" t="s">
        <v>1750</v>
      </c>
      <c r="E228" s="143" t="s">
        <v>309</v>
      </c>
      <c r="F228" s="143" t="s">
        <v>1751</v>
      </c>
      <c r="G228" s="143" t="s">
        <v>1752</v>
      </c>
      <c r="H228" s="143" t="s">
        <v>321</v>
      </c>
      <c r="I228" s="143" t="s">
        <v>754</v>
      </c>
      <c r="J228" s="143" t="s">
        <v>204</v>
      </c>
      <c r="K228" s="143" t="s">
        <v>204</v>
      </c>
      <c r="L228" s="143" t="s">
        <v>325</v>
      </c>
      <c r="M228" s="143" t="s">
        <v>340</v>
      </c>
      <c r="N228" s="143" t="s">
        <v>443</v>
      </c>
      <c r="O228" s="143" t="s">
        <v>339</v>
      </c>
      <c r="P228" s="143" t="s">
        <v>1617</v>
      </c>
      <c r="Q228" s="143" t="s">
        <v>415</v>
      </c>
      <c r="R228" s="143" t="s">
        <v>407</v>
      </c>
      <c r="S228" s="143" t="s">
        <v>1210</v>
      </c>
      <c r="T228" s="144">
        <v>1.04</v>
      </c>
      <c r="U228" s="143" t="s">
        <v>1753</v>
      </c>
      <c r="V228" s="146">
        <v>1.8499999999999999E-2</v>
      </c>
      <c r="W228" s="146">
        <v>2.9201000000000001E-2</v>
      </c>
      <c r="X228" s="143" t="s">
        <v>412</v>
      </c>
      <c r="Y228" s="145" t="s">
        <v>3876</v>
      </c>
      <c r="Z228" s="144">
        <v>519568.87</v>
      </c>
      <c r="AA228" s="145" t="s">
        <v>3876</v>
      </c>
      <c r="AB228" s="143" t="s">
        <v>1754</v>
      </c>
      <c r="AC228" s="145" t="s">
        <v>3876</v>
      </c>
      <c r="AD228" s="144">
        <v>583.57980000000009</v>
      </c>
      <c r="AE228" s="145" t="s">
        <v>3876</v>
      </c>
      <c r="AF228" s="145" t="s">
        <v>3876</v>
      </c>
      <c r="AG228" s="145" t="s">
        <v>3876</v>
      </c>
      <c r="AH228" s="146">
        <v>1.4088093004338395E-3</v>
      </c>
      <c r="AI228" s="146">
        <v>4.8364615662479342E-3</v>
      </c>
      <c r="AJ228" s="147">
        <v>5.8691944785641524E-4</v>
      </c>
      <c r="AK228" s="181"/>
    </row>
    <row r="229" spans="1:37" ht="15" x14ac:dyDescent="0.2">
      <c r="A229" s="142" t="s">
        <v>1205</v>
      </c>
      <c r="B229" s="143" t="s">
        <v>1205</v>
      </c>
      <c r="C229" s="143" t="s">
        <v>1717</v>
      </c>
      <c r="D229" s="143" t="s">
        <v>1718</v>
      </c>
      <c r="E229" s="143" t="s">
        <v>309</v>
      </c>
      <c r="F229" s="143" t="s">
        <v>1746</v>
      </c>
      <c r="G229" s="143" t="s">
        <v>1747</v>
      </c>
      <c r="H229" s="143" t="s">
        <v>321</v>
      </c>
      <c r="I229" s="143" t="s">
        <v>754</v>
      </c>
      <c r="J229" s="143" t="s">
        <v>204</v>
      </c>
      <c r="K229" s="143" t="s">
        <v>204</v>
      </c>
      <c r="L229" s="143" t="s">
        <v>325</v>
      </c>
      <c r="M229" s="143" t="s">
        <v>340</v>
      </c>
      <c r="N229" s="143" t="s">
        <v>464</v>
      </c>
      <c r="O229" s="143" t="s">
        <v>339</v>
      </c>
      <c r="P229" s="143" t="s">
        <v>1502</v>
      </c>
      <c r="Q229" s="143" t="s">
        <v>415</v>
      </c>
      <c r="R229" s="143" t="s">
        <v>407</v>
      </c>
      <c r="S229" s="143" t="s">
        <v>1210</v>
      </c>
      <c r="T229" s="144">
        <v>2.8</v>
      </c>
      <c r="U229" s="143" t="s">
        <v>1542</v>
      </c>
      <c r="V229" s="146">
        <v>1.77E-2</v>
      </c>
      <c r="W229" s="146">
        <v>2.6707999999999999E-2</v>
      </c>
      <c r="X229" s="143" t="s">
        <v>412</v>
      </c>
      <c r="Y229" s="145" t="s">
        <v>3876</v>
      </c>
      <c r="Z229" s="144">
        <v>521600.01</v>
      </c>
      <c r="AA229" s="145" t="s">
        <v>3876</v>
      </c>
      <c r="AB229" s="143" t="s">
        <v>1748</v>
      </c>
      <c r="AC229" s="145" t="s">
        <v>3876</v>
      </c>
      <c r="AD229" s="144">
        <v>577.93280000000004</v>
      </c>
      <c r="AE229" s="145" t="s">
        <v>3876</v>
      </c>
      <c r="AF229" s="145" t="s">
        <v>3876</v>
      </c>
      <c r="AG229" s="145" t="s">
        <v>3876</v>
      </c>
      <c r="AH229" s="146">
        <v>2.0102417878347685E-4</v>
      </c>
      <c r="AI229" s="146">
        <v>4.7896620911680099E-3</v>
      </c>
      <c r="AJ229" s="147">
        <v>5.8124018798891926E-4</v>
      </c>
      <c r="AK229" s="181"/>
    </row>
    <row r="230" spans="1:37" ht="15" x14ac:dyDescent="0.2">
      <c r="A230" s="142" t="s">
        <v>1205</v>
      </c>
      <c r="B230" s="143" t="s">
        <v>1205</v>
      </c>
      <c r="C230" s="143" t="s">
        <v>1509</v>
      </c>
      <c r="D230" s="143" t="s">
        <v>1510</v>
      </c>
      <c r="E230" s="143" t="s">
        <v>309</v>
      </c>
      <c r="F230" s="143" t="s">
        <v>1511</v>
      </c>
      <c r="G230" s="143" t="s">
        <v>1512</v>
      </c>
      <c r="H230" s="143" t="s">
        <v>321</v>
      </c>
      <c r="I230" s="143" t="s">
        <v>754</v>
      </c>
      <c r="J230" s="143" t="s">
        <v>204</v>
      </c>
      <c r="K230" s="143" t="s">
        <v>204</v>
      </c>
      <c r="L230" s="143" t="s">
        <v>325</v>
      </c>
      <c r="M230" s="143" t="s">
        <v>340</v>
      </c>
      <c r="N230" s="143" t="s">
        <v>448</v>
      </c>
      <c r="O230" s="143" t="s">
        <v>339</v>
      </c>
      <c r="P230" s="143" t="s">
        <v>1347</v>
      </c>
      <c r="Q230" s="143" t="s">
        <v>413</v>
      </c>
      <c r="R230" s="143" t="s">
        <v>407</v>
      </c>
      <c r="S230" s="143" t="s">
        <v>1210</v>
      </c>
      <c r="T230" s="144">
        <v>1.48</v>
      </c>
      <c r="U230" s="143" t="s">
        <v>1513</v>
      </c>
      <c r="V230" s="146">
        <v>2E-3</v>
      </c>
      <c r="W230" s="146">
        <v>2.0419E-2</v>
      </c>
      <c r="X230" s="143" t="s">
        <v>412</v>
      </c>
      <c r="Y230" s="145" t="s">
        <v>3876</v>
      </c>
      <c r="Z230" s="144">
        <v>517500</v>
      </c>
      <c r="AA230" s="145" t="s">
        <v>3876</v>
      </c>
      <c r="AB230" s="143" t="s">
        <v>1514</v>
      </c>
      <c r="AC230" s="145" t="s">
        <v>3876</v>
      </c>
      <c r="AD230" s="144">
        <v>566.71430000000009</v>
      </c>
      <c r="AE230" s="145" t="s">
        <v>3876</v>
      </c>
      <c r="AF230" s="145" t="s">
        <v>3876</v>
      </c>
      <c r="AG230" s="145" t="s">
        <v>3876</v>
      </c>
      <c r="AH230" s="146">
        <v>1.237385583259066E-3</v>
      </c>
      <c r="AI230" s="146">
        <v>4.6966874136758008E-3</v>
      </c>
      <c r="AJ230" s="147">
        <v>5.6995742565722361E-4</v>
      </c>
      <c r="AK230" s="181"/>
    </row>
    <row r="231" spans="1:37" ht="15" x14ac:dyDescent="0.2">
      <c r="A231" s="142" t="s">
        <v>1205</v>
      </c>
      <c r="B231" s="143" t="s">
        <v>1205</v>
      </c>
      <c r="C231" s="143" t="s">
        <v>1626</v>
      </c>
      <c r="D231" s="143" t="s">
        <v>1627</v>
      </c>
      <c r="E231" s="143" t="s">
        <v>309</v>
      </c>
      <c r="F231" s="143" t="s">
        <v>1628</v>
      </c>
      <c r="G231" s="143" t="s">
        <v>1629</v>
      </c>
      <c r="H231" s="143" t="s">
        <v>321</v>
      </c>
      <c r="I231" s="143" t="s">
        <v>754</v>
      </c>
      <c r="J231" s="143" t="s">
        <v>204</v>
      </c>
      <c r="K231" s="143" t="s">
        <v>204</v>
      </c>
      <c r="L231" s="143" t="s">
        <v>325</v>
      </c>
      <c r="M231" s="143" t="s">
        <v>340</v>
      </c>
      <c r="N231" s="143" t="s">
        <v>445</v>
      </c>
      <c r="O231" s="143" t="s">
        <v>339</v>
      </c>
      <c r="P231" s="143" t="s">
        <v>1410</v>
      </c>
      <c r="Q231" s="143" t="s">
        <v>413</v>
      </c>
      <c r="R231" s="143" t="s">
        <v>407</v>
      </c>
      <c r="S231" s="143" t="s">
        <v>1210</v>
      </c>
      <c r="T231" s="144">
        <v>4.79</v>
      </c>
      <c r="U231" s="143" t="s">
        <v>1630</v>
      </c>
      <c r="V231" s="146">
        <v>4.4000000000000003E-3</v>
      </c>
      <c r="W231" s="146">
        <v>2.8766E-2</v>
      </c>
      <c r="X231" s="143" t="s">
        <v>412</v>
      </c>
      <c r="Y231" s="145" t="s">
        <v>3876</v>
      </c>
      <c r="Z231" s="144">
        <v>555985.76</v>
      </c>
      <c r="AA231" s="145" t="s">
        <v>3876</v>
      </c>
      <c r="AB231" s="143" t="s">
        <v>1631</v>
      </c>
      <c r="AC231" s="145" t="s">
        <v>3876</v>
      </c>
      <c r="AD231" s="144">
        <v>561.99040000000002</v>
      </c>
      <c r="AE231" s="145" t="s">
        <v>3876</v>
      </c>
      <c r="AF231" s="145" t="s">
        <v>3876</v>
      </c>
      <c r="AG231" s="145" t="s">
        <v>3876</v>
      </c>
      <c r="AH231" s="146">
        <v>6.5180335095222058E-4</v>
      </c>
      <c r="AI231" s="146">
        <v>4.6575381992664984E-3</v>
      </c>
      <c r="AJ231" s="147">
        <v>5.6520654839077903E-4</v>
      </c>
      <c r="AK231" s="181"/>
    </row>
    <row r="232" spans="1:37" ht="15" x14ac:dyDescent="0.2">
      <c r="A232" s="142" t="s">
        <v>1205</v>
      </c>
      <c r="B232" s="143" t="s">
        <v>1205</v>
      </c>
      <c r="C232" s="143" t="s">
        <v>1519</v>
      </c>
      <c r="D232" s="143" t="s">
        <v>1520</v>
      </c>
      <c r="E232" s="143" t="s">
        <v>309</v>
      </c>
      <c r="F232" s="143" t="s">
        <v>1540</v>
      </c>
      <c r="G232" s="143" t="s">
        <v>1541</v>
      </c>
      <c r="H232" s="143" t="s">
        <v>321</v>
      </c>
      <c r="I232" s="143" t="s">
        <v>754</v>
      </c>
      <c r="J232" s="143" t="s">
        <v>204</v>
      </c>
      <c r="K232" s="143" t="s">
        <v>204</v>
      </c>
      <c r="L232" s="143" t="s">
        <v>325</v>
      </c>
      <c r="M232" s="143" t="s">
        <v>340</v>
      </c>
      <c r="N232" s="143" t="s">
        <v>465</v>
      </c>
      <c r="O232" s="143" t="s">
        <v>339</v>
      </c>
      <c r="P232" s="143" t="s">
        <v>1359</v>
      </c>
      <c r="Q232" s="143" t="s">
        <v>415</v>
      </c>
      <c r="R232" s="143" t="s">
        <v>407</v>
      </c>
      <c r="S232" s="143" t="s">
        <v>1210</v>
      </c>
      <c r="T232" s="144">
        <v>2.46</v>
      </c>
      <c r="U232" s="143" t="s">
        <v>1542</v>
      </c>
      <c r="V232" s="146">
        <v>3.2800000000000003E-2</v>
      </c>
      <c r="W232" s="146">
        <v>5.8094E-2</v>
      </c>
      <c r="X232" s="143" t="s">
        <v>412</v>
      </c>
      <c r="Y232" s="145" t="s">
        <v>3876</v>
      </c>
      <c r="Z232" s="144">
        <v>505928.04</v>
      </c>
      <c r="AA232" s="145" t="s">
        <v>3876</v>
      </c>
      <c r="AB232" s="143" t="s">
        <v>1543</v>
      </c>
      <c r="AC232" s="145" t="s">
        <v>3876</v>
      </c>
      <c r="AD232" s="144">
        <v>548.42600000000004</v>
      </c>
      <c r="AE232" s="145" t="s">
        <v>3876</v>
      </c>
      <c r="AF232" s="145" t="s">
        <v>3876</v>
      </c>
      <c r="AG232" s="145" t="s">
        <v>3876</v>
      </c>
      <c r="AH232" s="146">
        <v>3.6595086136622572E-4</v>
      </c>
      <c r="AI232" s="146">
        <v>4.5451221135518211E-3</v>
      </c>
      <c r="AJ232" s="147">
        <v>5.5156451153096303E-4</v>
      </c>
      <c r="AK232" s="181"/>
    </row>
    <row r="233" spans="1:37" ht="15" x14ac:dyDescent="0.2">
      <c r="A233" s="142" t="s">
        <v>1205</v>
      </c>
      <c r="B233" s="143" t="s">
        <v>1205</v>
      </c>
      <c r="C233" s="143" t="s">
        <v>1349</v>
      </c>
      <c r="D233" s="143" t="s">
        <v>1350</v>
      </c>
      <c r="E233" s="143" t="s">
        <v>309</v>
      </c>
      <c r="F233" s="143" t="s">
        <v>1587</v>
      </c>
      <c r="G233" s="143" t="s">
        <v>1588</v>
      </c>
      <c r="H233" s="143" t="s">
        <v>321</v>
      </c>
      <c r="I233" s="143" t="s">
        <v>754</v>
      </c>
      <c r="J233" s="143" t="s">
        <v>204</v>
      </c>
      <c r="K233" s="143" t="s">
        <v>204</v>
      </c>
      <c r="L233" s="143" t="s">
        <v>325</v>
      </c>
      <c r="M233" s="143" t="s">
        <v>340</v>
      </c>
      <c r="N233" s="143" t="s">
        <v>448</v>
      </c>
      <c r="O233" s="143" t="s">
        <v>339</v>
      </c>
      <c r="P233" s="143" t="s">
        <v>1209</v>
      </c>
      <c r="Q233" s="143" t="s">
        <v>415</v>
      </c>
      <c r="R233" s="143" t="s">
        <v>407</v>
      </c>
      <c r="S233" s="143" t="s">
        <v>1210</v>
      </c>
      <c r="T233" s="144">
        <v>0.67</v>
      </c>
      <c r="U233" s="143" t="s">
        <v>1589</v>
      </c>
      <c r="V233" s="146">
        <v>9.4999999999999998E-3</v>
      </c>
      <c r="W233" s="146">
        <v>2.8906999999999999E-2</v>
      </c>
      <c r="X233" s="143" t="s">
        <v>412</v>
      </c>
      <c r="Y233" s="145" t="s">
        <v>3876</v>
      </c>
      <c r="Z233" s="144">
        <v>480017.34</v>
      </c>
      <c r="AA233" s="145" t="s">
        <v>3876</v>
      </c>
      <c r="AB233" s="143" t="s">
        <v>1590</v>
      </c>
      <c r="AC233" s="145" t="s">
        <v>3876</v>
      </c>
      <c r="AD233" s="144">
        <v>544.09969999999998</v>
      </c>
      <c r="AE233" s="145" t="s">
        <v>3876</v>
      </c>
      <c r="AF233" s="145" t="s">
        <v>3876</v>
      </c>
      <c r="AG233" s="145" t="s">
        <v>3876</v>
      </c>
      <c r="AH233" s="146">
        <v>2.9866985651142877E-3</v>
      </c>
      <c r="AI233" s="146">
        <v>4.5092672381314043E-3</v>
      </c>
      <c r="AJ233" s="147">
        <v>5.4721341240684908E-4</v>
      </c>
      <c r="AK233" s="181"/>
    </row>
    <row r="234" spans="1:37" ht="15" x14ac:dyDescent="0.2">
      <c r="A234" s="142" t="s">
        <v>1205</v>
      </c>
      <c r="B234" s="143" t="s">
        <v>1205</v>
      </c>
      <c r="C234" s="143" t="s">
        <v>1519</v>
      </c>
      <c r="D234" s="143" t="s">
        <v>1520</v>
      </c>
      <c r="E234" s="143" t="s">
        <v>309</v>
      </c>
      <c r="F234" s="143" t="s">
        <v>1521</v>
      </c>
      <c r="G234" s="143" t="s">
        <v>1522</v>
      </c>
      <c r="H234" s="143" t="s">
        <v>321</v>
      </c>
      <c r="I234" s="143" t="s">
        <v>754</v>
      </c>
      <c r="J234" s="143" t="s">
        <v>204</v>
      </c>
      <c r="K234" s="143" t="s">
        <v>204</v>
      </c>
      <c r="L234" s="143" t="s">
        <v>325</v>
      </c>
      <c r="M234" s="143" t="s">
        <v>340</v>
      </c>
      <c r="N234" s="143" t="s">
        <v>465</v>
      </c>
      <c r="O234" s="143" t="s">
        <v>339</v>
      </c>
      <c r="P234" s="143" t="s">
        <v>1359</v>
      </c>
      <c r="Q234" s="143" t="s">
        <v>415</v>
      </c>
      <c r="R234" s="143" t="s">
        <v>407</v>
      </c>
      <c r="S234" s="143" t="s">
        <v>1210</v>
      </c>
      <c r="T234" s="144">
        <v>2.1</v>
      </c>
      <c r="U234" s="143" t="s">
        <v>1523</v>
      </c>
      <c r="V234" s="146">
        <v>0.04</v>
      </c>
      <c r="W234" s="146">
        <v>5.3921999999999998E-2</v>
      </c>
      <c r="X234" s="143" t="s">
        <v>412</v>
      </c>
      <c r="Y234" s="145" t="s">
        <v>3876</v>
      </c>
      <c r="Z234" s="144">
        <v>461901.04</v>
      </c>
      <c r="AA234" s="145" t="s">
        <v>3876</v>
      </c>
      <c r="AB234" s="143" t="s">
        <v>1524</v>
      </c>
      <c r="AC234" s="145" t="s">
        <v>3876</v>
      </c>
      <c r="AD234" s="144">
        <v>509.3845</v>
      </c>
      <c r="AE234" s="145" t="s">
        <v>3876</v>
      </c>
      <c r="AF234" s="145" t="s">
        <v>3876</v>
      </c>
      <c r="AG234" s="145" t="s">
        <v>3876</v>
      </c>
      <c r="AH234" s="146">
        <v>2.1363812548153341E-4</v>
      </c>
      <c r="AI234" s="146">
        <v>4.221562479622752E-3</v>
      </c>
      <c r="AJ234" s="147">
        <v>5.1229955737118081E-4</v>
      </c>
      <c r="AK234" s="181"/>
    </row>
    <row r="235" spans="1:37" ht="15" x14ac:dyDescent="0.2">
      <c r="A235" s="142" t="s">
        <v>1205</v>
      </c>
      <c r="B235" s="143" t="s">
        <v>1205</v>
      </c>
      <c r="C235" s="143" t="s">
        <v>1438</v>
      </c>
      <c r="D235" s="143" t="s">
        <v>1439</v>
      </c>
      <c r="E235" s="143" t="s">
        <v>309</v>
      </c>
      <c r="F235" s="143" t="s">
        <v>1977</v>
      </c>
      <c r="G235" s="143" t="s">
        <v>1978</v>
      </c>
      <c r="H235" s="143" t="s">
        <v>321</v>
      </c>
      <c r="I235" s="143" t="s">
        <v>754</v>
      </c>
      <c r="J235" s="143" t="s">
        <v>204</v>
      </c>
      <c r="K235" s="143" t="s">
        <v>204</v>
      </c>
      <c r="L235" s="143" t="s">
        <v>325</v>
      </c>
      <c r="M235" s="143" t="s">
        <v>340</v>
      </c>
      <c r="N235" s="143" t="s">
        <v>464</v>
      </c>
      <c r="O235" s="143" t="s">
        <v>339</v>
      </c>
      <c r="P235" s="143" t="s">
        <v>1366</v>
      </c>
      <c r="Q235" s="143" t="s">
        <v>415</v>
      </c>
      <c r="R235" s="143" t="s">
        <v>407</v>
      </c>
      <c r="S235" s="143" t="s">
        <v>1210</v>
      </c>
      <c r="T235" s="144">
        <v>4.21</v>
      </c>
      <c r="U235" s="143" t="s">
        <v>1979</v>
      </c>
      <c r="V235" s="146">
        <v>5.0000000000000001E-3</v>
      </c>
      <c r="W235" s="146">
        <v>3.3514000000000002E-2</v>
      </c>
      <c r="X235" s="143" t="s">
        <v>412</v>
      </c>
      <c r="Y235" s="145" t="s">
        <v>3876</v>
      </c>
      <c r="Z235" s="144">
        <v>487600.03</v>
      </c>
      <c r="AA235" s="145" t="s">
        <v>3876</v>
      </c>
      <c r="AB235" s="143" t="s">
        <v>1980</v>
      </c>
      <c r="AC235" s="145" t="s">
        <v>3876</v>
      </c>
      <c r="AD235" s="144">
        <v>489.79419999999999</v>
      </c>
      <c r="AE235" s="145" t="s">
        <v>3876</v>
      </c>
      <c r="AF235" s="145" t="s">
        <v>3876</v>
      </c>
      <c r="AG235" s="145" t="s">
        <v>3876</v>
      </c>
      <c r="AH235" s="146">
        <v>3.0296676752822842E-4</v>
      </c>
      <c r="AI235" s="146">
        <v>4.0592069035957417E-3</v>
      </c>
      <c r="AJ235" s="147">
        <v>4.925972101628048E-4</v>
      </c>
      <c r="AK235" s="181"/>
    </row>
    <row r="236" spans="1:37" ht="15" x14ac:dyDescent="0.2">
      <c r="A236" s="142" t="s">
        <v>1205</v>
      </c>
      <c r="B236" s="143" t="s">
        <v>1205</v>
      </c>
      <c r="C236" s="143" t="s">
        <v>1981</v>
      </c>
      <c r="D236" s="143" t="s">
        <v>1982</v>
      </c>
      <c r="E236" s="143" t="s">
        <v>309</v>
      </c>
      <c r="F236" s="143" t="s">
        <v>1983</v>
      </c>
      <c r="G236" s="143" t="s">
        <v>1984</v>
      </c>
      <c r="H236" s="143" t="s">
        <v>321</v>
      </c>
      <c r="I236" s="143" t="s">
        <v>754</v>
      </c>
      <c r="J236" s="143" t="s">
        <v>204</v>
      </c>
      <c r="K236" s="143" t="s">
        <v>204</v>
      </c>
      <c r="L236" s="143" t="s">
        <v>325</v>
      </c>
      <c r="M236" s="143" t="s">
        <v>340</v>
      </c>
      <c r="N236" s="143" t="s">
        <v>451</v>
      </c>
      <c r="O236" s="143" t="s">
        <v>339</v>
      </c>
      <c r="P236" s="145" t="s">
        <v>3876</v>
      </c>
      <c r="Q236" s="143" t="s">
        <v>410</v>
      </c>
      <c r="R236" s="143" t="s">
        <v>410</v>
      </c>
      <c r="S236" s="143" t="s">
        <v>1210</v>
      </c>
      <c r="T236" s="144">
        <v>3.02</v>
      </c>
      <c r="U236" s="143" t="s">
        <v>1542</v>
      </c>
      <c r="V236" s="146">
        <v>3.6999999999999998E-2</v>
      </c>
      <c r="W236" s="146">
        <v>4.7534E-2</v>
      </c>
      <c r="X236" s="143" t="s">
        <v>412</v>
      </c>
      <c r="Y236" s="145" t="s">
        <v>3876</v>
      </c>
      <c r="Z236" s="144">
        <v>428723.49</v>
      </c>
      <c r="AA236" s="145" t="s">
        <v>3876</v>
      </c>
      <c r="AB236" s="143" t="s">
        <v>1985</v>
      </c>
      <c r="AC236" s="145" t="s">
        <v>3876</v>
      </c>
      <c r="AD236" s="144">
        <v>472.62479999999999</v>
      </c>
      <c r="AE236" s="145" t="s">
        <v>3876</v>
      </c>
      <c r="AF236" s="145" t="s">
        <v>3876</v>
      </c>
      <c r="AG236" s="145" t="s">
        <v>3876</v>
      </c>
      <c r="AH236" s="146">
        <v>5.4289638957022109E-4</v>
      </c>
      <c r="AI236" s="146">
        <v>3.9169137425074663E-3</v>
      </c>
      <c r="AJ236" s="147">
        <v>4.7532949855262776E-4</v>
      </c>
      <c r="AK236" s="181"/>
    </row>
    <row r="237" spans="1:37" ht="15" x14ac:dyDescent="0.2">
      <c r="A237" s="142" t="s">
        <v>1205</v>
      </c>
      <c r="B237" s="143" t="s">
        <v>1205</v>
      </c>
      <c r="C237" s="143" t="s">
        <v>1735</v>
      </c>
      <c r="D237" s="143" t="s">
        <v>1736</v>
      </c>
      <c r="E237" s="143" t="s">
        <v>309</v>
      </c>
      <c r="F237" s="143" t="s">
        <v>1737</v>
      </c>
      <c r="G237" s="143" t="s">
        <v>1738</v>
      </c>
      <c r="H237" s="143" t="s">
        <v>321</v>
      </c>
      <c r="I237" s="143" t="s">
        <v>754</v>
      </c>
      <c r="J237" s="143" t="s">
        <v>204</v>
      </c>
      <c r="K237" s="143" t="s">
        <v>204</v>
      </c>
      <c r="L237" s="143" t="s">
        <v>325</v>
      </c>
      <c r="M237" s="143" t="s">
        <v>340</v>
      </c>
      <c r="N237" s="143" t="s">
        <v>464</v>
      </c>
      <c r="O237" s="143" t="s">
        <v>339</v>
      </c>
      <c r="P237" s="143" t="s">
        <v>1209</v>
      </c>
      <c r="Q237" s="143" t="s">
        <v>415</v>
      </c>
      <c r="R237" s="143" t="s">
        <v>407</v>
      </c>
      <c r="S237" s="143" t="s">
        <v>1210</v>
      </c>
      <c r="T237" s="144">
        <v>1.71</v>
      </c>
      <c r="U237" s="143" t="s">
        <v>1513</v>
      </c>
      <c r="V237" s="146">
        <v>8.3000000000000001E-3</v>
      </c>
      <c r="W237" s="146">
        <v>2.2022E-2</v>
      </c>
      <c r="X237" s="143" t="s">
        <v>412</v>
      </c>
      <c r="Y237" s="145" t="s">
        <v>3876</v>
      </c>
      <c r="Z237" s="144">
        <v>408269.27</v>
      </c>
      <c r="AA237" s="145" t="s">
        <v>3876</v>
      </c>
      <c r="AB237" s="143" t="s">
        <v>1739</v>
      </c>
      <c r="AC237" s="145" t="s">
        <v>3876</v>
      </c>
      <c r="AD237" s="144">
        <v>457.01659999999998</v>
      </c>
      <c r="AE237" s="145" t="s">
        <v>3876</v>
      </c>
      <c r="AF237" s="145" t="s">
        <v>3876</v>
      </c>
      <c r="AG237" s="145" t="s">
        <v>3876</v>
      </c>
      <c r="AH237" s="146">
        <v>3.4399339804485875E-4</v>
      </c>
      <c r="AI237" s="146">
        <v>3.7875599756499513E-3</v>
      </c>
      <c r="AJ237" s="147">
        <v>4.5963202212647721E-4</v>
      </c>
      <c r="AK237" s="181"/>
    </row>
    <row r="238" spans="1:37" ht="15" x14ac:dyDescent="0.2">
      <c r="A238" s="142" t="s">
        <v>1205</v>
      </c>
      <c r="B238" s="143" t="s">
        <v>1205</v>
      </c>
      <c r="C238" s="143" t="s">
        <v>1468</v>
      </c>
      <c r="D238" s="143" t="s">
        <v>1469</v>
      </c>
      <c r="E238" s="143" t="s">
        <v>309</v>
      </c>
      <c r="F238" s="143" t="s">
        <v>1598</v>
      </c>
      <c r="G238" s="143" t="s">
        <v>1599</v>
      </c>
      <c r="H238" s="143" t="s">
        <v>321</v>
      </c>
      <c r="I238" s="143" t="s">
        <v>754</v>
      </c>
      <c r="J238" s="143" t="s">
        <v>204</v>
      </c>
      <c r="K238" s="143" t="s">
        <v>204</v>
      </c>
      <c r="L238" s="143" t="s">
        <v>325</v>
      </c>
      <c r="M238" s="143" t="s">
        <v>340</v>
      </c>
      <c r="N238" s="143" t="s">
        <v>448</v>
      </c>
      <c r="O238" s="143" t="s">
        <v>339</v>
      </c>
      <c r="P238" s="143" t="s">
        <v>1224</v>
      </c>
      <c r="Q238" s="143" t="s">
        <v>413</v>
      </c>
      <c r="R238" s="143" t="s">
        <v>407</v>
      </c>
      <c r="S238" s="143" t="s">
        <v>1210</v>
      </c>
      <c r="T238" s="144">
        <v>1.99</v>
      </c>
      <c r="U238" s="143" t="s">
        <v>1404</v>
      </c>
      <c r="V238" s="146">
        <v>8.3000000000000001E-3</v>
      </c>
      <c r="W238" s="146">
        <v>2.1007000000000001E-2</v>
      </c>
      <c r="X238" s="143" t="s">
        <v>412</v>
      </c>
      <c r="Y238" s="145" t="s">
        <v>3876</v>
      </c>
      <c r="Z238" s="144">
        <v>396705</v>
      </c>
      <c r="AA238" s="145" t="s">
        <v>3876</v>
      </c>
      <c r="AB238" s="143" t="s">
        <v>1600</v>
      </c>
      <c r="AC238" s="145" t="s">
        <v>3876</v>
      </c>
      <c r="AD238" s="144">
        <v>439.35079999999999</v>
      </c>
      <c r="AE238" s="145" t="s">
        <v>3876</v>
      </c>
      <c r="AF238" s="145" t="s">
        <v>3876</v>
      </c>
      <c r="AG238" s="145" t="s">
        <v>3876</v>
      </c>
      <c r="AH238" s="146">
        <v>2.6082745761196307E-4</v>
      </c>
      <c r="AI238" s="146">
        <v>3.6411530393664912E-3</v>
      </c>
      <c r="AJ238" s="147">
        <v>4.4186509127655408E-4</v>
      </c>
      <c r="AK238" s="181"/>
    </row>
    <row r="239" spans="1:37" ht="15" x14ac:dyDescent="0.2">
      <c r="A239" s="142" t="s">
        <v>1205</v>
      </c>
      <c r="B239" s="143" t="s">
        <v>1205</v>
      </c>
      <c r="C239" s="143" t="s">
        <v>1740</v>
      </c>
      <c r="D239" s="143" t="s">
        <v>1741</v>
      </c>
      <c r="E239" s="143" t="s">
        <v>309</v>
      </c>
      <c r="F239" s="143" t="s">
        <v>1755</v>
      </c>
      <c r="G239" s="143" t="s">
        <v>1756</v>
      </c>
      <c r="H239" s="143" t="s">
        <v>321</v>
      </c>
      <c r="I239" s="143" t="s">
        <v>754</v>
      </c>
      <c r="J239" s="143" t="s">
        <v>204</v>
      </c>
      <c r="K239" s="143" t="s">
        <v>204</v>
      </c>
      <c r="L239" s="143" t="s">
        <v>325</v>
      </c>
      <c r="M239" s="143" t="s">
        <v>340</v>
      </c>
      <c r="N239" s="143" t="s">
        <v>464</v>
      </c>
      <c r="O239" s="143" t="s">
        <v>339</v>
      </c>
      <c r="P239" s="143" t="s">
        <v>1366</v>
      </c>
      <c r="Q239" s="143" t="s">
        <v>415</v>
      </c>
      <c r="R239" s="143" t="s">
        <v>407</v>
      </c>
      <c r="S239" s="143" t="s">
        <v>1210</v>
      </c>
      <c r="T239" s="144">
        <v>4.45</v>
      </c>
      <c r="U239" s="143" t="s">
        <v>1715</v>
      </c>
      <c r="V239" s="146">
        <v>1.3299999999999999E-2</v>
      </c>
      <c r="W239" s="146">
        <v>3.5557999999999999E-2</v>
      </c>
      <c r="X239" s="143" t="s">
        <v>412</v>
      </c>
      <c r="Y239" s="145" t="s">
        <v>3876</v>
      </c>
      <c r="Z239" s="144">
        <v>418000</v>
      </c>
      <c r="AA239" s="145" t="s">
        <v>3876</v>
      </c>
      <c r="AB239" s="143" t="s">
        <v>1757</v>
      </c>
      <c r="AC239" s="145" t="s">
        <v>3876</v>
      </c>
      <c r="AD239" s="144">
        <v>431.45959999999997</v>
      </c>
      <c r="AE239" s="145" t="s">
        <v>3876</v>
      </c>
      <c r="AF239" s="145" t="s">
        <v>3876</v>
      </c>
      <c r="AG239" s="145" t="s">
        <v>3876</v>
      </c>
      <c r="AH239" s="146">
        <v>3.5199999999999999E-4</v>
      </c>
      <c r="AI239" s="146">
        <v>3.5757542232784786E-3</v>
      </c>
      <c r="AJ239" s="147">
        <v>4.3392874432060855E-4</v>
      </c>
      <c r="AK239" s="181"/>
    </row>
    <row r="240" spans="1:37" ht="15" x14ac:dyDescent="0.2">
      <c r="A240" s="142" t="s">
        <v>1205</v>
      </c>
      <c r="B240" s="143" t="s">
        <v>1205</v>
      </c>
      <c r="C240" s="143" t="s">
        <v>1571</v>
      </c>
      <c r="D240" s="143" t="s">
        <v>1572</v>
      </c>
      <c r="E240" s="143" t="s">
        <v>309</v>
      </c>
      <c r="F240" s="143" t="s">
        <v>1636</v>
      </c>
      <c r="G240" s="143" t="s">
        <v>1637</v>
      </c>
      <c r="H240" s="143" t="s">
        <v>321</v>
      </c>
      <c r="I240" s="143" t="s">
        <v>754</v>
      </c>
      <c r="J240" s="143" t="s">
        <v>204</v>
      </c>
      <c r="K240" s="143" t="s">
        <v>204</v>
      </c>
      <c r="L240" s="143" t="s">
        <v>325</v>
      </c>
      <c r="M240" s="143" t="s">
        <v>340</v>
      </c>
      <c r="N240" s="143" t="s">
        <v>440</v>
      </c>
      <c r="O240" s="143" t="s">
        <v>339</v>
      </c>
      <c r="P240" s="143" t="s">
        <v>1347</v>
      </c>
      <c r="Q240" s="143" t="s">
        <v>413</v>
      </c>
      <c r="R240" s="143" t="s">
        <v>407</v>
      </c>
      <c r="S240" s="143" t="s">
        <v>1210</v>
      </c>
      <c r="T240" s="144">
        <v>3.31</v>
      </c>
      <c r="U240" s="143" t="s">
        <v>1638</v>
      </c>
      <c r="V240" s="146">
        <v>1.23E-2</v>
      </c>
      <c r="W240" s="146">
        <v>2.8667000000000002E-2</v>
      </c>
      <c r="X240" s="143" t="s">
        <v>412</v>
      </c>
      <c r="Y240" s="145" t="s">
        <v>3876</v>
      </c>
      <c r="Z240" s="144">
        <v>277375.03999999998</v>
      </c>
      <c r="AA240" s="145" t="s">
        <v>3876</v>
      </c>
      <c r="AB240" s="143" t="s">
        <v>1639</v>
      </c>
      <c r="AC240" s="145" t="s">
        <v>3876</v>
      </c>
      <c r="AD240" s="144">
        <v>300.6191</v>
      </c>
      <c r="AE240" s="145" t="s">
        <v>3876</v>
      </c>
      <c r="AF240" s="145" t="s">
        <v>3876</v>
      </c>
      <c r="AG240" s="145" t="s">
        <v>3876</v>
      </c>
      <c r="AH240" s="146">
        <v>2.4879119963957153E-4</v>
      </c>
      <c r="AI240" s="146">
        <v>2.4914033741692287E-3</v>
      </c>
      <c r="AJ240" s="147">
        <v>3.0233944232279118E-4</v>
      </c>
      <c r="AK240" s="181"/>
    </row>
    <row r="241" spans="1:37" ht="15" x14ac:dyDescent="0.2">
      <c r="A241" s="142" t="s">
        <v>1205</v>
      </c>
      <c r="B241" s="143" t="s">
        <v>1205</v>
      </c>
      <c r="C241" s="143" t="s">
        <v>1986</v>
      </c>
      <c r="D241" s="143" t="s">
        <v>1987</v>
      </c>
      <c r="E241" s="143" t="s">
        <v>309</v>
      </c>
      <c r="F241" s="143" t="s">
        <v>1988</v>
      </c>
      <c r="G241" s="143" t="s">
        <v>1989</v>
      </c>
      <c r="H241" s="143" t="s">
        <v>321</v>
      </c>
      <c r="I241" s="143" t="s">
        <v>754</v>
      </c>
      <c r="J241" s="143" t="s">
        <v>204</v>
      </c>
      <c r="K241" s="143" t="s">
        <v>204</v>
      </c>
      <c r="L241" s="143" t="s">
        <v>325</v>
      </c>
      <c r="M241" s="143" t="s">
        <v>340</v>
      </c>
      <c r="N241" s="143" t="s">
        <v>464</v>
      </c>
      <c r="O241" s="143" t="s">
        <v>339</v>
      </c>
      <c r="P241" s="143" t="s">
        <v>1410</v>
      </c>
      <c r="Q241" s="143" t="s">
        <v>413</v>
      </c>
      <c r="R241" s="143" t="s">
        <v>407</v>
      </c>
      <c r="S241" s="143" t="s">
        <v>1210</v>
      </c>
      <c r="T241" s="144">
        <v>1.41</v>
      </c>
      <c r="U241" s="143" t="s">
        <v>1360</v>
      </c>
      <c r="V241" s="146">
        <v>1.6E-2</v>
      </c>
      <c r="W241" s="146">
        <v>2.6533999999999999E-2</v>
      </c>
      <c r="X241" s="143" t="s">
        <v>412</v>
      </c>
      <c r="Y241" s="145" t="s">
        <v>3876</v>
      </c>
      <c r="Z241" s="144">
        <v>233601.97</v>
      </c>
      <c r="AA241" s="145" t="s">
        <v>3876</v>
      </c>
      <c r="AB241" s="143" t="s">
        <v>1990</v>
      </c>
      <c r="AC241" s="145" t="s">
        <v>3876</v>
      </c>
      <c r="AD241" s="144">
        <v>265.44190000000003</v>
      </c>
      <c r="AE241" s="145" t="s">
        <v>3876</v>
      </c>
      <c r="AF241" s="145" t="s">
        <v>3876</v>
      </c>
      <c r="AG241" s="145" t="s">
        <v>3876</v>
      </c>
      <c r="AH241" s="146">
        <v>6.0253360613809635E-4</v>
      </c>
      <c r="AI241" s="146">
        <v>2.1998700716147008E-3</v>
      </c>
      <c r="AJ241" s="147">
        <v>2.669609817223479E-4</v>
      </c>
      <c r="AK241" s="181"/>
    </row>
    <row r="242" spans="1:37" ht="15" x14ac:dyDescent="0.2">
      <c r="A242" s="142" t="s">
        <v>1205</v>
      </c>
      <c r="B242" s="143" t="s">
        <v>1205</v>
      </c>
      <c r="C242" s="143" t="s">
        <v>1519</v>
      </c>
      <c r="D242" s="143" t="s">
        <v>1520</v>
      </c>
      <c r="E242" s="143" t="s">
        <v>309</v>
      </c>
      <c r="F242" s="143" t="s">
        <v>1591</v>
      </c>
      <c r="G242" s="143" t="s">
        <v>1592</v>
      </c>
      <c r="H242" s="143" t="s">
        <v>321</v>
      </c>
      <c r="I242" s="143" t="s">
        <v>754</v>
      </c>
      <c r="J242" s="143" t="s">
        <v>204</v>
      </c>
      <c r="K242" s="143" t="s">
        <v>204</v>
      </c>
      <c r="L242" s="143" t="s">
        <v>325</v>
      </c>
      <c r="M242" s="143" t="s">
        <v>340</v>
      </c>
      <c r="N242" s="143" t="s">
        <v>465</v>
      </c>
      <c r="O242" s="143" t="s">
        <v>339</v>
      </c>
      <c r="P242" s="143" t="s">
        <v>1359</v>
      </c>
      <c r="Q242" s="143" t="s">
        <v>415</v>
      </c>
      <c r="R242" s="143" t="s">
        <v>407</v>
      </c>
      <c r="S242" s="143" t="s">
        <v>1210</v>
      </c>
      <c r="T242" s="144">
        <v>0.25</v>
      </c>
      <c r="U242" s="143" t="s">
        <v>1593</v>
      </c>
      <c r="V242" s="146">
        <v>5.3499999999999999E-2</v>
      </c>
      <c r="W242" s="146">
        <v>3.9487000000000001E-2</v>
      </c>
      <c r="X242" s="143" t="s">
        <v>412</v>
      </c>
      <c r="Y242" s="145" t="s">
        <v>3876</v>
      </c>
      <c r="Z242" s="144">
        <v>218138.94</v>
      </c>
      <c r="AA242" s="145" t="s">
        <v>3876</v>
      </c>
      <c r="AB242" s="143" t="s">
        <v>1594</v>
      </c>
      <c r="AC242" s="145" t="s">
        <v>3876</v>
      </c>
      <c r="AD242" s="144">
        <v>260.85050000000001</v>
      </c>
      <c r="AE242" s="145" t="s">
        <v>3876</v>
      </c>
      <c r="AF242" s="145" t="s">
        <v>3876</v>
      </c>
      <c r="AG242" s="145" t="s">
        <v>3876</v>
      </c>
      <c r="AH242" s="146">
        <v>6.5986749775688884E-4</v>
      </c>
      <c r="AI242" s="146">
        <v>2.1618187101845217E-3</v>
      </c>
      <c r="AJ242" s="147">
        <v>2.6234333228279878E-4</v>
      </c>
      <c r="AK242" s="181"/>
    </row>
    <row r="243" spans="1:37" ht="15" x14ac:dyDescent="0.2">
      <c r="A243" s="142" t="s">
        <v>1205</v>
      </c>
      <c r="B243" s="143" t="s">
        <v>1205</v>
      </c>
      <c r="C243" s="143" t="s">
        <v>1724</v>
      </c>
      <c r="D243" s="143" t="s">
        <v>1725</v>
      </c>
      <c r="E243" s="143" t="s">
        <v>309</v>
      </c>
      <c r="F243" s="143" t="s">
        <v>1991</v>
      </c>
      <c r="G243" s="143" t="s">
        <v>1992</v>
      </c>
      <c r="H243" s="143" t="s">
        <v>321</v>
      </c>
      <c r="I243" s="143" t="s">
        <v>754</v>
      </c>
      <c r="J243" s="143" t="s">
        <v>204</v>
      </c>
      <c r="K243" s="143" t="s">
        <v>204</v>
      </c>
      <c r="L243" s="143" t="s">
        <v>325</v>
      </c>
      <c r="M243" s="143" t="s">
        <v>340</v>
      </c>
      <c r="N243" s="143" t="s">
        <v>464</v>
      </c>
      <c r="O243" s="143" t="s">
        <v>339</v>
      </c>
      <c r="P243" s="143" t="s">
        <v>1389</v>
      </c>
      <c r="Q243" s="143" t="s">
        <v>413</v>
      </c>
      <c r="R243" s="143" t="s">
        <v>407</v>
      </c>
      <c r="S243" s="143" t="s">
        <v>1210</v>
      </c>
      <c r="T243" s="144">
        <v>1.94</v>
      </c>
      <c r="U243" s="143" t="s">
        <v>1523</v>
      </c>
      <c r="V243" s="146">
        <v>2.2499999999999999E-2</v>
      </c>
      <c r="W243" s="146">
        <v>3.3989999999999999E-2</v>
      </c>
      <c r="X243" s="143" t="s">
        <v>412</v>
      </c>
      <c r="Y243" s="145" t="s">
        <v>3876</v>
      </c>
      <c r="Z243" s="144">
        <v>228027.12</v>
      </c>
      <c r="AA243" s="145" t="s">
        <v>3876</v>
      </c>
      <c r="AB243" s="143" t="s">
        <v>1993</v>
      </c>
      <c r="AC243" s="145" t="s">
        <v>3876</v>
      </c>
      <c r="AD243" s="144">
        <v>254.9571</v>
      </c>
      <c r="AE243" s="145" t="s">
        <v>3876</v>
      </c>
      <c r="AF243" s="145" t="s">
        <v>3876</v>
      </c>
      <c r="AG243" s="145" t="s">
        <v>3876</v>
      </c>
      <c r="AH243" s="146">
        <v>6.0895526778903769E-4</v>
      </c>
      <c r="AI243" s="146">
        <v>2.1129765309764437E-3</v>
      </c>
      <c r="AJ243" s="147">
        <v>2.5641618400295662E-4</v>
      </c>
      <c r="AK243" s="181"/>
    </row>
    <row r="244" spans="1:37" ht="15" x14ac:dyDescent="0.2">
      <c r="A244" s="142" t="s">
        <v>1205</v>
      </c>
      <c r="B244" s="143" t="s">
        <v>1205</v>
      </c>
      <c r="C244" s="143" t="s">
        <v>1438</v>
      </c>
      <c r="D244" s="143" t="s">
        <v>1439</v>
      </c>
      <c r="E244" s="143" t="s">
        <v>309</v>
      </c>
      <c r="F244" s="143" t="s">
        <v>1994</v>
      </c>
      <c r="G244" s="143" t="s">
        <v>1995</v>
      </c>
      <c r="H244" s="143" t="s">
        <v>321</v>
      </c>
      <c r="I244" s="143" t="s">
        <v>754</v>
      </c>
      <c r="J244" s="143" t="s">
        <v>204</v>
      </c>
      <c r="K244" s="143" t="s">
        <v>204</v>
      </c>
      <c r="L244" s="143" t="s">
        <v>325</v>
      </c>
      <c r="M244" s="143" t="s">
        <v>340</v>
      </c>
      <c r="N244" s="143" t="s">
        <v>464</v>
      </c>
      <c r="O244" s="143" t="s">
        <v>339</v>
      </c>
      <c r="P244" s="143" t="s">
        <v>1366</v>
      </c>
      <c r="Q244" s="143" t="s">
        <v>415</v>
      </c>
      <c r="R244" s="143" t="s">
        <v>407</v>
      </c>
      <c r="S244" s="143" t="s">
        <v>1210</v>
      </c>
      <c r="T244" s="144">
        <v>1.21</v>
      </c>
      <c r="U244" s="143" t="s">
        <v>1996</v>
      </c>
      <c r="V244" s="146">
        <v>4.7500000000000001E-2</v>
      </c>
      <c r="W244" s="146">
        <v>2.8712000000000001E-2</v>
      </c>
      <c r="X244" s="143" t="s">
        <v>412</v>
      </c>
      <c r="Y244" s="145" t="s">
        <v>3876</v>
      </c>
      <c r="Z244" s="144">
        <v>158555.57999999999</v>
      </c>
      <c r="AA244" s="145" t="s">
        <v>3876</v>
      </c>
      <c r="AB244" s="143" t="s">
        <v>1997</v>
      </c>
      <c r="AC244" s="145" t="s">
        <v>3876</v>
      </c>
      <c r="AD244" s="144">
        <v>226.08439999999999</v>
      </c>
      <c r="AE244" s="145" t="s">
        <v>3876</v>
      </c>
      <c r="AF244" s="145" t="s">
        <v>3876</v>
      </c>
      <c r="AG244" s="145" t="s">
        <v>3876</v>
      </c>
      <c r="AH244" s="146">
        <v>1.6592842001922711E-4</v>
      </c>
      <c r="AI244" s="146">
        <v>1.8736916586389058E-3</v>
      </c>
      <c r="AJ244" s="147">
        <v>2.2737823069162846E-4</v>
      </c>
      <c r="AK244" s="181"/>
    </row>
    <row r="245" spans="1:37" ht="15" x14ac:dyDescent="0.2">
      <c r="A245" s="142" t="s">
        <v>1205</v>
      </c>
      <c r="B245" s="143" t="s">
        <v>1205</v>
      </c>
      <c r="C245" s="143" t="s">
        <v>1613</v>
      </c>
      <c r="D245" s="143" t="s">
        <v>1614</v>
      </c>
      <c r="E245" s="143" t="s">
        <v>309</v>
      </c>
      <c r="F245" s="143" t="s">
        <v>1632</v>
      </c>
      <c r="G245" s="143" t="s">
        <v>1633</v>
      </c>
      <c r="H245" s="143" t="s">
        <v>321</v>
      </c>
      <c r="I245" s="143" t="s">
        <v>754</v>
      </c>
      <c r="J245" s="143" t="s">
        <v>204</v>
      </c>
      <c r="K245" s="143" t="s">
        <v>204</v>
      </c>
      <c r="L245" s="143" t="s">
        <v>325</v>
      </c>
      <c r="M245" s="143" t="s">
        <v>340</v>
      </c>
      <c r="N245" s="143" t="s">
        <v>445</v>
      </c>
      <c r="O245" s="143" t="s">
        <v>339</v>
      </c>
      <c r="P245" s="143" t="s">
        <v>1617</v>
      </c>
      <c r="Q245" s="143" t="s">
        <v>415</v>
      </c>
      <c r="R245" s="143" t="s">
        <v>407</v>
      </c>
      <c r="S245" s="143" t="s">
        <v>1210</v>
      </c>
      <c r="T245" s="144">
        <v>5.55</v>
      </c>
      <c r="U245" s="143" t="s">
        <v>1634</v>
      </c>
      <c r="V245" s="146">
        <v>5.3999999999999999E-2</v>
      </c>
      <c r="W245" s="146">
        <v>6.1131999999999999E-2</v>
      </c>
      <c r="X245" s="143" t="s">
        <v>412</v>
      </c>
      <c r="Y245" s="145" t="s">
        <v>3876</v>
      </c>
      <c r="Z245" s="144">
        <v>182818</v>
      </c>
      <c r="AA245" s="145" t="s">
        <v>3876</v>
      </c>
      <c r="AB245" s="143" t="s">
        <v>1635</v>
      </c>
      <c r="AC245" s="145" t="s">
        <v>3876</v>
      </c>
      <c r="AD245" s="144">
        <v>176.76670000000001</v>
      </c>
      <c r="AE245" s="145" t="s">
        <v>3876</v>
      </c>
      <c r="AF245" s="145" t="s">
        <v>3876</v>
      </c>
      <c r="AG245" s="145" t="s">
        <v>3876</v>
      </c>
      <c r="AH245" s="146">
        <v>3.1988781595990862E-4</v>
      </c>
      <c r="AI245" s="146">
        <v>1.4649676599923888E-3</v>
      </c>
      <c r="AJ245" s="147">
        <v>1.7777831961503078E-4</v>
      </c>
      <c r="AK245" s="181"/>
    </row>
    <row r="246" spans="1:37" ht="15" x14ac:dyDescent="0.2">
      <c r="A246" s="142" t="s">
        <v>1205</v>
      </c>
      <c r="B246" s="143" t="s">
        <v>1205</v>
      </c>
      <c r="C246" s="143" t="s">
        <v>1581</v>
      </c>
      <c r="D246" s="143" t="s">
        <v>1582</v>
      </c>
      <c r="E246" s="143" t="s">
        <v>309</v>
      </c>
      <c r="F246" s="143" t="s">
        <v>1998</v>
      </c>
      <c r="G246" s="143" t="s">
        <v>1999</v>
      </c>
      <c r="H246" s="143" t="s">
        <v>321</v>
      </c>
      <c r="I246" s="143" t="s">
        <v>754</v>
      </c>
      <c r="J246" s="143" t="s">
        <v>204</v>
      </c>
      <c r="K246" s="143" t="s">
        <v>204</v>
      </c>
      <c r="L246" s="143" t="s">
        <v>325</v>
      </c>
      <c r="M246" s="143" t="s">
        <v>340</v>
      </c>
      <c r="N246" s="143" t="s">
        <v>464</v>
      </c>
      <c r="O246" s="143" t="s">
        <v>339</v>
      </c>
      <c r="P246" s="143" t="s">
        <v>1410</v>
      </c>
      <c r="Q246" s="143" t="s">
        <v>413</v>
      </c>
      <c r="R246" s="143" t="s">
        <v>407</v>
      </c>
      <c r="S246" s="143" t="s">
        <v>1210</v>
      </c>
      <c r="T246" s="144">
        <v>1.01</v>
      </c>
      <c r="U246" s="143" t="s">
        <v>1585</v>
      </c>
      <c r="V246" s="146">
        <v>9.5983000000000006E-3</v>
      </c>
      <c r="W246" s="146">
        <v>2.7944E-2</v>
      </c>
      <c r="X246" s="143" t="s">
        <v>412</v>
      </c>
      <c r="Y246" s="145" t="s">
        <v>3876</v>
      </c>
      <c r="Z246" s="144">
        <v>102320.21</v>
      </c>
      <c r="AA246" s="145" t="s">
        <v>3876</v>
      </c>
      <c r="AB246" s="143" t="s">
        <v>2000</v>
      </c>
      <c r="AC246" s="144">
        <v>2.8134999999999999</v>
      </c>
      <c r="AD246" s="144">
        <v>120.2362</v>
      </c>
      <c r="AE246" s="145" t="s">
        <v>3876</v>
      </c>
      <c r="AF246" s="145" t="s">
        <v>3876</v>
      </c>
      <c r="AG246" s="145" t="s">
        <v>3876</v>
      </c>
      <c r="AH246" s="146">
        <v>1.2702623987892548E-4</v>
      </c>
      <c r="AI246" s="146">
        <v>1.0197838474764536E-3</v>
      </c>
      <c r="AJ246" s="147">
        <v>1.2375389827776586E-4</v>
      </c>
      <c r="AK246" s="181"/>
    </row>
    <row r="247" spans="1:37" ht="15" x14ac:dyDescent="0.2">
      <c r="A247" s="142" t="s">
        <v>1205</v>
      </c>
      <c r="B247" s="143" t="s">
        <v>1205</v>
      </c>
      <c r="C247" s="143" t="s">
        <v>1601</v>
      </c>
      <c r="D247" s="143" t="s">
        <v>1602</v>
      </c>
      <c r="E247" s="143" t="s">
        <v>309</v>
      </c>
      <c r="F247" s="143" t="s">
        <v>1603</v>
      </c>
      <c r="G247" s="143" t="s">
        <v>1604</v>
      </c>
      <c r="H247" s="143" t="s">
        <v>321</v>
      </c>
      <c r="I247" s="143" t="s">
        <v>754</v>
      </c>
      <c r="J247" s="143" t="s">
        <v>204</v>
      </c>
      <c r="K247" s="143" t="s">
        <v>204</v>
      </c>
      <c r="L247" s="143" t="s">
        <v>325</v>
      </c>
      <c r="M247" s="143" t="s">
        <v>340</v>
      </c>
      <c r="N247" s="143" t="s">
        <v>484</v>
      </c>
      <c r="O247" s="143" t="s">
        <v>339</v>
      </c>
      <c r="P247" s="143" t="s">
        <v>1403</v>
      </c>
      <c r="Q247" s="143" t="s">
        <v>413</v>
      </c>
      <c r="R247" s="143" t="s">
        <v>407</v>
      </c>
      <c r="S247" s="143" t="s">
        <v>1210</v>
      </c>
      <c r="T247" s="144">
        <v>0.01</v>
      </c>
      <c r="U247" s="143" t="s">
        <v>1605</v>
      </c>
      <c r="V247" s="146">
        <v>1.9800000000000002E-2</v>
      </c>
      <c r="W247" s="146">
        <v>7.3847999999999997E-2</v>
      </c>
      <c r="X247" s="143" t="s">
        <v>412</v>
      </c>
      <c r="Y247" s="145" t="s">
        <v>3876</v>
      </c>
      <c r="Z247" s="144">
        <v>84594.77</v>
      </c>
      <c r="AA247" s="145" t="s">
        <v>3876</v>
      </c>
      <c r="AB247" s="143" t="s">
        <v>1606</v>
      </c>
      <c r="AC247" s="145" t="s">
        <v>3876</v>
      </c>
      <c r="AD247" s="144">
        <v>97.021699999999996</v>
      </c>
      <c r="AE247" s="145" t="s">
        <v>3876</v>
      </c>
      <c r="AF247" s="145" t="s">
        <v>3876</v>
      </c>
      <c r="AG247" s="145" t="s">
        <v>3876</v>
      </c>
      <c r="AH247" s="146">
        <v>5.5676508437980596E-4</v>
      </c>
      <c r="AI247" s="146">
        <v>8.0407505750270357E-4</v>
      </c>
      <c r="AJ247" s="147">
        <v>9.7576974885529253E-5</v>
      </c>
      <c r="AK247" s="181"/>
    </row>
    <row r="248" spans="1:37" ht="15" x14ac:dyDescent="0.2">
      <c r="A248" s="142" t="s">
        <v>1205</v>
      </c>
      <c r="B248" s="143" t="s">
        <v>1205</v>
      </c>
      <c r="C248" s="143" t="s">
        <v>1640</v>
      </c>
      <c r="D248" s="143" t="s">
        <v>1641</v>
      </c>
      <c r="E248" s="143" t="s">
        <v>309</v>
      </c>
      <c r="F248" s="143" t="s">
        <v>1642</v>
      </c>
      <c r="G248" s="143" t="s">
        <v>1643</v>
      </c>
      <c r="H248" s="143" t="s">
        <v>321</v>
      </c>
      <c r="I248" s="143" t="s">
        <v>754</v>
      </c>
      <c r="J248" s="143" t="s">
        <v>204</v>
      </c>
      <c r="K248" s="143" t="s">
        <v>204</v>
      </c>
      <c r="L248" s="143" t="s">
        <v>325</v>
      </c>
      <c r="M248" s="143" t="s">
        <v>340</v>
      </c>
      <c r="N248" s="143" t="s">
        <v>464</v>
      </c>
      <c r="O248" s="143" t="s">
        <v>339</v>
      </c>
      <c r="P248" s="143" t="s">
        <v>1366</v>
      </c>
      <c r="Q248" s="143" t="s">
        <v>415</v>
      </c>
      <c r="R248" s="143" t="s">
        <v>407</v>
      </c>
      <c r="S248" s="143" t="s">
        <v>1210</v>
      </c>
      <c r="T248" s="144">
        <v>3.16</v>
      </c>
      <c r="U248" s="143" t="s">
        <v>1644</v>
      </c>
      <c r="V248" s="146">
        <v>1.9599999999999999E-2</v>
      </c>
      <c r="W248" s="146">
        <v>2.9968999999999999E-2</v>
      </c>
      <c r="X248" s="143" t="s">
        <v>412</v>
      </c>
      <c r="Y248" s="145" t="s">
        <v>3876</v>
      </c>
      <c r="Z248" s="144">
        <v>75596</v>
      </c>
      <c r="AA248" s="145" t="s">
        <v>3876</v>
      </c>
      <c r="AB248" s="143" t="s">
        <v>1645</v>
      </c>
      <c r="AC248" s="145" t="s">
        <v>3876</v>
      </c>
      <c r="AD248" s="144">
        <v>83.994699999999995</v>
      </c>
      <c r="AE248" s="145" t="s">
        <v>3876</v>
      </c>
      <c r="AF248" s="145" t="s">
        <v>3876</v>
      </c>
      <c r="AG248" s="145" t="s">
        <v>3876</v>
      </c>
      <c r="AH248" s="146">
        <v>6.6017371086684549E-5</v>
      </c>
      <c r="AI248" s="146">
        <v>6.9611258861727659E-4</v>
      </c>
      <c r="AJ248" s="147">
        <v>8.4475398090283848E-5</v>
      </c>
      <c r="AK248" s="181"/>
    </row>
    <row r="249" spans="1:37" ht="15" x14ac:dyDescent="0.2">
      <c r="A249" s="142" t="s">
        <v>1205</v>
      </c>
      <c r="B249" s="143" t="s">
        <v>1205</v>
      </c>
      <c r="C249" s="143" t="s">
        <v>1853</v>
      </c>
      <c r="D249" s="143" t="s">
        <v>1854</v>
      </c>
      <c r="E249" s="143" t="s">
        <v>309</v>
      </c>
      <c r="F249" s="143" t="s">
        <v>2001</v>
      </c>
      <c r="G249" s="143" t="s">
        <v>2002</v>
      </c>
      <c r="H249" s="143" t="s">
        <v>321</v>
      </c>
      <c r="I249" s="143" t="s">
        <v>754</v>
      </c>
      <c r="J249" s="143" t="s">
        <v>204</v>
      </c>
      <c r="K249" s="143" t="s">
        <v>204</v>
      </c>
      <c r="L249" s="143" t="s">
        <v>325</v>
      </c>
      <c r="M249" s="143" t="s">
        <v>340</v>
      </c>
      <c r="N249" s="143" t="s">
        <v>464</v>
      </c>
      <c r="O249" s="143" t="s">
        <v>339</v>
      </c>
      <c r="P249" s="143" t="s">
        <v>1410</v>
      </c>
      <c r="Q249" s="143" t="s">
        <v>413</v>
      </c>
      <c r="R249" s="143" t="s">
        <v>407</v>
      </c>
      <c r="S249" s="143" t="s">
        <v>1210</v>
      </c>
      <c r="T249" s="144">
        <v>1.99</v>
      </c>
      <c r="U249" s="143" t="s">
        <v>1432</v>
      </c>
      <c r="V249" s="146">
        <v>2.4E-2</v>
      </c>
      <c r="W249" s="146">
        <v>2.7054000000000002E-2</v>
      </c>
      <c r="X249" s="143" t="s">
        <v>412</v>
      </c>
      <c r="Y249" s="145" t="s">
        <v>3876</v>
      </c>
      <c r="Z249" s="144">
        <v>62328.66</v>
      </c>
      <c r="AA249" s="145" t="s">
        <v>3876</v>
      </c>
      <c r="AB249" s="143" t="s">
        <v>2003</v>
      </c>
      <c r="AC249" s="145" t="s">
        <v>3876</v>
      </c>
      <c r="AD249" s="144">
        <v>71.210499999999996</v>
      </c>
      <c r="AE249" s="145" t="s">
        <v>3876</v>
      </c>
      <c r="AF249" s="145" t="s">
        <v>3876</v>
      </c>
      <c r="AG249" s="145" t="s">
        <v>3876</v>
      </c>
      <c r="AH249" s="146">
        <v>1.0802119185301595E-4</v>
      </c>
      <c r="AI249" s="146">
        <v>5.9016238099936702E-4</v>
      </c>
      <c r="AJ249" s="147">
        <v>7.1618015372856841E-5</v>
      </c>
      <c r="AK249" s="181"/>
    </row>
    <row r="250" spans="1:37" ht="15" x14ac:dyDescent="0.2">
      <c r="A250" s="142" t="s">
        <v>1205</v>
      </c>
      <c r="B250" s="143" t="s">
        <v>1205</v>
      </c>
      <c r="C250" s="143" t="s">
        <v>1581</v>
      </c>
      <c r="D250" s="143" t="s">
        <v>1582</v>
      </c>
      <c r="E250" s="143" t="s">
        <v>309</v>
      </c>
      <c r="F250" s="143" t="s">
        <v>2004</v>
      </c>
      <c r="G250" s="143" t="s">
        <v>2005</v>
      </c>
      <c r="H250" s="143" t="s">
        <v>321</v>
      </c>
      <c r="I250" s="143" t="s">
        <v>754</v>
      </c>
      <c r="J250" s="143" t="s">
        <v>204</v>
      </c>
      <c r="K250" s="143" t="s">
        <v>204</v>
      </c>
      <c r="L250" s="143" t="s">
        <v>325</v>
      </c>
      <c r="M250" s="143" t="s">
        <v>340</v>
      </c>
      <c r="N250" s="143" t="s">
        <v>464</v>
      </c>
      <c r="O250" s="143" t="s">
        <v>339</v>
      </c>
      <c r="P250" s="143" t="s">
        <v>1410</v>
      </c>
      <c r="Q250" s="143" t="s">
        <v>413</v>
      </c>
      <c r="R250" s="143" t="s">
        <v>407</v>
      </c>
      <c r="S250" s="143" t="s">
        <v>1210</v>
      </c>
      <c r="T250" s="144">
        <v>4.13</v>
      </c>
      <c r="U250" s="143" t="s">
        <v>2006</v>
      </c>
      <c r="V250" s="146">
        <v>2.2499999999999999E-2</v>
      </c>
      <c r="W250" s="146">
        <v>3.0984000000000001E-2</v>
      </c>
      <c r="X250" s="143" t="s">
        <v>412</v>
      </c>
      <c r="Y250" s="145" t="s">
        <v>3876</v>
      </c>
      <c r="Z250" s="144">
        <v>37868.400000000001</v>
      </c>
      <c r="AA250" s="145" t="s">
        <v>3876</v>
      </c>
      <c r="AB250" s="143" t="s">
        <v>2007</v>
      </c>
      <c r="AC250" s="144">
        <v>3.7768000000000002</v>
      </c>
      <c r="AD250" s="144">
        <v>45.882599999999996</v>
      </c>
      <c r="AE250" s="145" t="s">
        <v>3876</v>
      </c>
      <c r="AF250" s="145" t="s">
        <v>3876</v>
      </c>
      <c r="AG250" s="145" t="s">
        <v>3876</v>
      </c>
      <c r="AH250" s="146">
        <v>3.2189045481068286E-5</v>
      </c>
      <c r="AI250" s="146">
        <v>4.1155616700382666E-4</v>
      </c>
      <c r="AJ250" s="147">
        <v>4.9943603394987851E-5</v>
      </c>
      <c r="AK250" s="181"/>
    </row>
    <row r="251" spans="1:37" ht="15" x14ac:dyDescent="0.2">
      <c r="A251" s="142" t="s">
        <v>1205</v>
      </c>
      <c r="B251" s="143" t="s">
        <v>1205</v>
      </c>
      <c r="C251" s="143" t="s">
        <v>1740</v>
      </c>
      <c r="D251" s="143" t="s">
        <v>1741</v>
      </c>
      <c r="E251" s="143" t="s">
        <v>309</v>
      </c>
      <c r="F251" s="143" t="s">
        <v>2008</v>
      </c>
      <c r="G251" s="143" t="s">
        <v>2009</v>
      </c>
      <c r="H251" s="143" t="s">
        <v>321</v>
      </c>
      <c r="I251" s="143" t="s">
        <v>754</v>
      </c>
      <c r="J251" s="143" t="s">
        <v>204</v>
      </c>
      <c r="K251" s="143" t="s">
        <v>204</v>
      </c>
      <c r="L251" s="143" t="s">
        <v>325</v>
      </c>
      <c r="M251" s="143" t="s">
        <v>340</v>
      </c>
      <c r="N251" s="143" t="s">
        <v>464</v>
      </c>
      <c r="O251" s="143" t="s">
        <v>339</v>
      </c>
      <c r="P251" s="143" t="s">
        <v>1347</v>
      </c>
      <c r="Q251" s="143" t="s">
        <v>413</v>
      </c>
      <c r="R251" s="143" t="s">
        <v>407</v>
      </c>
      <c r="S251" s="143" t="s">
        <v>1210</v>
      </c>
      <c r="T251" s="144">
        <v>0.85</v>
      </c>
      <c r="U251" s="143" t="s">
        <v>2010</v>
      </c>
      <c r="V251" s="146">
        <v>2.5000000000000001E-2</v>
      </c>
      <c r="W251" s="146">
        <v>2.9173000000000001E-2</v>
      </c>
      <c r="X251" s="143" t="s">
        <v>412</v>
      </c>
      <c r="Y251" s="145" t="s">
        <v>3876</v>
      </c>
      <c r="Z251" s="144">
        <v>18637.05</v>
      </c>
      <c r="AA251" s="145" t="s">
        <v>3876</v>
      </c>
      <c r="AB251" s="143" t="s">
        <v>2011</v>
      </c>
      <c r="AC251" s="145" t="s">
        <v>3876</v>
      </c>
      <c r="AD251" s="144">
        <v>21.203400000000002</v>
      </c>
      <c r="AE251" s="145" t="s">
        <v>3876</v>
      </c>
      <c r="AF251" s="145" t="s">
        <v>3876</v>
      </c>
      <c r="AG251" s="145" t="s">
        <v>3876</v>
      </c>
      <c r="AH251" s="146">
        <v>7.9137556576810544E-5</v>
      </c>
      <c r="AI251" s="146">
        <v>1.7572455499415817E-4</v>
      </c>
      <c r="AJ251" s="147">
        <v>2.1324713817998418E-5</v>
      </c>
      <c r="AK251" s="181"/>
    </row>
    <row r="252" spans="1:37" ht="15" x14ac:dyDescent="0.2">
      <c r="A252" s="142" t="s">
        <v>1205</v>
      </c>
      <c r="B252" s="143" t="s">
        <v>1205</v>
      </c>
      <c r="C252" s="143" t="s">
        <v>1620</v>
      </c>
      <c r="D252" s="143" t="s">
        <v>1621</v>
      </c>
      <c r="E252" s="143" t="s">
        <v>309</v>
      </c>
      <c r="F252" s="143" t="s">
        <v>1622</v>
      </c>
      <c r="G252" s="143" t="s">
        <v>1623</v>
      </c>
      <c r="H252" s="143" t="s">
        <v>321</v>
      </c>
      <c r="I252" s="143" t="s">
        <v>754</v>
      </c>
      <c r="J252" s="143" t="s">
        <v>204</v>
      </c>
      <c r="K252" s="143" t="s">
        <v>204</v>
      </c>
      <c r="L252" s="143" t="s">
        <v>325</v>
      </c>
      <c r="M252" s="143" t="s">
        <v>340</v>
      </c>
      <c r="N252" s="143" t="s">
        <v>464</v>
      </c>
      <c r="O252" s="143" t="s">
        <v>339</v>
      </c>
      <c r="P252" s="143" t="s">
        <v>1410</v>
      </c>
      <c r="Q252" s="143" t="s">
        <v>413</v>
      </c>
      <c r="R252" s="143" t="s">
        <v>407</v>
      </c>
      <c r="S252" s="143" t="s">
        <v>1210</v>
      </c>
      <c r="T252" s="144">
        <v>0.22</v>
      </c>
      <c r="U252" s="143" t="s">
        <v>1624</v>
      </c>
      <c r="V252" s="146">
        <v>0.04</v>
      </c>
      <c r="W252" s="146">
        <v>2.2232999999999999E-2</v>
      </c>
      <c r="X252" s="143" t="s">
        <v>412</v>
      </c>
      <c r="Y252" s="145" t="s">
        <v>3876</v>
      </c>
      <c r="Z252" s="144">
        <v>7770.65</v>
      </c>
      <c r="AA252" s="145" t="s">
        <v>3876</v>
      </c>
      <c r="AB252" s="143" t="s">
        <v>1625</v>
      </c>
      <c r="AC252" s="145" t="s">
        <v>3876</v>
      </c>
      <c r="AD252" s="144">
        <v>8.9369999999999994</v>
      </c>
      <c r="AE252" s="145" t="s">
        <v>3876</v>
      </c>
      <c r="AF252" s="145" t="s">
        <v>3876</v>
      </c>
      <c r="AG252" s="145" t="s">
        <v>3876</v>
      </c>
      <c r="AH252" s="146">
        <v>9.5449732943668947E-5</v>
      </c>
      <c r="AI252" s="146">
        <v>7.4066270241390523E-5</v>
      </c>
      <c r="AJ252" s="147">
        <v>8.9881691065696129E-6</v>
      </c>
      <c r="AK252" s="181"/>
    </row>
    <row r="253" spans="1:37" ht="15" x14ac:dyDescent="0.2">
      <c r="A253" s="142" t="s">
        <v>1205</v>
      </c>
      <c r="B253" s="143" t="s">
        <v>1205</v>
      </c>
      <c r="C253" s="143" t="s">
        <v>2012</v>
      </c>
      <c r="D253" s="143" t="s">
        <v>2013</v>
      </c>
      <c r="E253" s="143" t="s">
        <v>309</v>
      </c>
      <c r="F253" s="143" t="s">
        <v>2014</v>
      </c>
      <c r="G253" s="143" t="s">
        <v>2015</v>
      </c>
      <c r="H253" s="143" t="s">
        <v>321</v>
      </c>
      <c r="I253" s="143" t="s">
        <v>755</v>
      </c>
      <c r="J253" s="143" t="s">
        <v>204</v>
      </c>
      <c r="K253" s="143" t="s">
        <v>233</v>
      </c>
      <c r="L253" s="143" t="s">
        <v>325</v>
      </c>
      <c r="M253" s="143" t="s">
        <v>340</v>
      </c>
      <c r="N253" s="143" t="s">
        <v>465</v>
      </c>
      <c r="O253" s="143" t="s">
        <v>339</v>
      </c>
      <c r="P253" s="143" t="s">
        <v>1366</v>
      </c>
      <c r="Q253" s="143" t="s">
        <v>415</v>
      </c>
      <c r="R253" s="143" t="s">
        <v>407</v>
      </c>
      <c r="S253" s="143" t="s">
        <v>1210</v>
      </c>
      <c r="T253" s="144">
        <v>3.09</v>
      </c>
      <c r="U253" s="143" t="s">
        <v>2016</v>
      </c>
      <c r="V253" s="146">
        <v>4.2999999999999997E-2</v>
      </c>
      <c r="W253" s="146">
        <v>8.4699999999999998E-2</v>
      </c>
      <c r="X253" s="143" t="s">
        <v>412</v>
      </c>
      <c r="Y253" s="145" t="s">
        <v>3876</v>
      </c>
      <c r="Z253" s="144">
        <v>750356.06</v>
      </c>
      <c r="AA253" s="145" t="s">
        <v>3876</v>
      </c>
      <c r="AB253" s="143" t="s">
        <v>2017</v>
      </c>
      <c r="AC253" s="145" t="s">
        <v>3876</v>
      </c>
      <c r="AD253" s="144">
        <v>680.34780000000001</v>
      </c>
      <c r="AE253" s="145" t="s">
        <v>3876</v>
      </c>
      <c r="AF253" s="145" t="s">
        <v>3876</v>
      </c>
      <c r="AG253" s="145" t="s">
        <v>3876</v>
      </c>
      <c r="AH253" s="146">
        <v>6.6648701610639931E-4</v>
      </c>
      <c r="AI253" s="146">
        <v>5.6384344229569597E-3</v>
      </c>
      <c r="AJ253" s="147">
        <v>6.8424131422671933E-4</v>
      </c>
      <c r="AK253" s="181"/>
    </row>
    <row r="254" spans="1:37" ht="15" x14ac:dyDescent="0.2">
      <c r="A254" s="142" t="s">
        <v>1205</v>
      </c>
      <c r="B254" s="143" t="s">
        <v>1205</v>
      </c>
      <c r="C254" s="143" t="s">
        <v>2018</v>
      </c>
      <c r="D254" s="143" t="s">
        <v>2019</v>
      </c>
      <c r="E254" s="143" t="s">
        <v>309</v>
      </c>
      <c r="F254" s="143" t="s">
        <v>2020</v>
      </c>
      <c r="G254" s="143" t="s">
        <v>2021</v>
      </c>
      <c r="H254" s="143" t="s">
        <v>321</v>
      </c>
      <c r="I254" s="143" t="s">
        <v>755</v>
      </c>
      <c r="J254" s="143" t="s">
        <v>204</v>
      </c>
      <c r="K254" s="143" t="s">
        <v>204</v>
      </c>
      <c r="L254" s="143" t="s">
        <v>325</v>
      </c>
      <c r="M254" s="143" t="s">
        <v>340</v>
      </c>
      <c r="N254" s="143" t="s">
        <v>480</v>
      </c>
      <c r="O254" s="143" t="s">
        <v>339</v>
      </c>
      <c r="P254" s="143" t="s">
        <v>1347</v>
      </c>
      <c r="Q254" s="143" t="s">
        <v>413</v>
      </c>
      <c r="R254" s="143" t="s">
        <v>407</v>
      </c>
      <c r="S254" s="143" t="s">
        <v>1210</v>
      </c>
      <c r="T254" s="144">
        <v>0.98</v>
      </c>
      <c r="U254" s="143" t="s">
        <v>2022</v>
      </c>
      <c r="V254" s="146">
        <v>3.3700000000000001E-2</v>
      </c>
      <c r="W254" s="146">
        <v>6.4588000000000007E-2</v>
      </c>
      <c r="X254" s="143" t="s">
        <v>412</v>
      </c>
      <c r="Y254" s="145" t="s">
        <v>3876</v>
      </c>
      <c r="Z254" s="144">
        <v>0.01</v>
      </c>
      <c r="AA254" s="145" t="s">
        <v>3876</v>
      </c>
      <c r="AB254" s="143" t="s">
        <v>2023</v>
      </c>
      <c r="AC254" s="145" t="s">
        <v>3876</v>
      </c>
      <c r="AD254" s="144">
        <v>0</v>
      </c>
      <c r="AE254" s="145" t="s">
        <v>3876</v>
      </c>
      <c r="AF254" s="145" t="s">
        <v>3876</v>
      </c>
      <c r="AG254" s="145" t="s">
        <v>3876</v>
      </c>
      <c r="AH254" s="146">
        <v>7.1428571428571427E-11</v>
      </c>
      <c r="AI254" s="146">
        <v>8.5602372440533032E-11</v>
      </c>
      <c r="AJ254" s="147">
        <v>1.0388110497686378E-11</v>
      </c>
      <c r="AK254" s="181"/>
    </row>
    <row r="255" spans="1:37" ht="15" x14ac:dyDescent="0.2">
      <c r="A255" s="142" t="s">
        <v>1205</v>
      </c>
      <c r="B255" s="143" t="s">
        <v>1205</v>
      </c>
      <c r="C255" s="143" t="s">
        <v>2024</v>
      </c>
      <c r="D255" s="143" t="s">
        <v>2025</v>
      </c>
      <c r="E255" s="143" t="s">
        <v>313</v>
      </c>
      <c r="F255" s="143" t="s">
        <v>2026</v>
      </c>
      <c r="G255" s="143" t="s">
        <v>2027</v>
      </c>
      <c r="H255" s="143" t="s">
        <v>321</v>
      </c>
      <c r="I255" s="143" t="s">
        <v>755</v>
      </c>
      <c r="J255" s="143" t="s">
        <v>205</v>
      </c>
      <c r="K255" s="143" t="s">
        <v>268</v>
      </c>
      <c r="L255" s="143" t="s">
        <v>325</v>
      </c>
      <c r="M255" s="143" t="s">
        <v>364</v>
      </c>
      <c r="N255" s="143" t="s">
        <v>539</v>
      </c>
      <c r="O255" s="143" t="s">
        <v>339</v>
      </c>
      <c r="P255" s="143" t="s">
        <v>2028</v>
      </c>
      <c r="Q255" s="143" t="s">
        <v>423</v>
      </c>
      <c r="R255" s="143" t="s">
        <v>407</v>
      </c>
      <c r="S255" s="143" t="s">
        <v>1211</v>
      </c>
      <c r="T255" s="144">
        <v>2.645</v>
      </c>
      <c r="U255" s="143" t="s">
        <v>2029</v>
      </c>
      <c r="V255" s="146">
        <v>5.6250000000000001E-2</v>
      </c>
      <c r="W255" s="146">
        <v>8.7309999999999999E-2</v>
      </c>
      <c r="X255" s="143" t="s">
        <v>412</v>
      </c>
      <c r="Y255" s="145" t="s">
        <v>3876</v>
      </c>
      <c r="Z255" s="144">
        <v>270000</v>
      </c>
      <c r="AA255" s="143" t="s">
        <v>1212</v>
      </c>
      <c r="AB255" s="143" t="s">
        <v>2030</v>
      </c>
      <c r="AC255" s="145" t="s">
        <v>3876</v>
      </c>
      <c r="AD255" s="144">
        <v>1049.5838000000001</v>
      </c>
      <c r="AE255" s="145" t="s">
        <v>3876</v>
      </c>
      <c r="AF255" s="145" t="s">
        <v>3876</v>
      </c>
      <c r="AG255" s="145" t="s">
        <v>3876</v>
      </c>
      <c r="AH255" s="146">
        <v>3.3750000000000002E-4</v>
      </c>
      <c r="AI255" s="146">
        <v>8.6985053579341966E-3</v>
      </c>
      <c r="AJ255" s="147">
        <v>1.0555903095525792E-3</v>
      </c>
      <c r="AK255" s="181"/>
    </row>
    <row r="256" spans="1:37" ht="15" x14ac:dyDescent="0.2">
      <c r="A256" s="142" t="s">
        <v>1205</v>
      </c>
      <c r="B256" s="143" t="s">
        <v>1205</v>
      </c>
      <c r="C256" s="143" t="s">
        <v>2031</v>
      </c>
      <c r="D256" s="143" t="s">
        <v>2032</v>
      </c>
      <c r="E256" s="143" t="s">
        <v>313</v>
      </c>
      <c r="F256" s="143" t="s">
        <v>2033</v>
      </c>
      <c r="G256" s="143" t="s">
        <v>2034</v>
      </c>
      <c r="H256" s="143" t="s">
        <v>321</v>
      </c>
      <c r="I256" s="143" t="s">
        <v>755</v>
      </c>
      <c r="J256" s="143" t="s">
        <v>205</v>
      </c>
      <c r="K256" s="143" t="s">
        <v>233</v>
      </c>
      <c r="L256" s="143" t="s">
        <v>325</v>
      </c>
      <c r="M256" s="143" t="s">
        <v>388</v>
      </c>
      <c r="N256" s="143" t="s">
        <v>549</v>
      </c>
      <c r="O256" s="143" t="s">
        <v>339</v>
      </c>
      <c r="P256" s="143" t="s">
        <v>2035</v>
      </c>
      <c r="Q256" s="143" t="s">
        <v>433</v>
      </c>
      <c r="R256" s="143" t="s">
        <v>407</v>
      </c>
      <c r="S256" s="143" t="s">
        <v>1211</v>
      </c>
      <c r="T256" s="144">
        <v>0.249</v>
      </c>
      <c r="U256" s="143" t="s">
        <v>1341</v>
      </c>
      <c r="V256" s="146">
        <v>6.25E-2</v>
      </c>
      <c r="W256" s="146">
        <v>7.2520000000000001E-2</v>
      </c>
      <c r="X256" s="143" t="s">
        <v>412</v>
      </c>
      <c r="Y256" s="145" t="s">
        <v>3876</v>
      </c>
      <c r="Z256" s="144">
        <v>176000</v>
      </c>
      <c r="AA256" s="143" t="s">
        <v>1212</v>
      </c>
      <c r="AB256" s="143" t="s">
        <v>2036</v>
      </c>
      <c r="AC256" s="145" t="s">
        <v>3876</v>
      </c>
      <c r="AD256" s="144">
        <v>692.06330000000003</v>
      </c>
      <c r="AE256" s="145" t="s">
        <v>3876</v>
      </c>
      <c r="AF256" s="145" t="s">
        <v>3876</v>
      </c>
      <c r="AG256" s="145" t="s">
        <v>3876</v>
      </c>
      <c r="AH256" s="146">
        <v>1.3538461538461539E-4</v>
      </c>
      <c r="AI256" s="146">
        <v>5.7355267961186427E-3</v>
      </c>
      <c r="AJ256" s="147">
        <v>6.9602377155974279E-4</v>
      </c>
      <c r="AK256" s="181"/>
    </row>
    <row r="257" spans="1:37" ht="15" x14ac:dyDescent="0.2">
      <c r="A257" s="142" t="s">
        <v>1205</v>
      </c>
      <c r="B257" s="143" t="s">
        <v>1205</v>
      </c>
      <c r="C257" s="143" t="s">
        <v>1844</v>
      </c>
      <c r="D257" s="143" t="s">
        <v>1845</v>
      </c>
      <c r="E257" s="143" t="s">
        <v>309</v>
      </c>
      <c r="F257" s="143" t="s">
        <v>2037</v>
      </c>
      <c r="G257" s="143" t="s">
        <v>2038</v>
      </c>
      <c r="H257" s="143" t="s">
        <v>321</v>
      </c>
      <c r="I257" s="143" t="s">
        <v>952</v>
      </c>
      <c r="J257" s="143" t="s">
        <v>204</v>
      </c>
      <c r="K257" s="143" t="s">
        <v>204</v>
      </c>
      <c r="L257" s="143" t="s">
        <v>325</v>
      </c>
      <c r="M257" s="143" t="s">
        <v>340</v>
      </c>
      <c r="N257" s="143" t="s">
        <v>441</v>
      </c>
      <c r="O257" s="143" t="s">
        <v>339</v>
      </c>
      <c r="P257" s="145" t="s">
        <v>3876</v>
      </c>
      <c r="Q257" s="143" t="s">
        <v>410</v>
      </c>
      <c r="R257" s="143" t="s">
        <v>410</v>
      </c>
      <c r="S257" s="143" t="s">
        <v>1210</v>
      </c>
      <c r="T257" s="144">
        <v>4.08</v>
      </c>
      <c r="U257" s="143" t="s">
        <v>1687</v>
      </c>
      <c r="V257" s="146">
        <v>0.05</v>
      </c>
      <c r="W257" s="146">
        <v>5.0389000000000003E-2</v>
      </c>
      <c r="X257" s="143" t="s">
        <v>412</v>
      </c>
      <c r="Y257" s="145" t="s">
        <v>3876</v>
      </c>
      <c r="Z257" s="144">
        <v>786000</v>
      </c>
      <c r="AA257" s="145" t="s">
        <v>3876</v>
      </c>
      <c r="AB257" s="143" t="s">
        <v>2039</v>
      </c>
      <c r="AC257" s="145" t="s">
        <v>3876</v>
      </c>
      <c r="AD257" s="144">
        <v>786.78599999999994</v>
      </c>
      <c r="AE257" s="145" t="s">
        <v>3876</v>
      </c>
      <c r="AF257" s="145" t="s">
        <v>3876</v>
      </c>
      <c r="AG257" s="145" t="s">
        <v>3876</v>
      </c>
      <c r="AH257" s="146">
        <v>1.9285977180714022E-3</v>
      </c>
      <c r="AI257" s="146">
        <v>6.5205487659015611E-3</v>
      </c>
      <c r="AJ257" s="147">
        <v>7.912885958014014E-4</v>
      </c>
      <c r="AK257" s="181"/>
    </row>
    <row r="258" spans="1:37" ht="15" x14ac:dyDescent="0.2">
      <c r="A258" s="142" t="s">
        <v>1220</v>
      </c>
      <c r="B258" s="143" t="s">
        <v>1221</v>
      </c>
      <c r="C258" s="143" t="s">
        <v>1343</v>
      </c>
      <c r="D258" s="143" t="s">
        <v>1344</v>
      </c>
      <c r="E258" s="143" t="s">
        <v>309</v>
      </c>
      <c r="F258" s="143" t="s">
        <v>1345</v>
      </c>
      <c r="G258" s="143" t="s">
        <v>1346</v>
      </c>
      <c r="H258" s="143" t="s">
        <v>321</v>
      </c>
      <c r="I258" s="143" t="s">
        <v>951</v>
      </c>
      <c r="J258" s="143" t="s">
        <v>204</v>
      </c>
      <c r="K258" s="143" t="s">
        <v>204</v>
      </c>
      <c r="L258" s="143" t="s">
        <v>325</v>
      </c>
      <c r="M258" s="143" t="s">
        <v>340</v>
      </c>
      <c r="N258" s="143" t="s">
        <v>445</v>
      </c>
      <c r="O258" s="143" t="s">
        <v>339</v>
      </c>
      <c r="P258" s="143" t="s">
        <v>1347</v>
      </c>
      <c r="Q258" s="143" t="s">
        <v>413</v>
      </c>
      <c r="R258" s="143" t="s">
        <v>407</v>
      </c>
      <c r="S258" s="143" t="s">
        <v>1210</v>
      </c>
      <c r="T258" s="144">
        <v>5.29</v>
      </c>
      <c r="U258" s="143" t="s">
        <v>1295</v>
      </c>
      <c r="V258" s="146">
        <v>2.64E-2</v>
      </c>
      <c r="W258" s="146">
        <v>5.8282E-2</v>
      </c>
      <c r="X258" s="143" t="s">
        <v>412</v>
      </c>
      <c r="Y258" s="145" t="s">
        <v>3876</v>
      </c>
      <c r="Z258" s="144">
        <v>2070506.33</v>
      </c>
      <c r="AA258" s="145" t="s">
        <v>3876</v>
      </c>
      <c r="AB258" s="143" t="s">
        <v>1348</v>
      </c>
      <c r="AC258" s="145" t="s">
        <v>3876</v>
      </c>
      <c r="AD258" s="144">
        <v>1773.1816000000001</v>
      </c>
      <c r="AE258" s="145" t="s">
        <v>3876</v>
      </c>
      <c r="AF258" s="145" t="s">
        <v>3876</v>
      </c>
      <c r="AG258" s="145" t="s">
        <v>3876</v>
      </c>
      <c r="AH258" s="146">
        <v>1.2654574250402153E-3</v>
      </c>
      <c r="AI258" s="146">
        <v>3.2845533038374702E-2</v>
      </c>
      <c r="AJ258" s="147">
        <v>1.6144398940134139E-3</v>
      </c>
      <c r="AK258" s="181"/>
    </row>
    <row r="259" spans="1:37" ht="15" x14ac:dyDescent="0.2">
      <c r="A259" s="142" t="s">
        <v>1220</v>
      </c>
      <c r="B259" s="143" t="s">
        <v>1221</v>
      </c>
      <c r="C259" s="143" t="s">
        <v>1349</v>
      </c>
      <c r="D259" s="143" t="s">
        <v>1350</v>
      </c>
      <c r="E259" s="143" t="s">
        <v>309</v>
      </c>
      <c r="F259" s="143" t="s">
        <v>1351</v>
      </c>
      <c r="G259" s="143" t="s">
        <v>1352</v>
      </c>
      <c r="H259" s="143" t="s">
        <v>321</v>
      </c>
      <c r="I259" s="143" t="s">
        <v>951</v>
      </c>
      <c r="J259" s="143" t="s">
        <v>204</v>
      </c>
      <c r="K259" s="143" t="s">
        <v>204</v>
      </c>
      <c r="L259" s="143" t="s">
        <v>325</v>
      </c>
      <c r="M259" s="143" t="s">
        <v>340</v>
      </c>
      <c r="N259" s="143" t="s">
        <v>448</v>
      </c>
      <c r="O259" s="143" t="s">
        <v>339</v>
      </c>
      <c r="P259" s="143" t="s">
        <v>1224</v>
      </c>
      <c r="Q259" s="143" t="s">
        <v>413</v>
      </c>
      <c r="R259" s="143" t="s">
        <v>407</v>
      </c>
      <c r="S259" s="143" t="s">
        <v>1210</v>
      </c>
      <c r="T259" s="144">
        <v>0.93</v>
      </c>
      <c r="U259" s="143" t="s">
        <v>1353</v>
      </c>
      <c r="V259" s="146">
        <v>2.98E-2</v>
      </c>
      <c r="W259" s="146">
        <v>4.5124999999999998E-2</v>
      </c>
      <c r="X259" s="143" t="s">
        <v>412</v>
      </c>
      <c r="Y259" s="145" t="s">
        <v>3876</v>
      </c>
      <c r="Z259" s="144">
        <v>1727295</v>
      </c>
      <c r="AA259" s="145" t="s">
        <v>3876</v>
      </c>
      <c r="AB259" s="143" t="s">
        <v>1354</v>
      </c>
      <c r="AC259" s="145" t="s">
        <v>3876</v>
      </c>
      <c r="AD259" s="144">
        <v>1706.9128999999998</v>
      </c>
      <c r="AE259" s="145" t="s">
        <v>3876</v>
      </c>
      <c r="AF259" s="145" t="s">
        <v>3876</v>
      </c>
      <c r="AG259" s="145" t="s">
        <v>3876</v>
      </c>
      <c r="AH259" s="146">
        <v>6.7947269021691029E-4</v>
      </c>
      <c r="AI259" s="146">
        <v>3.1618004614014483E-2</v>
      </c>
      <c r="AJ259" s="147">
        <v>1.5541038094381635E-3</v>
      </c>
      <c r="AK259" s="181"/>
    </row>
    <row r="260" spans="1:37" ht="15" x14ac:dyDescent="0.2">
      <c r="A260" s="142" t="s">
        <v>1220</v>
      </c>
      <c r="B260" s="143" t="s">
        <v>1221</v>
      </c>
      <c r="C260" s="143" t="s">
        <v>1379</v>
      </c>
      <c r="D260" s="143" t="s">
        <v>1380</v>
      </c>
      <c r="E260" s="143" t="s">
        <v>309</v>
      </c>
      <c r="F260" s="143" t="s">
        <v>1381</v>
      </c>
      <c r="G260" s="143" t="s">
        <v>1382</v>
      </c>
      <c r="H260" s="143" t="s">
        <v>321</v>
      </c>
      <c r="I260" s="143" t="s">
        <v>951</v>
      </c>
      <c r="J260" s="143" t="s">
        <v>204</v>
      </c>
      <c r="K260" s="143" t="s">
        <v>204</v>
      </c>
      <c r="L260" s="143" t="s">
        <v>325</v>
      </c>
      <c r="M260" s="143" t="s">
        <v>340</v>
      </c>
      <c r="N260" s="143" t="s">
        <v>445</v>
      </c>
      <c r="O260" s="143" t="s">
        <v>339</v>
      </c>
      <c r="P260" s="143" t="s">
        <v>1347</v>
      </c>
      <c r="Q260" s="143" t="s">
        <v>413</v>
      </c>
      <c r="R260" s="143" t="s">
        <v>407</v>
      </c>
      <c r="S260" s="143" t="s">
        <v>1210</v>
      </c>
      <c r="T260" s="144">
        <v>5.4</v>
      </c>
      <c r="U260" s="143" t="s">
        <v>1383</v>
      </c>
      <c r="V260" s="146">
        <v>5.2499999999999998E-2</v>
      </c>
      <c r="W260" s="146">
        <v>5.9947E-2</v>
      </c>
      <c r="X260" s="143" t="s">
        <v>412</v>
      </c>
      <c r="Y260" s="145" t="s">
        <v>3876</v>
      </c>
      <c r="Z260" s="144">
        <v>1298000</v>
      </c>
      <c r="AA260" s="145" t="s">
        <v>3876</v>
      </c>
      <c r="AB260" s="143" t="s">
        <v>1384</v>
      </c>
      <c r="AC260" s="145" t="s">
        <v>3876</v>
      </c>
      <c r="AD260" s="144">
        <v>1264.5116</v>
      </c>
      <c r="AE260" s="145" t="s">
        <v>3876</v>
      </c>
      <c r="AF260" s="145" t="s">
        <v>3876</v>
      </c>
      <c r="AG260" s="145" t="s">
        <v>3876</v>
      </c>
      <c r="AH260" s="146">
        <v>2.5959999999999998E-3</v>
      </c>
      <c r="AI260" s="146">
        <v>2.3423182962782906E-2</v>
      </c>
      <c r="AJ260" s="147">
        <v>1.1513078803047872E-3</v>
      </c>
      <c r="AK260" s="181"/>
    </row>
    <row r="261" spans="1:37" ht="15" x14ac:dyDescent="0.2">
      <c r="A261" s="142" t="s">
        <v>1220</v>
      </c>
      <c r="B261" s="143" t="s">
        <v>1221</v>
      </c>
      <c r="C261" s="143" t="s">
        <v>1369</v>
      </c>
      <c r="D261" s="143" t="s">
        <v>1370</v>
      </c>
      <c r="E261" s="143" t="s">
        <v>309</v>
      </c>
      <c r="F261" s="143" t="s">
        <v>1371</v>
      </c>
      <c r="G261" s="143" t="s">
        <v>1372</v>
      </c>
      <c r="H261" s="143" t="s">
        <v>321</v>
      </c>
      <c r="I261" s="143" t="s">
        <v>951</v>
      </c>
      <c r="J261" s="143" t="s">
        <v>204</v>
      </c>
      <c r="K261" s="143" t="s">
        <v>204</v>
      </c>
      <c r="L261" s="143" t="s">
        <v>325</v>
      </c>
      <c r="M261" s="143" t="s">
        <v>340</v>
      </c>
      <c r="N261" s="143" t="s">
        <v>445</v>
      </c>
      <c r="O261" s="143" t="s">
        <v>339</v>
      </c>
      <c r="P261" s="143" t="s">
        <v>1366</v>
      </c>
      <c r="Q261" s="143" t="s">
        <v>415</v>
      </c>
      <c r="R261" s="143" t="s">
        <v>407</v>
      </c>
      <c r="S261" s="143" t="s">
        <v>1210</v>
      </c>
      <c r="T261" s="144">
        <v>1.05</v>
      </c>
      <c r="U261" s="143" t="s">
        <v>1373</v>
      </c>
      <c r="V261" s="146">
        <v>3.61E-2</v>
      </c>
      <c r="W261" s="146">
        <v>5.1234000000000002E-2</v>
      </c>
      <c r="X261" s="143" t="s">
        <v>412</v>
      </c>
      <c r="Y261" s="145" t="s">
        <v>3876</v>
      </c>
      <c r="Z261" s="144">
        <v>1092950</v>
      </c>
      <c r="AA261" s="145" t="s">
        <v>3876</v>
      </c>
      <c r="AB261" s="143" t="s">
        <v>1374</v>
      </c>
      <c r="AC261" s="145" t="s">
        <v>3876</v>
      </c>
      <c r="AD261" s="144">
        <v>1093.0593000000001</v>
      </c>
      <c r="AE261" s="145" t="s">
        <v>3876</v>
      </c>
      <c r="AF261" s="145" t="s">
        <v>3876</v>
      </c>
      <c r="AG261" s="145" t="s">
        <v>3876</v>
      </c>
      <c r="AH261" s="146">
        <v>1.4240390879478827E-3</v>
      </c>
      <c r="AI261" s="146">
        <v>2.0247285873815229E-2</v>
      </c>
      <c r="AJ261" s="147">
        <v>9.9520461494690543E-4</v>
      </c>
      <c r="AK261" s="181"/>
    </row>
    <row r="262" spans="1:37" ht="15" x14ac:dyDescent="0.2">
      <c r="A262" s="142" t="s">
        <v>1220</v>
      </c>
      <c r="B262" s="143" t="s">
        <v>1221</v>
      </c>
      <c r="C262" s="143" t="s">
        <v>1343</v>
      </c>
      <c r="D262" s="143" t="s">
        <v>1344</v>
      </c>
      <c r="E262" s="143" t="s">
        <v>309</v>
      </c>
      <c r="F262" s="143" t="s">
        <v>1375</v>
      </c>
      <c r="G262" s="143" t="s">
        <v>1376</v>
      </c>
      <c r="H262" s="143" t="s">
        <v>321</v>
      </c>
      <c r="I262" s="143" t="s">
        <v>951</v>
      </c>
      <c r="J262" s="143" t="s">
        <v>204</v>
      </c>
      <c r="K262" s="143" t="s">
        <v>204</v>
      </c>
      <c r="L262" s="143" t="s">
        <v>325</v>
      </c>
      <c r="M262" s="143" t="s">
        <v>340</v>
      </c>
      <c r="N262" s="143" t="s">
        <v>445</v>
      </c>
      <c r="O262" s="143" t="s">
        <v>339</v>
      </c>
      <c r="P262" s="143" t="s">
        <v>1347</v>
      </c>
      <c r="Q262" s="143" t="s">
        <v>413</v>
      </c>
      <c r="R262" s="143" t="s">
        <v>407</v>
      </c>
      <c r="S262" s="143" t="s">
        <v>1210</v>
      </c>
      <c r="T262" s="144">
        <v>7.66</v>
      </c>
      <c r="U262" s="143" t="s">
        <v>1377</v>
      </c>
      <c r="V262" s="146">
        <v>5.3100000000000001E-2</v>
      </c>
      <c r="W262" s="146">
        <v>6.3355999999999996E-2</v>
      </c>
      <c r="X262" s="143" t="s">
        <v>412</v>
      </c>
      <c r="Y262" s="145" t="s">
        <v>3876</v>
      </c>
      <c r="Z262" s="144">
        <v>967963.79</v>
      </c>
      <c r="AA262" s="145" t="s">
        <v>3876</v>
      </c>
      <c r="AB262" s="143" t="s">
        <v>1378</v>
      </c>
      <c r="AC262" s="145" t="s">
        <v>3876</v>
      </c>
      <c r="AD262" s="144">
        <v>922.75990000000002</v>
      </c>
      <c r="AE262" s="145" t="s">
        <v>3876</v>
      </c>
      <c r="AF262" s="145" t="s">
        <v>3876</v>
      </c>
      <c r="AG262" s="145" t="s">
        <v>3876</v>
      </c>
      <c r="AH262" s="146">
        <v>7.6015266525442874E-4</v>
      </c>
      <c r="AI262" s="146">
        <v>1.709274436354933E-2</v>
      </c>
      <c r="AJ262" s="147">
        <v>8.4015102956150583E-4</v>
      </c>
      <c r="AK262" s="181"/>
    </row>
    <row r="263" spans="1:37" ht="15" x14ac:dyDescent="0.2">
      <c r="A263" s="142" t="s">
        <v>1220</v>
      </c>
      <c r="B263" s="143" t="s">
        <v>1221</v>
      </c>
      <c r="C263" s="143" t="s">
        <v>1385</v>
      </c>
      <c r="D263" s="143" t="s">
        <v>1386</v>
      </c>
      <c r="E263" s="143" t="s">
        <v>309</v>
      </c>
      <c r="F263" s="143" t="s">
        <v>1387</v>
      </c>
      <c r="G263" s="143" t="s">
        <v>1388</v>
      </c>
      <c r="H263" s="143" t="s">
        <v>321</v>
      </c>
      <c r="I263" s="143" t="s">
        <v>951</v>
      </c>
      <c r="J263" s="143" t="s">
        <v>204</v>
      </c>
      <c r="K263" s="143" t="s">
        <v>204</v>
      </c>
      <c r="L263" s="143" t="s">
        <v>325</v>
      </c>
      <c r="M263" s="143" t="s">
        <v>340</v>
      </c>
      <c r="N263" s="143" t="s">
        <v>440</v>
      </c>
      <c r="O263" s="143" t="s">
        <v>339</v>
      </c>
      <c r="P263" s="143" t="s">
        <v>1389</v>
      </c>
      <c r="Q263" s="143" t="s">
        <v>413</v>
      </c>
      <c r="R263" s="143" t="s">
        <v>407</v>
      </c>
      <c r="S263" s="143" t="s">
        <v>1210</v>
      </c>
      <c r="T263" s="144">
        <v>3.26</v>
      </c>
      <c r="U263" s="143" t="s">
        <v>1390</v>
      </c>
      <c r="V263" s="146">
        <v>2.5000000000000001E-2</v>
      </c>
      <c r="W263" s="146">
        <v>5.9434000000000001E-2</v>
      </c>
      <c r="X263" s="143" t="s">
        <v>412</v>
      </c>
      <c r="Y263" s="145" t="s">
        <v>3876</v>
      </c>
      <c r="Z263" s="144">
        <v>949050</v>
      </c>
      <c r="AA263" s="145" t="s">
        <v>3876</v>
      </c>
      <c r="AB263" s="143" t="s">
        <v>1391</v>
      </c>
      <c r="AC263" s="145" t="s">
        <v>3876</v>
      </c>
      <c r="AD263" s="144">
        <v>857.75139999999999</v>
      </c>
      <c r="AE263" s="145" t="s">
        <v>3876</v>
      </c>
      <c r="AF263" s="145" t="s">
        <v>3876</v>
      </c>
      <c r="AG263" s="145" t="s">
        <v>3876</v>
      </c>
      <c r="AH263" s="146">
        <v>1.1742345436529626E-3</v>
      </c>
      <c r="AI263" s="146">
        <v>1.5888559460072456E-2</v>
      </c>
      <c r="AJ263" s="147">
        <v>7.8096233727660937E-4</v>
      </c>
      <c r="AK263" s="181"/>
    </row>
    <row r="264" spans="1:37" ht="15" x14ac:dyDescent="0.2">
      <c r="A264" s="142" t="s">
        <v>1220</v>
      </c>
      <c r="B264" s="143" t="s">
        <v>1221</v>
      </c>
      <c r="C264" s="143" t="s">
        <v>1355</v>
      </c>
      <c r="D264" s="143" t="s">
        <v>1356</v>
      </c>
      <c r="E264" s="143" t="s">
        <v>309</v>
      </c>
      <c r="F264" s="143" t="s">
        <v>1357</v>
      </c>
      <c r="G264" s="143" t="s">
        <v>1358</v>
      </c>
      <c r="H264" s="143" t="s">
        <v>321</v>
      </c>
      <c r="I264" s="143" t="s">
        <v>951</v>
      </c>
      <c r="J264" s="143" t="s">
        <v>204</v>
      </c>
      <c r="K264" s="143" t="s">
        <v>204</v>
      </c>
      <c r="L264" s="143" t="s">
        <v>325</v>
      </c>
      <c r="M264" s="143" t="s">
        <v>340</v>
      </c>
      <c r="N264" s="143" t="s">
        <v>484</v>
      </c>
      <c r="O264" s="143" t="s">
        <v>339</v>
      </c>
      <c r="P264" s="143" t="s">
        <v>1359</v>
      </c>
      <c r="Q264" s="143" t="s">
        <v>415</v>
      </c>
      <c r="R264" s="143" t="s">
        <v>407</v>
      </c>
      <c r="S264" s="143" t="s">
        <v>1210</v>
      </c>
      <c r="T264" s="144">
        <v>2.3199999999999998</v>
      </c>
      <c r="U264" s="143" t="s">
        <v>1360</v>
      </c>
      <c r="V264" s="146">
        <v>3.6499999999999998E-2</v>
      </c>
      <c r="W264" s="146">
        <v>5.8046E-2</v>
      </c>
      <c r="X264" s="143" t="s">
        <v>412</v>
      </c>
      <c r="Y264" s="145" t="s">
        <v>3876</v>
      </c>
      <c r="Z264" s="144">
        <v>886853.28</v>
      </c>
      <c r="AA264" s="145" t="s">
        <v>3876</v>
      </c>
      <c r="AB264" s="143" t="s">
        <v>1361</v>
      </c>
      <c r="AC264" s="145" t="s">
        <v>3876</v>
      </c>
      <c r="AD264" s="144">
        <v>848.71859999999992</v>
      </c>
      <c r="AE264" s="145" t="s">
        <v>3876</v>
      </c>
      <c r="AF264" s="145" t="s">
        <v>3876</v>
      </c>
      <c r="AG264" s="145" t="s">
        <v>3876</v>
      </c>
      <c r="AH264" s="146">
        <v>4.4127176830711869E-4</v>
      </c>
      <c r="AI264" s="146">
        <v>1.5721240353291359E-2</v>
      </c>
      <c r="AJ264" s="147">
        <v>7.7273818573970197E-4</v>
      </c>
      <c r="AK264" s="181"/>
    </row>
    <row r="265" spans="1:37" ht="15" x14ac:dyDescent="0.2">
      <c r="A265" s="142" t="s">
        <v>1220</v>
      </c>
      <c r="B265" s="143" t="s">
        <v>1221</v>
      </c>
      <c r="C265" s="143" t="s">
        <v>1392</v>
      </c>
      <c r="D265" s="143" t="s">
        <v>1393</v>
      </c>
      <c r="E265" s="143" t="s">
        <v>309</v>
      </c>
      <c r="F265" s="143" t="s">
        <v>1394</v>
      </c>
      <c r="G265" s="143" t="s">
        <v>1395</v>
      </c>
      <c r="H265" s="143" t="s">
        <v>321</v>
      </c>
      <c r="I265" s="143" t="s">
        <v>951</v>
      </c>
      <c r="J265" s="143" t="s">
        <v>204</v>
      </c>
      <c r="K265" s="143" t="s">
        <v>204</v>
      </c>
      <c r="L265" s="143" t="s">
        <v>325</v>
      </c>
      <c r="M265" s="143" t="s">
        <v>340</v>
      </c>
      <c r="N265" s="143" t="s">
        <v>484</v>
      </c>
      <c r="O265" s="143" t="s">
        <v>339</v>
      </c>
      <c r="P265" s="143" t="s">
        <v>1396</v>
      </c>
      <c r="Q265" s="143" t="s">
        <v>415</v>
      </c>
      <c r="R265" s="143" t="s">
        <v>407</v>
      </c>
      <c r="S265" s="143" t="s">
        <v>1210</v>
      </c>
      <c r="T265" s="144">
        <v>0.9</v>
      </c>
      <c r="U265" s="143" t="s">
        <v>1397</v>
      </c>
      <c r="V265" s="146">
        <v>3.6499999999999998E-2</v>
      </c>
      <c r="W265" s="146">
        <v>4.8802999999999999E-2</v>
      </c>
      <c r="X265" s="143" t="s">
        <v>412</v>
      </c>
      <c r="Y265" s="145" t="s">
        <v>3876</v>
      </c>
      <c r="Z265" s="144">
        <v>761178.37</v>
      </c>
      <c r="AA265" s="145" t="s">
        <v>3876</v>
      </c>
      <c r="AB265" s="143" t="s">
        <v>1398</v>
      </c>
      <c r="AC265" s="145" t="s">
        <v>3876</v>
      </c>
      <c r="AD265" s="144">
        <v>755.62180000000001</v>
      </c>
      <c r="AE265" s="145" t="s">
        <v>3876</v>
      </c>
      <c r="AF265" s="145" t="s">
        <v>3876</v>
      </c>
      <c r="AG265" s="145" t="s">
        <v>3876</v>
      </c>
      <c r="AH265" s="146">
        <v>7.1473429107557832E-4</v>
      </c>
      <c r="AI265" s="146">
        <v>1.3996761216077224E-2</v>
      </c>
      <c r="AJ265" s="147">
        <v>6.8797573380264263E-4</v>
      </c>
      <c r="AK265" s="181"/>
    </row>
    <row r="266" spans="1:37" ht="15" x14ac:dyDescent="0.2">
      <c r="A266" s="142" t="s">
        <v>1220</v>
      </c>
      <c r="B266" s="143" t="s">
        <v>1221</v>
      </c>
      <c r="C266" s="143" t="s">
        <v>1406</v>
      </c>
      <c r="D266" s="143" t="s">
        <v>1407</v>
      </c>
      <c r="E266" s="143" t="s">
        <v>309</v>
      </c>
      <c r="F266" s="143" t="s">
        <v>1408</v>
      </c>
      <c r="G266" s="143" t="s">
        <v>1409</v>
      </c>
      <c r="H266" s="143" t="s">
        <v>321</v>
      </c>
      <c r="I266" s="143" t="s">
        <v>951</v>
      </c>
      <c r="J266" s="143" t="s">
        <v>204</v>
      </c>
      <c r="K266" s="143" t="s">
        <v>204</v>
      </c>
      <c r="L266" s="143" t="s">
        <v>325</v>
      </c>
      <c r="M266" s="143" t="s">
        <v>340</v>
      </c>
      <c r="N266" s="143" t="s">
        <v>475</v>
      </c>
      <c r="O266" s="143" t="s">
        <v>339</v>
      </c>
      <c r="P266" s="143" t="s">
        <v>1410</v>
      </c>
      <c r="Q266" s="143" t="s">
        <v>413</v>
      </c>
      <c r="R266" s="143" t="s">
        <v>407</v>
      </c>
      <c r="S266" s="143" t="s">
        <v>1210</v>
      </c>
      <c r="T266" s="144">
        <v>2.5</v>
      </c>
      <c r="U266" s="143" t="s">
        <v>1411</v>
      </c>
      <c r="V266" s="146">
        <v>5.0900000000000001E-2</v>
      </c>
      <c r="W266" s="146">
        <v>5.1853000000000003E-2</v>
      </c>
      <c r="X266" s="143" t="s">
        <v>412</v>
      </c>
      <c r="Y266" s="145" t="s">
        <v>3876</v>
      </c>
      <c r="Z266" s="144">
        <v>475708.44</v>
      </c>
      <c r="AA266" s="145" t="s">
        <v>3876</v>
      </c>
      <c r="AB266" s="143" t="s">
        <v>1412</v>
      </c>
      <c r="AC266" s="145" t="s">
        <v>3876</v>
      </c>
      <c r="AD266" s="144">
        <v>492.16800000000001</v>
      </c>
      <c r="AE266" s="145" t="s">
        <v>3876</v>
      </c>
      <c r="AF266" s="145" t="s">
        <v>3876</v>
      </c>
      <c r="AG266" s="145" t="s">
        <v>3876</v>
      </c>
      <c r="AH266" s="146">
        <v>7.6794211813804836E-4</v>
      </c>
      <c r="AI266" s="146">
        <v>9.1166739701528336E-3</v>
      </c>
      <c r="AJ266" s="147">
        <v>4.4810727050562425E-4</v>
      </c>
      <c r="AK266" s="181"/>
    </row>
    <row r="267" spans="1:37" ht="15" x14ac:dyDescent="0.2">
      <c r="A267" s="142" t="s">
        <v>1220</v>
      </c>
      <c r="B267" s="143" t="s">
        <v>1221</v>
      </c>
      <c r="C267" s="143" t="s">
        <v>1369</v>
      </c>
      <c r="D267" s="143" t="s">
        <v>1370</v>
      </c>
      <c r="E267" s="143" t="s">
        <v>309</v>
      </c>
      <c r="F267" s="143" t="s">
        <v>1413</v>
      </c>
      <c r="G267" s="143" t="s">
        <v>1414</v>
      </c>
      <c r="H267" s="143" t="s">
        <v>321</v>
      </c>
      <c r="I267" s="143" t="s">
        <v>951</v>
      </c>
      <c r="J267" s="143" t="s">
        <v>204</v>
      </c>
      <c r="K267" s="143" t="s">
        <v>204</v>
      </c>
      <c r="L267" s="143" t="s">
        <v>325</v>
      </c>
      <c r="M267" s="143" t="s">
        <v>340</v>
      </c>
      <c r="N267" s="143" t="s">
        <v>445</v>
      </c>
      <c r="O267" s="143" t="s">
        <v>339</v>
      </c>
      <c r="P267" s="143" t="s">
        <v>1366</v>
      </c>
      <c r="Q267" s="143" t="s">
        <v>415</v>
      </c>
      <c r="R267" s="143" t="s">
        <v>407</v>
      </c>
      <c r="S267" s="143" t="s">
        <v>1210</v>
      </c>
      <c r="T267" s="144">
        <v>4.53</v>
      </c>
      <c r="U267" s="143" t="s">
        <v>1415</v>
      </c>
      <c r="V267" s="146">
        <v>2.6200000000000001E-2</v>
      </c>
      <c r="W267" s="146">
        <v>5.5462999999999998E-2</v>
      </c>
      <c r="X267" s="143" t="s">
        <v>412</v>
      </c>
      <c r="Y267" s="145" t="s">
        <v>3876</v>
      </c>
      <c r="Z267" s="144">
        <v>318012</v>
      </c>
      <c r="AA267" s="145" t="s">
        <v>3876</v>
      </c>
      <c r="AB267" s="143" t="s">
        <v>1416</v>
      </c>
      <c r="AC267" s="145" t="s">
        <v>3876</v>
      </c>
      <c r="AD267" s="144">
        <v>281.37700000000001</v>
      </c>
      <c r="AE267" s="145" t="s">
        <v>3876</v>
      </c>
      <c r="AF267" s="145" t="s">
        <v>3876</v>
      </c>
      <c r="AG267" s="145" t="s">
        <v>3876</v>
      </c>
      <c r="AH267" s="146">
        <v>2.4588030719961402E-4</v>
      </c>
      <c r="AI267" s="146">
        <v>5.2120877062472072E-3</v>
      </c>
      <c r="AJ267" s="147">
        <v>2.561871142182791E-4</v>
      </c>
      <c r="AK267" s="181"/>
    </row>
    <row r="268" spans="1:37" ht="15" x14ac:dyDescent="0.2">
      <c r="A268" s="142" t="s">
        <v>1220</v>
      </c>
      <c r="B268" s="143" t="s">
        <v>1221</v>
      </c>
      <c r="C268" s="143" t="s">
        <v>1362</v>
      </c>
      <c r="D268" s="143" t="s">
        <v>1363</v>
      </c>
      <c r="E268" s="143" t="s">
        <v>309</v>
      </c>
      <c r="F268" s="143" t="s">
        <v>1417</v>
      </c>
      <c r="G268" s="143" t="s">
        <v>1418</v>
      </c>
      <c r="H268" s="143" t="s">
        <v>321</v>
      </c>
      <c r="I268" s="143" t="s">
        <v>951</v>
      </c>
      <c r="J268" s="143" t="s">
        <v>204</v>
      </c>
      <c r="K268" s="143" t="s">
        <v>204</v>
      </c>
      <c r="L268" s="143" t="s">
        <v>325</v>
      </c>
      <c r="M268" s="143" t="s">
        <v>340</v>
      </c>
      <c r="N268" s="143" t="s">
        <v>445</v>
      </c>
      <c r="O268" s="143" t="s">
        <v>339</v>
      </c>
      <c r="P268" s="143" t="s">
        <v>1366</v>
      </c>
      <c r="Q268" s="143" t="s">
        <v>415</v>
      </c>
      <c r="R268" s="143" t="s">
        <v>407</v>
      </c>
      <c r="S268" s="143" t="s">
        <v>1210</v>
      </c>
      <c r="T268" s="144">
        <v>3.28</v>
      </c>
      <c r="U268" s="143" t="s">
        <v>1419</v>
      </c>
      <c r="V268" s="146">
        <v>4.36E-2</v>
      </c>
      <c r="W268" s="146">
        <v>5.1854999999999998E-2</v>
      </c>
      <c r="X268" s="143" t="s">
        <v>412</v>
      </c>
      <c r="Y268" s="145" t="s">
        <v>3876</v>
      </c>
      <c r="Z268" s="144">
        <v>278180</v>
      </c>
      <c r="AA268" s="145" t="s">
        <v>3876</v>
      </c>
      <c r="AB268" s="143" t="s">
        <v>1420</v>
      </c>
      <c r="AC268" s="145" t="s">
        <v>3876</v>
      </c>
      <c r="AD268" s="144">
        <v>271.50370000000004</v>
      </c>
      <c r="AE268" s="145" t="s">
        <v>3876</v>
      </c>
      <c r="AF268" s="145" t="s">
        <v>3876</v>
      </c>
      <c r="AG268" s="145" t="s">
        <v>3876</v>
      </c>
      <c r="AH268" s="146">
        <v>9.2726666666666669E-4</v>
      </c>
      <c r="AI268" s="146">
        <v>5.0291989189414016E-3</v>
      </c>
      <c r="AJ268" s="147">
        <v>2.4719767403932815E-4</v>
      </c>
      <c r="AK268" s="181"/>
    </row>
    <row r="269" spans="1:37" ht="15" x14ac:dyDescent="0.2">
      <c r="A269" s="142" t="s">
        <v>1220</v>
      </c>
      <c r="B269" s="143" t="s">
        <v>1221</v>
      </c>
      <c r="C269" s="143" t="s">
        <v>1428</v>
      </c>
      <c r="D269" s="143" t="s">
        <v>1429</v>
      </c>
      <c r="E269" s="143" t="s">
        <v>309</v>
      </c>
      <c r="F269" s="143" t="s">
        <v>1430</v>
      </c>
      <c r="G269" s="143" t="s">
        <v>1431</v>
      </c>
      <c r="H269" s="143" t="s">
        <v>321</v>
      </c>
      <c r="I269" s="143" t="s">
        <v>951</v>
      </c>
      <c r="J269" s="143" t="s">
        <v>204</v>
      </c>
      <c r="K269" s="143" t="s">
        <v>204</v>
      </c>
      <c r="L269" s="143" t="s">
        <v>325</v>
      </c>
      <c r="M269" s="143" t="s">
        <v>340</v>
      </c>
      <c r="N269" s="143" t="s">
        <v>445</v>
      </c>
      <c r="O269" s="143" t="s">
        <v>339</v>
      </c>
      <c r="P269" s="143" t="s">
        <v>1396</v>
      </c>
      <c r="Q269" s="143" t="s">
        <v>415</v>
      </c>
      <c r="R269" s="143" t="s">
        <v>407</v>
      </c>
      <c r="S269" s="143" t="s">
        <v>1210</v>
      </c>
      <c r="T269" s="144">
        <v>1.2</v>
      </c>
      <c r="U269" s="143" t="s">
        <v>1432</v>
      </c>
      <c r="V269" s="146">
        <v>2.9399999999999999E-2</v>
      </c>
      <c r="W269" s="146">
        <v>4.9301999999999999E-2</v>
      </c>
      <c r="X269" s="143" t="s">
        <v>412</v>
      </c>
      <c r="Y269" s="145" t="s">
        <v>3876</v>
      </c>
      <c r="Z269" s="144">
        <v>192835.68</v>
      </c>
      <c r="AA269" s="145" t="s">
        <v>3876</v>
      </c>
      <c r="AB269" s="143" t="s">
        <v>1433</v>
      </c>
      <c r="AC269" s="145" t="s">
        <v>3876</v>
      </c>
      <c r="AD269" s="144">
        <v>192.58500000000001</v>
      </c>
      <c r="AE269" s="145" t="s">
        <v>3876</v>
      </c>
      <c r="AF269" s="145" t="s">
        <v>3876</v>
      </c>
      <c r="AG269" s="145" t="s">
        <v>3876</v>
      </c>
      <c r="AH269" s="146">
        <v>1.2020507205331599E-3</v>
      </c>
      <c r="AI269" s="146">
        <v>3.5673484856556048E-3</v>
      </c>
      <c r="AJ269" s="147">
        <v>1.7534407812356008E-4</v>
      </c>
      <c r="AK269" s="181"/>
    </row>
    <row r="270" spans="1:37" ht="15" x14ac:dyDescent="0.2">
      <c r="A270" s="142" t="s">
        <v>1220</v>
      </c>
      <c r="B270" s="143" t="s">
        <v>1221</v>
      </c>
      <c r="C270" s="143" t="s">
        <v>1421</v>
      </c>
      <c r="D270" s="143" t="s">
        <v>1422</v>
      </c>
      <c r="E270" s="143" t="s">
        <v>309</v>
      </c>
      <c r="F270" s="143" t="s">
        <v>1423</v>
      </c>
      <c r="G270" s="143" t="s">
        <v>1424</v>
      </c>
      <c r="H270" s="143" t="s">
        <v>321</v>
      </c>
      <c r="I270" s="143" t="s">
        <v>951</v>
      </c>
      <c r="J270" s="143" t="s">
        <v>204</v>
      </c>
      <c r="K270" s="143" t="s">
        <v>204</v>
      </c>
      <c r="L270" s="143" t="s">
        <v>325</v>
      </c>
      <c r="M270" s="143" t="s">
        <v>340</v>
      </c>
      <c r="N270" s="143" t="s">
        <v>465</v>
      </c>
      <c r="O270" s="143" t="s">
        <v>339</v>
      </c>
      <c r="P270" s="143" t="s">
        <v>1425</v>
      </c>
      <c r="Q270" s="143" t="s">
        <v>415</v>
      </c>
      <c r="R270" s="143" t="s">
        <v>407</v>
      </c>
      <c r="S270" s="143" t="s">
        <v>1210</v>
      </c>
      <c r="T270" s="144">
        <v>0.61</v>
      </c>
      <c r="U270" s="143" t="s">
        <v>1426</v>
      </c>
      <c r="V270" s="146">
        <v>3.5000000000000003E-2</v>
      </c>
      <c r="W270" s="146">
        <v>5.5946000000000003E-2</v>
      </c>
      <c r="X270" s="143" t="s">
        <v>412</v>
      </c>
      <c r="Y270" s="145" t="s">
        <v>3876</v>
      </c>
      <c r="Z270" s="144">
        <v>106806.01</v>
      </c>
      <c r="AA270" s="145" t="s">
        <v>3876</v>
      </c>
      <c r="AB270" s="143" t="s">
        <v>1427</v>
      </c>
      <c r="AC270" s="145" t="s">
        <v>3876</v>
      </c>
      <c r="AD270" s="144">
        <v>106.9235</v>
      </c>
      <c r="AE270" s="145" t="s">
        <v>3876</v>
      </c>
      <c r="AF270" s="145" t="s">
        <v>3876</v>
      </c>
      <c r="AG270" s="145" t="s">
        <v>3876</v>
      </c>
      <c r="AH270" s="146">
        <v>7.4279164058696707E-4</v>
      </c>
      <c r="AI270" s="146">
        <v>1.9805975873530548E-3</v>
      </c>
      <c r="AJ270" s="147">
        <v>9.7351312742395183E-5</v>
      </c>
      <c r="AK270" s="181"/>
    </row>
    <row r="271" spans="1:37" ht="15" x14ac:dyDescent="0.2">
      <c r="A271" s="142" t="s">
        <v>1220</v>
      </c>
      <c r="B271" s="143" t="s">
        <v>1221</v>
      </c>
      <c r="C271" s="143" t="s">
        <v>1362</v>
      </c>
      <c r="D271" s="143" t="s">
        <v>1363</v>
      </c>
      <c r="E271" s="143" t="s">
        <v>309</v>
      </c>
      <c r="F271" s="143" t="s">
        <v>1434</v>
      </c>
      <c r="G271" s="143" t="s">
        <v>1435</v>
      </c>
      <c r="H271" s="143" t="s">
        <v>321</v>
      </c>
      <c r="I271" s="143" t="s">
        <v>951</v>
      </c>
      <c r="J271" s="143" t="s">
        <v>204</v>
      </c>
      <c r="K271" s="143" t="s">
        <v>204</v>
      </c>
      <c r="L271" s="143" t="s">
        <v>325</v>
      </c>
      <c r="M271" s="143" t="s">
        <v>340</v>
      </c>
      <c r="N271" s="143" t="s">
        <v>445</v>
      </c>
      <c r="O271" s="143" t="s">
        <v>339</v>
      </c>
      <c r="P271" s="143" t="s">
        <v>1366</v>
      </c>
      <c r="Q271" s="143" t="s">
        <v>415</v>
      </c>
      <c r="R271" s="143" t="s">
        <v>407</v>
      </c>
      <c r="S271" s="143" t="s">
        <v>1210</v>
      </c>
      <c r="T271" s="144">
        <v>4.97</v>
      </c>
      <c r="U271" s="143" t="s">
        <v>1436</v>
      </c>
      <c r="V271" s="146">
        <v>3.95E-2</v>
      </c>
      <c r="W271" s="146">
        <v>5.5541E-2</v>
      </c>
      <c r="X271" s="143" t="s">
        <v>412</v>
      </c>
      <c r="Y271" s="145" t="s">
        <v>3876</v>
      </c>
      <c r="Z271" s="144">
        <v>50991</v>
      </c>
      <c r="AA271" s="145" t="s">
        <v>3876</v>
      </c>
      <c r="AB271" s="143" t="s">
        <v>1437</v>
      </c>
      <c r="AC271" s="145" t="s">
        <v>3876</v>
      </c>
      <c r="AD271" s="144">
        <v>47.329800000000006</v>
      </c>
      <c r="AE271" s="145" t="s">
        <v>3876</v>
      </c>
      <c r="AF271" s="145" t="s">
        <v>3876</v>
      </c>
      <c r="AG271" s="145" t="s">
        <v>3876</v>
      </c>
      <c r="AH271" s="146">
        <v>2.124536716647187E-4</v>
      </c>
      <c r="AI271" s="146">
        <v>8.7671449367722303E-4</v>
      </c>
      <c r="AJ271" s="147">
        <v>4.3092704648714642E-5</v>
      </c>
      <c r="AK271" s="181"/>
    </row>
    <row r="272" spans="1:37" ht="15" x14ac:dyDescent="0.2">
      <c r="A272" s="142" t="s">
        <v>1220</v>
      </c>
      <c r="B272" s="143" t="s">
        <v>1221</v>
      </c>
      <c r="C272" s="143" t="s">
        <v>1399</v>
      </c>
      <c r="D272" s="143" t="s">
        <v>1400</v>
      </c>
      <c r="E272" s="143" t="s">
        <v>309</v>
      </c>
      <c r="F272" s="143" t="s">
        <v>1401</v>
      </c>
      <c r="G272" s="143" t="s">
        <v>1402</v>
      </c>
      <c r="H272" s="143" t="s">
        <v>321</v>
      </c>
      <c r="I272" s="143" t="s">
        <v>951</v>
      </c>
      <c r="J272" s="143" t="s">
        <v>204</v>
      </c>
      <c r="K272" s="143" t="s">
        <v>204</v>
      </c>
      <c r="L272" s="143" t="s">
        <v>325</v>
      </c>
      <c r="M272" s="143" t="s">
        <v>340</v>
      </c>
      <c r="N272" s="143" t="s">
        <v>451</v>
      </c>
      <c r="O272" s="143" t="s">
        <v>339</v>
      </c>
      <c r="P272" s="143" t="s">
        <v>1403</v>
      </c>
      <c r="Q272" s="143" t="s">
        <v>413</v>
      </c>
      <c r="R272" s="143" t="s">
        <v>407</v>
      </c>
      <c r="S272" s="143" t="s">
        <v>1210</v>
      </c>
      <c r="T272" s="144">
        <v>1.46</v>
      </c>
      <c r="U272" s="143" t="s">
        <v>1404</v>
      </c>
      <c r="V272" s="146">
        <v>0.04</v>
      </c>
      <c r="W272" s="146">
        <v>4.9484E-2</v>
      </c>
      <c r="X272" s="143" t="s">
        <v>412</v>
      </c>
      <c r="Y272" s="145" t="s">
        <v>3876</v>
      </c>
      <c r="Z272" s="144">
        <v>47830.29</v>
      </c>
      <c r="AA272" s="145" t="s">
        <v>3876</v>
      </c>
      <c r="AB272" s="143" t="s">
        <v>1405</v>
      </c>
      <c r="AC272" s="145" t="s">
        <v>3876</v>
      </c>
      <c r="AD272" s="144">
        <v>47.237199999999994</v>
      </c>
      <c r="AE272" s="145" t="s">
        <v>3876</v>
      </c>
      <c r="AF272" s="145" t="s">
        <v>3876</v>
      </c>
      <c r="AG272" s="145" t="s">
        <v>3876</v>
      </c>
      <c r="AH272" s="146">
        <v>3.6301688380303019E-4</v>
      </c>
      <c r="AI272" s="146">
        <v>8.7499825796254996E-4</v>
      </c>
      <c r="AJ272" s="147">
        <v>4.3008347381561707E-5</v>
      </c>
      <c r="AK272" s="181"/>
    </row>
    <row r="273" spans="1:37" ht="15" x14ac:dyDescent="0.2">
      <c r="A273" s="142" t="s">
        <v>1220</v>
      </c>
      <c r="B273" s="143" t="s">
        <v>1221</v>
      </c>
      <c r="C273" s="143" t="s">
        <v>1362</v>
      </c>
      <c r="D273" s="143" t="s">
        <v>1363</v>
      </c>
      <c r="E273" s="143" t="s">
        <v>309</v>
      </c>
      <c r="F273" s="143" t="s">
        <v>1364</v>
      </c>
      <c r="G273" s="143" t="s">
        <v>1365</v>
      </c>
      <c r="H273" s="143" t="s">
        <v>321</v>
      </c>
      <c r="I273" s="143" t="s">
        <v>951</v>
      </c>
      <c r="J273" s="143" t="s">
        <v>204</v>
      </c>
      <c r="K273" s="143" t="s">
        <v>204</v>
      </c>
      <c r="L273" s="143" t="s">
        <v>325</v>
      </c>
      <c r="M273" s="143" t="s">
        <v>340</v>
      </c>
      <c r="N273" s="143" t="s">
        <v>445</v>
      </c>
      <c r="O273" s="143" t="s">
        <v>339</v>
      </c>
      <c r="P273" s="143" t="s">
        <v>1366</v>
      </c>
      <c r="Q273" s="143" t="s">
        <v>415</v>
      </c>
      <c r="R273" s="143" t="s">
        <v>407</v>
      </c>
      <c r="S273" s="143" t="s">
        <v>1210</v>
      </c>
      <c r="T273" s="144">
        <v>4.16</v>
      </c>
      <c r="U273" s="143" t="s">
        <v>1367</v>
      </c>
      <c r="V273" s="146">
        <v>3.95E-2</v>
      </c>
      <c r="W273" s="146">
        <v>5.3097999999999999E-2</v>
      </c>
      <c r="X273" s="143" t="s">
        <v>412</v>
      </c>
      <c r="Y273" s="145" t="s">
        <v>3876</v>
      </c>
      <c r="Z273" s="144">
        <v>29016</v>
      </c>
      <c r="AA273" s="145" t="s">
        <v>3876</v>
      </c>
      <c r="AB273" s="143" t="s">
        <v>1368</v>
      </c>
      <c r="AC273" s="145" t="s">
        <v>3876</v>
      </c>
      <c r="AD273" s="144">
        <v>27.5304</v>
      </c>
      <c r="AE273" s="145" t="s">
        <v>3876</v>
      </c>
      <c r="AF273" s="145" t="s">
        <v>3876</v>
      </c>
      <c r="AG273" s="145" t="s">
        <v>3876</v>
      </c>
      <c r="AH273" s="146">
        <v>1.2089497631000525E-4</v>
      </c>
      <c r="AI273" s="146">
        <v>5.0995905969821516E-4</v>
      </c>
      <c r="AJ273" s="147">
        <v>2.5065760063277881E-5</v>
      </c>
      <c r="AK273" s="181"/>
    </row>
    <row r="274" spans="1:37" ht="15" x14ac:dyDescent="0.2">
      <c r="A274" s="142" t="s">
        <v>1220</v>
      </c>
      <c r="B274" s="143" t="s">
        <v>1221</v>
      </c>
      <c r="C274" s="143" t="s">
        <v>1438</v>
      </c>
      <c r="D274" s="143" t="s">
        <v>1439</v>
      </c>
      <c r="E274" s="143" t="s">
        <v>309</v>
      </c>
      <c r="F274" s="143" t="s">
        <v>1440</v>
      </c>
      <c r="G274" s="143" t="s">
        <v>1441</v>
      </c>
      <c r="H274" s="143" t="s">
        <v>321</v>
      </c>
      <c r="I274" s="143" t="s">
        <v>951</v>
      </c>
      <c r="J274" s="143" t="s">
        <v>204</v>
      </c>
      <c r="K274" s="143" t="s">
        <v>204</v>
      </c>
      <c r="L274" s="143" t="s">
        <v>325</v>
      </c>
      <c r="M274" s="143" t="s">
        <v>340</v>
      </c>
      <c r="N274" s="143" t="s">
        <v>464</v>
      </c>
      <c r="O274" s="143" t="s">
        <v>339</v>
      </c>
      <c r="P274" s="143" t="s">
        <v>1410</v>
      </c>
      <c r="Q274" s="143" t="s">
        <v>413</v>
      </c>
      <c r="R274" s="143" t="s">
        <v>407</v>
      </c>
      <c r="S274" s="143" t="s">
        <v>1210</v>
      </c>
      <c r="T274" s="144">
        <v>5.38</v>
      </c>
      <c r="U274" s="143" t="s">
        <v>1442</v>
      </c>
      <c r="V274" s="146">
        <v>2.5499999999999998E-2</v>
      </c>
      <c r="W274" s="146">
        <v>6.1415999999999998E-2</v>
      </c>
      <c r="X274" s="143" t="s">
        <v>412</v>
      </c>
      <c r="Y274" s="145" t="s">
        <v>3876</v>
      </c>
      <c r="Z274" s="144">
        <v>23705.5</v>
      </c>
      <c r="AA274" s="145" t="s">
        <v>3876</v>
      </c>
      <c r="AB274" s="143" t="s">
        <v>1443</v>
      </c>
      <c r="AC274" s="145" t="s">
        <v>3876</v>
      </c>
      <c r="AD274" s="144">
        <v>19.632900000000003</v>
      </c>
      <c r="AE274" s="145" t="s">
        <v>3876</v>
      </c>
      <c r="AF274" s="145" t="s">
        <v>3876</v>
      </c>
      <c r="AG274" s="145" t="s">
        <v>3876</v>
      </c>
      <c r="AH274" s="146">
        <v>1.3671660646999871E-5</v>
      </c>
      <c r="AI274" s="146">
        <v>3.6366996871869267E-4</v>
      </c>
      <c r="AJ274" s="147">
        <v>1.7875286270072372E-5</v>
      </c>
      <c r="AK274" s="181"/>
    </row>
    <row r="275" spans="1:37" ht="15" x14ac:dyDescent="0.2">
      <c r="A275" s="142" t="s">
        <v>1220</v>
      </c>
      <c r="B275" s="143" t="s">
        <v>1221</v>
      </c>
      <c r="C275" s="143" t="s">
        <v>1450</v>
      </c>
      <c r="D275" s="143" t="s">
        <v>1451</v>
      </c>
      <c r="E275" s="143" t="s">
        <v>309</v>
      </c>
      <c r="F275" s="143" t="s">
        <v>1452</v>
      </c>
      <c r="G275" s="143" t="s">
        <v>1453</v>
      </c>
      <c r="H275" s="143" t="s">
        <v>321</v>
      </c>
      <c r="I275" s="143" t="s">
        <v>951</v>
      </c>
      <c r="J275" s="143" t="s">
        <v>204</v>
      </c>
      <c r="K275" s="143" t="s">
        <v>204</v>
      </c>
      <c r="L275" s="143" t="s">
        <v>325</v>
      </c>
      <c r="M275" s="143" t="s">
        <v>340</v>
      </c>
      <c r="N275" s="143" t="s">
        <v>465</v>
      </c>
      <c r="O275" s="143" t="s">
        <v>339</v>
      </c>
      <c r="P275" s="143" t="s">
        <v>1454</v>
      </c>
      <c r="Q275" s="143" t="s">
        <v>415</v>
      </c>
      <c r="R275" s="143" t="s">
        <v>407</v>
      </c>
      <c r="S275" s="143" t="s">
        <v>1210</v>
      </c>
      <c r="T275" s="144">
        <v>0.5</v>
      </c>
      <c r="U275" s="143" t="s">
        <v>1455</v>
      </c>
      <c r="V275" s="146">
        <v>3.7999999999999999E-2</v>
      </c>
      <c r="W275" s="146">
        <v>7.2817000000000007E-2</v>
      </c>
      <c r="X275" s="143" t="s">
        <v>412</v>
      </c>
      <c r="Y275" s="145" t="s">
        <v>3876</v>
      </c>
      <c r="Z275" s="144">
        <v>0.23</v>
      </c>
      <c r="AA275" s="145" t="s">
        <v>3876</v>
      </c>
      <c r="AB275" s="143" t="s">
        <v>1326</v>
      </c>
      <c r="AC275" s="145" t="s">
        <v>3876</v>
      </c>
      <c r="AD275" s="144">
        <v>2.0000000000000001E-4</v>
      </c>
      <c r="AE275" s="145" t="s">
        <v>3876</v>
      </c>
      <c r="AF275" s="145" t="s">
        <v>3876</v>
      </c>
      <c r="AG275" s="145" t="s">
        <v>3876</v>
      </c>
      <c r="AH275" s="146">
        <v>6.883104676196969E-10</v>
      </c>
      <c r="AI275" s="146">
        <v>4.197777465895053E-9</v>
      </c>
      <c r="AJ275" s="147">
        <v>2.0633123533765179E-10</v>
      </c>
      <c r="AK275" s="181"/>
    </row>
    <row r="276" spans="1:37" ht="15" x14ac:dyDescent="0.2">
      <c r="A276" s="142" t="s">
        <v>1220</v>
      </c>
      <c r="B276" s="143" t="s">
        <v>1221</v>
      </c>
      <c r="C276" s="143" t="s">
        <v>1349</v>
      </c>
      <c r="D276" s="143" t="s">
        <v>1350</v>
      </c>
      <c r="E276" s="143" t="s">
        <v>309</v>
      </c>
      <c r="F276" s="143" t="s">
        <v>1456</v>
      </c>
      <c r="G276" s="143" t="s">
        <v>1457</v>
      </c>
      <c r="H276" s="143" t="s">
        <v>321</v>
      </c>
      <c r="I276" s="143" t="s">
        <v>754</v>
      </c>
      <c r="J276" s="143" t="s">
        <v>204</v>
      </c>
      <c r="K276" s="143" t="s">
        <v>204</v>
      </c>
      <c r="L276" s="143" t="s">
        <v>325</v>
      </c>
      <c r="M276" s="143" t="s">
        <v>340</v>
      </c>
      <c r="N276" s="143" t="s">
        <v>448</v>
      </c>
      <c r="O276" s="143" t="s">
        <v>339</v>
      </c>
      <c r="P276" s="143" t="s">
        <v>1224</v>
      </c>
      <c r="Q276" s="143" t="s">
        <v>413</v>
      </c>
      <c r="R276" s="143" t="s">
        <v>407</v>
      </c>
      <c r="S276" s="143" t="s">
        <v>1210</v>
      </c>
      <c r="T276" s="144">
        <v>1.97</v>
      </c>
      <c r="U276" s="143" t="s">
        <v>1458</v>
      </c>
      <c r="V276" s="146">
        <v>3.8E-3</v>
      </c>
      <c r="W276" s="146">
        <v>2.2020999999999999E-2</v>
      </c>
      <c r="X276" s="143" t="s">
        <v>412</v>
      </c>
      <c r="Y276" s="145" t="s">
        <v>3876</v>
      </c>
      <c r="Z276" s="144">
        <v>2666708</v>
      </c>
      <c r="AA276" s="145" t="s">
        <v>3876</v>
      </c>
      <c r="AB276" s="143" t="s">
        <v>1459</v>
      </c>
      <c r="AC276" s="145" t="s">
        <v>3876</v>
      </c>
      <c r="AD276" s="144">
        <v>2879.2446</v>
      </c>
      <c r="AE276" s="145" t="s">
        <v>3876</v>
      </c>
      <c r="AF276" s="145" t="s">
        <v>3876</v>
      </c>
      <c r="AG276" s="145" t="s">
        <v>3876</v>
      </c>
      <c r="AH276" s="146">
        <v>8.8890266666666665E-4</v>
      </c>
      <c r="AI276" s="146">
        <v>5.3333693187855719E-2</v>
      </c>
      <c r="AJ276" s="147">
        <v>2.6214840805581403E-3</v>
      </c>
      <c r="AK276" s="181"/>
    </row>
    <row r="277" spans="1:37" ht="15" x14ac:dyDescent="0.2">
      <c r="A277" s="142" t="s">
        <v>1220</v>
      </c>
      <c r="B277" s="143" t="s">
        <v>1221</v>
      </c>
      <c r="C277" s="143" t="s">
        <v>1349</v>
      </c>
      <c r="D277" s="143" t="s">
        <v>1350</v>
      </c>
      <c r="E277" s="143" t="s">
        <v>309</v>
      </c>
      <c r="F277" s="143" t="s">
        <v>1460</v>
      </c>
      <c r="G277" s="143" t="s">
        <v>1461</v>
      </c>
      <c r="H277" s="143" t="s">
        <v>321</v>
      </c>
      <c r="I277" s="143" t="s">
        <v>754</v>
      </c>
      <c r="J277" s="143" t="s">
        <v>204</v>
      </c>
      <c r="K277" s="143" t="s">
        <v>204</v>
      </c>
      <c r="L277" s="143" t="s">
        <v>325</v>
      </c>
      <c r="M277" s="143" t="s">
        <v>340</v>
      </c>
      <c r="N277" s="143" t="s">
        <v>448</v>
      </c>
      <c r="O277" s="143" t="s">
        <v>339</v>
      </c>
      <c r="P277" s="143" t="s">
        <v>1224</v>
      </c>
      <c r="Q277" s="143" t="s">
        <v>413</v>
      </c>
      <c r="R277" s="143" t="s">
        <v>407</v>
      </c>
      <c r="S277" s="143" t="s">
        <v>1210</v>
      </c>
      <c r="T277" s="144">
        <v>0.24</v>
      </c>
      <c r="U277" s="143" t="s">
        <v>1462</v>
      </c>
      <c r="V277" s="146">
        <v>8.6E-3</v>
      </c>
      <c r="W277" s="146">
        <v>2.5704999999999999E-2</v>
      </c>
      <c r="X277" s="143" t="s">
        <v>412</v>
      </c>
      <c r="Y277" s="145" t="s">
        <v>3876</v>
      </c>
      <c r="Z277" s="144">
        <v>2483786</v>
      </c>
      <c r="AA277" s="145" t="s">
        <v>3876</v>
      </c>
      <c r="AB277" s="143" t="s">
        <v>1463</v>
      </c>
      <c r="AC277" s="145" t="s">
        <v>3876</v>
      </c>
      <c r="AD277" s="144">
        <v>2854.8636000000001</v>
      </c>
      <c r="AE277" s="145" t="s">
        <v>3876</v>
      </c>
      <c r="AF277" s="145" t="s">
        <v>3876</v>
      </c>
      <c r="AG277" s="145" t="s">
        <v>3876</v>
      </c>
      <c r="AH277" s="146">
        <v>9.9297779479969018E-4</v>
      </c>
      <c r="AI277" s="146">
        <v>5.288207170405354E-2</v>
      </c>
      <c r="AJ277" s="147">
        <v>2.5992857578945408E-3</v>
      </c>
      <c r="AK277" s="181"/>
    </row>
    <row r="278" spans="1:37" ht="15" x14ac:dyDescent="0.2">
      <c r="A278" s="142" t="s">
        <v>1220</v>
      </c>
      <c r="B278" s="143" t="s">
        <v>1221</v>
      </c>
      <c r="C278" s="143" t="s">
        <v>1468</v>
      </c>
      <c r="D278" s="143" t="s">
        <v>1469</v>
      </c>
      <c r="E278" s="143" t="s">
        <v>309</v>
      </c>
      <c r="F278" s="143" t="s">
        <v>1470</v>
      </c>
      <c r="G278" s="143" t="s">
        <v>1471</v>
      </c>
      <c r="H278" s="143" t="s">
        <v>321</v>
      </c>
      <c r="I278" s="143" t="s">
        <v>754</v>
      </c>
      <c r="J278" s="143" t="s">
        <v>204</v>
      </c>
      <c r="K278" s="143" t="s">
        <v>204</v>
      </c>
      <c r="L278" s="143" t="s">
        <v>325</v>
      </c>
      <c r="M278" s="143" t="s">
        <v>340</v>
      </c>
      <c r="N278" s="143" t="s">
        <v>448</v>
      </c>
      <c r="O278" s="143" t="s">
        <v>339</v>
      </c>
      <c r="P278" s="143" t="s">
        <v>1224</v>
      </c>
      <c r="Q278" s="143" t="s">
        <v>413</v>
      </c>
      <c r="R278" s="143" t="s">
        <v>407</v>
      </c>
      <c r="S278" s="143" t="s">
        <v>1210</v>
      </c>
      <c r="T278" s="144">
        <v>5.39</v>
      </c>
      <c r="U278" s="143" t="s">
        <v>1472</v>
      </c>
      <c r="V278" s="146">
        <v>1E-3</v>
      </c>
      <c r="W278" s="146">
        <v>2.5815000000000001E-2</v>
      </c>
      <c r="X278" s="143" t="s">
        <v>412</v>
      </c>
      <c r="Y278" s="145" t="s">
        <v>3876</v>
      </c>
      <c r="Z278" s="144">
        <v>2500000</v>
      </c>
      <c r="AA278" s="145" t="s">
        <v>3876</v>
      </c>
      <c r="AB278" s="143" t="s">
        <v>1473</v>
      </c>
      <c r="AC278" s="145" t="s">
        <v>3876</v>
      </c>
      <c r="AD278" s="144">
        <v>2428.25</v>
      </c>
      <c r="AE278" s="145" t="s">
        <v>3876</v>
      </c>
      <c r="AF278" s="145" t="s">
        <v>3876</v>
      </c>
      <c r="AG278" s="145" t="s">
        <v>3876</v>
      </c>
      <c r="AH278" s="146">
        <v>1.0052954945470763E-3</v>
      </c>
      <c r="AI278" s="146">
        <v>4.4979693368868728E-2</v>
      </c>
      <c r="AJ278" s="147">
        <v>2.210864147351515E-3</v>
      </c>
      <c r="AK278" s="181"/>
    </row>
    <row r="279" spans="1:37" ht="15" x14ac:dyDescent="0.2">
      <c r="A279" s="142" t="s">
        <v>1220</v>
      </c>
      <c r="B279" s="143" t="s">
        <v>1221</v>
      </c>
      <c r="C279" s="143" t="s">
        <v>1474</v>
      </c>
      <c r="D279" s="143" t="s">
        <v>1475</v>
      </c>
      <c r="E279" s="143" t="s">
        <v>309</v>
      </c>
      <c r="F279" s="143" t="s">
        <v>1476</v>
      </c>
      <c r="G279" s="143" t="s">
        <v>1477</v>
      </c>
      <c r="H279" s="143" t="s">
        <v>321</v>
      </c>
      <c r="I279" s="143" t="s">
        <v>754</v>
      </c>
      <c r="J279" s="143" t="s">
        <v>204</v>
      </c>
      <c r="K279" s="143" t="s">
        <v>204</v>
      </c>
      <c r="L279" s="143" t="s">
        <v>325</v>
      </c>
      <c r="M279" s="143" t="s">
        <v>340</v>
      </c>
      <c r="N279" s="143" t="s">
        <v>448</v>
      </c>
      <c r="O279" s="143" t="s">
        <v>339</v>
      </c>
      <c r="P279" s="143" t="s">
        <v>1224</v>
      </c>
      <c r="Q279" s="143" t="s">
        <v>413</v>
      </c>
      <c r="R279" s="143" t="s">
        <v>407</v>
      </c>
      <c r="S279" s="143" t="s">
        <v>1210</v>
      </c>
      <c r="T279" s="144">
        <v>3.26</v>
      </c>
      <c r="U279" s="143" t="s">
        <v>1478</v>
      </c>
      <c r="V279" s="146">
        <v>1.7500000000000002E-2</v>
      </c>
      <c r="W279" s="146">
        <v>2.4340000000000001E-2</v>
      </c>
      <c r="X279" s="143" t="s">
        <v>412</v>
      </c>
      <c r="Y279" s="145" t="s">
        <v>3876</v>
      </c>
      <c r="Z279" s="144">
        <v>2039494.32</v>
      </c>
      <c r="AA279" s="145" t="s">
        <v>3876</v>
      </c>
      <c r="AB279" s="143" t="s">
        <v>1479</v>
      </c>
      <c r="AC279" s="145" t="s">
        <v>3876</v>
      </c>
      <c r="AD279" s="144">
        <v>2274.2401</v>
      </c>
      <c r="AE279" s="145" t="s">
        <v>3876</v>
      </c>
      <c r="AF279" s="145" t="s">
        <v>3876</v>
      </c>
      <c r="AG279" s="145" t="s">
        <v>3876</v>
      </c>
      <c r="AH279" s="146">
        <v>7.8430328904605096E-4</v>
      </c>
      <c r="AI279" s="146">
        <v>4.2126891001872023E-2</v>
      </c>
      <c r="AJ279" s="147">
        <v>2.0706417936562837E-3</v>
      </c>
      <c r="AK279" s="181"/>
    </row>
    <row r="280" spans="1:37" ht="15" x14ac:dyDescent="0.2">
      <c r="A280" s="142" t="s">
        <v>1220</v>
      </c>
      <c r="B280" s="143" t="s">
        <v>1221</v>
      </c>
      <c r="C280" s="143" t="s">
        <v>1349</v>
      </c>
      <c r="D280" s="143" t="s">
        <v>1350</v>
      </c>
      <c r="E280" s="143" t="s">
        <v>309</v>
      </c>
      <c r="F280" s="143" t="s">
        <v>1486</v>
      </c>
      <c r="G280" s="143" t="s">
        <v>1487</v>
      </c>
      <c r="H280" s="143" t="s">
        <v>321</v>
      </c>
      <c r="I280" s="143" t="s">
        <v>754</v>
      </c>
      <c r="J280" s="143" t="s">
        <v>204</v>
      </c>
      <c r="K280" s="143" t="s">
        <v>204</v>
      </c>
      <c r="L280" s="143" t="s">
        <v>325</v>
      </c>
      <c r="M280" s="143" t="s">
        <v>340</v>
      </c>
      <c r="N280" s="143" t="s">
        <v>448</v>
      </c>
      <c r="O280" s="143" t="s">
        <v>339</v>
      </c>
      <c r="P280" s="143" t="s">
        <v>1209</v>
      </c>
      <c r="Q280" s="143" t="s">
        <v>415</v>
      </c>
      <c r="R280" s="143" t="s">
        <v>407</v>
      </c>
      <c r="S280" s="143" t="s">
        <v>1210</v>
      </c>
      <c r="T280" s="144">
        <v>2.41</v>
      </c>
      <c r="U280" s="143" t="s">
        <v>1488</v>
      </c>
      <c r="V280" s="146">
        <v>5.0000000000000001E-3</v>
      </c>
      <c r="W280" s="146">
        <v>2.1951999999999999E-2</v>
      </c>
      <c r="X280" s="143" t="s">
        <v>412</v>
      </c>
      <c r="Y280" s="145" t="s">
        <v>3876</v>
      </c>
      <c r="Z280" s="144">
        <v>1783400</v>
      </c>
      <c r="AA280" s="145" t="s">
        <v>3876</v>
      </c>
      <c r="AB280" s="143" t="s">
        <v>1489</v>
      </c>
      <c r="AC280" s="145" t="s">
        <v>3876</v>
      </c>
      <c r="AD280" s="144">
        <v>1931.0654999999999</v>
      </c>
      <c r="AE280" s="145" t="s">
        <v>3876</v>
      </c>
      <c r="AF280" s="145" t="s">
        <v>3876</v>
      </c>
      <c r="AG280" s="145" t="s">
        <v>3876</v>
      </c>
      <c r="AH280" s="146">
        <v>2.3366170541880451E-3</v>
      </c>
      <c r="AI280" s="146">
        <v>3.5770095733468565E-2</v>
      </c>
      <c r="AJ280" s="147">
        <v>1.7581894468669658E-3</v>
      </c>
      <c r="AK280" s="181"/>
    </row>
    <row r="281" spans="1:37" ht="15" x14ac:dyDescent="0.2">
      <c r="A281" s="142" t="s">
        <v>1220</v>
      </c>
      <c r="B281" s="143" t="s">
        <v>1221</v>
      </c>
      <c r="C281" s="143" t="s">
        <v>1468</v>
      </c>
      <c r="D281" s="143" t="s">
        <v>1469</v>
      </c>
      <c r="E281" s="143" t="s">
        <v>309</v>
      </c>
      <c r="F281" s="143" t="s">
        <v>1494</v>
      </c>
      <c r="G281" s="143" t="s">
        <v>1495</v>
      </c>
      <c r="H281" s="143" t="s">
        <v>321</v>
      </c>
      <c r="I281" s="143" t="s">
        <v>754</v>
      </c>
      <c r="J281" s="143" t="s">
        <v>204</v>
      </c>
      <c r="K281" s="143" t="s">
        <v>204</v>
      </c>
      <c r="L281" s="143" t="s">
        <v>325</v>
      </c>
      <c r="M281" s="143" t="s">
        <v>340</v>
      </c>
      <c r="N281" s="143" t="s">
        <v>448</v>
      </c>
      <c r="O281" s="143" t="s">
        <v>339</v>
      </c>
      <c r="P281" s="143" t="s">
        <v>1224</v>
      </c>
      <c r="Q281" s="143" t="s">
        <v>413</v>
      </c>
      <c r="R281" s="143" t="s">
        <v>407</v>
      </c>
      <c r="S281" s="143" t="s">
        <v>1210</v>
      </c>
      <c r="T281" s="144">
        <v>5.29</v>
      </c>
      <c r="U281" s="143" t="s">
        <v>1496</v>
      </c>
      <c r="V281" s="146">
        <v>2.0251999999999999E-2</v>
      </c>
      <c r="W281" s="146">
        <v>2.5944999999999999E-2</v>
      </c>
      <c r="X281" s="143" t="s">
        <v>412</v>
      </c>
      <c r="Y281" s="145" t="s">
        <v>3876</v>
      </c>
      <c r="Z281" s="144">
        <v>1920000</v>
      </c>
      <c r="AA281" s="145" t="s">
        <v>3876</v>
      </c>
      <c r="AB281" s="143" t="s">
        <v>1497</v>
      </c>
      <c r="AC281" s="145" t="s">
        <v>3876</v>
      </c>
      <c r="AD281" s="144">
        <v>1903.296</v>
      </c>
      <c r="AE281" s="145" t="s">
        <v>3876</v>
      </c>
      <c r="AF281" s="145" t="s">
        <v>3876</v>
      </c>
      <c r="AG281" s="145" t="s">
        <v>3876</v>
      </c>
      <c r="AH281" s="146">
        <v>9.0449903472993639E-4</v>
      </c>
      <c r="AI281" s="146">
        <v>3.5255706978356588E-2</v>
      </c>
      <c r="AJ281" s="147">
        <v>1.7329059562226083E-3</v>
      </c>
      <c r="AK281" s="181"/>
    </row>
    <row r="282" spans="1:37" ht="15" x14ac:dyDescent="0.2">
      <c r="A282" s="142" t="s">
        <v>1220</v>
      </c>
      <c r="B282" s="143" t="s">
        <v>1221</v>
      </c>
      <c r="C282" s="143" t="s">
        <v>1498</v>
      </c>
      <c r="D282" s="143" t="s">
        <v>1499</v>
      </c>
      <c r="E282" s="143" t="s">
        <v>313</v>
      </c>
      <c r="F282" s="143" t="s">
        <v>1500</v>
      </c>
      <c r="G282" s="143" t="s">
        <v>1501</v>
      </c>
      <c r="H282" s="143" t="s">
        <v>321</v>
      </c>
      <c r="I282" s="143" t="s">
        <v>754</v>
      </c>
      <c r="J282" s="143" t="s">
        <v>204</v>
      </c>
      <c r="K282" s="143" t="s">
        <v>204</v>
      </c>
      <c r="L282" s="143" t="s">
        <v>325</v>
      </c>
      <c r="M282" s="143" t="s">
        <v>340</v>
      </c>
      <c r="N282" s="143" t="s">
        <v>440</v>
      </c>
      <c r="O282" s="143" t="s">
        <v>339</v>
      </c>
      <c r="P282" s="143" t="s">
        <v>1502</v>
      </c>
      <c r="Q282" s="143" t="s">
        <v>415</v>
      </c>
      <c r="R282" s="143" t="s">
        <v>407</v>
      </c>
      <c r="S282" s="143" t="s">
        <v>1210</v>
      </c>
      <c r="T282" s="144">
        <v>10.64</v>
      </c>
      <c r="U282" s="143" t="s">
        <v>1503</v>
      </c>
      <c r="V282" s="146">
        <v>3.2000000000000001E-2</v>
      </c>
      <c r="W282" s="146">
        <v>3.5250999999999998E-2</v>
      </c>
      <c r="X282" s="143" t="s">
        <v>412</v>
      </c>
      <c r="Y282" s="145" t="s">
        <v>3876</v>
      </c>
      <c r="Z282" s="144">
        <v>1795189</v>
      </c>
      <c r="AA282" s="145" t="s">
        <v>3876</v>
      </c>
      <c r="AB282" s="143" t="s">
        <v>1504</v>
      </c>
      <c r="AC282" s="145" t="s">
        <v>3876</v>
      </c>
      <c r="AD282" s="144">
        <v>1795.1890000000001</v>
      </c>
      <c r="AE282" s="145" t="s">
        <v>3876</v>
      </c>
      <c r="AF282" s="145" t="s">
        <v>3876</v>
      </c>
      <c r="AG282" s="145" t="s">
        <v>3876</v>
      </c>
      <c r="AH282" s="146">
        <v>5.7516466560339149E-4</v>
      </c>
      <c r="AI282" s="146">
        <v>3.3253186763787128E-2</v>
      </c>
      <c r="AJ282" s="147">
        <v>1.6344770916585272E-3</v>
      </c>
      <c r="AK282" s="181"/>
    </row>
    <row r="283" spans="1:37" ht="15" x14ac:dyDescent="0.2">
      <c r="A283" s="142" t="s">
        <v>1220</v>
      </c>
      <c r="B283" s="143" t="s">
        <v>1221</v>
      </c>
      <c r="C283" s="143" t="s">
        <v>1349</v>
      </c>
      <c r="D283" s="143" t="s">
        <v>1350</v>
      </c>
      <c r="E283" s="143" t="s">
        <v>309</v>
      </c>
      <c r="F283" s="143" t="s">
        <v>1464</v>
      </c>
      <c r="G283" s="143" t="s">
        <v>1465</v>
      </c>
      <c r="H283" s="143" t="s">
        <v>321</v>
      </c>
      <c r="I283" s="143" t="s">
        <v>754</v>
      </c>
      <c r="J283" s="143" t="s">
        <v>204</v>
      </c>
      <c r="K283" s="143" t="s">
        <v>204</v>
      </c>
      <c r="L283" s="143" t="s">
        <v>325</v>
      </c>
      <c r="M283" s="143" t="s">
        <v>340</v>
      </c>
      <c r="N283" s="143" t="s">
        <v>448</v>
      </c>
      <c r="O283" s="143" t="s">
        <v>339</v>
      </c>
      <c r="P283" s="143" t="s">
        <v>1224</v>
      </c>
      <c r="Q283" s="143" t="s">
        <v>413</v>
      </c>
      <c r="R283" s="143" t="s">
        <v>407</v>
      </c>
      <c r="S283" s="143" t="s">
        <v>1210</v>
      </c>
      <c r="T283" s="144">
        <v>3.17</v>
      </c>
      <c r="U283" s="143" t="s">
        <v>1466</v>
      </c>
      <c r="V283" s="146">
        <v>1.2200000000000001E-2</v>
      </c>
      <c r="W283" s="146">
        <v>2.41E-2</v>
      </c>
      <c r="X283" s="143" t="s">
        <v>412</v>
      </c>
      <c r="Y283" s="145" t="s">
        <v>3876</v>
      </c>
      <c r="Z283" s="144">
        <v>1579248</v>
      </c>
      <c r="AA283" s="145" t="s">
        <v>3876</v>
      </c>
      <c r="AB283" s="143" t="s">
        <v>1467</v>
      </c>
      <c r="AC283" s="145" t="s">
        <v>3876</v>
      </c>
      <c r="AD283" s="144">
        <v>1761.1773999999998</v>
      </c>
      <c r="AE283" s="145" t="s">
        <v>3876</v>
      </c>
      <c r="AF283" s="145" t="s">
        <v>3876</v>
      </c>
      <c r="AG283" s="145" t="s">
        <v>3876</v>
      </c>
      <c r="AH283" s="146">
        <v>5.2369071352680648E-4</v>
      </c>
      <c r="AI283" s="146">
        <v>3.262317226512871E-2</v>
      </c>
      <c r="AJ283" s="147">
        <v>1.6035103072482191E-3</v>
      </c>
      <c r="AK283" s="181"/>
    </row>
    <row r="284" spans="1:37" ht="15" x14ac:dyDescent="0.2">
      <c r="A284" s="142" t="s">
        <v>1220</v>
      </c>
      <c r="B284" s="143" t="s">
        <v>1221</v>
      </c>
      <c r="C284" s="143" t="s">
        <v>1498</v>
      </c>
      <c r="D284" s="143" t="s">
        <v>1499</v>
      </c>
      <c r="E284" s="143" t="s">
        <v>313</v>
      </c>
      <c r="F284" s="143" t="s">
        <v>1515</v>
      </c>
      <c r="G284" s="143" t="s">
        <v>1516</v>
      </c>
      <c r="H284" s="143" t="s">
        <v>321</v>
      </c>
      <c r="I284" s="143" t="s">
        <v>754</v>
      </c>
      <c r="J284" s="143" t="s">
        <v>204</v>
      </c>
      <c r="K284" s="143" t="s">
        <v>204</v>
      </c>
      <c r="L284" s="143" t="s">
        <v>325</v>
      </c>
      <c r="M284" s="143" t="s">
        <v>340</v>
      </c>
      <c r="N284" s="143" t="s">
        <v>440</v>
      </c>
      <c r="O284" s="143" t="s">
        <v>339</v>
      </c>
      <c r="P284" s="143" t="s">
        <v>1502</v>
      </c>
      <c r="Q284" s="143" t="s">
        <v>415</v>
      </c>
      <c r="R284" s="143" t="s">
        <v>407</v>
      </c>
      <c r="S284" s="143" t="s">
        <v>1210</v>
      </c>
      <c r="T284" s="144">
        <v>7.89</v>
      </c>
      <c r="U284" s="143" t="s">
        <v>1517</v>
      </c>
      <c r="V284" s="146">
        <v>0.03</v>
      </c>
      <c r="W284" s="146">
        <v>3.3659000000000001E-2</v>
      </c>
      <c r="X284" s="143" t="s">
        <v>412</v>
      </c>
      <c r="Y284" s="145" t="s">
        <v>3876</v>
      </c>
      <c r="Z284" s="144">
        <v>1680000</v>
      </c>
      <c r="AA284" s="145" t="s">
        <v>3876</v>
      </c>
      <c r="AB284" s="143" t="s">
        <v>1518</v>
      </c>
      <c r="AC284" s="145" t="s">
        <v>3876</v>
      </c>
      <c r="AD284" s="144">
        <v>1687.7280000000001</v>
      </c>
      <c r="AE284" s="145" t="s">
        <v>3876</v>
      </c>
      <c r="AF284" s="145" t="s">
        <v>3876</v>
      </c>
      <c r="AG284" s="145" t="s">
        <v>3876</v>
      </c>
      <c r="AH284" s="146">
        <v>6.5725539536259372E-4</v>
      </c>
      <c r="AI284" s="146">
        <v>3.1262632731413192E-2</v>
      </c>
      <c r="AJ284" s="147">
        <v>1.5366363948033676E-3</v>
      </c>
      <c r="AK284" s="181"/>
    </row>
    <row r="285" spans="1:37" ht="15" x14ac:dyDescent="0.2">
      <c r="A285" s="142" t="s">
        <v>1220</v>
      </c>
      <c r="B285" s="143" t="s">
        <v>1221</v>
      </c>
      <c r="C285" s="143" t="s">
        <v>1498</v>
      </c>
      <c r="D285" s="143" t="s">
        <v>1499</v>
      </c>
      <c r="E285" s="143" t="s">
        <v>313</v>
      </c>
      <c r="F285" s="143" t="s">
        <v>1505</v>
      </c>
      <c r="G285" s="143" t="s">
        <v>1506</v>
      </c>
      <c r="H285" s="143" t="s">
        <v>321</v>
      </c>
      <c r="I285" s="143" t="s">
        <v>754</v>
      </c>
      <c r="J285" s="143" t="s">
        <v>204</v>
      </c>
      <c r="K285" s="143" t="s">
        <v>204</v>
      </c>
      <c r="L285" s="143" t="s">
        <v>325</v>
      </c>
      <c r="M285" s="143" t="s">
        <v>340</v>
      </c>
      <c r="N285" s="143" t="s">
        <v>440</v>
      </c>
      <c r="O285" s="143" t="s">
        <v>339</v>
      </c>
      <c r="P285" s="143" t="s">
        <v>1502</v>
      </c>
      <c r="Q285" s="143" t="s">
        <v>415</v>
      </c>
      <c r="R285" s="143" t="s">
        <v>407</v>
      </c>
      <c r="S285" s="143" t="s">
        <v>1210</v>
      </c>
      <c r="T285" s="144">
        <v>5.97</v>
      </c>
      <c r="U285" s="143" t="s">
        <v>1507</v>
      </c>
      <c r="V285" s="146">
        <v>2.3900000000000001E-2</v>
      </c>
      <c r="W285" s="146">
        <v>3.0173999999999999E-2</v>
      </c>
      <c r="X285" s="143" t="s">
        <v>412</v>
      </c>
      <c r="Y285" s="145" t="s">
        <v>3876</v>
      </c>
      <c r="Z285" s="144">
        <v>1500000</v>
      </c>
      <c r="AA285" s="145" t="s">
        <v>3876</v>
      </c>
      <c r="AB285" s="143" t="s">
        <v>1508</v>
      </c>
      <c r="AC285" s="145" t="s">
        <v>3876</v>
      </c>
      <c r="AD285" s="144">
        <v>1649.25</v>
      </c>
      <c r="AE285" s="145" t="s">
        <v>3876</v>
      </c>
      <c r="AF285" s="145" t="s">
        <v>3876</v>
      </c>
      <c r="AG285" s="145" t="s">
        <v>3876</v>
      </c>
      <c r="AH285" s="146">
        <v>3.8568858783466199E-4</v>
      </c>
      <c r="AI285" s="146">
        <v>3.0549885427203442E-2</v>
      </c>
      <c r="AJ285" s="147">
        <v>1.5016030865930138E-3</v>
      </c>
      <c r="AK285" s="181"/>
    </row>
    <row r="286" spans="1:37" ht="15" x14ac:dyDescent="0.2">
      <c r="A286" s="142" t="s">
        <v>1220</v>
      </c>
      <c r="B286" s="143" t="s">
        <v>1221</v>
      </c>
      <c r="C286" s="143" t="s">
        <v>1480</v>
      </c>
      <c r="D286" s="143" t="s">
        <v>1481</v>
      </c>
      <c r="E286" s="143" t="s">
        <v>309</v>
      </c>
      <c r="F286" s="143" t="s">
        <v>1482</v>
      </c>
      <c r="G286" s="143" t="s">
        <v>1483</v>
      </c>
      <c r="H286" s="143" t="s">
        <v>321</v>
      </c>
      <c r="I286" s="143" t="s">
        <v>754</v>
      </c>
      <c r="J286" s="143" t="s">
        <v>204</v>
      </c>
      <c r="K286" s="143" t="s">
        <v>204</v>
      </c>
      <c r="L286" s="143" t="s">
        <v>325</v>
      </c>
      <c r="M286" s="143" t="s">
        <v>340</v>
      </c>
      <c r="N286" s="143" t="s">
        <v>456</v>
      </c>
      <c r="O286" s="143" t="s">
        <v>339</v>
      </c>
      <c r="P286" s="143" t="s">
        <v>1347</v>
      </c>
      <c r="Q286" s="143" t="s">
        <v>413</v>
      </c>
      <c r="R286" s="143" t="s">
        <v>407</v>
      </c>
      <c r="S286" s="143" t="s">
        <v>1210</v>
      </c>
      <c r="T286" s="144">
        <v>5.43</v>
      </c>
      <c r="U286" s="143" t="s">
        <v>1484</v>
      </c>
      <c r="V286" s="146">
        <v>5.1499999999999997E-2</v>
      </c>
      <c r="W286" s="146">
        <v>3.8883000000000001E-2</v>
      </c>
      <c r="X286" s="143" t="s">
        <v>412</v>
      </c>
      <c r="Y286" s="145" t="s">
        <v>3876</v>
      </c>
      <c r="Z286" s="144">
        <v>1030824.86</v>
      </c>
      <c r="AA286" s="145" t="s">
        <v>3876</v>
      </c>
      <c r="AB286" s="143" t="s">
        <v>1485</v>
      </c>
      <c r="AC286" s="145" t="s">
        <v>3876</v>
      </c>
      <c r="AD286" s="144">
        <v>1516.6526000000001</v>
      </c>
      <c r="AE286" s="145" t="s">
        <v>3876</v>
      </c>
      <c r="AF286" s="145" t="s">
        <v>3876</v>
      </c>
      <c r="AG286" s="145" t="s">
        <v>3876</v>
      </c>
      <c r="AH286" s="146">
        <v>3.5496885300914194E-4</v>
      </c>
      <c r="AI286" s="146">
        <v>2.8093717548881743E-2</v>
      </c>
      <c r="AJ286" s="147">
        <v>1.3808763075657416E-3</v>
      </c>
      <c r="AK286" s="181"/>
    </row>
    <row r="287" spans="1:37" ht="15" x14ac:dyDescent="0.2">
      <c r="A287" s="142" t="s">
        <v>1220</v>
      </c>
      <c r="B287" s="143" t="s">
        <v>1221</v>
      </c>
      <c r="C287" s="143" t="s">
        <v>1343</v>
      </c>
      <c r="D287" s="143" t="s">
        <v>1344</v>
      </c>
      <c r="E287" s="143" t="s">
        <v>309</v>
      </c>
      <c r="F287" s="143" t="s">
        <v>1490</v>
      </c>
      <c r="G287" s="143" t="s">
        <v>1491</v>
      </c>
      <c r="H287" s="143" t="s">
        <v>321</v>
      </c>
      <c r="I287" s="143" t="s">
        <v>754</v>
      </c>
      <c r="J287" s="143" t="s">
        <v>204</v>
      </c>
      <c r="K287" s="143" t="s">
        <v>204</v>
      </c>
      <c r="L287" s="143" t="s">
        <v>325</v>
      </c>
      <c r="M287" s="143" t="s">
        <v>340</v>
      </c>
      <c r="N287" s="143" t="s">
        <v>445</v>
      </c>
      <c r="O287" s="143" t="s">
        <v>339</v>
      </c>
      <c r="P287" s="143" t="s">
        <v>1347</v>
      </c>
      <c r="Q287" s="143" t="s">
        <v>413</v>
      </c>
      <c r="R287" s="143" t="s">
        <v>407</v>
      </c>
      <c r="S287" s="143" t="s">
        <v>1210</v>
      </c>
      <c r="T287" s="144">
        <v>6.93</v>
      </c>
      <c r="U287" s="143" t="s">
        <v>1492</v>
      </c>
      <c r="V287" s="146">
        <v>2.5000000000000001E-2</v>
      </c>
      <c r="W287" s="146">
        <v>6.1810999999999998E-2</v>
      </c>
      <c r="X287" s="143" t="s">
        <v>412</v>
      </c>
      <c r="Y287" s="145" t="s">
        <v>3876</v>
      </c>
      <c r="Z287" s="144">
        <v>1900000</v>
      </c>
      <c r="AA287" s="145" t="s">
        <v>3876</v>
      </c>
      <c r="AB287" s="143" t="s">
        <v>1493</v>
      </c>
      <c r="AC287" s="145" t="s">
        <v>3876</v>
      </c>
      <c r="AD287" s="144">
        <v>1495.49</v>
      </c>
      <c r="AE287" s="145" t="s">
        <v>3876</v>
      </c>
      <c r="AF287" s="145" t="s">
        <v>3876</v>
      </c>
      <c r="AG287" s="145" t="s">
        <v>3876</v>
      </c>
      <c r="AH287" s="146">
        <v>1.4246645399394386E-3</v>
      </c>
      <c r="AI287" s="146">
        <v>2.7701711782645733E-2</v>
      </c>
      <c r="AJ287" s="147">
        <v>1.3616082461536979E-3</v>
      </c>
      <c r="AK287" s="181"/>
    </row>
    <row r="288" spans="1:37" ht="15" x14ac:dyDescent="0.2">
      <c r="A288" s="142" t="s">
        <v>1220</v>
      </c>
      <c r="B288" s="143" t="s">
        <v>1221</v>
      </c>
      <c r="C288" s="143" t="s">
        <v>1509</v>
      </c>
      <c r="D288" s="143" t="s">
        <v>1510</v>
      </c>
      <c r="E288" s="143" t="s">
        <v>309</v>
      </c>
      <c r="F288" s="143" t="s">
        <v>1511</v>
      </c>
      <c r="G288" s="143" t="s">
        <v>1512</v>
      </c>
      <c r="H288" s="143" t="s">
        <v>321</v>
      </c>
      <c r="I288" s="143" t="s">
        <v>754</v>
      </c>
      <c r="J288" s="143" t="s">
        <v>204</v>
      </c>
      <c r="K288" s="143" t="s">
        <v>204</v>
      </c>
      <c r="L288" s="143" t="s">
        <v>325</v>
      </c>
      <c r="M288" s="143" t="s">
        <v>340</v>
      </c>
      <c r="N288" s="143" t="s">
        <v>448</v>
      </c>
      <c r="O288" s="143" t="s">
        <v>339</v>
      </c>
      <c r="P288" s="143" t="s">
        <v>1347</v>
      </c>
      <c r="Q288" s="143" t="s">
        <v>413</v>
      </c>
      <c r="R288" s="143" t="s">
        <v>407</v>
      </c>
      <c r="S288" s="143" t="s">
        <v>1210</v>
      </c>
      <c r="T288" s="144">
        <v>1.48</v>
      </c>
      <c r="U288" s="143" t="s">
        <v>1513</v>
      </c>
      <c r="V288" s="146">
        <v>2E-3</v>
      </c>
      <c r="W288" s="146">
        <v>2.0419E-2</v>
      </c>
      <c r="X288" s="143" t="s">
        <v>412</v>
      </c>
      <c r="Y288" s="145" t="s">
        <v>3876</v>
      </c>
      <c r="Z288" s="144">
        <v>1307629.5</v>
      </c>
      <c r="AA288" s="145" t="s">
        <v>3876</v>
      </c>
      <c r="AB288" s="143" t="s">
        <v>1514</v>
      </c>
      <c r="AC288" s="145" t="s">
        <v>3876</v>
      </c>
      <c r="AD288" s="144">
        <v>1431.9851000000001</v>
      </c>
      <c r="AE288" s="145" t="s">
        <v>3876</v>
      </c>
      <c r="AF288" s="145" t="s">
        <v>3876</v>
      </c>
      <c r="AG288" s="145" t="s">
        <v>3876</v>
      </c>
      <c r="AH288" s="146">
        <v>3.1266509981531607E-3</v>
      </c>
      <c r="AI288" s="146">
        <v>2.652537800998267E-2</v>
      </c>
      <c r="AJ288" s="147">
        <v>1.3037885064331174E-3</v>
      </c>
      <c r="AK288" s="181"/>
    </row>
    <row r="289" spans="1:37" ht="15" x14ac:dyDescent="0.2">
      <c r="A289" s="142" t="s">
        <v>1220</v>
      </c>
      <c r="B289" s="143" t="s">
        <v>1221</v>
      </c>
      <c r="C289" s="143" t="s">
        <v>1438</v>
      </c>
      <c r="D289" s="143" t="s">
        <v>1439</v>
      </c>
      <c r="E289" s="143" t="s">
        <v>309</v>
      </c>
      <c r="F289" s="143" t="s">
        <v>1528</v>
      </c>
      <c r="G289" s="143" t="s">
        <v>1529</v>
      </c>
      <c r="H289" s="143" t="s">
        <v>321</v>
      </c>
      <c r="I289" s="143" t="s">
        <v>754</v>
      </c>
      <c r="J289" s="143" t="s">
        <v>204</v>
      </c>
      <c r="K289" s="143" t="s">
        <v>204</v>
      </c>
      <c r="L289" s="143" t="s">
        <v>325</v>
      </c>
      <c r="M289" s="143" t="s">
        <v>340</v>
      </c>
      <c r="N289" s="143" t="s">
        <v>464</v>
      </c>
      <c r="O289" s="143" t="s">
        <v>339</v>
      </c>
      <c r="P289" s="143" t="s">
        <v>1366</v>
      </c>
      <c r="Q289" s="143" t="s">
        <v>415</v>
      </c>
      <c r="R289" s="143" t="s">
        <v>407</v>
      </c>
      <c r="S289" s="143" t="s">
        <v>1210</v>
      </c>
      <c r="T289" s="144">
        <v>5.37</v>
      </c>
      <c r="U289" s="143" t="s">
        <v>1530</v>
      </c>
      <c r="V289" s="146">
        <v>5.8999999999999999E-3</v>
      </c>
      <c r="W289" s="146">
        <v>3.5757999999999998E-2</v>
      </c>
      <c r="X289" s="143" t="s">
        <v>412</v>
      </c>
      <c r="Y289" s="145" t="s">
        <v>3876</v>
      </c>
      <c r="Z289" s="144">
        <v>1500000</v>
      </c>
      <c r="AA289" s="145" t="s">
        <v>3876</v>
      </c>
      <c r="AB289" s="143" t="s">
        <v>1531</v>
      </c>
      <c r="AC289" s="145" t="s">
        <v>3876</v>
      </c>
      <c r="AD289" s="144">
        <v>1410</v>
      </c>
      <c r="AE289" s="145" t="s">
        <v>3876</v>
      </c>
      <c r="AF289" s="145" t="s">
        <v>3876</v>
      </c>
      <c r="AG289" s="145" t="s">
        <v>3876</v>
      </c>
      <c r="AH289" s="146">
        <v>1.0710299952660473E-3</v>
      </c>
      <c r="AI289" s="146">
        <v>2.6118137609432681E-2</v>
      </c>
      <c r="AJ289" s="147">
        <v>1.2837716247361829E-3</v>
      </c>
      <c r="AK289" s="181"/>
    </row>
    <row r="290" spans="1:37" ht="15" x14ac:dyDescent="0.2">
      <c r="A290" s="142" t="s">
        <v>1220</v>
      </c>
      <c r="B290" s="143" t="s">
        <v>1221</v>
      </c>
      <c r="C290" s="143" t="s">
        <v>1519</v>
      </c>
      <c r="D290" s="143" t="s">
        <v>1520</v>
      </c>
      <c r="E290" s="143" t="s">
        <v>309</v>
      </c>
      <c r="F290" s="143" t="s">
        <v>1536</v>
      </c>
      <c r="G290" s="143" t="s">
        <v>1537</v>
      </c>
      <c r="H290" s="143" t="s">
        <v>321</v>
      </c>
      <c r="I290" s="143" t="s">
        <v>754</v>
      </c>
      <c r="J290" s="143" t="s">
        <v>204</v>
      </c>
      <c r="K290" s="143" t="s">
        <v>204</v>
      </c>
      <c r="L290" s="143" t="s">
        <v>325</v>
      </c>
      <c r="M290" s="143" t="s">
        <v>340</v>
      </c>
      <c r="N290" s="143" t="s">
        <v>465</v>
      </c>
      <c r="O290" s="143" t="s">
        <v>339</v>
      </c>
      <c r="P290" s="143" t="s">
        <v>1359</v>
      </c>
      <c r="Q290" s="143" t="s">
        <v>415</v>
      </c>
      <c r="R290" s="143" t="s">
        <v>407</v>
      </c>
      <c r="S290" s="143" t="s">
        <v>1210</v>
      </c>
      <c r="T290" s="144">
        <v>4.3099999999999996</v>
      </c>
      <c r="U290" s="143" t="s">
        <v>1538</v>
      </c>
      <c r="V290" s="146">
        <v>1.7899999999999999E-2</v>
      </c>
      <c r="W290" s="146">
        <v>6.0524000000000001E-2</v>
      </c>
      <c r="X290" s="143" t="s">
        <v>412</v>
      </c>
      <c r="Y290" s="145" t="s">
        <v>3876</v>
      </c>
      <c r="Z290" s="144">
        <v>1487948.37</v>
      </c>
      <c r="AA290" s="145" t="s">
        <v>3876</v>
      </c>
      <c r="AB290" s="143" t="s">
        <v>1539</v>
      </c>
      <c r="AC290" s="145" t="s">
        <v>3876</v>
      </c>
      <c r="AD290" s="144">
        <v>1404.9208999999998</v>
      </c>
      <c r="AE290" s="145" t="s">
        <v>3876</v>
      </c>
      <c r="AF290" s="145" t="s">
        <v>3876</v>
      </c>
      <c r="AG290" s="145" t="s">
        <v>3876</v>
      </c>
      <c r="AH290" s="146">
        <v>2.1178044976330017E-3</v>
      </c>
      <c r="AI290" s="146">
        <v>2.6024053982679315E-2</v>
      </c>
      <c r="AJ290" s="147">
        <v>1.2791471797552888E-3</v>
      </c>
      <c r="AK290" s="181"/>
    </row>
    <row r="291" spans="1:37" ht="15" x14ac:dyDescent="0.2">
      <c r="A291" s="142" t="s">
        <v>1220</v>
      </c>
      <c r="B291" s="143" t="s">
        <v>1221</v>
      </c>
      <c r="C291" s="143" t="s">
        <v>1474</v>
      </c>
      <c r="D291" s="143" t="s">
        <v>1475</v>
      </c>
      <c r="E291" s="143" t="s">
        <v>309</v>
      </c>
      <c r="F291" s="143" t="s">
        <v>1532</v>
      </c>
      <c r="G291" s="143" t="s">
        <v>1533</v>
      </c>
      <c r="H291" s="143" t="s">
        <v>321</v>
      </c>
      <c r="I291" s="143" t="s">
        <v>754</v>
      </c>
      <c r="J291" s="143" t="s">
        <v>204</v>
      </c>
      <c r="K291" s="143" t="s">
        <v>204</v>
      </c>
      <c r="L291" s="143" t="s">
        <v>325</v>
      </c>
      <c r="M291" s="143" t="s">
        <v>340</v>
      </c>
      <c r="N291" s="143" t="s">
        <v>448</v>
      </c>
      <c r="O291" s="143" t="s">
        <v>339</v>
      </c>
      <c r="P291" s="143" t="s">
        <v>1224</v>
      </c>
      <c r="Q291" s="143" t="s">
        <v>413</v>
      </c>
      <c r="R291" s="143" t="s">
        <v>407</v>
      </c>
      <c r="S291" s="143" t="s">
        <v>1210</v>
      </c>
      <c r="T291" s="144">
        <v>4.16</v>
      </c>
      <c r="U291" s="143" t="s">
        <v>1534</v>
      </c>
      <c r="V291" s="146">
        <v>1.3899999999999999E-2</v>
      </c>
      <c r="W291" s="146">
        <v>2.5141E-2</v>
      </c>
      <c r="X291" s="143" t="s">
        <v>412</v>
      </c>
      <c r="Y291" s="145" t="s">
        <v>3876</v>
      </c>
      <c r="Z291" s="144">
        <v>1348200</v>
      </c>
      <c r="AA291" s="145" t="s">
        <v>3876</v>
      </c>
      <c r="AB291" s="143" t="s">
        <v>1535</v>
      </c>
      <c r="AC291" s="145" t="s">
        <v>3876</v>
      </c>
      <c r="AD291" s="144">
        <v>1367.8836999999999</v>
      </c>
      <c r="AE291" s="145" t="s">
        <v>3876</v>
      </c>
      <c r="AF291" s="145" t="s">
        <v>3876</v>
      </c>
      <c r="AG291" s="145" t="s">
        <v>3876</v>
      </c>
      <c r="AH291" s="146">
        <v>7.4899999999999999E-4</v>
      </c>
      <c r="AI291" s="146">
        <v>2.5337996618909706E-2</v>
      </c>
      <c r="AJ291" s="147">
        <v>1.2454257487053714E-3</v>
      </c>
      <c r="AK291" s="181"/>
    </row>
    <row r="292" spans="1:37" ht="15" x14ac:dyDescent="0.2">
      <c r="A292" s="142" t="s">
        <v>1220</v>
      </c>
      <c r="B292" s="143" t="s">
        <v>1221</v>
      </c>
      <c r="C292" s="143" t="s">
        <v>1509</v>
      </c>
      <c r="D292" s="143" t="s">
        <v>1510</v>
      </c>
      <c r="E292" s="143" t="s">
        <v>309</v>
      </c>
      <c r="F292" s="143" t="s">
        <v>1550</v>
      </c>
      <c r="G292" s="143" t="s">
        <v>1551</v>
      </c>
      <c r="H292" s="143" t="s">
        <v>321</v>
      </c>
      <c r="I292" s="143" t="s">
        <v>754</v>
      </c>
      <c r="J292" s="143" t="s">
        <v>204</v>
      </c>
      <c r="K292" s="143" t="s">
        <v>204</v>
      </c>
      <c r="L292" s="143" t="s">
        <v>325</v>
      </c>
      <c r="M292" s="143" t="s">
        <v>340</v>
      </c>
      <c r="N292" s="143" t="s">
        <v>448</v>
      </c>
      <c r="O292" s="143" t="s">
        <v>339</v>
      </c>
      <c r="P292" s="143" t="s">
        <v>1347</v>
      </c>
      <c r="Q292" s="143" t="s">
        <v>413</v>
      </c>
      <c r="R292" s="143" t="s">
        <v>407</v>
      </c>
      <c r="S292" s="143" t="s">
        <v>1210</v>
      </c>
      <c r="T292" s="144">
        <v>4.75</v>
      </c>
      <c r="U292" s="143" t="s">
        <v>1552</v>
      </c>
      <c r="V292" s="146">
        <v>2.5899999999999999E-2</v>
      </c>
      <c r="W292" s="146">
        <v>2.7512000000000002E-2</v>
      </c>
      <c r="X292" s="143" t="s">
        <v>412</v>
      </c>
      <c r="Y292" s="145" t="s">
        <v>3876</v>
      </c>
      <c r="Z292" s="144">
        <v>1299000</v>
      </c>
      <c r="AA292" s="145" t="s">
        <v>3876</v>
      </c>
      <c r="AB292" s="143" t="s">
        <v>1553</v>
      </c>
      <c r="AC292" s="145" t="s">
        <v>3876</v>
      </c>
      <c r="AD292" s="144">
        <v>1329.1368</v>
      </c>
      <c r="AE292" s="145" t="s">
        <v>3876</v>
      </c>
      <c r="AF292" s="145" t="s">
        <v>3876</v>
      </c>
      <c r="AG292" s="145" t="s">
        <v>3876</v>
      </c>
      <c r="AH292" s="146">
        <v>2.8866666666666667E-3</v>
      </c>
      <c r="AI292" s="146">
        <v>2.4620267974582274E-2</v>
      </c>
      <c r="AJ292" s="147">
        <v>1.2101475952004616E-3</v>
      </c>
      <c r="AK292" s="181"/>
    </row>
    <row r="293" spans="1:37" ht="15" x14ac:dyDescent="0.2">
      <c r="A293" s="142" t="s">
        <v>1220</v>
      </c>
      <c r="B293" s="143" t="s">
        <v>1221</v>
      </c>
      <c r="C293" s="143" t="s">
        <v>1474</v>
      </c>
      <c r="D293" s="143" t="s">
        <v>1475</v>
      </c>
      <c r="E293" s="143" t="s">
        <v>309</v>
      </c>
      <c r="F293" s="143" t="s">
        <v>1563</v>
      </c>
      <c r="G293" s="143" t="s">
        <v>1564</v>
      </c>
      <c r="H293" s="143" t="s">
        <v>321</v>
      </c>
      <c r="I293" s="143" t="s">
        <v>754</v>
      </c>
      <c r="J293" s="143" t="s">
        <v>204</v>
      </c>
      <c r="K293" s="143" t="s">
        <v>204</v>
      </c>
      <c r="L293" s="143" t="s">
        <v>325</v>
      </c>
      <c r="M293" s="143" t="s">
        <v>340</v>
      </c>
      <c r="N293" s="143" t="s">
        <v>448</v>
      </c>
      <c r="O293" s="143" t="s">
        <v>339</v>
      </c>
      <c r="P293" s="143" t="s">
        <v>1224</v>
      </c>
      <c r="Q293" s="143" t="s">
        <v>413</v>
      </c>
      <c r="R293" s="143" t="s">
        <v>407</v>
      </c>
      <c r="S293" s="143" t="s">
        <v>1210</v>
      </c>
      <c r="T293" s="144">
        <v>3.8</v>
      </c>
      <c r="U293" s="143" t="s">
        <v>1565</v>
      </c>
      <c r="V293" s="146">
        <v>1E-3</v>
      </c>
      <c r="W293" s="146">
        <v>2.5401E-2</v>
      </c>
      <c r="X293" s="143" t="s">
        <v>412</v>
      </c>
      <c r="Y293" s="145" t="s">
        <v>3876</v>
      </c>
      <c r="Z293" s="144">
        <v>1160000.01</v>
      </c>
      <c r="AA293" s="145" t="s">
        <v>3876</v>
      </c>
      <c r="AB293" s="143" t="s">
        <v>1566</v>
      </c>
      <c r="AC293" s="145" t="s">
        <v>3876</v>
      </c>
      <c r="AD293" s="144">
        <v>1171.252</v>
      </c>
      <c r="AE293" s="145" t="s">
        <v>3876</v>
      </c>
      <c r="AF293" s="145" t="s">
        <v>3876</v>
      </c>
      <c r="AG293" s="145" t="s">
        <v>3876</v>
      </c>
      <c r="AH293" s="146">
        <v>1.0313313014405766E-3</v>
      </c>
      <c r="AI293" s="146">
        <v>2.1695688776622753E-2</v>
      </c>
      <c r="AJ293" s="147">
        <v>1.0663972311898905E-3</v>
      </c>
      <c r="AK293" s="181"/>
    </row>
    <row r="294" spans="1:37" ht="15" x14ac:dyDescent="0.2">
      <c r="A294" s="142" t="s">
        <v>1220</v>
      </c>
      <c r="B294" s="143" t="s">
        <v>1221</v>
      </c>
      <c r="C294" s="143" t="s">
        <v>1519</v>
      </c>
      <c r="D294" s="143" t="s">
        <v>1520</v>
      </c>
      <c r="E294" s="143" t="s">
        <v>309</v>
      </c>
      <c r="F294" s="143" t="s">
        <v>1540</v>
      </c>
      <c r="G294" s="143" t="s">
        <v>1541</v>
      </c>
      <c r="H294" s="143" t="s">
        <v>321</v>
      </c>
      <c r="I294" s="143" t="s">
        <v>754</v>
      </c>
      <c r="J294" s="143" t="s">
        <v>204</v>
      </c>
      <c r="K294" s="143" t="s">
        <v>204</v>
      </c>
      <c r="L294" s="143" t="s">
        <v>325</v>
      </c>
      <c r="M294" s="143" t="s">
        <v>340</v>
      </c>
      <c r="N294" s="143" t="s">
        <v>465</v>
      </c>
      <c r="O294" s="143" t="s">
        <v>339</v>
      </c>
      <c r="P294" s="143" t="s">
        <v>1359</v>
      </c>
      <c r="Q294" s="143" t="s">
        <v>415</v>
      </c>
      <c r="R294" s="143" t="s">
        <v>407</v>
      </c>
      <c r="S294" s="143" t="s">
        <v>1210</v>
      </c>
      <c r="T294" s="144">
        <v>2.46</v>
      </c>
      <c r="U294" s="143" t="s">
        <v>1542</v>
      </c>
      <c r="V294" s="146">
        <v>3.2800000000000003E-2</v>
      </c>
      <c r="W294" s="146">
        <v>5.8094E-2</v>
      </c>
      <c r="X294" s="143" t="s">
        <v>412</v>
      </c>
      <c r="Y294" s="145" t="s">
        <v>3876</v>
      </c>
      <c r="Z294" s="144">
        <v>1056754.5</v>
      </c>
      <c r="AA294" s="145" t="s">
        <v>3876</v>
      </c>
      <c r="AB294" s="143" t="s">
        <v>1543</v>
      </c>
      <c r="AC294" s="145" t="s">
        <v>3876</v>
      </c>
      <c r="AD294" s="144">
        <v>1145.5219</v>
      </c>
      <c r="AE294" s="145" t="s">
        <v>3876</v>
      </c>
      <c r="AF294" s="145" t="s">
        <v>3876</v>
      </c>
      <c r="AG294" s="145" t="s">
        <v>3876</v>
      </c>
      <c r="AH294" s="146">
        <v>7.6437791336419136E-4</v>
      </c>
      <c r="AI294" s="146">
        <v>2.1219076627106211E-2</v>
      </c>
      <c r="AJ294" s="147">
        <v>1.0429705549580876E-3</v>
      </c>
      <c r="AK294" s="181"/>
    </row>
    <row r="295" spans="1:37" ht="15" x14ac:dyDescent="0.2">
      <c r="A295" s="142" t="s">
        <v>1220</v>
      </c>
      <c r="B295" s="143" t="s">
        <v>1221</v>
      </c>
      <c r="C295" s="143" t="s">
        <v>1544</v>
      </c>
      <c r="D295" s="143" t="s">
        <v>1545</v>
      </c>
      <c r="E295" s="143" t="s">
        <v>309</v>
      </c>
      <c r="F295" s="143" t="s">
        <v>1546</v>
      </c>
      <c r="G295" s="143" t="s">
        <v>1547</v>
      </c>
      <c r="H295" s="143" t="s">
        <v>321</v>
      </c>
      <c r="I295" s="143" t="s">
        <v>754</v>
      </c>
      <c r="J295" s="143" t="s">
        <v>204</v>
      </c>
      <c r="K295" s="143" t="s">
        <v>204</v>
      </c>
      <c r="L295" s="143" t="s">
        <v>325</v>
      </c>
      <c r="M295" s="143" t="s">
        <v>340</v>
      </c>
      <c r="N295" s="143" t="s">
        <v>465</v>
      </c>
      <c r="O295" s="143" t="s">
        <v>339</v>
      </c>
      <c r="P295" s="143" t="s">
        <v>1425</v>
      </c>
      <c r="Q295" s="143" t="s">
        <v>415</v>
      </c>
      <c r="R295" s="143" t="s">
        <v>407</v>
      </c>
      <c r="S295" s="143" t="s">
        <v>1210</v>
      </c>
      <c r="T295" s="144">
        <v>1.71</v>
      </c>
      <c r="U295" s="143" t="s">
        <v>1548</v>
      </c>
      <c r="V295" s="146">
        <v>2.5700000000000001E-2</v>
      </c>
      <c r="W295" s="146">
        <v>3.3569000000000002E-2</v>
      </c>
      <c r="X295" s="143" t="s">
        <v>412</v>
      </c>
      <c r="Y295" s="145" t="s">
        <v>3876</v>
      </c>
      <c r="Z295" s="144">
        <v>997225</v>
      </c>
      <c r="AA295" s="145" t="s">
        <v>3876</v>
      </c>
      <c r="AB295" s="143" t="s">
        <v>1549</v>
      </c>
      <c r="AC295" s="145" t="s">
        <v>3876</v>
      </c>
      <c r="AD295" s="144">
        <v>1133.9445000000001</v>
      </c>
      <c r="AE295" s="145" t="s">
        <v>3876</v>
      </c>
      <c r="AF295" s="145" t="s">
        <v>3876</v>
      </c>
      <c r="AG295" s="145" t="s">
        <v>3876</v>
      </c>
      <c r="AH295" s="146">
        <v>7.7761555766044023E-4</v>
      </c>
      <c r="AI295" s="146">
        <v>2.1004623924163742E-2</v>
      </c>
      <c r="AJ295" s="147">
        <v>1.03242966957788E-3</v>
      </c>
      <c r="AK295" s="181"/>
    </row>
    <row r="296" spans="1:37" ht="15" x14ac:dyDescent="0.2">
      <c r="A296" s="142" t="s">
        <v>1220</v>
      </c>
      <c r="B296" s="143" t="s">
        <v>1221</v>
      </c>
      <c r="C296" s="143" t="s">
        <v>1554</v>
      </c>
      <c r="D296" s="143" t="s">
        <v>1555</v>
      </c>
      <c r="E296" s="143" t="s">
        <v>309</v>
      </c>
      <c r="F296" s="143" t="s">
        <v>1556</v>
      </c>
      <c r="G296" s="143" t="s">
        <v>1557</v>
      </c>
      <c r="H296" s="143" t="s">
        <v>321</v>
      </c>
      <c r="I296" s="143" t="s">
        <v>754</v>
      </c>
      <c r="J296" s="143" t="s">
        <v>204</v>
      </c>
      <c r="K296" s="143" t="s">
        <v>204</v>
      </c>
      <c r="L296" s="143" t="s">
        <v>325</v>
      </c>
      <c r="M296" s="143" t="s">
        <v>340</v>
      </c>
      <c r="N296" s="143" t="s">
        <v>464</v>
      </c>
      <c r="O296" s="143" t="s">
        <v>339</v>
      </c>
      <c r="P296" s="143" t="s">
        <v>1410</v>
      </c>
      <c r="Q296" s="143" t="s">
        <v>413</v>
      </c>
      <c r="R296" s="143" t="s">
        <v>407</v>
      </c>
      <c r="S296" s="143" t="s">
        <v>1210</v>
      </c>
      <c r="T296" s="144">
        <v>2.4300000000000002</v>
      </c>
      <c r="U296" s="143" t="s">
        <v>1299</v>
      </c>
      <c r="V296" s="146">
        <v>2.3400000000000001E-2</v>
      </c>
      <c r="W296" s="146">
        <v>2.7517E-2</v>
      </c>
      <c r="X296" s="143" t="s">
        <v>412</v>
      </c>
      <c r="Y296" s="145" t="s">
        <v>3876</v>
      </c>
      <c r="Z296" s="144">
        <v>943170.17</v>
      </c>
      <c r="AA296" s="145" t="s">
        <v>3876</v>
      </c>
      <c r="AB296" s="143" t="s">
        <v>1558</v>
      </c>
      <c r="AC296" s="145" t="s">
        <v>3876</v>
      </c>
      <c r="AD296" s="144">
        <v>1066.5368000000001</v>
      </c>
      <c r="AE296" s="145" t="s">
        <v>3876</v>
      </c>
      <c r="AF296" s="145" t="s">
        <v>3876</v>
      </c>
      <c r="AG296" s="145" t="s">
        <v>3876</v>
      </c>
      <c r="AH296" s="146">
        <v>4.4709392155689093E-4</v>
      </c>
      <c r="AI296" s="146">
        <v>1.9755996911628167E-2</v>
      </c>
      <c r="AJ296" s="147">
        <v>9.7105653675567721E-4</v>
      </c>
      <c r="AK296" s="181"/>
    </row>
    <row r="297" spans="1:37" ht="15" x14ac:dyDescent="0.2">
      <c r="A297" s="142" t="s">
        <v>1220</v>
      </c>
      <c r="B297" s="143" t="s">
        <v>1221</v>
      </c>
      <c r="C297" s="143" t="s">
        <v>1498</v>
      </c>
      <c r="D297" s="143" t="s">
        <v>1499</v>
      </c>
      <c r="E297" s="143" t="s">
        <v>313</v>
      </c>
      <c r="F297" s="143" t="s">
        <v>1559</v>
      </c>
      <c r="G297" s="143" t="s">
        <v>1560</v>
      </c>
      <c r="H297" s="143" t="s">
        <v>321</v>
      </c>
      <c r="I297" s="143" t="s">
        <v>754</v>
      </c>
      <c r="J297" s="143" t="s">
        <v>204</v>
      </c>
      <c r="K297" s="143" t="s">
        <v>204</v>
      </c>
      <c r="L297" s="143" t="s">
        <v>325</v>
      </c>
      <c r="M297" s="143" t="s">
        <v>340</v>
      </c>
      <c r="N297" s="143" t="s">
        <v>440</v>
      </c>
      <c r="O297" s="143" t="s">
        <v>339</v>
      </c>
      <c r="P297" s="143" t="s">
        <v>1502</v>
      </c>
      <c r="Q297" s="143" t="s">
        <v>415</v>
      </c>
      <c r="R297" s="143" t="s">
        <v>407</v>
      </c>
      <c r="S297" s="143" t="s">
        <v>1210</v>
      </c>
      <c r="T297" s="144">
        <v>1.1299999999999999</v>
      </c>
      <c r="U297" s="143" t="s">
        <v>1561</v>
      </c>
      <c r="V297" s="146">
        <v>4.4999999999999998E-2</v>
      </c>
      <c r="W297" s="146">
        <v>2.6681E-2</v>
      </c>
      <c r="X297" s="143" t="s">
        <v>412</v>
      </c>
      <c r="Y297" s="145" t="s">
        <v>3876</v>
      </c>
      <c r="Z297" s="144">
        <v>868927</v>
      </c>
      <c r="AA297" s="145" t="s">
        <v>3876</v>
      </c>
      <c r="AB297" s="143" t="s">
        <v>1562</v>
      </c>
      <c r="AC297" s="145" t="s">
        <v>3876</v>
      </c>
      <c r="AD297" s="144">
        <v>1036.5429999999999</v>
      </c>
      <c r="AE297" s="145" t="s">
        <v>3876</v>
      </c>
      <c r="AF297" s="145" t="s">
        <v>3876</v>
      </c>
      <c r="AG297" s="145" t="s">
        <v>3876</v>
      </c>
      <c r="AH297" s="146">
        <v>2.9399301493422035E-4</v>
      </c>
      <c r="AI297" s="146">
        <v>1.9200406517770285E-2</v>
      </c>
      <c r="AJ297" s="147">
        <v>9.4374788277442408E-4</v>
      </c>
      <c r="AK297" s="181"/>
    </row>
    <row r="298" spans="1:37" ht="15" x14ac:dyDescent="0.2">
      <c r="A298" s="142" t="s">
        <v>1220</v>
      </c>
      <c r="B298" s="143" t="s">
        <v>1221</v>
      </c>
      <c r="C298" s="143" t="s">
        <v>1519</v>
      </c>
      <c r="D298" s="143" t="s">
        <v>1520</v>
      </c>
      <c r="E298" s="143" t="s">
        <v>309</v>
      </c>
      <c r="F298" s="143" t="s">
        <v>1521</v>
      </c>
      <c r="G298" s="143" t="s">
        <v>1522</v>
      </c>
      <c r="H298" s="143" t="s">
        <v>321</v>
      </c>
      <c r="I298" s="143" t="s">
        <v>754</v>
      </c>
      <c r="J298" s="143" t="s">
        <v>204</v>
      </c>
      <c r="K298" s="143" t="s">
        <v>204</v>
      </c>
      <c r="L298" s="143" t="s">
        <v>325</v>
      </c>
      <c r="M298" s="143" t="s">
        <v>340</v>
      </c>
      <c r="N298" s="143" t="s">
        <v>465</v>
      </c>
      <c r="O298" s="143" t="s">
        <v>339</v>
      </c>
      <c r="P298" s="143" t="s">
        <v>1359</v>
      </c>
      <c r="Q298" s="143" t="s">
        <v>415</v>
      </c>
      <c r="R298" s="143" t="s">
        <v>407</v>
      </c>
      <c r="S298" s="143" t="s">
        <v>1210</v>
      </c>
      <c r="T298" s="144">
        <v>2.1</v>
      </c>
      <c r="U298" s="143" t="s">
        <v>1523</v>
      </c>
      <c r="V298" s="146">
        <v>0.04</v>
      </c>
      <c r="W298" s="146">
        <v>5.3921999999999998E-2</v>
      </c>
      <c r="X298" s="143" t="s">
        <v>412</v>
      </c>
      <c r="Y298" s="145" t="s">
        <v>3876</v>
      </c>
      <c r="Z298" s="144">
        <v>916278.07</v>
      </c>
      <c r="AA298" s="145" t="s">
        <v>3876</v>
      </c>
      <c r="AB298" s="143" t="s">
        <v>1524</v>
      </c>
      <c r="AC298" s="145" t="s">
        <v>3876</v>
      </c>
      <c r="AD298" s="144">
        <v>1010.4715</v>
      </c>
      <c r="AE298" s="145" t="s">
        <v>3876</v>
      </c>
      <c r="AF298" s="145" t="s">
        <v>3876</v>
      </c>
      <c r="AG298" s="145" t="s">
        <v>3876</v>
      </c>
      <c r="AH298" s="146">
        <v>4.2379625145385529E-4</v>
      </c>
      <c r="AI298" s="146">
        <v>1.8717469877773101E-2</v>
      </c>
      <c r="AJ298" s="147">
        <v>9.200103420567465E-4</v>
      </c>
      <c r="AK298" s="181"/>
    </row>
    <row r="299" spans="1:37" ht="15" x14ac:dyDescent="0.2">
      <c r="A299" s="142" t="s">
        <v>1220</v>
      </c>
      <c r="B299" s="143" t="s">
        <v>1221</v>
      </c>
      <c r="C299" s="143" t="s">
        <v>1349</v>
      </c>
      <c r="D299" s="143" t="s">
        <v>1350</v>
      </c>
      <c r="E299" s="143" t="s">
        <v>309</v>
      </c>
      <c r="F299" s="143" t="s">
        <v>1567</v>
      </c>
      <c r="G299" s="143" t="s">
        <v>1568</v>
      </c>
      <c r="H299" s="143" t="s">
        <v>321</v>
      </c>
      <c r="I299" s="143" t="s">
        <v>754</v>
      </c>
      <c r="J299" s="143" t="s">
        <v>204</v>
      </c>
      <c r="K299" s="143" t="s">
        <v>204</v>
      </c>
      <c r="L299" s="143" t="s">
        <v>325</v>
      </c>
      <c r="M299" s="143" t="s">
        <v>340</v>
      </c>
      <c r="N299" s="143" t="s">
        <v>448</v>
      </c>
      <c r="O299" s="143" t="s">
        <v>339</v>
      </c>
      <c r="P299" s="143" t="s">
        <v>1224</v>
      </c>
      <c r="Q299" s="143" t="s">
        <v>413</v>
      </c>
      <c r="R299" s="143" t="s">
        <v>407</v>
      </c>
      <c r="S299" s="143" t="s">
        <v>1210</v>
      </c>
      <c r="T299" s="144">
        <v>4.63</v>
      </c>
      <c r="U299" s="143" t="s">
        <v>1569</v>
      </c>
      <c r="V299" s="146">
        <v>1.9900000000000001E-2</v>
      </c>
      <c r="W299" s="146">
        <v>2.5776E-2</v>
      </c>
      <c r="X299" s="143" t="s">
        <v>412</v>
      </c>
      <c r="Y299" s="145" t="s">
        <v>3876</v>
      </c>
      <c r="Z299" s="144">
        <v>960000</v>
      </c>
      <c r="AA299" s="145" t="s">
        <v>3876</v>
      </c>
      <c r="AB299" s="143" t="s">
        <v>1570</v>
      </c>
      <c r="AC299" s="145" t="s">
        <v>3876</v>
      </c>
      <c r="AD299" s="144">
        <v>962.20799999999997</v>
      </c>
      <c r="AE299" s="145" t="s">
        <v>3876</v>
      </c>
      <c r="AF299" s="145" t="s">
        <v>3876</v>
      </c>
      <c r="AG299" s="145" t="s">
        <v>3876</v>
      </c>
      <c r="AH299" s="146">
        <v>3.5555555555555557E-4</v>
      </c>
      <c r="AI299" s="146">
        <v>1.7823461668721279E-2</v>
      </c>
      <c r="AJ299" s="147">
        <v>8.7606760815188162E-4</v>
      </c>
      <c r="AK299" s="181"/>
    </row>
    <row r="300" spans="1:37" ht="15" x14ac:dyDescent="0.2">
      <c r="A300" s="142" t="s">
        <v>1220</v>
      </c>
      <c r="B300" s="143" t="s">
        <v>1221</v>
      </c>
      <c r="C300" s="143" t="s">
        <v>1369</v>
      </c>
      <c r="D300" s="143" t="s">
        <v>1370</v>
      </c>
      <c r="E300" s="143" t="s">
        <v>309</v>
      </c>
      <c r="F300" s="143" t="s">
        <v>1577</v>
      </c>
      <c r="G300" s="143" t="s">
        <v>1578</v>
      </c>
      <c r="H300" s="143" t="s">
        <v>321</v>
      </c>
      <c r="I300" s="143" t="s">
        <v>754</v>
      </c>
      <c r="J300" s="143" t="s">
        <v>204</v>
      </c>
      <c r="K300" s="143" t="s">
        <v>204</v>
      </c>
      <c r="L300" s="143" t="s">
        <v>325</v>
      </c>
      <c r="M300" s="143" t="s">
        <v>340</v>
      </c>
      <c r="N300" s="143" t="s">
        <v>445</v>
      </c>
      <c r="O300" s="143" t="s">
        <v>339</v>
      </c>
      <c r="P300" s="143" t="s">
        <v>1366</v>
      </c>
      <c r="Q300" s="143" t="s">
        <v>415</v>
      </c>
      <c r="R300" s="143" t="s">
        <v>407</v>
      </c>
      <c r="S300" s="143" t="s">
        <v>1210</v>
      </c>
      <c r="T300" s="144">
        <v>5.24</v>
      </c>
      <c r="U300" s="143" t="s">
        <v>1579</v>
      </c>
      <c r="V300" s="146">
        <v>4.6899999999999997E-2</v>
      </c>
      <c r="W300" s="146">
        <v>5.7537999999999999E-2</v>
      </c>
      <c r="X300" s="143" t="s">
        <v>412</v>
      </c>
      <c r="Y300" s="145" t="s">
        <v>3876</v>
      </c>
      <c r="Z300" s="144">
        <v>960000</v>
      </c>
      <c r="AA300" s="145" t="s">
        <v>3876</v>
      </c>
      <c r="AB300" s="143" t="s">
        <v>1580</v>
      </c>
      <c r="AC300" s="145" t="s">
        <v>3876</v>
      </c>
      <c r="AD300" s="144">
        <v>914.30399999999997</v>
      </c>
      <c r="AE300" s="145" t="s">
        <v>3876</v>
      </c>
      <c r="AF300" s="145" t="s">
        <v>3876</v>
      </c>
      <c r="AG300" s="145" t="s">
        <v>3876</v>
      </c>
      <c r="AH300" s="146">
        <v>1.92E-3</v>
      </c>
      <c r="AI300" s="146">
        <v>1.6936111836067191E-2</v>
      </c>
      <c r="AJ300" s="147">
        <v>8.3245215005871699E-4</v>
      </c>
      <c r="AK300" s="181"/>
    </row>
    <row r="301" spans="1:37" ht="15" x14ac:dyDescent="0.2">
      <c r="A301" s="142" t="s">
        <v>1220</v>
      </c>
      <c r="B301" s="143" t="s">
        <v>1221</v>
      </c>
      <c r="C301" s="143" t="s">
        <v>1607</v>
      </c>
      <c r="D301" s="143" t="s">
        <v>1608</v>
      </c>
      <c r="E301" s="143" t="s">
        <v>309</v>
      </c>
      <c r="F301" s="143" t="s">
        <v>1609</v>
      </c>
      <c r="G301" s="143" t="s">
        <v>1610</v>
      </c>
      <c r="H301" s="143" t="s">
        <v>321</v>
      </c>
      <c r="I301" s="143" t="s">
        <v>754</v>
      </c>
      <c r="J301" s="143" t="s">
        <v>204</v>
      </c>
      <c r="K301" s="143" t="s">
        <v>204</v>
      </c>
      <c r="L301" s="143" t="s">
        <v>325</v>
      </c>
      <c r="M301" s="143" t="s">
        <v>340</v>
      </c>
      <c r="N301" s="143" t="s">
        <v>448</v>
      </c>
      <c r="O301" s="143" t="s">
        <v>339</v>
      </c>
      <c r="P301" s="143" t="s">
        <v>1224</v>
      </c>
      <c r="Q301" s="143" t="s">
        <v>413</v>
      </c>
      <c r="R301" s="143" t="s">
        <v>407</v>
      </c>
      <c r="S301" s="143" t="s">
        <v>1210</v>
      </c>
      <c r="T301" s="144">
        <v>2.98</v>
      </c>
      <c r="U301" s="143" t="s">
        <v>1611</v>
      </c>
      <c r="V301" s="146">
        <v>1.4999999999999999E-2</v>
      </c>
      <c r="W301" s="146">
        <v>2.4263E-2</v>
      </c>
      <c r="X301" s="143" t="s">
        <v>412</v>
      </c>
      <c r="Y301" s="145" t="s">
        <v>3876</v>
      </c>
      <c r="Z301" s="144">
        <v>526296.89</v>
      </c>
      <c r="AA301" s="145" t="s">
        <v>3876</v>
      </c>
      <c r="AB301" s="143" t="s">
        <v>1612</v>
      </c>
      <c r="AC301" s="145" t="s">
        <v>3876</v>
      </c>
      <c r="AD301" s="144">
        <v>585.0843000000001</v>
      </c>
      <c r="AE301" s="145" t="s">
        <v>3876</v>
      </c>
      <c r="AF301" s="145" t="s">
        <v>3876</v>
      </c>
      <c r="AG301" s="145" t="s">
        <v>3876</v>
      </c>
      <c r="AH301" s="146">
        <v>1.8854221305078568E-3</v>
      </c>
      <c r="AI301" s="146">
        <v>1.0837809236069793E-2</v>
      </c>
      <c r="AJ301" s="147">
        <v>5.3270536282591934E-4</v>
      </c>
      <c r="AK301" s="181"/>
    </row>
    <row r="302" spans="1:37" ht="15" x14ac:dyDescent="0.2">
      <c r="A302" s="142" t="s">
        <v>1220</v>
      </c>
      <c r="B302" s="143" t="s">
        <v>1221</v>
      </c>
      <c r="C302" s="143" t="s">
        <v>1349</v>
      </c>
      <c r="D302" s="143" t="s">
        <v>1350</v>
      </c>
      <c r="E302" s="143" t="s">
        <v>309</v>
      </c>
      <c r="F302" s="143" t="s">
        <v>1587</v>
      </c>
      <c r="G302" s="143" t="s">
        <v>1588</v>
      </c>
      <c r="H302" s="143" t="s">
        <v>321</v>
      </c>
      <c r="I302" s="143" t="s">
        <v>754</v>
      </c>
      <c r="J302" s="143" t="s">
        <v>204</v>
      </c>
      <c r="K302" s="143" t="s">
        <v>204</v>
      </c>
      <c r="L302" s="143" t="s">
        <v>325</v>
      </c>
      <c r="M302" s="143" t="s">
        <v>340</v>
      </c>
      <c r="N302" s="143" t="s">
        <v>448</v>
      </c>
      <c r="O302" s="143" t="s">
        <v>339</v>
      </c>
      <c r="P302" s="143" t="s">
        <v>1209</v>
      </c>
      <c r="Q302" s="143" t="s">
        <v>415</v>
      </c>
      <c r="R302" s="143" t="s">
        <v>407</v>
      </c>
      <c r="S302" s="143" t="s">
        <v>1210</v>
      </c>
      <c r="T302" s="144">
        <v>0.67</v>
      </c>
      <c r="U302" s="143" t="s">
        <v>1589</v>
      </c>
      <c r="V302" s="146">
        <v>9.4999999999999998E-3</v>
      </c>
      <c r="W302" s="146">
        <v>2.8906999999999999E-2</v>
      </c>
      <c r="X302" s="143" t="s">
        <v>412</v>
      </c>
      <c r="Y302" s="145" t="s">
        <v>3876</v>
      </c>
      <c r="Z302" s="144">
        <v>449042.68</v>
      </c>
      <c r="AA302" s="145" t="s">
        <v>3876</v>
      </c>
      <c r="AB302" s="143" t="s">
        <v>1590</v>
      </c>
      <c r="AC302" s="145" t="s">
        <v>3876</v>
      </c>
      <c r="AD302" s="144">
        <v>508.98990000000003</v>
      </c>
      <c r="AE302" s="145" t="s">
        <v>3876</v>
      </c>
      <c r="AF302" s="145" t="s">
        <v>3876</v>
      </c>
      <c r="AG302" s="145" t="s">
        <v>3876</v>
      </c>
      <c r="AH302" s="146">
        <v>2.7939722511504984E-3</v>
      </c>
      <c r="AI302" s="146">
        <v>9.4282749430257898E-3</v>
      </c>
      <c r="AJ302" s="147">
        <v>4.63423235724753E-4</v>
      </c>
      <c r="AK302" s="181"/>
    </row>
    <row r="303" spans="1:37" ht="15" x14ac:dyDescent="0.2">
      <c r="A303" s="142" t="s">
        <v>1220</v>
      </c>
      <c r="B303" s="143" t="s">
        <v>1221</v>
      </c>
      <c r="C303" s="143" t="s">
        <v>1362</v>
      </c>
      <c r="D303" s="143" t="s">
        <v>1363</v>
      </c>
      <c r="E303" s="143" t="s">
        <v>309</v>
      </c>
      <c r="F303" s="143" t="s">
        <v>1595</v>
      </c>
      <c r="G303" s="143" t="s">
        <v>1596</v>
      </c>
      <c r="H303" s="143" t="s">
        <v>321</v>
      </c>
      <c r="I303" s="143" t="s">
        <v>754</v>
      </c>
      <c r="J303" s="143" t="s">
        <v>204</v>
      </c>
      <c r="K303" s="143" t="s">
        <v>204</v>
      </c>
      <c r="L303" s="143" t="s">
        <v>325</v>
      </c>
      <c r="M303" s="143" t="s">
        <v>340</v>
      </c>
      <c r="N303" s="143" t="s">
        <v>445</v>
      </c>
      <c r="O303" s="143" t="s">
        <v>339</v>
      </c>
      <c r="P303" s="143" t="s">
        <v>1366</v>
      </c>
      <c r="Q303" s="143" t="s">
        <v>415</v>
      </c>
      <c r="R303" s="143" t="s">
        <v>407</v>
      </c>
      <c r="S303" s="143" t="s">
        <v>1210</v>
      </c>
      <c r="T303" s="144">
        <v>2.44</v>
      </c>
      <c r="U303" s="143" t="s">
        <v>1513</v>
      </c>
      <c r="V303" s="146">
        <v>2.4E-2</v>
      </c>
      <c r="W303" s="146">
        <v>2.2946000000000001E-2</v>
      </c>
      <c r="X303" s="143" t="s">
        <v>412</v>
      </c>
      <c r="Y303" s="145" t="s">
        <v>3876</v>
      </c>
      <c r="Z303" s="144">
        <v>350757.32</v>
      </c>
      <c r="AA303" s="145" t="s">
        <v>3876</v>
      </c>
      <c r="AB303" s="143" t="s">
        <v>1597</v>
      </c>
      <c r="AC303" s="145" t="s">
        <v>3876</v>
      </c>
      <c r="AD303" s="144">
        <v>399.3372</v>
      </c>
      <c r="AE303" s="145" t="s">
        <v>3876</v>
      </c>
      <c r="AF303" s="145" t="s">
        <v>3876</v>
      </c>
      <c r="AG303" s="145" t="s">
        <v>3876</v>
      </c>
      <c r="AH303" s="146">
        <v>1.1882359017786996E-3</v>
      </c>
      <c r="AI303" s="146">
        <v>7.3971235266152586E-3</v>
      </c>
      <c r="AJ303" s="147">
        <v>3.6358707615919415E-4</v>
      </c>
      <c r="AK303" s="181"/>
    </row>
    <row r="304" spans="1:37" ht="15" x14ac:dyDescent="0.2">
      <c r="A304" s="142" t="s">
        <v>1220</v>
      </c>
      <c r="B304" s="143" t="s">
        <v>1221</v>
      </c>
      <c r="C304" s="143" t="s">
        <v>1519</v>
      </c>
      <c r="D304" s="143" t="s">
        <v>1520</v>
      </c>
      <c r="E304" s="143" t="s">
        <v>309</v>
      </c>
      <c r="F304" s="143" t="s">
        <v>1591</v>
      </c>
      <c r="G304" s="143" t="s">
        <v>1592</v>
      </c>
      <c r="H304" s="143" t="s">
        <v>321</v>
      </c>
      <c r="I304" s="143" t="s">
        <v>754</v>
      </c>
      <c r="J304" s="143" t="s">
        <v>204</v>
      </c>
      <c r="K304" s="143" t="s">
        <v>204</v>
      </c>
      <c r="L304" s="143" t="s">
        <v>325</v>
      </c>
      <c r="M304" s="143" t="s">
        <v>340</v>
      </c>
      <c r="N304" s="143" t="s">
        <v>465</v>
      </c>
      <c r="O304" s="143" t="s">
        <v>339</v>
      </c>
      <c r="P304" s="143" t="s">
        <v>1359</v>
      </c>
      <c r="Q304" s="143" t="s">
        <v>415</v>
      </c>
      <c r="R304" s="143" t="s">
        <v>407</v>
      </c>
      <c r="S304" s="143" t="s">
        <v>1210</v>
      </c>
      <c r="T304" s="144">
        <v>0.25</v>
      </c>
      <c r="U304" s="143" t="s">
        <v>1593</v>
      </c>
      <c r="V304" s="146">
        <v>5.3499999999999999E-2</v>
      </c>
      <c r="W304" s="146">
        <v>3.9487000000000001E-2</v>
      </c>
      <c r="X304" s="143" t="s">
        <v>412</v>
      </c>
      <c r="Y304" s="145" t="s">
        <v>3876</v>
      </c>
      <c r="Z304" s="144">
        <v>300611.48</v>
      </c>
      <c r="AA304" s="145" t="s">
        <v>3876</v>
      </c>
      <c r="AB304" s="143" t="s">
        <v>1594</v>
      </c>
      <c r="AC304" s="145" t="s">
        <v>3876</v>
      </c>
      <c r="AD304" s="144">
        <v>359.47120000000001</v>
      </c>
      <c r="AE304" s="145" t="s">
        <v>3876</v>
      </c>
      <c r="AF304" s="145" t="s">
        <v>3876</v>
      </c>
      <c r="AG304" s="145" t="s">
        <v>3876</v>
      </c>
      <c r="AH304" s="146">
        <v>9.0934587426066624E-4</v>
      </c>
      <c r="AI304" s="146">
        <v>6.65866558264644E-3</v>
      </c>
      <c r="AJ304" s="147">
        <v>3.2729002586010187E-4</v>
      </c>
      <c r="AK304" s="181"/>
    </row>
    <row r="305" spans="1:37" ht="15" x14ac:dyDescent="0.2">
      <c r="A305" s="142" t="s">
        <v>1220</v>
      </c>
      <c r="B305" s="143" t="s">
        <v>1221</v>
      </c>
      <c r="C305" s="143" t="s">
        <v>1468</v>
      </c>
      <c r="D305" s="143" t="s">
        <v>1469</v>
      </c>
      <c r="E305" s="143" t="s">
        <v>309</v>
      </c>
      <c r="F305" s="143" t="s">
        <v>1598</v>
      </c>
      <c r="G305" s="143" t="s">
        <v>1599</v>
      </c>
      <c r="H305" s="143" t="s">
        <v>321</v>
      </c>
      <c r="I305" s="143" t="s">
        <v>754</v>
      </c>
      <c r="J305" s="143" t="s">
        <v>204</v>
      </c>
      <c r="K305" s="143" t="s">
        <v>204</v>
      </c>
      <c r="L305" s="143" t="s">
        <v>325</v>
      </c>
      <c r="M305" s="143" t="s">
        <v>340</v>
      </c>
      <c r="N305" s="143" t="s">
        <v>448</v>
      </c>
      <c r="O305" s="143" t="s">
        <v>339</v>
      </c>
      <c r="P305" s="143" t="s">
        <v>1224</v>
      </c>
      <c r="Q305" s="143" t="s">
        <v>413</v>
      </c>
      <c r="R305" s="143" t="s">
        <v>407</v>
      </c>
      <c r="S305" s="143" t="s">
        <v>1210</v>
      </c>
      <c r="T305" s="144">
        <v>1.99</v>
      </c>
      <c r="U305" s="143" t="s">
        <v>1404</v>
      </c>
      <c r="V305" s="146">
        <v>8.3000000000000001E-3</v>
      </c>
      <c r="W305" s="146">
        <v>2.1007000000000001E-2</v>
      </c>
      <c r="X305" s="143" t="s">
        <v>412</v>
      </c>
      <c r="Y305" s="145" t="s">
        <v>3876</v>
      </c>
      <c r="Z305" s="144">
        <v>315898</v>
      </c>
      <c r="AA305" s="145" t="s">
        <v>3876</v>
      </c>
      <c r="AB305" s="143" t="s">
        <v>1600</v>
      </c>
      <c r="AC305" s="145" t="s">
        <v>3876</v>
      </c>
      <c r="AD305" s="144">
        <v>349.85700000000003</v>
      </c>
      <c r="AE305" s="145" t="s">
        <v>3876</v>
      </c>
      <c r="AF305" s="145" t="s">
        <v>3876</v>
      </c>
      <c r="AG305" s="145" t="s">
        <v>3876</v>
      </c>
      <c r="AH305" s="146">
        <v>2.0769809355743917E-4</v>
      </c>
      <c r="AI305" s="146">
        <v>6.4805774352894368E-3</v>
      </c>
      <c r="AJ305" s="147">
        <v>3.1853654911158413E-4</v>
      </c>
      <c r="AK305" s="181"/>
    </row>
    <row r="306" spans="1:37" ht="15" x14ac:dyDescent="0.2">
      <c r="A306" s="142" t="s">
        <v>1220</v>
      </c>
      <c r="B306" s="143" t="s">
        <v>1221</v>
      </c>
      <c r="C306" s="143" t="s">
        <v>1613</v>
      </c>
      <c r="D306" s="143" t="s">
        <v>1614</v>
      </c>
      <c r="E306" s="143" t="s">
        <v>309</v>
      </c>
      <c r="F306" s="143" t="s">
        <v>1615</v>
      </c>
      <c r="G306" s="143" t="s">
        <v>1616</v>
      </c>
      <c r="H306" s="143" t="s">
        <v>321</v>
      </c>
      <c r="I306" s="143" t="s">
        <v>754</v>
      </c>
      <c r="J306" s="143" t="s">
        <v>204</v>
      </c>
      <c r="K306" s="143" t="s">
        <v>204</v>
      </c>
      <c r="L306" s="143" t="s">
        <v>325</v>
      </c>
      <c r="M306" s="143" t="s">
        <v>340</v>
      </c>
      <c r="N306" s="143" t="s">
        <v>445</v>
      </c>
      <c r="O306" s="143" t="s">
        <v>339</v>
      </c>
      <c r="P306" s="143" t="s">
        <v>1617</v>
      </c>
      <c r="Q306" s="143" t="s">
        <v>415</v>
      </c>
      <c r="R306" s="143" t="s">
        <v>407</v>
      </c>
      <c r="S306" s="143" t="s">
        <v>1210</v>
      </c>
      <c r="T306" s="144">
        <v>4.76</v>
      </c>
      <c r="U306" s="143" t="s">
        <v>1618</v>
      </c>
      <c r="V306" s="146">
        <v>5.1700000000000003E-2</v>
      </c>
      <c r="W306" s="146">
        <v>5.8743999999999998E-2</v>
      </c>
      <c r="X306" s="143" t="s">
        <v>412</v>
      </c>
      <c r="Y306" s="145" t="s">
        <v>3876</v>
      </c>
      <c r="Z306" s="144">
        <v>314953</v>
      </c>
      <c r="AA306" s="145" t="s">
        <v>3876</v>
      </c>
      <c r="AB306" s="143" t="s">
        <v>1619</v>
      </c>
      <c r="AC306" s="145" t="s">
        <v>3876</v>
      </c>
      <c r="AD306" s="144">
        <v>307.33109999999999</v>
      </c>
      <c r="AE306" s="145" t="s">
        <v>3876</v>
      </c>
      <c r="AF306" s="145" t="s">
        <v>3876</v>
      </c>
      <c r="AG306" s="145" t="s">
        <v>3876</v>
      </c>
      <c r="AH306" s="146">
        <v>5.1613532301782649E-4</v>
      </c>
      <c r="AI306" s="146">
        <v>5.6928488923947964E-3</v>
      </c>
      <c r="AJ306" s="147">
        <v>2.7981772595178514E-4</v>
      </c>
      <c r="AK306" s="181"/>
    </row>
    <row r="307" spans="1:37" ht="15" x14ac:dyDescent="0.2">
      <c r="A307" s="142" t="s">
        <v>1220</v>
      </c>
      <c r="B307" s="143" t="s">
        <v>1221</v>
      </c>
      <c r="C307" s="143" t="s">
        <v>1571</v>
      </c>
      <c r="D307" s="143" t="s">
        <v>1572</v>
      </c>
      <c r="E307" s="143" t="s">
        <v>309</v>
      </c>
      <c r="F307" s="143" t="s">
        <v>1573</v>
      </c>
      <c r="G307" s="143" t="s">
        <v>1574</v>
      </c>
      <c r="H307" s="143" t="s">
        <v>321</v>
      </c>
      <c r="I307" s="143" t="s">
        <v>754</v>
      </c>
      <c r="J307" s="143" t="s">
        <v>204</v>
      </c>
      <c r="K307" s="143" t="s">
        <v>204</v>
      </c>
      <c r="L307" s="143" t="s">
        <v>325</v>
      </c>
      <c r="M307" s="143" t="s">
        <v>340</v>
      </c>
      <c r="N307" s="143" t="s">
        <v>440</v>
      </c>
      <c r="O307" s="143" t="s">
        <v>339</v>
      </c>
      <c r="P307" s="143" t="s">
        <v>1347</v>
      </c>
      <c r="Q307" s="143" t="s">
        <v>413</v>
      </c>
      <c r="R307" s="143" t="s">
        <v>407</v>
      </c>
      <c r="S307" s="143" t="s">
        <v>1210</v>
      </c>
      <c r="T307" s="144">
        <v>2.34</v>
      </c>
      <c r="U307" s="143" t="s">
        <v>1575</v>
      </c>
      <c r="V307" s="146">
        <v>1.9400000000000001E-2</v>
      </c>
      <c r="W307" s="146">
        <v>2.5323999999999999E-2</v>
      </c>
      <c r="X307" s="143" t="s">
        <v>412</v>
      </c>
      <c r="Y307" s="145" t="s">
        <v>3876</v>
      </c>
      <c r="Z307" s="144">
        <v>214565.82</v>
      </c>
      <c r="AA307" s="145" t="s">
        <v>3876</v>
      </c>
      <c r="AB307" s="143" t="s">
        <v>1576</v>
      </c>
      <c r="AC307" s="145" t="s">
        <v>3876</v>
      </c>
      <c r="AD307" s="144">
        <v>242.6739</v>
      </c>
      <c r="AE307" s="145" t="s">
        <v>3876</v>
      </c>
      <c r="AF307" s="145" t="s">
        <v>3876</v>
      </c>
      <c r="AG307" s="145" t="s">
        <v>3876</v>
      </c>
      <c r="AH307" s="146">
        <v>7.122431519152357E-4</v>
      </c>
      <c r="AI307" s="146">
        <v>4.4951712215241871E-3</v>
      </c>
      <c r="AJ307" s="147">
        <v>2.2094888038415482E-4</v>
      </c>
      <c r="AK307" s="181"/>
    </row>
    <row r="308" spans="1:37" ht="15" x14ac:dyDescent="0.2">
      <c r="A308" s="142" t="s">
        <v>1220</v>
      </c>
      <c r="B308" s="143" t="s">
        <v>1221</v>
      </c>
      <c r="C308" s="143" t="s">
        <v>1620</v>
      </c>
      <c r="D308" s="143" t="s">
        <v>1621</v>
      </c>
      <c r="E308" s="143" t="s">
        <v>309</v>
      </c>
      <c r="F308" s="143" t="s">
        <v>1622</v>
      </c>
      <c r="G308" s="143" t="s">
        <v>1623</v>
      </c>
      <c r="H308" s="143" t="s">
        <v>321</v>
      </c>
      <c r="I308" s="143" t="s">
        <v>754</v>
      </c>
      <c r="J308" s="143" t="s">
        <v>204</v>
      </c>
      <c r="K308" s="143" t="s">
        <v>204</v>
      </c>
      <c r="L308" s="143" t="s">
        <v>325</v>
      </c>
      <c r="M308" s="143" t="s">
        <v>340</v>
      </c>
      <c r="N308" s="143" t="s">
        <v>464</v>
      </c>
      <c r="O308" s="143" t="s">
        <v>339</v>
      </c>
      <c r="P308" s="143" t="s">
        <v>1410</v>
      </c>
      <c r="Q308" s="143" t="s">
        <v>413</v>
      </c>
      <c r="R308" s="143" t="s">
        <v>407</v>
      </c>
      <c r="S308" s="143" t="s">
        <v>1210</v>
      </c>
      <c r="T308" s="144">
        <v>0.22</v>
      </c>
      <c r="U308" s="143" t="s">
        <v>1624</v>
      </c>
      <c r="V308" s="146">
        <v>0.04</v>
      </c>
      <c r="W308" s="146">
        <v>2.2232999999999999E-2</v>
      </c>
      <c r="X308" s="143" t="s">
        <v>412</v>
      </c>
      <c r="Y308" s="145" t="s">
        <v>3876</v>
      </c>
      <c r="Z308" s="144">
        <v>173091.85</v>
      </c>
      <c r="AA308" s="145" t="s">
        <v>3876</v>
      </c>
      <c r="AB308" s="143" t="s">
        <v>1625</v>
      </c>
      <c r="AC308" s="145" t="s">
        <v>3876</v>
      </c>
      <c r="AD308" s="144">
        <v>199.0729</v>
      </c>
      <c r="AE308" s="145" t="s">
        <v>3876</v>
      </c>
      <c r="AF308" s="145" t="s">
        <v>3876</v>
      </c>
      <c r="AG308" s="145" t="s">
        <v>3876</v>
      </c>
      <c r="AH308" s="146">
        <v>2.1261504323609485E-3</v>
      </c>
      <c r="AI308" s="146">
        <v>3.6875279111012126E-3</v>
      </c>
      <c r="AJ308" s="147">
        <v>1.8125119671567782E-4</v>
      </c>
      <c r="AK308" s="181"/>
    </row>
    <row r="309" spans="1:37" ht="15" x14ac:dyDescent="0.2">
      <c r="A309" s="142" t="s">
        <v>1220</v>
      </c>
      <c r="B309" s="143" t="s">
        <v>1221</v>
      </c>
      <c r="C309" s="143" t="s">
        <v>1581</v>
      </c>
      <c r="D309" s="143" t="s">
        <v>1582</v>
      </c>
      <c r="E309" s="143" t="s">
        <v>309</v>
      </c>
      <c r="F309" s="143" t="s">
        <v>1583</v>
      </c>
      <c r="G309" s="143" t="s">
        <v>1584</v>
      </c>
      <c r="H309" s="143" t="s">
        <v>321</v>
      </c>
      <c r="I309" s="143" t="s">
        <v>754</v>
      </c>
      <c r="J309" s="143" t="s">
        <v>204</v>
      </c>
      <c r="K309" s="143" t="s">
        <v>204</v>
      </c>
      <c r="L309" s="143" t="s">
        <v>325</v>
      </c>
      <c r="M309" s="143" t="s">
        <v>340</v>
      </c>
      <c r="N309" s="143" t="s">
        <v>464</v>
      </c>
      <c r="O309" s="143" t="s">
        <v>339</v>
      </c>
      <c r="P309" s="143" t="s">
        <v>1410</v>
      </c>
      <c r="Q309" s="143" t="s">
        <v>413</v>
      </c>
      <c r="R309" s="143" t="s">
        <v>407</v>
      </c>
      <c r="S309" s="143" t="s">
        <v>1210</v>
      </c>
      <c r="T309" s="144">
        <v>1.01</v>
      </c>
      <c r="U309" s="143" t="s">
        <v>1585</v>
      </c>
      <c r="V309" s="146">
        <v>2.1100000000000001E-2</v>
      </c>
      <c r="W309" s="146">
        <v>2.5402999999999998E-2</v>
      </c>
      <c r="X309" s="143" t="s">
        <v>412</v>
      </c>
      <c r="Y309" s="145" t="s">
        <v>3876</v>
      </c>
      <c r="Z309" s="144">
        <v>150786.37</v>
      </c>
      <c r="AA309" s="145" t="s">
        <v>3876</v>
      </c>
      <c r="AB309" s="143" t="s">
        <v>1586</v>
      </c>
      <c r="AC309" s="144">
        <v>3.6708000000000003</v>
      </c>
      <c r="AD309" s="144">
        <v>176.23070000000001</v>
      </c>
      <c r="AE309" s="145" t="s">
        <v>3876</v>
      </c>
      <c r="AF309" s="145" t="s">
        <v>3876</v>
      </c>
      <c r="AG309" s="145" t="s">
        <v>3876</v>
      </c>
      <c r="AH309" s="146">
        <v>1.960887614630207E-4</v>
      </c>
      <c r="AI309" s="146">
        <v>3.332406913457848E-3</v>
      </c>
      <c r="AJ309" s="147">
        <v>1.6379611370248825E-4</v>
      </c>
      <c r="AK309" s="181"/>
    </row>
    <row r="310" spans="1:37" ht="15" x14ac:dyDescent="0.2">
      <c r="A310" s="142" t="s">
        <v>1220</v>
      </c>
      <c r="B310" s="143" t="s">
        <v>1221</v>
      </c>
      <c r="C310" s="143" t="s">
        <v>1613</v>
      </c>
      <c r="D310" s="143" t="s">
        <v>1614</v>
      </c>
      <c r="E310" s="143" t="s">
        <v>309</v>
      </c>
      <c r="F310" s="143" t="s">
        <v>1632</v>
      </c>
      <c r="G310" s="143" t="s">
        <v>1633</v>
      </c>
      <c r="H310" s="143" t="s">
        <v>321</v>
      </c>
      <c r="I310" s="143" t="s">
        <v>754</v>
      </c>
      <c r="J310" s="143" t="s">
        <v>204</v>
      </c>
      <c r="K310" s="143" t="s">
        <v>204</v>
      </c>
      <c r="L310" s="143" t="s">
        <v>325</v>
      </c>
      <c r="M310" s="143" t="s">
        <v>340</v>
      </c>
      <c r="N310" s="143" t="s">
        <v>445</v>
      </c>
      <c r="O310" s="143" t="s">
        <v>339</v>
      </c>
      <c r="P310" s="143" t="s">
        <v>1617</v>
      </c>
      <c r="Q310" s="143" t="s">
        <v>415</v>
      </c>
      <c r="R310" s="143" t="s">
        <v>407</v>
      </c>
      <c r="S310" s="143" t="s">
        <v>1210</v>
      </c>
      <c r="T310" s="144">
        <v>5.55</v>
      </c>
      <c r="U310" s="143" t="s">
        <v>1634</v>
      </c>
      <c r="V310" s="146">
        <v>5.3999999999999999E-2</v>
      </c>
      <c r="W310" s="146">
        <v>6.1131999999999999E-2</v>
      </c>
      <c r="X310" s="143" t="s">
        <v>412</v>
      </c>
      <c r="Y310" s="145" t="s">
        <v>3876</v>
      </c>
      <c r="Z310" s="144">
        <v>170706</v>
      </c>
      <c r="AA310" s="145" t="s">
        <v>3876</v>
      </c>
      <c r="AB310" s="143" t="s">
        <v>1635</v>
      </c>
      <c r="AC310" s="145" t="s">
        <v>3876</v>
      </c>
      <c r="AD310" s="144">
        <v>165.0556</v>
      </c>
      <c r="AE310" s="145" t="s">
        <v>3876</v>
      </c>
      <c r="AF310" s="145" t="s">
        <v>3876</v>
      </c>
      <c r="AG310" s="145" t="s">
        <v>3876</v>
      </c>
      <c r="AH310" s="146">
        <v>2.9869471010104124E-4</v>
      </c>
      <c r="AI310" s="146">
        <v>3.0574082936999985E-3</v>
      </c>
      <c r="AJ310" s="147">
        <v>1.5027924545690392E-4</v>
      </c>
      <c r="AK310" s="181"/>
    </row>
    <row r="311" spans="1:37" ht="15" x14ac:dyDescent="0.2">
      <c r="A311" s="142" t="s">
        <v>1220</v>
      </c>
      <c r="B311" s="143" t="s">
        <v>1221</v>
      </c>
      <c r="C311" s="143" t="s">
        <v>1626</v>
      </c>
      <c r="D311" s="143" t="s">
        <v>1627</v>
      </c>
      <c r="E311" s="143" t="s">
        <v>309</v>
      </c>
      <c r="F311" s="143" t="s">
        <v>1628</v>
      </c>
      <c r="G311" s="143" t="s">
        <v>1629</v>
      </c>
      <c r="H311" s="143" t="s">
        <v>321</v>
      </c>
      <c r="I311" s="143" t="s">
        <v>754</v>
      </c>
      <c r="J311" s="143" t="s">
        <v>204</v>
      </c>
      <c r="K311" s="143" t="s">
        <v>204</v>
      </c>
      <c r="L311" s="143" t="s">
        <v>325</v>
      </c>
      <c r="M311" s="143" t="s">
        <v>340</v>
      </c>
      <c r="N311" s="143" t="s">
        <v>445</v>
      </c>
      <c r="O311" s="143" t="s">
        <v>339</v>
      </c>
      <c r="P311" s="143" t="s">
        <v>1410</v>
      </c>
      <c r="Q311" s="143" t="s">
        <v>413</v>
      </c>
      <c r="R311" s="143" t="s">
        <v>407</v>
      </c>
      <c r="S311" s="143" t="s">
        <v>1210</v>
      </c>
      <c r="T311" s="144">
        <v>4.79</v>
      </c>
      <c r="U311" s="143" t="s">
        <v>1630</v>
      </c>
      <c r="V311" s="146">
        <v>4.4000000000000003E-3</v>
      </c>
      <c r="W311" s="146">
        <v>2.8766E-2</v>
      </c>
      <c r="X311" s="143" t="s">
        <v>412</v>
      </c>
      <c r="Y311" s="145" t="s">
        <v>3876</v>
      </c>
      <c r="Z311" s="144">
        <v>139359.44</v>
      </c>
      <c r="AA311" s="145" t="s">
        <v>3876</v>
      </c>
      <c r="AB311" s="143" t="s">
        <v>1631</v>
      </c>
      <c r="AC311" s="145" t="s">
        <v>3876</v>
      </c>
      <c r="AD311" s="144">
        <v>140.86449999999999</v>
      </c>
      <c r="AE311" s="145" t="s">
        <v>3876</v>
      </c>
      <c r="AF311" s="145" t="s">
        <v>3876</v>
      </c>
      <c r="AG311" s="145" t="s">
        <v>3876</v>
      </c>
      <c r="AH311" s="146">
        <v>1.633763965084734E-4</v>
      </c>
      <c r="AI311" s="146">
        <v>2.6093042330704161E-3</v>
      </c>
      <c r="AJ311" s="147">
        <v>1.2825381291773385E-4</v>
      </c>
      <c r="AK311" s="181"/>
    </row>
    <row r="312" spans="1:37" ht="15" x14ac:dyDescent="0.2">
      <c r="A312" s="142" t="s">
        <v>1220</v>
      </c>
      <c r="B312" s="143" t="s">
        <v>1221</v>
      </c>
      <c r="C312" s="143" t="s">
        <v>1601</v>
      </c>
      <c r="D312" s="143" t="s">
        <v>1602</v>
      </c>
      <c r="E312" s="143" t="s">
        <v>309</v>
      </c>
      <c r="F312" s="143" t="s">
        <v>1603</v>
      </c>
      <c r="G312" s="143" t="s">
        <v>1604</v>
      </c>
      <c r="H312" s="143" t="s">
        <v>321</v>
      </c>
      <c r="I312" s="143" t="s">
        <v>754</v>
      </c>
      <c r="J312" s="143" t="s">
        <v>204</v>
      </c>
      <c r="K312" s="143" t="s">
        <v>204</v>
      </c>
      <c r="L312" s="143" t="s">
        <v>325</v>
      </c>
      <c r="M312" s="143" t="s">
        <v>340</v>
      </c>
      <c r="N312" s="143" t="s">
        <v>484</v>
      </c>
      <c r="O312" s="143" t="s">
        <v>339</v>
      </c>
      <c r="P312" s="143" t="s">
        <v>1403</v>
      </c>
      <c r="Q312" s="143" t="s">
        <v>413</v>
      </c>
      <c r="R312" s="143" t="s">
        <v>407</v>
      </c>
      <c r="S312" s="143" t="s">
        <v>1210</v>
      </c>
      <c r="T312" s="144">
        <v>0.01</v>
      </c>
      <c r="U312" s="143" t="s">
        <v>1605</v>
      </c>
      <c r="V312" s="146">
        <v>1.9800000000000002E-2</v>
      </c>
      <c r="W312" s="146">
        <v>7.3847999999999997E-2</v>
      </c>
      <c r="X312" s="143" t="s">
        <v>412</v>
      </c>
      <c r="Y312" s="145" t="s">
        <v>3876</v>
      </c>
      <c r="Z312" s="144">
        <v>116700.36</v>
      </c>
      <c r="AA312" s="145" t="s">
        <v>3876</v>
      </c>
      <c r="AB312" s="143" t="s">
        <v>1606</v>
      </c>
      <c r="AC312" s="145" t="s">
        <v>3876</v>
      </c>
      <c r="AD312" s="144">
        <v>133.84360000000001</v>
      </c>
      <c r="AE312" s="145" t="s">
        <v>3876</v>
      </c>
      <c r="AF312" s="145" t="s">
        <v>3876</v>
      </c>
      <c r="AG312" s="145" t="s">
        <v>3876</v>
      </c>
      <c r="AH312" s="146">
        <v>7.6806977290148947E-4</v>
      </c>
      <c r="AI312" s="146">
        <v>2.479252966661048E-3</v>
      </c>
      <c r="AJ312" s="147">
        <v>1.2186146871333483E-4</v>
      </c>
      <c r="AK312" s="181"/>
    </row>
    <row r="313" spans="1:37" ht="15" x14ac:dyDescent="0.2">
      <c r="A313" s="142" t="s">
        <v>1220</v>
      </c>
      <c r="B313" s="143" t="s">
        <v>1221</v>
      </c>
      <c r="C313" s="143" t="s">
        <v>1571</v>
      </c>
      <c r="D313" s="143" t="s">
        <v>1572</v>
      </c>
      <c r="E313" s="143" t="s">
        <v>309</v>
      </c>
      <c r="F313" s="143" t="s">
        <v>1636</v>
      </c>
      <c r="G313" s="143" t="s">
        <v>1637</v>
      </c>
      <c r="H313" s="143" t="s">
        <v>321</v>
      </c>
      <c r="I313" s="143" t="s">
        <v>754</v>
      </c>
      <c r="J313" s="143" t="s">
        <v>204</v>
      </c>
      <c r="K313" s="143" t="s">
        <v>204</v>
      </c>
      <c r="L313" s="143" t="s">
        <v>325</v>
      </c>
      <c r="M313" s="143" t="s">
        <v>340</v>
      </c>
      <c r="N313" s="143" t="s">
        <v>440</v>
      </c>
      <c r="O313" s="143" t="s">
        <v>339</v>
      </c>
      <c r="P313" s="143" t="s">
        <v>1347</v>
      </c>
      <c r="Q313" s="143" t="s">
        <v>413</v>
      </c>
      <c r="R313" s="143" t="s">
        <v>407</v>
      </c>
      <c r="S313" s="143" t="s">
        <v>1210</v>
      </c>
      <c r="T313" s="144">
        <v>3.31</v>
      </c>
      <c r="U313" s="143" t="s">
        <v>1638</v>
      </c>
      <c r="V313" s="146">
        <v>1.23E-2</v>
      </c>
      <c r="W313" s="146">
        <v>2.8667000000000002E-2</v>
      </c>
      <c r="X313" s="143" t="s">
        <v>412</v>
      </c>
      <c r="Y313" s="145" t="s">
        <v>3876</v>
      </c>
      <c r="Z313" s="144">
        <v>81296.320000000007</v>
      </c>
      <c r="AA313" s="145" t="s">
        <v>3876</v>
      </c>
      <c r="AB313" s="143" t="s">
        <v>1639</v>
      </c>
      <c r="AC313" s="145" t="s">
        <v>3876</v>
      </c>
      <c r="AD313" s="144">
        <v>88.108999999999995</v>
      </c>
      <c r="AE313" s="145" t="s">
        <v>3876</v>
      </c>
      <c r="AF313" s="145" t="s">
        <v>3876</v>
      </c>
      <c r="AG313" s="145" t="s">
        <v>3876</v>
      </c>
      <c r="AH313" s="146">
        <v>7.2918633843486753E-5</v>
      </c>
      <c r="AI313" s="146">
        <v>1.6320863283188186E-3</v>
      </c>
      <c r="AJ313" s="147">
        <v>8.0221114872251092E-5</v>
      </c>
      <c r="AK313" s="181"/>
    </row>
    <row r="314" spans="1:37" ht="15" x14ac:dyDescent="0.2">
      <c r="A314" s="142" t="s">
        <v>1220</v>
      </c>
      <c r="B314" s="143" t="s">
        <v>1221</v>
      </c>
      <c r="C314" s="143" t="s">
        <v>1640</v>
      </c>
      <c r="D314" s="143" t="s">
        <v>1641</v>
      </c>
      <c r="E314" s="143" t="s">
        <v>309</v>
      </c>
      <c r="F314" s="143" t="s">
        <v>1642</v>
      </c>
      <c r="G314" s="143" t="s">
        <v>1643</v>
      </c>
      <c r="H314" s="143" t="s">
        <v>321</v>
      </c>
      <c r="I314" s="143" t="s">
        <v>754</v>
      </c>
      <c r="J314" s="143" t="s">
        <v>204</v>
      </c>
      <c r="K314" s="143" t="s">
        <v>204</v>
      </c>
      <c r="L314" s="143" t="s">
        <v>325</v>
      </c>
      <c r="M314" s="143" t="s">
        <v>340</v>
      </c>
      <c r="N314" s="143" t="s">
        <v>464</v>
      </c>
      <c r="O314" s="143" t="s">
        <v>339</v>
      </c>
      <c r="P314" s="143" t="s">
        <v>1366</v>
      </c>
      <c r="Q314" s="143" t="s">
        <v>415</v>
      </c>
      <c r="R314" s="143" t="s">
        <v>407</v>
      </c>
      <c r="S314" s="143" t="s">
        <v>1210</v>
      </c>
      <c r="T314" s="144">
        <v>3.16</v>
      </c>
      <c r="U314" s="143" t="s">
        <v>1644</v>
      </c>
      <c r="V314" s="146">
        <v>1.9599999999999999E-2</v>
      </c>
      <c r="W314" s="146">
        <v>2.9968999999999999E-2</v>
      </c>
      <c r="X314" s="143" t="s">
        <v>412</v>
      </c>
      <c r="Y314" s="145" t="s">
        <v>3876</v>
      </c>
      <c r="Z314" s="144">
        <v>53633</v>
      </c>
      <c r="AA314" s="145" t="s">
        <v>3876</v>
      </c>
      <c r="AB314" s="143" t="s">
        <v>1645</v>
      </c>
      <c r="AC314" s="145" t="s">
        <v>3876</v>
      </c>
      <c r="AD314" s="144">
        <v>59.5916</v>
      </c>
      <c r="AE314" s="145" t="s">
        <v>3876</v>
      </c>
      <c r="AF314" s="145" t="s">
        <v>3876</v>
      </c>
      <c r="AG314" s="145" t="s">
        <v>3876</v>
      </c>
      <c r="AH314" s="146">
        <v>4.683726207064068E-5</v>
      </c>
      <c r="AI314" s="146">
        <v>1.1038456000519771E-3</v>
      </c>
      <c r="AJ314" s="147">
        <v>5.4256765188526559E-5</v>
      </c>
      <c r="AK314" s="181"/>
    </row>
    <row r="315" spans="1:37" ht="15" x14ac:dyDescent="0.2">
      <c r="A315" s="142" t="s">
        <v>1220</v>
      </c>
      <c r="B315" s="143" t="s">
        <v>1222</v>
      </c>
      <c r="C315" s="143" t="s">
        <v>1343</v>
      </c>
      <c r="D315" s="143" t="s">
        <v>1344</v>
      </c>
      <c r="E315" s="143" t="s">
        <v>309</v>
      </c>
      <c r="F315" s="143" t="s">
        <v>1345</v>
      </c>
      <c r="G315" s="143" t="s">
        <v>1346</v>
      </c>
      <c r="H315" s="143" t="s">
        <v>321</v>
      </c>
      <c r="I315" s="143" t="s">
        <v>951</v>
      </c>
      <c r="J315" s="143" t="s">
        <v>204</v>
      </c>
      <c r="K315" s="143" t="s">
        <v>204</v>
      </c>
      <c r="L315" s="143" t="s">
        <v>325</v>
      </c>
      <c r="M315" s="143" t="s">
        <v>340</v>
      </c>
      <c r="N315" s="143" t="s">
        <v>445</v>
      </c>
      <c r="O315" s="143" t="s">
        <v>339</v>
      </c>
      <c r="P315" s="143" t="s">
        <v>1347</v>
      </c>
      <c r="Q315" s="143" t="s">
        <v>413</v>
      </c>
      <c r="R315" s="143" t="s">
        <v>407</v>
      </c>
      <c r="S315" s="143" t="s">
        <v>1210</v>
      </c>
      <c r="T315" s="144">
        <v>5.29</v>
      </c>
      <c r="U315" s="143" t="s">
        <v>1295</v>
      </c>
      <c r="V315" s="146">
        <v>2.64E-2</v>
      </c>
      <c r="W315" s="146">
        <v>5.8282E-2</v>
      </c>
      <c r="X315" s="143" t="s">
        <v>412</v>
      </c>
      <c r="Y315" s="145" t="s">
        <v>3876</v>
      </c>
      <c r="Z315" s="144">
        <v>65103.15</v>
      </c>
      <c r="AA315" s="145" t="s">
        <v>3876</v>
      </c>
      <c r="AB315" s="143" t="s">
        <v>1348</v>
      </c>
      <c r="AC315" s="145" t="s">
        <v>3876</v>
      </c>
      <c r="AD315" s="144">
        <v>55.754300000000001</v>
      </c>
      <c r="AE315" s="145" t="s">
        <v>3876</v>
      </c>
      <c r="AF315" s="145" t="s">
        <v>3876</v>
      </c>
      <c r="AG315" s="145" t="s">
        <v>3876</v>
      </c>
      <c r="AH315" s="146">
        <v>3.9789911949222051E-5</v>
      </c>
      <c r="AI315" s="146">
        <v>3.6316990416238842E-2</v>
      </c>
      <c r="AJ315" s="147">
        <v>4.5911794738978072E-3</v>
      </c>
      <c r="AK315" s="181"/>
    </row>
    <row r="316" spans="1:37" ht="15" x14ac:dyDescent="0.2">
      <c r="A316" s="142" t="s">
        <v>1220</v>
      </c>
      <c r="B316" s="143" t="s">
        <v>1222</v>
      </c>
      <c r="C316" s="143" t="s">
        <v>1369</v>
      </c>
      <c r="D316" s="143" t="s">
        <v>1370</v>
      </c>
      <c r="E316" s="143" t="s">
        <v>309</v>
      </c>
      <c r="F316" s="143" t="s">
        <v>1371</v>
      </c>
      <c r="G316" s="143" t="s">
        <v>1372</v>
      </c>
      <c r="H316" s="143" t="s">
        <v>321</v>
      </c>
      <c r="I316" s="143" t="s">
        <v>951</v>
      </c>
      <c r="J316" s="143" t="s">
        <v>204</v>
      </c>
      <c r="K316" s="143" t="s">
        <v>204</v>
      </c>
      <c r="L316" s="143" t="s">
        <v>325</v>
      </c>
      <c r="M316" s="143" t="s">
        <v>340</v>
      </c>
      <c r="N316" s="143" t="s">
        <v>445</v>
      </c>
      <c r="O316" s="143" t="s">
        <v>339</v>
      </c>
      <c r="P316" s="143" t="s">
        <v>1366</v>
      </c>
      <c r="Q316" s="143" t="s">
        <v>415</v>
      </c>
      <c r="R316" s="143" t="s">
        <v>407</v>
      </c>
      <c r="S316" s="143" t="s">
        <v>1210</v>
      </c>
      <c r="T316" s="144">
        <v>1.05</v>
      </c>
      <c r="U316" s="143" t="s">
        <v>1373</v>
      </c>
      <c r="V316" s="146">
        <v>3.61E-2</v>
      </c>
      <c r="W316" s="146">
        <v>5.1234000000000002E-2</v>
      </c>
      <c r="X316" s="143" t="s">
        <v>412</v>
      </c>
      <c r="Y316" s="145" t="s">
        <v>3876</v>
      </c>
      <c r="Z316" s="144">
        <v>43086</v>
      </c>
      <c r="AA316" s="145" t="s">
        <v>3876</v>
      </c>
      <c r="AB316" s="143" t="s">
        <v>1374</v>
      </c>
      <c r="AC316" s="145" t="s">
        <v>3876</v>
      </c>
      <c r="AD316" s="144">
        <v>43.090300000000006</v>
      </c>
      <c r="AE316" s="145" t="s">
        <v>3876</v>
      </c>
      <c r="AF316" s="145" t="s">
        <v>3876</v>
      </c>
      <c r="AG316" s="145" t="s">
        <v>3876</v>
      </c>
      <c r="AH316" s="146">
        <v>5.6138110749185671E-5</v>
      </c>
      <c r="AI316" s="146">
        <v>2.806795650595079E-2</v>
      </c>
      <c r="AJ316" s="147">
        <v>3.5483398901566677E-3</v>
      </c>
      <c r="AK316" s="181"/>
    </row>
    <row r="317" spans="1:37" ht="15" x14ac:dyDescent="0.2">
      <c r="A317" s="142" t="s">
        <v>1220</v>
      </c>
      <c r="B317" s="143" t="s">
        <v>1222</v>
      </c>
      <c r="C317" s="143" t="s">
        <v>1385</v>
      </c>
      <c r="D317" s="143" t="s">
        <v>1386</v>
      </c>
      <c r="E317" s="143" t="s">
        <v>309</v>
      </c>
      <c r="F317" s="143" t="s">
        <v>1387</v>
      </c>
      <c r="G317" s="143" t="s">
        <v>1388</v>
      </c>
      <c r="H317" s="143" t="s">
        <v>321</v>
      </c>
      <c r="I317" s="143" t="s">
        <v>951</v>
      </c>
      <c r="J317" s="143" t="s">
        <v>204</v>
      </c>
      <c r="K317" s="143" t="s">
        <v>204</v>
      </c>
      <c r="L317" s="143" t="s">
        <v>325</v>
      </c>
      <c r="M317" s="143" t="s">
        <v>340</v>
      </c>
      <c r="N317" s="143" t="s">
        <v>440</v>
      </c>
      <c r="O317" s="143" t="s">
        <v>339</v>
      </c>
      <c r="P317" s="143" t="s">
        <v>1389</v>
      </c>
      <c r="Q317" s="143" t="s">
        <v>413</v>
      </c>
      <c r="R317" s="143" t="s">
        <v>407</v>
      </c>
      <c r="S317" s="143" t="s">
        <v>1210</v>
      </c>
      <c r="T317" s="144">
        <v>3.26</v>
      </c>
      <c r="U317" s="143" t="s">
        <v>1390</v>
      </c>
      <c r="V317" s="146">
        <v>2.5000000000000001E-2</v>
      </c>
      <c r="W317" s="146">
        <v>5.9434000000000001E-2</v>
      </c>
      <c r="X317" s="143" t="s">
        <v>412</v>
      </c>
      <c r="Y317" s="145" t="s">
        <v>3876</v>
      </c>
      <c r="Z317" s="144">
        <v>47500</v>
      </c>
      <c r="AA317" s="145" t="s">
        <v>3876</v>
      </c>
      <c r="AB317" s="143" t="s">
        <v>1391</v>
      </c>
      <c r="AC317" s="145" t="s">
        <v>3876</v>
      </c>
      <c r="AD317" s="144">
        <v>42.930500000000002</v>
      </c>
      <c r="AE317" s="145" t="s">
        <v>3876</v>
      </c>
      <c r="AF317" s="145" t="s">
        <v>3876</v>
      </c>
      <c r="AG317" s="145" t="s">
        <v>3876</v>
      </c>
      <c r="AH317" s="146">
        <v>5.8770497680328455E-5</v>
      </c>
      <c r="AI317" s="146">
        <v>2.7963861154123189E-2</v>
      </c>
      <c r="AJ317" s="147">
        <v>3.5351801972096069E-3</v>
      </c>
      <c r="AK317" s="181"/>
    </row>
    <row r="318" spans="1:37" ht="15" x14ac:dyDescent="0.2">
      <c r="A318" s="142" t="s">
        <v>1220</v>
      </c>
      <c r="B318" s="143" t="s">
        <v>1222</v>
      </c>
      <c r="C318" s="143" t="s">
        <v>1379</v>
      </c>
      <c r="D318" s="143" t="s">
        <v>1380</v>
      </c>
      <c r="E318" s="143" t="s">
        <v>309</v>
      </c>
      <c r="F318" s="143" t="s">
        <v>1381</v>
      </c>
      <c r="G318" s="143" t="s">
        <v>1382</v>
      </c>
      <c r="H318" s="143" t="s">
        <v>321</v>
      </c>
      <c r="I318" s="143" t="s">
        <v>951</v>
      </c>
      <c r="J318" s="143" t="s">
        <v>204</v>
      </c>
      <c r="K318" s="143" t="s">
        <v>204</v>
      </c>
      <c r="L318" s="143" t="s">
        <v>325</v>
      </c>
      <c r="M318" s="143" t="s">
        <v>340</v>
      </c>
      <c r="N318" s="143" t="s">
        <v>445</v>
      </c>
      <c r="O318" s="143" t="s">
        <v>339</v>
      </c>
      <c r="P318" s="143" t="s">
        <v>1347</v>
      </c>
      <c r="Q318" s="143" t="s">
        <v>413</v>
      </c>
      <c r="R318" s="143" t="s">
        <v>407</v>
      </c>
      <c r="S318" s="143" t="s">
        <v>1210</v>
      </c>
      <c r="T318" s="144">
        <v>5.4</v>
      </c>
      <c r="U318" s="143" t="s">
        <v>1383</v>
      </c>
      <c r="V318" s="146">
        <v>5.2499999999999998E-2</v>
      </c>
      <c r="W318" s="146">
        <v>5.9947E-2</v>
      </c>
      <c r="X318" s="143" t="s">
        <v>412</v>
      </c>
      <c r="Y318" s="145" t="s">
        <v>3876</v>
      </c>
      <c r="Z318" s="144">
        <v>41000</v>
      </c>
      <c r="AA318" s="145" t="s">
        <v>3876</v>
      </c>
      <c r="AB318" s="143" t="s">
        <v>1384</v>
      </c>
      <c r="AC318" s="145" t="s">
        <v>3876</v>
      </c>
      <c r="AD318" s="144">
        <v>39.9422</v>
      </c>
      <c r="AE318" s="145" t="s">
        <v>3876</v>
      </c>
      <c r="AF318" s="145" t="s">
        <v>3876</v>
      </c>
      <c r="AG318" s="145" t="s">
        <v>3876</v>
      </c>
      <c r="AH318" s="146">
        <v>8.2000000000000001E-5</v>
      </c>
      <c r="AI318" s="146">
        <v>2.6017356774093458E-2</v>
      </c>
      <c r="AJ318" s="147">
        <v>3.2891038882143365E-3</v>
      </c>
      <c r="AK318" s="181"/>
    </row>
    <row r="319" spans="1:37" ht="15" x14ac:dyDescent="0.2">
      <c r="A319" s="142" t="s">
        <v>1220</v>
      </c>
      <c r="B319" s="143" t="s">
        <v>1222</v>
      </c>
      <c r="C319" s="143" t="s">
        <v>1343</v>
      </c>
      <c r="D319" s="143" t="s">
        <v>1344</v>
      </c>
      <c r="E319" s="143" t="s">
        <v>309</v>
      </c>
      <c r="F319" s="143" t="s">
        <v>1375</v>
      </c>
      <c r="G319" s="143" t="s">
        <v>1376</v>
      </c>
      <c r="H319" s="143" t="s">
        <v>321</v>
      </c>
      <c r="I319" s="143" t="s">
        <v>951</v>
      </c>
      <c r="J319" s="143" t="s">
        <v>204</v>
      </c>
      <c r="K319" s="143" t="s">
        <v>204</v>
      </c>
      <c r="L319" s="143" t="s">
        <v>325</v>
      </c>
      <c r="M319" s="143" t="s">
        <v>340</v>
      </c>
      <c r="N319" s="143" t="s">
        <v>445</v>
      </c>
      <c r="O319" s="143" t="s">
        <v>339</v>
      </c>
      <c r="P319" s="143" t="s">
        <v>1347</v>
      </c>
      <c r="Q319" s="143" t="s">
        <v>413</v>
      </c>
      <c r="R319" s="143" t="s">
        <v>407</v>
      </c>
      <c r="S319" s="143" t="s">
        <v>1210</v>
      </c>
      <c r="T319" s="144">
        <v>7.66</v>
      </c>
      <c r="U319" s="143" t="s">
        <v>1377</v>
      </c>
      <c r="V319" s="146">
        <v>5.3100000000000001E-2</v>
      </c>
      <c r="W319" s="146">
        <v>6.3355999999999996E-2</v>
      </c>
      <c r="X319" s="143" t="s">
        <v>412</v>
      </c>
      <c r="Y319" s="145" t="s">
        <v>3876</v>
      </c>
      <c r="Z319" s="144">
        <v>33855.69</v>
      </c>
      <c r="AA319" s="145" t="s">
        <v>3876</v>
      </c>
      <c r="AB319" s="143" t="s">
        <v>1378</v>
      </c>
      <c r="AC319" s="145" t="s">
        <v>3876</v>
      </c>
      <c r="AD319" s="144">
        <v>32.2746</v>
      </c>
      <c r="AE319" s="145" t="s">
        <v>3876</v>
      </c>
      <c r="AF319" s="145" t="s">
        <v>3876</v>
      </c>
      <c r="AG319" s="145" t="s">
        <v>3876</v>
      </c>
      <c r="AH319" s="146">
        <v>2.658724763612047E-5</v>
      </c>
      <c r="AI319" s="146">
        <v>2.1022891694781734E-2</v>
      </c>
      <c r="AJ319" s="147">
        <v>2.6577056007344854E-3</v>
      </c>
      <c r="AK319" s="181"/>
    </row>
    <row r="320" spans="1:37" ht="15" x14ac:dyDescent="0.2">
      <c r="A320" s="142" t="s">
        <v>1220</v>
      </c>
      <c r="B320" s="143" t="s">
        <v>1222</v>
      </c>
      <c r="C320" s="143" t="s">
        <v>1355</v>
      </c>
      <c r="D320" s="143" t="s">
        <v>1356</v>
      </c>
      <c r="E320" s="143" t="s">
        <v>309</v>
      </c>
      <c r="F320" s="143" t="s">
        <v>1357</v>
      </c>
      <c r="G320" s="143" t="s">
        <v>1358</v>
      </c>
      <c r="H320" s="143" t="s">
        <v>321</v>
      </c>
      <c r="I320" s="143" t="s">
        <v>951</v>
      </c>
      <c r="J320" s="143" t="s">
        <v>204</v>
      </c>
      <c r="K320" s="143" t="s">
        <v>204</v>
      </c>
      <c r="L320" s="143" t="s">
        <v>325</v>
      </c>
      <c r="M320" s="143" t="s">
        <v>340</v>
      </c>
      <c r="N320" s="143" t="s">
        <v>484</v>
      </c>
      <c r="O320" s="143" t="s">
        <v>339</v>
      </c>
      <c r="P320" s="143" t="s">
        <v>1359</v>
      </c>
      <c r="Q320" s="143" t="s">
        <v>415</v>
      </c>
      <c r="R320" s="143" t="s">
        <v>407</v>
      </c>
      <c r="S320" s="143" t="s">
        <v>1210</v>
      </c>
      <c r="T320" s="144">
        <v>2.3199999999999998</v>
      </c>
      <c r="U320" s="143" t="s">
        <v>1360</v>
      </c>
      <c r="V320" s="146">
        <v>3.6499999999999998E-2</v>
      </c>
      <c r="W320" s="146">
        <v>5.8046E-2</v>
      </c>
      <c r="X320" s="143" t="s">
        <v>412</v>
      </c>
      <c r="Y320" s="145" t="s">
        <v>3876</v>
      </c>
      <c r="Z320" s="144">
        <v>29044.83</v>
      </c>
      <c r="AA320" s="145" t="s">
        <v>3876</v>
      </c>
      <c r="AB320" s="143" t="s">
        <v>1361</v>
      </c>
      <c r="AC320" s="145" t="s">
        <v>3876</v>
      </c>
      <c r="AD320" s="144">
        <v>27.795900000000003</v>
      </c>
      <c r="AE320" s="145" t="s">
        <v>3876</v>
      </c>
      <c r="AF320" s="145" t="s">
        <v>3876</v>
      </c>
      <c r="AG320" s="145" t="s">
        <v>3876</v>
      </c>
      <c r="AH320" s="146">
        <v>1.4451842016392667E-5</v>
      </c>
      <c r="AI320" s="146">
        <v>1.8105560215939998E-2</v>
      </c>
      <c r="AJ320" s="147">
        <v>2.2888977163062338E-3</v>
      </c>
      <c r="AK320" s="181"/>
    </row>
    <row r="321" spans="1:37" ht="15" x14ac:dyDescent="0.2">
      <c r="A321" s="142" t="s">
        <v>1220</v>
      </c>
      <c r="B321" s="143" t="s">
        <v>1222</v>
      </c>
      <c r="C321" s="143" t="s">
        <v>1392</v>
      </c>
      <c r="D321" s="143" t="s">
        <v>1393</v>
      </c>
      <c r="E321" s="143" t="s">
        <v>309</v>
      </c>
      <c r="F321" s="143" t="s">
        <v>1394</v>
      </c>
      <c r="G321" s="143" t="s">
        <v>1395</v>
      </c>
      <c r="H321" s="143" t="s">
        <v>321</v>
      </c>
      <c r="I321" s="143" t="s">
        <v>951</v>
      </c>
      <c r="J321" s="143" t="s">
        <v>204</v>
      </c>
      <c r="K321" s="143" t="s">
        <v>204</v>
      </c>
      <c r="L321" s="143" t="s">
        <v>325</v>
      </c>
      <c r="M321" s="143" t="s">
        <v>340</v>
      </c>
      <c r="N321" s="143" t="s">
        <v>484</v>
      </c>
      <c r="O321" s="143" t="s">
        <v>339</v>
      </c>
      <c r="P321" s="143" t="s">
        <v>1396</v>
      </c>
      <c r="Q321" s="143" t="s">
        <v>415</v>
      </c>
      <c r="R321" s="143" t="s">
        <v>407</v>
      </c>
      <c r="S321" s="143" t="s">
        <v>1210</v>
      </c>
      <c r="T321" s="144">
        <v>0.9</v>
      </c>
      <c r="U321" s="143" t="s">
        <v>1397</v>
      </c>
      <c r="V321" s="146">
        <v>3.6499999999999998E-2</v>
      </c>
      <c r="W321" s="146">
        <v>4.8802999999999999E-2</v>
      </c>
      <c r="X321" s="143" t="s">
        <v>412</v>
      </c>
      <c r="Y321" s="145" t="s">
        <v>3876</v>
      </c>
      <c r="Z321" s="144">
        <v>25730.22</v>
      </c>
      <c r="AA321" s="145" t="s">
        <v>3876</v>
      </c>
      <c r="AB321" s="143" t="s">
        <v>1398</v>
      </c>
      <c r="AC321" s="145" t="s">
        <v>3876</v>
      </c>
      <c r="AD321" s="144">
        <v>25.542400000000001</v>
      </c>
      <c r="AE321" s="145" t="s">
        <v>3876</v>
      </c>
      <c r="AF321" s="145" t="s">
        <v>3876</v>
      </c>
      <c r="AG321" s="145" t="s">
        <v>3876</v>
      </c>
      <c r="AH321" s="146">
        <v>2.4160264237301787E-5</v>
      </c>
      <c r="AI321" s="146">
        <v>1.6637677887710714E-2</v>
      </c>
      <c r="AJ321" s="147">
        <v>2.1033286166032422E-3</v>
      </c>
      <c r="AK321" s="181"/>
    </row>
    <row r="322" spans="1:37" ht="15" x14ac:dyDescent="0.2">
      <c r="A322" s="142" t="s">
        <v>1220</v>
      </c>
      <c r="B322" s="143" t="s">
        <v>1222</v>
      </c>
      <c r="C322" s="143" t="s">
        <v>1660</v>
      </c>
      <c r="D322" s="143" t="s">
        <v>1661</v>
      </c>
      <c r="E322" s="143" t="s">
        <v>309</v>
      </c>
      <c r="F322" s="143" t="s">
        <v>1662</v>
      </c>
      <c r="G322" s="143" t="s">
        <v>1663</v>
      </c>
      <c r="H322" s="143" t="s">
        <v>321</v>
      </c>
      <c r="I322" s="143" t="s">
        <v>951</v>
      </c>
      <c r="J322" s="143" t="s">
        <v>204</v>
      </c>
      <c r="K322" s="143" t="s">
        <v>224</v>
      </c>
      <c r="L322" s="143" t="s">
        <v>325</v>
      </c>
      <c r="M322" s="143" t="s">
        <v>340</v>
      </c>
      <c r="N322" s="143" t="s">
        <v>465</v>
      </c>
      <c r="O322" s="143" t="s">
        <v>339</v>
      </c>
      <c r="P322" s="143" t="s">
        <v>1347</v>
      </c>
      <c r="Q322" s="143" t="s">
        <v>413</v>
      </c>
      <c r="R322" s="143" t="s">
        <v>407</v>
      </c>
      <c r="S322" s="143" t="s">
        <v>1210</v>
      </c>
      <c r="T322" s="144">
        <v>1.1599999999999999</v>
      </c>
      <c r="U322" s="143" t="s">
        <v>1664</v>
      </c>
      <c r="V322" s="146">
        <v>4.8000000000000001E-2</v>
      </c>
      <c r="W322" s="146">
        <v>5.4014E-2</v>
      </c>
      <c r="X322" s="143" t="s">
        <v>412</v>
      </c>
      <c r="Y322" s="145" t="s">
        <v>3876</v>
      </c>
      <c r="Z322" s="144">
        <v>25388.25</v>
      </c>
      <c r="AA322" s="145" t="s">
        <v>3876</v>
      </c>
      <c r="AB322" s="143" t="s">
        <v>1665</v>
      </c>
      <c r="AC322" s="145" t="s">
        <v>3876</v>
      </c>
      <c r="AD322" s="144">
        <v>25.441599999999998</v>
      </c>
      <c r="AE322" s="145" t="s">
        <v>3876</v>
      </c>
      <c r="AF322" s="145" t="s">
        <v>3876</v>
      </c>
      <c r="AG322" s="145" t="s">
        <v>3876</v>
      </c>
      <c r="AH322" s="146">
        <v>6.7701999999999997E-5</v>
      </c>
      <c r="AI322" s="146">
        <v>1.657200359399157E-2</v>
      </c>
      <c r="AJ322" s="147">
        <v>2.0950260985302897E-3</v>
      </c>
      <c r="AK322" s="181"/>
    </row>
    <row r="323" spans="1:37" ht="15" x14ac:dyDescent="0.2">
      <c r="A323" s="142" t="s">
        <v>1220</v>
      </c>
      <c r="B323" s="143" t="s">
        <v>1222</v>
      </c>
      <c r="C323" s="143" t="s">
        <v>1655</v>
      </c>
      <c r="D323" s="143" t="s">
        <v>1656</v>
      </c>
      <c r="E323" s="143" t="s">
        <v>309</v>
      </c>
      <c r="F323" s="143" t="s">
        <v>1657</v>
      </c>
      <c r="G323" s="143" t="s">
        <v>1658</v>
      </c>
      <c r="H323" s="143" t="s">
        <v>321</v>
      </c>
      <c r="I323" s="143" t="s">
        <v>951</v>
      </c>
      <c r="J323" s="143" t="s">
        <v>204</v>
      </c>
      <c r="K323" s="143" t="s">
        <v>204</v>
      </c>
      <c r="L323" s="143" t="s">
        <v>325</v>
      </c>
      <c r="M323" s="143" t="s">
        <v>340</v>
      </c>
      <c r="N323" s="143" t="s">
        <v>447</v>
      </c>
      <c r="O323" s="143" t="s">
        <v>339</v>
      </c>
      <c r="P323" s="143" t="s">
        <v>1359</v>
      </c>
      <c r="Q323" s="143" t="s">
        <v>415</v>
      </c>
      <c r="R323" s="143" t="s">
        <v>407</v>
      </c>
      <c r="S323" s="143" t="s">
        <v>1210</v>
      </c>
      <c r="T323" s="144">
        <v>2.4900000000000002</v>
      </c>
      <c r="U323" s="143" t="s">
        <v>1419</v>
      </c>
      <c r="V323" s="146">
        <v>4.53E-2</v>
      </c>
      <c r="W323" s="146">
        <v>6.2630000000000005E-2</v>
      </c>
      <c r="X323" s="143" t="s">
        <v>412</v>
      </c>
      <c r="Y323" s="145" t="s">
        <v>3876</v>
      </c>
      <c r="Z323" s="144">
        <v>25878</v>
      </c>
      <c r="AA323" s="145" t="s">
        <v>3876</v>
      </c>
      <c r="AB323" s="143" t="s">
        <v>1659</v>
      </c>
      <c r="AC323" s="145" t="s">
        <v>3876</v>
      </c>
      <c r="AD323" s="144">
        <v>24.8688</v>
      </c>
      <c r="AE323" s="145" t="s">
        <v>3876</v>
      </c>
      <c r="AF323" s="145" t="s">
        <v>3876</v>
      </c>
      <c r="AG323" s="145" t="s">
        <v>3876</v>
      </c>
      <c r="AH323" s="146">
        <v>3.6968571428571428E-5</v>
      </c>
      <c r="AI323" s="146">
        <v>1.6198891133052035E-2</v>
      </c>
      <c r="AJ323" s="147">
        <v>2.047857369720781E-3</v>
      </c>
      <c r="AK323" s="181"/>
    </row>
    <row r="324" spans="1:37" ht="15" x14ac:dyDescent="0.2">
      <c r="A324" s="142" t="s">
        <v>1220</v>
      </c>
      <c r="B324" s="143" t="s">
        <v>1222</v>
      </c>
      <c r="C324" s="143" t="s">
        <v>1666</v>
      </c>
      <c r="D324" s="143" t="s">
        <v>1667</v>
      </c>
      <c r="E324" s="143" t="s">
        <v>309</v>
      </c>
      <c r="F324" s="143" t="s">
        <v>1668</v>
      </c>
      <c r="G324" s="143" t="s">
        <v>1669</v>
      </c>
      <c r="H324" s="143" t="s">
        <v>321</v>
      </c>
      <c r="I324" s="143" t="s">
        <v>951</v>
      </c>
      <c r="J324" s="143" t="s">
        <v>204</v>
      </c>
      <c r="K324" s="143" t="s">
        <v>204</v>
      </c>
      <c r="L324" s="143" t="s">
        <v>325</v>
      </c>
      <c r="M324" s="143" t="s">
        <v>340</v>
      </c>
      <c r="N324" s="143" t="s">
        <v>443</v>
      </c>
      <c r="O324" s="143" t="s">
        <v>339</v>
      </c>
      <c r="P324" s="143" t="s">
        <v>1403</v>
      </c>
      <c r="Q324" s="143" t="s">
        <v>413</v>
      </c>
      <c r="R324" s="143" t="s">
        <v>407</v>
      </c>
      <c r="S324" s="143" t="s">
        <v>1210</v>
      </c>
      <c r="T324" s="144">
        <v>0.95</v>
      </c>
      <c r="U324" s="143" t="s">
        <v>1670</v>
      </c>
      <c r="V324" s="146">
        <v>4.7500000000000001E-2</v>
      </c>
      <c r="W324" s="146">
        <v>6.4534999999999995E-2</v>
      </c>
      <c r="X324" s="143" t="s">
        <v>412</v>
      </c>
      <c r="Y324" s="145" t="s">
        <v>3876</v>
      </c>
      <c r="Z324" s="144">
        <v>22739.32</v>
      </c>
      <c r="AA324" s="145" t="s">
        <v>3876</v>
      </c>
      <c r="AB324" s="143" t="s">
        <v>1671</v>
      </c>
      <c r="AC324" s="145" t="s">
        <v>3876</v>
      </c>
      <c r="AD324" s="144">
        <v>22.698400000000003</v>
      </c>
      <c r="AE324" s="145" t="s">
        <v>3876</v>
      </c>
      <c r="AF324" s="145" t="s">
        <v>3876</v>
      </c>
      <c r="AG324" s="145" t="s">
        <v>3876</v>
      </c>
      <c r="AH324" s="146">
        <v>2.7452630009031378E-5</v>
      </c>
      <c r="AI324" s="146">
        <v>1.4785166832023433E-2</v>
      </c>
      <c r="AJ324" s="147">
        <v>1.869134906261067E-3</v>
      </c>
      <c r="AK324" s="181"/>
    </row>
    <row r="325" spans="1:37" ht="15" x14ac:dyDescent="0.2">
      <c r="A325" s="142" t="s">
        <v>1220</v>
      </c>
      <c r="B325" s="143" t="s">
        <v>1222</v>
      </c>
      <c r="C325" s="143" t="s">
        <v>1362</v>
      </c>
      <c r="D325" s="143" t="s">
        <v>1363</v>
      </c>
      <c r="E325" s="143" t="s">
        <v>309</v>
      </c>
      <c r="F325" s="143" t="s">
        <v>1417</v>
      </c>
      <c r="G325" s="143" t="s">
        <v>1418</v>
      </c>
      <c r="H325" s="143" t="s">
        <v>321</v>
      </c>
      <c r="I325" s="143" t="s">
        <v>951</v>
      </c>
      <c r="J325" s="143" t="s">
        <v>204</v>
      </c>
      <c r="K325" s="143" t="s">
        <v>204</v>
      </c>
      <c r="L325" s="143" t="s">
        <v>325</v>
      </c>
      <c r="M325" s="143" t="s">
        <v>340</v>
      </c>
      <c r="N325" s="143" t="s">
        <v>445</v>
      </c>
      <c r="O325" s="143" t="s">
        <v>339</v>
      </c>
      <c r="P325" s="143" t="s">
        <v>1366</v>
      </c>
      <c r="Q325" s="143" t="s">
        <v>415</v>
      </c>
      <c r="R325" s="143" t="s">
        <v>407</v>
      </c>
      <c r="S325" s="143" t="s">
        <v>1210</v>
      </c>
      <c r="T325" s="144">
        <v>3.28</v>
      </c>
      <c r="U325" s="143" t="s">
        <v>1419</v>
      </c>
      <c r="V325" s="146">
        <v>4.36E-2</v>
      </c>
      <c r="W325" s="146">
        <v>5.1854999999999998E-2</v>
      </c>
      <c r="X325" s="143" t="s">
        <v>412</v>
      </c>
      <c r="Y325" s="145" t="s">
        <v>3876</v>
      </c>
      <c r="Z325" s="144">
        <v>20991</v>
      </c>
      <c r="AA325" s="145" t="s">
        <v>3876</v>
      </c>
      <c r="AB325" s="143" t="s">
        <v>1420</v>
      </c>
      <c r="AC325" s="145" t="s">
        <v>3876</v>
      </c>
      <c r="AD325" s="144">
        <v>20.487200000000001</v>
      </c>
      <c r="AE325" s="145" t="s">
        <v>3876</v>
      </c>
      <c r="AF325" s="145" t="s">
        <v>3876</v>
      </c>
      <c r="AG325" s="145" t="s">
        <v>3876</v>
      </c>
      <c r="AH325" s="146">
        <v>6.9969999999999996E-5</v>
      </c>
      <c r="AI325" s="146">
        <v>1.3344863527294838E-2</v>
      </c>
      <c r="AJ325" s="147">
        <v>1.6870523357323073E-3</v>
      </c>
      <c r="AK325" s="181"/>
    </row>
    <row r="326" spans="1:37" ht="15" x14ac:dyDescent="0.2">
      <c r="A326" s="142" t="s">
        <v>1220</v>
      </c>
      <c r="B326" s="143" t="s">
        <v>1222</v>
      </c>
      <c r="C326" s="143" t="s">
        <v>1672</v>
      </c>
      <c r="D326" s="143" t="s">
        <v>1673</v>
      </c>
      <c r="E326" s="143" t="s">
        <v>309</v>
      </c>
      <c r="F326" s="143" t="s">
        <v>1674</v>
      </c>
      <c r="G326" s="143" t="s">
        <v>1675</v>
      </c>
      <c r="H326" s="143" t="s">
        <v>321</v>
      </c>
      <c r="I326" s="143" t="s">
        <v>951</v>
      </c>
      <c r="J326" s="143" t="s">
        <v>204</v>
      </c>
      <c r="K326" s="143" t="s">
        <v>204</v>
      </c>
      <c r="L326" s="143" t="s">
        <v>325</v>
      </c>
      <c r="M326" s="143" t="s">
        <v>340</v>
      </c>
      <c r="N326" s="143" t="s">
        <v>464</v>
      </c>
      <c r="O326" s="143" t="s">
        <v>339</v>
      </c>
      <c r="P326" s="143" t="s">
        <v>1366</v>
      </c>
      <c r="Q326" s="143" t="s">
        <v>415</v>
      </c>
      <c r="R326" s="143" t="s">
        <v>407</v>
      </c>
      <c r="S326" s="143" t="s">
        <v>1210</v>
      </c>
      <c r="T326" s="144">
        <v>1.56</v>
      </c>
      <c r="U326" s="143" t="s">
        <v>1676</v>
      </c>
      <c r="V326" s="146">
        <v>6.7400000000000002E-2</v>
      </c>
      <c r="W326" s="146">
        <v>6.4237000000000002E-2</v>
      </c>
      <c r="X326" s="143" t="s">
        <v>412</v>
      </c>
      <c r="Y326" s="145" t="s">
        <v>3876</v>
      </c>
      <c r="Z326" s="144">
        <v>14942.25</v>
      </c>
      <c r="AA326" s="145" t="s">
        <v>3876</v>
      </c>
      <c r="AB326" s="143" t="s">
        <v>1677</v>
      </c>
      <c r="AC326" s="145" t="s">
        <v>3876</v>
      </c>
      <c r="AD326" s="144">
        <v>15.1395</v>
      </c>
      <c r="AE326" s="145" t="s">
        <v>3876</v>
      </c>
      <c r="AF326" s="145" t="s">
        <v>3876</v>
      </c>
      <c r="AG326" s="145" t="s">
        <v>3876</v>
      </c>
      <c r="AH326" s="146">
        <v>1.4236989747409377E-5</v>
      </c>
      <c r="AI326" s="146">
        <v>9.8614861692120012E-3</v>
      </c>
      <c r="AJ326" s="147">
        <v>1.2466851565422815E-3</v>
      </c>
      <c r="AK326" s="181"/>
    </row>
    <row r="327" spans="1:37" ht="15" x14ac:dyDescent="0.2">
      <c r="A327" s="142" t="s">
        <v>1220</v>
      </c>
      <c r="B327" s="143" t="s">
        <v>1222</v>
      </c>
      <c r="C327" s="143" t="s">
        <v>1689</v>
      </c>
      <c r="D327" s="143" t="s">
        <v>1690</v>
      </c>
      <c r="E327" s="143" t="s">
        <v>309</v>
      </c>
      <c r="F327" s="143" t="s">
        <v>1691</v>
      </c>
      <c r="G327" s="143" t="s">
        <v>1692</v>
      </c>
      <c r="H327" s="143" t="s">
        <v>321</v>
      </c>
      <c r="I327" s="143" t="s">
        <v>951</v>
      </c>
      <c r="J327" s="143" t="s">
        <v>204</v>
      </c>
      <c r="K327" s="143" t="s">
        <v>204</v>
      </c>
      <c r="L327" s="143" t="s">
        <v>325</v>
      </c>
      <c r="M327" s="143" t="s">
        <v>340</v>
      </c>
      <c r="N327" s="143" t="s">
        <v>451</v>
      </c>
      <c r="O327" s="143" t="s">
        <v>339</v>
      </c>
      <c r="P327" s="143" t="s">
        <v>1403</v>
      </c>
      <c r="Q327" s="143" t="s">
        <v>413</v>
      </c>
      <c r="R327" s="143" t="s">
        <v>407</v>
      </c>
      <c r="S327" s="143" t="s">
        <v>1210</v>
      </c>
      <c r="T327" s="144">
        <v>2.58</v>
      </c>
      <c r="U327" s="143" t="s">
        <v>1542</v>
      </c>
      <c r="V327" s="146">
        <v>2.1999999999999999E-2</v>
      </c>
      <c r="W327" s="146">
        <v>5.3846999999999999E-2</v>
      </c>
      <c r="X327" s="143" t="s">
        <v>412</v>
      </c>
      <c r="Y327" s="145" t="s">
        <v>3876</v>
      </c>
      <c r="Z327" s="144">
        <v>14715.75</v>
      </c>
      <c r="AA327" s="145" t="s">
        <v>3876</v>
      </c>
      <c r="AB327" s="143" t="s">
        <v>1693</v>
      </c>
      <c r="AC327" s="145" t="s">
        <v>3876</v>
      </c>
      <c r="AD327" s="144">
        <v>13.5929</v>
      </c>
      <c r="AE327" s="145" t="s">
        <v>3876</v>
      </c>
      <c r="AF327" s="145" t="s">
        <v>3876</v>
      </c>
      <c r="AG327" s="145" t="s">
        <v>3876</v>
      </c>
      <c r="AH327" s="146">
        <v>1.3578546712802768E-5</v>
      </c>
      <c r="AI327" s="146">
        <v>8.8541022955396925E-3</v>
      </c>
      <c r="AJ327" s="147">
        <v>1.1193320881814216E-3</v>
      </c>
      <c r="AK327" s="181"/>
    </row>
    <row r="328" spans="1:37" ht="15" x14ac:dyDescent="0.2">
      <c r="A328" s="142" t="s">
        <v>1220</v>
      </c>
      <c r="B328" s="143" t="s">
        <v>1222</v>
      </c>
      <c r="C328" s="143" t="s">
        <v>1428</v>
      </c>
      <c r="D328" s="143" t="s">
        <v>1429</v>
      </c>
      <c r="E328" s="143" t="s">
        <v>309</v>
      </c>
      <c r="F328" s="143" t="s">
        <v>1430</v>
      </c>
      <c r="G328" s="143" t="s">
        <v>1431</v>
      </c>
      <c r="H328" s="143" t="s">
        <v>321</v>
      </c>
      <c r="I328" s="143" t="s">
        <v>951</v>
      </c>
      <c r="J328" s="143" t="s">
        <v>204</v>
      </c>
      <c r="K328" s="143" t="s">
        <v>204</v>
      </c>
      <c r="L328" s="143" t="s">
        <v>325</v>
      </c>
      <c r="M328" s="143" t="s">
        <v>340</v>
      </c>
      <c r="N328" s="143" t="s">
        <v>445</v>
      </c>
      <c r="O328" s="143" t="s">
        <v>339</v>
      </c>
      <c r="P328" s="143" t="s">
        <v>1396</v>
      </c>
      <c r="Q328" s="143" t="s">
        <v>415</v>
      </c>
      <c r="R328" s="143" t="s">
        <v>407</v>
      </c>
      <c r="S328" s="143" t="s">
        <v>1210</v>
      </c>
      <c r="T328" s="144">
        <v>1.2</v>
      </c>
      <c r="U328" s="143" t="s">
        <v>1432</v>
      </c>
      <c r="V328" s="146">
        <v>2.9399999999999999E-2</v>
      </c>
      <c r="W328" s="146">
        <v>4.9301999999999999E-2</v>
      </c>
      <c r="X328" s="143" t="s">
        <v>412</v>
      </c>
      <c r="Y328" s="145" t="s">
        <v>3876</v>
      </c>
      <c r="Z328" s="144">
        <v>13048.06</v>
      </c>
      <c r="AA328" s="145" t="s">
        <v>3876</v>
      </c>
      <c r="AB328" s="143" t="s">
        <v>1433</v>
      </c>
      <c r="AC328" s="145" t="s">
        <v>3876</v>
      </c>
      <c r="AD328" s="144">
        <v>13.0311</v>
      </c>
      <c r="AE328" s="145" t="s">
        <v>3876</v>
      </c>
      <c r="AF328" s="145" t="s">
        <v>3876</v>
      </c>
      <c r="AG328" s="145" t="s">
        <v>3876</v>
      </c>
      <c r="AH328" s="146">
        <v>8.1335725445414996E-5</v>
      </c>
      <c r="AI328" s="146">
        <v>8.4881331871524152E-3</v>
      </c>
      <c r="AJ328" s="147">
        <v>1.073066419158444E-3</v>
      </c>
      <c r="AK328" s="181"/>
    </row>
    <row r="329" spans="1:37" ht="15" x14ac:dyDescent="0.2">
      <c r="A329" s="142" t="s">
        <v>1220</v>
      </c>
      <c r="B329" s="143" t="s">
        <v>1222</v>
      </c>
      <c r="C329" s="143" t="s">
        <v>1399</v>
      </c>
      <c r="D329" s="143" t="s">
        <v>1400</v>
      </c>
      <c r="E329" s="143" t="s">
        <v>309</v>
      </c>
      <c r="F329" s="143" t="s">
        <v>1401</v>
      </c>
      <c r="G329" s="143" t="s">
        <v>1402</v>
      </c>
      <c r="H329" s="143" t="s">
        <v>321</v>
      </c>
      <c r="I329" s="143" t="s">
        <v>951</v>
      </c>
      <c r="J329" s="143" t="s">
        <v>204</v>
      </c>
      <c r="K329" s="143" t="s">
        <v>204</v>
      </c>
      <c r="L329" s="143" t="s">
        <v>325</v>
      </c>
      <c r="M329" s="143" t="s">
        <v>340</v>
      </c>
      <c r="N329" s="143" t="s">
        <v>451</v>
      </c>
      <c r="O329" s="143" t="s">
        <v>339</v>
      </c>
      <c r="P329" s="143" t="s">
        <v>1403</v>
      </c>
      <c r="Q329" s="143" t="s">
        <v>413</v>
      </c>
      <c r="R329" s="143" t="s">
        <v>407</v>
      </c>
      <c r="S329" s="143" t="s">
        <v>1210</v>
      </c>
      <c r="T329" s="144">
        <v>1.46</v>
      </c>
      <c r="U329" s="143" t="s">
        <v>1404</v>
      </c>
      <c r="V329" s="146">
        <v>0.04</v>
      </c>
      <c r="W329" s="146">
        <v>4.9484E-2</v>
      </c>
      <c r="X329" s="143" t="s">
        <v>412</v>
      </c>
      <c r="Y329" s="145" t="s">
        <v>3876</v>
      </c>
      <c r="Z329" s="144">
        <v>12526.88</v>
      </c>
      <c r="AA329" s="145" t="s">
        <v>3876</v>
      </c>
      <c r="AB329" s="143" t="s">
        <v>1405</v>
      </c>
      <c r="AC329" s="145" t="s">
        <v>3876</v>
      </c>
      <c r="AD329" s="144">
        <v>12.371499999999999</v>
      </c>
      <c r="AE329" s="145" t="s">
        <v>3876</v>
      </c>
      <c r="AF329" s="145" t="s">
        <v>3876</v>
      </c>
      <c r="AG329" s="145" t="s">
        <v>3876</v>
      </c>
      <c r="AH329" s="146">
        <v>9.5075086130033966E-5</v>
      </c>
      <c r="AI329" s="146">
        <v>8.058518159466687E-3</v>
      </c>
      <c r="AJ329" s="147">
        <v>1.0187546583494648E-3</v>
      </c>
      <c r="AK329" s="181"/>
    </row>
    <row r="330" spans="1:37" ht="15" x14ac:dyDescent="0.2">
      <c r="A330" s="142" t="s">
        <v>1220</v>
      </c>
      <c r="B330" s="143" t="s">
        <v>1222</v>
      </c>
      <c r="C330" s="143" t="s">
        <v>1683</v>
      </c>
      <c r="D330" s="143" t="s">
        <v>1684</v>
      </c>
      <c r="E330" s="143" t="s">
        <v>309</v>
      </c>
      <c r="F330" s="143" t="s">
        <v>1685</v>
      </c>
      <c r="G330" s="143" t="s">
        <v>1686</v>
      </c>
      <c r="H330" s="143" t="s">
        <v>321</v>
      </c>
      <c r="I330" s="143" t="s">
        <v>951</v>
      </c>
      <c r="J330" s="143" t="s">
        <v>204</v>
      </c>
      <c r="K330" s="143" t="s">
        <v>204</v>
      </c>
      <c r="L330" s="143" t="s">
        <v>325</v>
      </c>
      <c r="M330" s="143" t="s">
        <v>340</v>
      </c>
      <c r="N330" s="143" t="s">
        <v>464</v>
      </c>
      <c r="O330" s="143" t="s">
        <v>339</v>
      </c>
      <c r="P330" s="143" t="s">
        <v>1425</v>
      </c>
      <c r="Q330" s="143" t="s">
        <v>415</v>
      </c>
      <c r="R330" s="143" t="s">
        <v>407</v>
      </c>
      <c r="S330" s="143" t="s">
        <v>1210</v>
      </c>
      <c r="T330" s="144">
        <v>3.35</v>
      </c>
      <c r="U330" s="143" t="s">
        <v>1687</v>
      </c>
      <c r="V330" s="146">
        <v>3.04E-2</v>
      </c>
      <c r="W330" s="146">
        <v>6.1107000000000002E-2</v>
      </c>
      <c r="X330" s="143" t="s">
        <v>412</v>
      </c>
      <c r="Y330" s="145" t="s">
        <v>3876</v>
      </c>
      <c r="Z330" s="144">
        <v>12444</v>
      </c>
      <c r="AA330" s="145" t="s">
        <v>3876</v>
      </c>
      <c r="AB330" s="143" t="s">
        <v>1688</v>
      </c>
      <c r="AC330" s="145" t="s">
        <v>3876</v>
      </c>
      <c r="AD330" s="144">
        <v>11.278</v>
      </c>
      <c r="AE330" s="145" t="s">
        <v>3876</v>
      </c>
      <c r="AF330" s="145" t="s">
        <v>3876</v>
      </c>
      <c r="AG330" s="145" t="s">
        <v>3876</v>
      </c>
      <c r="AH330" s="146">
        <v>2.2959276032108247E-5</v>
      </c>
      <c r="AI330" s="146">
        <v>7.3462071906311389E-3</v>
      </c>
      <c r="AJ330" s="147">
        <v>9.2870458917611949E-4</v>
      </c>
      <c r="AK330" s="181"/>
    </row>
    <row r="331" spans="1:37" ht="15" x14ac:dyDescent="0.2">
      <c r="A331" s="142" t="s">
        <v>1220</v>
      </c>
      <c r="B331" s="143" t="s">
        <v>1222</v>
      </c>
      <c r="C331" s="143" t="s">
        <v>1678</v>
      </c>
      <c r="D331" s="143" t="s">
        <v>1679</v>
      </c>
      <c r="E331" s="143" t="s">
        <v>309</v>
      </c>
      <c r="F331" s="143" t="s">
        <v>1680</v>
      </c>
      <c r="G331" s="143" t="s">
        <v>1681</v>
      </c>
      <c r="H331" s="143" t="s">
        <v>321</v>
      </c>
      <c r="I331" s="143" t="s">
        <v>951</v>
      </c>
      <c r="J331" s="143" t="s">
        <v>204</v>
      </c>
      <c r="K331" s="143" t="s">
        <v>204</v>
      </c>
      <c r="L331" s="143" t="s">
        <v>325</v>
      </c>
      <c r="M331" s="143" t="s">
        <v>340</v>
      </c>
      <c r="N331" s="143" t="s">
        <v>445</v>
      </c>
      <c r="O331" s="143" t="s">
        <v>339</v>
      </c>
      <c r="P331" s="143" t="s">
        <v>1366</v>
      </c>
      <c r="Q331" s="143" t="s">
        <v>415</v>
      </c>
      <c r="R331" s="143" t="s">
        <v>407</v>
      </c>
      <c r="S331" s="143" t="s">
        <v>1210</v>
      </c>
      <c r="T331" s="144">
        <v>2.2000000000000002</v>
      </c>
      <c r="U331" s="143" t="s">
        <v>1432</v>
      </c>
      <c r="V331" s="146">
        <v>1.84E-2</v>
      </c>
      <c r="W331" s="146">
        <v>4.8425999999999997E-2</v>
      </c>
      <c r="X331" s="143" t="s">
        <v>412</v>
      </c>
      <c r="Y331" s="145" t="s">
        <v>3876</v>
      </c>
      <c r="Z331" s="144">
        <v>11191</v>
      </c>
      <c r="AA331" s="145" t="s">
        <v>3876</v>
      </c>
      <c r="AB331" s="143" t="s">
        <v>1682</v>
      </c>
      <c r="AC331" s="145" t="s">
        <v>3876</v>
      </c>
      <c r="AD331" s="144">
        <v>10.5486</v>
      </c>
      <c r="AE331" s="145" t="s">
        <v>3876</v>
      </c>
      <c r="AF331" s="145" t="s">
        <v>3876</v>
      </c>
      <c r="AG331" s="145" t="s">
        <v>3876</v>
      </c>
      <c r="AH331" s="146">
        <v>3.7303333333333332E-5</v>
      </c>
      <c r="AI331" s="146">
        <v>6.8711198156951843E-3</v>
      </c>
      <c r="AJ331" s="147">
        <v>8.6864423232621275E-4</v>
      </c>
      <c r="AK331" s="181"/>
    </row>
    <row r="332" spans="1:37" ht="15" x14ac:dyDescent="0.2">
      <c r="A332" s="142" t="s">
        <v>1220</v>
      </c>
      <c r="B332" s="143" t="s">
        <v>1222</v>
      </c>
      <c r="C332" s="143" t="s">
        <v>1369</v>
      </c>
      <c r="D332" s="143" t="s">
        <v>1370</v>
      </c>
      <c r="E332" s="143" t="s">
        <v>309</v>
      </c>
      <c r="F332" s="143" t="s">
        <v>1413</v>
      </c>
      <c r="G332" s="143" t="s">
        <v>1414</v>
      </c>
      <c r="H332" s="143" t="s">
        <v>321</v>
      </c>
      <c r="I332" s="143" t="s">
        <v>951</v>
      </c>
      <c r="J332" s="143" t="s">
        <v>204</v>
      </c>
      <c r="K332" s="143" t="s">
        <v>204</v>
      </c>
      <c r="L332" s="143" t="s">
        <v>325</v>
      </c>
      <c r="M332" s="143" t="s">
        <v>340</v>
      </c>
      <c r="N332" s="143" t="s">
        <v>445</v>
      </c>
      <c r="O332" s="143" t="s">
        <v>339</v>
      </c>
      <c r="P332" s="143" t="s">
        <v>1366</v>
      </c>
      <c r="Q332" s="143" t="s">
        <v>415</v>
      </c>
      <c r="R332" s="143" t="s">
        <v>407</v>
      </c>
      <c r="S332" s="143" t="s">
        <v>1210</v>
      </c>
      <c r="T332" s="144">
        <v>4.53</v>
      </c>
      <c r="U332" s="143" t="s">
        <v>1415</v>
      </c>
      <c r="V332" s="146">
        <v>2.6200000000000001E-2</v>
      </c>
      <c r="W332" s="146">
        <v>5.5462999999999998E-2</v>
      </c>
      <c r="X332" s="143" t="s">
        <v>412</v>
      </c>
      <c r="Y332" s="145" t="s">
        <v>3876</v>
      </c>
      <c r="Z332" s="144">
        <v>8998</v>
      </c>
      <c r="AA332" s="145" t="s">
        <v>3876</v>
      </c>
      <c r="AB332" s="143" t="s">
        <v>1416</v>
      </c>
      <c r="AC332" s="145" t="s">
        <v>3876</v>
      </c>
      <c r="AD332" s="144">
        <v>7.9613999999999994</v>
      </c>
      <c r="AE332" s="145" t="s">
        <v>3876</v>
      </c>
      <c r="AF332" s="145" t="s">
        <v>3876</v>
      </c>
      <c r="AG332" s="145" t="s">
        <v>3876</v>
      </c>
      <c r="AH332" s="146">
        <v>6.9570676709750794E-6</v>
      </c>
      <c r="AI332" s="146">
        <v>5.1858779723929476E-3</v>
      </c>
      <c r="AJ332" s="147">
        <v>6.5559662923894571E-4</v>
      </c>
      <c r="AK332" s="181"/>
    </row>
    <row r="333" spans="1:37" ht="15" x14ac:dyDescent="0.2">
      <c r="A333" s="142" t="s">
        <v>1220</v>
      </c>
      <c r="B333" s="143" t="s">
        <v>1222</v>
      </c>
      <c r="C333" s="143" t="s">
        <v>1694</v>
      </c>
      <c r="D333" s="143" t="s">
        <v>1695</v>
      </c>
      <c r="E333" s="143" t="s">
        <v>309</v>
      </c>
      <c r="F333" s="143" t="s">
        <v>1696</v>
      </c>
      <c r="G333" s="143" t="s">
        <v>1697</v>
      </c>
      <c r="H333" s="143" t="s">
        <v>321</v>
      </c>
      <c r="I333" s="143" t="s">
        <v>951</v>
      </c>
      <c r="J333" s="143" t="s">
        <v>204</v>
      </c>
      <c r="K333" s="143" t="s">
        <v>224</v>
      </c>
      <c r="L333" s="143" t="s">
        <v>325</v>
      </c>
      <c r="M333" s="143" t="s">
        <v>340</v>
      </c>
      <c r="N333" s="143" t="s">
        <v>465</v>
      </c>
      <c r="O333" s="143" t="s">
        <v>339</v>
      </c>
      <c r="P333" s="143" t="s">
        <v>1403</v>
      </c>
      <c r="Q333" s="143" t="s">
        <v>413</v>
      </c>
      <c r="R333" s="143" t="s">
        <v>407</v>
      </c>
      <c r="S333" s="143" t="s">
        <v>1210</v>
      </c>
      <c r="T333" s="144">
        <v>1.38</v>
      </c>
      <c r="U333" s="143" t="s">
        <v>1698</v>
      </c>
      <c r="V333" s="146">
        <v>3.95E-2</v>
      </c>
      <c r="W333" s="146">
        <v>6.1266000000000001E-2</v>
      </c>
      <c r="X333" s="143" t="s">
        <v>412</v>
      </c>
      <c r="Y333" s="145" t="s">
        <v>3876</v>
      </c>
      <c r="Z333" s="144">
        <v>7500</v>
      </c>
      <c r="AA333" s="145" t="s">
        <v>3876</v>
      </c>
      <c r="AB333" s="143" t="s">
        <v>1699</v>
      </c>
      <c r="AC333" s="145" t="s">
        <v>3876</v>
      </c>
      <c r="AD333" s="144">
        <v>7.3163</v>
      </c>
      <c r="AE333" s="145" t="s">
        <v>3876</v>
      </c>
      <c r="AF333" s="145" t="s">
        <v>3876</v>
      </c>
      <c r="AG333" s="145" t="s">
        <v>3876</v>
      </c>
      <c r="AH333" s="146">
        <v>2.3893763205963454E-5</v>
      </c>
      <c r="AI333" s="146">
        <v>4.7656234884022727E-3</v>
      </c>
      <c r="AJ333" s="147">
        <v>6.0246822463830578E-4</v>
      </c>
      <c r="AK333" s="181"/>
    </row>
    <row r="334" spans="1:37" ht="15" x14ac:dyDescent="0.2">
      <c r="A334" s="142" t="s">
        <v>1220</v>
      </c>
      <c r="B334" s="143" t="s">
        <v>1222</v>
      </c>
      <c r="C334" s="143" t="s">
        <v>1700</v>
      </c>
      <c r="D334" s="143" t="s">
        <v>1701</v>
      </c>
      <c r="E334" s="143" t="s">
        <v>309</v>
      </c>
      <c r="F334" s="143" t="s">
        <v>1702</v>
      </c>
      <c r="G334" s="143" t="s">
        <v>1703</v>
      </c>
      <c r="H334" s="143" t="s">
        <v>321</v>
      </c>
      <c r="I334" s="143" t="s">
        <v>951</v>
      </c>
      <c r="J334" s="143" t="s">
        <v>204</v>
      </c>
      <c r="K334" s="143" t="s">
        <v>204</v>
      </c>
      <c r="L334" s="143" t="s">
        <v>325</v>
      </c>
      <c r="M334" s="143" t="s">
        <v>340</v>
      </c>
      <c r="N334" s="143" t="s">
        <v>454</v>
      </c>
      <c r="O334" s="143" t="s">
        <v>339</v>
      </c>
      <c r="P334" s="143" t="s">
        <v>1359</v>
      </c>
      <c r="Q334" s="143" t="s">
        <v>415</v>
      </c>
      <c r="R334" s="143" t="s">
        <v>407</v>
      </c>
      <c r="S334" s="143" t="s">
        <v>1210</v>
      </c>
      <c r="T334" s="144">
        <v>2.88</v>
      </c>
      <c r="U334" s="143" t="s">
        <v>1704</v>
      </c>
      <c r="V334" s="146">
        <v>6.7500000000000004E-2</v>
      </c>
      <c r="W334" s="146">
        <v>6.2689999999999996E-2</v>
      </c>
      <c r="X334" s="143" t="s">
        <v>412</v>
      </c>
      <c r="Y334" s="145" t="s">
        <v>3876</v>
      </c>
      <c r="Z334" s="144">
        <v>5927.55</v>
      </c>
      <c r="AA334" s="145" t="s">
        <v>3876</v>
      </c>
      <c r="AB334" s="143" t="s">
        <v>1705</v>
      </c>
      <c r="AC334" s="145" t="s">
        <v>3876</v>
      </c>
      <c r="AD334" s="144">
        <v>6.1918999999999995</v>
      </c>
      <c r="AE334" s="145" t="s">
        <v>3876</v>
      </c>
      <c r="AF334" s="145" t="s">
        <v>3876</v>
      </c>
      <c r="AG334" s="145" t="s">
        <v>3876</v>
      </c>
      <c r="AH334" s="146">
        <v>3.3871714285714284E-6</v>
      </c>
      <c r="AI334" s="146">
        <v>4.0332620315005601E-3</v>
      </c>
      <c r="AJ334" s="147">
        <v>5.0988338074392937E-4</v>
      </c>
      <c r="AK334" s="181"/>
    </row>
    <row r="335" spans="1:37" ht="15" x14ac:dyDescent="0.2">
      <c r="A335" s="142" t="s">
        <v>1220</v>
      </c>
      <c r="B335" s="143" t="s">
        <v>1222</v>
      </c>
      <c r="C335" s="143" t="s">
        <v>1853</v>
      </c>
      <c r="D335" s="143" t="s">
        <v>1854</v>
      </c>
      <c r="E335" s="143" t="s">
        <v>309</v>
      </c>
      <c r="F335" s="143" t="s">
        <v>1855</v>
      </c>
      <c r="G335" s="143" t="s">
        <v>1856</v>
      </c>
      <c r="H335" s="143" t="s">
        <v>321</v>
      </c>
      <c r="I335" s="143" t="s">
        <v>951</v>
      </c>
      <c r="J335" s="143" t="s">
        <v>204</v>
      </c>
      <c r="K335" s="143" t="s">
        <v>204</v>
      </c>
      <c r="L335" s="143" t="s">
        <v>325</v>
      </c>
      <c r="M335" s="143" t="s">
        <v>340</v>
      </c>
      <c r="N335" s="143" t="s">
        <v>464</v>
      </c>
      <c r="O335" s="143" t="s">
        <v>339</v>
      </c>
      <c r="P335" s="143" t="s">
        <v>1396</v>
      </c>
      <c r="Q335" s="143" t="s">
        <v>415</v>
      </c>
      <c r="R335" s="143" t="s">
        <v>407</v>
      </c>
      <c r="S335" s="143" t="s">
        <v>1210</v>
      </c>
      <c r="T335" s="144">
        <v>2.34</v>
      </c>
      <c r="U335" s="143" t="s">
        <v>1542</v>
      </c>
      <c r="V335" s="146">
        <v>5.6500000000000002E-2</v>
      </c>
      <c r="W335" s="146">
        <v>5.2422999999999997E-2</v>
      </c>
      <c r="X335" s="143" t="s">
        <v>412</v>
      </c>
      <c r="Y335" s="145" t="s">
        <v>3876</v>
      </c>
      <c r="Z335" s="144">
        <v>5647.06</v>
      </c>
      <c r="AA335" s="145" t="s">
        <v>3876</v>
      </c>
      <c r="AB335" s="143" t="s">
        <v>1857</v>
      </c>
      <c r="AC335" s="145" t="s">
        <v>3876</v>
      </c>
      <c r="AD335" s="144">
        <v>5.7096999999999998</v>
      </c>
      <c r="AE335" s="145" t="s">
        <v>3876</v>
      </c>
      <c r="AF335" s="145" t="s">
        <v>3876</v>
      </c>
      <c r="AG335" s="145" t="s">
        <v>3876</v>
      </c>
      <c r="AH335" s="146">
        <v>3.6183008547454549E-5</v>
      </c>
      <c r="AI335" s="146">
        <v>3.7191843269619228E-3</v>
      </c>
      <c r="AJ335" s="147">
        <v>4.7017780234220261E-4</v>
      </c>
      <c r="AK335" s="181"/>
    </row>
    <row r="336" spans="1:37" ht="15" x14ac:dyDescent="0.2">
      <c r="A336" s="142" t="s">
        <v>1220</v>
      </c>
      <c r="B336" s="143" t="s">
        <v>1222</v>
      </c>
      <c r="C336" s="143" t="s">
        <v>1858</v>
      </c>
      <c r="D336" s="143" t="s">
        <v>1859</v>
      </c>
      <c r="E336" s="143" t="s">
        <v>309</v>
      </c>
      <c r="F336" s="143" t="s">
        <v>1860</v>
      </c>
      <c r="G336" s="143" t="s">
        <v>1861</v>
      </c>
      <c r="H336" s="143" t="s">
        <v>321</v>
      </c>
      <c r="I336" s="143" t="s">
        <v>951</v>
      </c>
      <c r="J336" s="143" t="s">
        <v>204</v>
      </c>
      <c r="K336" s="143" t="s">
        <v>204</v>
      </c>
      <c r="L336" s="143" t="s">
        <v>325</v>
      </c>
      <c r="M336" s="143" t="s">
        <v>340</v>
      </c>
      <c r="N336" s="143" t="s">
        <v>463</v>
      </c>
      <c r="O336" s="143" t="s">
        <v>339</v>
      </c>
      <c r="P336" s="143" t="s">
        <v>1403</v>
      </c>
      <c r="Q336" s="143" t="s">
        <v>413</v>
      </c>
      <c r="R336" s="143" t="s">
        <v>407</v>
      </c>
      <c r="S336" s="143" t="s">
        <v>1210</v>
      </c>
      <c r="T336" s="144">
        <v>3.27</v>
      </c>
      <c r="U336" s="143" t="s">
        <v>1862</v>
      </c>
      <c r="V336" s="146">
        <v>2.6200000000000001E-2</v>
      </c>
      <c r="W336" s="146">
        <v>5.6523999999999998E-2</v>
      </c>
      <c r="X336" s="143" t="s">
        <v>412</v>
      </c>
      <c r="Y336" s="145" t="s">
        <v>3876</v>
      </c>
      <c r="Z336" s="144">
        <v>4749.9799999999996</v>
      </c>
      <c r="AA336" s="145" t="s">
        <v>3876</v>
      </c>
      <c r="AB336" s="143" t="s">
        <v>1863</v>
      </c>
      <c r="AC336" s="144">
        <v>0.8579</v>
      </c>
      <c r="AD336" s="144">
        <v>5.1718000000000002</v>
      </c>
      <c r="AE336" s="145" t="s">
        <v>3876</v>
      </c>
      <c r="AF336" s="145" t="s">
        <v>3876</v>
      </c>
      <c r="AG336" s="145" t="s">
        <v>3876</v>
      </c>
      <c r="AH336" s="146">
        <v>1.1055782389743587E-5</v>
      </c>
      <c r="AI336" s="146">
        <v>3.9275784355372297E-3</v>
      </c>
      <c r="AJ336" s="147">
        <v>4.9652290260536664E-4</v>
      </c>
      <c r="AK336" s="181"/>
    </row>
    <row r="337" spans="1:37" ht="15" x14ac:dyDescent="0.2">
      <c r="A337" s="142" t="s">
        <v>1220</v>
      </c>
      <c r="B337" s="143" t="s">
        <v>1222</v>
      </c>
      <c r="C337" s="143" t="s">
        <v>1362</v>
      </c>
      <c r="D337" s="143" t="s">
        <v>1363</v>
      </c>
      <c r="E337" s="143" t="s">
        <v>309</v>
      </c>
      <c r="F337" s="143" t="s">
        <v>1364</v>
      </c>
      <c r="G337" s="143" t="s">
        <v>1365</v>
      </c>
      <c r="H337" s="143" t="s">
        <v>321</v>
      </c>
      <c r="I337" s="143" t="s">
        <v>951</v>
      </c>
      <c r="J337" s="143" t="s">
        <v>204</v>
      </c>
      <c r="K337" s="143" t="s">
        <v>204</v>
      </c>
      <c r="L337" s="143" t="s">
        <v>325</v>
      </c>
      <c r="M337" s="143" t="s">
        <v>340</v>
      </c>
      <c r="N337" s="143" t="s">
        <v>445</v>
      </c>
      <c r="O337" s="143" t="s">
        <v>339</v>
      </c>
      <c r="P337" s="143" t="s">
        <v>1366</v>
      </c>
      <c r="Q337" s="143" t="s">
        <v>415</v>
      </c>
      <c r="R337" s="143" t="s">
        <v>407</v>
      </c>
      <c r="S337" s="143" t="s">
        <v>1210</v>
      </c>
      <c r="T337" s="144">
        <v>4.16</v>
      </c>
      <c r="U337" s="143" t="s">
        <v>1367</v>
      </c>
      <c r="V337" s="146">
        <v>3.95E-2</v>
      </c>
      <c r="W337" s="146">
        <v>5.3097999999999999E-2</v>
      </c>
      <c r="X337" s="143" t="s">
        <v>412</v>
      </c>
      <c r="Y337" s="145" t="s">
        <v>3876</v>
      </c>
      <c r="Z337" s="144">
        <v>3473</v>
      </c>
      <c r="AA337" s="145" t="s">
        <v>3876</v>
      </c>
      <c r="AB337" s="143" t="s">
        <v>1368</v>
      </c>
      <c r="AC337" s="145" t="s">
        <v>3876</v>
      </c>
      <c r="AD337" s="144">
        <v>3.2951999999999999</v>
      </c>
      <c r="AE337" s="145" t="s">
        <v>3876</v>
      </c>
      <c r="AF337" s="145" t="s">
        <v>3876</v>
      </c>
      <c r="AG337" s="145" t="s">
        <v>3876</v>
      </c>
      <c r="AH337" s="146">
        <v>1.447023203489965E-5</v>
      </c>
      <c r="AI337" s="146">
        <v>2.1463999513425284E-3</v>
      </c>
      <c r="AJ337" s="147">
        <v>2.7134702756021069E-4</v>
      </c>
      <c r="AK337" s="181"/>
    </row>
    <row r="338" spans="1:37" ht="15" x14ac:dyDescent="0.2">
      <c r="A338" s="142" t="s">
        <v>1220</v>
      </c>
      <c r="B338" s="143" t="s">
        <v>1222</v>
      </c>
      <c r="C338" s="143" t="s">
        <v>1362</v>
      </c>
      <c r="D338" s="143" t="s">
        <v>1363</v>
      </c>
      <c r="E338" s="143" t="s">
        <v>309</v>
      </c>
      <c r="F338" s="143" t="s">
        <v>1434</v>
      </c>
      <c r="G338" s="143" t="s">
        <v>1435</v>
      </c>
      <c r="H338" s="143" t="s">
        <v>321</v>
      </c>
      <c r="I338" s="143" t="s">
        <v>951</v>
      </c>
      <c r="J338" s="143" t="s">
        <v>204</v>
      </c>
      <c r="K338" s="143" t="s">
        <v>204</v>
      </c>
      <c r="L338" s="143" t="s">
        <v>325</v>
      </c>
      <c r="M338" s="143" t="s">
        <v>340</v>
      </c>
      <c r="N338" s="143" t="s">
        <v>445</v>
      </c>
      <c r="O338" s="143" t="s">
        <v>339</v>
      </c>
      <c r="P338" s="143" t="s">
        <v>1366</v>
      </c>
      <c r="Q338" s="143" t="s">
        <v>415</v>
      </c>
      <c r="R338" s="143" t="s">
        <v>407</v>
      </c>
      <c r="S338" s="143" t="s">
        <v>1210</v>
      </c>
      <c r="T338" s="144">
        <v>4.97</v>
      </c>
      <c r="U338" s="143" t="s">
        <v>1436</v>
      </c>
      <c r="V338" s="146">
        <v>3.95E-2</v>
      </c>
      <c r="W338" s="146">
        <v>5.5541E-2</v>
      </c>
      <c r="X338" s="143" t="s">
        <v>412</v>
      </c>
      <c r="Y338" s="145" t="s">
        <v>3876</v>
      </c>
      <c r="Z338" s="144">
        <v>3227</v>
      </c>
      <c r="AA338" s="145" t="s">
        <v>3876</v>
      </c>
      <c r="AB338" s="143" t="s">
        <v>1437</v>
      </c>
      <c r="AC338" s="145" t="s">
        <v>3876</v>
      </c>
      <c r="AD338" s="144">
        <v>2.9953000000000003</v>
      </c>
      <c r="AE338" s="145" t="s">
        <v>3876</v>
      </c>
      <c r="AF338" s="145" t="s">
        <v>3876</v>
      </c>
      <c r="AG338" s="145" t="s">
        <v>3876</v>
      </c>
      <c r="AH338" s="146">
        <v>1.344527462615064E-5</v>
      </c>
      <c r="AI338" s="146">
        <v>1.9510649180501231E-3</v>
      </c>
      <c r="AJ338" s="147">
        <v>2.466528503966693E-4</v>
      </c>
      <c r="AK338" s="181"/>
    </row>
    <row r="339" spans="1:37" ht="15" x14ac:dyDescent="0.2">
      <c r="A339" s="142" t="s">
        <v>1220</v>
      </c>
      <c r="B339" s="143" t="s">
        <v>1222</v>
      </c>
      <c r="C339" s="143" t="s">
        <v>1864</v>
      </c>
      <c r="D339" s="143" t="s">
        <v>1865</v>
      </c>
      <c r="E339" s="143" t="s">
        <v>309</v>
      </c>
      <c r="F339" s="143" t="s">
        <v>1866</v>
      </c>
      <c r="G339" s="143" t="s">
        <v>1867</v>
      </c>
      <c r="H339" s="143" t="s">
        <v>321</v>
      </c>
      <c r="I339" s="143" t="s">
        <v>951</v>
      </c>
      <c r="J339" s="143" t="s">
        <v>204</v>
      </c>
      <c r="K339" s="143" t="s">
        <v>204</v>
      </c>
      <c r="L339" s="143" t="s">
        <v>325</v>
      </c>
      <c r="M339" s="143" t="s">
        <v>340</v>
      </c>
      <c r="N339" s="143" t="s">
        <v>465</v>
      </c>
      <c r="O339" s="143" t="s">
        <v>339</v>
      </c>
      <c r="P339" s="143" t="s">
        <v>1359</v>
      </c>
      <c r="Q339" s="143" t="s">
        <v>415</v>
      </c>
      <c r="R339" s="143" t="s">
        <v>407</v>
      </c>
      <c r="S339" s="143" t="s">
        <v>1210</v>
      </c>
      <c r="T339" s="144">
        <v>2.91</v>
      </c>
      <c r="U339" s="143" t="s">
        <v>1868</v>
      </c>
      <c r="V339" s="146">
        <v>2.8500000000000001E-2</v>
      </c>
      <c r="W339" s="146">
        <v>6.2257E-2</v>
      </c>
      <c r="X339" s="143" t="s">
        <v>412</v>
      </c>
      <c r="Y339" s="145" t="s">
        <v>3876</v>
      </c>
      <c r="Z339" s="144">
        <v>2823.54</v>
      </c>
      <c r="AA339" s="145" t="s">
        <v>3876</v>
      </c>
      <c r="AB339" s="143" t="s">
        <v>1869</v>
      </c>
      <c r="AC339" s="145" t="s">
        <v>3876</v>
      </c>
      <c r="AD339" s="144">
        <v>2.5745</v>
      </c>
      <c r="AE339" s="145" t="s">
        <v>3876</v>
      </c>
      <c r="AF339" s="145" t="s">
        <v>3876</v>
      </c>
      <c r="AG339" s="145" t="s">
        <v>3876</v>
      </c>
      <c r="AH339" s="146">
        <v>5.973726545532224E-6</v>
      </c>
      <c r="AI339" s="146">
        <v>1.6769677972763985E-3</v>
      </c>
      <c r="AJ339" s="147">
        <v>2.1200160148183314E-4</v>
      </c>
      <c r="AK339" s="181"/>
    </row>
    <row r="340" spans="1:37" ht="15" x14ac:dyDescent="0.2">
      <c r="A340" s="142" t="s">
        <v>1220</v>
      </c>
      <c r="B340" s="143" t="s">
        <v>1222</v>
      </c>
      <c r="C340" s="143" t="s">
        <v>1876</v>
      </c>
      <c r="D340" s="143" t="s">
        <v>1877</v>
      </c>
      <c r="E340" s="143" t="s">
        <v>309</v>
      </c>
      <c r="F340" s="143" t="s">
        <v>1878</v>
      </c>
      <c r="G340" s="143" t="s">
        <v>1879</v>
      </c>
      <c r="H340" s="143" t="s">
        <v>321</v>
      </c>
      <c r="I340" s="143" t="s">
        <v>951</v>
      </c>
      <c r="J340" s="143" t="s">
        <v>204</v>
      </c>
      <c r="K340" s="143" t="s">
        <v>204</v>
      </c>
      <c r="L340" s="143" t="s">
        <v>325</v>
      </c>
      <c r="M340" s="143" t="s">
        <v>340</v>
      </c>
      <c r="N340" s="143" t="s">
        <v>464</v>
      </c>
      <c r="O340" s="143" t="s">
        <v>339</v>
      </c>
      <c r="P340" s="143" t="s">
        <v>1410</v>
      </c>
      <c r="Q340" s="143" t="s">
        <v>413</v>
      </c>
      <c r="R340" s="143" t="s">
        <v>407</v>
      </c>
      <c r="S340" s="143" t="s">
        <v>1210</v>
      </c>
      <c r="T340" s="144">
        <v>0.98</v>
      </c>
      <c r="U340" s="143" t="s">
        <v>1880</v>
      </c>
      <c r="V340" s="146">
        <v>2.5499999999999998E-2</v>
      </c>
      <c r="W340" s="146">
        <v>4.9253999999999999E-2</v>
      </c>
      <c r="X340" s="143" t="s">
        <v>412</v>
      </c>
      <c r="Y340" s="145" t="s">
        <v>3876</v>
      </c>
      <c r="Z340" s="144">
        <v>1400</v>
      </c>
      <c r="AA340" s="145" t="s">
        <v>3876</v>
      </c>
      <c r="AB340" s="143" t="s">
        <v>1881</v>
      </c>
      <c r="AC340" s="145" t="s">
        <v>3876</v>
      </c>
      <c r="AD340" s="144">
        <v>1.3695999999999999</v>
      </c>
      <c r="AE340" s="145" t="s">
        <v>3876</v>
      </c>
      <c r="AF340" s="145" t="s">
        <v>3876</v>
      </c>
      <c r="AG340" s="145" t="s">
        <v>3876</v>
      </c>
      <c r="AH340" s="146">
        <v>2.0861894259998807E-5</v>
      </c>
      <c r="AI340" s="146">
        <v>8.9213644178172164E-4</v>
      </c>
      <c r="AJ340" s="147">
        <v>1.127835338908753E-4</v>
      </c>
      <c r="AK340" s="181"/>
    </row>
    <row r="341" spans="1:37" ht="15" x14ac:dyDescent="0.2">
      <c r="A341" s="142" t="s">
        <v>1220</v>
      </c>
      <c r="B341" s="143" t="s">
        <v>1222</v>
      </c>
      <c r="C341" s="143" t="s">
        <v>1888</v>
      </c>
      <c r="D341" s="143" t="s">
        <v>1889</v>
      </c>
      <c r="E341" s="143" t="s">
        <v>309</v>
      </c>
      <c r="F341" s="143" t="s">
        <v>1890</v>
      </c>
      <c r="G341" s="143" t="s">
        <v>1891</v>
      </c>
      <c r="H341" s="143" t="s">
        <v>321</v>
      </c>
      <c r="I341" s="143" t="s">
        <v>951</v>
      </c>
      <c r="J341" s="143" t="s">
        <v>204</v>
      </c>
      <c r="K341" s="143" t="s">
        <v>204</v>
      </c>
      <c r="L341" s="143" t="s">
        <v>325</v>
      </c>
      <c r="M341" s="143" t="s">
        <v>340</v>
      </c>
      <c r="N341" s="143" t="s">
        <v>454</v>
      </c>
      <c r="O341" s="143" t="s">
        <v>339</v>
      </c>
      <c r="P341" s="143" t="s">
        <v>1410</v>
      </c>
      <c r="Q341" s="143" t="s">
        <v>413</v>
      </c>
      <c r="R341" s="143" t="s">
        <v>407</v>
      </c>
      <c r="S341" s="143" t="s">
        <v>1210</v>
      </c>
      <c r="T341" s="144">
        <v>0.31</v>
      </c>
      <c r="U341" s="143" t="s">
        <v>1892</v>
      </c>
      <c r="V341" s="146">
        <v>2.3599999999999999E-2</v>
      </c>
      <c r="W341" s="146">
        <v>4.9519000000000001E-2</v>
      </c>
      <c r="X341" s="143" t="s">
        <v>412</v>
      </c>
      <c r="Y341" s="145" t="s">
        <v>3876</v>
      </c>
      <c r="Z341" s="144">
        <v>1226.46</v>
      </c>
      <c r="AA341" s="145" t="s">
        <v>3876</v>
      </c>
      <c r="AB341" s="143" t="s">
        <v>1893</v>
      </c>
      <c r="AC341" s="145" t="s">
        <v>3876</v>
      </c>
      <c r="AD341" s="144">
        <v>1.2294</v>
      </c>
      <c r="AE341" s="145" t="s">
        <v>3876</v>
      </c>
      <c r="AF341" s="145" t="s">
        <v>3876</v>
      </c>
      <c r="AG341" s="145" t="s">
        <v>3876</v>
      </c>
      <c r="AH341" s="146">
        <v>1.9467619047619049E-5</v>
      </c>
      <c r="AI341" s="146">
        <v>8.0080289976237255E-4</v>
      </c>
      <c r="AJ341" s="147">
        <v>1.0123718386044658E-4</v>
      </c>
      <c r="AK341" s="181"/>
    </row>
    <row r="342" spans="1:37" ht="15" x14ac:dyDescent="0.2">
      <c r="A342" s="142" t="s">
        <v>1220</v>
      </c>
      <c r="B342" s="143" t="s">
        <v>1222</v>
      </c>
      <c r="C342" s="143" t="s">
        <v>1870</v>
      </c>
      <c r="D342" s="143" t="s">
        <v>1871</v>
      </c>
      <c r="E342" s="143" t="s">
        <v>309</v>
      </c>
      <c r="F342" s="143" t="s">
        <v>1872</v>
      </c>
      <c r="G342" s="143" t="s">
        <v>1873</v>
      </c>
      <c r="H342" s="143" t="s">
        <v>321</v>
      </c>
      <c r="I342" s="143" t="s">
        <v>951</v>
      </c>
      <c r="J342" s="143" t="s">
        <v>204</v>
      </c>
      <c r="K342" s="143" t="s">
        <v>204</v>
      </c>
      <c r="L342" s="143" t="s">
        <v>325</v>
      </c>
      <c r="M342" s="143" t="s">
        <v>340</v>
      </c>
      <c r="N342" s="143" t="s">
        <v>484</v>
      </c>
      <c r="O342" s="143" t="s">
        <v>339</v>
      </c>
      <c r="P342" s="143" t="s">
        <v>1347</v>
      </c>
      <c r="Q342" s="143" t="s">
        <v>413</v>
      </c>
      <c r="R342" s="143" t="s">
        <v>407</v>
      </c>
      <c r="S342" s="143" t="s">
        <v>1210</v>
      </c>
      <c r="T342" s="144">
        <v>2.33</v>
      </c>
      <c r="U342" s="143" t="s">
        <v>1874</v>
      </c>
      <c r="V342" s="146">
        <v>0.04</v>
      </c>
      <c r="W342" s="146">
        <v>5.2908999999999998E-2</v>
      </c>
      <c r="X342" s="143" t="s">
        <v>412</v>
      </c>
      <c r="Y342" s="145" t="s">
        <v>3876</v>
      </c>
      <c r="Z342" s="144">
        <v>1194.9000000000001</v>
      </c>
      <c r="AA342" s="145" t="s">
        <v>3876</v>
      </c>
      <c r="AB342" s="143" t="s">
        <v>1875</v>
      </c>
      <c r="AC342" s="145" t="s">
        <v>3876</v>
      </c>
      <c r="AD342" s="144">
        <v>1.1619000000000002</v>
      </c>
      <c r="AE342" s="145" t="s">
        <v>3876</v>
      </c>
      <c r="AF342" s="145" t="s">
        <v>3876</v>
      </c>
      <c r="AG342" s="145" t="s">
        <v>3876</v>
      </c>
      <c r="AH342" s="146">
        <v>2.0062653775481157E-6</v>
      </c>
      <c r="AI342" s="146">
        <v>7.5684631683146702E-4</v>
      </c>
      <c r="AJ342" s="147">
        <v>9.5680210141478348E-5</v>
      </c>
      <c r="AK342" s="181"/>
    </row>
    <row r="343" spans="1:37" ht="15" x14ac:dyDescent="0.2">
      <c r="A343" s="142" t="s">
        <v>1220</v>
      </c>
      <c r="B343" s="143" t="s">
        <v>1222</v>
      </c>
      <c r="C343" s="143" t="s">
        <v>1882</v>
      </c>
      <c r="D343" s="143" t="s">
        <v>1883</v>
      </c>
      <c r="E343" s="143" t="s">
        <v>309</v>
      </c>
      <c r="F343" s="143" t="s">
        <v>1884</v>
      </c>
      <c r="G343" s="143" t="s">
        <v>1885</v>
      </c>
      <c r="H343" s="143" t="s">
        <v>321</v>
      </c>
      <c r="I343" s="143" t="s">
        <v>951</v>
      </c>
      <c r="J343" s="143" t="s">
        <v>204</v>
      </c>
      <c r="K343" s="143" t="s">
        <v>204</v>
      </c>
      <c r="L343" s="143" t="s">
        <v>325</v>
      </c>
      <c r="M343" s="143" t="s">
        <v>340</v>
      </c>
      <c r="N343" s="143" t="s">
        <v>445</v>
      </c>
      <c r="O343" s="143" t="s">
        <v>339</v>
      </c>
      <c r="P343" s="143" t="s">
        <v>1425</v>
      </c>
      <c r="Q343" s="143" t="s">
        <v>415</v>
      </c>
      <c r="R343" s="143" t="s">
        <v>407</v>
      </c>
      <c r="S343" s="143" t="s">
        <v>1210</v>
      </c>
      <c r="T343" s="144">
        <v>1.35</v>
      </c>
      <c r="U343" s="143" t="s">
        <v>1886</v>
      </c>
      <c r="V343" s="146">
        <v>3.27E-2</v>
      </c>
      <c r="W343" s="146">
        <v>5.0407E-2</v>
      </c>
      <c r="X343" s="143" t="s">
        <v>412</v>
      </c>
      <c r="Y343" s="145" t="s">
        <v>3876</v>
      </c>
      <c r="Z343" s="144">
        <v>921</v>
      </c>
      <c r="AA343" s="145" t="s">
        <v>3876</v>
      </c>
      <c r="AB343" s="143" t="s">
        <v>1887</v>
      </c>
      <c r="AC343" s="145" t="s">
        <v>3876</v>
      </c>
      <c r="AD343" s="144">
        <v>0.90410000000000001</v>
      </c>
      <c r="AE343" s="145" t="s">
        <v>3876</v>
      </c>
      <c r="AF343" s="145" t="s">
        <v>3876</v>
      </c>
      <c r="AG343" s="145" t="s">
        <v>3876</v>
      </c>
      <c r="AH343" s="146">
        <v>2.9183156787381214E-6</v>
      </c>
      <c r="AI343" s="146">
        <v>5.8887805514227002E-4</v>
      </c>
      <c r="AJ343" s="147">
        <v>7.4445729351767508E-5</v>
      </c>
      <c r="AK343" s="181"/>
    </row>
    <row r="344" spans="1:37" ht="15" x14ac:dyDescent="0.2">
      <c r="A344" s="142" t="s">
        <v>1220</v>
      </c>
      <c r="B344" s="143" t="s">
        <v>1222</v>
      </c>
      <c r="C344" s="143" t="s">
        <v>1438</v>
      </c>
      <c r="D344" s="143" t="s">
        <v>1439</v>
      </c>
      <c r="E344" s="143" t="s">
        <v>309</v>
      </c>
      <c r="F344" s="143" t="s">
        <v>1440</v>
      </c>
      <c r="G344" s="143" t="s">
        <v>1441</v>
      </c>
      <c r="H344" s="143" t="s">
        <v>321</v>
      </c>
      <c r="I344" s="143" t="s">
        <v>951</v>
      </c>
      <c r="J344" s="143" t="s">
        <v>204</v>
      </c>
      <c r="K344" s="143" t="s">
        <v>204</v>
      </c>
      <c r="L344" s="143" t="s">
        <v>325</v>
      </c>
      <c r="M344" s="143" t="s">
        <v>340</v>
      </c>
      <c r="N344" s="143" t="s">
        <v>464</v>
      </c>
      <c r="O344" s="143" t="s">
        <v>339</v>
      </c>
      <c r="P344" s="143" t="s">
        <v>1410</v>
      </c>
      <c r="Q344" s="143" t="s">
        <v>413</v>
      </c>
      <c r="R344" s="143" t="s">
        <v>407</v>
      </c>
      <c r="S344" s="143" t="s">
        <v>1210</v>
      </c>
      <c r="T344" s="144">
        <v>5.38</v>
      </c>
      <c r="U344" s="143" t="s">
        <v>1442</v>
      </c>
      <c r="V344" s="146">
        <v>2.5499999999999998E-2</v>
      </c>
      <c r="W344" s="146">
        <v>6.1415999999999998E-2</v>
      </c>
      <c r="X344" s="143" t="s">
        <v>412</v>
      </c>
      <c r="Y344" s="145" t="s">
        <v>3876</v>
      </c>
      <c r="Z344" s="144">
        <v>753.35</v>
      </c>
      <c r="AA344" s="145" t="s">
        <v>3876</v>
      </c>
      <c r="AB344" s="143" t="s">
        <v>1443</v>
      </c>
      <c r="AC344" s="145" t="s">
        <v>3876</v>
      </c>
      <c r="AD344" s="144">
        <v>0.62390000000000001</v>
      </c>
      <c r="AE344" s="145" t="s">
        <v>3876</v>
      </c>
      <c r="AF344" s="145" t="s">
        <v>3876</v>
      </c>
      <c r="AG344" s="145" t="s">
        <v>3876</v>
      </c>
      <c r="AH344" s="146">
        <v>4.3447915245058543E-7</v>
      </c>
      <c r="AI344" s="146">
        <v>4.0640889926136197E-4</v>
      </c>
      <c r="AJ344" s="147">
        <v>5.1378051289840547E-5</v>
      </c>
      <c r="AK344" s="181"/>
    </row>
    <row r="345" spans="1:37" ht="15" x14ac:dyDescent="0.2">
      <c r="A345" s="142" t="s">
        <v>1220</v>
      </c>
      <c r="B345" s="143" t="s">
        <v>1222</v>
      </c>
      <c r="C345" s="143" t="s">
        <v>1450</v>
      </c>
      <c r="D345" s="143" t="s">
        <v>1451</v>
      </c>
      <c r="E345" s="143" t="s">
        <v>309</v>
      </c>
      <c r="F345" s="143" t="s">
        <v>1452</v>
      </c>
      <c r="G345" s="143" t="s">
        <v>1453</v>
      </c>
      <c r="H345" s="143" t="s">
        <v>321</v>
      </c>
      <c r="I345" s="143" t="s">
        <v>951</v>
      </c>
      <c r="J345" s="143" t="s">
        <v>204</v>
      </c>
      <c r="K345" s="143" t="s">
        <v>204</v>
      </c>
      <c r="L345" s="143" t="s">
        <v>325</v>
      </c>
      <c r="M345" s="143" t="s">
        <v>340</v>
      </c>
      <c r="N345" s="143" t="s">
        <v>465</v>
      </c>
      <c r="O345" s="143" t="s">
        <v>339</v>
      </c>
      <c r="P345" s="143" t="s">
        <v>1454</v>
      </c>
      <c r="Q345" s="143" t="s">
        <v>415</v>
      </c>
      <c r="R345" s="143" t="s">
        <v>407</v>
      </c>
      <c r="S345" s="143" t="s">
        <v>1210</v>
      </c>
      <c r="T345" s="144">
        <v>0.5</v>
      </c>
      <c r="U345" s="143" t="s">
        <v>1455</v>
      </c>
      <c r="V345" s="146">
        <v>3.7999999999999999E-2</v>
      </c>
      <c r="W345" s="146">
        <v>7.2817000000000007E-2</v>
      </c>
      <c r="X345" s="143" t="s">
        <v>412</v>
      </c>
      <c r="Y345" s="145" t="s">
        <v>3876</v>
      </c>
      <c r="Z345" s="144">
        <v>0.09</v>
      </c>
      <c r="AA345" s="145" t="s">
        <v>3876</v>
      </c>
      <c r="AB345" s="143" t="s">
        <v>1326</v>
      </c>
      <c r="AC345" s="145" t="s">
        <v>3876</v>
      </c>
      <c r="AD345" s="144">
        <v>1E-4</v>
      </c>
      <c r="AE345" s="145" t="s">
        <v>3876</v>
      </c>
      <c r="AF345" s="145" t="s">
        <v>3876</v>
      </c>
      <c r="AG345" s="145" t="s">
        <v>3876</v>
      </c>
      <c r="AH345" s="146">
        <v>2.6933887863379448E-10</v>
      </c>
      <c r="AI345" s="146">
        <v>5.7761994748819189E-8</v>
      </c>
      <c r="AJ345" s="147">
        <v>7.3022483862977676E-9</v>
      </c>
      <c r="AK345" s="181"/>
    </row>
    <row r="346" spans="1:37" ht="15" x14ac:dyDescent="0.2">
      <c r="A346" s="142" t="s">
        <v>1220</v>
      </c>
      <c r="B346" s="143" t="s">
        <v>1222</v>
      </c>
      <c r="C346" s="143" t="s">
        <v>1349</v>
      </c>
      <c r="D346" s="143" t="s">
        <v>1350</v>
      </c>
      <c r="E346" s="143" t="s">
        <v>309</v>
      </c>
      <c r="F346" s="143" t="s">
        <v>1460</v>
      </c>
      <c r="G346" s="143" t="s">
        <v>1461</v>
      </c>
      <c r="H346" s="143" t="s">
        <v>321</v>
      </c>
      <c r="I346" s="143" t="s">
        <v>754</v>
      </c>
      <c r="J346" s="143" t="s">
        <v>204</v>
      </c>
      <c r="K346" s="143" t="s">
        <v>204</v>
      </c>
      <c r="L346" s="143" t="s">
        <v>325</v>
      </c>
      <c r="M346" s="143" t="s">
        <v>340</v>
      </c>
      <c r="N346" s="143" t="s">
        <v>448</v>
      </c>
      <c r="O346" s="143" t="s">
        <v>339</v>
      </c>
      <c r="P346" s="143" t="s">
        <v>1224</v>
      </c>
      <c r="Q346" s="143" t="s">
        <v>413</v>
      </c>
      <c r="R346" s="143" t="s">
        <v>407</v>
      </c>
      <c r="S346" s="143" t="s">
        <v>1210</v>
      </c>
      <c r="T346" s="144">
        <v>0.24</v>
      </c>
      <c r="U346" s="143" t="s">
        <v>1462</v>
      </c>
      <c r="V346" s="146">
        <v>8.6E-3</v>
      </c>
      <c r="W346" s="146">
        <v>2.5704999999999999E-2</v>
      </c>
      <c r="X346" s="143" t="s">
        <v>412</v>
      </c>
      <c r="Y346" s="145" t="s">
        <v>3876</v>
      </c>
      <c r="Z346" s="144">
        <v>81301</v>
      </c>
      <c r="AA346" s="145" t="s">
        <v>3876</v>
      </c>
      <c r="AB346" s="143" t="s">
        <v>1463</v>
      </c>
      <c r="AC346" s="145" t="s">
        <v>3876</v>
      </c>
      <c r="AD346" s="144">
        <v>93.447399999999988</v>
      </c>
      <c r="AE346" s="145" t="s">
        <v>3876</v>
      </c>
      <c r="AF346" s="145" t="s">
        <v>3876</v>
      </c>
      <c r="AG346" s="145" t="s">
        <v>3876</v>
      </c>
      <c r="AH346" s="146">
        <v>3.2502835467713249E-5</v>
      </c>
      <c r="AI346" s="146">
        <v>6.0869294863084754E-2</v>
      </c>
      <c r="AJ346" s="147">
        <v>7.6950720300068944E-3</v>
      </c>
      <c r="AK346" s="181"/>
    </row>
    <row r="347" spans="1:37" ht="15" x14ac:dyDescent="0.2">
      <c r="A347" s="142" t="s">
        <v>1220</v>
      </c>
      <c r="B347" s="143" t="s">
        <v>1222</v>
      </c>
      <c r="C347" s="143" t="s">
        <v>1349</v>
      </c>
      <c r="D347" s="143" t="s">
        <v>1350</v>
      </c>
      <c r="E347" s="143" t="s">
        <v>309</v>
      </c>
      <c r="F347" s="143" t="s">
        <v>1464</v>
      </c>
      <c r="G347" s="143" t="s">
        <v>1465</v>
      </c>
      <c r="H347" s="143" t="s">
        <v>321</v>
      </c>
      <c r="I347" s="143" t="s">
        <v>754</v>
      </c>
      <c r="J347" s="143" t="s">
        <v>204</v>
      </c>
      <c r="K347" s="143" t="s">
        <v>204</v>
      </c>
      <c r="L347" s="143" t="s">
        <v>325</v>
      </c>
      <c r="M347" s="143" t="s">
        <v>340</v>
      </c>
      <c r="N347" s="143" t="s">
        <v>448</v>
      </c>
      <c r="O347" s="143" t="s">
        <v>339</v>
      </c>
      <c r="P347" s="143" t="s">
        <v>1224</v>
      </c>
      <c r="Q347" s="143" t="s">
        <v>413</v>
      </c>
      <c r="R347" s="143" t="s">
        <v>407</v>
      </c>
      <c r="S347" s="143" t="s">
        <v>1210</v>
      </c>
      <c r="T347" s="144">
        <v>3.17</v>
      </c>
      <c r="U347" s="143" t="s">
        <v>1466</v>
      </c>
      <c r="V347" s="146">
        <v>1.2200000000000001E-2</v>
      </c>
      <c r="W347" s="146">
        <v>2.41E-2</v>
      </c>
      <c r="X347" s="143" t="s">
        <v>412</v>
      </c>
      <c r="Y347" s="145" t="s">
        <v>3876</v>
      </c>
      <c r="Z347" s="144">
        <v>69707</v>
      </c>
      <c r="AA347" s="145" t="s">
        <v>3876</v>
      </c>
      <c r="AB347" s="143" t="s">
        <v>1467</v>
      </c>
      <c r="AC347" s="145" t="s">
        <v>3876</v>
      </c>
      <c r="AD347" s="144">
        <v>77.737200000000001</v>
      </c>
      <c r="AE347" s="145" t="s">
        <v>3876</v>
      </c>
      <c r="AF347" s="145" t="s">
        <v>3876</v>
      </c>
      <c r="AG347" s="145" t="s">
        <v>3876</v>
      </c>
      <c r="AH347" s="146">
        <v>2.3115374259022714E-5</v>
      </c>
      <c r="AI347" s="146">
        <v>5.0636111036057412E-2</v>
      </c>
      <c r="AJ347" s="147">
        <v>6.4013970035029597E-3</v>
      </c>
      <c r="AK347" s="181"/>
    </row>
    <row r="348" spans="1:37" ht="15" x14ac:dyDescent="0.2">
      <c r="A348" s="142" t="s">
        <v>1220</v>
      </c>
      <c r="B348" s="143" t="s">
        <v>1222</v>
      </c>
      <c r="C348" s="143" t="s">
        <v>1544</v>
      </c>
      <c r="D348" s="143" t="s">
        <v>1545</v>
      </c>
      <c r="E348" s="143" t="s">
        <v>309</v>
      </c>
      <c r="F348" s="143" t="s">
        <v>1713</v>
      </c>
      <c r="G348" s="143" t="s">
        <v>1714</v>
      </c>
      <c r="H348" s="143" t="s">
        <v>321</v>
      </c>
      <c r="I348" s="143" t="s">
        <v>754</v>
      </c>
      <c r="J348" s="143" t="s">
        <v>204</v>
      </c>
      <c r="K348" s="143" t="s">
        <v>293</v>
      </c>
      <c r="L348" s="143" t="s">
        <v>325</v>
      </c>
      <c r="M348" s="143" t="s">
        <v>340</v>
      </c>
      <c r="N348" s="143" t="s">
        <v>465</v>
      </c>
      <c r="O348" s="143" t="s">
        <v>339</v>
      </c>
      <c r="P348" s="143" t="s">
        <v>1425</v>
      </c>
      <c r="Q348" s="143" t="s">
        <v>415</v>
      </c>
      <c r="R348" s="143" t="s">
        <v>407</v>
      </c>
      <c r="S348" s="143" t="s">
        <v>1210</v>
      </c>
      <c r="T348" s="144">
        <v>5.35</v>
      </c>
      <c r="U348" s="143" t="s">
        <v>1715</v>
      </c>
      <c r="V348" s="146">
        <v>1.54E-2</v>
      </c>
      <c r="W348" s="146">
        <v>4.0224999999999997E-2</v>
      </c>
      <c r="X348" s="143" t="s">
        <v>412</v>
      </c>
      <c r="Y348" s="145" t="s">
        <v>3876</v>
      </c>
      <c r="Z348" s="144">
        <v>64000</v>
      </c>
      <c r="AA348" s="145" t="s">
        <v>3876</v>
      </c>
      <c r="AB348" s="143" t="s">
        <v>1716</v>
      </c>
      <c r="AC348" s="145" t="s">
        <v>3876</v>
      </c>
      <c r="AD348" s="144">
        <v>62.271999999999998</v>
      </c>
      <c r="AE348" s="145" t="s">
        <v>3876</v>
      </c>
      <c r="AF348" s="145" t="s">
        <v>3876</v>
      </c>
      <c r="AG348" s="145" t="s">
        <v>3876</v>
      </c>
      <c r="AH348" s="146">
        <v>1.073031532037536E-4</v>
      </c>
      <c r="AI348" s="146">
        <v>4.0562433742666854E-2</v>
      </c>
      <c r="AJ348" s="147">
        <v>5.1278867294962012E-3</v>
      </c>
      <c r="AK348" s="181"/>
    </row>
    <row r="349" spans="1:37" ht="15" x14ac:dyDescent="0.2">
      <c r="A349" s="142" t="s">
        <v>1220</v>
      </c>
      <c r="B349" s="143" t="s">
        <v>1222</v>
      </c>
      <c r="C349" s="143" t="s">
        <v>1480</v>
      </c>
      <c r="D349" s="143" t="s">
        <v>1481</v>
      </c>
      <c r="E349" s="143" t="s">
        <v>309</v>
      </c>
      <c r="F349" s="143" t="s">
        <v>1482</v>
      </c>
      <c r="G349" s="143" t="s">
        <v>1483</v>
      </c>
      <c r="H349" s="143" t="s">
        <v>321</v>
      </c>
      <c r="I349" s="143" t="s">
        <v>754</v>
      </c>
      <c r="J349" s="143" t="s">
        <v>204</v>
      </c>
      <c r="K349" s="143" t="s">
        <v>204</v>
      </c>
      <c r="L349" s="143" t="s">
        <v>325</v>
      </c>
      <c r="M349" s="143" t="s">
        <v>340</v>
      </c>
      <c r="N349" s="143" t="s">
        <v>456</v>
      </c>
      <c r="O349" s="143" t="s">
        <v>339</v>
      </c>
      <c r="P349" s="143" t="s">
        <v>1347</v>
      </c>
      <c r="Q349" s="143" t="s">
        <v>413</v>
      </c>
      <c r="R349" s="143" t="s">
        <v>407</v>
      </c>
      <c r="S349" s="143" t="s">
        <v>1210</v>
      </c>
      <c r="T349" s="144">
        <v>5.43</v>
      </c>
      <c r="U349" s="143" t="s">
        <v>1484</v>
      </c>
      <c r="V349" s="146">
        <v>5.1499999999999997E-2</v>
      </c>
      <c r="W349" s="146">
        <v>3.8883000000000001E-2</v>
      </c>
      <c r="X349" s="143" t="s">
        <v>412</v>
      </c>
      <c r="Y349" s="145" t="s">
        <v>3876</v>
      </c>
      <c r="Z349" s="144">
        <v>41433.64</v>
      </c>
      <c r="AA349" s="145" t="s">
        <v>3876</v>
      </c>
      <c r="AB349" s="143" t="s">
        <v>1485</v>
      </c>
      <c r="AC349" s="145" t="s">
        <v>3876</v>
      </c>
      <c r="AD349" s="144">
        <v>60.961300000000001</v>
      </c>
      <c r="AE349" s="145" t="s">
        <v>3876</v>
      </c>
      <c r="AF349" s="145" t="s">
        <v>3876</v>
      </c>
      <c r="AG349" s="145" t="s">
        <v>3876</v>
      </c>
      <c r="AH349" s="146">
        <v>1.4267847272128948E-5</v>
      </c>
      <c r="AI349" s="146">
        <v>3.9708685790887141E-2</v>
      </c>
      <c r="AJ349" s="147">
        <v>5.0199562532323785E-3</v>
      </c>
      <c r="AK349" s="181"/>
    </row>
    <row r="350" spans="1:37" ht="15" x14ac:dyDescent="0.2">
      <c r="A350" s="142" t="s">
        <v>1220</v>
      </c>
      <c r="B350" s="143" t="s">
        <v>1222</v>
      </c>
      <c r="C350" s="143" t="s">
        <v>1498</v>
      </c>
      <c r="D350" s="143" t="s">
        <v>1499</v>
      </c>
      <c r="E350" s="143" t="s">
        <v>313</v>
      </c>
      <c r="F350" s="143" t="s">
        <v>1559</v>
      </c>
      <c r="G350" s="143" t="s">
        <v>1560</v>
      </c>
      <c r="H350" s="143" t="s">
        <v>321</v>
      </c>
      <c r="I350" s="143" t="s">
        <v>754</v>
      </c>
      <c r="J350" s="143" t="s">
        <v>204</v>
      </c>
      <c r="K350" s="143" t="s">
        <v>204</v>
      </c>
      <c r="L350" s="143" t="s">
        <v>325</v>
      </c>
      <c r="M350" s="143" t="s">
        <v>340</v>
      </c>
      <c r="N350" s="143" t="s">
        <v>440</v>
      </c>
      <c r="O350" s="143" t="s">
        <v>339</v>
      </c>
      <c r="P350" s="143" t="s">
        <v>1502</v>
      </c>
      <c r="Q350" s="143" t="s">
        <v>415</v>
      </c>
      <c r="R350" s="143" t="s">
        <v>407</v>
      </c>
      <c r="S350" s="143" t="s">
        <v>1210</v>
      </c>
      <c r="T350" s="144">
        <v>1.1299999999999999</v>
      </c>
      <c r="U350" s="143" t="s">
        <v>1561</v>
      </c>
      <c r="V350" s="146">
        <v>4.4999999999999998E-2</v>
      </c>
      <c r="W350" s="146">
        <v>2.6681E-2</v>
      </c>
      <c r="X350" s="143" t="s">
        <v>412</v>
      </c>
      <c r="Y350" s="145" t="s">
        <v>3876</v>
      </c>
      <c r="Z350" s="144">
        <v>42647</v>
      </c>
      <c r="AA350" s="145" t="s">
        <v>3876</v>
      </c>
      <c r="AB350" s="143" t="s">
        <v>1562</v>
      </c>
      <c r="AC350" s="145" t="s">
        <v>3876</v>
      </c>
      <c r="AD350" s="144">
        <v>50.873599999999996</v>
      </c>
      <c r="AE350" s="145" t="s">
        <v>3876</v>
      </c>
      <c r="AF350" s="145" t="s">
        <v>3876</v>
      </c>
      <c r="AG350" s="145" t="s">
        <v>3876</v>
      </c>
      <c r="AH350" s="146">
        <v>1.4429198434275488E-5</v>
      </c>
      <c r="AI350" s="146">
        <v>3.3137803263011772E-2</v>
      </c>
      <c r="AJ350" s="147">
        <v>4.1892678993349225E-3</v>
      </c>
      <c r="AK350" s="181"/>
    </row>
    <row r="351" spans="1:37" ht="15" x14ac:dyDescent="0.2">
      <c r="A351" s="142" t="s">
        <v>1220</v>
      </c>
      <c r="B351" s="143" t="s">
        <v>1222</v>
      </c>
      <c r="C351" s="143" t="s">
        <v>1474</v>
      </c>
      <c r="D351" s="143" t="s">
        <v>1475</v>
      </c>
      <c r="E351" s="143" t="s">
        <v>309</v>
      </c>
      <c r="F351" s="143" t="s">
        <v>1476</v>
      </c>
      <c r="G351" s="143" t="s">
        <v>1477</v>
      </c>
      <c r="H351" s="143" t="s">
        <v>321</v>
      </c>
      <c r="I351" s="143" t="s">
        <v>754</v>
      </c>
      <c r="J351" s="143" t="s">
        <v>204</v>
      </c>
      <c r="K351" s="143" t="s">
        <v>204</v>
      </c>
      <c r="L351" s="143" t="s">
        <v>325</v>
      </c>
      <c r="M351" s="143" t="s">
        <v>340</v>
      </c>
      <c r="N351" s="143" t="s">
        <v>448</v>
      </c>
      <c r="O351" s="143" t="s">
        <v>339</v>
      </c>
      <c r="P351" s="143" t="s">
        <v>1224</v>
      </c>
      <c r="Q351" s="143" t="s">
        <v>413</v>
      </c>
      <c r="R351" s="143" t="s">
        <v>407</v>
      </c>
      <c r="S351" s="143" t="s">
        <v>1210</v>
      </c>
      <c r="T351" s="144">
        <v>3.26</v>
      </c>
      <c r="U351" s="143" t="s">
        <v>1478</v>
      </c>
      <c r="V351" s="146">
        <v>1.7500000000000002E-2</v>
      </c>
      <c r="W351" s="146">
        <v>2.4340000000000001E-2</v>
      </c>
      <c r="X351" s="143" t="s">
        <v>412</v>
      </c>
      <c r="Y351" s="145" t="s">
        <v>3876</v>
      </c>
      <c r="Z351" s="144">
        <v>39605.440000000002</v>
      </c>
      <c r="AA351" s="145" t="s">
        <v>3876</v>
      </c>
      <c r="AB351" s="143" t="s">
        <v>1479</v>
      </c>
      <c r="AC351" s="145" t="s">
        <v>3876</v>
      </c>
      <c r="AD351" s="144">
        <v>44.164000000000001</v>
      </c>
      <c r="AE351" s="145" t="s">
        <v>3876</v>
      </c>
      <c r="AF351" s="145" t="s">
        <v>3876</v>
      </c>
      <c r="AG351" s="145" t="s">
        <v>3876</v>
      </c>
      <c r="AH351" s="146">
        <v>1.5230577771903786E-5</v>
      </c>
      <c r="AI351" s="146">
        <v>2.8767349439160563E-2</v>
      </c>
      <c r="AJ351" s="147">
        <v>3.6367568664077091E-3</v>
      </c>
      <c r="AK351" s="181"/>
    </row>
    <row r="352" spans="1:37" ht="15" x14ac:dyDescent="0.2">
      <c r="A352" s="142" t="s">
        <v>1220</v>
      </c>
      <c r="B352" s="143" t="s">
        <v>1222</v>
      </c>
      <c r="C352" s="143" t="s">
        <v>1509</v>
      </c>
      <c r="D352" s="143" t="s">
        <v>1510</v>
      </c>
      <c r="E352" s="143" t="s">
        <v>309</v>
      </c>
      <c r="F352" s="143" t="s">
        <v>1550</v>
      </c>
      <c r="G352" s="143" t="s">
        <v>1551</v>
      </c>
      <c r="H352" s="143" t="s">
        <v>321</v>
      </c>
      <c r="I352" s="143" t="s">
        <v>754</v>
      </c>
      <c r="J352" s="143" t="s">
        <v>204</v>
      </c>
      <c r="K352" s="143" t="s">
        <v>204</v>
      </c>
      <c r="L352" s="143" t="s">
        <v>325</v>
      </c>
      <c r="M352" s="143" t="s">
        <v>340</v>
      </c>
      <c r="N352" s="143" t="s">
        <v>448</v>
      </c>
      <c r="O352" s="143" t="s">
        <v>339</v>
      </c>
      <c r="P352" s="143" t="s">
        <v>1347</v>
      </c>
      <c r="Q352" s="143" t="s">
        <v>413</v>
      </c>
      <c r="R352" s="143" t="s">
        <v>407</v>
      </c>
      <c r="S352" s="143" t="s">
        <v>1210</v>
      </c>
      <c r="T352" s="144">
        <v>4.75</v>
      </c>
      <c r="U352" s="143" t="s">
        <v>1552</v>
      </c>
      <c r="V352" s="146">
        <v>2.5899999999999999E-2</v>
      </c>
      <c r="W352" s="146">
        <v>2.7512000000000002E-2</v>
      </c>
      <c r="X352" s="143" t="s">
        <v>412</v>
      </c>
      <c r="Y352" s="145" t="s">
        <v>3876</v>
      </c>
      <c r="Z352" s="144">
        <v>41000</v>
      </c>
      <c r="AA352" s="145" t="s">
        <v>3876</v>
      </c>
      <c r="AB352" s="143" t="s">
        <v>1553</v>
      </c>
      <c r="AC352" s="145" t="s">
        <v>3876</v>
      </c>
      <c r="AD352" s="144">
        <v>41.9512</v>
      </c>
      <c r="AE352" s="145" t="s">
        <v>3876</v>
      </c>
      <c r="AF352" s="145" t="s">
        <v>3876</v>
      </c>
      <c r="AG352" s="145" t="s">
        <v>3876</v>
      </c>
      <c r="AH352" s="146">
        <v>9.1111111111111105E-5</v>
      </c>
      <c r="AI352" s="146">
        <v>2.7325969463408362E-2</v>
      </c>
      <c r="AJ352" s="147">
        <v>3.4545381835566712E-3</v>
      </c>
      <c r="AK352" s="181"/>
    </row>
    <row r="353" spans="1:37" ht="15" x14ac:dyDescent="0.2">
      <c r="A353" s="142" t="s">
        <v>1220</v>
      </c>
      <c r="B353" s="143" t="s">
        <v>1222</v>
      </c>
      <c r="C353" s="143" t="s">
        <v>1607</v>
      </c>
      <c r="D353" s="143" t="s">
        <v>1608</v>
      </c>
      <c r="E353" s="143" t="s">
        <v>309</v>
      </c>
      <c r="F353" s="143" t="s">
        <v>1609</v>
      </c>
      <c r="G353" s="143" t="s">
        <v>1610</v>
      </c>
      <c r="H353" s="143" t="s">
        <v>321</v>
      </c>
      <c r="I353" s="143" t="s">
        <v>754</v>
      </c>
      <c r="J353" s="143" t="s">
        <v>204</v>
      </c>
      <c r="K353" s="143" t="s">
        <v>204</v>
      </c>
      <c r="L353" s="143" t="s">
        <v>325</v>
      </c>
      <c r="M353" s="143" t="s">
        <v>340</v>
      </c>
      <c r="N353" s="143" t="s">
        <v>448</v>
      </c>
      <c r="O353" s="143" t="s">
        <v>339</v>
      </c>
      <c r="P353" s="143" t="s">
        <v>1224</v>
      </c>
      <c r="Q353" s="143" t="s">
        <v>413</v>
      </c>
      <c r="R353" s="143" t="s">
        <v>407</v>
      </c>
      <c r="S353" s="143" t="s">
        <v>1210</v>
      </c>
      <c r="T353" s="144">
        <v>2.98</v>
      </c>
      <c r="U353" s="143" t="s">
        <v>1611</v>
      </c>
      <c r="V353" s="146">
        <v>1.4999999999999999E-2</v>
      </c>
      <c r="W353" s="146">
        <v>2.4263E-2</v>
      </c>
      <c r="X353" s="143" t="s">
        <v>412</v>
      </c>
      <c r="Y353" s="145" t="s">
        <v>3876</v>
      </c>
      <c r="Z353" s="144">
        <v>33403.14</v>
      </c>
      <c r="AA353" s="145" t="s">
        <v>3876</v>
      </c>
      <c r="AB353" s="143" t="s">
        <v>1612</v>
      </c>
      <c r="AC353" s="145" t="s">
        <v>3876</v>
      </c>
      <c r="AD353" s="144">
        <v>37.134300000000003</v>
      </c>
      <c r="AE353" s="145" t="s">
        <v>3876</v>
      </c>
      <c r="AF353" s="145" t="s">
        <v>3876</v>
      </c>
      <c r="AG353" s="145" t="s">
        <v>3876</v>
      </c>
      <c r="AH353" s="146">
        <v>1.1966443386061471E-4</v>
      </c>
      <c r="AI353" s="146">
        <v>2.4188341411748096E-2</v>
      </c>
      <c r="AJ353" s="147">
        <v>3.0578804940729269E-3</v>
      </c>
      <c r="AK353" s="181"/>
    </row>
    <row r="354" spans="1:37" ht="15" x14ac:dyDescent="0.2">
      <c r="A354" s="142" t="s">
        <v>1220</v>
      </c>
      <c r="B354" s="143" t="s">
        <v>1222</v>
      </c>
      <c r="C354" s="143" t="s">
        <v>1717</v>
      </c>
      <c r="D354" s="143" t="s">
        <v>1718</v>
      </c>
      <c r="E354" s="143" t="s">
        <v>309</v>
      </c>
      <c r="F354" s="143" t="s">
        <v>1719</v>
      </c>
      <c r="G354" s="143" t="s">
        <v>1720</v>
      </c>
      <c r="H354" s="143" t="s">
        <v>321</v>
      </c>
      <c r="I354" s="143" t="s">
        <v>754</v>
      </c>
      <c r="J354" s="143" t="s">
        <v>204</v>
      </c>
      <c r="K354" s="143" t="s">
        <v>204</v>
      </c>
      <c r="L354" s="143" t="s">
        <v>325</v>
      </c>
      <c r="M354" s="143" t="s">
        <v>340</v>
      </c>
      <c r="N354" s="143" t="s">
        <v>464</v>
      </c>
      <c r="O354" s="143" t="s">
        <v>339</v>
      </c>
      <c r="P354" s="143" t="s">
        <v>1721</v>
      </c>
      <c r="Q354" s="143" t="s">
        <v>413</v>
      </c>
      <c r="R354" s="143" t="s">
        <v>407</v>
      </c>
      <c r="S354" s="143" t="s">
        <v>1210</v>
      </c>
      <c r="T354" s="144">
        <v>10.57</v>
      </c>
      <c r="U354" s="143" t="s">
        <v>1722</v>
      </c>
      <c r="V354" s="146">
        <v>1.6899999999999998E-2</v>
      </c>
      <c r="W354" s="146">
        <v>3.8008E-2</v>
      </c>
      <c r="X354" s="143" t="s">
        <v>412</v>
      </c>
      <c r="Y354" s="145" t="s">
        <v>3876</v>
      </c>
      <c r="Z354" s="144">
        <v>36854</v>
      </c>
      <c r="AA354" s="145" t="s">
        <v>3876</v>
      </c>
      <c r="AB354" s="143" t="s">
        <v>1723</v>
      </c>
      <c r="AC354" s="144">
        <v>0.3483</v>
      </c>
      <c r="AD354" s="144">
        <v>33.443199999999997</v>
      </c>
      <c r="AE354" s="145" t="s">
        <v>3876</v>
      </c>
      <c r="AF354" s="145" t="s">
        <v>3876</v>
      </c>
      <c r="AG354" s="145" t="s">
        <v>3876</v>
      </c>
      <c r="AH354" s="146">
        <v>8.4470176210645982E-6</v>
      </c>
      <c r="AI354" s="146">
        <v>2.2010977470803595E-2</v>
      </c>
      <c r="AJ354" s="147">
        <v>2.7826190112712102E-3</v>
      </c>
      <c r="AK354" s="181"/>
    </row>
    <row r="355" spans="1:37" ht="15" x14ac:dyDescent="0.2">
      <c r="A355" s="142" t="s">
        <v>1220</v>
      </c>
      <c r="B355" s="143" t="s">
        <v>1222</v>
      </c>
      <c r="C355" s="143" t="s">
        <v>1362</v>
      </c>
      <c r="D355" s="143" t="s">
        <v>1363</v>
      </c>
      <c r="E355" s="143" t="s">
        <v>309</v>
      </c>
      <c r="F355" s="143" t="s">
        <v>1595</v>
      </c>
      <c r="G355" s="143" t="s">
        <v>1596</v>
      </c>
      <c r="H355" s="143" t="s">
        <v>321</v>
      </c>
      <c r="I355" s="143" t="s">
        <v>754</v>
      </c>
      <c r="J355" s="143" t="s">
        <v>204</v>
      </c>
      <c r="K355" s="143" t="s">
        <v>204</v>
      </c>
      <c r="L355" s="143" t="s">
        <v>325</v>
      </c>
      <c r="M355" s="143" t="s">
        <v>340</v>
      </c>
      <c r="N355" s="143" t="s">
        <v>445</v>
      </c>
      <c r="O355" s="143" t="s">
        <v>339</v>
      </c>
      <c r="P355" s="143" t="s">
        <v>1366</v>
      </c>
      <c r="Q355" s="143" t="s">
        <v>415</v>
      </c>
      <c r="R355" s="143" t="s">
        <v>407</v>
      </c>
      <c r="S355" s="143" t="s">
        <v>1210</v>
      </c>
      <c r="T355" s="144">
        <v>2.44</v>
      </c>
      <c r="U355" s="143" t="s">
        <v>1513</v>
      </c>
      <c r="V355" s="146">
        <v>2.4E-2</v>
      </c>
      <c r="W355" s="146">
        <v>2.2946000000000001E-2</v>
      </c>
      <c r="X355" s="143" t="s">
        <v>412</v>
      </c>
      <c r="Y355" s="145" t="s">
        <v>3876</v>
      </c>
      <c r="Z355" s="144">
        <v>28040.12</v>
      </c>
      <c r="AA355" s="145" t="s">
        <v>3876</v>
      </c>
      <c r="AB355" s="143" t="s">
        <v>1597</v>
      </c>
      <c r="AC355" s="145" t="s">
        <v>3876</v>
      </c>
      <c r="AD355" s="144">
        <v>31.9237</v>
      </c>
      <c r="AE355" s="145" t="s">
        <v>3876</v>
      </c>
      <c r="AF355" s="145" t="s">
        <v>3876</v>
      </c>
      <c r="AG355" s="145" t="s">
        <v>3876</v>
      </c>
      <c r="AH355" s="146">
        <v>9.4989542268662992E-5</v>
      </c>
      <c r="AI355" s="146">
        <v>2.079428985292062E-2</v>
      </c>
      <c r="AJ355" s="147">
        <v>2.6288058468722079E-3</v>
      </c>
      <c r="AK355" s="181"/>
    </row>
    <row r="356" spans="1:37" ht="15" x14ac:dyDescent="0.2">
      <c r="A356" s="142" t="s">
        <v>1220</v>
      </c>
      <c r="B356" s="143" t="s">
        <v>1222</v>
      </c>
      <c r="C356" s="143" t="s">
        <v>1349</v>
      </c>
      <c r="D356" s="143" t="s">
        <v>1350</v>
      </c>
      <c r="E356" s="143" t="s">
        <v>309</v>
      </c>
      <c r="F356" s="143" t="s">
        <v>1567</v>
      </c>
      <c r="G356" s="143" t="s">
        <v>1568</v>
      </c>
      <c r="H356" s="143" t="s">
        <v>321</v>
      </c>
      <c r="I356" s="143" t="s">
        <v>754</v>
      </c>
      <c r="J356" s="143" t="s">
        <v>204</v>
      </c>
      <c r="K356" s="143" t="s">
        <v>204</v>
      </c>
      <c r="L356" s="143" t="s">
        <v>325</v>
      </c>
      <c r="M356" s="143" t="s">
        <v>340</v>
      </c>
      <c r="N356" s="143" t="s">
        <v>448</v>
      </c>
      <c r="O356" s="143" t="s">
        <v>339</v>
      </c>
      <c r="P356" s="143" t="s">
        <v>1224</v>
      </c>
      <c r="Q356" s="143" t="s">
        <v>413</v>
      </c>
      <c r="R356" s="143" t="s">
        <v>407</v>
      </c>
      <c r="S356" s="143" t="s">
        <v>1210</v>
      </c>
      <c r="T356" s="144">
        <v>4.63</v>
      </c>
      <c r="U356" s="143" t="s">
        <v>1569</v>
      </c>
      <c r="V356" s="146">
        <v>1.9900000000000001E-2</v>
      </c>
      <c r="W356" s="146">
        <v>2.5776E-2</v>
      </c>
      <c r="X356" s="143" t="s">
        <v>412</v>
      </c>
      <c r="Y356" s="145" t="s">
        <v>3876</v>
      </c>
      <c r="Z356" s="144">
        <v>29000</v>
      </c>
      <c r="AA356" s="145" t="s">
        <v>3876</v>
      </c>
      <c r="AB356" s="143" t="s">
        <v>1570</v>
      </c>
      <c r="AC356" s="145" t="s">
        <v>3876</v>
      </c>
      <c r="AD356" s="144">
        <v>29.066700000000001</v>
      </c>
      <c r="AE356" s="145" t="s">
        <v>3876</v>
      </c>
      <c r="AF356" s="145" t="s">
        <v>3876</v>
      </c>
      <c r="AG356" s="145" t="s">
        <v>3876</v>
      </c>
      <c r="AH356" s="146">
        <v>1.0740740740740741E-5</v>
      </c>
      <c r="AI356" s="146">
        <v>1.8933326260084381E-2</v>
      </c>
      <c r="AJ356" s="147">
        <v>2.3935435701478549E-3</v>
      </c>
      <c r="AK356" s="181"/>
    </row>
    <row r="357" spans="1:37" ht="15" x14ac:dyDescent="0.2">
      <c r="A357" s="142" t="s">
        <v>1220</v>
      </c>
      <c r="B357" s="143" t="s">
        <v>1222</v>
      </c>
      <c r="C357" s="143" t="s">
        <v>1468</v>
      </c>
      <c r="D357" s="143" t="s">
        <v>1469</v>
      </c>
      <c r="E357" s="143" t="s">
        <v>309</v>
      </c>
      <c r="F357" s="143" t="s">
        <v>1494</v>
      </c>
      <c r="G357" s="143" t="s">
        <v>1495</v>
      </c>
      <c r="H357" s="143" t="s">
        <v>321</v>
      </c>
      <c r="I357" s="143" t="s">
        <v>754</v>
      </c>
      <c r="J357" s="143" t="s">
        <v>204</v>
      </c>
      <c r="K357" s="143" t="s">
        <v>204</v>
      </c>
      <c r="L357" s="143" t="s">
        <v>325</v>
      </c>
      <c r="M357" s="143" t="s">
        <v>340</v>
      </c>
      <c r="N357" s="143" t="s">
        <v>448</v>
      </c>
      <c r="O357" s="143" t="s">
        <v>339</v>
      </c>
      <c r="P357" s="143" t="s">
        <v>1224</v>
      </c>
      <c r="Q357" s="143" t="s">
        <v>413</v>
      </c>
      <c r="R357" s="143" t="s">
        <v>407</v>
      </c>
      <c r="S357" s="143" t="s">
        <v>1210</v>
      </c>
      <c r="T357" s="144">
        <v>5.29</v>
      </c>
      <c r="U357" s="143" t="s">
        <v>1496</v>
      </c>
      <c r="V357" s="146">
        <v>2.0251999999999999E-2</v>
      </c>
      <c r="W357" s="146">
        <v>2.5944999999999999E-2</v>
      </c>
      <c r="X357" s="143" t="s">
        <v>412</v>
      </c>
      <c r="Y357" s="145" t="s">
        <v>3876</v>
      </c>
      <c r="Z357" s="144">
        <v>29000</v>
      </c>
      <c r="AA357" s="145" t="s">
        <v>3876</v>
      </c>
      <c r="AB357" s="143" t="s">
        <v>1497</v>
      </c>
      <c r="AC357" s="145" t="s">
        <v>3876</v>
      </c>
      <c r="AD357" s="144">
        <v>28.747700000000002</v>
      </c>
      <c r="AE357" s="145" t="s">
        <v>3876</v>
      </c>
      <c r="AF357" s="145" t="s">
        <v>3876</v>
      </c>
      <c r="AG357" s="145" t="s">
        <v>3876</v>
      </c>
      <c r="AH357" s="146">
        <v>1.366170417040008E-5</v>
      </c>
      <c r="AI357" s="146">
        <v>1.8725537585175742E-2</v>
      </c>
      <c r="AJ357" s="147">
        <v>2.3672750085678624E-3</v>
      </c>
      <c r="AK357" s="181"/>
    </row>
    <row r="358" spans="1:37" ht="15" x14ac:dyDescent="0.2">
      <c r="A358" s="142" t="s">
        <v>1220</v>
      </c>
      <c r="B358" s="143" t="s">
        <v>1222</v>
      </c>
      <c r="C358" s="143" t="s">
        <v>1498</v>
      </c>
      <c r="D358" s="143" t="s">
        <v>1499</v>
      </c>
      <c r="E358" s="143" t="s">
        <v>313</v>
      </c>
      <c r="F358" s="143" t="s">
        <v>1500</v>
      </c>
      <c r="G358" s="143" t="s">
        <v>1501</v>
      </c>
      <c r="H358" s="143" t="s">
        <v>321</v>
      </c>
      <c r="I358" s="143" t="s">
        <v>754</v>
      </c>
      <c r="J358" s="143" t="s">
        <v>204</v>
      </c>
      <c r="K358" s="143" t="s">
        <v>204</v>
      </c>
      <c r="L358" s="143" t="s">
        <v>325</v>
      </c>
      <c r="M358" s="143" t="s">
        <v>340</v>
      </c>
      <c r="N358" s="143" t="s">
        <v>440</v>
      </c>
      <c r="O358" s="143" t="s">
        <v>339</v>
      </c>
      <c r="P358" s="143" t="s">
        <v>1502</v>
      </c>
      <c r="Q358" s="143" t="s">
        <v>415</v>
      </c>
      <c r="R358" s="143" t="s">
        <v>407</v>
      </c>
      <c r="S358" s="143" t="s">
        <v>1210</v>
      </c>
      <c r="T358" s="144">
        <v>10.64</v>
      </c>
      <c r="U358" s="143" t="s">
        <v>1503</v>
      </c>
      <c r="V358" s="146">
        <v>3.2000000000000001E-2</v>
      </c>
      <c r="W358" s="146">
        <v>3.5250999999999998E-2</v>
      </c>
      <c r="X358" s="143" t="s">
        <v>412</v>
      </c>
      <c r="Y358" s="145" t="s">
        <v>3876</v>
      </c>
      <c r="Z358" s="144">
        <v>28560</v>
      </c>
      <c r="AA358" s="145" t="s">
        <v>3876</v>
      </c>
      <c r="AB358" s="143" t="s">
        <v>1504</v>
      </c>
      <c r="AC358" s="145" t="s">
        <v>3876</v>
      </c>
      <c r="AD358" s="144">
        <v>28.56</v>
      </c>
      <c r="AE358" s="145" t="s">
        <v>3876</v>
      </c>
      <c r="AF358" s="145" t="s">
        <v>3876</v>
      </c>
      <c r="AG358" s="145" t="s">
        <v>3876</v>
      </c>
      <c r="AH358" s="146">
        <v>9.1504030214271938E-6</v>
      </c>
      <c r="AI358" s="146">
        <v>1.8603274468309436E-2</v>
      </c>
      <c r="AJ358" s="147">
        <v>2.3518185539955598E-3</v>
      </c>
      <c r="AK358" s="181"/>
    </row>
    <row r="359" spans="1:37" ht="15" x14ac:dyDescent="0.2">
      <c r="A359" s="142" t="s">
        <v>1220</v>
      </c>
      <c r="B359" s="143" t="s">
        <v>1222</v>
      </c>
      <c r="C359" s="143" t="s">
        <v>1509</v>
      </c>
      <c r="D359" s="143" t="s">
        <v>1510</v>
      </c>
      <c r="E359" s="143" t="s">
        <v>309</v>
      </c>
      <c r="F359" s="143" t="s">
        <v>1900</v>
      </c>
      <c r="G359" s="143" t="s">
        <v>1901</v>
      </c>
      <c r="H359" s="143" t="s">
        <v>321</v>
      </c>
      <c r="I359" s="143" t="s">
        <v>754</v>
      </c>
      <c r="J359" s="143" t="s">
        <v>204</v>
      </c>
      <c r="K359" s="143" t="s">
        <v>204</v>
      </c>
      <c r="L359" s="143" t="s">
        <v>325</v>
      </c>
      <c r="M359" s="143" t="s">
        <v>340</v>
      </c>
      <c r="N359" s="143" t="s">
        <v>448</v>
      </c>
      <c r="O359" s="143" t="s">
        <v>339</v>
      </c>
      <c r="P359" s="143" t="s">
        <v>1347</v>
      </c>
      <c r="Q359" s="143" t="s">
        <v>413</v>
      </c>
      <c r="R359" s="143" t="s">
        <v>407</v>
      </c>
      <c r="S359" s="143" t="s">
        <v>1210</v>
      </c>
      <c r="T359" s="144">
        <v>2.46</v>
      </c>
      <c r="U359" s="143" t="s">
        <v>1542</v>
      </c>
      <c r="V359" s="146">
        <v>2E-3</v>
      </c>
      <c r="W359" s="146">
        <v>2.4365999999999999E-2</v>
      </c>
      <c r="X359" s="143" t="s">
        <v>412</v>
      </c>
      <c r="Y359" s="145" t="s">
        <v>3876</v>
      </c>
      <c r="Z359" s="144">
        <v>26000</v>
      </c>
      <c r="AA359" s="145" t="s">
        <v>3876</v>
      </c>
      <c r="AB359" s="143" t="s">
        <v>1902</v>
      </c>
      <c r="AC359" s="145" t="s">
        <v>3876</v>
      </c>
      <c r="AD359" s="144">
        <v>27.975999999999999</v>
      </c>
      <c r="AE359" s="145" t="s">
        <v>3876</v>
      </c>
      <c r="AF359" s="145" t="s">
        <v>3876</v>
      </c>
      <c r="AG359" s="145" t="s">
        <v>3876</v>
      </c>
      <c r="AH359" s="146">
        <v>3.0856651863385736E-5</v>
      </c>
      <c r="AI359" s="146">
        <v>1.8222871376940643E-2</v>
      </c>
      <c r="AJ359" s="147">
        <v>2.3037281465889277E-3</v>
      </c>
      <c r="AK359" s="181"/>
    </row>
    <row r="360" spans="1:37" ht="15" x14ac:dyDescent="0.2">
      <c r="A360" s="142" t="s">
        <v>1220</v>
      </c>
      <c r="B360" s="143" t="s">
        <v>1222</v>
      </c>
      <c r="C360" s="143" t="s">
        <v>1369</v>
      </c>
      <c r="D360" s="143" t="s">
        <v>1370</v>
      </c>
      <c r="E360" s="143" t="s">
        <v>309</v>
      </c>
      <c r="F360" s="143" t="s">
        <v>1577</v>
      </c>
      <c r="G360" s="143" t="s">
        <v>1578</v>
      </c>
      <c r="H360" s="143" t="s">
        <v>321</v>
      </c>
      <c r="I360" s="143" t="s">
        <v>754</v>
      </c>
      <c r="J360" s="143" t="s">
        <v>204</v>
      </c>
      <c r="K360" s="143" t="s">
        <v>204</v>
      </c>
      <c r="L360" s="143" t="s">
        <v>325</v>
      </c>
      <c r="M360" s="143" t="s">
        <v>340</v>
      </c>
      <c r="N360" s="143" t="s">
        <v>445</v>
      </c>
      <c r="O360" s="143" t="s">
        <v>339</v>
      </c>
      <c r="P360" s="143" t="s">
        <v>1366</v>
      </c>
      <c r="Q360" s="143" t="s">
        <v>415</v>
      </c>
      <c r="R360" s="143" t="s">
        <v>407</v>
      </c>
      <c r="S360" s="143" t="s">
        <v>1210</v>
      </c>
      <c r="T360" s="144">
        <v>5.24</v>
      </c>
      <c r="U360" s="143" t="s">
        <v>1579</v>
      </c>
      <c r="V360" s="146">
        <v>4.6899999999999997E-2</v>
      </c>
      <c r="W360" s="146">
        <v>5.7537999999999999E-2</v>
      </c>
      <c r="X360" s="143" t="s">
        <v>412</v>
      </c>
      <c r="Y360" s="145" t="s">
        <v>3876</v>
      </c>
      <c r="Z360" s="144">
        <v>29000</v>
      </c>
      <c r="AA360" s="145" t="s">
        <v>3876</v>
      </c>
      <c r="AB360" s="143" t="s">
        <v>1580</v>
      </c>
      <c r="AC360" s="145" t="s">
        <v>3876</v>
      </c>
      <c r="AD360" s="144">
        <v>27.619599999999998</v>
      </c>
      <c r="AE360" s="145" t="s">
        <v>3876</v>
      </c>
      <c r="AF360" s="145" t="s">
        <v>3876</v>
      </c>
      <c r="AG360" s="145" t="s">
        <v>3876</v>
      </c>
      <c r="AH360" s="146">
        <v>5.8E-5</v>
      </c>
      <c r="AI360" s="146">
        <v>1.7990721271180649E-2</v>
      </c>
      <c r="AJ360" s="147">
        <v>2.2743798226167984E-3</v>
      </c>
      <c r="AK360" s="181"/>
    </row>
    <row r="361" spans="1:37" ht="15" x14ac:dyDescent="0.2">
      <c r="A361" s="142" t="s">
        <v>1220</v>
      </c>
      <c r="B361" s="143" t="s">
        <v>1222</v>
      </c>
      <c r="C361" s="143" t="s">
        <v>1544</v>
      </c>
      <c r="D361" s="143" t="s">
        <v>1545</v>
      </c>
      <c r="E361" s="143" t="s">
        <v>309</v>
      </c>
      <c r="F361" s="143" t="s">
        <v>1546</v>
      </c>
      <c r="G361" s="143" t="s">
        <v>1547</v>
      </c>
      <c r="H361" s="143" t="s">
        <v>321</v>
      </c>
      <c r="I361" s="143" t="s">
        <v>754</v>
      </c>
      <c r="J361" s="143" t="s">
        <v>204</v>
      </c>
      <c r="K361" s="143" t="s">
        <v>204</v>
      </c>
      <c r="L361" s="143" t="s">
        <v>325</v>
      </c>
      <c r="M361" s="143" t="s">
        <v>340</v>
      </c>
      <c r="N361" s="143" t="s">
        <v>465</v>
      </c>
      <c r="O361" s="143" t="s">
        <v>339</v>
      </c>
      <c r="P361" s="143" t="s">
        <v>1425</v>
      </c>
      <c r="Q361" s="143" t="s">
        <v>415</v>
      </c>
      <c r="R361" s="143" t="s">
        <v>407</v>
      </c>
      <c r="S361" s="143" t="s">
        <v>1210</v>
      </c>
      <c r="T361" s="144">
        <v>1.71</v>
      </c>
      <c r="U361" s="143" t="s">
        <v>1548</v>
      </c>
      <c r="V361" s="146">
        <v>2.5700000000000001E-2</v>
      </c>
      <c r="W361" s="146">
        <v>3.3569000000000002E-2</v>
      </c>
      <c r="X361" s="143" t="s">
        <v>412</v>
      </c>
      <c r="Y361" s="145" t="s">
        <v>3876</v>
      </c>
      <c r="Z361" s="144">
        <v>24098</v>
      </c>
      <c r="AA361" s="145" t="s">
        <v>3876</v>
      </c>
      <c r="AB361" s="143" t="s">
        <v>1549</v>
      </c>
      <c r="AC361" s="145" t="s">
        <v>3876</v>
      </c>
      <c r="AD361" s="144">
        <v>27.401799999999998</v>
      </c>
      <c r="AE361" s="145" t="s">
        <v>3876</v>
      </c>
      <c r="AF361" s="145" t="s">
        <v>3876</v>
      </c>
      <c r="AG361" s="145" t="s">
        <v>3876</v>
      </c>
      <c r="AH361" s="146">
        <v>1.8791125080599954E-5</v>
      </c>
      <c r="AI361" s="146">
        <v>1.7848875081335695E-2</v>
      </c>
      <c r="AJ361" s="147">
        <v>2.2564476837527926E-3</v>
      </c>
      <c r="AK361" s="181"/>
    </row>
    <row r="362" spans="1:37" ht="15" x14ac:dyDescent="0.2">
      <c r="A362" s="142" t="s">
        <v>1220</v>
      </c>
      <c r="B362" s="143" t="s">
        <v>1222</v>
      </c>
      <c r="C362" s="143" t="s">
        <v>1740</v>
      </c>
      <c r="D362" s="143" t="s">
        <v>1741</v>
      </c>
      <c r="E362" s="143" t="s">
        <v>309</v>
      </c>
      <c r="F362" s="143" t="s">
        <v>1742</v>
      </c>
      <c r="G362" s="143" t="s">
        <v>1743</v>
      </c>
      <c r="H362" s="143" t="s">
        <v>321</v>
      </c>
      <c r="I362" s="143" t="s">
        <v>754</v>
      </c>
      <c r="J362" s="143" t="s">
        <v>204</v>
      </c>
      <c r="K362" s="143" t="s">
        <v>204</v>
      </c>
      <c r="L362" s="143" t="s">
        <v>325</v>
      </c>
      <c r="M362" s="143" t="s">
        <v>340</v>
      </c>
      <c r="N362" s="143" t="s">
        <v>464</v>
      </c>
      <c r="O362" s="143" t="s">
        <v>339</v>
      </c>
      <c r="P362" s="143" t="s">
        <v>1366</v>
      </c>
      <c r="Q362" s="143" t="s">
        <v>415</v>
      </c>
      <c r="R362" s="143" t="s">
        <v>407</v>
      </c>
      <c r="S362" s="143" t="s">
        <v>1210</v>
      </c>
      <c r="T362" s="144">
        <v>4.6900000000000004</v>
      </c>
      <c r="U362" s="143" t="s">
        <v>1744</v>
      </c>
      <c r="V362" s="146">
        <v>1.17E-2</v>
      </c>
      <c r="W362" s="146">
        <v>3.5473999999999999E-2</v>
      </c>
      <c r="X362" s="143" t="s">
        <v>412</v>
      </c>
      <c r="Y362" s="145" t="s">
        <v>3876</v>
      </c>
      <c r="Z362" s="144">
        <v>26204.639999999999</v>
      </c>
      <c r="AA362" s="145" t="s">
        <v>3876</v>
      </c>
      <c r="AB362" s="143" t="s">
        <v>1745</v>
      </c>
      <c r="AC362" s="145" t="s">
        <v>3876</v>
      </c>
      <c r="AD362" s="144">
        <v>26.647500000000001</v>
      </c>
      <c r="AE362" s="145" t="s">
        <v>3876</v>
      </c>
      <c r="AF362" s="145" t="s">
        <v>3876</v>
      </c>
      <c r="AG362" s="145" t="s">
        <v>3876</v>
      </c>
      <c r="AH362" s="146">
        <v>3.805652606718326E-5</v>
      </c>
      <c r="AI362" s="146">
        <v>1.7357518449814039E-2</v>
      </c>
      <c r="AJ362" s="147">
        <v>2.1943305739606472E-3</v>
      </c>
      <c r="AK362" s="181"/>
    </row>
    <row r="363" spans="1:37" ht="15" x14ac:dyDescent="0.2">
      <c r="A363" s="142" t="s">
        <v>1220</v>
      </c>
      <c r="B363" s="143" t="s">
        <v>1222</v>
      </c>
      <c r="C363" s="143" t="s">
        <v>1349</v>
      </c>
      <c r="D363" s="143" t="s">
        <v>1350</v>
      </c>
      <c r="E363" s="143" t="s">
        <v>309</v>
      </c>
      <c r="F363" s="143" t="s">
        <v>1486</v>
      </c>
      <c r="G363" s="143" t="s">
        <v>1487</v>
      </c>
      <c r="H363" s="143" t="s">
        <v>321</v>
      </c>
      <c r="I363" s="143" t="s">
        <v>754</v>
      </c>
      <c r="J363" s="143" t="s">
        <v>204</v>
      </c>
      <c r="K363" s="143" t="s">
        <v>204</v>
      </c>
      <c r="L363" s="143" t="s">
        <v>325</v>
      </c>
      <c r="M363" s="143" t="s">
        <v>340</v>
      </c>
      <c r="N363" s="143" t="s">
        <v>448</v>
      </c>
      <c r="O363" s="143" t="s">
        <v>339</v>
      </c>
      <c r="P363" s="143" t="s">
        <v>1209</v>
      </c>
      <c r="Q363" s="143" t="s">
        <v>415</v>
      </c>
      <c r="R363" s="143" t="s">
        <v>407</v>
      </c>
      <c r="S363" s="143" t="s">
        <v>1210</v>
      </c>
      <c r="T363" s="144">
        <v>2.41</v>
      </c>
      <c r="U363" s="143" t="s">
        <v>1488</v>
      </c>
      <c r="V363" s="146">
        <v>5.0000000000000001E-3</v>
      </c>
      <c r="W363" s="146">
        <v>2.1951999999999999E-2</v>
      </c>
      <c r="X363" s="143" t="s">
        <v>412</v>
      </c>
      <c r="Y363" s="145" t="s">
        <v>3876</v>
      </c>
      <c r="Z363" s="144">
        <v>24148</v>
      </c>
      <c r="AA363" s="145" t="s">
        <v>3876</v>
      </c>
      <c r="AB363" s="143" t="s">
        <v>1489</v>
      </c>
      <c r="AC363" s="145" t="s">
        <v>3876</v>
      </c>
      <c r="AD363" s="144">
        <v>26.147500000000001</v>
      </c>
      <c r="AE363" s="145" t="s">
        <v>3876</v>
      </c>
      <c r="AF363" s="145" t="s">
        <v>3876</v>
      </c>
      <c r="AG363" s="145" t="s">
        <v>3876</v>
      </c>
      <c r="AH363" s="146">
        <v>3.1638795909236803E-5</v>
      </c>
      <c r="AI363" s="146">
        <v>1.7031802200658447E-2</v>
      </c>
      <c r="AJ363" s="147">
        <v>2.1531536553807016E-3</v>
      </c>
      <c r="AK363" s="181"/>
    </row>
    <row r="364" spans="1:37" ht="15" x14ac:dyDescent="0.2">
      <c r="A364" s="142" t="s">
        <v>1220</v>
      </c>
      <c r="B364" s="143" t="s">
        <v>1222</v>
      </c>
      <c r="C364" s="143" t="s">
        <v>1349</v>
      </c>
      <c r="D364" s="143" t="s">
        <v>1350</v>
      </c>
      <c r="E364" s="143" t="s">
        <v>309</v>
      </c>
      <c r="F364" s="143" t="s">
        <v>1456</v>
      </c>
      <c r="G364" s="143" t="s">
        <v>1457</v>
      </c>
      <c r="H364" s="143" t="s">
        <v>321</v>
      </c>
      <c r="I364" s="143" t="s">
        <v>754</v>
      </c>
      <c r="J364" s="143" t="s">
        <v>204</v>
      </c>
      <c r="K364" s="143" t="s">
        <v>204</v>
      </c>
      <c r="L364" s="143" t="s">
        <v>325</v>
      </c>
      <c r="M364" s="143" t="s">
        <v>340</v>
      </c>
      <c r="N364" s="143" t="s">
        <v>448</v>
      </c>
      <c r="O364" s="143" t="s">
        <v>339</v>
      </c>
      <c r="P364" s="143" t="s">
        <v>1224</v>
      </c>
      <c r="Q364" s="143" t="s">
        <v>413</v>
      </c>
      <c r="R364" s="143" t="s">
        <v>407</v>
      </c>
      <c r="S364" s="143" t="s">
        <v>1210</v>
      </c>
      <c r="T364" s="144">
        <v>1.97</v>
      </c>
      <c r="U364" s="143" t="s">
        <v>1458</v>
      </c>
      <c r="V364" s="146">
        <v>3.8E-3</v>
      </c>
      <c r="W364" s="146">
        <v>2.2020999999999999E-2</v>
      </c>
      <c r="X364" s="143" t="s">
        <v>412</v>
      </c>
      <c r="Y364" s="145" t="s">
        <v>3876</v>
      </c>
      <c r="Z364" s="144">
        <v>24064</v>
      </c>
      <c r="AA364" s="145" t="s">
        <v>3876</v>
      </c>
      <c r="AB364" s="143" t="s">
        <v>1459</v>
      </c>
      <c r="AC364" s="145" t="s">
        <v>3876</v>
      </c>
      <c r="AD364" s="144">
        <v>25.981900000000003</v>
      </c>
      <c r="AE364" s="145" t="s">
        <v>3876</v>
      </c>
      <c r="AF364" s="145" t="s">
        <v>3876</v>
      </c>
      <c r="AG364" s="145" t="s">
        <v>3876</v>
      </c>
      <c r="AH364" s="146">
        <v>8.021333333333334E-6</v>
      </c>
      <c r="AI364" s="146">
        <v>1.6923964698557021E-2</v>
      </c>
      <c r="AJ364" s="147">
        <v>2.1395208812854368E-3</v>
      </c>
      <c r="AK364" s="181"/>
    </row>
    <row r="365" spans="1:37" ht="15" x14ac:dyDescent="0.2">
      <c r="A365" s="142" t="s">
        <v>1220</v>
      </c>
      <c r="B365" s="143" t="s">
        <v>1222</v>
      </c>
      <c r="C365" s="143" t="s">
        <v>1730</v>
      </c>
      <c r="D365" s="143" t="s">
        <v>1731</v>
      </c>
      <c r="E365" s="143" t="s">
        <v>309</v>
      </c>
      <c r="F365" s="143" t="s">
        <v>1732</v>
      </c>
      <c r="G365" s="143" t="s">
        <v>1733</v>
      </c>
      <c r="H365" s="143" t="s">
        <v>321</v>
      </c>
      <c r="I365" s="143" t="s">
        <v>754</v>
      </c>
      <c r="J365" s="143" t="s">
        <v>204</v>
      </c>
      <c r="K365" s="143" t="s">
        <v>204</v>
      </c>
      <c r="L365" s="143" t="s">
        <v>325</v>
      </c>
      <c r="M365" s="143" t="s">
        <v>340</v>
      </c>
      <c r="N365" s="143" t="s">
        <v>440</v>
      </c>
      <c r="O365" s="143" t="s">
        <v>339</v>
      </c>
      <c r="P365" s="143" t="s">
        <v>1359</v>
      </c>
      <c r="Q365" s="143" t="s">
        <v>415</v>
      </c>
      <c r="R365" s="143" t="s">
        <v>407</v>
      </c>
      <c r="S365" s="143" t="s">
        <v>1210</v>
      </c>
      <c r="T365" s="144">
        <v>3.69</v>
      </c>
      <c r="U365" s="143" t="s">
        <v>1538</v>
      </c>
      <c r="V365" s="146">
        <v>1.7999999999999999E-2</v>
      </c>
      <c r="W365" s="146">
        <v>3.5799999999999998E-2</v>
      </c>
      <c r="X365" s="143" t="s">
        <v>412</v>
      </c>
      <c r="Y365" s="145" t="s">
        <v>3876</v>
      </c>
      <c r="Z365" s="144">
        <v>21330</v>
      </c>
      <c r="AA365" s="145" t="s">
        <v>3876</v>
      </c>
      <c r="AB365" s="143" t="s">
        <v>1734</v>
      </c>
      <c r="AC365" s="145" t="s">
        <v>3876</v>
      </c>
      <c r="AD365" s="144">
        <v>22.810299999999998</v>
      </c>
      <c r="AE365" s="145" t="s">
        <v>3876</v>
      </c>
      <c r="AF365" s="145" t="s">
        <v>3876</v>
      </c>
      <c r="AG365" s="145" t="s">
        <v>3876</v>
      </c>
      <c r="AH365" s="146">
        <v>2.1438149569084901E-5</v>
      </c>
      <c r="AI365" s="146">
        <v>1.4858064033999569E-2</v>
      </c>
      <c r="AJ365" s="147">
        <v>1.8783505415210793E-3</v>
      </c>
      <c r="AK365" s="181"/>
    </row>
    <row r="366" spans="1:37" ht="15" x14ac:dyDescent="0.2">
      <c r="A366" s="142" t="s">
        <v>1220</v>
      </c>
      <c r="B366" s="143" t="s">
        <v>1222</v>
      </c>
      <c r="C366" s="143" t="s">
        <v>1519</v>
      </c>
      <c r="D366" s="143" t="s">
        <v>1520</v>
      </c>
      <c r="E366" s="143" t="s">
        <v>309</v>
      </c>
      <c r="F366" s="143" t="s">
        <v>1536</v>
      </c>
      <c r="G366" s="143" t="s">
        <v>1537</v>
      </c>
      <c r="H366" s="143" t="s">
        <v>321</v>
      </c>
      <c r="I366" s="143" t="s">
        <v>754</v>
      </c>
      <c r="J366" s="143" t="s">
        <v>204</v>
      </c>
      <c r="K366" s="143" t="s">
        <v>204</v>
      </c>
      <c r="L366" s="143" t="s">
        <v>325</v>
      </c>
      <c r="M366" s="143" t="s">
        <v>340</v>
      </c>
      <c r="N366" s="143" t="s">
        <v>465</v>
      </c>
      <c r="O366" s="143" t="s">
        <v>339</v>
      </c>
      <c r="P366" s="143" t="s">
        <v>1359</v>
      </c>
      <c r="Q366" s="143" t="s">
        <v>415</v>
      </c>
      <c r="R366" s="143" t="s">
        <v>407</v>
      </c>
      <c r="S366" s="143" t="s">
        <v>1210</v>
      </c>
      <c r="T366" s="144">
        <v>4.3099999999999996</v>
      </c>
      <c r="U366" s="143" t="s">
        <v>1538</v>
      </c>
      <c r="V366" s="146">
        <v>1.7899999999999999E-2</v>
      </c>
      <c r="W366" s="146">
        <v>6.0524000000000001E-2</v>
      </c>
      <c r="X366" s="143" t="s">
        <v>412</v>
      </c>
      <c r="Y366" s="145" t="s">
        <v>3876</v>
      </c>
      <c r="Z366" s="144">
        <v>21579.75</v>
      </c>
      <c r="AA366" s="145" t="s">
        <v>3876</v>
      </c>
      <c r="AB366" s="143" t="s">
        <v>1539</v>
      </c>
      <c r="AC366" s="145" t="s">
        <v>3876</v>
      </c>
      <c r="AD366" s="144">
        <v>20.375599999999999</v>
      </c>
      <c r="AE366" s="145" t="s">
        <v>3876</v>
      </c>
      <c r="AF366" s="145" t="s">
        <v>3876</v>
      </c>
      <c r="AG366" s="145" t="s">
        <v>3876</v>
      </c>
      <c r="AH366" s="146">
        <v>3.0714568145799149E-5</v>
      </c>
      <c r="AI366" s="146">
        <v>1.3272159605263376E-2</v>
      </c>
      <c r="AJ366" s="147">
        <v>1.6778611348459733E-3</v>
      </c>
      <c r="AK366" s="181"/>
    </row>
    <row r="367" spans="1:37" ht="15" x14ac:dyDescent="0.2">
      <c r="A367" s="142" t="s">
        <v>1220</v>
      </c>
      <c r="B367" s="143" t="s">
        <v>1222</v>
      </c>
      <c r="C367" s="143" t="s">
        <v>1468</v>
      </c>
      <c r="D367" s="143" t="s">
        <v>1469</v>
      </c>
      <c r="E367" s="143" t="s">
        <v>309</v>
      </c>
      <c r="F367" s="143" t="s">
        <v>1598</v>
      </c>
      <c r="G367" s="143" t="s">
        <v>1599</v>
      </c>
      <c r="H367" s="143" t="s">
        <v>321</v>
      </c>
      <c r="I367" s="143" t="s">
        <v>754</v>
      </c>
      <c r="J367" s="143" t="s">
        <v>204</v>
      </c>
      <c r="K367" s="143" t="s">
        <v>204</v>
      </c>
      <c r="L367" s="143" t="s">
        <v>325</v>
      </c>
      <c r="M367" s="143" t="s">
        <v>340</v>
      </c>
      <c r="N367" s="143" t="s">
        <v>448</v>
      </c>
      <c r="O367" s="143" t="s">
        <v>339</v>
      </c>
      <c r="P367" s="143" t="s">
        <v>1224</v>
      </c>
      <c r="Q367" s="143" t="s">
        <v>413</v>
      </c>
      <c r="R367" s="143" t="s">
        <v>407</v>
      </c>
      <c r="S367" s="143" t="s">
        <v>1210</v>
      </c>
      <c r="T367" s="144">
        <v>1.99</v>
      </c>
      <c r="U367" s="143" t="s">
        <v>1404</v>
      </c>
      <c r="V367" s="146">
        <v>8.3000000000000001E-3</v>
      </c>
      <c r="W367" s="146">
        <v>2.1007000000000001E-2</v>
      </c>
      <c r="X367" s="143" t="s">
        <v>412</v>
      </c>
      <c r="Y367" s="145" t="s">
        <v>3876</v>
      </c>
      <c r="Z367" s="144">
        <v>17029.5</v>
      </c>
      <c r="AA367" s="145" t="s">
        <v>3876</v>
      </c>
      <c r="AB367" s="143" t="s">
        <v>1600</v>
      </c>
      <c r="AC367" s="145" t="s">
        <v>3876</v>
      </c>
      <c r="AD367" s="144">
        <v>18.860199999999999</v>
      </c>
      <c r="AE367" s="145" t="s">
        <v>3876</v>
      </c>
      <c r="AF367" s="145" t="s">
        <v>3876</v>
      </c>
      <c r="AG367" s="145" t="s">
        <v>3876</v>
      </c>
      <c r="AH367" s="146">
        <v>1.1196635256432172E-5</v>
      </c>
      <c r="AI367" s="146">
        <v>1.2285046998706887E-2</v>
      </c>
      <c r="AJ367" s="147">
        <v>1.5530707520057293E-3</v>
      </c>
      <c r="AK367" s="181"/>
    </row>
    <row r="368" spans="1:37" ht="15" x14ac:dyDescent="0.2">
      <c r="A368" s="142" t="s">
        <v>1220</v>
      </c>
      <c r="B368" s="143" t="s">
        <v>1222</v>
      </c>
      <c r="C368" s="143" t="s">
        <v>1724</v>
      </c>
      <c r="D368" s="143" t="s">
        <v>1725</v>
      </c>
      <c r="E368" s="143" t="s">
        <v>309</v>
      </c>
      <c r="F368" s="143" t="s">
        <v>1726</v>
      </c>
      <c r="G368" s="143" t="s">
        <v>1727</v>
      </c>
      <c r="H368" s="143" t="s">
        <v>321</v>
      </c>
      <c r="I368" s="143" t="s">
        <v>754</v>
      </c>
      <c r="J368" s="143" t="s">
        <v>204</v>
      </c>
      <c r="K368" s="143" t="s">
        <v>204</v>
      </c>
      <c r="L368" s="143" t="s">
        <v>325</v>
      </c>
      <c r="M368" s="143" t="s">
        <v>340</v>
      </c>
      <c r="N368" s="143" t="s">
        <v>464</v>
      </c>
      <c r="O368" s="143" t="s">
        <v>339</v>
      </c>
      <c r="P368" s="143" t="s">
        <v>1728</v>
      </c>
      <c r="Q368" s="143" t="s">
        <v>413</v>
      </c>
      <c r="R368" s="143" t="s">
        <v>407</v>
      </c>
      <c r="S368" s="143" t="s">
        <v>1210</v>
      </c>
      <c r="T368" s="144">
        <v>3.03</v>
      </c>
      <c r="U368" s="143" t="s">
        <v>1419</v>
      </c>
      <c r="V368" s="146">
        <v>1.7999999999999999E-2</v>
      </c>
      <c r="W368" s="146">
        <v>3.0234E-2</v>
      </c>
      <c r="X368" s="143" t="s">
        <v>412</v>
      </c>
      <c r="Y368" s="145" t="s">
        <v>3876</v>
      </c>
      <c r="Z368" s="144">
        <v>16882.400000000001</v>
      </c>
      <c r="AA368" s="145" t="s">
        <v>3876</v>
      </c>
      <c r="AB368" s="143" t="s">
        <v>1729</v>
      </c>
      <c r="AC368" s="145" t="s">
        <v>3876</v>
      </c>
      <c r="AD368" s="144">
        <v>18.6584</v>
      </c>
      <c r="AE368" s="145" t="s">
        <v>3876</v>
      </c>
      <c r="AF368" s="145" t="s">
        <v>3876</v>
      </c>
      <c r="AG368" s="145" t="s">
        <v>3876</v>
      </c>
      <c r="AH368" s="146">
        <v>2.1404730336367304E-5</v>
      </c>
      <c r="AI368" s="146">
        <v>1.2153636770334791E-2</v>
      </c>
      <c r="AJ368" s="147">
        <v>1.5364579232375059E-3</v>
      </c>
      <c r="AK368" s="181"/>
    </row>
    <row r="369" spans="1:37" ht="15" x14ac:dyDescent="0.2">
      <c r="A369" s="142" t="s">
        <v>1220</v>
      </c>
      <c r="B369" s="143" t="s">
        <v>1222</v>
      </c>
      <c r="C369" s="143" t="s">
        <v>1735</v>
      </c>
      <c r="D369" s="143" t="s">
        <v>1736</v>
      </c>
      <c r="E369" s="143" t="s">
        <v>309</v>
      </c>
      <c r="F369" s="143" t="s">
        <v>1737</v>
      </c>
      <c r="G369" s="143" t="s">
        <v>1738</v>
      </c>
      <c r="H369" s="143" t="s">
        <v>321</v>
      </c>
      <c r="I369" s="143" t="s">
        <v>754</v>
      </c>
      <c r="J369" s="143" t="s">
        <v>204</v>
      </c>
      <c r="K369" s="143" t="s">
        <v>204</v>
      </c>
      <c r="L369" s="143" t="s">
        <v>325</v>
      </c>
      <c r="M369" s="143" t="s">
        <v>340</v>
      </c>
      <c r="N369" s="143" t="s">
        <v>464</v>
      </c>
      <c r="O369" s="143" t="s">
        <v>339</v>
      </c>
      <c r="P369" s="143" t="s">
        <v>1209</v>
      </c>
      <c r="Q369" s="143" t="s">
        <v>415</v>
      </c>
      <c r="R369" s="143" t="s">
        <v>407</v>
      </c>
      <c r="S369" s="143" t="s">
        <v>1210</v>
      </c>
      <c r="T369" s="144">
        <v>1.71</v>
      </c>
      <c r="U369" s="143" t="s">
        <v>1513</v>
      </c>
      <c r="V369" s="146">
        <v>8.3000000000000001E-3</v>
      </c>
      <c r="W369" s="146">
        <v>2.2022E-2</v>
      </c>
      <c r="X369" s="143" t="s">
        <v>412</v>
      </c>
      <c r="Y369" s="145" t="s">
        <v>3876</v>
      </c>
      <c r="Z369" s="144">
        <v>12699.15</v>
      </c>
      <c r="AA369" s="145" t="s">
        <v>3876</v>
      </c>
      <c r="AB369" s="143" t="s">
        <v>1739</v>
      </c>
      <c r="AC369" s="145" t="s">
        <v>3876</v>
      </c>
      <c r="AD369" s="144">
        <v>14.215399999999999</v>
      </c>
      <c r="AE369" s="145" t="s">
        <v>3876</v>
      </c>
      <c r="AF369" s="145" t="s">
        <v>3876</v>
      </c>
      <c r="AG369" s="145" t="s">
        <v>3876</v>
      </c>
      <c r="AH369" s="146">
        <v>1.0699859337396047E-5</v>
      </c>
      <c r="AI369" s="146">
        <v>9.2595769697535382E-3</v>
      </c>
      <c r="AJ369" s="147">
        <v>1.1705920351125858E-3</v>
      </c>
      <c r="AK369" s="181"/>
    </row>
    <row r="370" spans="1:37" ht="15" x14ac:dyDescent="0.2">
      <c r="A370" s="142" t="s">
        <v>1220</v>
      </c>
      <c r="B370" s="143" t="s">
        <v>1222</v>
      </c>
      <c r="C370" s="143" t="s">
        <v>1717</v>
      </c>
      <c r="D370" s="143" t="s">
        <v>1718</v>
      </c>
      <c r="E370" s="143" t="s">
        <v>309</v>
      </c>
      <c r="F370" s="143" t="s">
        <v>1746</v>
      </c>
      <c r="G370" s="143" t="s">
        <v>1747</v>
      </c>
      <c r="H370" s="143" t="s">
        <v>321</v>
      </c>
      <c r="I370" s="143" t="s">
        <v>754</v>
      </c>
      <c r="J370" s="143" t="s">
        <v>204</v>
      </c>
      <c r="K370" s="143" t="s">
        <v>204</v>
      </c>
      <c r="L370" s="143" t="s">
        <v>325</v>
      </c>
      <c r="M370" s="143" t="s">
        <v>340</v>
      </c>
      <c r="N370" s="143" t="s">
        <v>464</v>
      </c>
      <c r="O370" s="143" t="s">
        <v>339</v>
      </c>
      <c r="P370" s="143" t="s">
        <v>1502</v>
      </c>
      <c r="Q370" s="143" t="s">
        <v>415</v>
      </c>
      <c r="R370" s="143" t="s">
        <v>407</v>
      </c>
      <c r="S370" s="143" t="s">
        <v>1210</v>
      </c>
      <c r="T370" s="144">
        <v>2.8</v>
      </c>
      <c r="U370" s="143" t="s">
        <v>1542</v>
      </c>
      <c r="V370" s="146">
        <v>1.77E-2</v>
      </c>
      <c r="W370" s="146">
        <v>2.6707999999999999E-2</v>
      </c>
      <c r="X370" s="143" t="s">
        <v>412</v>
      </c>
      <c r="Y370" s="145" t="s">
        <v>3876</v>
      </c>
      <c r="Z370" s="144">
        <v>11200</v>
      </c>
      <c r="AA370" s="145" t="s">
        <v>3876</v>
      </c>
      <c r="AB370" s="143" t="s">
        <v>1748</v>
      </c>
      <c r="AC370" s="145" t="s">
        <v>3876</v>
      </c>
      <c r="AD370" s="144">
        <v>12.409600000000001</v>
      </c>
      <c r="AE370" s="145" t="s">
        <v>3876</v>
      </c>
      <c r="AF370" s="145" t="s">
        <v>3876</v>
      </c>
      <c r="AG370" s="145" t="s">
        <v>3876</v>
      </c>
      <c r="AH370" s="146">
        <v>4.316470013823314E-6</v>
      </c>
      <c r="AI370" s="146">
        <v>8.0833051415242583E-3</v>
      </c>
      <c r="AJ370" s="147">
        <v>1.0218882187557176E-3</v>
      </c>
      <c r="AK370" s="181"/>
    </row>
    <row r="371" spans="1:37" ht="15" x14ac:dyDescent="0.2">
      <c r="A371" s="142" t="s">
        <v>1220</v>
      </c>
      <c r="B371" s="143" t="s">
        <v>1222</v>
      </c>
      <c r="C371" s="143" t="s">
        <v>1601</v>
      </c>
      <c r="D371" s="143" t="s">
        <v>1602</v>
      </c>
      <c r="E371" s="143" t="s">
        <v>309</v>
      </c>
      <c r="F371" s="143" t="s">
        <v>1603</v>
      </c>
      <c r="G371" s="143" t="s">
        <v>1604</v>
      </c>
      <c r="H371" s="143" t="s">
        <v>321</v>
      </c>
      <c r="I371" s="143" t="s">
        <v>754</v>
      </c>
      <c r="J371" s="143" t="s">
        <v>204</v>
      </c>
      <c r="K371" s="143" t="s">
        <v>204</v>
      </c>
      <c r="L371" s="143" t="s">
        <v>325</v>
      </c>
      <c r="M371" s="143" t="s">
        <v>340</v>
      </c>
      <c r="N371" s="143" t="s">
        <v>484</v>
      </c>
      <c r="O371" s="143" t="s">
        <v>339</v>
      </c>
      <c r="P371" s="143" t="s">
        <v>1403</v>
      </c>
      <c r="Q371" s="143" t="s">
        <v>413</v>
      </c>
      <c r="R371" s="143" t="s">
        <v>407</v>
      </c>
      <c r="S371" s="143" t="s">
        <v>1210</v>
      </c>
      <c r="T371" s="144">
        <v>0.01</v>
      </c>
      <c r="U371" s="143" t="s">
        <v>1605</v>
      </c>
      <c r="V371" s="146">
        <v>1.9800000000000002E-2</v>
      </c>
      <c r="W371" s="146">
        <v>7.3847999999999997E-2</v>
      </c>
      <c r="X371" s="143" t="s">
        <v>412</v>
      </c>
      <c r="Y371" s="145" t="s">
        <v>3876</v>
      </c>
      <c r="Z371" s="144">
        <v>10734.51</v>
      </c>
      <c r="AA371" s="145" t="s">
        <v>3876</v>
      </c>
      <c r="AB371" s="143" t="s">
        <v>1606</v>
      </c>
      <c r="AC371" s="145" t="s">
        <v>3876</v>
      </c>
      <c r="AD371" s="144">
        <v>12.311399999999999</v>
      </c>
      <c r="AE371" s="145" t="s">
        <v>3876</v>
      </c>
      <c r="AF371" s="145" t="s">
        <v>3876</v>
      </c>
      <c r="AG371" s="145" t="s">
        <v>3876</v>
      </c>
      <c r="AH371" s="146">
        <v>7.0649761987955881E-5</v>
      </c>
      <c r="AI371" s="146">
        <v>8.0193463016006473E-3</v>
      </c>
      <c r="AJ371" s="147">
        <v>1.0138025676688287E-3</v>
      </c>
      <c r="AK371" s="181"/>
    </row>
    <row r="372" spans="1:37" ht="15" x14ac:dyDescent="0.2">
      <c r="A372" s="142" t="s">
        <v>1220</v>
      </c>
      <c r="B372" s="143" t="s">
        <v>1222</v>
      </c>
      <c r="C372" s="143" t="s">
        <v>1349</v>
      </c>
      <c r="D372" s="143" t="s">
        <v>1350</v>
      </c>
      <c r="E372" s="143" t="s">
        <v>309</v>
      </c>
      <c r="F372" s="143" t="s">
        <v>1587</v>
      </c>
      <c r="G372" s="143" t="s">
        <v>1588</v>
      </c>
      <c r="H372" s="143" t="s">
        <v>321</v>
      </c>
      <c r="I372" s="143" t="s">
        <v>754</v>
      </c>
      <c r="J372" s="143" t="s">
        <v>204</v>
      </c>
      <c r="K372" s="143" t="s">
        <v>204</v>
      </c>
      <c r="L372" s="143" t="s">
        <v>325</v>
      </c>
      <c r="M372" s="143" t="s">
        <v>340</v>
      </c>
      <c r="N372" s="143" t="s">
        <v>448</v>
      </c>
      <c r="O372" s="143" t="s">
        <v>339</v>
      </c>
      <c r="P372" s="143" t="s">
        <v>1209</v>
      </c>
      <c r="Q372" s="143" t="s">
        <v>415</v>
      </c>
      <c r="R372" s="143" t="s">
        <v>407</v>
      </c>
      <c r="S372" s="143" t="s">
        <v>1210</v>
      </c>
      <c r="T372" s="144">
        <v>0.67</v>
      </c>
      <c r="U372" s="143" t="s">
        <v>1589</v>
      </c>
      <c r="V372" s="146">
        <v>9.4999999999999998E-3</v>
      </c>
      <c r="W372" s="146">
        <v>2.8906999999999999E-2</v>
      </c>
      <c r="X372" s="143" t="s">
        <v>412</v>
      </c>
      <c r="Y372" s="145" t="s">
        <v>3876</v>
      </c>
      <c r="Z372" s="144">
        <v>10580.87</v>
      </c>
      <c r="AA372" s="145" t="s">
        <v>3876</v>
      </c>
      <c r="AB372" s="143" t="s">
        <v>1590</v>
      </c>
      <c r="AC372" s="145" t="s">
        <v>3876</v>
      </c>
      <c r="AD372" s="144">
        <v>11.993399999999999</v>
      </c>
      <c r="AE372" s="145" t="s">
        <v>3876</v>
      </c>
      <c r="AF372" s="145" t="s">
        <v>3876</v>
      </c>
      <c r="AG372" s="145" t="s">
        <v>3876</v>
      </c>
      <c r="AH372" s="146">
        <v>6.5834849313278581E-5</v>
      </c>
      <c r="AI372" s="146">
        <v>7.8122133178602487E-3</v>
      </c>
      <c r="AJ372" s="147">
        <v>9.8761689830535369E-4</v>
      </c>
      <c r="AK372" s="181"/>
    </row>
    <row r="373" spans="1:37" ht="15" x14ac:dyDescent="0.2">
      <c r="A373" s="142" t="s">
        <v>1220</v>
      </c>
      <c r="B373" s="143" t="s">
        <v>1222</v>
      </c>
      <c r="C373" s="143" t="s">
        <v>1509</v>
      </c>
      <c r="D373" s="143" t="s">
        <v>1510</v>
      </c>
      <c r="E373" s="143" t="s">
        <v>309</v>
      </c>
      <c r="F373" s="143" t="s">
        <v>1511</v>
      </c>
      <c r="G373" s="143" t="s">
        <v>1512</v>
      </c>
      <c r="H373" s="143" t="s">
        <v>321</v>
      </c>
      <c r="I373" s="143" t="s">
        <v>754</v>
      </c>
      <c r="J373" s="143" t="s">
        <v>204</v>
      </c>
      <c r="K373" s="143" t="s">
        <v>204</v>
      </c>
      <c r="L373" s="143" t="s">
        <v>325</v>
      </c>
      <c r="M373" s="143" t="s">
        <v>340</v>
      </c>
      <c r="N373" s="143" t="s">
        <v>448</v>
      </c>
      <c r="O373" s="143" t="s">
        <v>339</v>
      </c>
      <c r="P373" s="143" t="s">
        <v>1347</v>
      </c>
      <c r="Q373" s="143" t="s">
        <v>413</v>
      </c>
      <c r="R373" s="143" t="s">
        <v>407</v>
      </c>
      <c r="S373" s="143" t="s">
        <v>1210</v>
      </c>
      <c r="T373" s="144">
        <v>1.48</v>
      </c>
      <c r="U373" s="143" t="s">
        <v>1513</v>
      </c>
      <c r="V373" s="146">
        <v>2E-3</v>
      </c>
      <c r="W373" s="146">
        <v>2.0419E-2</v>
      </c>
      <c r="X373" s="143" t="s">
        <v>412</v>
      </c>
      <c r="Y373" s="145" t="s">
        <v>3876</v>
      </c>
      <c r="Z373" s="144">
        <v>10500</v>
      </c>
      <c r="AA373" s="145" t="s">
        <v>3876</v>
      </c>
      <c r="AB373" s="143" t="s">
        <v>1514</v>
      </c>
      <c r="AC373" s="145" t="s">
        <v>3876</v>
      </c>
      <c r="AD373" s="144">
        <v>11.4986</v>
      </c>
      <c r="AE373" s="145" t="s">
        <v>3876</v>
      </c>
      <c r="AF373" s="145" t="s">
        <v>3876</v>
      </c>
      <c r="AG373" s="145" t="s">
        <v>3876</v>
      </c>
      <c r="AH373" s="146">
        <v>2.5106374153082496E-5</v>
      </c>
      <c r="AI373" s="146">
        <v>7.4898698052373765E-3</v>
      </c>
      <c r="AJ373" s="147">
        <v>9.468663597354917E-4</v>
      </c>
      <c r="AK373" s="181"/>
    </row>
    <row r="374" spans="1:37" ht="15" x14ac:dyDescent="0.2">
      <c r="A374" s="142" t="s">
        <v>1220</v>
      </c>
      <c r="B374" s="143" t="s">
        <v>1222</v>
      </c>
      <c r="C374" s="143" t="s">
        <v>1554</v>
      </c>
      <c r="D374" s="143" t="s">
        <v>1555</v>
      </c>
      <c r="E374" s="143" t="s">
        <v>309</v>
      </c>
      <c r="F374" s="143" t="s">
        <v>1556</v>
      </c>
      <c r="G374" s="143" t="s">
        <v>1557</v>
      </c>
      <c r="H374" s="143" t="s">
        <v>321</v>
      </c>
      <c r="I374" s="143" t="s">
        <v>754</v>
      </c>
      <c r="J374" s="143" t="s">
        <v>204</v>
      </c>
      <c r="K374" s="143" t="s">
        <v>204</v>
      </c>
      <c r="L374" s="143" t="s">
        <v>325</v>
      </c>
      <c r="M374" s="143" t="s">
        <v>340</v>
      </c>
      <c r="N374" s="143" t="s">
        <v>464</v>
      </c>
      <c r="O374" s="143" t="s">
        <v>339</v>
      </c>
      <c r="P374" s="143" t="s">
        <v>1410</v>
      </c>
      <c r="Q374" s="143" t="s">
        <v>413</v>
      </c>
      <c r="R374" s="143" t="s">
        <v>407</v>
      </c>
      <c r="S374" s="143" t="s">
        <v>1210</v>
      </c>
      <c r="T374" s="144">
        <v>2.4300000000000002</v>
      </c>
      <c r="U374" s="143" t="s">
        <v>1299</v>
      </c>
      <c r="V374" s="146">
        <v>2.3400000000000001E-2</v>
      </c>
      <c r="W374" s="146">
        <v>2.7517E-2</v>
      </c>
      <c r="X374" s="143" t="s">
        <v>412</v>
      </c>
      <c r="Y374" s="145" t="s">
        <v>3876</v>
      </c>
      <c r="Z374" s="144">
        <v>9586.7900000000009</v>
      </c>
      <c r="AA374" s="145" t="s">
        <v>3876</v>
      </c>
      <c r="AB374" s="143" t="s">
        <v>1558</v>
      </c>
      <c r="AC374" s="145" t="s">
        <v>3876</v>
      </c>
      <c r="AD374" s="144">
        <v>10.8407</v>
      </c>
      <c r="AE374" s="145" t="s">
        <v>3876</v>
      </c>
      <c r="AF374" s="145" t="s">
        <v>3876</v>
      </c>
      <c r="AG374" s="145" t="s">
        <v>3876</v>
      </c>
      <c r="AH374" s="146">
        <v>4.5444562101051037E-6</v>
      </c>
      <c r="AI374" s="146">
        <v>7.0613901023025916E-3</v>
      </c>
      <c r="AJ374" s="147">
        <v>8.9269812622965621E-4</v>
      </c>
      <c r="AK374" s="181"/>
    </row>
    <row r="375" spans="1:37" ht="15" x14ac:dyDescent="0.2">
      <c r="A375" s="142" t="s">
        <v>1220</v>
      </c>
      <c r="B375" s="143" t="s">
        <v>1222</v>
      </c>
      <c r="C375" s="143" t="s">
        <v>1571</v>
      </c>
      <c r="D375" s="143" t="s">
        <v>1572</v>
      </c>
      <c r="E375" s="143" t="s">
        <v>309</v>
      </c>
      <c r="F375" s="143" t="s">
        <v>1573</v>
      </c>
      <c r="G375" s="143" t="s">
        <v>1574</v>
      </c>
      <c r="H375" s="143" t="s">
        <v>321</v>
      </c>
      <c r="I375" s="143" t="s">
        <v>754</v>
      </c>
      <c r="J375" s="143" t="s">
        <v>204</v>
      </c>
      <c r="K375" s="143" t="s">
        <v>204</v>
      </c>
      <c r="L375" s="143" t="s">
        <v>325</v>
      </c>
      <c r="M375" s="143" t="s">
        <v>340</v>
      </c>
      <c r="N375" s="143" t="s">
        <v>440</v>
      </c>
      <c r="O375" s="143" t="s">
        <v>339</v>
      </c>
      <c r="P375" s="143" t="s">
        <v>1347</v>
      </c>
      <c r="Q375" s="143" t="s">
        <v>413</v>
      </c>
      <c r="R375" s="143" t="s">
        <v>407</v>
      </c>
      <c r="S375" s="143" t="s">
        <v>1210</v>
      </c>
      <c r="T375" s="144">
        <v>2.34</v>
      </c>
      <c r="U375" s="143" t="s">
        <v>1575</v>
      </c>
      <c r="V375" s="146">
        <v>1.9400000000000001E-2</v>
      </c>
      <c r="W375" s="146">
        <v>2.5323999999999999E-2</v>
      </c>
      <c r="X375" s="143" t="s">
        <v>412</v>
      </c>
      <c r="Y375" s="145" t="s">
        <v>3876</v>
      </c>
      <c r="Z375" s="144">
        <v>9575.5400000000009</v>
      </c>
      <c r="AA375" s="145" t="s">
        <v>3876</v>
      </c>
      <c r="AB375" s="143" t="s">
        <v>1576</v>
      </c>
      <c r="AC375" s="145" t="s">
        <v>3876</v>
      </c>
      <c r="AD375" s="144">
        <v>10.8299</v>
      </c>
      <c r="AE375" s="145" t="s">
        <v>3876</v>
      </c>
      <c r="AF375" s="145" t="s">
        <v>3876</v>
      </c>
      <c r="AG375" s="145" t="s">
        <v>3876</v>
      </c>
      <c r="AH375" s="146">
        <v>3.178564410161141E-5</v>
      </c>
      <c r="AI375" s="146">
        <v>7.0543510870228945E-3</v>
      </c>
      <c r="AJ375" s="147">
        <v>8.9180825671959492E-4</v>
      </c>
      <c r="AK375" s="181"/>
    </row>
    <row r="376" spans="1:37" ht="15" x14ac:dyDescent="0.2">
      <c r="A376" s="142" t="s">
        <v>1220</v>
      </c>
      <c r="B376" s="143" t="s">
        <v>1222</v>
      </c>
      <c r="C376" s="143" t="s">
        <v>1613</v>
      </c>
      <c r="D376" s="143" t="s">
        <v>1614</v>
      </c>
      <c r="E376" s="143" t="s">
        <v>309</v>
      </c>
      <c r="F376" s="143" t="s">
        <v>1615</v>
      </c>
      <c r="G376" s="143" t="s">
        <v>1616</v>
      </c>
      <c r="H376" s="143" t="s">
        <v>321</v>
      </c>
      <c r="I376" s="143" t="s">
        <v>754</v>
      </c>
      <c r="J376" s="143" t="s">
        <v>204</v>
      </c>
      <c r="K376" s="143" t="s">
        <v>204</v>
      </c>
      <c r="L376" s="143" t="s">
        <v>325</v>
      </c>
      <c r="M376" s="143" t="s">
        <v>340</v>
      </c>
      <c r="N376" s="143" t="s">
        <v>445</v>
      </c>
      <c r="O376" s="143" t="s">
        <v>339</v>
      </c>
      <c r="P376" s="143" t="s">
        <v>1617</v>
      </c>
      <c r="Q376" s="143" t="s">
        <v>415</v>
      </c>
      <c r="R376" s="143" t="s">
        <v>407</v>
      </c>
      <c r="S376" s="143" t="s">
        <v>1210</v>
      </c>
      <c r="T376" s="144">
        <v>4.76</v>
      </c>
      <c r="U376" s="143" t="s">
        <v>1618</v>
      </c>
      <c r="V376" s="146">
        <v>5.1700000000000003E-2</v>
      </c>
      <c r="W376" s="146">
        <v>5.8743999999999998E-2</v>
      </c>
      <c r="X376" s="143" t="s">
        <v>412</v>
      </c>
      <c r="Y376" s="145" t="s">
        <v>3876</v>
      </c>
      <c r="Z376" s="144">
        <v>10661</v>
      </c>
      <c r="AA376" s="145" t="s">
        <v>3876</v>
      </c>
      <c r="AB376" s="143" t="s">
        <v>1619</v>
      </c>
      <c r="AC376" s="145" t="s">
        <v>3876</v>
      </c>
      <c r="AD376" s="144">
        <v>10.403</v>
      </c>
      <c r="AE376" s="145" t="s">
        <v>3876</v>
      </c>
      <c r="AF376" s="145" t="s">
        <v>3876</v>
      </c>
      <c r="AG376" s="145" t="s">
        <v>3876</v>
      </c>
      <c r="AH376" s="146">
        <v>1.7470920037888347E-5</v>
      </c>
      <c r="AI376" s="146">
        <v>6.7762582278104357E-3</v>
      </c>
      <c r="AJ376" s="147">
        <v>8.5665186814167763E-4</v>
      </c>
      <c r="AK376" s="181"/>
    </row>
    <row r="377" spans="1:37" ht="15" x14ac:dyDescent="0.2">
      <c r="A377" s="142" t="s">
        <v>1220</v>
      </c>
      <c r="B377" s="143" t="s">
        <v>1222</v>
      </c>
      <c r="C377" s="143" t="s">
        <v>1519</v>
      </c>
      <c r="D377" s="143" t="s">
        <v>1520</v>
      </c>
      <c r="E377" s="143" t="s">
        <v>309</v>
      </c>
      <c r="F377" s="143" t="s">
        <v>1591</v>
      </c>
      <c r="G377" s="143" t="s">
        <v>1592</v>
      </c>
      <c r="H377" s="143" t="s">
        <v>321</v>
      </c>
      <c r="I377" s="143" t="s">
        <v>754</v>
      </c>
      <c r="J377" s="143" t="s">
        <v>204</v>
      </c>
      <c r="K377" s="143" t="s">
        <v>204</v>
      </c>
      <c r="L377" s="143" t="s">
        <v>325</v>
      </c>
      <c r="M377" s="143" t="s">
        <v>340</v>
      </c>
      <c r="N377" s="143" t="s">
        <v>465</v>
      </c>
      <c r="O377" s="143" t="s">
        <v>339</v>
      </c>
      <c r="P377" s="143" t="s">
        <v>1359</v>
      </c>
      <c r="Q377" s="143" t="s">
        <v>415</v>
      </c>
      <c r="R377" s="143" t="s">
        <v>407</v>
      </c>
      <c r="S377" s="143" t="s">
        <v>1210</v>
      </c>
      <c r="T377" s="144">
        <v>0.25</v>
      </c>
      <c r="U377" s="143" t="s">
        <v>1593</v>
      </c>
      <c r="V377" s="146">
        <v>5.3499999999999999E-2</v>
      </c>
      <c r="W377" s="146">
        <v>3.9487000000000001E-2</v>
      </c>
      <c r="X377" s="143" t="s">
        <v>412</v>
      </c>
      <c r="Y377" s="145" t="s">
        <v>3876</v>
      </c>
      <c r="Z377" s="144">
        <v>8563.0300000000007</v>
      </c>
      <c r="AA377" s="145" t="s">
        <v>3876</v>
      </c>
      <c r="AB377" s="143" t="s">
        <v>1594</v>
      </c>
      <c r="AC377" s="145" t="s">
        <v>3876</v>
      </c>
      <c r="AD377" s="144">
        <v>10.239700000000001</v>
      </c>
      <c r="AE377" s="145" t="s">
        <v>3876</v>
      </c>
      <c r="AF377" s="145" t="s">
        <v>3876</v>
      </c>
      <c r="AG377" s="145" t="s">
        <v>3876</v>
      </c>
      <c r="AH377" s="146">
        <v>2.5903056003284749E-5</v>
      </c>
      <c r="AI377" s="146">
        <v>6.6698674781332555E-3</v>
      </c>
      <c r="AJ377" s="147">
        <v>8.4320199191206412E-4</v>
      </c>
      <c r="AK377" s="181"/>
    </row>
    <row r="378" spans="1:37" ht="15" x14ac:dyDescent="0.2">
      <c r="A378" s="142" t="s">
        <v>1220</v>
      </c>
      <c r="B378" s="143" t="s">
        <v>1222</v>
      </c>
      <c r="C378" s="143" t="s">
        <v>1981</v>
      </c>
      <c r="D378" s="143" t="s">
        <v>1982</v>
      </c>
      <c r="E378" s="143" t="s">
        <v>309</v>
      </c>
      <c r="F378" s="143" t="s">
        <v>1983</v>
      </c>
      <c r="G378" s="143" t="s">
        <v>1984</v>
      </c>
      <c r="H378" s="143" t="s">
        <v>321</v>
      </c>
      <c r="I378" s="143" t="s">
        <v>754</v>
      </c>
      <c r="J378" s="143" t="s">
        <v>204</v>
      </c>
      <c r="K378" s="143" t="s">
        <v>204</v>
      </c>
      <c r="L378" s="143" t="s">
        <v>325</v>
      </c>
      <c r="M378" s="143" t="s">
        <v>340</v>
      </c>
      <c r="N378" s="143" t="s">
        <v>451</v>
      </c>
      <c r="O378" s="143" t="s">
        <v>339</v>
      </c>
      <c r="P378" s="145" t="s">
        <v>3876</v>
      </c>
      <c r="Q378" s="143" t="s">
        <v>410</v>
      </c>
      <c r="R378" s="143" t="s">
        <v>410</v>
      </c>
      <c r="S378" s="143" t="s">
        <v>1210</v>
      </c>
      <c r="T378" s="144">
        <v>3.02</v>
      </c>
      <c r="U378" s="143" t="s">
        <v>1542</v>
      </c>
      <c r="V378" s="146">
        <v>3.6999999999999998E-2</v>
      </c>
      <c r="W378" s="146">
        <v>4.7534E-2</v>
      </c>
      <c r="X378" s="143" t="s">
        <v>412</v>
      </c>
      <c r="Y378" s="145" t="s">
        <v>3876</v>
      </c>
      <c r="Z378" s="144">
        <v>9234.0400000000009</v>
      </c>
      <c r="AA378" s="145" t="s">
        <v>3876</v>
      </c>
      <c r="AB378" s="143" t="s">
        <v>1985</v>
      </c>
      <c r="AC378" s="145" t="s">
        <v>3876</v>
      </c>
      <c r="AD378" s="144">
        <v>10.179600000000001</v>
      </c>
      <c r="AE378" s="145" t="s">
        <v>3876</v>
      </c>
      <c r="AF378" s="145" t="s">
        <v>3876</v>
      </c>
      <c r="AG378" s="145" t="s">
        <v>3876</v>
      </c>
      <c r="AH378" s="146">
        <v>1.1693147434368489E-5</v>
      </c>
      <c r="AI378" s="146">
        <v>6.6307422528660408E-3</v>
      </c>
      <c r="AJ378" s="147">
        <v>8.3825579650601131E-4</v>
      </c>
      <c r="AK378" s="181"/>
    </row>
    <row r="379" spans="1:37" ht="15" x14ac:dyDescent="0.2">
      <c r="A379" s="142" t="s">
        <v>1220</v>
      </c>
      <c r="B379" s="143" t="s">
        <v>1222</v>
      </c>
      <c r="C379" s="143" t="s">
        <v>1749</v>
      </c>
      <c r="D379" s="143" t="s">
        <v>1750</v>
      </c>
      <c r="E379" s="143" t="s">
        <v>309</v>
      </c>
      <c r="F379" s="143" t="s">
        <v>1751</v>
      </c>
      <c r="G379" s="143" t="s">
        <v>1752</v>
      </c>
      <c r="H379" s="143" t="s">
        <v>321</v>
      </c>
      <c r="I379" s="143" t="s">
        <v>754</v>
      </c>
      <c r="J379" s="143" t="s">
        <v>204</v>
      </c>
      <c r="K379" s="143" t="s">
        <v>204</v>
      </c>
      <c r="L379" s="143" t="s">
        <v>325</v>
      </c>
      <c r="M379" s="143" t="s">
        <v>340</v>
      </c>
      <c r="N379" s="143" t="s">
        <v>443</v>
      </c>
      <c r="O379" s="143" t="s">
        <v>339</v>
      </c>
      <c r="P379" s="143" t="s">
        <v>1617</v>
      </c>
      <c r="Q379" s="143" t="s">
        <v>415</v>
      </c>
      <c r="R379" s="143" t="s">
        <v>407</v>
      </c>
      <c r="S379" s="143" t="s">
        <v>1210</v>
      </c>
      <c r="T379" s="144">
        <v>1.04</v>
      </c>
      <c r="U379" s="143" t="s">
        <v>1753</v>
      </c>
      <c r="V379" s="146">
        <v>1.8499999999999999E-2</v>
      </c>
      <c r="W379" s="146">
        <v>2.9201000000000001E-2</v>
      </c>
      <c r="X379" s="143" t="s">
        <v>412</v>
      </c>
      <c r="Y379" s="145" t="s">
        <v>3876</v>
      </c>
      <c r="Z379" s="144">
        <v>8609.6</v>
      </c>
      <c r="AA379" s="145" t="s">
        <v>3876</v>
      </c>
      <c r="AB379" s="143" t="s">
        <v>1754</v>
      </c>
      <c r="AC379" s="145" t="s">
        <v>3876</v>
      </c>
      <c r="AD379" s="144">
        <v>9.6702999999999992</v>
      </c>
      <c r="AE379" s="145" t="s">
        <v>3876</v>
      </c>
      <c r="AF379" s="145" t="s">
        <v>3876</v>
      </c>
      <c r="AG379" s="145" t="s">
        <v>3876</v>
      </c>
      <c r="AH379" s="146">
        <v>2.3344902386117136E-5</v>
      </c>
      <c r="AI379" s="146">
        <v>6.2989949471918523E-3</v>
      </c>
      <c r="AJ379" s="147">
        <v>7.96316434161405E-4</v>
      </c>
      <c r="AK379" s="181"/>
    </row>
    <row r="380" spans="1:37" ht="15" x14ac:dyDescent="0.2">
      <c r="A380" s="142" t="s">
        <v>1220</v>
      </c>
      <c r="B380" s="143" t="s">
        <v>1222</v>
      </c>
      <c r="C380" s="143" t="s">
        <v>1626</v>
      </c>
      <c r="D380" s="143" t="s">
        <v>1627</v>
      </c>
      <c r="E380" s="143" t="s">
        <v>309</v>
      </c>
      <c r="F380" s="143" t="s">
        <v>1628</v>
      </c>
      <c r="G380" s="143" t="s">
        <v>1629</v>
      </c>
      <c r="H380" s="143" t="s">
        <v>321</v>
      </c>
      <c r="I380" s="143" t="s">
        <v>754</v>
      </c>
      <c r="J380" s="143" t="s">
        <v>204</v>
      </c>
      <c r="K380" s="143" t="s">
        <v>204</v>
      </c>
      <c r="L380" s="143" t="s">
        <v>325</v>
      </c>
      <c r="M380" s="143" t="s">
        <v>340</v>
      </c>
      <c r="N380" s="143" t="s">
        <v>445</v>
      </c>
      <c r="O380" s="143" t="s">
        <v>339</v>
      </c>
      <c r="P380" s="143" t="s">
        <v>1410</v>
      </c>
      <c r="Q380" s="143" t="s">
        <v>413</v>
      </c>
      <c r="R380" s="143" t="s">
        <v>407</v>
      </c>
      <c r="S380" s="143" t="s">
        <v>1210</v>
      </c>
      <c r="T380" s="144">
        <v>4.79</v>
      </c>
      <c r="U380" s="143" t="s">
        <v>1630</v>
      </c>
      <c r="V380" s="146">
        <v>4.4000000000000003E-3</v>
      </c>
      <c r="W380" s="146">
        <v>2.8766E-2</v>
      </c>
      <c r="X380" s="143" t="s">
        <v>412</v>
      </c>
      <c r="Y380" s="145" t="s">
        <v>3876</v>
      </c>
      <c r="Z380" s="144">
        <v>9548</v>
      </c>
      <c r="AA380" s="145" t="s">
        <v>3876</v>
      </c>
      <c r="AB380" s="143" t="s">
        <v>1631</v>
      </c>
      <c r="AC380" s="145" t="s">
        <v>3876</v>
      </c>
      <c r="AD380" s="144">
        <v>9.6510999999999996</v>
      </c>
      <c r="AE380" s="145" t="s">
        <v>3876</v>
      </c>
      <c r="AF380" s="145" t="s">
        <v>3876</v>
      </c>
      <c r="AG380" s="145" t="s">
        <v>3876</v>
      </c>
      <c r="AH380" s="146">
        <v>1.1193485234031538E-5</v>
      </c>
      <c r="AI380" s="146">
        <v>6.2864987577504004E-3</v>
      </c>
      <c r="AJ380" s="147">
        <v>7.9473667086582425E-4</v>
      </c>
      <c r="AK380" s="181"/>
    </row>
    <row r="381" spans="1:37" ht="15" x14ac:dyDescent="0.2">
      <c r="A381" s="142" t="s">
        <v>1220</v>
      </c>
      <c r="B381" s="143" t="s">
        <v>1222</v>
      </c>
      <c r="C381" s="143" t="s">
        <v>1519</v>
      </c>
      <c r="D381" s="143" t="s">
        <v>1520</v>
      </c>
      <c r="E381" s="143" t="s">
        <v>309</v>
      </c>
      <c r="F381" s="143" t="s">
        <v>1521</v>
      </c>
      <c r="G381" s="143" t="s">
        <v>1522</v>
      </c>
      <c r="H381" s="143" t="s">
        <v>321</v>
      </c>
      <c r="I381" s="143" t="s">
        <v>754</v>
      </c>
      <c r="J381" s="143" t="s">
        <v>204</v>
      </c>
      <c r="K381" s="143" t="s">
        <v>204</v>
      </c>
      <c r="L381" s="143" t="s">
        <v>325</v>
      </c>
      <c r="M381" s="143" t="s">
        <v>340</v>
      </c>
      <c r="N381" s="143" t="s">
        <v>465</v>
      </c>
      <c r="O381" s="143" t="s">
        <v>339</v>
      </c>
      <c r="P381" s="143" t="s">
        <v>1359</v>
      </c>
      <c r="Q381" s="143" t="s">
        <v>415</v>
      </c>
      <c r="R381" s="143" t="s">
        <v>407</v>
      </c>
      <c r="S381" s="143" t="s">
        <v>1210</v>
      </c>
      <c r="T381" s="144">
        <v>2.1</v>
      </c>
      <c r="U381" s="143" t="s">
        <v>1523</v>
      </c>
      <c r="V381" s="146">
        <v>0.04</v>
      </c>
      <c r="W381" s="146">
        <v>5.3921999999999998E-2</v>
      </c>
      <c r="X381" s="143" t="s">
        <v>412</v>
      </c>
      <c r="Y381" s="145" t="s">
        <v>3876</v>
      </c>
      <c r="Z381" s="144">
        <v>7802.25</v>
      </c>
      <c r="AA381" s="145" t="s">
        <v>3876</v>
      </c>
      <c r="AB381" s="143" t="s">
        <v>1524</v>
      </c>
      <c r="AC381" s="145" t="s">
        <v>3876</v>
      </c>
      <c r="AD381" s="144">
        <v>8.6042999999999985</v>
      </c>
      <c r="AE381" s="145" t="s">
        <v>3876</v>
      </c>
      <c r="AF381" s="145" t="s">
        <v>3876</v>
      </c>
      <c r="AG381" s="145" t="s">
        <v>3876</v>
      </c>
      <c r="AH381" s="146">
        <v>3.6086908670703451E-6</v>
      </c>
      <c r="AI381" s="146">
        <v>5.6046411329629224E-3</v>
      </c>
      <c r="AJ381" s="147">
        <v>7.0853650132630236E-4</v>
      </c>
      <c r="AK381" s="181"/>
    </row>
    <row r="382" spans="1:37" ht="15" x14ac:dyDescent="0.2">
      <c r="A382" s="142" t="s">
        <v>1220</v>
      </c>
      <c r="B382" s="143" t="s">
        <v>1222</v>
      </c>
      <c r="C382" s="143" t="s">
        <v>1740</v>
      </c>
      <c r="D382" s="143" t="s">
        <v>1741</v>
      </c>
      <c r="E382" s="143" t="s">
        <v>309</v>
      </c>
      <c r="F382" s="143" t="s">
        <v>1755</v>
      </c>
      <c r="G382" s="143" t="s">
        <v>1756</v>
      </c>
      <c r="H382" s="143" t="s">
        <v>321</v>
      </c>
      <c r="I382" s="143" t="s">
        <v>754</v>
      </c>
      <c r="J382" s="143" t="s">
        <v>204</v>
      </c>
      <c r="K382" s="143" t="s">
        <v>204</v>
      </c>
      <c r="L382" s="143" t="s">
        <v>325</v>
      </c>
      <c r="M382" s="143" t="s">
        <v>340</v>
      </c>
      <c r="N382" s="143" t="s">
        <v>464</v>
      </c>
      <c r="O382" s="143" t="s">
        <v>339</v>
      </c>
      <c r="P382" s="143" t="s">
        <v>1366</v>
      </c>
      <c r="Q382" s="143" t="s">
        <v>415</v>
      </c>
      <c r="R382" s="143" t="s">
        <v>407</v>
      </c>
      <c r="S382" s="143" t="s">
        <v>1210</v>
      </c>
      <c r="T382" s="144">
        <v>4.45</v>
      </c>
      <c r="U382" s="143" t="s">
        <v>1715</v>
      </c>
      <c r="V382" s="146">
        <v>1.3299999999999999E-2</v>
      </c>
      <c r="W382" s="146">
        <v>3.5557999999999999E-2</v>
      </c>
      <c r="X382" s="143" t="s">
        <v>412</v>
      </c>
      <c r="Y382" s="145" t="s">
        <v>3876</v>
      </c>
      <c r="Z382" s="144">
        <v>6460</v>
      </c>
      <c r="AA382" s="145" t="s">
        <v>3876</v>
      </c>
      <c r="AB382" s="143" t="s">
        <v>1757</v>
      </c>
      <c r="AC382" s="145" t="s">
        <v>3876</v>
      </c>
      <c r="AD382" s="144">
        <v>6.6680000000000001</v>
      </c>
      <c r="AE382" s="145" t="s">
        <v>3876</v>
      </c>
      <c r="AF382" s="145" t="s">
        <v>3876</v>
      </c>
      <c r="AG382" s="145" t="s">
        <v>3876</v>
      </c>
      <c r="AH382" s="146">
        <v>5.4399999999999996E-6</v>
      </c>
      <c r="AI382" s="146">
        <v>4.3433773597332265E-3</v>
      </c>
      <c r="AJ382" s="147">
        <v>5.4908803711012041E-4</v>
      </c>
      <c r="AK382" s="181"/>
    </row>
    <row r="383" spans="1:37" ht="15" x14ac:dyDescent="0.2">
      <c r="A383" s="142" t="s">
        <v>1220</v>
      </c>
      <c r="B383" s="143" t="s">
        <v>1222</v>
      </c>
      <c r="C383" s="143" t="s">
        <v>1986</v>
      </c>
      <c r="D383" s="143" t="s">
        <v>1987</v>
      </c>
      <c r="E383" s="143" t="s">
        <v>309</v>
      </c>
      <c r="F383" s="143" t="s">
        <v>1988</v>
      </c>
      <c r="G383" s="143" t="s">
        <v>1989</v>
      </c>
      <c r="H383" s="143" t="s">
        <v>321</v>
      </c>
      <c r="I383" s="143" t="s">
        <v>754</v>
      </c>
      <c r="J383" s="143" t="s">
        <v>204</v>
      </c>
      <c r="K383" s="143" t="s">
        <v>204</v>
      </c>
      <c r="L383" s="143" t="s">
        <v>325</v>
      </c>
      <c r="M383" s="143" t="s">
        <v>340</v>
      </c>
      <c r="N383" s="143" t="s">
        <v>464</v>
      </c>
      <c r="O383" s="143" t="s">
        <v>339</v>
      </c>
      <c r="P383" s="143" t="s">
        <v>1410</v>
      </c>
      <c r="Q383" s="143" t="s">
        <v>413</v>
      </c>
      <c r="R383" s="143" t="s">
        <v>407</v>
      </c>
      <c r="S383" s="143" t="s">
        <v>1210</v>
      </c>
      <c r="T383" s="144">
        <v>1.41</v>
      </c>
      <c r="U383" s="143" t="s">
        <v>1360</v>
      </c>
      <c r="V383" s="146">
        <v>1.6E-2</v>
      </c>
      <c r="W383" s="146">
        <v>2.6533999999999999E-2</v>
      </c>
      <c r="X383" s="143" t="s">
        <v>412</v>
      </c>
      <c r="Y383" s="145" t="s">
        <v>3876</v>
      </c>
      <c r="Z383" s="144">
        <v>5709.96</v>
      </c>
      <c r="AA383" s="145" t="s">
        <v>3876</v>
      </c>
      <c r="AB383" s="143" t="s">
        <v>1990</v>
      </c>
      <c r="AC383" s="145" t="s">
        <v>3876</v>
      </c>
      <c r="AD383" s="144">
        <v>6.4882</v>
      </c>
      <c r="AE383" s="145" t="s">
        <v>3876</v>
      </c>
      <c r="AF383" s="145" t="s">
        <v>3876</v>
      </c>
      <c r="AG383" s="145" t="s">
        <v>3876</v>
      </c>
      <c r="AH383" s="146">
        <v>1.4727798698376921E-5</v>
      </c>
      <c r="AI383" s="146">
        <v>4.2262702341838354E-3</v>
      </c>
      <c r="AJ383" s="147">
        <v>5.342834009079662E-4</v>
      </c>
      <c r="AK383" s="181"/>
    </row>
    <row r="384" spans="1:37" ht="15" x14ac:dyDescent="0.2">
      <c r="A384" s="142" t="s">
        <v>1220</v>
      </c>
      <c r="B384" s="143" t="s">
        <v>1222</v>
      </c>
      <c r="C384" s="143" t="s">
        <v>1519</v>
      </c>
      <c r="D384" s="143" t="s">
        <v>1520</v>
      </c>
      <c r="E384" s="143" t="s">
        <v>309</v>
      </c>
      <c r="F384" s="143" t="s">
        <v>1540</v>
      </c>
      <c r="G384" s="143" t="s">
        <v>1541</v>
      </c>
      <c r="H384" s="143" t="s">
        <v>321</v>
      </c>
      <c r="I384" s="143" t="s">
        <v>754</v>
      </c>
      <c r="J384" s="143" t="s">
        <v>204</v>
      </c>
      <c r="K384" s="143" t="s">
        <v>204</v>
      </c>
      <c r="L384" s="143" t="s">
        <v>325</v>
      </c>
      <c r="M384" s="143" t="s">
        <v>340</v>
      </c>
      <c r="N384" s="143" t="s">
        <v>465</v>
      </c>
      <c r="O384" s="143" t="s">
        <v>339</v>
      </c>
      <c r="P384" s="143" t="s">
        <v>1359</v>
      </c>
      <c r="Q384" s="143" t="s">
        <v>415</v>
      </c>
      <c r="R384" s="143" t="s">
        <v>407</v>
      </c>
      <c r="S384" s="143" t="s">
        <v>1210</v>
      </c>
      <c r="T384" s="144">
        <v>2.46</v>
      </c>
      <c r="U384" s="143" t="s">
        <v>1542</v>
      </c>
      <c r="V384" s="146">
        <v>3.2800000000000003E-2</v>
      </c>
      <c r="W384" s="146">
        <v>5.8094E-2</v>
      </c>
      <c r="X384" s="143" t="s">
        <v>412</v>
      </c>
      <c r="Y384" s="145" t="s">
        <v>3876</v>
      </c>
      <c r="Z384" s="144">
        <v>5948.8</v>
      </c>
      <c r="AA384" s="145" t="s">
        <v>3876</v>
      </c>
      <c r="AB384" s="143" t="s">
        <v>1543</v>
      </c>
      <c r="AC384" s="145" t="s">
        <v>3876</v>
      </c>
      <c r="AD384" s="144">
        <v>6.4485000000000001</v>
      </c>
      <c r="AE384" s="145" t="s">
        <v>3876</v>
      </c>
      <c r="AF384" s="145" t="s">
        <v>3876</v>
      </c>
      <c r="AG384" s="145" t="s">
        <v>3876</v>
      </c>
      <c r="AH384" s="146">
        <v>4.3029211903246228E-6</v>
      </c>
      <c r="AI384" s="146">
        <v>4.2003921752897001E-3</v>
      </c>
      <c r="AJ384" s="147">
        <v>5.310119070022942E-4</v>
      </c>
      <c r="AK384" s="181"/>
    </row>
    <row r="385" spans="1:37" ht="15" x14ac:dyDescent="0.2">
      <c r="A385" s="142" t="s">
        <v>1220</v>
      </c>
      <c r="B385" s="143" t="s">
        <v>1222</v>
      </c>
      <c r="C385" s="143" t="s">
        <v>1613</v>
      </c>
      <c r="D385" s="143" t="s">
        <v>1614</v>
      </c>
      <c r="E385" s="143" t="s">
        <v>309</v>
      </c>
      <c r="F385" s="143" t="s">
        <v>1632</v>
      </c>
      <c r="G385" s="143" t="s">
        <v>1633</v>
      </c>
      <c r="H385" s="143" t="s">
        <v>321</v>
      </c>
      <c r="I385" s="143" t="s">
        <v>754</v>
      </c>
      <c r="J385" s="143" t="s">
        <v>204</v>
      </c>
      <c r="K385" s="143" t="s">
        <v>204</v>
      </c>
      <c r="L385" s="143" t="s">
        <v>325</v>
      </c>
      <c r="M385" s="143" t="s">
        <v>340</v>
      </c>
      <c r="N385" s="143" t="s">
        <v>445</v>
      </c>
      <c r="O385" s="143" t="s">
        <v>339</v>
      </c>
      <c r="P385" s="143" t="s">
        <v>1617</v>
      </c>
      <c r="Q385" s="143" t="s">
        <v>415</v>
      </c>
      <c r="R385" s="143" t="s">
        <v>407</v>
      </c>
      <c r="S385" s="143" t="s">
        <v>1210</v>
      </c>
      <c r="T385" s="144">
        <v>5.55</v>
      </c>
      <c r="U385" s="143" t="s">
        <v>1634</v>
      </c>
      <c r="V385" s="146">
        <v>5.3999999999999999E-2</v>
      </c>
      <c r="W385" s="146">
        <v>6.1131999999999999E-2</v>
      </c>
      <c r="X385" s="143" t="s">
        <v>412</v>
      </c>
      <c r="Y385" s="145" t="s">
        <v>3876</v>
      </c>
      <c r="Z385" s="144">
        <v>5778</v>
      </c>
      <c r="AA385" s="145" t="s">
        <v>3876</v>
      </c>
      <c r="AB385" s="143" t="s">
        <v>1635</v>
      </c>
      <c r="AC385" s="145" t="s">
        <v>3876</v>
      </c>
      <c r="AD385" s="144">
        <v>5.5866999999999996</v>
      </c>
      <c r="AE385" s="145" t="s">
        <v>3876</v>
      </c>
      <c r="AF385" s="145" t="s">
        <v>3876</v>
      </c>
      <c r="AG385" s="145" t="s">
        <v>3876</v>
      </c>
      <c r="AH385" s="146">
        <v>1.0110119357045541E-5</v>
      </c>
      <c r="AI385" s="146">
        <v>3.6390689828408162E-3</v>
      </c>
      <c r="AJ385" s="147">
        <v>4.6004965242511542E-4</v>
      </c>
      <c r="AK385" s="181"/>
    </row>
    <row r="386" spans="1:37" ht="15" x14ac:dyDescent="0.2">
      <c r="A386" s="142" t="s">
        <v>1220</v>
      </c>
      <c r="B386" s="143" t="s">
        <v>1222</v>
      </c>
      <c r="C386" s="143" t="s">
        <v>1724</v>
      </c>
      <c r="D386" s="143" t="s">
        <v>1725</v>
      </c>
      <c r="E386" s="143" t="s">
        <v>309</v>
      </c>
      <c r="F386" s="143" t="s">
        <v>1991</v>
      </c>
      <c r="G386" s="143" t="s">
        <v>1992</v>
      </c>
      <c r="H386" s="143" t="s">
        <v>321</v>
      </c>
      <c r="I386" s="143" t="s">
        <v>754</v>
      </c>
      <c r="J386" s="143" t="s">
        <v>204</v>
      </c>
      <c r="K386" s="143" t="s">
        <v>204</v>
      </c>
      <c r="L386" s="143" t="s">
        <v>325</v>
      </c>
      <c r="M386" s="143" t="s">
        <v>340</v>
      </c>
      <c r="N386" s="143" t="s">
        <v>464</v>
      </c>
      <c r="O386" s="143" t="s">
        <v>339</v>
      </c>
      <c r="P386" s="143" t="s">
        <v>1389</v>
      </c>
      <c r="Q386" s="143" t="s">
        <v>413</v>
      </c>
      <c r="R386" s="143" t="s">
        <v>407</v>
      </c>
      <c r="S386" s="143" t="s">
        <v>1210</v>
      </c>
      <c r="T386" s="144">
        <v>1.94</v>
      </c>
      <c r="U386" s="143" t="s">
        <v>1523</v>
      </c>
      <c r="V386" s="146">
        <v>2.2499999999999999E-2</v>
      </c>
      <c r="W386" s="146">
        <v>3.3989999999999999E-2</v>
      </c>
      <c r="X386" s="143" t="s">
        <v>412</v>
      </c>
      <c r="Y386" s="145" t="s">
        <v>3876</v>
      </c>
      <c r="Z386" s="144">
        <v>4121.1499999999996</v>
      </c>
      <c r="AA386" s="145" t="s">
        <v>3876</v>
      </c>
      <c r="AB386" s="143" t="s">
        <v>1993</v>
      </c>
      <c r="AC386" s="145" t="s">
        <v>3876</v>
      </c>
      <c r="AD386" s="144">
        <v>4.6078999999999999</v>
      </c>
      <c r="AE386" s="145" t="s">
        <v>3876</v>
      </c>
      <c r="AF386" s="145" t="s">
        <v>3876</v>
      </c>
      <c r="AG386" s="145" t="s">
        <v>3876</v>
      </c>
      <c r="AH386" s="146">
        <v>1.1005690910137323E-5</v>
      </c>
      <c r="AI386" s="146">
        <v>3.0014441051607007E-3</v>
      </c>
      <c r="AJ386" s="147">
        <v>3.7944136916983332E-4</v>
      </c>
      <c r="AK386" s="181"/>
    </row>
    <row r="387" spans="1:37" ht="15" x14ac:dyDescent="0.2">
      <c r="A387" s="142" t="s">
        <v>1220</v>
      </c>
      <c r="B387" s="143" t="s">
        <v>1222</v>
      </c>
      <c r="C387" s="143" t="s">
        <v>1581</v>
      </c>
      <c r="D387" s="143" t="s">
        <v>1582</v>
      </c>
      <c r="E387" s="143" t="s">
        <v>309</v>
      </c>
      <c r="F387" s="143" t="s">
        <v>1583</v>
      </c>
      <c r="G387" s="143" t="s">
        <v>1584</v>
      </c>
      <c r="H387" s="143" t="s">
        <v>321</v>
      </c>
      <c r="I387" s="143" t="s">
        <v>754</v>
      </c>
      <c r="J387" s="143" t="s">
        <v>204</v>
      </c>
      <c r="K387" s="143" t="s">
        <v>204</v>
      </c>
      <c r="L387" s="143" t="s">
        <v>325</v>
      </c>
      <c r="M387" s="143" t="s">
        <v>340</v>
      </c>
      <c r="N387" s="143" t="s">
        <v>464</v>
      </c>
      <c r="O387" s="143" t="s">
        <v>339</v>
      </c>
      <c r="P387" s="143" t="s">
        <v>1410</v>
      </c>
      <c r="Q387" s="143" t="s">
        <v>413</v>
      </c>
      <c r="R387" s="143" t="s">
        <v>407</v>
      </c>
      <c r="S387" s="143" t="s">
        <v>1210</v>
      </c>
      <c r="T387" s="144">
        <v>1.01</v>
      </c>
      <c r="U387" s="143" t="s">
        <v>1585</v>
      </c>
      <c r="V387" s="146">
        <v>2.1100000000000001E-2</v>
      </c>
      <c r="W387" s="146">
        <v>2.5402999999999998E-2</v>
      </c>
      <c r="X387" s="143" t="s">
        <v>412</v>
      </c>
      <c r="Y387" s="145" t="s">
        <v>3876</v>
      </c>
      <c r="Z387" s="144">
        <v>3584.62</v>
      </c>
      <c r="AA387" s="145" t="s">
        <v>3876</v>
      </c>
      <c r="AB387" s="143" t="s">
        <v>1586</v>
      </c>
      <c r="AC387" s="144">
        <v>8.7300000000000003E-2</v>
      </c>
      <c r="AD387" s="144">
        <v>4.1894999999999998</v>
      </c>
      <c r="AE387" s="145" t="s">
        <v>3876</v>
      </c>
      <c r="AF387" s="145" t="s">
        <v>3876</v>
      </c>
      <c r="AG387" s="145" t="s">
        <v>3876</v>
      </c>
      <c r="AH387" s="146">
        <v>4.6615864293010916E-6</v>
      </c>
      <c r="AI387" s="146">
        <v>2.7857746461145564E-3</v>
      </c>
      <c r="AJ387" s="147">
        <v>3.521765219958078E-4</v>
      </c>
      <c r="AK387" s="181"/>
    </row>
    <row r="388" spans="1:37" ht="15" x14ac:dyDescent="0.2">
      <c r="A388" s="142" t="s">
        <v>1220</v>
      </c>
      <c r="B388" s="143" t="s">
        <v>1222</v>
      </c>
      <c r="C388" s="143" t="s">
        <v>1571</v>
      </c>
      <c r="D388" s="143" t="s">
        <v>1572</v>
      </c>
      <c r="E388" s="143" t="s">
        <v>309</v>
      </c>
      <c r="F388" s="143" t="s">
        <v>1636</v>
      </c>
      <c r="G388" s="143" t="s">
        <v>1637</v>
      </c>
      <c r="H388" s="143" t="s">
        <v>321</v>
      </c>
      <c r="I388" s="143" t="s">
        <v>754</v>
      </c>
      <c r="J388" s="143" t="s">
        <v>204</v>
      </c>
      <c r="K388" s="143" t="s">
        <v>204</v>
      </c>
      <c r="L388" s="143" t="s">
        <v>325</v>
      </c>
      <c r="M388" s="143" t="s">
        <v>340</v>
      </c>
      <c r="N388" s="143" t="s">
        <v>440</v>
      </c>
      <c r="O388" s="143" t="s">
        <v>339</v>
      </c>
      <c r="P388" s="143" t="s">
        <v>1347</v>
      </c>
      <c r="Q388" s="143" t="s">
        <v>413</v>
      </c>
      <c r="R388" s="143" t="s">
        <v>407</v>
      </c>
      <c r="S388" s="143" t="s">
        <v>1210</v>
      </c>
      <c r="T388" s="144">
        <v>3.31</v>
      </c>
      <c r="U388" s="143" t="s">
        <v>1638</v>
      </c>
      <c r="V388" s="146">
        <v>1.23E-2</v>
      </c>
      <c r="W388" s="146">
        <v>2.8667000000000002E-2</v>
      </c>
      <c r="X388" s="143" t="s">
        <v>412</v>
      </c>
      <c r="Y388" s="145" t="s">
        <v>3876</v>
      </c>
      <c r="Z388" s="144">
        <v>2156.0500000000002</v>
      </c>
      <c r="AA388" s="145" t="s">
        <v>3876</v>
      </c>
      <c r="AB388" s="143" t="s">
        <v>1639</v>
      </c>
      <c r="AC388" s="145" t="s">
        <v>3876</v>
      </c>
      <c r="AD388" s="144">
        <v>2.3367</v>
      </c>
      <c r="AE388" s="145" t="s">
        <v>3876</v>
      </c>
      <c r="AF388" s="145" t="s">
        <v>3876</v>
      </c>
      <c r="AG388" s="145" t="s">
        <v>3876</v>
      </c>
      <c r="AH388" s="146">
        <v>1.9338663853203887E-6</v>
      </c>
      <c r="AI388" s="146">
        <v>1.5220859087001597E-3</v>
      </c>
      <c r="AJ388" s="147">
        <v>1.924214947725559E-4</v>
      </c>
      <c r="AK388" s="181"/>
    </row>
    <row r="389" spans="1:37" ht="15" x14ac:dyDescent="0.2">
      <c r="A389" s="142" t="s">
        <v>1220</v>
      </c>
      <c r="B389" s="143" t="s">
        <v>1222</v>
      </c>
      <c r="C389" s="143" t="s">
        <v>1581</v>
      </c>
      <c r="D389" s="143" t="s">
        <v>1582</v>
      </c>
      <c r="E389" s="143" t="s">
        <v>309</v>
      </c>
      <c r="F389" s="143" t="s">
        <v>1998</v>
      </c>
      <c r="G389" s="143" t="s">
        <v>1999</v>
      </c>
      <c r="H389" s="143" t="s">
        <v>321</v>
      </c>
      <c r="I389" s="143" t="s">
        <v>754</v>
      </c>
      <c r="J389" s="143" t="s">
        <v>204</v>
      </c>
      <c r="K389" s="143" t="s">
        <v>204</v>
      </c>
      <c r="L389" s="143" t="s">
        <v>325</v>
      </c>
      <c r="M389" s="143" t="s">
        <v>340</v>
      </c>
      <c r="N389" s="143" t="s">
        <v>464</v>
      </c>
      <c r="O389" s="143" t="s">
        <v>339</v>
      </c>
      <c r="P389" s="143" t="s">
        <v>1410</v>
      </c>
      <c r="Q389" s="143" t="s">
        <v>413</v>
      </c>
      <c r="R389" s="143" t="s">
        <v>407</v>
      </c>
      <c r="S389" s="143" t="s">
        <v>1210</v>
      </c>
      <c r="T389" s="144">
        <v>1.01</v>
      </c>
      <c r="U389" s="143" t="s">
        <v>1585</v>
      </c>
      <c r="V389" s="146">
        <v>9.5983000000000006E-3</v>
      </c>
      <c r="W389" s="146">
        <v>2.7944E-2</v>
      </c>
      <c r="X389" s="143" t="s">
        <v>412</v>
      </c>
      <c r="Y389" s="145" t="s">
        <v>3876</v>
      </c>
      <c r="Z389" s="144">
        <v>1898.23</v>
      </c>
      <c r="AA389" s="145" t="s">
        <v>3876</v>
      </c>
      <c r="AB389" s="143" t="s">
        <v>2000</v>
      </c>
      <c r="AC389" s="144">
        <v>5.2200000000000003E-2</v>
      </c>
      <c r="AD389" s="144">
        <v>2.2305999999999999</v>
      </c>
      <c r="AE389" s="145" t="s">
        <v>3876</v>
      </c>
      <c r="AF389" s="145" t="s">
        <v>3876</v>
      </c>
      <c r="AG389" s="145" t="s">
        <v>3876</v>
      </c>
      <c r="AH389" s="146">
        <v>2.3565727565001351E-6</v>
      </c>
      <c r="AI389" s="146">
        <v>1.4869649053817168E-3</v>
      </c>
      <c r="AJ389" s="147">
        <v>1.879815115115467E-4</v>
      </c>
      <c r="AK389" s="181"/>
    </row>
    <row r="390" spans="1:37" ht="15" x14ac:dyDescent="0.2">
      <c r="A390" s="142" t="s">
        <v>1220</v>
      </c>
      <c r="B390" s="143" t="s">
        <v>1222</v>
      </c>
      <c r="C390" s="143" t="s">
        <v>1640</v>
      </c>
      <c r="D390" s="143" t="s">
        <v>1641</v>
      </c>
      <c r="E390" s="143" t="s">
        <v>309</v>
      </c>
      <c r="F390" s="143" t="s">
        <v>1642</v>
      </c>
      <c r="G390" s="143" t="s">
        <v>1643</v>
      </c>
      <c r="H390" s="143" t="s">
        <v>321</v>
      </c>
      <c r="I390" s="143" t="s">
        <v>754</v>
      </c>
      <c r="J390" s="143" t="s">
        <v>204</v>
      </c>
      <c r="K390" s="143" t="s">
        <v>204</v>
      </c>
      <c r="L390" s="143" t="s">
        <v>325</v>
      </c>
      <c r="M390" s="143" t="s">
        <v>340</v>
      </c>
      <c r="N390" s="143" t="s">
        <v>464</v>
      </c>
      <c r="O390" s="143" t="s">
        <v>339</v>
      </c>
      <c r="P390" s="143" t="s">
        <v>1366</v>
      </c>
      <c r="Q390" s="143" t="s">
        <v>415</v>
      </c>
      <c r="R390" s="143" t="s">
        <v>407</v>
      </c>
      <c r="S390" s="143" t="s">
        <v>1210</v>
      </c>
      <c r="T390" s="144">
        <v>3.16</v>
      </c>
      <c r="U390" s="143" t="s">
        <v>1644</v>
      </c>
      <c r="V390" s="146">
        <v>1.9599999999999999E-2</v>
      </c>
      <c r="W390" s="146">
        <v>2.9968999999999999E-2</v>
      </c>
      <c r="X390" s="143" t="s">
        <v>412</v>
      </c>
      <c r="Y390" s="145" t="s">
        <v>3876</v>
      </c>
      <c r="Z390" s="144">
        <v>1704</v>
      </c>
      <c r="AA390" s="145" t="s">
        <v>3876</v>
      </c>
      <c r="AB390" s="143" t="s">
        <v>1645</v>
      </c>
      <c r="AC390" s="145" t="s">
        <v>3876</v>
      </c>
      <c r="AD390" s="144">
        <v>1.8933</v>
      </c>
      <c r="AE390" s="145" t="s">
        <v>3876</v>
      </c>
      <c r="AF390" s="145" t="s">
        <v>3876</v>
      </c>
      <c r="AG390" s="145" t="s">
        <v>3876</v>
      </c>
      <c r="AH390" s="146">
        <v>1.4880893212830108E-6</v>
      </c>
      <c r="AI390" s="146">
        <v>1.2332579635154972E-3</v>
      </c>
      <c r="AJ390" s="147">
        <v>1.5590798089870346E-4</v>
      </c>
      <c r="AK390" s="181"/>
    </row>
    <row r="391" spans="1:37" ht="15" x14ac:dyDescent="0.2">
      <c r="A391" s="142" t="s">
        <v>1220</v>
      </c>
      <c r="B391" s="143" t="s">
        <v>1222</v>
      </c>
      <c r="C391" s="143" t="s">
        <v>1343</v>
      </c>
      <c r="D391" s="143" t="s">
        <v>1344</v>
      </c>
      <c r="E391" s="143" t="s">
        <v>309</v>
      </c>
      <c r="F391" s="143" t="s">
        <v>1525</v>
      </c>
      <c r="G391" s="143" t="s">
        <v>1526</v>
      </c>
      <c r="H391" s="143" t="s">
        <v>321</v>
      </c>
      <c r="I391" s="143" t="s">
        <v>754</v>
      </c>
      <c r="J391" s="143" t="s">
        <v>204</v>
      </c>
      <c r="K391" s="143" t="s">
        <v>204</v>
      </c>
      <c r="L391" s="143" t="s">
        <v>325</v>
      </c>
      <c r="M391" s="143" t="s">
        <v>340</v>
      </c>
      <c r="N391" s="143" t="s">
        <v>445</v>
      </c>
      <c r="O391" s="143" t="s">
        <v>339</v>
      </c>
      <c r="P391" s="143" t="s">
        <v>1347</v>
      </c>
      <c r="Q391" s="143" t="s">
        <v>413</v>
      </c>
      <c r="R391" s="143" t="s">
        <v>407</v>
      </c>
      <c r="S391" s="143" t="s">
        <v>1210</v>
      </c>
      <c r="T391" s="144">
        <v>1.06</v>
      </c>
      <c r="U391" s="143" t="s">
        <v>1373</v>
      </c>
      <c r="V391" s="146">
        <v>2.4799999999999999E-2</v>
      </c>
      <c r="W391" s="146">
        <v>2.7913E-2</v>
      </c>
      <c r="X391" s="143" t="s">
        <v>412</v>
      </c>
      <c r="Y391" s="145" t="s">
        <v>3876</v>
      </c>
      <c r="Z391" s="144">
        <v>1365.61</v>
      </c>
      <c r="AA391" s="145" t="s">
        <v>3876</v>
      </c>
      <c r="AB391" s="143" t="s">
        <v>1527</v>
      </c>
      <c r="AC391" s="145" t="s">
        <v>3876</v>
      </c>
      <c r="AD391" s="144">
        <v>1.5647</v>
      </c>
      <c r="AE391" s="145" t="s">
        <v>3876</v>
      </c>
      <c r="AF391" s="145" t="s">
        <v>3876</v>
      </c>
      <c r="AG391" s="145" t="s">
        <v>3876</v>
      </c>
      <c r="AH391" s="146">
        <v>3.2246858682253529E-6</v>
      </c>
      <c r="AI391" s="146">
        <v>1.0192170889198968E-3</v>
      </c>
      <c r="AJ391" s="147">
        <v>1.2884901872272289E-4</v>
      </c>
      <c r="AK391" s="181"/>
    </row>
    <row r="392" spans="1:37" ht="15" x14ac:dyDescent="0.2">
      <c r="A392" s="142" t="s">
        <v>1220</v>
      </c>
      <c r="B392" s="143" t="s">
        <v>1222</v>
      </c>
      <c r="C392" s="143" t="s">
        <v>1717</v>
      </c>
      <c r="D392" s="143" t="s">
        <v>1718</v>
      </c>
      <c r="E392" s="143" t="s">
        <v>309</v>
      </c>
      <c r="F392" s="143" t="s">
        <v>1970</v>
      </c>
      <c r="G392" s="143" t="s">
        <v>1971</v>
      </c>
      <c r="H392" s="143" t="s">
        <v>321</v>
      </c>
      <c r="I392" s="143" t="s">
        <v>754</v>
      </c>
      <c r="J392" s="143" t="s">
        <v>204</v>
      </c>
      <c r="K392" s="143" t="s">
        <v>204</v>
      </c>
      <c r="L392" s="143" t="s">
        <v>325</v>
      </c>
      <c r="M392" s="143" t="s">
        <v>340</v>
      </c>
      <c r="N392" s="143" t="s">
        <v>464</v>
      </c>
      <c r="O392" s="143" t="s">
        <v>339</v>
      </c>
      <c r="P392" s="143" t="s">
        <v>1502</v>
      </c>
      <c r="Q392" s="143" t="s">
        <v>415</v>
      </c>
      <c r="R392" s="143" t="s">
        <v>407</v>
      </c>
      <c r="S392" s="143" t="s">
        <v>1210</v>
      </c>
      <c r="T392" s="144">
        <v>3.14</v>
      </c>
      <c r="U392" s="143" t="s">
        <v>1862</v>
      </c>
      <c r="V392" s="146">
        <v>1.34E-2</v>
      </c>
      <c r="W392" s="146">
        <v>2.7778000000000001E-2</v>
      </c>
      <c r="X392" s="143" t="s">
        <v>412</v>
      </c>
      <c r="Y392" s="145" t="s">
        <v>3876</v>
      </c>
      <c r="Z392" s="144">
        <v>1208.94</v>
      </c>
      <c r="AA392" s="145" t="s">
        <v>3876</v>
      </c>
      <c r="AB392" s="143" t="s">
        <v>1972</v>
      </c>
      <c r="AC392" s="144">
        <v>0.126</v>
      </c>
      <c r="AD392" s="144">
        <v>1.4558</v>
      </c>
      <c r="AE392" s="145" t="s">
        <v>3876</v>
      </c>
      <c r="AF392" s="145" t="s">
        <v>3876</v>
      </c>
      <c r="AG392" s="145" t="s">
        <v>3876</v>
      </c>
      <c r="AH392" s="146">
        <v>4.5608938602267279E-7</v>
      </c>
      <c r="AI392" s="146">
        <v>1.0303152592208097E-3</v>
      </c>
      <c r="AJ392" s="147">
        <v>1.3025204499498224E-4</v>
      </c>
      <c r="AK392" s="181"/>
    </row>
    <row r="393" spans="1:37" ht="15" x14ac:dyDescent="0.2">
      <c r="A393" s="142" t="s">
        <v>1220</v>
      </c>
      <c r="B393" s="143" t="s">
        <v>1222</v>
      </c>
      <c r="C393" s="143" t="s">
        <v>1853</v>
      </c>
      <c r="D393" s="143" t="s">
        <v>1854</v>
      </c>
      <c r="E393" s="143" t="s">
        <v>309</v>
      </c>
      <c r="F393" s="143" t="s">
        <v>2001</v>
      </c>
      <c r="G393" s="143" t="s">
        <v>2002</v>
      </c>
      <c r="H393" s="143" t="s">
        <v>321</v>
      </c>
      <c r="I393" s="143" t="s">
        <v>754</v>
      </c>
      <c r="J393" s="143" t="s">
        <v>204</v>
      </c>
      <c r="K393" s="143" t="s">
        <v>204</v>
      </c>
      <c r="L393" s="143" t="s">
        <v>325</v>
      </c>
      <c r="M393" s="143" t="s">
        <v>340</v>
      </c>
      <c r="N393" s="143" t="s">
        <v>464</v>
      </c>
      <c r="O393" s="143" t="s">
        <v>339</v>
      </c>
      <c r="P393" s="143" t="s">
        <v>1410</v>
      </c>
      <c r="Q393" s="143" t="s">
        <v>413</v>
      </c>
      <c r="R393" s="143" t="s">
        <v>407</v>
      </c>
      <c r="S393" s="143" t="s">
        <v>1210</v>
      </c>
      <c r="T393" s="144">
        <v>1.99</v>
      </c>
      <c r="U393" s="143" t="s">
        <v>1432</v>
      </c>
      <c r="V393" s="146">
        <v>2.4E-2</v>
      </c>
      <c r="W393" s="146">
        <v>2.7054000000000002E-2</v>
      </c>
      <c r="X393" s="143" t="s">
        <v>412</v>
      </c>
      <c r="Y393" s="145" t="s">
        <v>3876</v>
      </c>
      <c r="Z393" s="144">
        <v>1082.44</v>
      </c>
      <c r="AA393" s="145" t="s">
        <v>3876</v>
      </c>
      <c r="AB393" s="143" t="s">
        <v>2003</v>
      </c>
      <c r="AC393" s="145" t="s">
        <v>3876</v>
      </c>
      <c r="AD393" s="144">
        <v>1.2367000000000001</v>
      </c>
      <c r="AE393" s="145" t="s">
        <v>3876</v>
      </c>
      <c r="AF393" s="145" t="s">
        <v>3876</v>
      </c>
      <c r="AG393" s="145" t="s">
        <v>3876</v>
      </c>
      <c r="AH393" s="146">
        <v>1.8759661913055502E-6</v>
      </c>
      <c r="AI393" s="146">
        <v>8.0554764407150987E-4</v>
      </c>
      <c r="AJ393" s="147">
        <v>1.0183701254755233E-4</v>
      </c>
      <c r="AK393" s="181"/>
    </row>
    <row r="394" spans="1:37" ht="15" x14ac:dyDescent="0.2">
      <c r="A394" s="142" t="s">
        <v>1220</v>
      </c>
      <c r="B394" s="143" t="s">
        <v>1222</v>
      </c>
      <c r="C394" s="143" t="s">
        <v>1581</v>
      </c>
      <c r="D394" s="143" t="s">
        <v>1582</v>
      </c>
      <c r="E394" s="143" t="s">
        <v>309</v>
      </c>
      <c r="F394" s="143" t="s">
        <v>2004</v>
      </c>
      <c r="G394" s="143" t="s">
        <v>2005</v>
      </c>
      <c r="H394" s="143" t="s">
        <v>321</v>
      </c>
      <c r="I394" s="143" t="s">
        <v>754</v>
      </c>
      <c r="J394" s="143" t="s">
        <v>204</v>
      </c>
      <c r="K394" s="143" t="s">
        <v>204</v>
      </c>
      <c r="L394" s="143" t="s">
        <v>325</v>
      </c>
      <c r="M394" s="143" t="s">
        <v>340</v>
      </c>
      <c r="N394" s="143" t="s">
        <v>464</v>
      </c>
      <c r="O394" s="143" t="s">
        <v>339</v>
      </c>
      <c r="P394" s="143" t="s">
        <v>1410</v>
      </c>
      <c r="Q394" s="143" t="s">
        <v>413</v>
      </c>
      <c r="R394" s="143" t="s">
        <v>407</v>
      </c>
      <c r="S394" s="143" t="s">
        <v>1210</v>
      </c>
      <c r="T394" s="144">
        <v>4.13</v>
      </c>
      <c r="U394" s="143" t="s">
        <v>2006</v>
      </c>
      <c r="V394" s="146">
        <v>2.2499999999999999E-2</v>
      </c>
      <c r="W394" s="146">
        <v>3.0984000000000001E-2</v>
      </c>
      <c r="X394" s="143" t="s">
        <v>412</v>
      </c>
      <c r="Y394" s="145" t="s">
        <v>3876</v>
      </c>
      <c r="Z394" s="144">
        <v>668.59</v>
      </c>
      <c r="AA394" s="145" t="s">
        <v>3876</v>
      </c>
      <c r="AB394" s="143" t="s">
        <v>2007</v>
      </c>
      <c r="AC394" s="144">
        <v>6.6700000000000009E-2</v>
      </c>
      <c r="AD394" s="144">
        <v>0.81010000000000004</v>
      </c>
      <c r="AE394" s="145" t="s">
        <v>3876</v>
      </c>
      <c r="AF394" s="145" t="s">
        <v>3876</v>
      </c>
      <c r="AG394" s="145" t="s">
        <v>3876</v>
      </c>
      <c r="AH394" s="146">
        <v>5.683174868277362E-7</v>
      </c>
      <c r="AI394" s="146">
        <v>5.7111611050491412E-4</v>
      </c>
      <c r="AJ394" s="147">
        <v>7.2200271380143462E-5</v>
      </c>
      <c r="AK394" s="181"/>
    </row>
    <row r="395" spans="1:37" ht="15" x14ac:dyDescent="0.2">
      <c r="A395" s="142" t="s">
        <v>1220</v>
      </c>
      <c r="B395" s="143" t="s">
        <v>1222</v>
      </c>
      <c r="C395" s="143" t="s">
        <v>1740</v>
      </c>
      <c r="D395" s="143" t="s">
        <v>1741</v>
      </c>
      <c r="E395" s="143" t="s">
        <v>309</v>
      </c>
      <c r="F395" s="143" t="s">
        <v>2008</v>
      </c>
      <c r="G395" s="143" t="s">
        <v>2009</v>
      </c>
      <c r="H395" s="143" t="s">
        <v>321</v>
      </c>
      <c r="I395" s="143" t="s">
        <v>754</v>
      </c>
      <c r="J395" s="143" t="s">
        <v>204</v>
      </c>
      <c r="K395" s="143" t="s">
        <v>204</v>
      </c>
      <c r="L395" s="143" t="s">
        <v>325</v>
      </c>
      <c r="M395" s="143" t="s">
        <v>340</v>
      </c>
      <c r="N395" s="143" t="s">
        <v>464</v>
      </c>
      <c r="O395" s="143" t="s">
        <v>339</v>
      </c>
      <c r="P395" s="143" t="s">
        <v>1347</v>
      </c>
      <c r="Q395" s="143" t="s">
        <v>413</v>
      </c>
      <c r="R395" s="143" t="s">
        <v>407</v>
      </c>
      <c r="S395" s="143" t="s">
        <v>1210</v>
      </c>
      <c r="T395" s="144">
        <v>0.85</v>
      </c>
      <c r="U395" s="143" t="s">
        <v>2010</v>
      </c>
      <c r="V395" s="146">
        <v>2.5000000000000001E-2</v>
      </c>
      <c r="W395" s="146">
        <v>2.9173000000000001E-2</v>
      </c>
      <c r="X395" s="143" t="s">
        <v>412</v>
      </c>
      <c r="Y395" s="145" t="s">
        <v>3876</v>
      </c>
      <c r="Z395" s="144">
        <v>416.65</v>
      </c>
      <c r="AA395" s="145" t="s">
        <v>3876</v>
      </c>
      <c r="AB395" s="143" t="s">
        <v>2011</v>
      </c>
      <c r="AC395" s="145" t="s">
        <v>3876</v>
      </c>
      <c r="AD395" s="144">
        <v>0.47399999999999998</v>
      </c>
      <c r="AE395" s="145" t="s">
        <v>3876</v>
      </c>
      <c r="AF395" s="145" t="s">
        <v>3876</v>
      </c>
      <c r="AG395" s="145" t="s">
        <v>3876</v>
      </c>
      <c r="AH395" s="146">
        <v>1.7691996827678261E-6</v>
      </c>
      <c r="AI395" s="146">
        <v>3.0876661363184442E-4</v>
      </c>
      <c r="AJ395" s="147">
        <v>3.9034152403156995E-5</v>
      </c>
      <c r="AK395" s="181"/>
    </row>
    <row r="396" spans="1:37" ht="15" x14ac:dyDescent="0.2">
      <c r="A396" s="142" t="s">
        <v>1220</v>
      </c>
      <c r="B396" s="143" t="s">
        <v>1222</v>
      </c>
      <c r="C396" s="143" t="s">
        <v>1620</v>
      </c>
      <c r="D396" s="143" t="s">
        <v>1621</v>
      </c>
      <c r="E396" s="143" t="s">
        <v>309</v>
      </c>
      <c r="F396" s="143" t="s">
        <v>1622</v>
      </c>
      <c r="G396" s="143" t="s">
        <v>1623</v>
      </c>
      <c r="H396" s="143" t="s">
        <v>321</v>
      </c>
      <c r="I396" s="143" t="s">
        <v>754</v>
      </c>
      <c r="J396" s="143" t="s">
        <v>204</v>
      </c>
      <c r="K396" s="143" t="s">
        <v>204</v>
      </c>
      <c r="L396" s="143" t="s">
        <v>325</v>
      </c>
      <c r="M396" s="143" t="s">
        <v>340</v>
      </c>
      <c r="N396" s="143" t="s">
        <v>464</v>
      </c>
      <c r="O396" s="143" t="s">
        <v>339</v>
      </c>
      <c r="P396" s="143" t="s">
        <v>1410</v>
      </c>
      <c r="Q396" s="143" t="s">
        <v>413</v>
      </c>
      <c r="R396" s="143" t="s">
        <v>407</v>
      </c>
      <c r="S396" s="143" t="s">
        <v>1210</v>
      </c>
      <c r="T396" s="144">
        <v>0.22</v>
      </c>
      <c r="U396" s="143" t="s">
        <v>1624</v>
      </c>
      <c r="V396" s="146">
        <v>0.04</v>
      </c>
      <c r="W396" s="146">
        <v>2.2232999999999999E-2</v>
      </c>
      <c r="X396" s="143" t="s">
        <v>412</v>
      </c>
      <c r="Y396" s="145" t="s">
        <v>3876</v>
      </c>
      <c r="Z396" s="144">
        <v>279.56</v>
      </c>
      <c r="AA396" s="145" t="s">
        <v>3876</v>
      </c>
      <c r="AB396" s="143" t="s">
        <v>1625</v>
      </c>
      <c r="AC396" s="145" t="s">
        <v>3876</v>
      </c>
      <c r="AD396" s="144">
        <v>0.32150000000000001</v>
      </c>
      <c r="AE396" s="145" t="s">
        <v>3876</v>
      </c>
      <c r="AF396" s="145" t="s">
        <v>3876</v>
      </c>
      <c r="AG396" s="145" t="s">
        <v>3876</v>
      </c>
      <c r="AH396" s="146">
        <v>3.4339376167672064E-6</v>
      </c>
      <c r="AI396" s="146">
        <v>2.0943141439270694E-4</v>
      </c>
      <c r="AJ396" s="147">
        <v>2.6476236051741737E-5</v>
      </c>
      <c r="AK396" s="181"/>
    </row>
    <row r="397" spans="1:37" ht="15" x14ac:dyDescent="0.2">
      <c r="A397" s="142" t="s">
        <v>1220</v>
      </c>
      <c r="B397" s="143" t="s">
        <v>1220</v>
      </c>
      <c r="C397" s="143" t="s">
        <v>1343</v>
      </c>
      <c r="D397" s="143" t="s">
        <v>1344</v>
      </c>
      <c r="E397" s="143" t="s">
        <v>309</v>
      </c>
      <c r="F397" s="143" t="s">
        <v>1345</v>
      </c>
      <c r="G397" s="143" t="s">
        <v>1346</v>
      </c>
      <c r="H397" s="143" t="s">
        <v>321</v>
      </c>
      <c r="I397" s="143" t="s">
        <v>951</v>
      </c>
      <c r="J397" s="143" t="s">
        <v>204</v>
      </c>
      <c r="K397" s="143" t="s">
        <v>204</v>
      </c>
      <c r="L397" s="143" t="s">
        <v>325</v>
      </c>
      <c r="M397" s="143" t="s">
        <v>340</v>
      </c>
      <c r="N397" s="143" t="s">
        <v>445</v>
      </c>
      <c r="O397" s="143" t="s">
        <v>339</v>
      </c>
      <c r="P397" s="143" t="s">
        <v>1347</v>
      </c>
      <c r="Q397" s="143" t="s">
        <v>413</v>
      </c>
      <c r="R397" s="143" t="s">
        <v>407</v>
      </c>
      <c r="S397" s="143" t="s">
        <v>1210</v>
      </c>
      <c r="T397" s="144">
        <v>5.29</v>
      </c>
      <c r="U397" s="143" t="s">
        <v>1295</v>
      </c>
      <c r="V397" s="146">
        <v>2.64E-2</v>
      </c>
      <c r="W397" s="146">
        <v>5.8282E-2</v>
      </c>
      <c r="X397" s="143" t="s">
        <v>412</v>
      </c>
      <c r="Y397" s="145" t="s">
        <v>3876</v>
      </c>
      <c r="Z397" s="144">
        <v>68017219.430000007</v>
      </c>
      <c r="AA397" s="145" t="s">
        <v>3876</v>
      </c>
      <c r="AB397" s="143" t="s">
        <v>1348</v>
      </c>
      <c r="AC397" s="145" t="s">
        <v>3876</v>
      </c>
      <c r="AD397" s="144">
        <v>58249.9467</v>
      </c>
      <c r="AE397" s="145" t="s">
        <v>3876</v>
      </c>
      <c r="AF397" s="145" t="s">
        <v>3876</v>
      </c>
      <c r="AG397" s="145" t="s">
        <v>3876</v>
      </c>
      <c r="AH397" s="146">
        <v>4.157094045603961E-2</v>
      </c>
      <c r="AI397" s="146">
        <v>2.1711010859364228E-2</v>
      </c>
      <c r="AJ397" s="147">
        <v>2.5812921459430109E-3</v>
      </c>
      <c r="AK397" s="181"/>
    </row>
    <row r="398" spans="1:37" ht="15" x14ac:dyDescent="0.2">
      <c r="A398" s="142" t="s">
        <v>1220</v>
      </c>
      <c r="B398" s="143" t="s">
        <v>1220</v>
      </c>
      <c r="C398" s="143" t="s">
        <v>1349</v>
      </c>
      <c r="D398" s="143" t="s">
        <v>1350</v>
      </c>
      <c r="E398" s="143" t="s">
        <v>309</v>
      </c>
      <c r="F398" s="143" t="s">
        <v>1351</v>
      </c>
      <c r="G398" s="143" t="s">
        <v>1352</v>
      </c>
      <c r="H398" s="143" t="s">
        <v>321</v>
      </c>
      <c r="I398" s="143" t="s">
        <v>951</v>
      </c>
      <c r="J398" s="143" t="s">
        <v>204</v>
      </c>
      <c r="K398" s="143" t="s">
        <v>204</v>
      </c>
      <c r="L398" s="143" t="s">
        <v>325</v>
      </c>
      <c r="M398" s="143" t="s">
        <v>340</v>
      </c>
      <c r="N398" s="143" t="s">
        <v>448</v>
      </c>
      <c r="O398" s="143" t="s">
        <v>339</v>
      </c>
      <c r="P398" s="143" t="s">
        <v>1224</v>
      </c>
      <c r="Q398" s="143" t="s">
        <v>413</v>
      </c>
      <c r="R398" s="143" t="s">
        <v>407</v>
      </c>
      <c r="S398" s="143" t="s">
        <v>1210</v>
      </c>
      <c r="T398" s="144">
        <v>0.93</v>
      </c>
      <c r="U398" s="143" t="s">
        <v>1353</v>
      </c>
      <c r="V398" s="146">
        <v>2.98E-2</v>
      </c>
      <c r="W398" s="146">
        <v>4.5124999999999998E-2</v>
      </c>
      <c r="X398" s="143" t="s">
        <v>412</v>
      </c>
      <c r="Y398" s="145" t="s">
        <v>3876</v>
      </c>
      <c r="Z398" s="144">
        <v>51265986</v>
      </c>
      <c r="AA398" s="145" t="s">
        <v>3876</v>
      </c>
      <c r="AB398" s="143" t="s">
        <v>1354</v>
      </c>
      <c r="AC398" s="145" t="s">
        <v>3876</v>
      </c>
      <c r="AD398" s="144">
        <v>50661.047399999996</v>
      </c>
      <c r="AE398" s="145" t="s">
        <v>3876</v>
      </c>
      <c r="AF398" s="145" t="s">
        <v>3876</v>
      </c>
      <c r="AG398" s="145" t="s">
        <v>3876</v>
      </c>
      <c r="AH398" s="146">
        <v>2.0166698464386488E-2</v>
      </c>
      <c r="AI398" s="146">
        <v>1.8882464473015014E-2</v>
      </c>
      <c r="AJ398" s="147">
        <v>2.2449971379024445E-3</v>
      </c>
      <c r="AK398" s="181"/>
    </row>
    <row r="399" spans="1:37" ht="15" x14ac:dyDescent="0.2">
      <c r="A399" s="142" t="s">
        <v>1220</v>
      </c>
      <c r="B399" s="143" t="s">
        <v>1220</v>
      </c>
      <c r="C399" s="143" t="s">
        <v>1369</v>
      </c>
      <c r="D399" s="143" t="s">
        <v>1370</v>
      </c>
      <c r="E399" s="143" t="s">
        <v>309</v>
      </c>
      <c r="F399" s="143" t="s">
        <v>1371</v>
      </c>
      <c r="G399" s="143" t="s">
        <v>1372</v>
      </c>
      <c r="H399" s="143" t="s">
        <v>321</v>
      </c>
      <c r="I399" s="143" t="s">
        <v>951</v>
      </c>
      <c r="J399" s="143" t="s">
        <v>204</v>
      </c>
      <c r="K399" s="143" t="s">
        <v>204</v>
      </c>
      <c r="L399" s="143" t="s">
        <v>325</v>
      </c>
      <c r="M399" s="143" t="s">
        <v>340</v>
      </c>
      <c r="N399" s="143" t="s">
        <v>445</v>
      </c>
      <c r="O399" s="143" t="s">
        <v>339</v>
      </c>
      <c r="P399" s="143" t="s">
        <v>1366</v>
      </c>
      <c r="Q399" s="143" t="s">
        <v>415</v>
      </c>
      <c r="R399" s="143" t="s">
        <v>407</v>
      </c>
      <c r="S399" s="143" t="s">
        <v>1210</v>
      </c>
      <c r="T399" s="144">
        <v>1.05</v>
      </c>
      <c r="U399" s="143" t="s">
        <v>1373</v>
      </c>
      <c r="V399" s="146">
        <v>3.61E-2</v>
      </c>
      <c r="W399" s="146">
        <v>5.1234000000000002E-2</v>
      </c>
      <c r="X399" s="143" t="s">
        <v>412</v>
      </c>
      <c r="Y399" s="145" t="s">
        <v>3876</v>
      </c>
      <c r="Z399" s="144">
        <v>49454927</v>
      </c>
      <c r="AA399" s="145" t="s">
        <v>3876</v>
      </c>
      <c r="AB399" s="143" t="s">
        <v>1374</v>
      </c>
      <c r="AC399" s="145" t="s">
        <v>3876</v>
      </c>
      <c r="AD399" s="144">
        <v>49459.872499999998</v>
      </c>
      <c r="AE399" s="145" t="s">
        <v>3876</v>
      </c>
      <c r="AF399" s="145" t="s">
        <v>3876</v>
      </c>
      <c r="AG399" s="145" t="s">
        <v>3876</v>
      </c>
      <c r="AH399" s="146">
        <v>6.4436386970684045E-2</v>
      </c>
      <c r="AI399" s="146">
        <v>1.8434760703837913E-2</v>
      </c>
      <c r="AJ399" s="147">
        <v>2.191768191973956E-3</v>
      </c>
      <c r="AK399" s="181"/>
    </row>
    <row r="400" spans="1:37" ht="15" x14ac:dyDescent="0.2">
      <c r="A400" s="142" t="s">
        <v>1220</v>
      </c>
      <c r="B400" s="143" t="s">
        <v>1220</v>
      </c>
      <c r="C400" s="143" t="s">
        <v>1355</v>
      </c>
      <c r="D400" s="143" t="s">
        <v>1356</v>
      </c>
      <c r="E400" s="143" t="s">
        <v>309</v>
      </c>
      <c r="F400" s="143" t="s">
        <v>1357</v>
      </c>
      <c r="G400" s="143" t="s">
        <v>1358</v>
      </c>
      <c r="H400" s="143" t="s">
        <v>321</v>
      </c>
      <c r="I400" s="143" t="s">
        <v>951</v>
      </c>
      <c r="J400" s="143" t="s">
        <v>204</v>
      </c>
      <c r="K400" s="143" t="s">
        <v>204</v>
      </c>
      <c r="L400" s="143" t="s">
        <v>325</v>
      </c>
      <c r="M400" s="143" t="s">
        <v>340</v>
      </c>
      <c r="N400" s="143" t="s">
        <v>484</v>
      </c>
      <c r="O400" s="143" t="s">
        <v>339</v>
      </c>
      <c r="P400" s="143" t="s">
        <v>1359</v>
      </c>
      <c r="Q400" s="143" t="s">
        <v>415</v>
      </c>
      <c r="R400" s="143" t="s">
        <v>407</v>
      </c>
      <c r="S400" s="143" t="s">
        <v>1210</v>
      </c>
      <c r="T400" s="144">
        <v>2.3199999999999998</v>
      </c>
      <c r="U400" s="143" t="s">
        <v>1360</v>
      </c>
      <c r="V400" s="146">
        <v>3.6499999999999998E-2</v>
      </c>
      <c r="W400" s="146">
        <v>5.8046E-2</v>
      </c>
      <c r="X400" s="143" t="s">
        <v>412</v>
      </c>
      <c r="Y400" s="145" t="s">
        <v>3876</v>
      </c>
      <c r="Z400" s="144">
        <v>48500045.350000001</v>
      </c>
      <c r="AA400" s="145" t="s">
        <v>3876</v>
      </c>
      <c r="AB400" s="143" t="s">
        <v>1361</v>
      </c>
      <c r="AC400" s="145" t="s">
        <v>3876</v>
      </c>
      <c r="AD400" s="144">
        <v>46414.543399999995</v>
      </c>
      <c r="AE400" s="145" t="s">
        <v>3876</v>
      </c>
      <c r="AF400" s="145" t="s">
        <v>3876</v>
      </c>
      <c r="AG400" s="145" t="s">
        <v>3876</v>
      </c>
      <c r="AH400" s="146">
        <v>2.4132177505810148E-2</v>
      </c>
      <c r="AI400" s="146">
        <v>1.7299700901620106E-2</v>
      </c>
      <c r="AJ400" s="147">
        <v>2.0568172690703939E-3</v>
      </c>
      <c r="AK400" s="181"/>
    </row>
    <row r="401" spans="1:37" ht="15" x14ac:dyDescent="0.2">
      <c r="A401" s="142" t="s">
        <v>1220</v>
      </c>
      <c r="B401" s="143" t="s">
        <v>1220</v>
      </c>
      <c r="C401" s="143" t="s">
        <v>1764</v>
      </c>
      <c r="D401" s="143" t="s">
        <v>1765</v>
      </c>
      <c r="E401" s="143" t="s">
        <v>309</v>
      </c>
      <c r="F401" s="143" t="s">
        <v>1766</v>
      </c>
      <c r="G401" s="143" t="s">
        <v>1767</v>
      </c>
      <c r="H401" s="143" t="s">
        <v>321</v>
      </c>
      <c r="I401" s="143" t="s">
        <v>951</v>
      </c>
      <c r="J401" s="143" t="s">
        <v>204</v>
      </c>
      <c r="K401" s="143" t="s">
        <v>204</v>
      </c>
      <c r="L401" s="143" t="s">
        <v>325</v>
      </c>
      <c r="M401" s="143" t="s">
        <v>340</v>
      </c>
      <c r="N401" s="143" t="s">
        <v>440</v>
      </c>
      <c r="O401" s="143" t="s">
        <v>339</v>
      </c>
      <c r="P401" s="143" t="s">
        <v>1403</v>
      </c>
      <c r="Q401" s="143" t="s">
        <v>413</v>
      </c>
      <c r="R401" s="143" t="s">
        <v>407</v>
      </c>
      <c r="S401" s="143" t="s">
        <v>1210</v>
      </c>
      <c r="T401" s="144">
        <v>4.71</v>
      </c>
      <c r="U401" s="143" t="s">
        <v>1768</v>
      </c>
      <c r="V401" s="146">
        <v>5.7500000000000002E-2</v>
      </c>
      <c r="W401" s="146">
        <v>6.7768999999999996E-2</v>
      </c>
      <c r="X401" s="143" t="s">
        <v>412</v>
      </c>
      <c r="Y401" s="145" t="s">
        <v>3876</v>
      </c>
      <c r="Z401" s="144">
        <v>40203000</v>
      </c>
      <c r="AA401" s="145" t="s">
        <v>3876</v>
      </c>
      <c r="AB401" s="143" t="s">
        <v>1769</v>
      </c>
      <c r="AC401" s="145" t="s">
        <v>3876</v>
      </c>
      <c r="AD401" s="144">
        <v>39137.620499999997</v>
      </c>
      <c r="AE401" s="145" t="s">
        <v>3876</v>
      </c>
      <c r="AF401" s="145" t="s">
        <v>3876</v>
      </c>
      <c r="AG401" s="145" t="s">
        <v>3876</v>
      </c>
      <c r="AH401" s="146">
        <v>7.6577142857142858E-2</v>
      </c>
      <c r="AI401" s="146">
        <v>1.4587434865336733E-2</v>
      </c>
      <c r="AJ401" s="147">
        <v>1.7343472071042756E-3</v>
      </c>
      <c r="AK401" s="181"/>
    </row>
    <row r="402" spans="1:37" ht="15" x14ac:dyDescent="0.2">
      <c r="A402" s="142" t="s">
        <v>1220</v>
      </c>
      <c r="B402" s="143" t="s">
        <v>1220</v>
      </c>
      <c r="C402" s="143" t="s">
        <v>1379</v>
      </c>
      <c r="D402" s="143" t="s">
        <v>1380</v>
      </c>
      <c r="E402" s="143" t="s">
        <v>309</v>
      </c>
      <c r="F402" s="143" t="s">
        <v>1381</v>
      </c>
      <c r="G402" s="143" t="s">
        <v>1382</v>
      </c>
      <c r="H402" s="143" t="s">
        <v>321</v>
      </c>
      <c r="I402" s="143" t="s">
        <v>951</v>
      </c>
      <c r="J402" s="143" t="s">
        <v>204</v>
      </c>
      <c r="K402" s="143" t="s">
        <v>204</v>
      </c>
      <c r="L402" s="143" t="s">
        <v>325</v>
      </c>
      <c r="M402" s="143" t="s">
        <v>340</v>
      </c>
      <c r="N402" s="143" t="s">
        <v>445</v>
      </c>
      <c r="O402" s="143" t="s">
        <v>339</v>
      </c>
      <c r="P402" s="143" t="s">
        <v>1347</v>
      </c>
      <c r="Q402" s="143" t="s">
        <v>413</v>
      </c>
      <c r="R402" s="143" t="s">
        <v>407</v>
      </c>
      <c r="S402" s="143" t="s">
        <v>1210</v>
      </c>
      <c r="T402" s="144">
        <v>5.4</v>
      </c>
      <c r="U402" s="143" t="s">
        <v>1383</v>
      </c>
      <c r="V402" s="146">
        <v>5.2499999999999998E-2</v>
      </c>
      <c r="W402" s="146">
        <v>5.9947E-2</v>
      </c>
      <c r="X402" s="143" t="s">
        <v>412</v>
      </c>
      <c r="Y402" s="145" t="s">
        <v>3876</v>
      </c>
      <c r="Z402" s="144">
        <v>28865000</v>
      </c>
      <c r="AA402" s="145" t="s">
        <v>3876</v>
      </c>
      <c r="AB402" s="143" t="s">
        <v>1384</v>
      </c>
      <c r="AC402" s="145" t="s">
        <v>3876</v>
      </c>
      <c r="AD402" s="144">
        <v>28120.282999999999</v>
      </c>
      <c r="AE402" s="145" t="s">
        <v>3876</v>
      </c>
      <c r="AF402" s="145" t="s">
        <v>3876</v>
      </c>
      <c r="AG402" s="145" t="s">
        <v>3876</v>
      </c>
      <c r="AH402" s="146">
        <v>5.7729999999999997E-2</v>
      </c>
      <c r="AI402" s="146">
        <v>1.0481035674034802E-2</v>
      </c>
      <c r="AJ402" s="147">
        <v>1.2461241552493422E-3</v>
      </c>
      <c r="AK402" s="181"/>
    </row>
    <row r="403" spans="1:37" ht="15" x14ac:dyDescent="0.2">
      <c r="A403" s="142" t="s">
        <v>1220</v>
      </c>
      <c r="B403" s="143" t="s">
        <v>1220</v>
      </c>
      <c r="C403" s="143" t="s">
        <v>1660</v>
      </c>
      <c r="D403" s="143" t="s">
        <v>1661</v>
      </c>
      <c r="E403" s="143" t="s">
        <v>309</v>
      </c>
      <c r="F403" s="143" t="s">
        <v>1662</v>
      </c>
      <c r="G403" s="143" t="s">
        <v>1663</v>
      </c>
      <c r="H403" s="143" t="s">
        <v>321</v>
      </c>
      <c r="I403" s="143" t="s">
        <v>951</v>
      </c>
      <c r="J403" s="143" t="s">
        <v>204</v>
      </c>
      <c r="K403" s="143" t="s">
        <v>224</v>
      </c>
      <c r="L403" s="143" t="s">
        <v>325</v>
      </c>
      <c r="M403" s="143" t="s">
        <v>340</v>
      </c>
      <c r="N403" s="143" t="s">
        <v>465</v>
      </c>
      <c r="O403" s="143" t="s">
        <v>339</v>
      </c>
      <c r="P403" s="143" t="s">
        <v>1347</v>
      </c>
      <c r="Q403" s="143" t="s">
        <v>413</v>
      </c>
      <c r="R403" s="143" t="s">
        <v>407</v>
      </c>
      <c r="S403" s="143" t="s">
        <v>1210</v>
      </c>
      <c r="T403" s="144">
        <v>1.1599999999999999</v>
      </c>
      <c r="U403" s="143" t="s">
        <v>1664</v>
      </c>
      <c r="V403" s="146">
        <v>4.8000000000000001E-2</v>
      </c>
      <c r="W403" s="146">
        <v>5.4014E-2</v>
      </c>
      <c r="X403" s="143" t="s">
        <v>412</v>
      </c>
      <c r="Y403" s="145" t="s">
        <v>3876</v>
      </c>
      <c r="Z403" s="144">
        <v>24794959.199999999</v>
      </c>
      <c r="AA403" s="145" t="s">
        <v>3876</v>
      </c>
      <c r="AB403" s="143" t="s">
        <v>1665</v>
      </c>
      <c r="AC403" s="145" t="s">
        <v>3876</v>
      </c>
      <c r="AD403" s="144">
        <v>24847.028600000001</v>
      </c>
      <c r="AE403" s="145" t="s">
        <v>3876</v>
      </c>
      <c r="AF403" s="145" t="s">
        <v>3876</v>
      </c>
      <c r="AG403" s="145" t="s">
        <v>3876</v>
      </c>
      <c r="AH403" s="146">
        <v>6.6119891200000003E-2</v>
      </c>
      <c r="AI403" s="146">
        <v>9.2610232016673323E-3</v>
      </c>
      <c r="AJ403" s="147">
        <v>1.1010729352359556E-3</v>
      </c>
      <c r="AK403" s="181"/>
    </row>
    <row r="404" spans="1:37" ht="15" x14ac:dyDescent="0.2">
      <c r="A404" s="142" t="s">
        <v>1220</v>
      </c>
      <c r="B404" s="143" t="s">
        <v>1220</v>
      </c>
      <c r="C404" s="143" t="s">
        <v>1770</v>
      </c>
      <c r="D404" s="143" t="s">
        <v>1771</v>
      </c>
      <c r="E404" s="143" t="s">
        <v>309</v>
      </c>
      <c r="F404" s="143" t="s">
        <v>1772</v>
      </c>
      <c r="G404" s="143" t="s">
        <v>1773</v>
      </c>
      <c r="H404" s="143" t="s">
        <v>321</v>
      </c>
      <c r="I404" s="143" t="s">
        <v>951</v>
      </c>
      <c r="J404" s="143" t="s">
        <v>204</v>
      </c>
      <c r="K404" s="143" t="s">
        <v>204</v>
      </c>
      <c r="L404" s="143" t="s">
        <v>325</v>
      </c>
      <c r="M404" s="143" t="s">
        <v>340</v>
      </c>
      <c r="N404" s="143" t="s">
        <v>445</v>
      </c>
      <c r="O404" s="143" t="s">
        <v>339</v>
      </c>
      <c r="P404" s="143" t="s">
        <v>1396</v>
      </c>
      <c r="Q404" s="143" t="s">
        <v>415</v>
      </c>
      <c r="R404" s="143" t="s">
        <v>407</v>
      </c>
      <c r="S404" s="143" t="s">
        <v>1210</v>
      </c>
      <c r="T404" s="144">
        <v>5.2</v>
      </c>
      <c r="U404" s="143" t="s">
        <v>1774</v>
      </c>
      <c r="V404" s="146">
        <v>1.95E-2</v>
      </c>
      <c r="W404" s="146">
        <v>5.7405999999999999E-2</v>
      </c>
      <c r="X404" s="143" t="s">
        <v>412</v>
      </c>
      <c r="Y404" s="145" t="s">
        <v>3876</v>
      </c>
      <c r="Z404" s="144">
        <v>30214853.760000002</v>
      </c>
      <c r="AA404" s="145" t="s">
        <v>3876</v>
      </c>
      <c r="AB404" s="143" t="s">
        <v>1775</v>
      </c>
      <c r="AC404" s="145" t="s">
        <v>3876</v>
      </c>
      <c r="AD404" s="144">
        <v>24821.502399999998</v>
      </c>
      <c r="AE404" s="145" t="s">
        <v>3876</v>
      </c>
      <c r="AF404" s="145" t="s">
        <v>3876</v>
      </c>
      <c r="AG404" s="145" t="s">
        <v>3876</v>
      </c>
      <c r="AH404" s="146">
        <v>2.880575358067046E-2</v>
      </c>
      <c r="AI404" s="146">
        <v>9.2515090178340743E-3</v>
      </c>
      <c r="AJ404" s="147">
        <v>1.0999417632162405E-3</v>
      </c>
      <c r="AK404" s="181"/>
    </row>
    <row r="405" spans="1:37" ht="15" x14ac:dyDescent="0.2">
      <c r="A405" s="142" t="s">
        <v>1220</v>
      </c>
      <c r="B405" s="143" t="s">
        <v>1220</v>
      </c>
      <c r="C405" s="143" t="s">
        <v>1379</v>
      </c>
      <c r="D405" s="143" t="s">
        <v>1380</v>
      </c>
      <c r="E405" s="143" t="s">
        <v>309</v>
      </c>
      <c r="F405" s="143" t="s">
        <v>1782</v>
      </c>
      <c r="G405" s="143" t="s">
        <v>1783</v>
      </c>
      <c r="H405" s="143" t="s">
        <v>321</v>
      </c>
      <c r="I405" s="143" t="s">
        <v>951</v>
      </c>
      <c r="J405" s="143" t="s">
        <v>204</v>
      </c>
      <c r="K405" s="143" t="s">
        <v>204</v>
      </c>
      <c r="L405" s="143" t="s">
        <v>325</v>
      </c>
      <c r="M405" s="143" t="s">
        <v>340</v>
      </c>
      <c r="N405" s="143" t="s">
        <v>445</v>
      </c>
      <c r="O405" s="143" t="s">
        <v>339</v>
      </c>
      <c r="P405" s="143" t="s">
        <v>1347</v>
      </c>
      <c r="Q405" s="143" t="s">
        <v>413</v>
      </c>
      <c r="R405" s="143" t="s">
        <v>407</v>
      </c>
      <c r="S405" s="143" t="s">
        <v>1210</v>
      </c>
      <c r="T405" s="144">
        <v>3.39</v>
      </c>
      <c r="U405" s="143" t="s">
        <v>1784</v>
      </c>
      <c r="V405" s="146">
        <v>4.7E-2</v>
      </c>
      <c r="W405" s="146">
        <v>5.5723000000000002E-2</v>
      </c>
      <c r="X405" s="143" t="s">
        <v>412</v>
      </c>
      <c r="Y405" s="145" t="s">
        <v>3876</v>
      </c>
      <c r="Z405" s="144">
        <v>24115000</v>
      </c>
      <c r="AA405" s="145" t="s">
        <v>3876</v>
      </c>
      <c r="AB405" s="143" t="s">
        <v>1785</v>
      </c>
      <c r="AC405" s="145" t="s">
        <v>3876</v>
      </c>
      <c r="AD405" s="144">
        <v>23813.5625</v>
      </c>
      <c r="AE405" s="145" t="s">
        <v>3876</v>
      </c>
      <c r="AF405" s="145" t="s">
        <v>3876</v>
      </c>
      <c r="AG405" s="145" t="s">
        <v>3876</v>
      </c>
      <c r="AH405" s="146">
        <v>2.6821265710154599E-2</v>
      </c>
      <c r="AI405" s="146">
        <v>8.8758281020271876E-3</v>
      </c>
      <c r="AJ405" s="147">
        <v>1.0552758467540996E-3</v>
      </c>
      <c r="AK405" s="181"/>
    </row>
    <row r="406" spans="1:37" ht="15" x14ac:dyDescent="0.2">
      <c r="A406" s="142" t="s">
        <v>1220</v>
      </c>
      <c r="B406" s="143" t="s">
        <v>1220</v>
      </c>
      <c r="C406" s="143" t="s">
        <v>1666</v>
      </c>
      <c r="D406" s="143" t="s">
        <v>1667</v>
      </c>
      <c r="E406" s="143" t="s">
        <v>309</v>
      </c>
      <c r="F406" s="143" t="s">
        <v>1668</v>
      </c>
      <c r="G406" s="143" t="s">
        <v>1669</v>
      </c>
      <c r="H406" s="143" t="s">
        <v>321</v>
      </c>
      <c r="I406" s="143" t="s">
        <v>951</v>
      </c>
      <c r="J406" s="143" t="s">
        <v>204</v>
      </c>
      <c r="K406" s="143" t="s">
        <v>204</v>
      </c>
      <c r="L406" s="143" t="s">
        <v>325</v>
      </c>
      <c r="M406" s="143" t="s">
        <v>340</v>
      </c>
      <c r="N406" s="143" t="s">
        <v>443</v>
      </c>
      <c r="O406" s="143" t="s">
        <v>339</v>
      </c>
      <c r="P406" s="143" t="s">
        <v>1403</v>
      </c>
      <c r="Q406" s="143" t="s">
        <v>413</v>
      </c>
      <c r="R406" s="143" t="s">
        <v>407</v>
      </c>
      <c r="S406" s="143" t="s">
        <v>1210</v>
      </c>
      <c r="T406" s="144">
        <v>0.95</v>
      </c>
      <c r="U406" s="143" t="s">
        <v>1670</v>
      </c>
      <c r="V406" s="146">
        <v>4.7500000000000001E-2</v>
      </c>
      <c r="W406" s="146">
        <v>6.4534999999999995E-2</v>
      </c>
      <c r="X406" s="143" t="s">
        <v>412</v>
      </c>
      <c r="Y406" s="145" t="s">
        <v>3876</v>
      </c>
      <c r="Z406" s="144">
        <v>23856368.800000001</v>
      </c>
      <c r="AA406" s="145" t="s">
        <v>3876</v>
      </c>
      <c r="AB406" s="143" t="s">
        <v>1671</v>
      </c>
      <c r="AC406" s="145" t="s">
        <v>3876</v>
      </c>
      <c r="AD406" s="144">
        <v>23813.427299999999</v>
      </c>
      <c r="AE406" s="145" t="s">
        <v>3876</v>
      </c>
      <c r="AF406" s="145" t="s">
        <v>3876</v>
      </c>
      <c r="AG406" s="145" t="s">
        <v>3876</v>
      </c>
      <c r="AH406" s="146">
        <v>2.8801215956563337E-2</v>
      </c>
      <c r="AI406" s="146">
        <v>8.8757777235502402E-3</v>
      </c>
      <c r="AJ406" s="147">
        <v>1.0552698570943961E-3</v>
      </c>
      <c r="AK406" s="181"/>
    </row>
    <row r="407" spans="1:37" ht="15" x14ac:dyDescent="0.2">
      <c r="A407" s="142" t="s">
        <v>1220</v>
      </c>
      <c r="B407" s="143" t="s">
        <v>1220</v>
      </c>
      <c r="C407" s="143" t="s">
        <v>1776</v>
      </c>
      <c r="D407" s="143" t="s">
        <v>1777</v>
      </c>
      <c r="E407" s="143" t="s">
        <v>309</v>
      </c>
      <c r="F407" s="143" t="s">
        <v>1778</v>
      </c>
      <c r="G407" s="143" t="s">
        <v>1779</v>
      </c>
      <c r="H407" s="143" t="s">
        <v>321</v>
      </c>
      <c r="I407" s="143" t="s">
        <v>951</v>
      </c>
      <c r="J407" s="143" t="s">
        <v>204</v>
      </c>
      <c r="K407" s="143" t="s">
        <v>204</v>
      </c>
      <c r="L407" s="143" t="s">
        <v>325</v>
      </c>
      <c r="M407" s="143" t="s">
        <v>340</v>
      </c>
      <c r="N407" s="143" t="s">
        <v>464</v>
      </c>
      <c r="O407" s="143" t="s">
        <v>339</v>
      </c>
      <c r="P407" s="143" t="s">
        <v>1410</v>
      </c>
      <c r="Q407" s="143" t="s">
        <v>413</v>
      </c>
      <c r="R407" s="143" t="s">
        <v>407</v>
      </c>
      <c r="S407" s="143" t="s">
        <v>1210</v>
      </c>
      <c r="T407" s="144">
        <v>5.5</v>
      </c>
      <c r="U407" s="143" t="s">
        <v>1780</v>
      </c>
      <c r="V407" s="146">
        <v>2.4400000000000002E-2</v>
      </c>
      <c r="W407" s="146">
        <v>6.1372000000000003E-2</v>
      </c>
      <c r="X407" s="143" t="s">
        <v>412</v>
      </c>
      <c r="Y407" s="145" t="s">
        <v>3876</v>
      </c>
      <c r="Z407" s="144">
        <v>28000000</v>
      </c>
      <c r="AA407" s="145" t="s">
        <v>3876</v>
      </c>
      <c r="AB407" s="143" t="s">
        <v>1781</v>
      </c>
      <c r="AC407" s="145" t="s">
        <v>3876</v>
      </c>
      <c r="AD407" s="144">
        <v>23273.599999999999</v>
      </c>
      <c r="AE407" s="145" t="s">
        <v>3876</v>
      </c>
      <c r="AF407" s="145" t="s">
        <v>3876</v>
      </c>
      <c r="AG407" s="145" t="s">
        <v>3876</v>
      </c>
      <c r="AH407" s="146">
        <v>2.3038858325831992E-2</v>
      </c>
      <c r="AI407" s="146">
        <v>8.6745724380944671E-3</v>
      </c>
      <c r="AJ407" s="147">
        <v>1.0313479113852123E-3</v>
      </c>
      <c r="AK407" s="181"/>
    </row>
    <row r="408" spans="1:37" ht="15" x14ac:dyDescent="0.2">
      <c r="A408" s="142" t="s">
        <v>1220</v>
      </c>
      <c r="B408" s="143" t="s">
        <v>1220</v>
      </c>
      <c r="C408" s="143" t="s">
        <v>1362</v>
      </c>
      <c r="D408" s="143" t="s">
        <v>1363</v>
      </c>
      <c r="E408" s="143" t="s">
        <v>309</v>
      </c>
      <c r="F408" s="143" t="s">
        <v>1786</v>
      </c>
      <c r="G408" s="143" t="s">
        <v>1787</v>
      </c>
      <c r="H408" s="143" t="s">
        <v>321</v>
      </c>
      <c r="I408" s="143" t="s">
        <v>951</v>
      </c>
      <c r="J408" s="143" t="s">
        <v>204</v>
      </c>
      <c r="K408" s="143" t="s">
        <v>204</v>
      </c>
      <c r="L408" s="143" t="s">
        <v>325</v>
      </c>
      <c r="M408" s="143" t="s">
        <v>340</v>
      </c>
      <c r="N408" s="143" t="s">
        <v>445</v>
      </c>
      <c r="O408" s="143" t="s">
        <v>339</v>
      </c>
      <c r="P408" s="143" t="s">
        <v>1347</v>
      </c>
      <c r="Q408" s="143" t="s">
        <v>413</v>
      </c>
      <c r="R408" s="143" t="s">
        <v>407</v>
      </c>
      <c r="S408" s="143" t="s">
        <v>1210</v>
      </c>
      <c r="T408" s="144">
        <v>7.65</v>
      </c>
      <c r="U408" s="143" t="s">
        <v>1788</v>
      </c>
      <c r="V408" s="146">
        <v>6.0199999999999997E-2</v>
      </c>
      <c r="W408" s="146">
        <v>6.1143999999999997E-2</v>
      </c>
      <c r="X408" s="143" t="s">
        <v>412</v>
      </c>
      <c r="Y408" s="145" t="s">
        <v>3876</v>
      </c>
      <c r="Z408" s="144">
        <v>22492000</v>
      </c>
      <c r="AA408" s="145" t="s">
        <v>3876</v>
      </c>
      <c r="AB408" s="143" t="s">
        <v>1504</v>
      </c>
      <c r="AC408" s="145" t="s">
        <v>3876</v>
      </c>
      <c r="AD408" s="144">
        <v>22492</v>
      </c>
      <c r="AE408" s="145" t="s">
        <v>3876</v>
      </c>
      <c r="AF408" s="145" t="s">
        <v>3876</v>
      </c>
      <c r="AG408" s="145" t="s">
        <v>3876</v>
      </c>
      <c r="AH408" s="146">
        <v>4.4984000000000003E-2</v>
      </c>
      <c r="AI408" s="146">
        <v>8.383253268837685E-3</v>
      </c>
      <c r="AJ408" s="147">
        <v>9.9671203521914083E-4</v>
      </c>
      <c r="AK408" s="181"/>
    </row>
    <row r="409" spans="1:37" ht="15" x14ac:dyDescent="0.2">
      <c r="A409" s="142" t="s">
        <v>1220</v>
      </c>
      <c r="B409" s="143" t="s">
        <v>1220</v>
      </c>
      <c r="C409" s="143" t="s">
        <v>1349</v>
      </c>
      <c r="D409" s="143" t="s">
        <v>1350</v>
      </c>
      <c r="E409" s="143" t="s">
        <v>309</v>
      </c>
      <c r="F409" s="143" t="s">
        <v>1789</v>
      </c>
      <c r="G409" s="143" t="s">
        <v>1790</v>
      </c>
      <c r="H409" s="143" t="s">
        <v>321</v>
      </c>
      <c r="I409" s="143" t="s">
        <v>951</v>
      </c>
      <c r="J409" s="143" t="s">
        <v>204</v>
      </c>
      <c r="K409" s="143" t="s">
        <v>204</v>
      </c>
      <c r="L409" s="143" t="s">
        <v>325</v>
      </c>
      <c r="M409" s="143" t="s">
        <v>340</v>
      </c>
      <c r="N409" s="143" t="s">
        <v>448</v>
      </c>
      <c r="O409" s="143" t="s">
        <v>339</v>
      </c>
      <c r="P409" s="143" t="s">
        <v>1224</v>
      </c>
      <c r="Q409" s="143" t="s">
        <v>413</v>
      </c>
      <c r="R409" s="143" t="s">
        <v>407</v>
      </c>
      <c r="S409" s="143" t="s">
        <v>1210</v>
      </c>
      <c r="T409" s="144">
        <v>3.49</v>
      </c>
      <c r="U409" s="143" t="s">
        <v>1791</v>
      </c>
      <c r="V409" s="146">
        <v>2.7400000000000001E-2</v>
      </c>
      <c r="W409" s="146">
        <v>5.0221000000000002E-2</v>
      </c>
      <c r="X409" s="143" t="s">
        <v>412</v>
      </c>
      <c r="Y409" s="145" t="s">
        <v>3876</v>
      </c>
      <c r="Z409" s="144">
        <v>21778400.940000001</v>
      </c>
      <c r="AA409" s="145" t="s">
        <v>3876</v>
      </c>
      <c r="AB409" s="143" t="s">
        <v>1792</v>
      </c>
      <c r="AC409" s="145" t="s">
        <v>3876</v>
      </c>
      <c r="AD409" s="144">
        <v>20273.5134</v>
      </c>
      <c r="AE409" s="145" t="s">
        <v>3876</v>
      </c>
      <c r="AF409" s="145" t="s">
        <v>3876</v>
      </c>
      <c r="AG409" s="145" t="s">
        <v>3876</v>
      </c>
      <c r="AH409" s="146">
        <v>1.4537789793193147E-2</v>
      </c>
      <c r="AI409" s="146">
        <v>7.5563755012970878E-3</v>
      </c>
      <c r="AJ409" s="147">
        <v>8.9840186897062479E-4</v>
      </c>
      <c r="AK409" s="181"/>
    </row>
    <row r="410" spans="1:37" ht="15" x14ac:dyDescent="0.2">
      <c r="A410" s="142" t="s">
        <v>1220</v>
      </c>
      <c r="B410" s="143" t="s">
        <v>1220</v>
      </c>
      <c r="C410" s="143" t="s">
        <v>1683</v>
      </c>
      <c r="D410" s="143" t="s">
        <v>1684</v>
      </c>
      <c r="E410" s="143" t="s">
        <v>309</v>
      </c>
      <c r="F410" s="143" t="s">
        <v>1793</v>
      </c>
      <c r="G410" s="143" t="s">
        <v>1794</v>
      </c>
      <c r="H410" s="143" t="s">
        <v>321</v>
      </c>
      <c r="I410" s="143" t="s">
        <v>951</v>
      </c>
      <c r="J410" s="143" t="s">
        <v>204</v>
      </c>
      <c r="K410" s="143" t="s">
        <v>204</v>
      </c>
      <c r="L410" s="143" t="s">
        <v>325</v>
      </c>
      <c r="M410" s="143" t="s">
        <v>340</v>
      </c>
      <c r="N410" s="143" t="s">
        <v>464</v>
      </c>
      <c r="O410" s="143" t="s">
        <v>339</v>
      </c>
      <c r="P410" s="143" t="s">
        <v>1425</v>
      </c>
      <c r="Q410" s="143" t="s">
        <v>415</v>
      </c>
      <c r="R410" s="143" t="s">
        <v>407</v>
      </c>
      <c r="S410" s="143" t="s">
        <v>1210</v>
      </c>
      <c r="T410" s="144">
        <v>5.55</v>
      </c>
      <c r="U410" s="143" t="s">
        <v>1795</v>
      </c>
      <c r="V410" s="146">
        <v>5.4800000000000001E-2</v>
      </c>
      <c r="W410" s="146">
        <v>6.3372999999999999E-2</v>
      </c>
      <c r="X410" s="143" t="s">
        <v>412</v>
      </c>
      <c r="Y410" s="145" t="s">
        <v>3876</v>
      </c>
      <c r="Z410" s="144">
        <v>20498000</v>
      </c>
      <c r="AA410" s="145" t="s">
        <v>3876</v>
      </c>
      <c r="AB410" s="143" t="s">
        <v>1796</v>
      </c>
      <c r="AC410" s="145" t="s">
        <v>3876</v>
      </c>
      <c r="AD410" s="144">
        <v>19673.980399999997</v>
      </c>
      <c r="AE410" s="145" t="s">
        <v>3876</v>
      </c>
      <c r="AF410" s="145" t="s">
        <v>3876</v>
      </c>
      <c r="AG410" s="145" t="s">
        <v>3876</v>
      </c>
      <c r="AH410" s="146">
        <v>6.8326666666666661E-2</v>
      </c>
      <c r="AI410" s="146">
        <v>7.3329166147674081E-3</v>
      </c>
      <c r="AJ410" s="147">
        <v>8.7183412081386655E-4</v>
      </c>
      <c r="AK410" s="181"/>
    </row>
    <row r="411" spans="1:37" ht="15" x14ac:dyDescent="0.2">
      <c r="A411" s="142" t="s">
        <v>1220</v>
      </c>
      <c r="B411" s="143" t="s">
        <v>1220</v>
      </c>
      <c r="C411" s="143" t="s">
        <v>1655</v>
      </c>
      <c r="D411" s="143" t="s">
        <v>1656</v>
      </c>
      <c r="E411" s="143" t="s">
        <v>309</v>
      </c>
      <c r="F411" s="143" t="s">
        <v>1657</v>
      </c>
      <c r="G411" s="143" t="s">
        <v>1658</v>
      </c>
      <c r="H411" s="143" t="s">
        <v>321</v>
      </c>
      <c r="I411" s="143" t="s">
        <v>951</v>
      </c>
      <c r="J411" s="143" t="s">
        <v>204</v>
      </c>
      <c r="K411" s="143" t="s">
        <v>204</v>
      </c>
      <c r="L411" s="143" t="s">
        <v>325</v>
      </c>
      <c r="M411" s="143" t="s">
        <v>340</v>
      </c>
      <c r="N411" s="143" t="s">
        <v>447</v>
      </c>
      <c r="O411" s="143" t="s">
        <v>339</v>
      </c>
      <c r="P411" s="143" t="s">
        <v>1359</v>
      </c>
      <c r="Q411" s="143" t="s">
        <v>415</v>
      </c>
      <c r="R411" s="143" t="s">
        <v>407</v>
      </c>
      <c r="S411" s="143" t="s">
        <v>1210</v>
      </c>
      <c r="T411" s="144">
        <v>2.4900000000000002</v>
      </c>
      <c r="U411" s="143" t="s">
        <v>1419</v>
      </c>
      <c r="V411" s="146">
        <v>4.53E-2</v>
      </c>
      <c r="W411" s="146">
        <v>6.2630000000000005E-2</v>
      </c>
      <c r="X411" s="143" t="s">
        <v>412</v>
      </c>
      <c r="Y411" s="145" t="s">
        <v>3876</v>
      </c>
      <c r="Z411" s="144">
        <v>20354598</v>
      </c>
      <c r="AA411" s="145" t="s">
        <v>3876</v>
      </c>
      <c r="AB411" s="143" t="s">
        <v>1659</v>
      </c>
      <c r="AC411" s="145" t="s">
        <v>3876</v>
      </c>
      <c r="AD411" s="144">
        <v>19560.768700000001</v>
      </c>
      <c r="AE411" s="145" t="s">
        <v>3876</v>
      </c>
      <c r="AF411" s="145" t="s">
        <v>3876</v>
      </c>
      <c r="AG411" s="145" t="s">
        <v>3876</v>
      </c>
      <c r="AH411" s="146">
        <v>2.9077997142857144E-2</v>
      </c>
      <c r="AI411" s="146">
        <v>7.2907201654286539E-3</v>
      </c>
      <c r="AJ411" s="147">
        <v>8.66817248777352E-4</v>
      </c>
      <c r="AK411" s="181"/>
    </row>
    <row r="412" spans="1:37" ht="15" x14ac:dyDescent="0.2">
      <c r="A412" s="142" t="s">
        <v>1220</v>
      </c>
      <c r="B412" s="143" t="s">
        <v>1220</v>
      </c>
      <c r="C412" s="143" t="s">
        <v>1601</v>
      </c>
      <c r="D412" s="143" t="s">
        <v>1602</v>
      </c>
      <c r="E412" s="143" t="s">
        <v>309</v>
      </c>
      <c r="F412" s="143" t="s">
        <v>1802</v>
      </c>
      <c r="G412" s="143" t="s">
        <v>1803</v>
      </c>
      <c r="H412" s="143" t="s">
        <v>321</v>
      </c>
      <c r="I412" s="143" t="s">
        <v>951</v>
      </c>
      <c r="J412" s="143" t="s">
        <v>204</v>
      </c>
      <c r="K412" s="143" t="s">
        <v>204</v>
      </c>
      <c r="L412" s="143" t="s">
        <v>325</v>
      </c>
      <c r="M412" s="143" t="s">
        <v>340</v>
      </c>
      <c r="N412" s="143" t="s">
        <v>484</v>
      </c>
      <c r="O412" s="143" t="s">
        <v>339</v>
      </c>
      <c r="P412" s="143" t="s">
        <v>1403</v>
      </c>
      <c r="Q412" s="143" t="s">
        <v>413</v>
      </c>
      <c r="R412" s="143" t="s">
        <v>407</v>
      </c>
      <c r="S412" s="143" t="s">
        <v>1210</v>
      </c>
      <c r="T412" s="144">
        <v>3.49</v>
      </c>
      <c r="U412" s="143" t="s">
        <v>1804</v>
      </c>
      <c r="V412" s="146">
        <v>4.7300000000000002E-2</v>
      </c>
      <c r="W412" s="146">
        <v>5.6944000000000002E-2</v>
      </c>
      <c r="X412" s="143" t="s">
        <v>412</v>
      </c>
      <c r="Y412" s="145" t="s">
        <v>3876</v>
      </c>
      <c r="Z412" s="144">
        <v>19500000</v>
      </c>
      <c r="AA412" s="145" t="s">
        <v>3876</v>
      </c>
      <c r="AB412" s="143" t="s">
        <v>1805</v>
      </c>
      <c r="AC412" s="144">
        <v>461.17500000000001</v>
      </c>
      <c r="AD412" s="144">
        <v>19368.375</v>
      </c>
      <c r="AE412" s="145" t="s">
        <v>3876</v>
      </c>
      <c r="AF412" s="145" t="s">
        <v>3876</v>
      </c>
      <c r="AG412" s="145" t="s">
        <v>3876</v>
      </c>
      <c r="AH412" s="146">
        <v>4.9377714191661495E-2</v>
      </c>
      <c r="AI412" s="146">
        <v>7.3909007583620977E-3</v>
      </c>
      <c r="AJ412" s="147">
        <v>8.7872804276986096E-4</v>
      </c>
      <c r="AK412" s="181"/>
    </row>
    <row r="413" spans="1:37" ht="15" x14ac:dyDescent="0.2">
      <c r="A413" s="142" t="s">
        <v>1220</v>
      </c>
      <c r="B413" s="143" t="s">
        <v>1220</v>
      </c>
      <c r="C413" s="143" t="s">
        <v>1672</v>
      </c>
      <c r="D413" s="143" t="s">
        <v>1673</v>
      </c>
      <c r="E413" s="143" t="s">
        <v>309</v>
      </c>
      <c r="F413" s="143" t="s">
        <v>1674</v>
      </c>
      <c r="G413" s="143" t="s">
        <v>1675</v>
      </c>
      <c r="H413" s="143" t="s">
        <v>321</v>
      </c>
      <c r="I413" s="143" t="s">
        <v>951</v>
      </c>
      <c r="J413" s="143" t="s">
        <v>204</v>
      </c>
      <c r="K413" s="143" t="s">
        <v>204</v>
      </c>
      <c r="L413" s="143" t="s">
        <v>325</v>
      </c>
      <c r="M413" s="143" t="s">
        <v>340</v>
      </c>
      <c r="N413" s="143" t="s">
        <v>464</v>
      </c>
      <c r="O413" s="143" t="s">
        <v>339</v>
      </c>
      <c r="P413" s="143" t="s">
        <v>1366</v>
      </c>
      <c r="Q413" s="143" t="s">
        <v>415</v>
      </c>
      <c r="R413" s="143" t="s">
        <v>407</v>
      </c>
      <c r="S413" s="143" t="s">
        <v>1210</v>
      </c>
      <c r="T413" s="144">
        <v>1.56</v>
      </c>
      <c r="U413" s="143" t="s">
        <v>1676</v>
      </c>
      <c r="V413" s="146">
        <v>6.7400000000000002E-2</v>
      </c>
      <c r="W413" s="146">
        <v>6.4237000000000002E-2</v>
      </c>
      <c r="X413" s="143" t="s">
        <v>412</v>
      </c>
      <c r="Y413" s="145" t="s">
        <v>3876</v>
      </c>
      <c r="Z413" s="144">
        <v>18845492.25</v>
      </c>
      <c r="AA413" s="145" t="s">
        <v>3876</v>
      </c>
      <c r="AB413" s="143" t="s">
        <v>1677</v>
      </c>
      <c r="AC413" s="145" t="s">
        <v>3876</v>
      </c>
      <c r="AD413" s="144">
        <v>19094.252700000001</v>
      </c>
      <c r="AE413" s="145" t="s">
        <v>3876</v>
      </c>
      <c r="AF413" s="145" t="s">
        <v>3876</v>
      </c>
      <c r="AG413" s="145" t="s">
        <v>3876</v>
      </c>
      <c r="AH413" s="146">
        <v>1.7956002606577513E-2</v>
      </c>
      <c r="AI413" s="146">
        <v>7.1168396213395413E-3</v>
      </c>
      <c r="AJ413" s="147">
        <v>8.4614402975052188E-4</v>
      </c>
      <c r="AK413" s="181"/>
    </row>
    <row r="414" spans="1:37" ht="15" x14ac:dyDescent="0.2">
      <c r="A414" s="142" t="s">
        <v>1220</v>
      </c>
      <c r="B414" s="143" t="s">
        <v>1220</v>
      </c>
      <c r="C414" s="143" t="s">
        <v>1672</v>
      </c>
      <c r="D414" s="143" t="s">
        <v>1673</v>
      </c>
      <c r="E414" s="143" t="s">
        <v>309</v>
      </c>
      <c r="F414" s="143" t="s">
        <v>1806</v>
      </c>
      <c r="G414" s="143" t="s">
        <v>1807</v>
      </c>
      <c r="H414" s="143" t="s">
        <v>321</v>
      </c>
      <c r="I414" s="143" t="s">
        <v>951</v>
      </c>
      <c r="J414" s="143" t="s">
        <v>204</v>
      </c>
      <c r="K414" s="143" t="s">
        <v>204</v>
      </c>
      <c r="L414" s="143" t="s">
        <v>325</v>
      </c>
      <c r="M414" s="143" t="s">
        <v>340</v>
      </c>
      <c r="N414" s="143" t="s">
        <v>464</v>
      </c>
      <c r="O414" s="143" t="s">
        <v>339</v>
      </c>
      <c r="P414" s="143" t="s">
        <v>1347</v>
      </c>
      <c r="Q414" s="143" t="s">
        <v>413</v>
      </c>
      <c r="R414" s="143" t="s">
        <v>407</v>
      </c>
      <c r="S414" s="143" t="s">
        <v>1210</v>
      </c>
      <c r="T414" s="144">
        <v>6.47</v>
      </c>
      <c r="U414" s="143" t="s">
        <v>1808</v>
      </c>
      <c r="V414" s="146">
        <v>4.9399999999999999E-2</v>
      </c>
      <c r="W414" s="146">
        <v>6.9442000000000004E-2</v>
      </c>
      <c r="X414" s="143" t="s">
        <v>412</v>
      </c>
      <c r="Y414" s="145" t="s">
        <v>3876</v>
      </c>
      <c r="Z414" s="144">
        <v>20000000</v>
      </c>
      <c r="AA414" s="145" t="s">
        <v>3876</v>
      </c>
      <c r="AB414" s="143" t="s">
        <v>1809</v>
      </c>
      <c r="AC414" s="145" t="s">
        <v>3876</v>
      </c>
      <c r="AD414" s="144">
        <v>17952</v>
      </c>
      <c r="AE414" s="145" t="s">
        <v>3876</v>
      </c>
      <c r="AF414" s="145" t="s">
        <v>3876</v>
      </c>
      <c r="AG414" s="145" t="s">
        <v>3876</v>
      </c>
      <c r="AH414" s="146">
        <v>2.2281615105152513E-2</v>
      </c>
      <c r="AI414" s="146">
        <v>6.6910973982826838E-3</v>
      </c>
      <c r="AJ414" s="147">
        <v>7.9552616291365887E-4</v>
      </c>
      <c r="AK414" s="181"/>
    </row>
    <row r="415" spans="1:37" ht="15" x14ac:dyDescent="0.2">
      <c r="A415" s="142" t="s">
        <v>1220</v>
      </c>
      <c r="B415" s="143" t="s">
        <v>1220</v>
      </c>
      <c r="C415" s="143" t="s">
        <v>1399</v>
      </c>
      <c r="D415" s="143" t="s">
        <v>1400</v>
      </c>
      <c r="E415" s="143" t="s">
        <v>309</v>
      </c>
      <c r="F415" s="143" t="s">
        <v>1810</v>
      </c>
      <c r="G415" s="143" t="s">
        <v>1811</v>
      </c>
      <c r="H415" s="143" t="s">
        <v>321</v>
      </c>
      <c r="I415" s="143" t="s">
        <v>951</v>
      </c>
      <c r="J415" s="143" t="s">
        <v>204</v>
      </c>
      <c r="K415" s="143" t="s">
        <v>204</v>
      </c>
      <c r="L415" s="143" t="s">
        <v>325</v>
      </c>
      <c r="M415" s="143" t="s">
        <v>340</v>
      </c>
      <c r="N415" s="143" t="s">
        <v>451</v>
      </c>
      <c r="O415" s="143" t="s">
        <v>339</v>
      </c>
      <c r="P415" s="143" t="s">
        <v>1403</v>
      </c>
      <c r="Q415" s="143" t="s">
        <v>413</v>
      </c>
      <c r="R415" s="143" t="s">
        <v>407</v>
      </c>
      <c r="S415" s="143" t="s">
        <v>1210</v>
      </c>
      <c r="T415" s="144">
        <v>5.05</v>
      </c>
      <c r="U415" s="143" t="s">
        <v>1812</v>
      </c>
      <c r="V415" s="146">
        <v>2.07E-2</v>
      </c>
      <c r="W415" s="146">
        <v>5.9485999999999997E-2</v>
      </c>
      <c r="X415" s="143" t="s">
        <v>412</v>
      </c>
      <c r="Y415" s="145" t="s">
        <v>3876</v>
      </c>
      <c r="Z415" s="144">
        <v>21492000</v>
      </c>
      <c r="AA415" s="145" t="s">
        <v>3876</v>
      </c>
      <c r="AB415" s="143" t="s">
        <v>1813</v>
      </c>
      <c r="AC415" s="145" t="s">
        <v>3876</v>
      </c>
      <c r="AD415" s="144">
        <v>17696.5128</v>
      </c>
      <c r="AE415" s="145" t="s">
        <v>3876</v>
      </c>
      <c r="AF415" s="145" t="s">
        <v>3876</v>
      </c>
      <c r="AG415" s="145" t="s">
        <v>3876</v>
      </c>
      <c r="AH415" s="146">
        <v>5.2330168005843683E-2</v>
      </c>
      <c r="AI415" s="146">
        <v>6.5958718112052251E-3</v>
      </c>
      <c r="AJ415" s="147">
        <v>7.8420448555795727E-4</v>
      </c>
      <c r="AK415" s="181"/>
    </row>
    <row r="416" spans="1:37" ht="15" x14ac:dyDescent="0.2">
      <c r="A416" s="142" t="s">
        <v>1220</v>
      </c>
      <c r="B416" s="143" t="s">
        <v>1220</v>
      </c>
      <c r="C416" s="143" t="s">
        <v>1438</v>
      </c>
      <c r="D416" s="143" t="s">
        <v>1439</v>
      </c>
      <c r="E416" s="143" t="s">
        <v>309</v>
      </c>
      <c r="F416" s="143" t="s">
        <v>1440</v>
      </c>
      <c r="G416" s="143" t="s">
        <v>1441</v>
      </c>
      <c r="H416" s="143" t="s">
        <v>321</v>
      </c>
      <c r="I416" s="143" t="s">
        <v>951</v>
      </c>
      <c r="J416" s="143" t="s">
        <v>204</v>
      </c>
      <c r="K416" s="143" t="s">
        <v>204</v>
      </c>
      <c r="L416" s="143" t="s">
        <v>325</v>
      </c>
      <c r="M416" s="143" t="s">
        <v>340</v>
      </c>
      <c r="N416" s="143" t="s">
        <v>464</v>
      </c>
      <c r="O416" s="143" t="s">
        <v>339</v>
      </c>
      <c r="P416" s="143" t="s">
        <v>1410</v>
      </c>
      <c r="Q416" s="143" t="s">
        <v>413</v>
      </c>
      <c r="R416" s="143" t="s">
        <v>407</v>
      </c>
      <c r="S416" s="143" t="s">
        <v>1210</v>
      </c>
      <c r="T416" s="144">
        <v>5.38</v>
      </c>
      <c r="U416" s="143" t="s">
        <v>1442</v>
      </c>
      <c r="V416" s="146">
        <v>2.5499999999999998E-2</v>
      </c>
      <c r="W416" s="146">
        <v>6.1415999999999998E-2</v>
      </c>
      <c r="X416" s="143" t="s">
        <v>412</v>
      </c>
      <c r="Y416" s="145" t="s">
        <v>3876</v>
      </c>
      <c r="Z416" s="144">
        <v>21063859.510000002</v>
      </c>
      <c r="AA416" s="145" t="s">
        <v>3876</v>
      </c>
      <c r="AB416" s="143" t="s">
        <v>1443</v>
      </c>
      <c r="AC416" s="145" t="s">
        <v>3876</v>
      </c>
      <c r="AD416" s="144">
        <v>17445.088399999997</v>
      </c>
      <c r="AE416" s="145" t="s">
        <v>3876</v>
      </c>
      <c r="AF416" s="145" t="s">
        <v>3876</v>
      </c>
      <c r="AG416" s="145" t="s">
        <v>3876</v>
      </c>
      <c r="AH416" s="146">
        <v>1.2148148705439708E-2</v>
      </c>
      <c r="AI416" s="146">
        <v>6.5021605344841625E-3</v>
      </c>
      <c r="AJ416" s="147">
        <v>7.7306284944744709E-4</v>
      </c>
      <c r="AK416" s="181"/>
    </row>
    <row r="417" spans="1:37" ht="15" x14ac:dyDescent="0.2">
      <c r="A417" s="142" t="s">
        <v>1220</v>
      </c>
      <c r="B417" s="143" t="s">
        <v>1220</v>
      </c>
      <c r="C417" s="143" t="s">
        <v>1343</v>
      </c>
      <c r="D417" s="143" t="s">
        <v>1344</v>
      </c>
      <c r="E417" s="143" t="s">
        <v>309</v>
      </c>
      <c r="F417" s="143" t="s">
        <v>1375</v>
      </c>
      <c r="G417" s="143" t="s">
        <v>1376</v>
      </c>
      <c r="H417" s="143" t="s">
        <v>321</v>
      </c>
      <c r="I417" s="143" t="s">
        <v>951</v>
      </c>
      <c r="J417" s="143" t="s">
        <v>204</v>
      </c>
      <c r="K417" s="143" t="s">
        <v>204</v>
      </c>
      <c r="L417" s="143" t="s">
        <v>325</v>
      </c>
      <c r="M417" s="143" t="s">
        <v>340</v>
      </c>
      <c r="N417" s="143" t="s">
        <v>445</v>
      </c>
      <c r="O417" s="143" t="s">
        <v>339</v>
      </c>
      <c r="P417" s="143" t="s">
        <v>1347</v>
      </c>
      <c r="Q417" s="143" t="s">
        <v>413</v>
      </c>
      <c r="R417" s="143" t="s">
        <v>407</v>
      </c>
      <c r="S417" s="143" t="s">
        <v>1210</v>
      </c>
      <c r="T417" s="144">
        <v>7.66</v>
      </c>
      <c r="U417" s="143" t="s">
        <v>1377</v>
      </c>
      <c r="V417" s="146">
        <v>5.3100000000000001E-2</v>
      </c>
      <c r="W417" s="146">
        <v>6.3355999999999996E-2</v>
      </c>
      <c r="X417" s="143" t="s">
        <v>412</v>
      </c>
      <c r="Y417" s="145" t="s">
        <v>3876</v>
      </c>
      <c r="Z417" s="144">
        <v>18116149.399999999</v>
      </c>
      <c r="AA417" s="145" t="s">
        <v>3876</v>
      </c>
      <c r="AB417" s="143" t="s">
        <v>1378</v>
      </c>
      <c r="AC417" s="145" t="s">
        <v>3876</v>
      </c>
      <c r="AD417" s="144">
        <v>17270.125199999999</v>
      </c>
      <c r="AE417" s="145" t="s">
        <v>3876</v>
      </c>
      <c r="AF417" s="145" t="s">
        <v>3876</v>
      </c>
      <c r="AG417" s="145" t="s">
        <v>3876</v>
      </c>
      <c r="AH417" s="146">
        <v>1.4226812400242182E-2</v>
      </c>
      <c r="AI417" s="146">
        <v>6.4369479694610775E-3</v>
      </c>
      <c r="AJ417" s="147">
        <v>7.6530951714056912E-4</v>
      </c>
      <c r="AK417" s="181"/>
    </row>
    <row r="418" spans="1:37" ht="15" x14ac:dyDescent="0.2">
      <c r="A418" s="142" t="s">
        <v>1220</v>
      </c>
      <c r="B418" s="143" t="s">
        <v>1220</v>
      </c>
      <c r="C418" s="143" t="s">
        <v>1814</v>
      </c>
      <c r="D418" s="143" t="s">
        <v>1815</v>
      </c>
      <c r="E418" s="143" t="s">
        <v>309</v>
      </c>
      <c r="F418" s="143" t="s">
        <v>1816</v>
      </c>
      <c r="G418" s="143" t="s">
        <v>1817</v>
      </c>
      <c r="H418" s="143" t="s">
        <v>321</v>
      </c>
      <c r="I418" s="143" t="s">
        <v>951</v>
      </c>
      <c r="J418" s="143" t="s">
        <v>204</v>
      </c>
      <c r="K418" s="143" t="s">
        <v>204</v>
      </c>
      <c r="L418" s="143" t="s">
        <v>325</v>
      </c>
      <c r="M418" s="143" t="s">
        <v>340</v>
      </c>
      <c r="N418" s="143" t="s">
        <v>464</v>
      </c>
      <c r="O418" s="143" t="s">
        <v>339</v>
      </c>
      <c r="P418" s="143" t="s">
        <v>1728</v>
      </c>
      <c r="Q418" s="143" t="s">
        <v>413</v>
      </c>
      <c r="R418" s="143" t="s">
        <v>407</v>
      </c>
      <c r="S418" s="143" t="s">
        <v>1210</v>
      </c>
      <c r="T418" s="144">
        <v>2.4900000000000002</v>
      </c>
      <c r="U418" s="143" t="s">
        <v>1818</v>
      </c>
      <c r="V418" s="146">
        <v>5.0125999999999997E-2</v>
      </c>
      <c r="W418" s="146">
        <v>5.7846000000000002E-2</v>
      </c>
      <c r="X418" s="143" t="s">
        <v>412</v>
      </c>
      <c r="Y418" s="145" t="s">
        <v>3876</v>
      </c>
      <c r="Z418" s="144">
        <v>17138572.289999999</v>
      </c>
      <c r="AA418" s="145" t="s">
        <v>3876</v>
      </c>
      <c r="AB418" s="143" t="s">
        <v>1819</v>
      </c>
      <c r="AC418" s="145" t="s">
        <v>3876</v>
      </c>
      <c r="AD418" s="144">
        <v>17195.1296</v>
      </c>
      <c r="AE418" s="145" t="s">
        <v>3876</v>
      </c>
      <c r="AF418" s="145" t="s">
        <v>3876</v>
      </c>
      <c r="AG418" s="145" t="s">
        <v>3876</v>
      </c>
      <c r="AH418" s="146">
        <v>3.7762180078831177E-2</v>
      </c>
      <c r="AI418" s="146">
        <v>6.408995476059289E-3</v>
      </c>
      <c r="AJ418" s="147">
        <v>7.6198615499290391E-4</v>
      </c>
      <c r="AK418" s="181"/>
    </row>
    <row r="419" spans="1:37" ht="15" x14ac:dyDescent="0.2">
      <c r="A419" s="142" t="s">
        <v>1220</v>
      </c>
      <c r="B419" s="143" t="s">
        <v>1220</v>
      </c>
      <c r="C419" s="143" t="s">
        <v>1392</v>
      </c>
      <c r="D419" s="143" t="s">
        <v>1393</v>
      </c>
      <c r="E419" s="143" t="s">
        <v>309</v>
      </c>
      <c r="F419" s="143" t="s">
        <v>1820</v>
      </c>
      <c r="G419" s="143" t="s">
        <v>1821</v>
      </c>
      <c r="H419" s="143" t="s">
        <v>321</v>
      </c>
      <c r="I419" s="143" t="s">
        <v>951</v>
      </c>
      <c r="J419" s="143" t="s">
        <v>204</v>
      </c>
      <c r="K419" s="143" t="s">
        <v>204</v>
      </c>
      <c r="L419" s="143" t="s">
        <v>325</v>
      </c>
      <c r="M419" s="143" t="s">
        <v>340</v>
      </c>
      <c r="N419" s="143" t="s">
        <v>484</v>
      </c>
      <c r="O419" s="143" t="s">
        <v>339</v>
      </c>
      <c r="P419" s="143" t="s">
        <v>1396</v>
      </c>
      <c r="Q419" s="143" t="s">
        <v>415</v>
      </c>
      <c r="R419" s="143" t="s">
        <v>407</v>
      </c>
      <c r="S419" s="143" t="s">
        <v>1210</v>
      </c>
      <c r="T419" s="144">
        <v>8.09</v>
      </c>
      <c r="U419" s="143" t="s">
        <v>1822</v>
      </c>
      <c r="V419" s="146">
        <v>2.7900000000000001E-2</v>
      </c>
      <c r="W419" s="146">
        <v>5.8882999999999998E-2</v>
      </c>
      <c r="X419" s="143" t="s">
        <v>412</v>
      </c>
      <c r="Y419" s="145" t="s">
        <v>3876</v>
      </c>
      <c r="Z419" s="144">
        <v>21100000</v>
      </c>
      <c r="AA419" s="145" t="s">
        <v>3876</v>
      </c>
      <c r="AB419" s="143" t="s">
        <v>1823</v>
      </c>
      <c r="AC419" s="145" t="s">
        <v>3876</v>
      </c>
      <c r="AD419" s="144">
        <v>16601.48</v>
      </c>
      <c r="AE419" s="145" t="s">
        <v>3876</v>
      </c>
      <c r="AF419" s="145" t="s">
        <v>3876</v>
      </c>
      <c r="AG419" s="145" t="s">
        <v>3876</v>
      </c>
      <c r="AH419" s="146">
        <v>2.4473330449114612E-2</v>
      </c>
      <c r="AI419" s="146">
        <v>6.1877294805950311E-3</v>
      </c>
      <c r="AJ419" s="147">
        <v>7.3567912673172065E-4</v>
      </c>
      <c r="AK419" s="181"/>
    </row>
    <row r="420" spans="1:37" ht="15" x14ac:dyDescent="0.2">
      <c r="A420" s="142" t="s">
        <v>1220</v>
      </c>
      <c r="B420" s="143" t="s">
        <v>1220</v>
      </c>
      <c r="C420" s="143" t="s">
        <v>1385</v>
      </c>
      <c r="D420" s="143" t="s">
        <v>1386</v>
      </c>
      <c r="E420" s="143" t="s">
        <v>309</v>
      </c>
      <c r="F420" s="143" t="s">
        <v>1387</v>
      </c>
      <c r="G420" s="143" t="s">
        <v>1388</v>
      </c>
      <c r="H420" s="143" t="s">
        <v>321</v>
      </c>
      <c r="I420" s="143" t="s">
        <v>951</v>
      </c>
      <c r="J420" s="143" t="s">
        <v>204</v>
      </c>
      <c r="K420" s="143" t="s">
        <v>204</v>
      </c>
      <c r="L420" s="143" t="s">
        <v>325</v>
      </c>
      <c r="M420" s="143" t="s">
        <v>340</v>
      </c>
      <c r="N420" s="143" t="s">
        <v>440</v>
      </c>
      <c r="O420" s="143" t="s">
        <v>339</v>
      </c>
      <c r="P420" s="143" t="s">
        <v>1389</v>
      </c>
      <c r="Q420" s="143" t="s">
        <v>413</v>
      </c>
      <c r="R420" s="143" t="s">
        <v>407</v>
      </c>
      <c r="S420" s="143" t="s">
        <v>1210</v>
      </c>
      <c r="T420" s="144">
        <v>3.26</v>
      </c>
      <c r="U420" s="143" t="s">
        <v>1390</v>
      </c>
      <c r="V420" s="146">
        <v>2.5000000000000001E-2</v>
      </c>
      <c r="W420" s="146">
        <v>5.9434000000000001E-2</v>
      </c>
      <c r="X420" s="143" t="s">
        <v>412</v>
      </c>
      <c r="Y420" s="145" t="s">
        <v>3876</v>
      </c>
      <c r="Z420" s="144">
        <v>18225750</v>
      </c>
      <c r="AA420" s="145" t="s">
        <v>3876</v>
      </c>
      <c r="AB420" s="143" t="s">
        <v>1391</v>
      </c>
      <c r="AC420" s="145" t="s">
        <v>3876</v>
      </c>
      <c r="AD420" s="144">
        <v>16472.4329</v>
      </c>
      <c r="AE420" s="145" t="s">
        <v>3876</v>
      </c>
      <c r="AF420" s="145" t="s">
        <v>3876</v>
      </c>
      <c r="AG420" s="145" t="s">
        <v>3876</v>
      </c>
      <c r="AH420" s="146">
        <v>2.2550239959942028E-2</v>
      </c>
      <c r="AI420" s="146">
        <v>6.1396308258701649E-3</v>
      </c>
      <c r="AJ420" s="147">
        <v>7.2996052244949901E-4</v>
      </c>
      <c r="AK420" s="181"/>
    </row>
    <row r="421" spans="1:37" ht="15" x14ac:dyDescent="0.2">
      <c r="A421" s="142" t="s">
        <v>1220</v>
      </c>
      <c r="B421" s="143" t="s">
        <v>1220</v>
      </c>
      <c r="C421" s="143" t="s">
        <v>1399</v>
      </c>
      <c r="D421" s="143" t="s">
        <v>1400</v>
      </c>
      <c r="E421" s="143" t="s">
        <v>309</v>
      </c>
      <c r="F421" s="143" t="s">
        <v>1824</v>
      </c>
      <c r="G421" s="143" t="s">
        <v>1825</v>
      </c>
      <c r="H421" s="143" t="s">
        <v>321</v>
      </c>
      <c r="I421" s="143" t="s">
        <v>951</v>
      </c>
      <c r="J421" s="143" t="s">
        <v>204</v>
      </c>
      <c r="K421" s="143" t="s">
        <v>204</v>
      </c>
      <c r="L421" s="143" t="s">
        <v>325</v>
      </c>
      <c r="M421" s="143" t="s">
        <v>340</v>
      </c>
      <c r="N421" s="143" t="s">
        <v>451</v>
      </c>
      <c r="O421" s="143" t="s">
        <v>339</v>
      </c>
      <c r="P421" s="143" t="s">
        <v>1403</v>
      </c>
      <c r="Q421" s="143" t="s">
        <v>413</v>
      </c>
      <c r="R421" s="143" t="s">
        <v>407</v>
      </c>
      <c r="S421" s="143" t="s">
        <v>1210</v>
      </c>
      <c r="T421" s="144">
        <v>3.13</v>
      </c>
      <c r="U421" s="143" t="s">
        <v>1826</v>
      </c>
      <c r="V421" s="146">
        <v>0.04</v>
      </c>
      <c r="W421" s="146">
        <v>5.6988999999999998E-2</v>
      </c>
      <c r="X421" s="143" t="s">
        <v>412</v>
      </c>
      <c r="Y421" s="145" t="s">
        <v>3876</v>
      </c>
      <c r="Z421" s="144">
        <v>16625001.9</v>
      </c>
      <c r="AA421" s="145" t="s">
        <v>3876</v>
      </c>
      <c r="AB421" s="143" t="s">
        <v>1827</v>
      </c>
      <c r="AC421" s="145" t="s">
        <v>3876</v>
      </c>
      <c r="AD421" s="144">
        <v>16112.951800000001</v>
      </c>
      <c r="AE421" s="145" t="s">
        <v>3876</v>
      </c>
      <c r="AF421" s="145" t="s">
        <v>3876</v>
      </c>
      <c r="AG421" s="145" t="s">
        <v>3876</v>
      </c>
      <c r="AH421" s="146">
        <v>2.453946575845925E-2</v>
      </c>
      <c r="AI421" s="146">
        <v>6.0056445045221143E-3</v>
      </c>
      <c r="AJ421" s="147">
        <v>7.1403045630933368E-4</v>
      </c>
      <c r="AK421" s="181"/>
    </row>
    <row r="422" spans="1:37" ht="15" x14ac:dyDescent="0.2">
      <c r="A422" s="142" t="s">
        <v>1220</v>
      </c>
      <c r="B422" s="143" t="s">
        <v>1220</v>
      </c>
      <c r="C422" s="143" t="s">
        <v>1828</v>
      </c>
      <c r="D422" s="143" t="s">
        <v>1829</v>
      </c>
      <c r="E422" s="143" t="s">
        <v>309</v>
      </c>
      <c r="F422" s="143" t="s">
        <v>1830</v>
      </c>
      <c r="G422" s="143" t="s">
        <v>1831</v>
      </c>
      <c r="H422" s="143" t="s">
        <v>321</v>
      </c>
      <c r="I422" s="143" t="s">
        <v>951</v>
      </c>
      <c r="J422" s="143" t="s">
        <v>204</v>
      </c>
      <c r="K422" s="143" t="s">
        <v>204</v>
      </c>
      <c r="L422" s="143" t="s">
        <v>325</v>
      </c>
      <c r="M422" s="143" t="s">
        <v>340</v>
      </c>
      <c r="N422" s="143" t="s">
        <v>454</v>
      </c>
      <c r="O422" s="143" t="s">
        <v>339</v>
      </c>
      <c r="P422" s="143" t="s">
        <v>1389</v>
      </c>
      <c r="Q422" s="143" t="s">
        <v>413</v>
      </c>
      <c r="R422" s="143" t="s">
        <v>407</v>
      </c>
      <c r="S422" s="143" t="s">
        <v>1210</v>
      </c>
      <c r="T422" s="144">
        <v>3.87</v>
      </c>
      <c r="U422" s="143" t="s">
        <v>1832</v>
      </c>
      <c r="V422" s="146">
        <v>6.7000000000000004E-2</v>
      </c>
      <c r="W422" s="146">
        <v>6.6008999999999998E-2</v>
      </c>
      <c r="X422" s="143" t="s">
        <v>412</v>
      </c>
      <c r="Y422" s="145" t="s">
        <v>3876</v>
      </c>
      <c r="Z422" s="144">
        <v>15612000</v>
      </c>
      <c r="AA422" s="145" t="s">
        <v>3876</v>
      </c>
      <c r="AB422" s="143" t="s">
        <v>1833</v>
      </c>
      <c r="AC422" s="145" t="s">
        <v>3876</v>
      </c>
      <c r="AD422" s="144">
        <v>16050.697199999999</v>
      </c>
      <c r="AE422" s="145" t="s">
        <v>3876</v>
      </c>
      <c r="AF422" s="145" t="s">
        <v>3876</v>
      </c>
      <c r="AG422" s="145" t="s">
        <v>3876</v>
      </c>
      <c r="AH422" s="146">
        <v>1.7156043956043955E-2</v>
      </c>
      <c r="AI422" s="146">
        <v>5.9824408575948722E-3</v>
      </c>
      <c r="AJ422" s="147">
        <v>7.1127169984430748E-4</v>
      </c>
      <c r="AK422" s="181"/>
    </row>
    <row r="423" spans="1:37" ht="15" x14ac:dyDescent="0.2">
      <c r="A423" s="142" t="s">
        <v>1220</v>
      </c>
      <c r="B423" s="143" t="s">
        <v>1220</v>
      </c>
      <c r="C423" s="143" t="s">
        <v>1392</v>
      </c>
      <c r="D423" s="143" t="s">
        <v>1393</v>
      </c>
      <c r="E423" s="143" t="s">
        <v>309</v>
      </c>
      <c r="F423" s="143" t="s">
        <v>1394</v>
      </c>
      <c r="G423" s="143" t="s">
        <v>1395</v>
      </c>
      <c r="H423" s="143" t="s">
        <v>321</v>
      </c>
      <c r="I423" s="143" t="s">
        <v>951</v>
      </c>
      <c r="J423" s="143" t="s">
        <v>204</v>
      </c>
      <c r="K423" s="143" t="s">
        <v>204</v>
      </c>
      <c r="L423" s="143" t="s">
        <v>325</v>
      </c>
      <c r="M423" s="143" t="s">
        <v>340</v>
      </c>
      <c r="N423" s="143" t="s">
        <v>484</v>
      </c>
      <c r="O423" s="143" t="s">
        <v>339</v>
      </c>
      <c r="P423" s="143" t="s">
        <v>1396</v>
      </c>
      <c r="Q423" s="143" t="s">
        <v>415</v>
      </c>
      <c r="R423" s="143" t="s">
        <v>407</v>
      </c>
      <c r="S423" s="143" t="s">
        <v>1210</v>
      </c>
      <c r="T423" s="144">
        <v>0.9</v>
      </c>
      <c r="U423" s="143" t="s">
        <v>1397</v>
      </c>
      <c r="V423" s="146">
        <v>3.6499999999999998E-2</v>
      </c>
      <c r="W423" s="146">
        <v>4.8802999999999999E-2</v>
      </c>
      <c r="X423" s="143" t="s">
        <v>412</v>
      </c>
      <c r="Y423" s="145" t="s">
        <v>3876</v>
      </c>
      <c r="Z423" s="144">
        <v>15643196.560000001</v>
      </c>
      <c r="AA423" s="145" t="s">
        <v>3876</v>
      </c>
      <c r="AB423" s="143" t="s">
        <v>1398</v>
      </c>
      <c r="AC423" s="145" t="s">
        <v>3876</v>
      </c>
      <c r="AD423" s="144">
        <v>15529.001199999999</v>
      </c>
      <c r="AE423" s="145" t="s">
        <v>3876</v>
      </c>
      <c r="AF423" s="145" t="s">
        <v>3876</v>
      </c>
      <c r="AG423" s="145" t="s">
        <v>3876</v>
      </c>
      <c r="AH423" s="146">
        <v>1.4688710877934597E-2</v>
      </c>
      <c r="AI423" s="146">
        <v>5.7879935213500169E-3</v>
      </c>
      <c r="AJ423" s="147">
        <v>6.8815322852578309E-4</v>
      </c>
      <c r="AK423" s="181"/>
    </row>
    <row r="424" spans="1:37" ht="15" x14ac:dyDescent="0.2">
      <c r="A424" s="142" t="s">
        <v>1220</v>
      </c>
      <c r="B424" s="143" t="s">
        <v>1220</v>
      </c>
      <c r="C424" s="143" t="s">
        <v>1362</v>
      </c>
      <c r="D424" s="143" t="s">
        <v>1363</v>
      </c>
      <c r="E424" s="143" t="s">
        <v>309</v>
      </c>
      <c r="F424" s="143" t="s">
        <v>1417</v>
      </c>
      <c r="G424" s="143" t="s">
        <v>1418</v>
      </c>
      <c r="H424" s="143" t="s">
        <v>321</v>
      </c>
      <c r="I424" s="143" t="s">
        <v>951</v>
      </c>
      <c r="J424" s="143" t="s">
        <v>204</v>
      </c>
      <c r="K424" s="143" t="s">
        <v>204</v>
      </c>
      <c r="L424" s="143" t="s">
        <v>325</v>
      </c>
      <c r="M424" s="143" t="s">
        <v>340</v>
      </c>
      <c r="N424" s="143" t="s">
        <v>445</v>
      </c>
      <c r="O424" s="143" t="s">
        <v>339</v>
      </c>
      <c r="P424" s="143" t="s">
        <v>1366</v>
      </c>
      <c r="Q424" s="143" t="s">
        <v>415</v>
      </c>
      <c r="R424" s="143" t="s">
        <v>407</v>
      </c>
      <c r="S424" s="143" t="s">
        <v>1210</v>
      </c>
      <c r="T424" s="144">
        <v>3.28</v>
      </c>
      <c r="U424" s="143" t="s">
        <v>1419</v>
      </c>
      <c r="V424" s="146">
        <v>4.36E-2</v>
      </c>
      <c r="W424" s="146">
        <v>5.1854999999999998E-2</v>
      </c>
      <c r="X424" s="143" t="s">
        <v>412</v>
      </c>
      <c r="Y424" s="145" t="s">
        <v>3876</v>
      </c>
      <c r="Z424" s="144">
        <v>14645000</v>
      </c>
      <c r="AA424" s="145" t="s">
        <v>3876</v>
      </c>
      <c r="AB424" s="143" t="s">
        <v>1420</v>
      </c>
      <c r="AC424" s="145" t="s">
        <v>3876</v>
      </c>
      <c r="AD424" s="144">
        <v>14293.52</v>
      </c>
      <c r="AE424" s="145" t="s">
        <v>3876</v>
      </c>
      <c r="AF424" s="145" t="s">
        <v>3876</v>
      </c>
      <c r="AG424" s="145" t="s">
        <v>3876</v>
      </c>
      <c r="AH424" s="146">
        <v>4.8816666666666668E-2</v>
      </c>
      <c r="AI424" s="146">
        <v>5.3275030349989698E-3</v>
      </c>
      <c r="AJ424" s="147">
        <v>6.3340402852772061E-4</v>
      </c>
      <c r="AK424" s="181"/>
    </row>
    <row r="425" spans="1:37" ht="15" x14ac:dyDescent="0.2">
      <c r="A425" s="142" t="s">
        <v>1220</v>
      </c>
      <c r="B425" s="143" t="s">
        <v>1220</v>
      </c>
      <c r="C425" s="143" t="s">
        <v>1672</v>
      </c>
      <c r="D425" s="143" t="s">
        <v>1673</v>
      </c>
      <c r="E425" s="143" t="s">
        <v>309</v>
      </c>
      <c r="F425" s="143" t="s">
        <v>1834</v>
      </c>
      <c r="G425" s="143" t="s">
        <v>1835</v>
      </c>
      <c r="H425" s="143" t="s">
        <v>321</v>
      </c>
      <c r="I425" s="143" t="s">
        <v>951</v>
      </c>
      <c r="J425" s="143" t="s">
        <v>204</v>
      </c>
      <c r="K425" s="143" t="s">
        <v>204</v>
      </c>
      <c r="L425" s="143" t="s">
        <v>325</v>
      </c>
      <c r="M425" s="143" t="s">
        <v>340</v>
      </c>
      <c r="N425" s="143" t="s">
        <v>464</v>
      </c>
      <c r="O425" s="143" t="s">
        <v>339</v>
      </c>
      <c r="P425" s="143" t="s">
        <v>1366</v>
      </c>
      <c r="Q425" s="143" t="s">
        <v>415</v>
      </c>
      <c r="R425" s="143" t="s">
        <v>407</v>
      </c>
      <c r="S425" s="143" t="s">
        <v>1210</v>
      </c>
      <c r="T425" s="144">
        <v>4.57</v>
      </c>
      <c r="U425" s="143" t="s">
        <v>1836</v>
      </c>
      <c r="V425" s="146">
        <v>2.41E-2</v>
      </c>
      <c r="W425" s="146">
        <v>6.4957000000000001E-2</v>
      </c>
      <c r="X425" s="143" t="s">
        <v>412</v>
      </c>
      <c r="Y425" s="145" t="s">
        <v>3876</v>
      </c>
      <c r="Z425" s="144">
        <v>16888889.100000001</v>
      </c>
      <c r="AA425" s="145" t="s">
        <v>3876</v>
      </c>
      <c r="AB425" s="143" t="s">
        <v>1837</v>
      </c>
      <c r="AC425" s="145" t="s">
        <v>3876</v>
      </c>
      <c r="AD425" s="144">
        <v>14217.066800000001</v>
      </c>
      <c r="AE425" s="145" t="s">
        <v>3876</v>
      </c>
      <c r="AF425" s="145" t="s">
        <v>3876</v>
      </c>
      <c r="AG425" s="145" t="s">
        <v>3876</v>
      </c>
      <c r="AH425" s="146">
        <v>9.5899437208109284E-3</v>
      </c>
      <c r="AI425" s="146">
        <v>5.2990072957688292E-3</v>
      </c>
      <c r="AJ425" s="147">
        <v>6.3001607813038222E-4</v>
      </c>
      <c r="AK425" s="181"/>
    </row>
    <row r="426" spans="1:37" ht="15" x14ac:dyDescent="0.2">
      <c r="A426" s="142" t="s">
        <v>1220</v>
      </c>
      <c r="B426" s="143" t="s">
        <v>1220</v>
      </c>
      <c r="C426" s="143" t="s">
        <v>1838</v>
      </c>
      <c r="D426" s="143" t="s">
        <v>1839</v>
      </c>
      <c r="E426" s="143" t="s">
        <v>309</v>
      </c>
      <c r="F426" s="143" t="s">
        <v>1840</v>
      </c>
      <c r="G426" s="143" t="s">
        <v>1841</v>
      </c>
      <c r="H426" s="143" t="s">
        <v>321</v>
      </c>
      <c r="I426" s="143" t="s">
        <v>951</v>
      </c>
      <c r="J426" s="143" t="s">
        <v>204</v>
      </c>
      <c r="K426" s="143" t="s">
        <v>204</v>
      </c>
      <c r="L426" s="143" t="s">
        <v>325</v>
      </c>
      <c r="M426" s="143" t="s">
        <v>340</v>
      </c>
      <c r="N426" s="143" t="s">
        <v>454</v>
      </c>
      <c r="O426" s="143" t="s">
        <v>339</v>
      </c>
      <c r="P426" s="143" t="s">
        <v>1410</v>
      </c>
      <c r="Q426" s="143" t="s">
        <v>413</v>
      </c>
      <c r="R426" s="143" t="s">
        <v>407</v>
      </c>
      <c r="S426" s="143" t="s">
        <v>1210</v>
      </c>
      <c r="T426" s="144">
        <v>3.49</v>
      </c>
      <c r="U426" s="143" t="s">
        <v>1842</v>
      </c>
      <c r="V426" s="146">
        <v>2.24E-2</v>
      </c>
      <c r="W426" s="146">
        <v>5.5280999999999997E-2</v>
      </c>
      <c r="X426" s="143" t="s">
        <v>412</v>
      </c>
      <c r="Y426" s="145" t="s">
        <v>3876</v>
      </c>
      <c r="Z426" s="144">
        <v>14947170.32</v>
      </c>
      <c r="AA426" s="145" t="s">
        <v>3876</v>
      </c>
      <c r="AB426" s="143" t="s">
        <v>1843</v>
      </c>
      <c r="AC426" s="145" t="s">
        <v>3876</v>
      </c>
      <c r="AD426" s="144">
        <v>13436.011400000001</v>
      </c>
      <c r="AE426" s="145" t="s">
        <v>3876</v>
      </c>
      <c r="AF426" s="145" t="s">
        <v>3876</v>
      </c>
      <c r="AG426" s="145" t="s">
        <v>3876</v>
      </c>
      <c r="AH426" s="146">
        <v>2.5439546979642975E-2</v>
      </c>
      <c r="AI426" s="146">
        <v>5.0078910943723428E-3</v>
      </c>
      <c r="AJ426" s="147">
        <v>5.9540433346823079E-4</v>
      </c>
      <c r="AK426" s="181"/>
    </row>
    <row r="427" spans="1:37" ht="15" x14ac:dyDescent="0.2">
      <c r="A427" s="142" t="s">
        <v>1220</v>
      </c>
      <c r="B427" s="143" t="s">
        <v>1220</v>
      </c>
      <c r="C427" s="143" t="s">
        <v>1689</v>
      </c>
      <c r="D427" s="143" t="s">
        <v>1690</v>
      </c>
      <c r="E427" s="143" t="s">
        <v>309</v>
      </c>
      <c r="F427" s="143" t="s">
        <v>1691</v>
      </c>
      <c r="G427" s="143" t="s">
        <v>1692</v>
      </c>
      <c r="H427" s="143" t="s">
        <v>321</v>
      </c>
      <c r="I427" s="143" t="s">
        <v>951</v>
      </c>
      <c r="J427" s="143" t="s">
        <v>204</v>
      </c>
      <c r="K427" s="143" t="s">
        <v>204</v>
      </c>
      <c r="L427" s="143" t="s">
        <v>325</v>
      </c>
      <c r="M427" s="143" t="s">
        <v>340</v>
      </c>
      <c r="N427" s="143" t="s">
        <v>451</v>
      </c>
      <c r="O427" s="143" t="s">
        <v>339</v>
      </c>
      <c r="P427" s="143" t="s">
        <v>1403</v>
      </c>
      <c r="Q427" s="143" t="s">
        <v>413</v>
      </c>
      <c r="R427" s="143" t="s">
        <v>407</v>
      </c>
      <c r="S427" s="143" t="s">
        <v>1210</v>
      </c>
      <c r="T427" s="144">
        <v>2.58</v>
      </c>
      <c r="U427" s="143" t="s">
        <v>1542</v>
      </c>
      <c r="V427" s="146">
        <v>2.1999999999999999E-2</v>
      </c>
      <c r="W427" s="146">
        <v>5.3846999999999999E-2</v>
      </c>
      <c r="X427" s="143" t="s">
        <v>412</v>
      </c>
      <c r="Y427" s="145" t="s">
        <v>3876</v>
      </c>
      <c r="Z427" s="144">
        <v>14439442.68</v>
      </c>
      <c r="AA427" s="145" t="s">
        <v>3876</v>
      </c>
      <c r="AB427" s="143" t="s">
        <v>1693</v>
      </c>
      <c r="AC427" s="145" t="s">
        <v>3876</v>
      </c>
      <c r="AD427" s="144">
        <v>13337.7132</v>
      </c>
      <c r="AE427" s="145" t="s">
        <v>3876</v>
      </c>
      <c r="AF427" s="145" t="s">
        <v>3876</v>
      </c>
      <c r="AG427" s="145" t="s">
        <v>3876</v>
      </c>
      <c r="AH427" s="146">
        <v>1.3323591861591695E-2</v>
      </c>
      <c r="AI427" s="146">
        <v>4.9712532372485794E-3</v>
      </c>
      <c r="AJ427" s="147">
        <v>5.9104834039861451E-4</v>
      </c>
      <c r="AK427" s="181"/>
    </row>
    <row r="428" spans="1:37" ht="15" x14ac:dyDescent="0.2">
      <c r="A428" s="142" t="s">
        <v>1220</v>
      </c>
      <c r="B428" s="143" t="s">
        <v>1220</v>
      </c>
      <c r="C428" s="143" t="s">
        <v>1683</v>
      </c>
      <c r="D428" s="143" t="s">
        <v>1684</v>
      </c>
      <c r="E428" s="143" t="s">
        <v>309</v>
      </c>
      <c r="F428" s="143" t="s">
        <v>1685</v>
      </c>
      <c r="G428" s="143" t="s">
        <v>1686</v>
      </c>
      <c r="H428" s="143" t="s">
        <v>321</v>
      </c>
      <c r="I428" s="143" t="s">
        <v>951</v>
      </c>
      <c r="J428" s="143" t="s">
        <v>204</v>
      </c>
      <c r="K428" s="143" t="s">
        <v>204</v>
      </c>
      <c r="L428" s="143" t="s">
        <v>325</v>
      </c>
      <c r="M428" s="143" t="s">
        <v>340</v>
      </c>
      <c r="N428" s="143" t="s">
        <v>464</v>
      </c>
      <c r="O428" s="143" t="s">
        <v>339</v>
      </c>
      <c r="P428" s="143" t="s">
        <v>1425</v>
      </c>
      <c r="Q428" s="143" t="s">
        <v>415</v>
      </c>
      <c r="R428" s="143" t="s">
        <v>407</v>
      </c>
      <c r="S428" s="143" t="s">
        <v>1210</v>
      </c>
      <c r="T428" s="144">
        <v>3.35</v>
      </c>
      <c r="U428" s="143" t="s">
        <v>1687</v>
      </c>
      <c r="V428" s="146">
        <v>3.04E-2</v>
      </c>
      <c r="W428" s="146">
        <v>6.1107000000000002E-2</v>
      </c>
      <c r="X428" s="143" t="s">
        <v>412</v>
      </c>
      <c r="Y428" s="145" t="s">
        <v>3876</v>
      </c>
      <c r="Z428" s="144">
        <v>14256676</v>
      </c>
      <c r="AA428" s="145" t="s">
        <v>3876</v>
      </c>
      <c r="AB428" s="143" t="s">
        <v>1688</v>
      </c>
      <c r="AC428" s="145" t="s">
        <v>3876</v>
      </c>
      <c r="AD428" s="144">
        <v>12920.825500000001</v>
      </c>
      <c r="AE428" s="145" t="s">
        <v>3876</v>
      </c>
      <c r="AF428" s="145" t="s">
        <v>3876</v>
      </c>
      <c r="AG428" s="145" t="s">
        <v>3876</v>
      </c>
      <c r="AH428" s="146">
        <v>2.6303677240785351E-2</v>
      </c>
      <c r="AI428" s="146">
        <v>4.8158701877808229E-3</v>
      </c>
      <c r="AJ428" s="147">
        <v>5.725743482016644E-4</v>
      </c>
      <c r="AK428" s="181"/>
    </row>
    <row r="429" spans="1:37" ht="15" x14ac:dyDescent="0.2">
      <c r="A429" s="142" t="s">
        <v>1220</v>
      </c>
      <c r="B429" s="143" t="s">
        <v>1220</v>
      </c>
      <c r="C429" s="143" t="s">
        <v>1797</v>
      </c>
      <c r="D429" s="143" t="s">
        <v>1798</v>
      </c>
      <c r="E429" s="143" t="s">
        <v>309</v>
      </c>
      <c r="F429" s="143" t="s">
        <v>1799</v>
      </c>
      <c r="G429" s="143" t="s">
        <v>1800</v>
      </c>
      <c r="H429" s="143" t="s">
        <v>321</v>
      </c>
      <c r="I429" s="143" t="s">
        <v>951</v>
      </c>
      <c r="J429" s="143" t="s">
        <v>204</v>
      </c>
      <c r="K429" s="143" t="s">
        <v>204</v>
      </c>
      <c r="L429" s="143" t="s">
        <v>325</v>
      </c>
      <c r="M429" s="143" t="s">
        <v>340</v>
      </c>
      <c r="N429" s="143" t="s">
        <v>443</v>
      </c>
      <c r="O429" s="143" t="s">
        <v>339</v>
      </c>
      <c r="P429" s="143" t="s">
        <v>1359</v>
      </c>
      <c r="Q429" s="143" t="s">
        <v>415</v>
      </c>
      <c r="R429" s="143" t="s">
        <v>407</v>
      </c>
      <c r="S429" s="143" t="s">
        <v>1210</v>
      </c>
      <c r="T429" s="144">
        <v>1.19</v>
      </c>
      <c r="U429" s="143" t="s">
        <v>1432</v>
      </c>
      <c r="V429" s="146">
        <v>6.9000000000000006E-2</v>
      </c>
      <c r="W429" s="146">
        <v>6.8987000000000007E-2</v>
      </c>
      <c r="X429" s="143" t="s">
        <v>412</v>
      </c>
      <c r="Y429" s="145" t="s">
        <v>3876</v>
      </c>
      <c r="Z429" s="144">
        <v>12500000</v>
      </c>
      <c r="AA429" s="145" t="s">
        <v>3876</v>
      </c>
      <c r="AB429" s="143" t="s">
        <v>1801</v>
      </c>
      <c r="AC429" s="145" t="s">
        <v>3876</v>
      </c>
      <c r="AD429" s="144">
        <v>12733.75</v>
      </c>
      <c r="AE429" s="145" t="s">
        <v>3876</v>
      </c>
      <c r="AF429" s="145" t="s">
        <v>3876</v>
      </c>
      <c r="AG429" s="145" t="s">
        <v>3876</v>
      </c>
      <c r="AH429" s="146">
        <v>3.4645232815964523E-2</v>
      </c>
      <c r="AI429" s="146">
        <v>4.7461431314272566E-3</v>
      </c>
      <c r="AJ429" s="147">
        <v>5.6428427345152647E-4</v>
      </c>
      <c r="AK429" s="181"/>
    </row>
    <row r="430" spans="1:37" ht="15" x14ac:dyDescent="0.2">
      <c r="A430" s="142" t="s">
        <v>1220</v>
      </c>
      <c r="B430" s="143" t="s">
        <v>1220</v>
      </c>
      <c r="C430" s="143" t="s">
        <v>1844</v>
      </c>
      <c r="D430" s="143" t="s">
        <v>1845</v>
      </c>
      <c r="E430" s="143" t="s">
        <v>309</v>
      </c>
      <c r="F430" s="143" t="s">
        <v>1846</v>
      </c>
      <c r="G430" s="143" t="s">
        <v>1847</v>
      </c>
      <c r="H430" s="143" t="s">
        <v>321</v>
      </c>
      <c r="I430" s="143" t="s">
        <v>951</v>
      </c>
      <c r="J430" s="143" t="s">
        <v>204</v>
      </c>
      <c r="K430" s="143" t="s">
        <v>204</v>
      </c>
      <c r="L430" s="143" t="s">
        <v>325</v>
      </c>
      <c r="M430" s="143" t="s">
        <v>340</v>
      </c>
      <c r="N430" s="143" t="s">
        <v>441</v>
      </c>
      <c r="O430" s="143" t="s">
        <v>339</v>
      </c>
      <c r="P430" s="145" t="s">
        <v>3876</v>
      </c>
      <c r="Q430" s="143" t="s">
        <v>410</v>
      </c>
      <c r="R430" s="143" t="s">
        <v>410</v>
      </c>
      <c r="S430" s="143" t="s">
        <v>1210</v>
      </c>
      <c r="T430" s="144">
        <v>3.85</v>
      </c>
      <c r="U430" s="143" t="s">
        <v>1579</v>
      </c>
      <c r="V430" s="146">
        <v>6.9500000000000006E-2</v>
      </c>
      <c r="W430" s="146">
        <v>6.7645999999999998E-2</v>
      </c>
      <c r="X430" s="143" t="s">
        <v>412</v>
      </c>
      <c r="Y430" s="145" t="s">
        <v>3876</v>
      </c>
      <c r="Z430" s="144">
        <v>11000000</v>
      </c>
      <c r="AA430" s="145" t="s">
        <v>3876</v>
      </c>
      <c r="AB430" s="143" t="s">
        <v>1848</v>
      </c>
      <c r="AC430" s="145" t="s">
        <v>3876</v>
      </c>
      <c r="AD430" s="144">
        <v>11124.3</v>
      </c>
      <c r="AE430" s="145" t="s">
        <v>3876</v>
      </c>
      <c r="AF430" s="145" t="s">
        <v>3876</v>
      </c>
      <c r="AG430" s="145" t="s">
        <v>3876</v>
      </c>
      <c r="AH430" s="146">
        <v>1.9679721478269116E-2</v>
      </c>
      <c r="AI430" s="146">
        <v>4.1462664208843612E-3</v>
      </c>
      <c r="AJ430" s="147">
        <v>4.9296299543785736E-4</v>
      </c>
      <c r="AK430" s="181"/>
    </row>
    <row r="431" spans="1:37" ht="15" x14ac:dyDescent="0.2">
      <c r="A431" s="142" t="s">
        <v>1220</v>
      </c>
      <c r="B431" s="143" t="s">
        <v>1220</v>
      </c>
      <c r="C431" s="143" t="s">
        <v>1660</v>
      </c>
      <c r="D431" s="143" t="s">
        <v>1661</v>
      </c>
      <c r="E431" s="143" t="s">
        <v>309</v>
      </c>
      <c r="F431" s="143" t="s">
        <v>1849</v>
      </c>
      <c r="G431" s="143" t="s">
        <v>1850</v>
      </c>
      <c r="H431" s="143" t="s">
        <v>321</v>
      </c>
      <c r="I431" s="143" t="s">
        <v>951</v>
      </c>
      <c r="J431" s="143" t="s">
        <v>204</v>
      </c>
      <c r="K431" s="143" t="s">
        <v>224</v>
      </c>
      <c r="L431" s="143" t="s">
        <v>325</v>
      </c>
      <c r="M431" s="143" t="s">
        <v>340</v>
      </c>
      <c r="N431" s="143" t="s">
        <v>465</v>
      </c>
      <c r="O431" s="143" t="s">
        <v>339</v>
      </c>
      <c r="P431" s="143" t="s">
        <v>1403</v>
      </c>
      <c r="Q431" s="143" t="s">
        <v>413</v>
      </c>
      <c r="R431" s="143" t="s">
        <v>407</v>
      </c>
      <c r="S431" s="143" t="s">
        <v>1210</v>
      </c>
      <c r="T431" s="144">
        <v>1.89</v>
      </c>
      <c r="U431" s="143" t="s">
        <v>1851</v>
      </c>
      <c r="V431" s="146">
        <v>4.3499999999999997E-2</v>
      </c>
      <c r="W431" s="146">
        <v>6.9700999999999999E-2</v>
      </c>
      <c r="X431" s="143" t="s">
        <v>412</v>
      </c>
      <c r="Y431" s="145" t="s">
        <v>3876</v>
      </c>
      <c r="Z431" s="144">
        <v>11000000</v>
      </c>
      <c r="AA431" s="145" t="s">
        <v>3876</v>
      </c>
      <c r="AB431" s="143" t="s">
        <v>1852</v>
      </c>
      <c r="AC431" s="145" t="s">
        <v>3876</v>
      </c>
      <c r="AD431" s="144">
        <v>10690.9</v>
      </c>
      <c r="AE431" s="145" t="s">
        <v>3876</v>
      </c>
      <c r="AF431" s="145" t="s">
        <v>3876</v>
      </c>
      <c r="AG431" s="145" t="s">
        <v>3876</v>
      </c>
      <c r="AH431" s="146">
        <v>2.268041237113402E-2</v>
      </c>
      <c r="AI431" s="146">
        <v>3.9847288979111151E-3</v>
      </c>
      <c r="AJ431" s="147">
        <v>4.7375727802437809E-4</v>
      </c>
      <c r="AK431" s="181"/>
    </row>
    <row r="432" spans="1:37" ht="15" x14ac:dyDescent="0.2">
      <c r="A432" s="142" t="s">
        <v>1220</v>
      </c>
      <c r="B432" s="143" t="s">
        <v>1220</v>
      </c>
      <c r="C432" s="143" t="s">
        <v>1678</v>
      </c>
      <c r="D432" s="143" t="s">
        <v>1679</v>
      </c>
      <c r="E432" s="143" t="s">
        <v>309</v>
      </c>
      <c r="F432" s="143" t="s">
        <v>1680</v>
      </c>
      <c r="G432" s="143" t="s">
        <v>1681</v>
      </c>
      <c r="H432" s="143" t="s">
        <v>321</v>
      </c>
      <c r="I432" s="143" t="s">
        <v>951</v>
      </c>
      <c r="J432" s="143" t="s">
        <v>204</v>
      </c>
      <c r="K432" s="143" t="s">
        <v>204</v>
      </c>
      <c r="L432" s="143" t="s">
        <v>325</v>
      </c>
      <c r="M432" s="143" t="s">
        <v>340</v>
      </c>
      <c r="N432" s="143" t="s">
        <v>445</v>
      </c>
      <c r="O432" s="143" t="s">
        <v>339</v>
      </c>
      <c r="P432" s="143" t="s">
        <v>1366</v>
      </c>
      <c r="Q432" s="143" t="s">
        <v>415</v>
      </c>
      <c r="R432" s="143" t="s">
        <v>407</v>
      </c>
      <c r="S432" s="143" t="s">
        <v>1210</v>
      </c>
      <c r="T432" s="144">
        <v>2.2000000000000002</v>
      </c>
      <c r="U432" s="143" t="s">
        <v>1432</v>
      </c>
      <c r="V432" s="146">
        <v>1.84E-2</v>
      </c>
      <c r="W432" s="146">
        <v>4.8425999999999997E-2</v>
      </c>
      <c r="X432" s="143" t="s">
        <v>412</v>
      </c>
      <c r="Y432" s="145" t="s">
        <v>3876</v>
      </c>
      <c r="Z432" s="144">
        <v>10413630</v>
      </c>
      <c r="AA432" s="145" t="s">
        <v>3876</v>
      </c>
      <c r="AB432" s="143" t="s">
        <v>1682</v>
      </c>
      <c r="AC432" s="145" t="s">
        <v>3876</v>
      </c>
      <c r="AD432" s="144">
        <v>9815.8876</v>
      </c>
      <c r="AE432" s="145" t="s">
        <v>3876</v>
      </c>
      <c r="AF432" s="145" t="s">
        <v>3876</v>
      </c>
      <c r="AG432" s="145" t="s">
        <v>3876</v>
      </c>
      <c r="AH432" s="146">
        <v>3.4712100000000003E-2</v>
      </c>
      <c r="AI432" s="146">
        <v>3.6585929276101246E-3</v>
      </c>
      <c r="AJ432" s="147">
        <v>4.3498192002282521E-4</v>
      </c>
      <c r="AK432" s="181"/>
    </row>
    <row r="433" spans="1:37" ht="15" x14ac:dyDescent="0.2">
      <c r="A433" s="142" t="s">
        <v>1220</v>
      </c>
      <c r="B433" s="143" t="s">
        <v>1220</v>
      </c>
      <c r="C433" s="143" t="s">
        <v>1369</v>
      </c>
      <c r="D433" s="143" t="s">
        <v>1370</v>
      </c>
      <c r="E433" s="143" t="s">
        <v>309</v>
      </c>
      <c r="F433" s="143" t="s">
        <v>1413</v>
      </c>
      <c r="G433" s="143" t="s">
        <v>1414</v>
      </c>
      <c r="H433" s="143" t="s">
        <v>321</v>
      </c>
      <c r="I433" s="143" t="s">
        <v>951</v>
      </c>
      <c r="J433" s="143" t="s">
        <v>204</v>
      </c>
      <c r="K433" s="143" t="s">
        <v>204</v>
      </c>
      <c r="L433" s="143" t="s">
        <v>325</v>
      </c>
      <c r="M433" s="143" t="s">
        <v>340</v>
      </c>
      <c r="N433" s="143" t="s">
        <v>445</v>
      </c>
      <c r="O433" s="143" t="s">
        <v>339</v>
      </c>
      <c r="P433" s="143" t="s">
        <v>1366</v>
      </c>
      <c r="Q433" s="143" t="s">
        <v>415</v>
      </c>
      <c r="R433" s="143" t="s">
        <v>407</v>
      </c>
      <c r="S433" s="143" t="s">
        <v>1210</v>
      </c>
      <c r="T433" s="144">
        <v>4.53</v>
      </c>
      <c r="U433" s="143" t="s">
        <v>1415</v>
      </c>
      <c r="V433" s="146">
        <v>2.6200000000000001E-2</v>
      </c>
      <c r="W433" s="146">
        <v>5.5462999999999998E-2</v>
      </c>
      <c r="X433" s="143" t="s">
        <v>412</v>
      </c>
      <c r="Y433" s="145" t="s">
        <v>3876</v>
      </c>
      <c r="Z433" s="144">
        <v>10991766</v>
      </c>
      <c r="AA433" s="145" t="s">
        <v>3876</v>
      </c>
      <c r="AB433" s="143" t="s">
        <v>1416</v>
      </c>
      <c r="AC433" s="145" t="s">
        <v>3876</v>
      </c>
      <c r="AD433" s="144">
        <v>9725.5146000000004</v>
      </c>
      <c r="AE433" s="145" t="s">
        <v>3876</v>
      </c>
      <c r="AF433" s="145" t="s">
        <v>3876</v>
      </c>
      <c r="AG433" s="145" t="s">
        <v>3876</v>
      </c>
      <c r="AH433" s="146">
        <v>8.498606344245728E-3</v>
      </c>
      <c r="AI433" s="146">
        <v>3.6249089320390397E-3</v>
      </c>
      <c r="AJ433" s="147">
        <v>4.3097712108578639E-4</v>
      </c>
      <c r="AK433" s="181"/>
    </row>
    <row r="434" spans="1:37" ht="15" x14ac:dyDescent="0.2">
      <c r="A434" s="142" t="s">
        <v>1220</v>
      </c>
      <c r="B434" s="143" t="s">
        <v>1220</v>
      </c>
      <c r="C434" s="143" t="s">
        <v>1694</v>
      </c>
      <c r="D434" s="143" t="s">
        <v>1695</v>
      </c>
      <c r="E434" s="143" t="s">
        <v>309</v>
      </c>
      <c r="F434" s="143" t="s">
        <v>1696</v>
      </c>
      <c r="G434" s="143" t="s">
        <v>1697</v>
      </c>
      <c r="H434" s="143" t="s">
        <v>321</v>
      </c>
      <c r="I434" s="143" t="s">
        <v>951</v>
      </c>
      <c r="J434" s="143" t="s">
        <v>204</v>
      </c>
      <c r="K434" s="143" t="s">
        <v>224</v>
      </c>
      <c r="L434" s="143" t="s">
        <v>325</v>
      </c>
      <c r="M434" s="143" t="s">
        <v>340</v>
      </c>
      <c r="N434" s="143" t="s">
        <v>465</v>
      </c>
      <c r="O434" s="143" t="s">
        <v>339</v>
      </c>
      <c r="P434" s="143" t="s">
        <v>1403</v>
      </c>
      <c r="Q434" s="143" t="s">
        <v>413</v>
      </c>
      <c r="R434" s="143" t="s">
        <v>407</v>
      </c>
      <c r="S434" s="143" t="s">
        <v>1210</v>
      </c>
      <c r="T434" s="144">
        <v>1.38</v>
      </c>
      <c r="U434" s="143" t="s">
        <v>1698</v>
      </c>
      <c r="V434" s="146">
        <v>3.95E-2</v>
      </c>
      <c r="W434" s="146">
        <v>6.1266000000000001E-2</v>
      </c>
      <c r="X434" s="143" t="s">
        <v>412</v>
      </c>
      <c r="Y434" s="145" t="s">
        <v>3876</v>
      </c>
      <c r="Z434" s="144">
        <v>7821500</v>
      </c>
      <c r="AA434" s="145" t="s">
        <v>3876</v>
      </c>
      <c r="AB434" s="143" t="s">
        <v>1699</v>
      </c>
      <c r="AC434" s="145" t="s">
        <v>3876</v>
      </c>
      <c r="AD434" s="144">
        <v>7629.8733000000002</v>
      </c>
      <c r="AE434" s="145" t="s">
        <v>3876</v>
      </c>
      <c r="AF434" s="145" t="s">
        <v>3876</v>
      </c>
      <c r="AG434" s="145" t="s">
        <v>3876</v>
      </c>
      <c r="AH434" s="146">
        <v>2.4918009188725755E-2</v>
      </c>
      <c r="AI434" s="146">
        <v>2.8438182404356975E-3</v>
      </c>
      <c r="AJ434" s="147">
        <v>3.3811072805760181E-4</v>
      </c>
      <c r="AK434" s="181"/>
    </row>
    <row r="435" spans="1:37" ht="15" x14ac:dyDescent="0.2">
      <c r="A435" s="142" t="s">
        <v>1220</v>
      </c>
      <c r="B435" s="143" t="s">
        <v>1220</v>
      </c>
      <c r="C435" s="143" t="s">
        <v>1406</v>
      </c>
      <c r="D435" s="143" t="s">
        <v>1407</v>
      </c>
      <c r="E435" s="143" t="s">
        <v>309</v>
      </c>
      <c r="F435" s="143" t="s">
        <v>1408</v>
      </c>
      <c r="G435" s="143" t="s">
        <v>1409</v>
      </c>
      <c r="H435" s="143" t="s">
        <v>321</v>
      </c>
      <c r="I435" s="143" t="s">
        <v>951</v>
      </c>
      <c r="J435" s="143" t="s">
        <v>204</v>
      </c>
      <c r="K435" s="143" t="s">
        <v>204</v>
      </c>
      <c r="L435" s="143" t="s">
        <v>325</v>
      </c>
      <c r="M435" s="143" t="s">
        <v>340</v>
      </c>
      <c r="N435" s="143" t="s">
        <v>475</v>
      </c>
      <c r="O435" s="143" t="s">
        <v>339</v>
      </c>
      <c r="P435" s="143" t="s">
        <v>1410</v>
      </c>
      <c r="Q435" s="143" t="s">
        <v>413</v>
      </c>
      <c r="R435" s="143" t="s">
        <v>407</v>
      </c>
      <c r="S435" s="143" t="s">
        <v>1210</v>
      </c>
      <c r="T435" s="144">
        <v>2.5</v>
      </c>
      <c r="U435" s="143" t="s">
        <v>1411</v>
      </c>
      <c r="V435" s="146">
        <v>5.0900000000000001E-2</v>
      </c>
      <c r="W435" s="146">
        <v>5.1853000000000003E-2</v>
      </c>
      <c r="X435" s="143" t="s">
        <v>412</v>
      </c>
      <c r="Y435" s="145" t="s">
        <v>3876</v>
      </c>
      <c r="Z435" s="144">
        <v>7319842.5700000003</v>
      </c>
      <c r="AA435" s="145" t="s">
        <v>3876</v>
      </c>
      <c r="AB435" s="143" t="s">
        <v>1412</v>
      </c>
      <c r="AC435" s="145" t="s">
        <v>3876</v>
      </c>
      <c r="AD435" s="144">
        <v>7573.1090999999997</v>
      </c>
      <c r="AE435" s="145" t="s">
        <v>3876</v>
      </c>
      <c r="AF435" s="145" t="s">
        <v>3876</v>
      </c>
      <c r="AG435" s="145" t="s">
        <v>3876</v>
      </c>
      <c r="AH435" s="146">
        <v>1.18165139295045E-2</v>
      </c>
      <c r="AI435" s="146">
        <v>2.8226610265872465E-3</v>
      </c>
      <c r="AJ435" s="147">
        <v>3.3559527862547702E-4</v>
      </c>
      <c r="AK435" s="181"/>
    </row>
    <row r="436" spans="1:37" ht="15" x14ac:dyDescent="0.2">
      <c r="A436" s="142" t="s">
        <v>1220</v>
      </c>
      <c r="B436" s="143" t="s">
        <v>1220</v>
      </c>
      <c r="C436" s="143" t="s">
        <v>1706</v>
      </c>
      <c r="D436" s="143" t="s">
        <v>1707</v>
      </c>
      <c r="E436" s="143" t="s">
        <v>309</v>
      </c>
      <c r="F436" s="143" t="s">
        <v>1708</v>
      </c>
      <c r="G436" s="143" t="s">
        <v>1709</v>
      </c>
      <c r="H436" s="143" t="s">
        <v>321</v>
      </c>
      <c r="I436" s="143" t="s">
        <v>951</v>
      </c>
      <c r="J436" s="143" t="s">
        <v>204</v>
      </c>
      <c r="K436" s="143" t="s">
        <v>204</v>
      </c>
      <c r="L436" s="143" t="s">
        <v>325</v>
      </c>
      <c r="M436" s="143" t="s">
        <v>340</v>
      </c>
      <c r="N436" s="143" t="s">
        <v>451</v>
      </c>
      <c r="O436" s="143" t="s">
        <v>339</v>
      </c>
      <c r="P436" s="143" t="s">
        <v>1710</v>
      </c>
      <c r="Q436" s="143" t="s">
        <v>413</v>
      </c>
      <c r="R436" s="143" t="s">
        <v>407</v>
      </c>
      <c r="S436" s="143" t="s">
        <v>1210</v>
      </c>
      <c r="T436" s="144">
        <v>1.43</v>
      </c>
      <c r="U436" s="143" t="s">
        <v>1711</v>
      </c>
      <c r="V436" s="146">
        <v>5.5E-2</v>
      </c>
      <c r="W436" s="146">
        <v>7.8688999999999995E-2</v>
      </c>
      <c r="X436" s="143" t="s">
        <v>412</v>
      </c>
      <c r="Y436" s="145" t="s">
        <v>3876</v>
      </c>
      <c r="Z436" s="144">
        <v>6576129.7199999997</v>
      </c>
      <c r="AA436" s="145" t="s">
        <v>3876</v>
      </c>
      <c r="AB436" s="143" t="s">
        <v>1712</v>
      </c>
      <c r="AC436" s="145" t="s">
        <v>3876</v>
      </c>
      <c r="AD436" s="144">
        <v>6315.0574000000006</v>
      </c>
      <c r="AE436" s="145" t="s">
        <v>3876</v>
      </c>
      <c r="AF436" s="145" t="s">
        <v>3876</v>
      </c>
      <c r="AG436" s="145" t="s">
        <v>3876</v>
      </c>
      <c r="AH436" s="146">
        <v>7.7481739133205153E-3</v>
      </c>
      <c r="AI436" s="146">
        <v>2.3537580180029551E-3</v>
      </c>
      <c r="AJ436" s="147">
        <v>2.7984588671056167E-4</v>
      </c>
      <c r="AK436" s="181"/>
    </row>
    <row r="437" spans="1:37" ht="15" x14ac:dyDescent="0.2">
      <c r="A437" s="142" t="s">
        <v>1220</v>
      </c>
      <c r="B437" s="143" t="s">
        <v>1220</v>
      </c>
      <c r="C437" s="143" t="s">
        <v>1853</v>
      </c>
      <c r="D437" s="143" t="s">
        <v>1854</v>
      </c>
      <c r="E437" s="143" t="s">
        <v>309</v>
      </c>
      <c r="F437" s="143" t="s">
        <v>1855</v>
      </c>
      <c r="G437" s="143" t="s">
        <v>1856</v>
      </c>
      <c r="H437" s="143" t="s">
        <v>321</v>
      </c>
      <c r="I437" s="143" t="s">
        <v>951</v>
      </c>
      <c r="J437" s="143" t="s">
        <v>204</v>
      </c>
      <c r="K437" s="143" t="s">
        <v>204</v>
      </c>
      <c r="L437" s="143" t="s">
        <v>325</v>
      </c>
      <c r="M437" s="143" t="s">
        <v>340</v>
      </c>
      <c r="N437" s="143" t="s">
        <v>464</v>
      </c>
      <c r="O437" s="143" t="s">
        <v>339</v>
      </c>
      <c r="P437" s="143" t="s">
        <v>1396</v>
      </c>
      <c r="Q437" s="143" t="s">
        <v>415</v>
      </c>
      <c r="R437" s="143" t="s">
        <v>407</v>
      </c>
      <c r="S437" s="143" t="s">
        <v>1210</v>
      </c>
      <c r="T437" s="144">
        <v>2.34</v>
      </c>
      <c r="U437" s="143" t="s">
        <v>1542</v>
      </c>
      <c r="V437" s="146">
        <v>5.6500000000000002E-2</v>
      </c>
      <c r="W437" s="146">
        <v>5.2422999999999997E-2</v>
      </c>
      <c r="X437" s="143" t="s">
        <v>412</v>
      </c>
      <c r="Y437" s="145" t="s">
        <v>3876</v>
      </c>
      <c r="Z437" s="144">
        <v>6227765.7000000002</v>
      </c>
      <c r="AA437" s="145" t="s">
        <v>3876</v>
      </c>
      <c r="AB437" s="143" t="s">
        <v>1857</v>
      </c>
      <c r="AC437" s="145" t="s">
        <v>3876</v>
      </c>
      <c r="AD437" s="144">
        <v>6296.8939</v>
      </c>
      <c r="AE437" s="145" t="s">
        <v>3876</v>
      </c>
      <c r="AF437" s="145" t="s">
        <v>3876</v>
      </c>
      <c r="AG437" s="145" t="s">
        <v>3876</v>
      </c>
      <c r="AH437" s="146">
        <v>3.9903825982837836E-2</v>
      </c>
      <c r="AI437" s="146">
        <v>2.3469881008616085E-3</v>
      </c>
      <c r="AJ437" s="147">
        <v>2.7904098941403132E-4</v>
      </c>
      <c r="AK437" s="181"/>
    </row>
    <row r="438" spans="1:37" ht="15" x14ac:dyDescent="0.2">
      <c r="A438" s="142" t="s">
        <v>1220</v>
      </c>
      <c r="B438" s="143" t="s">
        <v>1220</v>
      </c>
      <c r="C438" s="143" t="s">
        <v>1700</v>
      </c>
      <c r="D438" s="143" t="s">
        <v>1701</v>
      </c>
      <c r="E438" s="143" t="s">
        <v>309</v>
      </c>
      <c r="F438" s="143" t="s">
        <v>1702</v>
      </c>
      <c r="G438" s="143" t="s">
        <v>1703</v>
      </c>
      <c r="H438" s="143" t="s">
        <v>321</v>
      </c>
      <c r="I438" s="143" t="s">
        <v>951</v>
      </c>
      <c r="J438" s="143" t="s">
        <v>204</v>
      </c>
      <c r="K438" s="143" t="s">
        <v>204</v>
      </c>
      <c r="L438" s="143" t="s">
        <v>325</v>
      </c>
      <c r="M438" s="143" t="s">
        <v>340</v>
      </c>
      <c r="N438" s="143" t="s">
        <v>454</v>
      </c>
      <c r="O438" s="143" t="s">
        <v>339</v>
      </c>
      <c r="P438" s="143" t="s">
        <v>1359</v>
      </c>
      <c r="Q438" s="143" t="s">
        <v>415</v>
      </c>
      <c r="R438" s="143" t="s">
        <v>407</v>
      </c>
      <c r="S438" s="143" t="s">
        <v>1210</v>
      </c>
      <c r="T438" s="144">
        <v>2.88</v>
      </c>
      <c r="U438" s="143" t="s">
        <v>1704</v>
      </c>
      <c r="V438" s="146">
        <v>6.7500000000000004E-2</v>
      </c>
      <c r="W438" s="146">
        <v>6.2689999999999996E-2</v>
      </c>
      <c r="X438" s="143" t="s">
        <v>412</v>
      </c>
      <c r="Y438" s="145" t="s">
        <v>3876</v>
      </c>
      <c r="Z438" s="144">
        <v>5668276.6299999999</v>
      </c>
      <c r="AA438" s="145" t="s">
        <v>3876</v>
      </c>
      <c r="AB438" s="143" t="s">
        <v>1705</v>
      </c>
      <c r="AC438" s="145" t="s">
        <v>3876</v>
      </c>
      <c r="AD438" s="144">
        <v>5921.0817999999999</v>
      </c>
      <c r="AE438" s="145" t="s">
        <v>3876</v>
      </c>
      <c r="AF438" s="145" t="s">
        <v>3876</v>
      </c>
      <c r="AG438" s="145" t="s">
        <v>3876</v>
      </c>
      <c r="AH438" s="146">
        <v>3.2390152171428571E-3</v>
      </c>
      <c r="AI438" s="146">
        <v>2.206914817895673E-3</v>
      </c>
      <c r="AJ438" s="147">
        <v>2.6238722476352576E-4</v>
      </c>
      <c r="AK438" s="181"/>
    </row>
    <row r="439" spans="1:37" ht="15" x14ac:dyDescent="0.2">
      <c r="A439" s="142" t="s">
        <v>1220</v>
      </c>
      <c r="B439" s="143" t="s">
        <v>1220</v>
      </c>
      <c r="C439" s="143" t="s">
        <v>1428</v>
      </c>
      <c r="D439" s="143" t="s">
        <v>1429</v>
      </c>
      <c r="E439" s="143" t="s">
        <v>309</v>
      </c>
      <c r="F439" s="143" t="s">
        <v>1430</v>
      </c>
      <c r="G439" s="143" t="s">
        <v>1431</v>
      </c>
      <c r="H439" s="143" t="s">
        <v>321</v>
      </c>
      <c r="I439" s="143" t="s">
        <v>951</v>
      </c>
      <c r="J439" s="143" t="s">
        <v>204</v>
      </c>
      <c r="K439" s="143" t="s">
        <v>204</v>
      </c>
      <c r="L439" s="143" t="s">
        <v>325</v>
      </c>
      <c r="M439" s="143" t="s">
        <v>340</v>
      </c>
      <c r="N439" s="143" t="s">
        <v>445</v>
      </c>
      <c r="O439" s="143" t="s">
        <v>339</v>
      </c>
      <c r="P439" s="143" t="s">
        <v>1396</v>
      </c>
      <c r="Q439" s="143" t="s">
        <v>415</v>
      </c>
      <c r="R439" s="143" t="s">
        <v>407</v>
      </c>
      <c r="S439" s="143" t="s">
        <v>1210</v>
      </c>
      <c r="T439" s="144">
        <v>1.2</v>
      </c>
      <c r="U439" s="143" t="s">
        <v>1432</v>
      </c>
      <c r="V439" s="146">
        <v>2.9399999999999999E-2</v>
      </c>
      <c r="W439" s="146">
        <v>4.9301999999999999E-2</v>
      </c>
      <c r="X439" s="143" t="s">
        <v>412</v>
      </c>
      <c r="Y439" s="145" t="s">
        <v>3876</v>
      </c>
      <c r="Z439" s="144">
        <v>5606585.5199999996</v>
      </c>
      <c r="AA439" s="145" t="s">
        <v>3876</v>
      </c>
      <c r="AB439" s="143" t="s">
        <v>1433</v>
      </c>
      <c r="AC439" s="145" t="s">
        <v>3876</v>
      </c>
      <c r="AD439" s="144">
        <v>5599.2969999999996</v>
      </c>
      <c r="AE439" s="145" t="s">
        <v>3876</v>
      </c>
      <c r="AF439" s="145" t="s">
        <v>3876</v>
      </c>
      <c r="AG439" s="145" t="s">
        <v>3876</v>
      </c>
      <c r="AH439" s="146">
        <v>3.4948927314938719E-2</v>
      </c>
      <c r="AI439" s="146">
        <v>2.0869786827874002E-3</v>
      </c>
      <c r="AJ439" s="147">
        <v>2.4812763060758558E-4</v>
      </c>
      <c r="AK439" s="181"/>
    </row>
    <row r="440" spans="1:37" ht="15" x14ac:dyDescent="0.2">
      <c r="A440" s="142" t="s">
        <v>1220</v>
      </c>
      <c r="B440" s="143" t="s">
        <v>1220</v>
      </c>
      <c r="C440" s="143" t="s">
        <v>1421</v>
      </c>
      <c r="D440" s="143" t="s">
        <v>1422</v>
      </c>
      <c r="E440" s="143" t="s">
        <v>309</v>
      </c>
      <c r="F440" s="143" t="s">
        <v>1423</v>
      </c>
      <c r="G440" s="143" t="s">
        <v>1424</v>
      </c>
      <c r="H440" s="143" t="s">
        <v>321</v>
      </c>
      <c r="I440" s="143" t="s">
        <v>951</v>
      </c>
      <c r="J440" s="143" t="s">
        <v>204</v>
      </c>
      <c r="K440" s="143" t="s">
        <v>204</v>
      </c>
      <c r="L440" s="143" t="s">
        <v>325</v>
      </c>
      <c r="M440" s="143" t="s">
        <v>340</v>
      </c>
      <c r="N440" s="143" t="s">
        <v>465</v>
      </c>
      <c r="O440" s="143" t="s">
        <v>339</v>
      </c>
      <c r="P440" s="143" t="s">
        <v>1425</v>
      </c>
      <c r="Q440" s="143" t="s">
        <v>415</v>
      </c>
      <c r="R440" s="143" t="s">
        <v>407</v>
      </c>
      <c r="S440" s="143" t="s">
        <v>1210</v>
      </c>
      <c r="T440" s="144">
        <v>0.61</v>
      </c>
      <c r="U440" s="143" t="s">
        <v>1426</v>
      </c>
      <c r="V440" s="146">
        <v>3.5000000000000003E-2</v>
      </c>
      <c r="W440" s="146">
        <v>5.5946000000000003E-2</v>
      </c>
      <c r="X440" s="143" t="s">
        <v>412</v>
      </c>
      <c r="Y440" s="145" t="s">
        <v>3876</v>
      </c>
      <c r="Z440" s="144">
        <v>4947967.5999999996</v>
      </c>
      <c r="AA440" s="145" t="s">
        <v>3876</v>
      </c>
      <c r="AB440" s="143" t="s">
        <v>1427</v>
      </c>
      <c r="AC440" s="145" t="s">
        <v>3876</v>
      </c>
      <c r="AD440" s="144">
        <v>4953.4104000000007</v>
      </c>
      <c r="AE440" s="145" t="s">
        <v>3876</v>
      </c>
      <c r="AF440" s="145" t="s">
        <v>3876</v>
      </c>
      <c r="AG440" s="145" t="s">
        <v>3876</v>
      </c>
      <c r="AH440" s="146">
        <v>3.4411068919952707E-2</v>
      </c>
      <c r="AI440" s="146">
        <v>1.8462428254008285E-3</v>
      </c>
      <c r="AJ440" s="147">
        <v>2.195057676301281E-4</v>
      </c>
      <c r="AK440" s="181"/>
    </row>
    <row r="441" spans="1:37" ht="15" x14ac:dyDescent="0.2">
      <c r="A441" s="142" t="s">
        <v>1220</v>
      </c>
      <c r="B441" s="143" t="s">
        <v>1220</v>
      </c>
      <c r="C441" s="143" t="s">
        <v>1858</v>
      </c>
      <c r="D441" s="143" t="s">
        <v>1859</v>
      </c>
      <c r="E441" s="143" t="s">
        <v>309</v>
      </c>
      <c r="F441" s="143" t="s">
        <v>1860</v>
      </c>
      <c r="G441" s="143" t="s">
        <v>1861</v>
      </c>
      <c r="H441" s="143" t="s">
        <v>321</v>
      </c>
      <c r="I441" s="143" t="s">
        <v>951</v>
      </c>
      <c r="J441" s="143" t="s">
        <v>204</v>
      </c>
      <c r="K441" s="143" t="s">
        <v>204</v>
      </c>
      <c r="L441" s="143" t="s">
        <v>325</v>
      </c>
      <c r="M441" s="143" t="s">
        <v>340</v>
      </c>
      <c r="N441" s="143" t="s">
        <v>463</v>
      </c>
      <c r="O441" s="143" t="s">
        <v>339</v>
      </c>
      <c r="P441" s="143" t="s">
        <v>1403</v>
      </c>
      <c r="Q441" s="143" t="s">
        <v>413</v>
      </c>
      <c r="R441" s="143" t="s">
        <v>407</v>
      </c>
      <c r="S441" s="143" t="s">
        <v>1210</v>
      </c>
      <c r="T441" s="144">
        <v>3.27</v>
      </c>
      <c r="U441" s="143" t="s">
        <v>1862</v>
      </c>
      <c r="V441" s="146">
        <v>2.6200000000000001E-2</v>
      </c>
      <c r="W441" s="146">
        <v>5.6523999999999998E-2</v>
      </c>
      <c r="X441" s="143" t="s">
        <v>412</v>
      </c>
      <c r="Y441" s="145" t="s">
        <v>3876</v>
      </c>
      <c r="Z441" s="144">
        <v>3238208.2</v>
      </c>
      <c r="AA441" s="145" t="s">
        <v>3876</v>
      </c>
      <c r="AB441" s="143" t="s">
        <v>1863</v>
      </c>
      <c r="AC441" s="144">
        <v>584.83510000000001</v>
      </c>
      <c r="AD441" s="144">
        <v>3525.7757000000001</v>
      </c>
      <c r="AE441" s="145" t="s">
        <v>3876</v>
      </c>
      <c r="AF441" s="145" t="s">
        <v>3876</v>
      </c>
      <c r="AG441" s="145" t="s">
        <v>3876</v>
      </c>
      <c r="AH441" s="146">
        <v>7.5370686175275014E-3</v>
      </c>
      <c r="AI441" s="146">
        <v>1.5321132544482117E-3</v>
      </c>
      <c r="AJ441" s="147">
        <v>1.8215788919365708E-4</v>
      </c>
      <c r="AK441" s="181"/>
    </row>
    <row r="442" spans="1:37" ht="15" x14ac:dyDescent="0.2">
      <c r="A442" s="142" t="s">
        <v>1220</v>
      </c>
      <c r="B442" s="143" t="s">
        <v>1220</v>
      </c>
      <c r="C442" s="143" t="s">
        <v>1864</v>
      </c>
      <c r="D442" s="143" t="s">
        <v>1865</v>
      </c>
      <c r="E442" s="143" t="s">
        <v>309</v>
      </c>
      <c r="F442" s="143" t="s">
        <v>1866</v>
      </c>
      <c r="G442" s="143" t="s">
        <v>1867</v>
      </c>
      <c r="H442" s="143" t="s">
        <v>321</v>
      </c>
      <c r="I442" s="143" t="s">
        <v>951</v>
      </c>
      <c r="J442" s="143" t="s">
        <v>204</v>
      </c>
      <c r="K442" s="143" t="s">
        <v>204</v>
      </c>
      <c r="L442" s="143" t="s">
        <v>325</v>
      </c>
      <c r="M442" s="143" t="s">
        <v>340</v>
      </c>
      <c r="N442" s="143" t="s">
        <v>465</v>
      </c>
      <c r="O442" s="143" t="s">
        <v>339</v>
      </c>
      <c r="P442" s="143" t="s">
        <v>1359</v>
      </c>
      <c r="Q442" s="143" t="s">
        <v>415</v>
      </c>
      <c r="R442" s="143" t="s">
        <v>407</v>
      </c>
      <c r="S442" s="143" t="s">
        <v>1210</v>
      </c>
      <c r="T442" s="144">
        <v>2.91</v>
      </c>
      <c r="U442" s="143" t="s">
        <v>1868</v>
      </c>
      <c r="V442" s="146">
        <v>2.8500000000000001E-2</v>
      </c>
      <c r="W442" s="146">
        <v>6.2257E-2</v>
      </c>
      <c r="X442" s="143" t="s">
        <v>412</v>
      </c>
      <c r="Y442" s="145" t="s">
        <v>3876</v>
      </c>
      <c r="Z442" s="144">
        <v>3355059.91</v>
      </c>
      <c r="AA442" s="145" t="s">
        <v>3876</v>
      </c>
      <c r="AB442" s="143" t="s">
        <v>1869</v>
      </c>
      <c r="AC442" s="145" t="s">
        <v>3876</v>
      </c>
      <c r="AD442" s="144">
        <v>3059.1435999999999</v>
      </c>
      <c r="AE442" s="145" t="s">
        <v>3876</v>
      </c>
      <c r="AF442" s="145" t="s">
        <v>3876</v>
      </c>
      <c r="AG442" s="145" t="s">
        <v>3876</v>
      </c>
      <c r="AH442" s="146">
        <v>7.0982562479079293E-3</v>
      </c>
      <c r="AI442" s="146">
        <v>1.1402087765422686E-3</v>
      </c>
      <c r="AJ442" s="147">
        <v>1.3556310107755318E-4</v>
      </c>
      <c r="AK442" s="181"/>
    </row>
    <row r="443" spans="1:37" ht="15" x14ac:dyDescent="0.2">
      <c r="A443" s="142" t="s">
        <v>1220</v>
      </c>
      <c r="B443" s="143" t="s">
        <v>1220</v>
      </c>
      <c r="C443" s="143" t="s">
        <v>1399</v>
      </c>
      <c r="D443" s="143" t="s">
        <v>1400</v>
      </c>
      <c r="E443" s="143" t="s">
        <v>309</v>
      </c>
      <c r="F443" s="143" t="s">
        <v>1401</v>
      </c>
      <c r="G443" s="143" t="s">
        <v>1402</v>
      </c>
      <c r="H443" s="143" t="s">
        <v>321</v>
      </c>
      <c r="I443" s="143" t="s">
        <v>951</v>
      </c>
      <c r="J443" s="143" t="s">
        <v>204</v>
      </c>
      <c r="K443" s="143" t="s">
        <v>204</v>
      </c>
      <c r="L443" s="143" t="s">
        <v>325</v>
      </c>
      <c r="M443" s="143" t="s">
        <v>340</v>
      </c>
      <c r="N443" s="143" t="s">
        <v>451</v>
      </c>
      <c r="O443" s="143" t="s">
        <v>339</v>
      </c>
      <c r="P443" s="143" t="s">
        <v>1403</v>
      </c>
      <c r="Q443" s="143" t="s">
        <v>413</v>
      </c>
      <c r="R443" s="143" t="s">
        <v>407</v>
      </c>
      <c r="S443" s="143" t="s">
        <v>1210</v>
      </c>
      <c r="T443" s="144">
        <v>1.46</v>
      </c>
      <c r="U443" s="143" t="s">
        <v>1404</v>
      </c>
      <c r="V443" s="146">
        <v>0.04</v>
      </c>
      <c r="W443" s="146">
        <v>4.9484E-2</v>
      </c>
      <c r="X443" s="143" t="s">
        <v>412</v>
      </c>
      <c r="Y443" s="145" t="s">
        <v>3876</v>
      </c>
      <c r="Z443" s="144">
        <v>2381109.13</v>
      </c>
      <c r="AA443" s="145" t="s">
        <v>3876</v>
      </c>
      <c r="AB443" s="143" t="s">
        <v>1405</v>
      </c>
      <c r="AC443" s="145" t="s">
        <v>3876</v>
      </c>
      <c r="AD443" s="144">
        <v>2351.5834</v>
      </c>
      <c r="AE443" s="145" t="s">
        <v>3876</v>
      </c>
      <c r="AF443" s="145" t="s">
        <v>3876</v>
      </c>
      <c r="AG443" s="145" t="s">
        <v>3876</v>
      </c>
      <c r="AH443" s="146">
        <v>1.8071870698830057E-2</v>
      </c>
      <c r="AI443" s="146">
        <v>8.7648581853113825E-4</v>
      </c>
      <c r="AJ443" s="147">
        <v>1.0420822752382479E-4</v>
      </c>
      <c r="AK443" s="181"/>
    </row>
    <row r="444" spans="1:37" ht="15" x14ac:dyDescent="0.2">
      <c r="A444" s="142" t="s">
        <v>1220</v>
      </c>
      <c r="B444" s="143" t="s">
        <v>1220</v>
      </c>
      <c r="C444" s="143" t="s">
        <v>1362</v>
      </c>
      <c r="D444" s="143" t="s">
        <v>1363</v>
      </c>
      <c r="E444" s="143" t="s">
        <v>309</v>
      </c>
      <c r="F444" s="143" t="s">
        <v>1434</v>
      </c>
      <c r="G444" s="143" t="s">
        <v>1435</v>
      </c>
      <c r="H444" s="143" t="s">
        <v>321</v>
      </c>
      <c r="I444" s="143" t="s">
        <v>951</v>
      </c>
      <c r="J444" s="143" t="s">
        <v>204</v>
      </c>
      <c r="K444" s="143" t="s">
        <v>204</v>
      </c>
      <c r="L444" s="143" t="s">
        <v>325</v>
      </c>
      <c r="M444" s="143" t="s">
        <v>340</v>
      </c>
      <c r="N444" s="143" t="s">
        <v>445</v>
      </c>
      <c r="O444" s="143" t="s">
        <v>339</v>
      </c>
      <c r="P444" s="143" t="s">
        <v>1366</v>
      </c>
      <c r="Q444" s="143" t="s">
        <v>415</v>
      </c>
      <c r="R444" s="143" t="s">
        <v>407</v>
      </c>
      <c r="S444" s="143" t="s">
        <v>1210</v>
      </c>
      <c r="T444" s="144">
        <v>4.97</v>
      </c>
      <c r="U444" s="143" t="s">
        <v>1436</v>
      </c>
      <c r="V444" s="146">
        <v>3.95E-2</v>
      </c>
      <c r="W444" s="146">
        <v>5.5541E-2</v>
      </c>
      <c r="X444" s="143" t="s">
        <v>412</v>
      </c>
      <c r="Y444" s="145" t="s">
        <v>3876</v>
      </c>
      <c r="Z444" s="144">
        <v>2350416</v>
      </c>
      <c r="AA444" s="145" t="s">
        <v>3876</v>
      </c>
      <c r="AB444" s="143" t="s">
        <v>1437</v>
      </c>
      <c r="AC444" s="145" t="s">
        <v>3876</v>
      </c>
      <c r="AD444" s="144">
        <v>2181.6561000000002</v>
      </c>
      <c r="AE444" s="145" t="s">
        <v>3876</v>
      </c>
      <c r="AF444" s="145" t="s">
        <v>3876</v>
      </c>
      <c r="AG444" s="145" t="s">
        <v>3876</v>
      </c>
      <c r="AH444" s="146">
        <v>9.7929930603342062E-3</v>
      </c>
      <c r="AI444" s="146">
        <v>8.1315027091242119E-4</v>
      </c>
      <c r="AJ444" s="147">
        <v>9.667805987358478E-5</v>
      </c>
      <c r="AK444" s="181"/>
    </row>
    <row r="445" spans="1:37" ht="15" x14ac:dyDescent="0.2">
      <c r="A445" s="142" t="s">
        <v>1220</v>
      </c>
      <c r="B445" s="143" t="s">
        <v>1220</v>
      </c>
      <c r="C445" s="143" t="s">
        <v>1362</v>
      </c>
      <c r="D445" s="143" t="s">
        <v>1363</v>
      </c>
      <c r="E445" s="143" t="s">
        <v>309</v>
      </c>
      <c r="F445" s="143" t="s">
        <v>1364</v>
      </c>
      <c r="G445" s="143" t="s">
        <v>1365</v>
      </c>
      <c r="H445" s="143" t="s">
        <v>321</v>
      </c>
      <c r="I445" s="143" t="s">
        <v>951</v>
      </c>
      <c r="J445" s="143" t="s">
        <v>204</v>
      </c>
      <c r="K445" s="143" t="s">
        <v>204</v>
      </c>
      <c r="L445" s="143" t="s">
        <v>325</v>
      </c>
      <c r="M445" s="143" t="s">
        <v>340</v>
      </c>
      <c r="N445" s="143" t="s">
        <v>445</v>
      </c>
      <c r="O445" s="143" t="s">
        <v>339</v>
      </c>
      <c r="P445" s="143" t="s">
        <v>1366</v>
      </c>
      <c r="Q445" s="143" t="s">
        <v>415</v>
      </c>
      <c r="R445" s="143" t="s">
        <v>407</v>
      </c>
      <c r="S445" s="143" t="s">
        <v>1210</v>
      </c>
      <c r="T445" s="144">
        <v>4.16</v>
      </c>
      <c r="U445" s="143" t="s">
        <v>1367</v>
      </c>
      <c r="V445" s="146">
        <v>3.95E-2</v>
      </c>
      <c r="W445" s="146">
        <v>5.3097999999999999E-2</v>
      </c>
      <c r="X445" s="143" t="s">
        <v>412</v>
      </c>
      <c r="Y445" s="145" t="s">
        <v>3876</v>
      </c>
      <c r="Z445" s="144">
        <v>2006107</v>
      </c>
      <c r="AA445" s="145" t="s">
        <v>3876</v>
      </c>
      <c r="AB445" s="143" t="s">
        <v>1368</v>
      </c>
      <c r="AC445" s="145" t="s">
        <v>3876</v>
      </c>
      <c r="AD445" s="144">
        <v>1903.3943000000002</v>
      </c>
      <c r="AE445" s="145" t="s">
        <v>3876</v>
      </c>
      <c r="AF445" s="145" t="s">
        <v>3876</v>
      </c>
      <c r="AG445" s="145" t="s">
        <v>3876</v>
      </c>
      <c r="AH445" s="146">
        <v>8.3584318389969565E-3</v>
      </c>
      <c r="AI445" s="146">
        <v>7.0943609587587975E-4</v>
      </c>
      <c r="AJ445" s="147">
        <v>8.434714690140903E-5</v>
      </c>
      <c r="AK445" s="181"/>
    </row>
    <row r="446" spans="1:37" ht="15" x14ac:dyDescent="0.2">
      <c r="A446" s="142" t="s">
        <v>1220</v>
      </c>
      <c r="B446" s="143" t="s">
        <v>1220</v>
      </c>
      <c r="C446" s="143" t="s">
        <v>2040</v>
      </c>
      <c r="D446" s="143" t="s">
        <v>2041</v>
      </c>
      <c r="E446" s="143" t="s">
        <v>309</v>
      </c>
      <c r="F446" s="143" t="s">
        <v>2042</v>
      </c>
      <c r="G446" s="143" t="s">
        <v>2043</v>
      </c>
      <c r="H446" s="143" t="s">
        <v>321</v>
      </c>
      <c r="I446" s="143" t="s">
        <v>951</v>
      </c>
      <c r="J446" s="143" t="s">
        <v>204</v>
      </c>
      <c r="K446" s="143" t="s">
        <v>224</v>
      </c>
      <c r="L446" s="143" t="s">
        <v>325</v>
      </c>
      <c r="M446" s="143" t="s">
        <v>340</v>
      </c>
      <c r="N446" s="143" t="s">
        <v>465</v>
      </c>
      <c r="O446" s="143" t="s">
        <v>339</v>
      </c>
      <c r="P446" s="143" t="s">
        <v>1347</v>
      </c>
      <c r="Q446" s="143" t="s">
        <v>413</v>
      </c>
      <c r="R446" s="143" t="s">
        <v>407</v>
      </c>
      <c r="S446" s="143" t="s">
        <v>1210</v>
      </c>
      <c r="T446" s="144">
        <v>3.66</v>
      </c>
      <c r="U446" s="143" t="s">
        <v>2044</v>
      </c>
      <c r="V446" s="146">
        <v>4.4999999999999998E-2</v>
      </c>
      <c r="W446" s="146">
        <v>6.9755999999999999E-2</v>
      </c>
      <c r="X446" s="143" t="s">
        <v>412</v>
      </c>
      <c r="Y446" s="145" t="s">
        <v>3876</v>
      </c>
      <c r="Z446" s="144">
        <v>1948980.26</v>
      </c>
      <c r="AA446" s="145" t="s">
        <v>3876</v>
      </c>
      <c r="AB446" s="143" t="s">
        <v>2045</v>
      </c>
      <c r="AC446" s="145" t="s">
        <v>3876</v>
      </c>
      <c r="AD446" s="144">
        <v>1806.12</v>
      </c>
      <c r="AE446" s="145" t="s">
        <v>3876</v>
      </c>
      <c r="AF446" s="145" t="s">
        <v>3876</v>
      </c>
      <c r="AG446" s="145" t="s">
        <v>3876</v>
      </c>
      <c r="AH446" s="146">
        <v>2.1235773032025353E-3</v>
      </c>
      <c r="AI446" s="146">
        <v>6.7317986182241073E-4</v>
      </c>
      <c r="AJ446" s="147">
        <v>8.0036526230178266E-5</v>
      </c>
      <c r="AK446" s="181"/>
    </row>
    <row r="447" spans="1:37" ht="15" x14ac:dyDescent="0.2">
      <c r="A447" s="142" t="s">
        <v>1220</v>
      </c>
      <c r="B447" s="143" t="s">
        <v>1220</v>
      </c>
      <c r="C447" s="143" t="s">
        <v>1870</v>
      </c>
      <c r="D447" s="143" t="s">
        <v>1871</v>
      </c>
      <c r="E447" s="143" t="s">
        <v>309</v>
      </c>
      <c r="F447" s="143" t="s">
        <v>1872</v>
      </c>
      <c r="G447" s="143" t="s">
        <v>1873</v>
      </c>
      <c r="H447" s="143" t="s">
        <v>321</v>
      </c>
      <c r="I447" s="143" t="s">
        <v>951</v>
      </c>
      <c r="J447" s="143" t="s">
        <v>204</v>
      </c>
      <c r="K447" s="143" t="s">
        <v>204</v>
      </c>
      <c r="L447" s="143" t="s">
        <v>325</v>
      </c>
      <c r="M447" s="143" t="s">
        <v>340</v>
      </c>
      <c r="N447" s="143" t="s">
        <v>484</v>
      </c>
      <c r="O447" s="143" t="s">
        <v>339</v>
      </c>
      <c r="P447" s="143" t="s">
        <v>1347</v>
      </c>
      <c r="Q447" s="143" t="s">
        <v>413</v>
      </c>
      <c r="R447" s="143" t="s">
        <v>407</v>
      </c>
      <c r="S447" s="143" t="s">
        <v>1210</v>
      </c>
      <c r="T447" s="144">
        <v>2.33</v>
      </c>
      <c r="U447" s="143" t="s">
        <v>1874</v>
      </c>
      <c r="V447" s="146">
        <v>0.04</v>
      </c>
      <c r="W447" s="146">
        <v>5.2908999999999998E-2</v>
      </c>
      <c r="X447" s="143" t="s">
        <v>412</v>
      </c>
      <c r="Y447" s="145" t="s">
        <v>3876</v>
      </c>
      <c r="Z447" s="144">
        <v>1529255.02</v>
      </c>
      <c r="AA447" s="145" t="s">
        <v>3876</v>
      </c>
      <c r="AB447" s="143" t="s">
        <v>1875</v>
      </c>
      <c r="AC447" s="145" t="s">
        <v>3876</v>
      </c>
      <c r="AD447" s="144">
        <v>1487.0476000000001</v>
      </c>
      <c r="AE447" s="145" t="s">
        <v>3876</v>
      </c>
      <c r="AF447" s="145" t="s">
        <v>3876</v>
      </c>
      <c r="AG447" s="145" t="s">
        <v>3876</v>
      </c>
      <c r="AH447" s="146">
        <v>2.567655368706713E-3</v>
      </c>
      <c r="AI447" s="146">
        <v>5.5425469047177308E-4</v>
      </c>
      <c r="AJ447" s="147">
        <v>6.5897128817923582E-5</v>
      </c>
      <c r="AK447" s="181"/>
    </row>
    <row r="448" spans="1:37" ht="15" x14ac:dyDescent="0.2">
      <c r="A448" s="142" t="s">
        <v>1220</v>
      </c>
      <c r="B448" s="143" t="s">
        <v>1220</v>
      </c>
      <c r="C448" s="143" t="s">
        <v>1876</v>
      </c>
      <c r="D448" s="143" t="s">
        <v>1877</v>
      </c>
      <c r="E448" s="143" t="s">
        <v>309</v>
      </c>
      <c r="F448" s="143" t="s">
        <v>1878</v>
      </c>
      <c r="G448" s="143" t="s">
        <v>1879</v>
      </c>
      <c r="H448" s="143" t="s">
        <v>321</v>
      </c>
      <c r="I448" s="143" t="s">
        <v>951</v>
      </c>
      <c r="J448" s="143" t="s">
        <v>204</v>
      </c>
      <c r="K448" s="143" t="s">
        <v>204</v>
      </c>
      <c r="L448" s="143" t="s">
        <v>325</v>
      </c>
      <c r="M448" s="143" t="s">
        <v>340</v>
      </c>
      <c r="N448" s="143" t="s">
        <v>464</v>
      </c>
      <c r="O448" s="143" t="s">
        <v>339</v>
      </c>
      <c r="P448" s="143" t="s">
        <v>1410</v>
      </c>
      <c r="Q448" s="143" t="s">
        <v>413</v>
      </c>
      <c r="R448" s="143" t="s">
        <v>407</v>
      </c>
      <c r="S448" s="143" t="s">
        <v>1210</v>
      </c>
      <c r="T448" s="144">
        <v>0.98</v>
      </c>
      <c r="U448" s="143" t="s">
        <v>1880</v>
      </c>
      <c r="V448" s="146">
        <v>2.5499999999999998E-2</v>
      </c>
      <c r="W448" s="146">
        <v>4.9253999999999999E-2</v>
      </c>
      <c r="X448" s="143" t="s">
        <v>412</v>
      </c>
      <c r="Y448" s="145" t="s">
        <v>3876</v>
      </c>
      <c r="Z448" s="144">
        <v>1363400.34</v>
      </c>
      <c r="AA448" s="145" t="s">
        <v>3876</v>
      </c>
      <c r="AB448" s="143" t="s">
        <v>1881</v>
      </c>
      <c r="AC448" s="145" t="s">
        <v>3876</v>
      </c>
      <c r="AD448" s="144">
        <v>1333.8146000000002</v>
      </c>
      <c r="AE448" s="145" t="s">
        <v>3876</v>
      </c>
      <c r="AF448" s="145" t="s">
        <v>3876</v>
      </c>
      <c r="AG448" s="145" t="s">
        <v>3876</v>
      </c>
      <c r="AH448" s="146">
        <v>2.0316509805090303E-2</v>
      </c>
      <c r="AI448" s="146">
        <v>4.9714143732401098E-4</v>
      </c>
      <c r="AJ448" s="147">
        <v>5.9106749837665896E-5</v>
      </c>
      <c r="AK448" s="181"/>
    </row>
    <row r="449" spans="1:37" ht="15" x14ac:dyDescent="0.2">
      <c r="A449" s="142" t="s">
        <v>1220</v>
      </c>
      <c r="B449" s="143" t="s">
        <v>1220</v>
      </c>
      <c r="C449" s="143" t="s">
        <v>1882</v>
      </c>
      <c r="D449" s="143" t="s">
        <v>1883</v>
      </c>
      <c r="E449" s="143" t="s">
        <v>309</v>
      </c>
      <c r="F449" s="143" t="s">
        <v>1884</v>
      </c>
      <c r="G449" s="143" t="s">
        <v>1885</v>
      </c>
      <c r="H449" s="143" t="s">
        <v>321</v>
      </c>
      <c r="I449" s="143" t="s">
        <v>951</v>
      </c>
      <c r="J449" s="143" t="s">
        <v>204</v>
      </c>
      <c r="K449" s="143" t="s">
        <v>204</v>
      </c>
      <c r="L449" s="143" t="s">
        <v>325</v>
      </c>
      <c r="M449" s="143" t="s">
        <v>340</v>
      </c>
      <c r="N449" s="143" t="s">
        <v>445</v>
      </c>
      <c r="O449" s="143" t="s">
        <v>339</v>
      </c>
      <c r="P449" s="143" t="s">
        <v>1425</v>
      </c>
      <c r="Q449" s="143" t="s">
        <v>415</v>
      </c>
      <c r="R449" s="143" t="s">
        <v>407</v>
      </c>
      <c r="S449" s="143" t="s">
        <v>1210</v>
      </c>
      <c r="T449" s="144">
        <v>1.35</v>
      </c>
      <c r="U449" s="143" t="s">
        <v>1886</v>
      </c>
      <c r="V449" s="146">
        <v>3.27E-2</v>
      </c>
      <c r="W449" s="146">
        <v>5.0407E-2</v>
      </c>
      <c r="X449" s="143" t="s">
        <v>412</v>
      </c>
      <c r="Y449" s="145" t="s">
        <v>3876</v>
      </c>
      <c r="Z449" s="144">
        <v>814792</v>
      </c>
      <c r="AA449" s="145" t="s">
        <v>3876</v>
      </c>
      <c r="AB449" s="143" t="s">
        <v>1887</v>
      </c>
      <c r="AC449" s="145" t="s">
        <v>3876</v>
      </c>
      <c r="AD449" s="144">
        <v>799.7998</v>
      </c>
      <c r="AE449" s="145" t="s">
        <v>3876</v>
      </c>
      <c r="AF449" s="145" t="s">
        <v>3876</v>
      </c>
      <c r="AG449" s="145" t="s">
        <v>3876</v>
      </c>
      <c r="AH449" s="146">
        <v>2.581780964723552E-3</v>
      </c>
      <c r="AI449" s="146">
        <v>2.9810263719501226E-4</v>
      </c>
      <c r="AJ449" s="147">
        <v>3.5442384560573941E-5</v>
      </c>
      <c r="AK449" s="181"/>
    </row>
    <row r="450" spans="1:37" ht="15" x14ac:dyDescent="0.2">
      <c r="A450" s="142" t="s">
        <v>1220</v>
      </c>
      <c r="B450" s="143" t="s">
        <v>1220</v>
      </c>
      <c r="C450" s="143" t="s">
        <v>1888</v>
      </c>
      <c r="D450" s="143" t="s">
        <v>1889</v>
      </c>
      <c r="E450" s="143" t="s">
        <v>309</v>
      </c>
      <c r="F450" s="143" t="s">
        <v>1890</v>
      </c>
      <c r="G450" s="143" t="s">
        <v>1891</v>
      </c>
      <c r="H450" s="143" t="s">
        <v>321</v>
      </c>
      <c r="I450" s="143" t="s">
        <v>951</v>
      </c>
      <c r="J450" s="143" t="s">
        <v>204</v>
      </c>
      <c r="K450" s="143" t="s">
        <v>204</v>
      </c>
      <c r="L450" s="143" t="s">
        <v>325</v>
      </c>
      <c r="M450" s="143" t="s">
        <v>340</v>
      </c>
      <c r="N450" s="143" t="s">
        <v>454</v>
      </c>
      <c r="O450" s="143" t="s">
        <v>339</v>
      </c>
      <c r="P450" s="143" t="s">
        <v>1410</v>
      </c>
      <c r="Q450" s="143" t="s">
        <v>413</v>
      </c>
      <c r="R450" s="143" t="s">
        <v>407</v>
      </c>
      <c r="S450" s="143" t="s">
        <v>1210</v>
      </c>
      <c r="T450" s="144">
        <v>0.31</v>
      </c>
      <c r="U450" s="143" t="s">
        <v>1892</v>
      </c>
      <c r="V450" s="146">
        <v>2.3599999999999999E-2</v>
      </c>
      <c r="W450" s="146">
        <v>4.9519000000000001E-2</v>
      </c>
      <c r="X450" s="143" t="s">
        <v>412</v>
      </c>
      <c r="Y450" s="145" t="s">
        <v>3876</v>
      </c>
      <c r="Z450" s="144">
        <v>783898.82</v>
      </c>
      <c r="AA450" s="145" t="s">
        <v>3876</v>
      </c>
      <c r="AB450" s="143" t="s">
        <v>1893</v>
      </c>
      <c r="AC450" s="145" t="s">
        <v>3876</v>
      </c>
      <c r="AD450" s="144">
        <v>785.78019999999992</v>
      </c>
      <c r="AE450" s="145" t="s">
        <v>3876</v>
      </c>
      <c r="AF450" s="145" t="s">
        <v>3876</v>
      </c>
      <c r="AG450" s="145" t="s">
        <v>3876</v>
      </c>
      <c r="AH450" s="146">
        <v>1.2442838412698413E-2</v>
      </c>
      <c r="AI450" s="146">
        <v>2.9287721140100882E-4</v>
      </c>
      <c r="AJ450" s="147">
        <v>3.4821116824647623E-5</v>
      </c>
      <c r="AK450" s="181"/>
    </row>
    <row r="451" spans="1:37" ht="15" x14ac:dyDescent="0.2">
      <c r="A451" s="142" t="s">
        <v>1220</v>
      </c>
      <c r="B451" s="143" t="s">
        <v>1220</v>
      </c>
      <c r="C451" s="143" t="s">
        <v>1349</v>
      </c>
      <c r="D451" s="143" t="s">
        <v>1350</v>
      </c>
      <c r="E451" s="143" t="s">
        <v>309</v>
      </c>
      <c r="F451" s="143" t="s">
        <v>1460</v>
      </c>
      <c r="G451" s="143" t="s">
        <v>1461</v>
      </c>
      <c r="H451" s="143" t="s">
        <v>321</v>
      </c>
      <c r="I451" s="143" t="s">
        <v>754</v>
      </c>
      <c r="J451" s="143" t="s">
        <v>204</v>
      </c>
      <c r="K451" s="143" t="s">
        <v>204</v>
      </c>
      <c r="L451" s="143" t="s">
        <v>325</v>
      </c>
      <c r="M451" s="143" t="s">
        <v>340</v>
      </c>
      <c r="N451" s="143" t="s">
        <v>448</v>
      </c>
      <c r="O451" s="143" t="s">
        <v>339</v>
      </c>
      <c r="P451" s="143" t="s">
        <v>1224</v>
      </c>
      <c r="Q451" s="143" t="s">
        <v>413</v>
      </c>
      <c r="R451" s="143" t="s">
        <v>407</v>
      </c>
      <c r="S451" s="143" t="s">
        <v>1210</v>
      </c>
      <c r="T451" s="144">
        <v>0.24</v>
      </c>
      <c r="U451" s="143" t="s">
        <v>1462</v>
      </c>
      <c r="V451" s="146">
        <v>8.6E-3</v>
      </c>
      <c r="W451" s="146">
        <v>2.5704999999999999E-2</v>
      </c>
      <c r="X451" s="143" t="s">
        <v>412</v>
      </c>
      <c r="Y451" s="145" t="s">
        <v>3876</v>
      </c>
      <c r="Z451" s="144">
        <v>69644633</v>
      </c>
      <c r="AA451" s="145" t="s">
        <v>3876</v>
      </c>
      <c r="AB451" s="143" t="s">
        <v>1463</v>
      </c>
      <c r="AC451" s="145" t="s">
        <v>3876</v>
      </c>
      <c r="AD451" s="144">
        <v>80049.541200000007</v>
      </c>
      <c r="AE451" s="145" t="s">
        <v>3876</v>
      </c>
      <c r="AF451" s="145" t="s">
        <v>3876</v>
      </c>
      <c r="AG451" s="145" t="s">
        <v>3876</v>
      </c>
      <c r="AH451" s="146">
        <v>2.7842806947125775E-2</v>
      </c>
      <c r="AI451" s="146">
        <v>2.983618965338947E-2</v>
      </c>
      <c r="AJ451" s="147">
        <v>3.5473208740044657E-3</v>
      </c>
      <c r="AK451" s="181"/>
    </row>
    <row r="452" spans="1:37" ht="15" x14ac:dyDescent="0.2">
      <c r="A452" s="142" t="s">
        <v>1220</v>
      </c>
      <c r="B452" s="143" t="s">
        <v>1220</v>
      </c>
      <c r="C452" s="143" t="s">
        <v>1349</v>
      </c>
      <c r="D452" s="143" t="s">
        <v>1350</v>
      </c>
      <c r="E452" s="143" t="s">
        <v>309</v>
      </c>
      <c r="F452" s="143" t="s">
        <v>1464</v>
      </c>
      <c r="G452" s="143" t="s">
        <v>1465</v>
      </c>
      <c r="H452" s="143" t="s">
        <v>321</v>
      </c>
      <c r="I452" s="143" t="s">
        <v>754</v>
      </c>
      <c r="J452" s="143" t="s">
        <v>204</v>
      </c>
      <c r="K452" s="143" t="s">
        <v>204</v>
      </c>
      <c r="L452" s="143" t="s">
        <v>325</v>
      </c>
      <c r="M452" s="143" t="s">
        <v>340</v>
      </c>
      <c r="N452" s="143" t="s">
        <v>448</v>
      </c>
      <c r="O452" s="143" t="s">
        <v>339</v>
      </c>
      <c r="P452" s="143" t="s">
        <v>1224</v>
      </c>
      <c r="Q452" s="143" t="s">
        <v>413</v>
      </c>
      <c r="R452" s="143" t="s">
        <v>407</v>
      </c>
      <c r="S452" s="143" t="s">
        <v>1210</v>
      </c>
      <c r="T452" s="144">
        <v>3.17</v>
      </c>
      <c r="U452" s="143" t="s">
        <v>1466</v>
      </c>
      <c r="V452" s="146">
        <v>1.2200000000000001E-2</v>
      </c>
      <c r="W452" s="146">
        <v>2.41E-2</v>
      </c>
      <c r="X452" s="143" t="s">
        <v>412</v>
      </c>
      <c r="Y452" s="145" t="s">
        <v>3876</v>
      </c>
      <c r="Z452" s="144">
        <v>61718764</v>
      </c>
      <c r="AA452" s="145" t="s">
        <v>3876</v>
      </c>
      <c r="AB452" s="143" t="s">
        <v>1467</v>
      </c>
      <c r="AC452" s="145" t="s">
        <v>3876</v>
      </c>
      <c r="AD452" s="144">
        <v>68828.765599999999</v>
      </c>
      <c r="AE452" s="145" t="s">
        <v>3876</v>
      </c>
      <c r="AF452" s="145" t="s">
        <v>3876</v>
      </c>
      <c r="AG452" s="145" t="s">
        <v>3876</v>
      </c>
      <c r="AH452" s="146">
        <v>2.0466414114282606E-2</v>
      </c>
      <c r="AI452" s="146">
        <v>2.565396471250082E-2</v>
      </c>
      <c r="AJ452" s="147">
        <v>3.0500826540794551E-3</v>
      </c>
      <c r="AK452" s="181"/>
    </row>
    <row r="453" spans="1:37" ht="15" x14ac:dyDescent="0.2">
      <c r="A453" s="142" t="s">
        <v>1220</v>
      </c>
      <c r="B453" s="143" t="s">
        <v>1220</v>
      </c>
      <c r="C453" s="143" t="s">
        <v>1480</v>
      </c>
      <c r="D453" s="143" t="s">
        <v>1481</v>
      </c>
      <c r="E453" s="143" t="s">
        <v>309</v>
      </c>
      <c r="F453" s="143" t="s">
        <v>1482</v>
      </c>
      <c r="G453" s="143" t="s">
        <v>1483</v>
      </c>
      <c r="H453" s="143" t="s">
        <v>321</v>
      </c>
      <c r="I453" s="143" t="s">
        <v>754</v>
      </c>
      <c r="J453" s="143" t="s">
        <v>204</v>
      </c>
      <c r="K453" s="143" t="s">
        <v>204</v>
      </c>
      <c r="L453" s="143" t="s">
        <v>325</v>
      </c>
      <c r="M453" s="143" t="s">
        <v>340</v>
      </c>
      <c r="N453" s="143" t="s">
        <v>456</v>
      </c>
      <c r="O453" s="143" t="s">
        <v>339</v>
      </c>
      <c r="P453" s="143" t="s">
        <v>1347</v>
      </c>
      <c r="Q453" s="143" t="s">
        <v>413</v>
      </c>
      <c r="R453" s="143" t="s">
        <v>407</v>
      </c>
      <c r="S453" s="143" t="s">
        <v>1210</v>
      </c>
      <c r="T453" s="144">
        <v>5.43</v>
      </c>
      <c r="U453" s="143" t="s">
        <v>1484</v>
      </c>
      <c r="V453" s="146">
        <v>5.1499999999999997E-2</v>
      </c>
      <c r="W453" s="146">
        <v>3.8883000000000001E-2</v>
      </c>
      <c r="X453" s="143" t="s">
        <v>412</v>
      </c>
      <c r="Y453" s="145" t="s">
        <v>3876</v>
      </c>
      <c r="Z453" s="144">
        <v>39981256.259999998</v>
      </c>
      <c r="AA453" s="145" t="s">
        <v>3876</v>
      </c>
      <c r="AB453" s="143" t="s">
        <v>1485</v>
      </c>
      <c r="AC453" s="145" t="s">
        <v>3876</v>
      </c>
      <c r="AD453" s="144">
        <v>58824.422299999998</v>
      </c>
      <c r="AE453" s="145" t="s">
        <v>3876</v>
      </c>
      <c r="AF453" s="145" t="s">
        <v>3876</v>
      </c>
      <c r="AG453" s="145" t="s">
        <v>3876</v>
      </c>
      <c r="AH453" s="146">
        <v>1.3767712855195185E-2</v>
      </c>
      <c r="AI453" s="146">
        <v>2.1925130305451308E-2</v>
      </c>
      <c r="AJ453" s="147">
        <v>2.6067494978856934E-3</v>
      </c>
      <c r="AK453" s="181"/>
    </row>
    <row r="454" spans="1:37" ht="15" x14ac:dyDescent="0.2">
      <c r="A454" s="142" t="s">
        <v>1220</v>
      </c>
      <c r="B454" s="143" t="s">
        <v>1220</v>
      </c>
      <c r="C454" s="143" t="s">
        <v>1468</v>
      </c>
      <c r="D454" s="143" t="s">
        <v>1469</v>
      </c>
      <c r="E454" s="143" t="s">
        <v>309</v>
      </c>
      <c r="F454" s="143" t="s">
        <v>1470</v>
      </c>
      <c r="G454" s="143" t="s">
        <v>1471</v>
      </c>
      <c r="H454" s="143" t="s">
        <v>321</v>
      </c>
      <c r="I454" s="143" t="s">
        <v>754</v>
      </c>
      <c r="J454" s="143" t="s">
        <v>204</v>
      </c>
      <c r="K454" s="143" t="s">
        <v>204</v>
      </c>
      <c r="L454" s="143" t="s">
        <v>325</v>
      </c>
      <c r="M454" s="143" t="s">
        <v>340</v>
      </c>
      <c r="N454" s="143" t="s">
        <v>448</v>
      </c>
      <c r="O454" s="143" t="s">
        <v>339</v>
      </c>
      <c r="P454" s="143" t="s">
        <v>1224</v>
      </c>
      <c r="Q454" s="143" t="s">
        <v>413</v>
      </c>
      <c r="R454" s="143" t="s">
        <v>407</v>
      </c>
      <c r="S454" s="143" t="s">
        <v>1210</v>
      </c>
      <c r="T454" s="144">
        <v>5.39</v>
      </c>
      <c r="U454" s="143" t="s">
        <v>1472</v>
      </c>
      <c r="V454" s="146">
        <v>1E-3</v>
      </c>
      <c r="W454" s="146">
        <v>2.5815000000000001E-2</v>
      </c>
      <c r="X454" s="143" t="s">
        <v>412</v>
      </c>
      <c r="Y454" s="145" t="s">
        <v>3876</v>
      </c>
      <c r="Z454" s="144">
        <v>59000000</v>
      </c>
      <c r="AA454" s="145" t="s">
        <v>3876</v>
      </c>
      <c r="AB454" s="143" t="s">
        <v>1473</v>
      </c>
      <c r="AC454" s="145" t="s">
        <v>3876</v>
      </c>
      <c r="AD454" s="144">
        <v>57306.7</v>
      </c>
      <c r="AE454" s="145" t="s">
        <v>3876</v>
      </c>
      <c r="AF454" s="145" t="s">
        <v>3876</v>
      </c>
      <c r="AG454" s="145" t="s">
        <v>3876</v>
      </c>
      <c r="AH454" s="146">
        <v>2.3724973671310996E-2</v>
      </c>
      <c r="AI454" s="146">
        <v>2.1359442472937067E-2</v>
      </c>
      <c r="AJ454" s="147">
        <v>2.5394930459137796E-3</v>
      </c>
      <c r="AK454" s="181"/>
    </row>
    <row r="455" spans="1:37" ht="15" x14ac:dyDescent="0.2">
      <c r="A455" s="142" t="s">
        <v>1220</v>
      </c>
      <c r="B455" s="143" t="s">
        <v>1220</v>
      </c>
      <c r="C455" s="143" t="s">
        <v>1343</v>
      </c>
      <c r="D455" s="143" t="s">
        <v>1344</v>
      </c>
      <c r="E455" s="143" t="s">
        <v>309</v>
      </c>
      <c r="F455" s="143" t="s">
        <v>1490</v>
      </c>
      <c r="G455" s="143" t="s">
        <v>1491</v>
      </c>
      <c r="H455" s="143" t="s">
        <v>321</v>
      </c>
      <c r="I455" s="143" t="s">
        <v>754</v>
      </c>
      <c r="J455" s="143" t="s">
        <v>204</v>
      </c>
      <c r="K455" s="143" t="s">
        <v>204</v>
      </c>
      <c r="L455" s="143" t="s">
        <v>325</v>
      </c>
      <c r="M455" s="143" t="s">
        <v>340</v>
      </c>
      <c r="N455" s="143" t="s">
        <v>445</v>
      </c>
      <c r="O455" s="143" t="s">
        <v>339</v>
      </c>
      <c r="P455" s="143" t="s">
        <v>1347</v>
      </c>
      <c r="Q455" s="143" t="s">
        <v>413</v>
      </c>
      <c r="R455" s="143" t="s">
        <v>407</v>
      </c>
      <c r="S455" s="143" t="s">
        <v>1210</v>
      </c>
      <c r="T455" s="144">
        <v>6.93</v>
      </c>
      <c r="U455" s="143" t="s">
        <v>1492</v>
      </c>
      <c r="V455" s="146">
        <v>2.5000000000000001E-2</v>
      </c>
      <c r="W455" s="146">
        <v>6.1810999999999998E-2</v>
      </c>
      <c r="X455" s="143" t="s">
        <v>412</v>
      </c>
      <c r="Y455" s="145" t="s">
        <v>3876</v>
      </c>
      <c r="Z455" s="144">
        <v>70186560</v>
      </c>
      <c r="AA455" s="145" t="s">
        <v>3876</v>
      </c>
      <c r="AB455" s="143" t="s">
        <v>1493</v>
      </c>
      <c r="AC455" s="145" t="s">
        <v>3876</v>
      </c>
      <c r="AD455" s="144">
        <v>55243.841399999998</v>
      </c>
      <c r="AE455" s="145" t="s">
        <v>3876</v>
      </c>
      <c r="AF455" s="145" t="s">
        <v>3876</v>
      </c>
      <c r="AG455" s="145" t="s">
        <v>3876</v>
      </c>
      <c r="AH455" s="146">
        <v>5.2627528006490426E-2</v>
      </c>
      <c r="AI455" s="146">
        <v>2.0590570593922396E-2</v>
      </c>
      <c r="AJ455" s="147">
        <v>2.4480793869463072E-3</v>
      </c>
      <c r="AK455" s="181"/>
    </row>
    <row r="456" spans="1:37" ht="15" x14ac:dyDescent="0.2">
      <c r="A456" s="142" t="s">
        <v>1220</v>
      </c>
      <c r="B456" s="143" t="s">
        <v>1220</v>
      </c>
      <c r="C456" s="143" t="s">
        <v>1474</v>
      </c>
      <c r="D456" s="143" t="s">
        <v>1475</v>
      </c>
      <c r="E456" s="143" t="s">
        <v>309</v>
      </c>
      <c r="F456" s="143" t="s">
        <v>1476</v>
      </c>
      <c r="G456" s="143" t="s">
        <v>1477</v>
      </c>
      <c r="H456" s="143" t="s">
        <v>321</v>
      </c>
      <c r="I456" s="143" t="s">
        <v>754</v>
      </c>
      <c r="J456" s="143" t="s">
        <v>204</v>
      </c>
      <c r="K456" s="143" t="s">
        <v>204</v>
      </c>
      <c r="L456" s="143" t="s">
        <v>325</v>
      </c>
      <c r="M456" s="143" t="s">
        <v>340</v>
      </c>
      <c r="N456" s="143" t="s">
        <v>448</v>
      </c>
      <c r="O456" s="143" t="s">
        <v>339</v>
      </c>
      <c r="P456" s="143" t="s">
        <v>1224</v>
      </c>
      <c r="Q456" s="143" t="s">
        <v>413</v>
      </c>
      <c r="R456" s="143" t="s">
        <v>407</v>
      </c>
      <c r="S456" s="143" t="s">
        <v>1210</v>
      </c>
      <c r="T456" s="144">
        <v>3.26</v>
      </c>
      <c r="U456" s="143" t="s">
        <v>1478</v>
      </c>
      <c r="V456" s="146">
        <v>1.7500000000000002E-2</v>
      </c>
      <c r="W456" s="146">
        <v>2.4340000000000001E-2</v>
      </c>
      <c r="X456" s="143" t="s">
        <v>412</v>
      </c>
      <c r="Y456" s="145" t="s">
        <v>3876</v>
      </c>
      <c r="Z456" s="144">
        <v>40388466.280000001</v>
      </c>
      <c r="AA456" s="145" t="s">
        <v>3876</v>
      </c>
      <c r="AB456" s="143" t="s">
        <v>1479</v>
      </c>
      <c r="AC456" s="145" t="s">
        <v>3876</v>
      </c>
      <c r="AD456" s="144">
        <v>45037.178700000004</v>
      </c>
      <c r="AE456" s="145" t="s">
        <v>3876</v>
      </c>
      <c r="AF456" s="145" t="s">
        <v>3876</v>
      </c>
      <c r="AG456" s="145" t="s">
        <v>3876</v>
      </c>
      <c r="AH456" s="146">
        <v>1.5531696574143694E-2</v>
      </c>
      <c r="AI456" s="146">
        <v>1.6786327403758645E-2</v>
      </c>
      <c r="AJ456" s="147">
        <v>1.9957806371719987E-3</v>
      </c>
      <c r="AK456" s="181"/>
    </row>
    <row r="457" spans="1:37" ht="15" x14ac:dyDescent="0.2">
      <c r="A457" s="142" t="s">
        <v>1220</v>
      </c>
      <c r="B457" s="143" t="s">
        <v>1220</v>
      </c>
      <c r="C457" s="143" t="s">
        <v>1498</v>
      </c>
      <c r="D457" s="143" t="s">
        <v>1499</v>
      </c>
      <c r="E457" s="143" t="s">
        <v>313</v>
      </c>
      <c r="F457" s="143" t="s">
        <v>1559</v>
      </c>
      <c r="G457" s="143" t="s">
        <v>1560</v>
      </c>
      <c r="H457" s="143" t="s">
        <v>321</v>
      </c>
      <c r="I457" s="143" t="s">
        <v>754</v>
      </c>
      <c r="J457" s="143" t="s">
        <v>204</v>
      </c>
      <c r="K457" s="143" t="s">
        <v>204</v>
      </c>
      <c r="L457" s="143" t="s">
        <v>325</v>
      </c>
      <c r="M457" s="143" t="s">
        <v>340</v>
      </c>
      <c r="N457" s="143" t="s">
        <v>440</v>
      </c>
      <c r="O457" s="143" t="s">
        <v>339</v>
      </c>
      <c r="P457" s="143" t="s">
        <v>1502</v>
      </c>
      <c r="Q457" s="143" t="s">
        <v>415</v>
      </c>
      <c r="R457" s="143" t="s">
        <v>407</v>
      </c>
      <c r="S457" s="143" t="s">
        <v>1210</v>
      </c>
      <c r="T457" s="144">
        <v>1.1299999999999999</v>
      </c>
      <c r="U457" s="143" t="s">
        <v>1561</v>
      </c>
      <c r="V457" s="146">
        <v>4.4999999999999998E-2</v>
      </c>
      <c r="W457" s="146">
        <v>2.6681E-2</v>
      </c>
      <c r="X457" s="143" t="s">
        <v>412</v>
      </c>
      <c r="Y457" s="145" t="s">
        <v>3876</v>
      </c>
      <c r="Z457" s="144">
        <v>36313972</v>
      </c>
      <c r="AA457" s="145" t="s">
        <v>3876</v>
      </c>
      <c r="AB457" s="143" t="s">
        <v>1562</v>
      </c>
      <c r="AC457" s="145" t="s">
        <v>3876</v>
      </c>
      <c r="AD457" s="144">
        <v>43318.9372</v>
      </c>
      <c r="AE457" s="145" t="s">
        <v>3876</v>
      </c>
      <c r="AF457" s="145" t="s">
        <v>3876</v>
      </c>
      <c r="AG457" s="145" t="s">
        <v>3876</v>
      </c>
      <c r="AH457" s="146">
        <v>1.2286479891310617E-2</v>
      </c>
      <c r="AI457" s="146">
        <v>1.6145901737258335E-2</v>
      </c>
      <c r="AJ457" s="147">
        <v>1.9196383629266447E-3</v>
      </c>
      <c r="AK457" s="181"/>
    </row>
    <row r="458" spans="1:37" ht="15" x14ac:dyDescent="0.2">
      <c r="A458" s="142" t="s">
        <v>1220</v>
      </c>
      <c r="B458" s="143" t="s">
        <v>1220</v>
      </c>
      <c r="C458" s="143" t="s">
        <v>1894</v>
      </c>
      <c r="D458" s="143" t="s">
        <v>1895</v>
      </c>
      <c r="E458" s="143" t="s">
        <v>309</v>
      </c>
      <c r="F458" s="143" t="s">
        <v>1896</v>
      </c>
      <c r="G458" s="143" t="s">
        <v>1897</v>
      </c>
      <c r="H458" s="143" t="s">
        <v>321</v>
      </c>
      <c r="I458" s="143" t="s">
        <v>754</v>
      </c>
      <c r="J458" s="143" t="s">
        <v>204</v>
      </c>
      <c r="K458" s="143" t="s">
        <v>204</v>
      </c>
      <c r="L458" s="143" t="s">
        <v>325</v>
      </c>
      <c r="M458" s="143" t="s">
        <v>340</v>
      </c>
      <c r="N458" s="143" t="s">
        <v>448</v>
      </c>
      <c r="O458" s="143" t="s">
        <v>339</v>
      </c>
      <c r="P458" s="143" t="s">
        <v>1224</v>
      </c>
      <c r="Q458" s="143" t="s">
        <v>413</v>
      </c>
      <c r="R458" s="143" t="s">
        <v>407</v>
      </c>
      <c r="S458" s="143" t="s">
        <v>1210</v>
      </c>
      <c r="T458" s="144">
        <v>5.3</v>
      </c>
      <c r="U458" s="143" t="s">
        <v>1898</v>
      </c>
      <c r="V458" s="146">
        <v>2.1100000000000001E-2</v>
      </c>
      <c r="W458" s="146">
        <v>2.606E-2</v>
      </c>
      <c r="X458" s="143" t="s">
        <v>412</v>
      </c>
      <c r="Y458" s="145" t="s">
        <v>3876</v>
      </c>
      <c r="Z458" s="144">
        <v>42600000</v>
      </c>
      <c r="AA458" s="145" t="s">
        <v>3876</v>
      </c>
      <c r="AB458" s="143" t="s">
        <v>1899</v>
      </c>
      <c r="AC458" s="145" t="s">
        <v>3876</v>
      </c>
      <c r="AD458" s="144">
        <v>42744.84</v>
      </c>
      <c r="AE458" s="145" t="s">
        <v>3876</v>
      </c>
      <c r="AF458" s="145" t="s">
        <v>3876</v>
      </c>
      <c r="AG458" s="145" t="s">
        <v>3876</v>
      </c>
      <c r="AH458" s="146">
        <v>2.7261662039863462E-2</v>
      </c>
      <c r="AI458" s="146">
        <v>1.5931923335227804E-2</v>
      </c>
      <c r="AJ458" s="147">
        <v>1.8941977801670165E-3</v>
      </c>
      <c r="AK458" s="181"/>
    </row>
    <row r="459" spans="1:37" ht="15" x14ac:dyDescent="0.2">
      <c r="A459" s="142" t="s">
        <v>1220</v>
      </c>
      <c r="B459" s="143" t="s">
        <v>1220</v>
      </c>
      <c r="C459" s="143" t="s">
        <v>1498</v>
      </c>
      <c r="D459" s="143" t="s">
        <v>1499</v>
      </c>
      <c r="E459" s="143" t="s">
        <v>313</v>
      </c>
      <c r="F459" s="143" t="s">
        <v>1505</v>
      </c>
      <c r="G459" s="143" t="s">
        <v>1506</v>
      </c>
      <c r="H459" s="143" t="s">
        <v>321</v>
      </c>
      <c r="I459" s="143" t="s">
        <v>754</v>
      </c>
      <c r="J459" s="143" t="s">
        <v>204</v>
      </c>
      <c r="K459" s="143" t="s">
        <v>204</v>
      </c>
      <c r="L459" s="143" t="s">
        <v>325</v>
      </c>
      <c r="M459" s="143" t="s">
        <v>340</v>
      </c>
      <c r="N459" s="143" t="s">
        <v>440</v>
      </c>
      <c r="O459" s="143" t="s">
        <v>339</v>
      </c>
      <c r="P459" s="143" t="s">
        <v>1502</v>
      </c>
      <c r="Q459" s="143" t="s">
        <v>415</v>
      </c>
      <c r="R459" s="143" t="s">
        <v>407</v>
      </c>
      <c r="S459" s="143" t="s">
        <v>1210</v>
      </c>
      <c r="T459" s="144">
        <v>5.97</v>
      </c>
      <c r="U459" s="143" t="s">
        <v>1507</v>
      </c>
      <c r="V459" s="146">
        <v>2.3900000000000001E-2</v>
      </c>
      <c r="W459" s="146">
        <v>3.0173999999999999E-2</v>
      </c>
      <c r="X459" s="143" t="s">
        <v>412</v>
      </c>
      <c r="Y459" s="145" t="s">
        <v>3876</v>
      </c>
      <c r="Z459" s="144">
        <v>38000000</v>
      </c>
      <c r="AA459" s="145" t="s">
        <v>3876</v>
      </c>
      <c r="AB459" s="143" t="s">
        <v>1508</v>
      </c>
      <c r="AC459" s="145" t="s">
        <v>3876</v>
      </c>
      <c r="AD459" s="144">
        <v>41781</v>
      </c>
      <c r="AE459" s="145" t="s">
        <v>3876</v>
      </c>
      <c r="AF459" s="145" t="s">
        <v>3876</v>
      </c>
      <c r="AG459" s="145" t="s">
        <v>3876</v>
      </c>
      <c r="AH459" s="146">
        <v>9.7707775584781036E-3</v>
      </c>
      <c r="AI459" s="146">
        <v>1.5572679389352095E-2</v>
      </c>
      <c r="AJ459" s="147">
        <v>1.8514861081047004E-3</v>
      </c>
      <c r="AK459" s="181"/>
    </row>
    <row r="460" spans="1:37" ht="15" x14ac:dyDescent="0.2">
      <c r="A460" s="142" t="s">
        <v>1220</v>
      </c>
      <c r="B460" s="143" t="s">
        <v>1220</v>
      </c>
      <c r="C460" s="143" t="s">
        <v>1468</v>
      </c>
      <c r="D460" s="143" t="s">
        <v>1469</v>
      </c>
      <c r="E460" s="143" t="s">
        <v>309</v>
      </c>
      <c r="F460" s="143" t="s">
        <v>1494</v>
      </c>
      <c r="G460" s="143" t="s">
        <v>1495</v>
      </c>
      <c r="H460" s="143" t="s">
        <v>321</v>
      </c>
      <c r="I460" s="143" t="s">
        <v>754</v>
      </c>
      <c r="J460" s="143" t="s">
        <v>204</v>
      </c>
      <c r="K460" s="143" t="s">
        <v>204</v>
      </c>
      <c r="L460" s="143" t="s">
        <v>325</v>
      </c>
      <c r="M460" s="143" t="s">
        <v>340</v>
      </c>
      <c r="N460" s="143" t="s">
        <v>448</v>
      </c>
      <c r="O460" s="143" t="s">
        <v>339</v>
      </c>
      <c r="P460" s="143" t="s">
        <v>1224</v>
      </c>
      <c r="Q460" s="143" t="s">
        <v>413</v>
      </c>
      <c r="R460" s="143" t="s">
        <v>407</v>
      </c>
      <c r="S460" s="143" t="s">
        <v>1210</v>
      </c>
      <c r="T460" s="144">
        <v>5.29</v>
      </c>
      <c r="U460" s="143" t="s">
        <v>1496</v>
      </c>
      <c r="V460" s="146">
        <v>2.0251999999999999E-2</v>
      </c>
      <c r="W460" s="146">
        <v>2.5944999999999999E-2</v>
      </c>
      <c r="X460" s="143" t="s">
        <v>412</v>
      </c>
      <c r="Y460" s="145" t="s">
        <v>3876</v>
      </c>
      <c r="Z460" s="144">
        <v>42000000</v>
      </c>
      <c r="AA460" s="145" t="s">
        <v>3876</v>
      </c>
      <c r="AB460" s="143" t="s">
        <v>1497</v>
      </c>
      <c r="AC460" s="145" t="s">
        <v>3876</v>
      </c>
      <c r="AD460" s="144">
        <v>41634.6</v>
      </c>
      <c r="AE460" s="145" t="s">
        <v>3876</v>
      </c>
      <c r="AF460" s="145" t="s">
        <v>3876</v>
      </c>
      <c r="AG460" s="145" t="s">
        <v>3876</v>
      </c>
      <c r="AH460" s="146">
        <v>1.9785916384717359E-2</v>
      </c>
      <c r="AI460" s="146">
        <v>1.5518112953350056E-2</v>
      </c>
      <c r="AJ460" s="147">
        <v>1.8449985284338805E-3</v>
      </c>
      <c r="AK460" s="181"/>
    </row>
    <row r="461" spans="1:37" ht="15" x14ac:dyDescent="0.2">
      <c r="A461" s="142" t="s">
        <v>1220</v>
      </c>
      <c r="B461" s="143" t="s">
        <v>1220</v>
      </c>
      <c r="C461" s="143" t="s">
        <v>1498</v>
      </c>
      <c r="D461" s="143" t="s">
        <v>1499</v>
      </c>
      <c r="E461" s="143" t="s">
        <v>313</v>
      </c>
      <c r="F461" s="143" t="s">
        <v>1500</v>
      </c>
      <c r="G461" s="143" t="s">
        <v>1501</v>
      </c>
      <c r="H461" s="143" t="s">
        <v>321</v>
      </c>
      <c r="I461" s="143" t="s">
        <v>754</v>
      </c>
      <c r="J461" s="143" t="s">
        <v>204</v>
      </c>
      <c r="K461" s="143" t="s">
        <v>204</v>
      </c>
      <c r="L461" s="143" t="s">
        <v>325</v>
      </c>
      <c r="M461" s="143" t="s">
        <v>340</v>
      </c>
      <c r="N461" s="143" t="s">
        <v>440</v>
      </c>
      <c r="O461" s="143" t="s">
        <v>339</v>
      </c>
      <c r="P461" s="143" t="s">
        <v>1502</v>
      </c>
      <c r="Q461" s="143" t="s">
        <v>415</v>
      </c>
      <c r="R461" s="143" t="s">
        <v>407</v>
      </c>
      <c r="S461" s="143" t="s">
        <v>1210</v>
      </c>
      <c r="T461" s="144">
        <v>10.64</v>
      </c>
      <c r="U461" s="143" t="s">
        <v>1503</v>
      </c>
      <c r="V461" s="146">
        <v>3.2000000000000001E-2</v>
      </c>
      <c r="W461" s="146">
        <v>3.5250999999999998E-2</v>
      </c>
      <c r="X461" s="143" t="s">
        <v>412</v>
      </c>
      <c r="Y461" s="145" t="s">
        <v>3876</v>
      </c>
      <c r="Z461" s="144">
        <v>40595761</v>
      </c>
      <c r="AA461" s="145" t="s">
        <v>3876</v>
      </c>
      <c r="AB461" s="143" t="s">
        <v>1504</v>
      </c>
      <c r="AC461" s="145" t="s">
        <v>3876</v>
      </c>
      <c r="AD461" s="144">
        <v>40595.760999999999</v>
      </c>
      <c r="AE461" s="145" t="s">
        <v>3876</v>
      </c>
      <c r="AF461" s="145" t="s">
        <v>3876</v>
      </c>
      <c r="AG461" s="145" t="s">
        <v>3876</v>
      </c>
      <c r="AH461" s="146">
        <v>1.3006567720992165E-2</v>
      </c>
      <c r="AI461" s="146">
        <v>1.5130915263391579E-2</v>
      </c>
      <c r="AJ461" s="147">
        <v>1.7989633455264015E-3</v>
      </c>
      <c r="AK461" s="181"/>
    </row>
    <row r="462" spans="1:37" ht="15" x14ac:dyDescent="0.2">
      <c r="A462" s="142" t="s">
        <v>1220</v>
      </c>
      <c r="B462" s="143" t="s">
        <v>1220</v>
      </c>
      <c r="C462" s="143" t="s">
        <v>1498</v>
      </c>
      <c r="D462" s="143" t="s">
        <v>1499</v>
      </c>
      <c r="E462" s="143" t="s">
        <v>313</v>
      </c>
      <c r="F462" s="143" t="s">
        <v>1515</v>
      </c>
      <c r="G462" s="143" t="s">
        <v>1516</v>
      </c>
      <c r="H462" s="143" t="s">
        <v>321</v>
      </c>
      <c r="I462" s="143" t="s">
        <v>754</v>
      </c>
      <c r="J462" s="143" t="s">
        <v>204</v>
      </c>
      <c r="K462" s="143" t="s">
        <v>204</v>
      </c>
      <c r="L462" s="143" t="s">
        <v>325</v>
      </c>
      <c r="M462" s="143" t="s">
        <v>340</v>
      </c>
      <c r="N462" s="143" t="s">
        <v>440</v>
      </c>
      <c r="O462" s="143" t="s">
        <v>339</v>
      </c>
      <c r="P462" s="143" t="s">
        <v>1502</v>
      </c>
      <c r="Q462" s="143" t="s">
        <v>415</v>
      </c>
      <c r="R462" s="143" t="s">
        <v>407</v>
      </c>
      <c r="S462" s="143" t="s">
        <v>1210</v>
      </c>
      <c r="T462" s="144">
        <v>7.89</v>
      </c>
      <c r="U462" s="143" t="s">
        <v>1517</v>
      </c>
      <c r="V462" s="146">
        <v>0.03</v>
      </c>
      <c r="W462" s="146">
        <v>3.3659000000000001E-2</v>
      </c>
      <c r="X462" s="143" t="s">
        <v>412</v>
      </c>
      <c r="Y462" s="145" t="s">
        <v>3876</v>
      </c>
      <c r="Z462" s="144">
        <v>39520000</v>
      </c>
      <c r="AA462" s="145" t="s">
        <v>3876</v>
      </c>
      <c r="AB462" s="143" t="s">
        <v>1518</v>
      </c>
      <c r="AC462" s="145" t="s">
        <v>3876</v>
      </c>
      <c r="AD462" s="144">
        <v>39701.792000000001</v>
      </c>
      <c r="AE462" s="145" t="s">
        <v>3876</v>
      </c>
      <c r="AF462" s="145" t="s">
        <v>3876</v>
      </c>
      <c r="AG462" s="145" t="s">
        <v>3876</v>
      </c>
      <c r="AH462" s="146">
        <v>1.5461150729005776E-2</v>
      </c>
      <c r="AI462" s="146">
        <v>1.4797713745452331E-2</v>
      </c>
      <c r="AJ462" s="147">
        <v>1.7593479417644942E-3</v>
      </c>
      <c r="AK462" s="181"/>
    </row>
    <row r="463" spans="1:37" ht="15" x14ac:dyDescent="0.2">
      <c r="A463" s="142" t="s">
        <v>1220</v>
      </c>
      <c r="B463" s="143" t="s">
        <v>1220</v>
      </c>
      <c r="C463" s="143" t="s">
        <v>1349</v>
      </c>
      <c r="D463" s="143" t="s">
        <v>1350</v>
      </c>
      <c r="E463" s="143" t="s">
        <v>309</v>
      </c>
      <c r="F463" s="143" t="s">
        <v>1456</v>
      </c>
      <c r="G463" s="143" t="s">
        <v>1457</v>
      </c>
      <c r="H463" s="143" t="s">
        <v>321</v>
      </c>
      <c r="I463" s="143" t="s">
        <v>754</v>
      </c>
      <c r="J463" s="143" t="s">
        <v>204</v>
      </c>
      <c r="K463" s="143" t="s">
        <v>204</v>
      </c>
      <c r="L463" s="143" t="s">
        <v>325</v>
      </c>
      <c r="M463" s="143" t="s">
        <v>340</v>
      </c>
      <c r="N463" s="143" t="s">
        <v>448</v>
      </c>
      <c r="O463" s="143" t="s">
        <v>339</v>
      </c>
      <c r="P463" s="143" t="s">
        <v>1224</v>
      </c>
      <c r="Q463" s="143" t="s">
        <v>413</v>
      </c>
      <c r="R463" s="143" t="s">
        <v>407</v>
      </c>
      <c r="S463" s="143" t="s">
        <v>1210</v>
      </c>
      <c r="T463" s="144">
        <v>1.97</v>
      </c>
      <c r="U463" s="143" t="s">
        <v>1458</v>
      </c>
      <c r="V463" s="146">
        <v>3.8E-3</v>
      </c>
      <c r="W463" s="146">
        <v>2.2020999999999999E-2</v>
      </c>
      <c r="X463" s="143" t="s">
        <v>412</v>
      </c>
      <c r="Y463" s="145" t="s">
        <v>3876</v>
      </c>
      <c r="Z463" s="144">
        <v>34930759</v>
      </c>
      <c r="AA463" s="145" t="s">
        <v>3876</v>
      </c>
      <c r="AB463" s="143" t="s">
        <v>1459</v>
      </c>
      <c r="AC463" s="145" t="s">
        <v>3876</v>
      </c>
      <c r="AD463" s="144">
        <v>37714.7405</v>
      </c>
      <c r="AE463" s="145" t="s">
        <v>3876</v>
      </c>
      <c r="AF463" s="145" t="s">
        <v>3876</v>
      </c>
      <c r="AG463" s="145" t="s">
        <v>3876</v>
      </c>
      <c r="AH463" s="146">
        <v>1.1643586333333334E-2</v>
      </c>
      <c r="AI463" s="146">
        <v>1.4057096812886314E-2</v>
      </c>
      <c r="AJ463" s="147">
        <v>1.6712936045634925E-3</v>
      </c>
      <c r="AK463" s="181"/>
    </row>
    <row r="464" spans="1:37" ht="15" x14ac:dyDescent="0.2">
      <c r="A464" s="142" t="s">
        <v>1220</v>
      </c>
      <c r="B464" s="143" t="s">
        <v>1220</v>
      </c>
      <c r="C464" s="143" t="s">
        <v>1717</v>
      </c>
      <c r="D464" s="143" t="s">
        <v>1718</v>
      </c>
      <c r="E464" s="143" t="s">
        <v>309</v>
      </c>
      <c r="F464" s="143" t="s">
        <v>1719</v>
      </c>
      <c r="G464" s="143" t="s">
        <v>1720</v>
      </c>
      <c r="H464" s="143" t="s">
        <v>321</v>
      </c>
      <c r="I464" s="143" t="s">
        <v>754</v>
      </c>
      <c r="J464" s="143" t="s">
        <v>204</v>
      </c>
      <c r="K464" s="143" t="s">
        <v>204</v>
      </c>
      <c r="L464" s="143" t="s">
        <v>325</v>
      </c>
      <c r="M464" s="143" t="s">
        <v>340</v>
      </c>
      <c r="N464" s="143" t="s">
        <v>464</v>
      </c>
      <c r="O464" s="143" t="s">
        <v>339</v>
      </c>
      <c r="P464" s="143" t="s">
        <v>1721</v>
      </c>
      <c r="Q464" s="143" t="s">
        <v>413</v>
      </c>
      <c r="R464" s="143" t="s">
        <v>407</v>
      </c>
      <c r="S464" s="143" t="s">
        <v>1210</v>
      </c>
      <c r="T464" s="144">
        <v>10.57</v>
      </c>
      <c r="U464" s="143" t="s">
        <v>1722</v>
      </c>
      <c r="V464" s="146">
        <v>1.6899999999999998E-2</v>
      </c>
      <c r="W464" s="146">
        <v>3.8008E-2</v>
      </c>
      <c r="X464" s="143" t="s">
        <v>412</v>
      </c>
      <c r="Y464" s="145" t="s">
        <v>3876</v>
      </c>
      <c r="Z464" s="144">
        <v>41521814</v>
      </c>
      <c r="AA464" s="145" t="s">
        <v>3876</v>
      </c>
      <c r="AB464" s="143" t="s">
        <v>1723</v>
      </c>
      <c r="AC464" s="144">
        <v>392.44650000000001</v>
      </c>
      <c r="AD464" s="144">
        <v>37679.035499999998</v>
      </c>
      <c r="AE464" s="145" t="s">
        <v>3876</v>
      </c>
      <c r="AF464" s="145" t="s">
        <v>3876</v>
      </c>
      <c r="AG464" s="145" t="s">
        <v>3876</v>
      </c>
      <c r="AH464" s="146">
        <v>9.5168908264114272E-3</v>
      </c>
      <c r="AI464" s="146">
        <v>1.4190062082603781E-2</v>
      </c>
      <c r="AJ464" s="147">
        <v>1.6871022745802023E-3</v>
      </c>
      <c r="AK464" s="181"/>
    </row>
    <row r="465" spans="1:37" ht="15" x14ac:dyDescent="0.2">
      <c r="A465" s="142" t="s">
        <v>1220</v>
      </c>
      <c r="B465" s="143" t="s">
        <v>1220</v>
      </c>
      <c r="C465" s="143" t="s">
        <v>1509</v>
      </c>
      <c r="D465" s="143" t="s">
        <v>1510</v>
      </c>
      <c r="E465" s="143" t="s">
        <v>309</v>
      </c>
      <c r="F465" s="143" t="s">
        <v>1900</v>
      </c>
      <c r="G465" s="143" t="s">
        <v>1901</v>
      </c>
      <c r="H465" s="143" t="s">
        <v>321</v>
      </c>
      <c r="I465" s="143" t="s">
        <v>754</v>
      </c>
      <c r="J465" s="143" t="s">
        <v>204</v>
      </c>
      <c r="K465" s="143" t="s">
        <v>204</v>
      </c>
      <c r="L465" s="143" t="s">
        <v>325</v>
      </c>
      <c r="M465" s="143" t="s">
        <v>340</v>
      </c>
      <c r="N465" s="143" t="s">
        <v>448</v>
      </c>
      <c r="O465" s="143" t="s">
        <v>339</v>
      </c>
      <c r="P465" s="143" t="s">
        <v>1347</v>
      </c>
      <c r="Q465" s="143" t="s">
        <v>413</v>
      </c>
      <c r="R465" s="143" t="s">
        <v>407</v>
      </c>
      <c r="S465" s="143" t="s">
        <v>1210</v>
      </c>
      <c r="T465" s="144">
        <v>2.46</v>
      </c>
      <c r="U465" s="143" t="s">
        <v>1542</v>
      </c>
      <c r="V465" s="146">
        <v>2E-3</v>
      </c>
      <c r="W465" s="146">
        <v>2.4365999999999999E-2</v>
      </c>
      <c r="X465" s="143" t="s">
        <v>412</v>
      </c>
      <c r="Y465" s="145" t="s">
        <v>3876</v>
      </c>
      <c r="Z465" s="144">
        <v>34630000</v>
      </c>
      <c r="AA465" s="145" t="s">
        <v>3876</v>
      </c>
      <c r="AB465" s="143" t="s">
        <v>1902</v>
      </c>
      <c r="AC465" s="145" t="s">
        <v>3876</v>
      </c>
      <c r="AD465" s="144">
        <v>37261.879999999997</v>
      </c>
      <c r="AE465" s="145" t="s">
        <v>3876</v>
      </c>
      <c r="AF465" s="145" t="s">
        <v>3876</v>
      </c>
      <c r="AG465" s="145" t="s">
        <v>3876</v>
      </c>
      <c r="AH465" s="146">
        <v>4.1098686693424924E-2</v>
      </c>
      <c r="AI465" s="146">
        <v>1.3888305944915417E-2</v>
      </c>
      <c r="AJ465" s="147">
        <v>1.6512255135555484E-3</v>
      </c>
      <c r="AK465" s="181"/>
    </row>
    <row r="466" spans="1:37" ht="15" x14ac:dyDescent="0.2">
      <c r="A466" s="142" t="s">
        <v>1220</v>
      </c>
      <c r="B466" s="143" t="s">
        <v>1220</v>
      </c>
      <c r="C466" s="143" t="s">
        <v>1438</v>
      </c>
      <c r="D466" s="143" t="s">
        <v>1439</v>
      </c>
      <c r="E466" s="143" t="s">
        <v>309</v>
      </c>
      <c r="F466" s="143" t="s">
        <v>1528</v>
      </c>
      <c r="G466" s="143" t="s">
        <v>1529</v>
      </c>
      <c r="H466" s="143" t="s">
        <v>321</v>
      </c>
      <c r="I466" s="143" t="s">
        <v>754</v>
      </c>
      <c r="J466" s="143" t="s">
        <v>204</v>
      </c>
      <c r="K466" s="143" t="s">
        <v>204</v>
      </c>
      <c r="L466" s="143" t="s">
        <v>325</v>
      </c>
      <c r="M466" s="143" t="s">
        <v>340</v>
      </c>
      <c r="N466" s="143" t="s">
        <v>464</v>
      </c>
      <c r="O466" s="143" t="s">
        <v>339</v>
      </c>
      <c r="P466" s="143" t="s">
        <v>1366</v>
      </c>
      <c r="Q466" s="143" t="s">
        <v>415</v>
      </c>
      <c r="R466" s="143" t="s">
        <v>407</v>
      </c>
      <c r="S466" s="143" t="s">
        <v>1210</v>
      </c>
      <c r="T466" s="144">
        <v>5.37</v>
      </c>
      <c r="U466" s="143" t="s">
        <v>1530</v>
      </c>
      <c r="V466" s="146">
        <v>5.8999999999999999E-3</v>
      </c>
      <c r="W466" s="146">
        <v>3.5757999999999998E-2</v>
      </c>
      <c r="X466" s="143" t="s">
        <v>412</v>
      </c>
      <c r="Y466" s="145" t="s">
        <v>3876</v>
      </c>
      <c r="Z466" s="144">
        <v>38000000</v>
      </c>
      <c r="AA466" s="145" t="s">
        <v>3876</v>
      </c>
      <c r="AB466" s="143" t="s">
        <v>1531</v>
      </c>
      <c r="AC466" s="145" t="s">
        <v>3876</v>
      </c>
      <c r="AD466" s="144">
        <v>35720</v>
      </c>
      <c r="AE466" s="145" t="s">
        <v>3876</v>
      </c>
      <c r="AF466" s="145" t="s">
        <v>3876</v>
      </c>
      <c r="AG466" s="145" t="s">
        <v>3876</v>
      </c>
      <c r="AH466" s="146">
        <v>2.7132759880073201E-2</v>
      </c>
      <c r="AI466" s="146">
        <v>1.3313614030005428E-2</v>
      </c>
      <c r="AJ466" s="147">
        <v>1.582898537170003E-3</v>
      </c>
      <c r="AK466" s="181"/>
    </row>
    <row r="467" spans="1:37" ht="15" x14ac:dyDescent="0.2">
      <c r="A467" s="142" t="s">
        <v>1220</v>
      </c>
      <c r="B467" s="143" t="s">
        <v>1220</v>
      </c>
      <c r="C467" s="143" t="s">
        <v>1474</v>
      </c>
      <c r="D467" s="143" t="s">
        <v>1475</v>
      </c>
      <c r="E467" s="143" t="s">
        <v>309</v>
      </c>
      <c r="F467" s="143" t="s">
        <v>1532</v>
      </c>
      <c r="G467" s="143" t="s">
        <v>1533</v>
      </c>
      <c r="H467" s="143" t="s">
        <v>321</v>
      </c>
      <c r="I467" s="143" t="s">
        <v>754</v>
      </c>
      <c r="J467" s="143" t="s">
        <v>204</v>
      </c>
      <c r="K467" s="143" t="s">
        <v>204</v>
      </c>
      <c r="L467" s="143" t="s">
        <v>325</v>
      </c>
      <c r="M467" s="143" t="s">
        <v>340</v>
      </c>
      <c r="N467" s="143" t="s">
        <v>448</v>
      </c>
      <c r="O467" s="143" t="s">
        <v>339</v>
      </c>
      <c r="P467" s="143" t="s">
        <v>1224</v>
      </c>
      <c r="Q467" s="143" t="s">
        <v>413</v>
      </c>
      <c r="R467" s="143" t="s">
        <v>407</v>
      </c>
      <c r="S467" s="143" t="s">
        <v>1210</v>
      </c>
      <c r="T467" s="144">
        <v>4.16</v>
      </c>
      <c r="U467" s="143" t="s">
        <v>1534</v>
      </c>
      <c r="V467" s="146">
        <v>1.3899999999999999E-2</v>
      </c>
      <c r="W467" s="146">
        <v>2.5141E-2</v>
      </c>
      <c r="X467" s="143" t="s">
        <v>412</v>
      </c>
      <c r="Y467" s="145" t="s">
        <v>3876</v>
      </c>
      <c r="Z467" s="144">
        <v>34161300</v>
      </c>
      <c r="AA467" s="145" t="s">
        <v>3876</v>
      </c>
      <c r="AB467" s="143" t="s">
        <v>1535</v>
      </c>
      <c r="AC467" s="145" t="s">
        <v>3876</v>
      </c>
      <c r="AD467" s="144">
        <v>34660.055</v>
      </c>
      <c r="AE467" s="145" t="s">
        <v>3876</v>
      </c>
      <c r="AF467" s="145" t="s">
        <v>3876</v>
      </c>
      <c r="AG467" s="145" t="s">
        <v>3876</v>
      </c>
      <c r="AH467" s="146">
        <v>1.8978499999999999E-2</v>
      </c>
      <c r="AI467" s="146">
        <v>1.2918549671402227E-2</v>
      </c>
      <c r="AJ467" s="147">
        <v>1.5359280606403662E-3</v>
      </c>
      <c r="AK467" s="181"/>
    </row>
    <row r="468" spans="1:37" ht="15" x14ac:dyDescent="0.2">
      <c r="A468" s="142" t="s">
        <v>1220</v>
      </c>
      <c r="B468" s="143" t="s">
        <v>1220</v>
      </c>
      <c r="C468" s="143" t="s">
        <v>1672</v>
      </c>
      <c r="D468" s="143" t="s">
        <v>1673</v>
      </c>
      <c r="E468" s="143" t="s">
        <v>309</v>
      </c>
      <c r="F468" s="143" t="s">
        <v>1903</v>
      </c>
      <c r="G468" s="143" t="s">
        <v>1904</v>
      </c>
      <c r="H468" s="143" t="s">
        <v>321</v>
      </c>
      <c r="I468" s="143" t="s">
        <v>754</v>
      </c>
      <c r="J468" s="143" t="s">
        <v>204</v>
      </c>
      <c r="K468" s="143" t="s">
        <v>204</v>
      </c>
      <c r="L468" s="143" t="s">
        <v>325</v>
      </c>
      <c r="M468" s="143" t="s">
        <v>340</v>
      </c>
      <c r="N468" s="143" t="s">
        <v>464</v>
      </c>
      <c r="O468" s="143" t="s">
        <v>339</v>
      </c>
      <c r="P468" s="143" t="s">
        <v>1347</v>
      </c>
      <c r="Q468" s="143" t="s">
        <v>413</v>
      </c>
      <c r="R468" s="143" t="s">
        <v>407</v>
      </c>
      <c r="S468" s="143" t="s">
        <v>1210</v>
      </c>
      <c r="T468" s="144">
        <v>7.13</v>
      </c>
      <c r="U468" s="143" t="s">
        <v>1808</v>
      </c>
      <c r="V468" s="146">
        <v>2.5600000000000001E-2</v>
      </c>
      <c r="W468" s="146">
        <v>4.5317999999999997E-2</v>
      </c>
      <c r="X468" s="143" t="s">
        <v>412</v>
      </c>
      <c r="Y468" s="145" t="s">
        <v>3876</v>
      </c>
      <c r="Z468" s="144">
        <v>35512459</v>
      </c>
      <c r="AA468" s="145" t="s">
        <v>3876</v>
      </c>
      <c r="AB468" s="143" t="s">
        <v>1905</v>
      </c>
      <c r="AC468" s="145" t="s">
        <v>3876</v>
      </c>
      <c r="AD468" s="144">
        <v>33051.445599999999</v>
      </c>
      <c r="AE468" s="145" t="s">
        <v>3876</v>
      </c>
      <c r="AF468" s="145" t="s">
        <v>3876</v>
      </c>
      <c r="AG468" s="145" t="s">
        <v>3876</v>
      </c>
      <c r="AH468" s="146">
        <v>3.3805935381920643E-2</v>
      </c>
      <c r="AI468" s="146">
        <v>1.2318986274812227E-2</v>
      </c>
      <c r="AJ468" s="147">
        <v>1.4646440335336706E-3</v>
      </c>
      <c r="AK468" s="181"/>
    </row>
    <row r="469" spans="1:37" ht="15" x14ac:dyDescent="0.2">
      <c r="A469" s="142" t="s">
        <v>1220</v>
      </c>
      <c r="B469" s="143" t="s">
        <v>1220</v>
      </c>
      <c r="C469" s="143" t="s">
        <v>1349</v>
      </c>
      <c r="D469" s="143" t="s">
        <v>1350</v>
      </c>
      <c r="E469" s="143" t="s">
        <v>309</v>
      </c>
      <c r="F469" s="143" t="s">
        <v>1486</v>
      </c>
      <c r="G469" s="143" t="s">
        <v>1487</v>
      </c>
      <c r="H469" s="143" t="s">
        <v>321</v>
      </c>
      <c r="I469" s="143" t="s">
        <v>754</v>
      </c>
      <c r="J469" s="143" t="s">
        <v>204</v>
      </c>
      <c r="K469" s="143" t="s">
        <v>204</v>
      </c>
      <c r="L469" s="143" t="s">
        <v>325</v>
      </c>
      <c r="M469" s="143" t="s">
        <v>340</v>
      </c>
      <c r="N469" s="143" t="s">
        <v>448</v>
      </c>
      <c r="O469" s="143" t="s">
        <v>339</v>
      </c>
      <c r="P469" s="143" t="s">
        <v>1209</v>
      </c>
      <c r="Q469" s="143" t="s">
        <v>415</v>
      </c>
      <c r="R469" s="143" t="s">
        <v>407</v>
      </c>
      <c r="S469" s="143" t="s">
        <v>1210</v>
      </c>
      <c r="T469" s="144">
        <v>2.41</v>
      </c>
      <c r="U469" s="143" t="s">
        <v>1488</v>
      </c>
      <c r="V469" s="146">
        <v>5.0000000000000001E-3</v>
      </c>
      <c r="W469" s="146">
        <v>2.1951999999999999E-2</v>
      </c>
      <c r="X469" s="143" t="s">
        <v>412</v>
      </c>
      <c r="Y469" s="145" t="s">
        <v>3876</v>
      </c>
      <c r="Z469" s="144">
        <v>30122322</v>
      </c>
      <c r="AA469" s="145" t="s">
        <v>3876</v>
      </c>
      <c r="AB469" s="143" t="s">
        <v>1489</v>
      </c>
      <c r="AC469" s="145" t="s">
        <v>3876</v>
      </c>
      <c r="AD469" s="144">
        <v>32616.4503</v>
      </c>
      <c r="AE469" s="145" t="s">
        <v>3876</v>
      </c>
      <c r="AF469" s="145" t="s">
        <v>3876</v>
      </c>
      <c r="AG469" s="145" t="s">
        <v>3876</v>
      </c>
      <c r="AH469" s="146">
        <v>3.9466373946923712E-2</v>
      </c>
      <c r="AI469" s="146">
        <v>1.2156854138068645E-2</v>
      </c>
      <c r="AJ469" s="147">
        <v>1.4453676205701232E-3</v>
      </c>
      <c r="AK469" s="181"/>
    </row>
    <row r="470" spans="1:37" ht="15" x14ac:dyDescent="0.2">
      <c r="A470" s="142" t="s">
        <v>1220</v>
      </c>
      <c r="B470" s="143" t="s">
        <v>1220</v>
      </c>
      <c r="C470" s="143" t="s">
        <v>1474</v>
      </c>
      <c r="D470" s="143" t="s">
        <v>1475</v>
      </c>
      <c r="E470" s="143" t="s">
        <v>309</v>
      </c>
      <c r="F470" s="143" t="s">
        <v>1563</v>
      </c>
      <c r="G470" s="143" t="s">
        <v>1564</v>
      </c>
      <c r="H470" s="143" t="s">
        <v>321</v>
      </c>
      <c r="I470" s="143" t="s">
        <v>754</v>
      </c>
      <c r="J470" s="143" t="s">
        <v>204</v>
      </c>
      <c r="K470" s="143" t="s">
        <v>204</v>
      </c>
      <c r="L470" s="143" t="s">
        <v>325</v>
      </c>
      <c r="M470" s="143" t="s">
        <v>340</v>
      </c>
      <c r="N470" s="143" t="s">
        <v>448</v>
      </c>
      <c r="O470" s="143" t="s">
        <v>339</v>
      </c>
      <c r="P470" s="143" t="s">
        <v>1224</v>
      </c>
      <c r="Q470" s="143" t="s">
        <v>413</v>
      </c>
      <c r="R470" s="143" t="s">
        <v>407</v>
      </c>
      <c r="S470" s="143" t="s">
        <v>1210</v>
      </c>
      <c r="T470" s="144">
        <v>3.8</v>
      </c>
      <c r="U470" s="143" t="s">
        <v>1565</v>
      </c>
      <c r="V470" s="146">
        <v>1E-3</v>
      </c>
      <c r="W470" s="146">
        <v>2.5401E-2</v>
      </c>
      <c r="X470" s="143" t="s">
        <v>412</v>
      </c>
      <c r="Y470" s="145" t="s">
        <v>3876</v>
      </c>
      <c r="Z470" s="144">
        <v>31200000.390000001</v>
      </c>
      <c r="AA470" s="145" t="s">
        <v>3876</v>
      </c>
      <c r="AB470" s="143" t="s">
        <v>1566</v>
      </c>
      <c r="AC470" s="145" t="s">
        <v>3876</v>
      </c>
      <c r="AD470" s="144">
        <v>31502.6404</v>
      </c>
      <c r="AE470" s="145" t="s">
        <v>3876</v>
      </c>
      <c r="AF470" s="145" t="s">
        <v>3876</v>
      </c>
      <c r="AG470" s="145" t="s">
        <v>3876</v>
      </c>
      <c r="AH470" s="146">
        <v>2.7739255801528136E-2</v>
      </c>
      <c r="AI470" s="146">
        <v>1.1741713189498463E-2</v>
      </c>
      <c r="AJ470" s="147">
        <v>1.3960101734689743E-3</v>
      </c>
      <c r="AK470" s="181"/>
    </row>
    <row r="471" spans="1:37" ht="15" x14ac:dyDescent="0.2">
      <c r="A471" s="142" t="s">
        <v>1220</v>
      </c>
      <c r="B471" s="143" t="s">
        <v>1220</v>
      </c>
      <c r="C471" s="143" t="s">
        <v>1474</v>
      </c>
      <c r="D471" s="143" t="s">
        <v>1475</v>
      </c>
      <c r="E471" s="143" t="s">
        <v>309</v>
      </c>
      <c r="F471" s="143" t="s">
        <v>1906</v>
      </c>
      <c r="G471" s="143" t="s">
        <v>1907</v>
      </c>
      <c r="H471" s="143" t="s">
        <v>321</v>
      </c>
      <c r="I471" s="143" t="s">
        <v>754</v>
      </c>
      <c r="J471" s="143" t="s">
        <v>204</v>
      </c>
      <c r="K471" s="143" t="s">
        <v>204</v>
      </c>
      <c r="L471" s="143" t="s">
        <v>325</v>
      </c>
      <c r="M471" s="143" t="s">
        <v>340</v>
      </c>
      <c r="N471" s="143" t="s">
        <v>448</v>
      </c>
      <c r="O471" s="143" t="s">
        <v>339</v>
      </c>
      <c r="P471" s="143" t="s">
        <v>1224</v>
      </c>
      <c r="Q471" s="143" t="s">
        <v>413</v>
      </c>
      <c r="R471" s="143" t="s">
        <v>407</v>
      </c>
      <c r="S471" s="143" t="s">
        <v>1210</v>
      </c>
      <c r="T471" s="144">
        <v>2.29</v>
      </c>
      <c r="U471" s="143" t="s">
        <v>1908</v>
      </c>
      <c r="V471" s="146">
        <v>6.0000000000000001E-3</v>
      </c>
      <c r="W471" s="146">
        <v>2.1609E-2</v>
      </c>
      <c r="X471" s="143" t="s">
        <v>412</v>
      </c>
      <c r="Y471" s="145" t="s">
        <v>3876</v>
      </c>
      <c r="Z471" s="144">
        <v>28120400.629999999</v>
      </c>
      <c r="AA471" s="145" t="s">
        <v>3876</v>
      </c>
      <c r="AB471" s="143" t="s">
        <v>1909</v>
      </c>
      <c r="AC471" s="145" t="s">
        <v>3876</v>
      </c>
      <c r="AD471" s="144">
        <v>31123.659399999997</v>
      </c>
      <c r="AE471" s="145" t="s">
        <v>3876</v>
      </c>
      <c r="AF471" s="145" t="s">
        <v>3876</v>
      </c>
      <c r="AG471" s="145" t="s">
        <v>3876</v>
      </c>
      <c r="AH471" s="146">
        <v>3.16081017986687E-2</v>
      </c>
      <c r="AI471" s="146">
        <v>1.1600458809716205E-2</v>
      </c>
      <c r="AJ471" s="147">
        <v>1.3792159844063896E-3</v>
      </c>
      <c r="AK471" s="181"/>
    </row>
    <row r="472" spans="1:37" ht="15" x14ac:dyDescent="0.2">
      <c r="A472" s="142" t="s">
        <v>1220</v>
      </c>
      <c r="B472" s="143" t="s">
        <v>1220</v>
      </c>
      <c r="C472" s="143" t="s">
        <v>1740</v>
      </c>
      <c r="D472" s="143" t="s">
        <v>1741</v>
      </c>
      <c r="E472" s="143" t="s">
        <v>309</v>
      </c>
      <c r="F472" s="143" t="s">
        <v>1742</v>
      </c>
      <c r="G472" s="143" t="s">
        <v>1743</v>
      </c>
      <c r="H472" s="143" t="s">
        <v>321</v>
      </c>
      <c r="I472" s="143" t="s">
        <v>754</v>
      </c>
      <c r="J472" s="143" t="s">
        <v>204</v>
      </c>
      <c r="K472" s="143" t="s">
        <v>204</v>
      </c>
      <c r="L472" s="143" t="s">
        <v>325</v>
      </c>
      <c r="M472" s="143" t="s">
        <v>340</v>
      </c>
      <c r="N472" s="143" t="s">
        <v>464</v>
      </c>
      <c r="O472" s="143" t="s">
        <v>339</v>
      </c>
      <c r="P472" s="143" t="s">
        <v>1366</v>
      </c>
      <c r="Q472" s="143" t="s">
        <v>415</v>
      </c>
      <c r="R472" s="143" t="s">
        <v>407</v>
      </c>
      <c r="S472" s="143" t="s">
        <v>1210</v>
      </c>
      <c r="T472" s="144">
        <v>4.6900000000000004</v>
      </c>
      <c r="U472" s="143" t="s">
        <v>1744</v>
      </c>
      <c r="V472" s="146">
        <v>1.17E-2</v>
      </c>
      <c r="W472" s="146">
        <v>3.5473999999999999E-2</v>
      </c>
      <c r="X472" s="143" t="s">
        <v>412</v>
      </c>
      <c r="Y472" s="145" t="s">
        <v>3876</v>
      </c>
      <c r="Z472" s="144">
        <v>30312888.27</v>
      </c>
      <c r="AA472" s="145" t="s">
        <v>3876</v>
      </c>
      <c r="AB472" s="143" t="s">
        <v>1745</v>
      </c>
      <c r="AC472" s="145" t="s">
        <v>3876</v>
      </c>
      <c r="AD472" s="144">
        <v>30825.176100000001</v>
      </c>
      <c r="AE472" s="145" t="s">
        <v>3876</v>
      </c>
      <c r="AF472" s="145" t="s">
        <v>3876</v>
      </c>
      <c r="AG472" s="145" t="s">
        <v>3876</v>
      </c>
      <c r="AH472" s="146">
        <v>4.4022860936798545E-2</v>
      </c>
      <c r="AI472" s="146">
        <v>1.1489207636045566E-2</v>
      </c>
      <c r="AJ472" s="147">
        <v>1.3659889733435167E-3</v>
      </c>
      <c r="AK472" s="181"/>
    </row>
    <row r="473" spans="1:37" ht="15" x14ac:dyDescent="0.2">
      <c r="A473" s="142" t="s">
        <v>1220</v>
      </c>
      <c r="B473" s="143" t="s">
        <v>1220</v>
      </c>
      <c r="C473" s="143" t="s">
        <v>1509</v>
      </c>
      <c r="D473" s="143" t="s">
        <v>1510</v>
      </c>
      <c r="E473" s="143" t="s">
        <v>309</v>
      </c>
      <c r="F473" s="143" t="s">
        <v>1550</v>
      </c>
      <c r="G473" s="143" t="s">
        <v>1551</v>
      </c>
      <c r="H473" s="143" t="s">
        <v>321</v>
      </c>
      <c r="I473" s="143" t="s">
        <v>754</v>
      </c>
      <c r="J473" s="143" t="s">
        <v>204</v>
      </c>
      <c r="K473" s="143" t="s">
        <v>204</v>
      </c>
      <c r="L473" s="143" t="s">
        <v>325</v>
      </c>
      <c r="M473" s="143" t="s">
        <v>340</v>
      </c>
      <c r="N473" s="143" t="s">
        <v>448</v>
      </c>
      <c r="O473" s="143" t="s">
        <v>339</v>
      </c>
      <c r="P473" s="143" t="s">
        <v>1347</v>
      </c>
      <c r="Q473" s="143" t="s">
        <v>413</v>
      </c>
      <c r="R473" s="143" t="s">
        <v>407</v>
      </c>
      <c r="S473" s="143" t="s">
        <v>1210</v>
      </c>
      <c r="T473" s="144">
        <v>4.75</v>
      </c>
      <c r="U473" s="143" t="s">
        <v>1552</v>
      </c>
      <c r="V473" s="146">
        <v>2.5899999999999999E-2</v>
      </c>
      <c r="W473" s="146">
        <v>2.7512000000000002E-2</v>
      </c>
      <c r="X473" s="143" t="s">
        <v>412</v>
      </c>
      <c r="Y473" s="145" t="s">
        <v>3876</v>
      </c>
      <c r="Z473" s="144">
        <v>28878000</v>
      </c>
      <c r="AA473" s="145" t="s">
        <v>3876</v>
      </c>
      <c r="AB473" s="143" t="s">
        <v>1553</v>
      </c>
      <c r="AC473" s="145" t="s">
        <v>3876</v>
      </c>
      <c r="AD473" s="144">
        <v>29547.9696</v>
      </c>
      <c r="AE473" s="145" t="s">
        <v>3876</v>
      </c>
      <c r="AF473" s="145" t="s">
        <v>3876</v>
      </c>
      <c r="AG473" s="145" t="s">
        <v>3876</v>
      </c>
      <c r="AH473" s="146">
        <v>6.4173333333333332E-2</v>
      </c>
      <c r="AI473" s="146">
        <v>1.1013165247053021E-2</v>
      </c>
      <c r="AJ473" s="147">
        <v>1.3093907574519518E-3</v>
      </c>
      <c r="AK473" s="181"/>
    </row>
    <row r="474" spans="1:37" ht="15" x14ac:dyDescent="0.2">
      <c r="A474" s="142" t="s">
        <v>1220</v>
      </c>
      <c r="B474" s="143" t="s">
        <v>1220</v>
      </c>
      <c r="C474" s="143" t="s">
        <v>1730</v>
      </c>
      <c r="D474" s="143" t="s">
        <v>1731</v>
      </c>
      <c r="E474" s="143" t="s">
        <v>309</v>
      </c>
      <c r="F474" s="143" t="s">
        <v>1732</v>
      </c>
      <c r="G474" s="143" t="s">
        <v>1733</v>
      </c>
      <c r="H474" s="143" t="s">
        <v>321</v>
      </c>
      <c r="I474" s="143" t="s">
        <v>754</v>
      </c>
      <c r="J474" s="143" t="s">
        <v>204</v>
      </c>
      <c r="K474" s="143" t="s">
        <v>204</v>
      </c>
      <c r="L474" s="143" t="s">
        <v>325</v>
      </c>
      <c r="M474" s="143" t="s">
        <v>340</v>
      </c>
      <c r="N474" s="143" t="s">
        <v>440</v>
      </c>
      <c r="O474" s="143" t="s">
        <v>339</v>
      </c>
      <c r="P474" s="143" t="s">
        <v>1359</v>
      </c>
      <c r="Q474" s="143" t="s">
        <v>415</v>
      </c>
      <c r="R474" s="143" t="s">
        <v>407</v>
      </c>
      <c r="S474" s="143" t="s">
        <v>1210</v>
      </c>
      <c r="T474" s="144">
        <v>3.69</v>
      </c>
      <c r="U474" s="143" t="s">
        <v>1538</v>
      </c>
      <c r="V474" s="146">
        <v>1.7999999999999999E-2</v>
      </c>
      <c r="W474" s="146">
        <v>3.5799999999999998E-2</v>
      </c>
      <c r="X474" s="143" t="s">
        <v>412</v>
      </c>
      <c r="Y474" s="145" t="s">
        <v>3876</v>
      </c>
      <c r="Z474" s="144">
        <v>27492789.43</v>
      </c>
      <c r="AA474" s="145" t="s">
        <v>3876</v>
      </c>
      <c r="AB474" s="143" t="s">
        <v>1734</v>
      </c>
      <c r="AC474" s="145" t="s">
        <v>3876</v>
      </c>
      <c r="AD474" s="144">
        <v>29400.789000000001</v>
      </c>
      <c r="AE474" s="145" t="s">
        <v>3876</v>
      </c>
      <c r="AF474" s="145" t="s">
        <v>3876</v>
      </c>
      <c r="AG474" s="145" t="s">
        <v>3876</v>
      </c>
      <c r="AH474" s="146">
        <v>2.7632186210581174E-2</v>
      </c>
      <c r="AI474" s="146">
        <v>1.0958307870731571E-2</v>
      </c>
      <c r="AJ474" s="147">
        <v>1.3028685869476465E-3</v>
      </c>
      <c r="AK474" s="181"/>
    </row>
    <row r="475" spans="1:37" ht="15" x14ac:dyDescent="0.2">
      <c r="A475" s="142" t="s">
        <v>1220</v>
      </c>
      <c r="B475" s="143" t="s">
        <v>1220</v>
      </c>
      <c r="C475" s="143" t="s">
        <v>1730</v>
      </c>
      <c r="D475" s="143" t="s">
        <v>1731</v>
      </c>
      <c r="E475" s="143" t="s">
        <v>309</v>
      </c>
      <c r="F475" s="143" t="s">
        <v>1913</v>
      </c>
      <c r="G475" s="143" t="s">
        <v>1914</v>
      </c>
      <c r="H475" s="143" t="s">
        <v>321</v>
      </c>
      <c r="I475" s="143" t="s">
        <v>754</v>
      </c>
      <c r="J475" s="143" t="s">
        <v>204</v>
      </c>
      <c r="K475" s="143" t="s">
        <v>204</v>
      </c>
      <c r="L475" s="143" t="s">
        <v>325</v>
      </c>
      <c r="M475" s="143" t="s">
        <v>340</v>
      </c>
      <c r="N475" s="143" t="s">
        <v>440</v>
      </c>
      <c r="O475" s="143" t="s">
        <v>339</v>
      </c>
      <c r="P475" s="143" t="s">
        <v>1359</v>
      </c>
      <c r="Q475" s="143" t="s">
        <v>415</v>
      </c>
      <c r="R475" s="143" t="s">
        <v>407</v>
      </c>
      <c r="S475" s="143" t="s">
        <v>1210</v>
      </c>
      <c r="T475" s="144">
        <v>5.97</v>
      </c>
      <c r="U475" s="143" t="s">
        <v>1915</v>
      </c>
      <c r="V475" s="146">
        <v>3.3000000000000002E-2</v>
      </c>
      <c r="W475" s="146">
        <v>4.1916000000000002E-2</v>
      </c>
      <c r="X475" s="143" t="s">
        <v>412</v>
      </c>
      <c r="Y475" s="145" t="s">
        <v>3876</v>
      </c>
      <c r="Z475" s="144">
        <v>28044950.739999998</v>
      </c>
      <c r="AA475" s="145" t="s">
        <v>3876</v>
      </c>
      <c r="AB475" s="143" t="s">
        <v>1916</v>
      </c>
      <c r="AC475" s="145" t="s">
        <v>3876</v>
      </c>
      <c r="AD475" s="144">
        <v>28244.069899999999</v>
      </c>
      <c r="AE475" s="145" t="s">
        <v>3876</v>
      </c>
      <c r="AF475" s="145" t="s">
        <v>3876</v>
      </c>
      <c r="AG475" s="145" t="s">
        <v>3876</v>
      </c>
      <c r="AH475" s="146">
        <v>2.2399202926577891E-2</v>
      </c>
      <c r="AI475" s="146">
        <v>1.0527173716554858E-2</v>
      </c>
      <c r="AJ475" s="147">
        <v>1.2516096560193277E-3</v>
      </c>
      <c r="AK475" s="181"/>
    </row>
    <row r="476" spans="1:37" ht="15" x14ac:dyDescent="0.2">
      <c r="A476" s="142" t="s">
        <v>1220</v>
      </c>
      <c r="B476" s="143" t="s">
        <v>1220</v>
      </c>
      <c r="C476" s="143" t="s">
        <v>1776</v>
      </c>
      <c r="D476" s="143" t="s">
        <v>1777</v>
      </c>
      <c r="E476" s="143" t="s">
        <v>309</v>
      </c>
      <c r="F476" s="143" t="s">
        <v>1910</v>
      </c>
      <c r="G476" s="143" t="s">
        <v>1911</v>
      </c>
      <c r="H476" s="143" t="s">
        <v>321</v>
      </c>
      <c r="I476" s="143" t="s">
        <v>754</v>
      </c>
      <c r="J476" s="143" t="s">
        <v>204</v>
      </c>
      <c r="K476" s="143" t="s">
        <v>204</v>
      </c>
      <c r="L476" s="143" t="s">
        <v>325</v>
      </c>
      <c r="M476" s="143" t="s">
        <v>340</v>
      </c>
      <c r="N476" s="143" t="s">
        <v>464</v>
      </c>
      <c r="O476" s="143" t="s">
        <v>339</v>
      </c>
      <c r="P476" s="143" t="s">
        <v>1410</v>
      </c>
      <c r="Q476" s="143" t="s">
        <v>413</v>
      </c>
      <c r="R476" s="143" t="s">
        <v>407</v>
      </c>
      <c r="S476" s="143" t="s">
        <v>1210</v>
      </c>
      <c r="T476" s="144">
        <v>5.8</v>
      </c>
      <c r="U476" s="143" t="s">
        <v>1780</v>
      </c>
      <c r="V476" s="146">
        <v>9.1999999999999998E-3</v>
      </c>
      <c r="W476" s="146">
        <v>3.5089000000000002E-2</v>
      </c>
      <c r="X476" s="143" t="s">
        <v>412</v>
      </c>
      <c r="Y476" s="145" t="s">
        <v>3876</v>
      </c>
      <c r="Z476" s="144">
        <v>28000000</v>
      </c>
      <c r="AA476" s="145" t="s">
        <v>3876</v>
      </c>
      <c r="AB476" s="143" t="s">
        <v>1912</v>
      </c>
      <c r="AC476" s="145" t="s">
        <v>3876</v>
      </c>
      <c r="AD476" s="144">
        <v>27605.200000000001</v>
      </c>
      <c r="AE476" s="145" t="s">
        <v>3876</v>
      </c>
      <c r="AF476" s="145" t="s">
        <v>3876</v>
      </c>
      <c r="AG476" s="145" t="s">
        <v>3876</v>
      </c>
      <c r="AH476" s="146">
        <v>1.082454837471339E-2</v>
      </c>
      <c r="AI476" s="146">
        <v>1.028905313608919E-2</v>
      </c>
      <c r="AJ476" s="147">
        <v>1.2232987317549095E-3</v>
      </c>
      <c r="AK476" s="181"/>
    </row>
    <row r="477" spans="1:37" ht="15" x14ac:dyDescent="0.2">
      <c r="A477" s="142" t="s">
        <v>1220</v>
      </c>
      <c r="B477" s="143" t="s">
        <v>1220</v>
      </c>
      <c r="C477" s="143" t="s">
        <v>1613</v>
      </c>
      <c r="D477" s="143" t="s">
        <v>1614</v>
      </c>
      <c r="E477" s="143" t="s">
        <v>309</v>
      </c>
      <c r="F477" s="143" t="s">
        <v>1615</v>
      </c>
      <c r="G477" s="143" t="s">
        <v>1616</v>
      </c>
      <c r="H477" s="143" t="s">
        <v>321</v>
      </c>
      <c r="I477" s="143" t="s">
        <v>754</v>
      </c>
      <c r="J477" s="143" t="s">
        <v>204</v>
      </c>
      <c r="K477" s="143" t="s">
        <v>204</v>
      </c>
      <c r="L477" s="143" t="s">
        <v>325</v>
      </c>
      <c r="M477" s="143" t="s">
        <v>340</v>
      </c>
      <c r="N477" s="143" t="s">
        <v>445</v>
      </c>
      <c r="O477" s="143" t="s">
        <v>339</v>
      </c>
      <c r="P477" s="143" t="s">
        <v>1617</v>
      </c>
      <c r="Q477" s="143" t="s">
        <v>415</v>
      </c>
      <c r="R477" s="143" t="s">
        <v>407</v>
      </c>
      <c r="S477" s="143" t="s">
        <v>1210</v>
      </c>
      <c r="T477" s="144">
        <v>4.76</v>
      </c>
      <c r="U477" s="143" t="s">
        <v>1618</v>
      </c>
      <c r="V477" s="146">
        <v>5.1700000000000003E-2</v>
      </c>
      <c r="W477" s="146">
        <v>5.8743999999999998E-2</v>
      </c>
      <c r="X477" s="143" t="s">
        <v>412</v>
      </c>
      <c r="Y477" s="145" t="s">
        <v>3876</v>
      </c>
      <c r="Z477" s="144">
        <v>27223087</v>
      </c>
      <c r="AA477" s="145" t="s">
        <v>3876</v>
      </c>
      <c r="AB477" s="143" t="s">
        <v>1619</v>
      </c>
      <c r="AC477" s="145" t="s">
        <v>3876</v>
      </c>
      <c r="AD477" s="144">
        <v>26564.2883</v>
      </c>
      <c r="AE477" s="145" t="s">
        <v>3876</v>
      </c>
      <c r="AF477" s="145" t="s">
        <v>3876</v>
      </c>
      <c r="AG477" s="145" t="s">
        <v>3876</v>
      </c>
      <c r="AH477" s="146">
        <v>4.4612360581697569E-2</v>
      </c>
      <c r="AI477" s="146">
        <v>9.9010829041460118E-3</v>
      </c>
      <c r="AJ477" s="147">
        <v>1.177171698837754E-3</v>
      </c>
      <c r="AK477" s="181"/>
    </row>
    <row r="478" spans="1:37" ht="15" x14ac:dyDescent="0.2">
      <c r="A478" s="142" t="s">
        <v>1220</v>
      </c>
      <c r="B478" s="143" t="s">
        <v>1220</v>
      </c>
      <c r="C478" s="143" t="s">
        <v>1349</v>
      </c>
      <c r="D478" s="143" t="s">
        <v>1350</v>
      </c>
      <c r="E478" s="143" t="s">
        <v>309</v>
      </c>
      <c r="F478" s="143" t="s">
        <v>1917</v>
      </c>
      <c r="G478" s="143" t="s">
        <v>1918</v>
      </c>
      <c r="H478" s="143" t="s">
        <v>321</v>
      </c>
      <c r="I478" s="143" t="s">
        <v>754</v>
      </c>
      <c r="J478" s="143" t="s">
        <v>204</v>
      </c>
      <c r="K478" s="143" t="s">
        <v>204</v>
      </c>
      <c r="L478" s="143" t="s">
        <v>325</v>
      </c>
      <c r="M478" s="143" t="s">
        <v>340</v>
      </c>
      <c r="N478" s="143" t="s">
        <v>448</v>
      </c>
      <c r="O478" s="143" t="s">
        <v>339</v>
      </c>
      <c r="P478" s="143" t="s">
        <v>1224</v>
      </c>
      <c r="Q478" s="143" t="s">
        <v>413</v>
      </c>
      <c r="R478" s="143" t="s">
        <v>407</v>
      </c>
      <c r="S478" s="143" t="s">
        <v>1210</v>
      </c>
      <c r="T478" s="144">
        <v>3.73</v>
      </c>
      <c r="U478" s="143" t="s">
        <v>1919</v>
      </c>
      <c r="V478" s="146">
        <v>1.6400000000000001E-2</v>
      </c>
      <c r="W478" s="146">
        <v>2.5266E-2</v>
      </c>
      <c r="X478" s="143" t="s">
        <v>412</v>
      </c>
      <c r="Y478" s="145" t="s">
        <v>3876</v>
      </c>
      <c r="Z478" s="144">
        <v>24889200</v>
      </c>
      <c r="AA478" s="145" t="s">
        <v>3876</v>
      </c>
      <c r="AB478" s="143" t="s">
        <v>1920</v>
      </c>
      <c r="AC478" s="145" t="s">
        <v>3876</v>
      </c>
      <c r="AD478" s="144">
        <v>25628.409199999998</v>
      </c>
      <c r="AE478" s="145" t="s">
        <v>3876</v>
      </c>
      <c r="AF478" s="145" t="s">
        <v>3876</v>
      </c>
      <c r="AG478" s="145" t="s">
        <v>3876</v>
      </c>
      <c r="AH478" s="146">
        <v>2.3140495867768594E-2</v>
      </c>
      <c r="AI478" s="146">
        <v>9.5522606053859115E-3</v>
      </c>
      <c r="AJ478" s="147">
        <v>1.13569909003332E-3</v>
      </c>
      <c r="AK478" s="181"/>
    </row>
    <row r="479" spans="1:37" ht="15" x14ac:dyDescent="0.2">
      <c r="A479" s="142" t="s">
        <v>1220</v>
      </c>
      <c r="B479" s="143" t="s">
        <v>1220</v>
      </c>
      <c r="C479" s="143" t="s">
        <v>1724</v>
      </c>
      <c r="D479" s="143" t="s">
        <v>1725</v>
      </c>
      <c r="E479" s="143" t="s">
        <v>309</v>
      </c>
      <c r="F479" s="143" t="s">
        <v>1921</v>
      </c>
      <c r="G479" s="143" t="s">
        <v>1922</v>
      </c>
      <c r="H479" s="143" t="s">
        <v>321</v>
      </c>
      <c r="I479" s="143" t="s">
        <v>754</v>
      </c>
      <c r="J479" s="143" t="s">
        <v>204</v>
      </c>
      <c r="K479" s="143" t="s">
        <v>204</v>
      </c>
      <c r="L479" s="143" t="s">
        <v>325</v>
      </c>
      <c r="M479" s="143" t="s">
        <v>340</v>
      </c>
      <c r="N479" s="143" t="s">
        <v>464</v>
      </c>
      <c r="O479" s="143" t="s">
        <v>339</v>
      </c>
      <c r="P479" s="143" t="s">
        <v>1728</v>
      </c>
      <c r="Q479" s="143" t="s">
        <v>413</v>
      </c>
      <c r="R479" s="143" t="s">
        <v>407</v>
      </c>
      <c r="S479" s="143" t="s">
        <v>1210</v>
      </c>
      <c r="T479" s="144">
        <v>3.44</v>
      </c>
      <c r="U479" s="143" t="s">
        <v>1436</v>
      </c>
      <c r="V479" s="146">
        <v>2.7E-2</v>
      </c>
      <c r="W479" s="146">
        <v>3.4224999999999998E-2</v>
      </c>
      <c r="X479" s="143" t="s">
        <v>412</v>
      </c>
      <c r="Y479" s="145" t="s">
        <v>3876</v>
      </c>
      <c r="Z479" s="144">
        <v>23532000</v>
      </c>
      <c r="AA479" s="145" t="s">
        <v>3876</v>
      </c>
      <c r="AB479" s="143" t="s">
        <v>1923</v>
      </c>
      <c r="AC479" s="145" t="s">
        <v>3876</v>
      </c>
      <c r="AD479" s="144">
        <v>24226.194</v>
      </c>
      <c r="AE479" s="145" t="s">
        <v>3876</v>
      </c>
      <c r="AF479" s="145" t="s">
        <v>3876</v>
      </c>
      <c r="AG479" s="145" t="s">
        <v>3876</v>
      </c>
      <c r="AH479" s="146">
        <v>5.3773170999232206E-2</v>
      </c>
      <c r="AI479" s="146">
        <v>9.0296247573357601E-3</v>
      </c>
      <c r="AJ479" s="147">
        <v>1.0735612274299189E-3</v>
      </c>
      <c r="AK479" s="181"/>
    </row>
    <row r="480" spans="1:37" ht="15" x14ac:dyDescent="0.2">
      <c r="A480" s="142" t="s">
        <v>1220</v>
      </c>
      <c r="B480" s="143" t="s">
        <v>1220</v>
      </c>
      <c r="C480" s="143" t="s">
        <v>1724</v>
      </c>
      <c r="D480" s="143" t="s">
        <v>1725</v>
      </c>
      <c r="E480" s="143" t="s">
        <v>309</v>
      </c>
      <c r="F480" s="143" t="s">
        <v>1726</v>
      </c>
      <c r="G480" s="143" t="s">
        <v>1727</v>
      </c>
      <c r="H480" s="143" t="s">
        <v>321</v>
      </c>
      <c r="I480" s="143" t="s">
        <v>754</v>
      </c>
      <c r="J480" s="143" t="s">
        <v>204</v>
      </c>
      <c r="K480" s="143" t="s">
        <v>204</v>
      </c>
      <c r="L480" s="143" t="s">
        <v>325</v>
      </c>
      <c r="M480" s="143" t="s">
        <v>340</v>
      </c>
      <c r="N480" s="143" t="s">
        <v>464</v>
      </c>
      <c r="O480" s="143" t="s">
        <v>339</v>
      </c>
      <c r="P480" s="143" t="s">
        <v>1728</v>
      </c>
      <c r="Q480" s="143" t="s">
        <v>413</v>
      </c>
      <c r="R480" s="143" t="s">
        <v>407</v>
      </c>
      <c r="S480" s="143" t="s">
        <v>1210</v>
      </c>
      <c r="T480" s="144">
        <v>3.03</v>
      </c>
      <c r="U480" s="143" t="s">
        <v>1419</v>
      </c>
      <c r="V480" s="146">
        <v>1.7999999999999999E-2</v>
      </c>
      <c r="W480" s="146">
        <v>3.0234E-2</v>
      </c>
      <c r="X480" s="143" t="s">
        <v>412</v>
      </c>
      <c r="Y480" s="145" t="s">
        <v>3876</v>
      </c>
      <c r="Z480" s="144">
        <v>20641000.600000001</v>
      </c>
      <c r="AA480" s="145" t="s">
        <v>3876</v>
      </c>
      <c r="AB480" s="143" t="s">
        <v>1729</v>
      </c>
      <c r="AC480" s="145" t="s">
        <v>3876</v>
      </c>
      <c r="AD480" s="144">
        <v>22812.4339</v>
      </c>
      <c r="AE480" s="145" t="s">
        <v>3876</v>
      </c>
      <c r="AF480" s="145" t="s">
        <v>3876</v>
      </c>
      <c r="AG480" s="145" t="s">
        <v>3876</v>
      </c>
      <c r="AH480" s="146">
        <v>2.6170156595969513E-2</v>
      </c>
      <c r="AI480" s="146">
        <v>8.5026858773405763E-3</v>
      </c>
      <c r="AJ480" s="147">
        <v>1.0109117634720069E-3</v>
      </c>
      <c r="AK480" s="181"/>
    </row>
    <row r="481" spans="1:37" ht="15" x14ac:dyDescent="0.2">
      <c r="A481" s="142" t="s">
        <v>1220</v>
      </c>
      <c r="B481" s="143" t="s">
        <v>1220</v>
      </c>
      <c r="C481" s="143" t="s">
        <v>1581</v>
      </c>
      <c r="D481" s="143" t="s">
        <v>1582</v>
      </c>
      <c r="E481" s="143" t="s">
        <v>309</v>
      </c>
      <c r="F481" s="143" t="s">
        <v>1924</v>
      </c>
      <c r="G481" s="143" t="s">
        <v>1925</v>
      </c>
      <c r="H481" s="143" t="s">
        <v>321</v>
      </c>
      <c r="I481" s="143" t="s">
        <v>754</v>
      </c>
      <c r="J481" s="143" t="s">
        <v>204</v>
      </c>
      <c r="K481" s="143" t="s">
        <v>204</v>
      </c>
      <c r="L481" s="143" t="s">
        <v>325</v>
      </c>
      <c r="M481" s="143" t="s">
        <v>340</v>
      </c>
      <c r="N481" s="143" t="s">
        <v>464</v>
      </c>
      <c r="O481" s="143" t="s">
        <v>339</v>
      </c>
      <c r="P481" s="143" t="s">
        <v>1410</v>
      </c>
      <c r="Q481" s="143" t="s">
        <v>413</v>
      </c>
      <c r="R481" s="143" t="s">
        <v>407</v>
      </c>
      <c r="S481" s="143" t="s">
        <v>1210</v>
      </c>
      <c r="T481" s="144">
        <v>6.29</v>
      </c>
      <c r="U481" s="143" t="s">
        <v>1926</v>
      </c>
      <c r="V481" s="146">
        <v>3.61E-2</v>
      </c>
      <c r="W481" s="146">
        <v>3.6984999999999997E-2</v>
      </c>
      <c r="X481" s="143" t="s">
        <v>412</v>
      </c>
      <c r="Y481" s="145" t="s">
        <v>3876</v>
      </c>
      <c r="Z481" s="144">
        <v>21282828.5</v>
      </c>
      <c r="AA481" s="145" t="s">
        <v>3876</v>
      </c>
      <c r="AB481" s="143" t="s">
        <v>1927</v>
      </c>
      <c r="AC481" s="144">
        <v>630.56319999999994</v>
      </c>
      <c r="AD481" s="144">
        <v>22726.395800000002</v>
      </c>
      <c r="AE481" s="145" t="s">
        <v>3876</v>
      </c>
      <c r="AF481" s="145" t="s">
        <v>3876</v>
      </c>
      <c r="AG481" s="145" t="s">
        <v>3876</v>
      </c>
      <c r="AH481" s="146">
        <v>1.9919531426698878E-2</v>
      </c>
      <c r="AI481" s="146">
        <v>8.7056421376396978E-3</v>
      </c>
      <c r="AJ481" s="147">
        <v>1.0350418882309898E-3</v>
      </c>
      <c r="AK481" s="181"/>
    </row>
    <row r="482" spans="1:37" ht="15" x14ac:dyDescent="0.2">
      <c r="A482" s="142" t="s">
        <v>1220</v>
      </c>
      <c r="B482" s="143" t="s">
        <v>1220</v>
      </c>
      <c r="C482" s="143" t="s">
        <v>1928</v>
      </c>
      <c r="D482" s="143" t="s">
        <v>1929</v>
      </c>
      <c r="E482" s="143" t="s">
        <v>309</v>
      </c>
      <c r="F482" s="143" t="s">
        <v>1930</v>
      </c>
      <c r="G482" s="143" t="s">
        <v>1931</v>
      </c>
      <c r="H482" s="143" t="s">
        <v>321</v>
      </c>
      <c r="I482" s="143" t="s">
        <v>754</v>
      </c>
      <c r="J482" s="143" t="s">
        <v>204</v>
      </c>
      <c r="K482" s="143" t="s">
        <v>204</v>
      </c>
      <c r="L482" s="143" t="s">
        <v>325</v>
      </c>
      <c r="M482" s="143" t="s">
        <v>340</v>
      </c>
      <c r="N482" s="143" t="s">
        <v>464</v>
      </c>
      <c r="O482" s="143" t="s">
        <v>339</v>
      </c>
      <c r="P482" s="145" t="s">
        <v>3876</v>
      </c>
      <c r="Q482" s="143" t="s">
        <v>410</v>
      </c>
      <c r="R482" s="143" t="s">
        <v>410</v>
      </c>
      <c r="S482" s="143" t="s">
        <v>1210</v>
      </c>
      <c r="T482" s="144">
        <v>3.25</v>
      </c>
      <c r="U482" s="143" t="s">
        <v>1419</v>
      </c>
      <c r="V482" s="146">
        <v>4.4999999999999998E-2</v>
      </c>
      <c r="W482" s="146">
        <v>4.4255999999999997E-2</v>
      </c>
      <c r="X482" s="143" t="s">
        <v>412</v>
      </c>
      <c r="Y482" s="145" t="s">
        <v>3876</v>
      </c>
      <c r="Z482" s="144">
        <v>21400000</v>
      </c>
      <c r="AA482" s="145" t="s">
        <v>3876</v>
      </c>
      <c r="AB482" s="143" t="s">
        <v>1920</v>
      </c>
      <c r="AC482" s="145" t="s">
        <v>3876</v>
      </c>
      <c r="AD482" s="144">
        <v>22035.58</v>
      </c>
      <c r="AE482" s="145" t="s">
        <v>3876</v>
      </c>
      <c r="AF482" s="145" t="s">
        <v>3876</v>
      </c>
      <c r="AG482" s="145" t="s">
        <v>3876</v>
      </c>
      <c r="AH482" s="146">
        <v>2.1844335631071628E-2</v>
      </c>
      <c r="AI482" s="146">
        <v>8.2131356956132977E-3</v>
      </c>
      <c r="AJ482" s="147">
        <v>9.7648620794212136E-4</v>
      </c>
      <c r="AK482" s="181"/>
    </row>
    <row r="483" spans="1:37" ht="15" x14ac:dyDescent="0.2">
      <c r="A483" s="142" t="s">
        <v>1220</v>
      </c>
      <c r="B483" s="143" t="s">
        <v>1220</v>
      </c>
      <c r="C483" s="143" t="s">
        <v>1349</v>
      </c>
      <c r="D483" s="143" t="s">
        <v>1350</v>
      </c>
      <c r="E483" s="143" t="s">
        <v>309</v>
      </c>
      <c r="F483" s="143" t="s">
        <v>1567</v>
      </c>
      <c r="G483" s="143" t="s">
        <v>1568</v>
      </c>
      <c r="H483" s="143" t="s">
        <v>321</v>
      </c>
      <c r="I483" s="143" t="s">
        <v>754</v>
      </c>
      <c r="J483" s="143" t="s">
        <v>204</v>
      </c>
      <c r="K483" s="143" t="s">
        <v>204</v>
      </c>
      <c r="L483" s="143" t="s">
        <v>325</v>
      </c>
      <c r="M483" s="143" t="s">
        <v>340</v>
      </c>
      <c r="N483" s="143" t="s">
        <v>448</v>
      </c>
      <c r="O483" s="143" t="s">
        <v>339</v>
      </c>
      <c r="P483" s="143" t="s">
        <v>1224</v>
      </c>
      <c r="Q483" s="143" t="s">
        <v>413</v>
      </c>
      <c r="R483" s="143" t="s">
        <v>407</v>
      </c>
      <c r="S483" s="143" t="s">
        <v>1210</v>
      </c>
      <c r="T483" s="144">
        <v>4.63</v>
      </c>
      <c r="U483" s="143" t="s">
        <v>1569</v>
      </c>
      <c r="V483" s="146">
        <v>1.9900000000000001E-2</v>
      </c>
      <c r="W483" s="146">
        <v>2.5776E-2</v>
      </c>
      <c r="X483" s="143" t="s">
        <v>412</v>
      </c>
      <c r="Y483" s="145" t="s">
        <v>3876</v>
      </c>
      <c r="Z483" s="144">
        <v>21000000</v>
      </c>
      <c r="AA483" s="145" t="s">
        <v>3876</v>
      </c>
      <c r="AB483" s="143" t="s">
        <v>1570</v>
      </c>
      <c r="AC483" s="145" t="s">
        <v>3876</v>
      </c>
      <c r="AD483" s="144">
        <v>21048.3</v>
      </c>
      <c r="AE483" s="145" t="s">
        <v>3876</v>
      </c>
      <c r="AF483" s="145" t="s">
        <v>3876</v>
      </c>
      <c r="AG483" s="145" t="s">
        <v>3876</v>
      </c>
      <c r="AH483" s="146">
        <v>7.7777777777777776E-3</v>
      </c>
      <c r="AI483" s="146">
        <v>7.8451551564323423E-3</v>
      </c>
      <c r="AJ483" s="147">
        <v>9.3273581410737328E-4</v>
      </c>
      <c r="AK483" s="181"/>
    </row>
    <row r="484" spans="1:37" ht="15" x14ac:dyDescent="0.2">
      <c r="A484" s="142" t="s">
        <v>1220</v>
      </c>
      <c r="B484" s="143" t="s">
        <v>1220</v>
      </c>
      <c r="C484" s="143" t="s">
        <v>1740</v>
      </c>
      <c r="D484" s="143" t="s">
        <v>1741</v>
      </c>
      <c r="E484" s="143" t="s">
        <v>309</v>
      </c>
      <c r="F484" s="143" t="s">
        <v>1932</v>
      </c>
      <c r="G484" s="143" t="s">
        <v>1933</v>
      </c>
      <c r="H484" s="143" t="s">
        <v>321</v>
      </c>
      <c r="I484" s="143" t="s">
        <v>754</v>
      </c>
      <c r="J484" s="143" t="s">
        <v>204</v>
      </c>
      <c r="K484" s="143" t="s">
        <v>204</v>
      </c>
      <c r="L484" s="143" t="s">
        <v>325</v>
      </c>
      <c r="M484" s="143" t="s">
        <v>340</v>
      </c>
      <c r="N484" s="143" t="s">
        <v>464</v>
      </c>
      <c r="O484" s="143" t="s">
        <v>339</v>
      </c>
      <c r="P484" s="143" t="s">
        <v>1410</v>
      </c>
      <c r="Q484" s="143" t="s">
        <v>413</v>
      </c>
      <c r="R484" s="143" t="s">
        <v>407</v>
      </c>
      <c r="S484" s="143" t="s">
        <v>1210</v>
      </c>
      <c r="T484" s="144">
        <v>5.59</v>
      </c>
      <c r="U484" s="143" t="s">
        <v>1934</v>
      </c>
      <c r="V484" s="146">
        <v>2.5999999999999999E-2</v>
      </c>
      <c r="W484" s="146">
        <v>3.1829000000000003E-2</v>
      </c>
      <c r="X484" s="143" t="s">
        <v>412</v>
      </c>
      <c r="Y484" s="145" t="s">
        <v>3876</v>
      </c>
      <c r="Z484" s="144">
        <v>20974000</v>
      </c>
      <c r="AA484" s="145" t="s">
        <v>3876</v>
      </c>
      <c r="AB484" s="143" t="s">
        <v>1935</v>
      </c>
      <c r="AC484" s="144">
        <v>287.74640000000005</v>
      </c>
      <c r="AD484" s="144">
        <v>21010.058399999998</v>
      </c>
      <c r="AE484" s="145" t="s">
        <v>3876</v>
      </c>
      <c r="AF484" s="145" t="s">
        <v>3876</v>
      </c>
      <c r="AG484" s="145" t="s">
        <v>3876</v>
      </c>
      <c r="AH484" s="146">
        <v>3.9130597014925377E-2</v>
      </c>
      <c r="AI484" s="146">
        <v>7.9381509591560026E-3</v>
      </c>
      <c r="AJ484" s="147">
        <v>9.4379238520538435E-4</v>
      </c>
      <c r="AK484" s="181"/>
    </row>
    <row r="485" spans="1:37" ht="15" x14ac:dyDescent="0.2">
      <c r="A485" s="142" t="s">
        <v>1220</v>
      </c>
      <c r="B485" s="143" t="s">
        <v>1220</v>
      </c>
      <c r="C485" s="143" t="s">
        <v>1936</v>
      </c>
      <c r="D485" s="143" t="s">
        <v>1937</v>
      </c>
      <c r="E485" s="143" t="s">
        <v>309</v>
      </c>
      <c r="F485" s="143" t="s">
        <v>1938</v>
      </c>
      <c r="G485" s="143" t="s">
        <v>1939</v>
      </c>
      <c r="H485" s="143" t="s">
        <v>321</v>
      </c>
      <c r="I485" s="143" t="s">
        <v>754</v>
      </c>
      <c r="J485" s="143" t="s">
        <v>204</v>
      </c>
      <c r="K485" s="143" t="s">
        <v>204</v>
      </c>
      <c r="L485" s="143" t="s">
        <v>325</v>
      </c>
      <c r="M485" s="143" t="s">
        <v>340</v>
      </c>
      <c r="N485" s="143" t="s">
        <v>477</v>
      </c>
      <c r="O485" s="143" t="s">
        <v>339</v>
      </c>
      <c r="P485" s="143" t="s">
        <v>1224</v>
      </c>
      <c r="Q485" s="143" t="s">
        <v>413</v>
      </c>
      <c r="R485" s="143" t="s">
        <v>407</v>
      </c>
      <c r="S485" s="143" t="s">
        <v>1210</v>
      </c>
      <c r="T485" s="144">
        <v>11.71</v>
      </c>
      <c r="U485" s="143" t="s">
        <v>1940</v>
      </c>
      <c r="V485" s="146">
        <v>2.07E-2</v>
      </c>
      <c r="W485" s="146">
        <v>3.2603E-2</v>
      </c>
      <c r="X485" s="143" t="s">
        <v>412</v>
      </c>
      <c r="Y485" s="145" t="s">
        <v>3876</v>
      </c>
      <c r="Z485" s="144">
        <v>21398000</v>
      </c>
      <c r="AA485" s="145" t="s">
        <v>3876</v>
      </c>
      <c r="AB485" s="143" t="s">
        <v>1941</v>
      </c>
      <c r="AC485" s="145" t="s">
        <v>3876</v>
      </c>
      <c r="AD485" s="144">
        <v>20824.533600000002</v>
      </c>
      <c r="AE485" s="145" t="s">
        <v>3876</v>
      </c>
      <c r="AF485" s="145" t="s">
        <v>3876</v>
      </c>
      <c r="AG485" s="145" t="s">
        <v>3876</v>
      </c>
      <c r="AH485" s="146">
        <v>4.6992648120768683E-3</v>
      </c>
      <c r="AI485" s="146">
        <v>7.7617525953325717E-3</v>
      </c>
      <c r="AJ485" s="147">
        <v>9.2281981446493773E-4</v>
      </c>
      <c r="AK485" s="181"/>
    </row>
    <row r="486" spans="1:37" ht="15" x14ac:dyDescent="0.2">
      <c r="A486" s="142" t="s">
        <v>1220</v>
      </c>
      <c r="B486" s="143" t="s">
        <v>1220</v>
      </c>
      <c r="C486" s="143" t="s">
        <v>1369</v>
      </c>
      <c r="D486" s="143" t="s">
        <v>1370</v>
      </c>
      <c r="E486" s="143" t="s">
        <v>309</v>
      </c>
      <c r="F486" s="143" t="s">
        <v>1577</v>
      </c>
      <c r="G486" s="143" t="s">
        <v>1578</v>
      </c>
      <c r="H486" s="143" t="s">
        <v>321</v>
      </c>
      <c r="I486" s="143" t="s">
        <v>754</v>
      </c>
      <c r="J486" s="143" t="s">
        <v>204</v>
      </c>
      <c r="K486" s="143" t="s">
        <v>204</v>
      </c>
      <c r="L486" s="143" t="s">
        <v>325</v>
      </c>
      <c r="M486" s="143" t="s">
        <v>340</v>
      </c>
      <c r="N486" s="143" t="s">
        <v>445</v>
      </c>
      <c r="O486" s="143" t="s">
        <v>339</v>
      </c>
      <c r="P486" s="143" t="s">
        <v>1366</v>
      </c>
      <c r="Q486" s="143" t="s">
        <v>415</v>
      </c>
      <c r="R486" s="143" t="s">
        <v>407</v>
      </c>
      <c r="S486" s="143" t="s">
        <v>1210</v>
      </c>
      <c r="T486" s="144">
        <v>5.24</v>
      </c>
      <c r="U486" s="143" t="s">
        <v>1579</v>
      </c>
      <c r="V486" s="146">
        <v>4.6899999999999997E-2</v>
      </c>
      <c r="W486" s="146">
        <v>5.7537999999999999E-2</v>
      </c>
      <c r="X486" s="143" t="s">
        <v>412</v>
      </c>
      <c r="Y486" s="145" t="s">
        <v>3876</v>
      </c>
      <c r="Z486" s="144">
        <v>20993000</v>
      </c>
      <c r="AA486" s="145" t="s">
        <v>3876</v>
      </c>
      <c r="AB486" s="143" t="s">
        <v>1580</v>
      </c>
      <c r="AC486" s="145" t="s">
        <v>3876</v>
      </c>
      <c r="AD486" s="144">
        <v>19993.733199999999</v>
      </c>
      <c r="AE486" s="145" t="s">
        <v>3876</v>
      </c>
      <c r="AF486" s="145" t="s">
        <v>3876</v>
      </c>
      <c r="AG486" s="145" t="s">
        <v>3876</v>
      </c>
      <c r="AH486" s="146">
        <v>4.1986000000000002E-2</v>
      </c>
      <c r="AI486" s="146">
        <v>7.4520953763635312E-3</v>
      </c>
      <c r="AJ486" s="147">
        <v>8.8600366838878291E-4</v>
      </c>
      <c r="AK486" s="181"/>
    </row>
    <row r="487" spans="1:37" ht="15" x14ac:dyDescent="0.2">
      <c r="A487" s="142" t="s">
        <v>1220</v>
      </c>
      <c r="B487" s="143" t="s">
        <v>1220</v>
      </c>
      <c r="C487" s="143" t="s">
        <v>1946</v>
      </c>
      <c r="D487" s="143" t="s">
        <v>1947</v>
      </c>
      <c r="E487" s="143" t="s">
        <v>309</v>
      </c>
      <c r="F487" s="143" t="s">
        <v>1948</v>
      </c>
      <c r="G487" s="143" t="s">
        <v>1949</v>
      </c>
      <c r="H487" s="143" t="s">
        <v>321</v>
      </c>
      <c r="I487" s="143" t="s">
        <v>754</v>
      </c>
      <c r="J487" s="143" t="s">
        <v>204</v>
      </c>
      <c r="K487" s="143" t="s">
        <v>204</v>
      </c>
      <c r="L487" s="143" t="s">
        <v>325</v>
      </c>
      <c r="M487" s="143" t="s">
        <v>340</v>
      </c>
      <c r="N487" s="143" t="s">
        <v>448</v>
      </c>
      <c r="O487" s="143" t="s">
        <v>339</v>
      </c>
      <c r="P487" s="143" t="s">
        <v>1224</v>
      </c>
      <c r="Q487" s="143" t="s">
        <v>413</v>
      </c>
      <c r="R487" s="143" t="s">
        <v>407</v>
      </c>
      <c r="S487" s="143" t="s">
        <v>1210</v>
      </c>
      <c r="T487" s="144">
        <v>2.42</v>
      </c>
      <c r="U487" s="143" t="s">
        <v>1950</v>
      </c>
      <c r="V487" s="146">
        <v>1E-3</v>
      </c>
      <c r="W487" s="146">
        <v>2.1586999999999999E-2</v>
      </c>
      <c r="X487" s="143" t="s">
        <v>412</v>
      </c>
      <c r="Y487" s="145" t="s">
        <v>3876</v>
      </c>
      <c r="Z487" s="144">
        <v>18933000</v>
      </c>
      <c r="AA487" s="145" t="s">
        <v>3876</v>
      </c>
      <c r="AB487" s="143" t="s">
        <v>1951</v>
      </c>
      <c r="AC487" s="145" t="s">
        <v>3876</v>
      </c>
      <c r="AD487" s="144">
        <v>19972.421699999999</v>
      </c>
      <c r="AE487" s="145" t="s">
        <v>3876</v>
      </c>
      <c r="AF487" s="145" t="s">
        <v>3876</v>
      </c>
      <c r="AG487" s="145" t="s">
        <v>3876</v>
      </c>
      <c r="AH487" s="146">
        <v>4.0554521444651742E-2</v>
      </c>
      <c r="AI487" s="146">
        <v>7.4441521208931938E-3</v>
      </c>
      <c r="AJ487" s="147">
        <v>8.8505926911177008E-4</v>
      </c>
      <c r="AK487" s="181"/>
    </row>
    <row r="488" spans="1:37" ht="15" x14ac:dyDescent="0.2">
      <c r="A488" s="142" t="s">
        <v>1220</v>
      </c>
      <c r="B488" s="143" t="s">
        <v>1220</v>
      </c>
      <c r="C488" s="143" t="s">
        <v>1717</v>
      </c>
      <c r="D488" s="143" t="s">
        <v>1718</v>
      </c>
      <c r="E488" s="143" t="s">
        <v>309</v>
      </c>
      <c r="F488" s="143" t="s">
        <v>1970</v>
      </c>
      <c r="G488" s="143" t="s">
        <v>1971</v>
      </c>
      <c r="H488" s="143" t="s">
        <v>321</v>
      </c>
      <c r="I488" s="143" t="s">
        <v>754</v>
      </c>
      <c r="J488" s="143" t="s">
        <v>204</v>
      </c>
      <c r="K488" s="143" t="s">
        <v>204</v>
      </c>
      <c r="L488" s="143" t="s">
        <v>325</v>
      </c>
      <c r="M488" s="143" t="s">
        <v>340</v>
      </c>
      <c r="N488" s="143" t="s">
        <v>464</v>
      </c>
      <c r="O488" s="143" t="s">
        <v>339</v>
      </c>
      <c r="P488" s="143" t="s">
        <v>1502</v>
      </c>
      <c r="Q488" s="143" t="s">
        <v>415</v>
      </c>
      <c r="R488" s="143" t="s">
        <v>407</v>
      </c>
      <c r="S488" s="143" t="s">
        <v>1210</v>
      </c>
      <c r="T488" s="144">
        <v>3.14</v>
      </c>
      <c r="U488" s="143" t="s">
        <v>1862</v>
      </c>
      <c r="V488" s="146">
        <v>1.34E-2</v>
      </c>
      <c r="W488" s="146">
        <v>2.7778000000000001E-2</v>
      </c>
      <c r="X488" s="143" t="s">
        <v>412</v>
      </c>
      <c r="Y488" s="145" t="s">
        <v>3876</v>
      </c>
      <c r="Z488" s="144">
        <v>16546446.09</v>
      </c>
      <c r="AA488" s="145" t="s">
        <v>3876</v>
      </c>
      <c r="AB488" s="143" t="s">
        <v>1972</v>
      </c>
      <c r="AC488" s="144">
        <v>1724.0093999999999</v>
      </c>
      <c r="AD488" s="144">
        <v>19925.100100000003</v>
      </c>
      <c r="AE488" s="145" t="s">
        <v>3876</v>
      </c>
      <c r="AF488" s="145" t="s">
        <v>3876</v>
      </c>
      <c r="AG488" s="145" t="s">
        <v>3876</v>
      </c>
      <c r="AH488" s="146">
        <v>6.2423763280604122E-3</v>
      </c>
      <c r="AI488" s="146">
        <v>8.0690897936860472E-3</v>
      </c>
      <c r="AJ488" s="147">
        <v>9.5936012580303404E-4</v>
      </c>
      <c r="AK488" s="181"/>
    </row>
    <row r="489" spans="1:37" ht="15" x14ac:dyDescent="0.2">
      <c r="A489" s="142" t="s">
        <v>1220</v>
      </c>
      <c r="B489" s="143" t="s">
        <v>1220</v>
      </c>
      <c r="C489" s="143" t="s">
        <v>1724</v>
      </c>
      <c r="D489" s="143" t="s">
        <v>1725</v>
      </c>
      <c r="E489" s="143" t="s">
        <v>309</v>
      </c>
      <c r="F489" s="143" t="s">
        <v>1942</v>
      </c>
      <c r="G489" s="143" t="s">
        <v>1943</v>
      </c>
      <c r="H489" s="143" t="s">
        <v>321</v>
      </c>
      <c r="I489" s="143" t="s">
        <v>754</v>
      </c>
      <c r="J489" s="143" t="s">
        <v>204</v>
      </c>
      <c r="K489" s="143" t="s">
        <v>204</v>
      </c>
      <c r="L489" s="143" t="s">
        <v>325</v>
      </c>
      <c r="M489" s="143" t="s">
        <v>340</v>
      </c>
      <c r="N489" s="143" t="s">
        <v>464</v>
      </c>
      <c r="O489" s="143" t="s">
        <v>339</v>
      </c>
      <c r="P489" s="143" t="s">
        <v>1389</v>
      </c>
      <c r="Q489" s="143" t="s">
        <v>413</v>
      </c>
      <c r="R489" s="143" t="s">
        <v>407</v>
      </c>
      <c r="S489" s="143" t="s">
        <v>1210</v>
      </c>
      <c r="T489" s="144">
        <v>4.96</v>
      </c>
      <c r="U489" s="143" t="s">
        <v>1944</v>
      </c>
      <c r="V489" s="146">
        <v>4.4499999999999998E-2</v>
      </c>
      <c r="W489" s="146">
        <v>4.759E-2</v>
      </c>
      <c r="X489" s="143" t="s">
        <v>412</v>
      </c>
      <c r="Y489" s="145" t="s">
        <v>3876</v>
      </c>
      <c r="Z489" s="144">
        <v>19611000</v>
      </c>
      <c r="AA489" s="145" t="s">
        <v>3876</v>
      </c>
      <c r="AB489" s="143" t="s">
        <v>1945</v>
      </c>
      <c r="AC489" s="145" t="s">
        <v>3876</v>
      </c>
      <c r="AD489" s="144">
        <v>19881.631799999999</v>
      </c>
      <c r="AE489" s="145" t="s">
        <v>3876</v>
      </c>
      <c r="AF489" s="145" t="s">
        <v>3876</v>
      </c>
      <c r="AG489" s="145" t="s">
        <v>3876</v>
      </c>
      <c r="AH489" s="146">
        <v>4.3580000000000001E-2</v>
      </c>
      <c r="AI489" s="146">
        <v>7.4103127679698228E-3</v>
      </c>
      <c r="AJ489" s="147">
        <v>8.8103599923775521E-4</v>
      </c>
      <c r="AK489" s="181"/>
    </row>
    <row r="490" spans="1:37" ht="15" x14ac:dyDescent="0.2">
      <c r="A490" s="142" t="s">
        <v>1220</v>
      </c>
      <c r="B490" s="143" t="s">
        <v>1220</v>
      </c>
      <c r="C490" s="143" t="s">
        <v>1853</v>
      </c>
      <c r="D490" s="143" t="s">
        <v>1854</v>
      </c>
      <c r="E490" s="143" t="s">
        <v>309</v>
      </c>
      <c r="F490" s="143" t="s">
        <v>1952</v>
      </c>
      <c r="G490" s="143" t="s">
        <v>1953</v>
      </c>
      <c r="H490" s="143" t="s">
        <v>321</v>
      </c>
      <c r="I490" s="143" t="s">
        <v>754</v>
      </c>
      <c r="J490" s="143" t="s">
        <v>204</v>
      </c>
      <c r="K490" s="143" t="s">
        <v>204</v>
      </c>
      <c r="L490" s="143" t="s">
        <v>325</v>
      </c>
      <c r="M490" s="143" t="s">
        <v>340</v>
      </c>
      <c r="N490" s="143" t="s">
        <v>464</v>
      </c>
      <c r="O490" s="143" t="s">
        <v>339</v>
      </c>
      <c r="P490" s="143" t="s">
        <v>1410</v>
      </c>
      <c r="Q490" s="143" t="s">
        <v>413</v>
      </c>
      <c r="R490" s="143" t="s">
        <v>407</v>
      </c>
      <c r="S490" s="143" t="s">
        <v>1210</v>
      </c>
      <c r="T490" s="144">
        <v>6.05</v>
      </c>
      <c r="U490" s="143" t="s">
        <v>1954</v>
      </c>
      <c r="V490" s="146">
        <v>3.5000000000000001E-3</v>
      </c>
      <c r="W490" s="146">
        <v>3.6639999999999999E-2</v>
      </c>
      <c r="X490" s="143" t="s">
        <v>412</v>
      </c>
      <c r="Y490" s="145" t="s">
        <v>3876</v>
      </c>
      <c r="Z490" s="144">
        <v>21400000</v>
      </c>
      <c r="AA490" s="145" t="s">
        <v>3876</v>
      </c>
      <c r="AB490" s="143" t="s">
        <v>1955</v>
      </c>
      <c r="AC490" s="145" t="s">
        <v>3876</v>
      </c>
      <c r="AD490" s="144">
        <v>19452.599999999999</v>
      </c>
      <c r="AE490" s="145" t="s">
        <v>3876</v>
      </c>
      <c r="AF490" s="145" t="s">
        <v>3876</v>
      </c>
      <c r="AG490" s="145" t="s">
        <v>3876</v>
      </c>
      <c r="AH490" s="146">
        <v>6.1419423542547211E-3</v>
      </c>
      <c r="AI490" s="146">
        <v>7.250403367303572E-3</v>
      </c>
      <c r="AJ490" s="147">
        <v>8.6202385453956331E-4</v>
      </c>
      <c r="AK490" s="181"/>
    </row>
    <row r="491" spans="1:37" ht="15" x14ac:dyDescent="0.2">
      <c r="A491" s="142" t="s">
        <v>1220</v>
      </c>
      <c r="B491" s="143" t="s">
        <v>1220</v>
      </c>
      <c r="C491" s="143" t="s">
        <v>1519</v>
      </c>
      <c r="D491" s="143" t="s">
        <v>1520</v>
      </c>
      <c r="E491" s="143" t="s">
        <v>309</v>
      </c>
      <c r="F491" s="143" t="s">
        <v>1536</v>
      </c>
      <c r="G491" s="143" t="s">
        <v>1537</v>
      </c>
      <c r="H491" s="143" t="s">
        <v>321</v>
      </c>
      <c r="I491" s="143" t="s">
        <v>754</v>
      </c>
      <c r="J491" s="143" t="s">
        <v>204</v>
      </c>
      <c r="K491" s="143" t="s">
        <v>204</v>
      </c>
      <c r="L491" s="143" t="s">
        <v>325</v>
      </c>
      <c r="M491" s="143" t="s">
        <v>340</v>
      </c>
      <c r="N491" s="143" t="s">
        <v>465</v>
      </c>
      <c r="O491" s="143" t="s">
        <v>339</v>
      </c>
      <c r="P491" s="143" t="s">
        <v>1359</v>
      </c>
      <c r="Q491" s="143" t="s">
        <v>415</v>
      </c>
      <c r="R491" s="143" t="s">
        <v>407</v>
      </c>
      <c r="S491" s="143" t="s">
        <v>1210</v>
      </c>
      <c r="T491" s="144">
        <v>4.3099999999999996</v>
      </c>
      <c r="U491" s="143" t="s">
        <v>1538</v>
      </c>
      <c r="V491" s="146">
        <v>1.7899999999999999E-2</v>
      </c>
      <c r="W491" s="146">
        <v>6.0524000000000001E-2</v>
      </c>
      <c r="X491" s="143" t="s">
        <v>412</v>
      </c>
      <c r="Y491" s="145" t="s">
        <v>3876</v>
      </c>
      <c r="Z491" s="144">
        <v>20583171.440000001</v>
      </c>
      <c r="AA491" s="145" t="s">
        <v>3876</v>
      </c>
      <c r="AB491" s="143" t="s">
        <v>1539</v>
      </c>
      <c r="AC491" s="145" t="s">
        <v>3876</v>
      </c>
      <c r="AD491" s="144">
        <v>19434.630499999999</v>
      </c>
      <c r="AE491" s="145" t="s">
        <v>3876</v>
      </c>
      <c r="AF491" s="145" t="s">
        <v>3876</v>
      </c>
      <c r="AG491" s="145" t="s">
        <v>3876</v>
      </c>
      <c r="AH491" s="146">
        <v>2.9296132802768653E-2</v>
      </c>
      <c r="AI491" s="146">
        <v>7.2437057374560767E-3</v>
      </c>
      <c r="AJ491" s="147">
        <v>8.6122755171268151E-4</v>
      </c>
      <c r="AK491" s="181"/>
    </row>
    <row r="492" spans="1:37" ht="15" x14ac:dyDescent="0.2">
      <c r="A492" s="142" t="s">
        <v>1220</v>
      </c>
      <c r="B492" s="143" t="s">
        <v>1220</v>
      </c>
      <c r="C492" s="143" t="s">
        <v>1544</v>
      </c>
      <c r="D492" s="143" t="s">
        <v>1545</v>
      </c>
      <c r="E492" s="143" t="s">
        <v>309</v>
      </c>
      <c r="F492" s="143" t="s">
        <v>1546</v>
      </c>
      <c r="G492" s="143" t="s">
        <v>1547</v>
      </c>
      <c r="H492" s="143" t="s">
        <v>321</v>
      </c>
      <c r="I492" s="143" t="s">
        <v>754</v>
      </c>
      <c r="J492" s="143" t="s">
        <v>204</v>
      </c>
      <c r="K492" s="143" t="s">
        <v>204</v>
      </c>
      <c r="L492" s="143" t="s">
        <v>325</v>
      </c>
      <c r="M492" s="143" t="s">
        <v>340</v>
      </c>
      <c r="N492" s="143" t="s">
        <v>465</v>
      </c>
      <c r="O492" s="143" t="s">
        <v>339</v>
      </c>
      <c r="P492" s="143" t="s">
        <v>1425</v>
      </c>
      <c r="Q492" s="143" t="s">
        <v>415</v>
      </c>
      <c r="R492" s="143" t="s">
        <v>407</v>
      </c>
      <c r="S492" s="143" t="s">
        <v>1210</v>
      </c>
      <c r="T492" s="144">
        <v>1.71</v>
      </c>
      <c r="U492" s="143" t="s">
        <v>1548</v>
      </c>
      <c r="V492" s="146">
        <v>2.5700000000000001E-2</v>
      </c>
      <c r="W492" s="146">
        <v>3.3569000000000002E-2</v>
      </c>
      <c r="X492" s="143" t="s">
        <v>412</v>
      </c>
      <c r="Y492" s="145" t="s">
        <v>3876</v>
      </c>
      <c r="Z492" s="144">
        <v>16135091</v>
      </c>
      <c r="AA492" s="145" t="s">
        <v>3876</v>
      </c>
      <c r="AB492" s="143" t="s">
        <v>1549</v>
      </c>
      <c r="AC492" s="145" t="s">
        <v>3876</v>
      </c>
      <c r="AD492" s="144">
        <v>18347.212</v>
      </c>
      <c r="AE492" s="145" t="s">
        <v>3876</v>
      </c>
      <c r="AF492" s="145" t="s">
        <v>3876</v>
      </c>
      <c r="AG492" s="145" t="s">
        <v>3876</v>
      </c>
      <c r="AH492" s="146">
        <v>1.2581812315041189E-2</v>
      </c>
      <c r="AI492" s="146">
        <v>6.8384014215142376E-3</v>
      </c>
      <c r="AJ492" s="147">
        <v>8.1303961360908877E-4</v>
      </c>
      <c r="AK492" s="181"/>
    </row>
    <row r="493" spans="1:37" ht="15" x14ac:dyDescent="0.2">
      <c r="A493" s="142" t="s">
        <v>1220</v>
      </c>
      <c r="B493" s="143" t="s">
        <v>1220</v>
      </c>
      <c r="C493" s="143" t="s">
        <v>1544</v>
      </c>
      <c r="D493" s="143" t="s">
        <v>1545</v>
      </c>
      <c r="E493" s="143" t="s">
        <v>309</v>
      </c>
      <c r="F493" s="143" t="s">
        <v>1713</v>
      </c>
      <c r="G493" s="143" t="s">
        <v>1714</v>
      </c>
      <c r="H493" s="143" t="s">
        <v>321</v>
      </c>
      <c r="I493" s="143" t="s">
        <v>754</v>
      </c>
      <c r="J493" s="143" t="s">
        <v>204</v>
      </c>
      <c r="K493" s="143" t="s">
        <v>293</v>
      </c>
      <c r="L493" s="143" t="s">
        <v>325</v>
      </c>
      <c r="M493" s="143" t="s">
        <v>340</v>
      </c>
      <c r="N493" s="143" t="s">
        <v>465</v>
      </c>
      <c r="O493" s="143" t="s">
        <v>339</v>
      </c>
      <c r="P493" s="143" t="s">
        <v>1425</v>
      </c>
      <c r="Q493" s="143" t="s">
        <v>415</v>
      </c>
      <c r="R493" s="143" t="s">
        <v>407</v>
      </c>
      <c r="S493" s="143" t="s">
        <v>1210</v>
      </c>
      <c r="T493" s="144">
        <v>5.35</v>
      </c>
      <c r="U493" s="143" t="s">
        <v>1715</v>
      </c>
      <c r="V493" s="146">
        <v>1.54E-2</v>
      </c>
      <c r="W493" s="146">
        <v>4.0224999999999997E-2</v>
      </c>
      <c r="X493" s="143" t="s">
        <v>412</v>
      </c>
      <c r="Y493" s="145" t="s">
        <v>3876</v>
      </c>
      <c r="Z493" s="144">
        <v>18847000</v>
      </c>
      <c r="AA493" s="145" t="s">
        <v>3876</v>
      </c>
      <c r="AB493" s="143" t="s">
        <v>1716</v>
      </c>
      <c r="AC493" s="145" t="s">
        <v>3876</v>
      </c>
      <c r="AD493" s="144">
        <v>18338.131000000001</v>
      </c>
      <c r="AE493" s="145" t="s">
        <v>3876</v>
      </c>
      <c r="AF493" s="145" t="s">
        <v>3876</v>
      </c>
      <c r="AG493" s="145" t="s">
        <v>3876</v>
      </c>
      <c r="AH493" s="146">
        <v>3.1599102006736629E-2</v>
      </c>
      <c r="AI493" s="146">
        <v>6.8350167459596154E-3</v>
      </c>
      <c r="AJ493" s="147">
        <v>8.1263719860951529E-4</v>
      </c>
      <c r="AK493" s="181"/>
    </row>
    <row r="494" spans="1:37" ht="15" x14ac:dyDescent="0.2">
      <c r="A494" s="142" t="s">
        <v>1220</v>
      </c>
      <c r="B494" s="143" t="s">
        <v>1220</v>
      </c>
      <c r="C494" s="143" t="s">
        <v>1814</v>
      </c>
      <c r="D494" s="143" t="s">
        <v>1815</v>
      </c>
      <c r="E494" s="143" t="s">
        <v>309</v>
      </c>
      <c r="F494" s="143" t="s">
        <v>1964</v>
      </c>
      <c r="G494" s="143" t="s">
        <v>1965</v>
      </c>
      <c r="H494" s="143" t="s">
        <v>321</v>
      </c>
      <c r="I494" s="143" t="s">
        <v>754</v>
      </c>
      <c r="J494" s="143" t="s">
        <v>204</v>
      </c>
      <c r="K494" s="143" t="s">
        <v>204</v>
      </c>
      <c r="L494" s="143" t="s">
        <v>325</v>
      </c>
      <c r="M494" s="143" t="s">
        <v>340</v>
      </c>
      <c r="N494" s="143" t="s">
        <v>464</v>
      </c>
      <c r="O494" s="143" t="s">
        <v>339</v>
      </c>
      <c r="P494" s="143" t="s">
        <v>1728</v>
      </c>
      <c r="Q494" s="143" t="s">
        <v>413</v>
      </c>
      <c r="R494" s="143" t="s">
        <v>407</v>
      </c>
      <c r="S494" s="143" t="s">
        <v>1210</v>
      </c>
      <c r="T494" s="144">
        <v>6.3</v>
      </c>
      <c r="U494" s="143" t="s">
        <v>1788</v>
      </c>
      <c r="V494" s="146">
        <v>3.6799999999999999E-2</v>
      </c>
      <c r="W494" s="146">
        <v>4.3203999999999999E-2</v>
      </c>
      <c r="X494" s="143" t="s">
        <v>412</v>
      </c>
      <c r="Y494" s="145" t="s">
        <v>3876</v>
      </c>
      <c r="Z494" s="144">
        <v>18633000</v>
      </c>
      <c r="AA494" s="145" t="s">
        <v>3876</v>
      </c>
      <c r="AB494" s="143" t="s">
        <v>1318</v>
      </c>
      <c r="AC494" s="145" t="s">
        <v>3876</v>
      </c>
      <c r="AD494" s="144">
        <v>18299.469300000001</v>
      </c>
      <c r="AE494" s="145" t="s">
        <v>3876</v>
      </c>
      <c r="AF494" s="145" t="s">
        <v>3876</v>
      </c>
      <c r="AG494" s="145" t="s">
        <v>3876</v>
      </c>
      <c r="AH494" s="146">
        <v>7.6469115637324711E-2</v>
      </c>
      <c r="AI494" s="146">
        <v>6.8206066969242335E-3</v>
      </c>
      <c r="AJ494" s="147">
        <v>8.1092394137618649E-4</v>
      </c>
      <c r="AK494" s="181"/>
    </row>
    <row r="495" spans="1:37" ht="15" x14ac:dyDescent="0.2">
      <c r="A495" s="142" t="s">
        <v>1220</v>
      </c>
      <c r="B495" s="143" t="s">
        <v>1220</v>
      </c>
      <c r="C495" s="143" t="s">
        <v>1814</v>
      </c>
      <c r="D495" s="143" t="s">
        <v>1815</v>
      </c>
      <c r="E495" s="143" t="s">
        <v>309</v>
      </c>
      <c r="F495" s="143" t="s">
        <v>1960</v>
      </c>
      <c r="G495" s="143" t="s">
        <v>1961</v>
      </c>
      <c r="H495" s="143" t="s">
        <v>321</v>
      </c>
      <c r="I495" s="143" t="s">
        <v>754</v>
      </c>
      <c r="J495" s="143" t="s">
        <v>204</v>
      </c>
      <c r="K495" s="143" t="s">
        <v>204</v>
      </c>
      <c r="L495" s="143" t="s">
        <v>325</v>
      </c>
      <c r="M495" s="143" t="s">
        <v>340</v>
      </c>
      <c r="N495" s="143" t="s">
        <v>464</v>
      </c>
      <c r="O495" s="143" t="s">
        <v>339</v>
      </c>
      <c r="P495" s="143" t="s">
        <v>1728</v>
      </c>
      <c r="Q495" s="143" t="s">
        <v>413</v>
      </c>
      <c r="R495" s="143" t="s">
        <v>407</v>
      </c>
      <c r="S495" s="143" t="s">
        <v>1210</v>
      </c>
      <c r="T495" s="144">
        <v>1.69</v>
      </c>
      <c r="U495" s="143" t="s">
        <v>1962</v>
      </c>
      <c r="V495" s="146">
        <v>3.0599999999999999E-2</v>
      </c>
      <c r="W495" s="146">
        <v>2.9069000000000001E-2</v>
      </c>
      <c r="X495" s="143" t="s">
        <v>412</v>
      </c>
      <c r="Y495" s="145" t="s">
        <v>3876</v>
      </c>
      <c r="Z495" s="144">
        <v>15454546</v>
      </c>
      <c r="AA495" s="145" t="s">
        <v>3876</v>
      </c>
      <c r="AB495" s="143" t="s">
        <v>1963</v>
      </c>
      <c r="AC495" s="144">
        <v>295.65550000000002</v>
      </c>
      <c r="AD495" s="144">
        <v>18167.292399999998</v>
      </c>
      <c r="AE495" s="145" t="s">
        <v>3876</v>
      </c>
      <c r="AF495" s="145" t="s">
        <v>3876</v>
      </c>
      <c r="AG495" s="145" t="s">
        <v>3876</v>
      </c>
      <c r="AH495" s="146">
        <v>4.4260617170992576E-2</v>
      </c>
      <c r="AI495" s="146">
        <v>6.8815386932290883E-3</v>
      </c>
      <c r="AJ495" s="147">
        <v>8.1816834305408035E-4</v>
      </c>
      <c r="AK495" s="181"/>
    </row>
    <row r="496" spans="1:37" ht="15" x14ac:dyDescent="0.2">
      <c r="A496" s="142" t="s">
        <v>1220</v>
      </c>
      <c r="B496" s="143" t="s">
        <v>1220</v>
      </c>
      <c r="C496" s="143" t="s">
        <v>1894</v>
      </c>
      <c r="D496" s="143" t="s">
        <v>1895</v>
      </c>
      <c r="E496" s="143" t="s">
        <v>309</v>
      </c>
      <c r="F496" s="143" t="s">
        <v>1966</v>
      </c>
      <c r="G496" s="143" t="s">
        <v>1967</v>
      </c>
      <c r="H496" s="143" t="s">
        <v>321</v>
      </c>
      <c r="I496" s="143" t="s">
        <v>754</v>
      </c>
      <c r="J496" s="143" t="s">
        <v>204</v>
      </c>
      <c r="K496" s="143" t="s">
        <v>204</v>
      </c>
      <c r="L496" s="143" t="s">
        <v>325</v>
      </c>
      <c r="M496" s="143" t="s">
        <v>340</v>
      </c>
      <c r="N496" s="143" t="s">
        <v>448</v>
      </c>
      <c r="O496" s="143" t="s">
        <v>339</v>
      </c>
      <c r="P496" s="143" t="s">
        <v>1224</v>
      </c>
      <c r="Q496" s="143" t="s">
        <v>413</v>
      </c>
      <c r="R496" s="143" t="s">
        <v>407</v>
      </c>
      <c r="S496" s="143" t="s">
        <v>1210</v>
      </c>
      <c r="T496" s="144">
        <v>3.96</v>
      </c>
      <c r="U496" s="143" t="s">
        <v>1968</v>
      </c>
      <c r="V496" s="146">
        <v>2E-3</v>
      </c>
      <c r="W496" s="146">
        <v>2.5773000000000001E-2</v>
      </c>
      <c r="X496" s="143" t="s">
        <v>412</v>
      </c>
      <c r="Y496" s="145" t="s">
        <v>3876</v>
      </c>
      <c r="Z496" s="144">
        <v>17894736.550000001</v>
      </c>
      <c r="AA496" s="145" t="s">
        <v>3876</v>
      </c>
      <c r="AB496" s="143" t="s">
        <v>1969</v>
      </c>
      <c r="AC496" s="145" t="s">
        <v>3876</v>
      </c>
      <c r="AD496" s="144">
        <v>18046.841800000002</v>
      </c>
      <c r="AE496" s="145" t="s">
        <v>3876</v>
      </c>
      <c r="AF496" s="145" t="s">
        <v>3876</v>
      </c>
      <c r="AG496" s="145" t="s">
        <v>3876</v>
      </c>
      <c r="AH496" s="146">
        <v>4.632075701011055E-3</v>
      </c>
      <c r="AI496" s="146">
        <v>6.7264469856632486E-3</v>
      </c>
      <c r="AJ496" s="147">
        <v>7.9972898943605564E-4</v>
      </c>
      <c r="AK496" s="181"/>
    </row>
    <row r="497" spans="1:37" ht="15" x14ac:dyDescent="0.2">
      <c r="A497" s="142" t="s">
        <v>1220</v>
      </c>
      <c r="B497" s="143" t="s">
        <v>1220</v>
      </c>
      <c r="C497" s="143" t="s">
        <v>1740</v>
      </c>
      <c r="D497" s="143" t="s">
        <v>1741</v>
      </c>
      <c r="E497" s="143" t="s">
        <v>309</v>
      </c>
      <c r="F497" s="143" t="s">
        <v>1956</v>
      </c>
      <c r="G497" s="143" t="s">
        <v>1957</v>
      </c>
      <c r="H497" s="143" t="s">
        <v>321</v>
      </c>
      <c r="I497" s="143" t="s">
        <v>754</v>
      </c>
      <c r="J497" s="143" t="s">
        <v>204</v>
      </c>
      <c r="K497" s="143" t="s">
        <v>204</v>
      </c>
      <c r="L497" s="143" t="s">
        <v>325</v>
      </c>
      <c r="M497" s="143" t="s">
        <v>340</v>
      </c>
      <c r="N497" s="143" t="s">
        <v>464</v>
      </c>
      <c r="O497" s="143" t="s">
        <v>339</v>
      </c>
      <c r="P497" s="143" t="s">
        <v>1347</v>
      </c>
      <c r="Q497" s="143" t="s">
        <v>413</v>
      </c>
      <c r="R497" s="143" t="s">
        <v>407</v>
      </c>
      <c r="S497" s="143" t="s">
        <v>1210</v>
      </c>
      <c r="T497" s="144">
        <v>5.53</v>
      </c>
      <c r="U497" s="143" t="s">
        <v>1958</v>
      </c>
      <c r="V497" s="146">
        <v>1.8700000000000001E-2</v>
      </c>
      <c r="W497" s="146">
        <v>3.7307E-2</v>
      </c>
      <c r="X497" s="143" t="s">
        <v>412</v>
      </c>
      <c r="Y497" s="145" t="s">
        <v>3876</v>
      </c>
      <c r="Z497" s="144">
        <v>17071999.77</v>
      </c>
      <c r="AA497" s="145" t="s">
        <v>3876</v>
      </c>
      <c r="AB497" s="143" t="s">
        <v>1959</v>
      </c>
      <c r="AC497" s="145" t="s">
        <v>3876</v>
      </c>
      <c r="AD497" s="144">
        <v>16868.843000000001</v>
      </c>
      <c r="AE497" s="145" t="s">
        <v>3876</v>
      </c>
      <c r="AF497" s="145" t="s">
        <v>3876</v>
      </c>
      <c r="AG497" s="145" t="s">
        <v>3876</v>
      </c>
      <c r="AH497" s="146">
        <v>3.2614085819826277E-2</v>
      </c>
      <c r="AI497" s="146">
        <v>6.2873814241822456E-3</v>
      </c>
      <c r="AJ497" s="147">
        <v>7.4752706789742108E-4</v>
      </c>
      <c r="AK497" s="181"/>
    </row>
    <row r="498" spans="1:37" ht="15" x14ac:dyDescent="0.2">
      <c r="A498" s="142" t="s">
        <v>1220</v>
      </c>
      <c r="B498" s="143" t="s">
        <v>1220</v>
      </c>
      <c r="C498" s="143" t="s">
        <v>1498</v>
      </c>
      <c r="D498" s="143" t="s">
        <v>1499</v>
      </c>
      <c r="E498" s="143" t="s">
        <v>313</v>
      </c>
      <c r="F498" s="143" t="s">
        <v>1973</v>
      </c>
      <c r="G498" s="143" t="s">
        <v>1974</v>
      </c>
      <c r="H498" s="143" t="s">
        <v>321</v>
      </c>
      <c r="I498" s="143" t="s">
        <v>754</v>
      </c>
      <c r="J498" s="143" t="s">
        <v>204</v>
      </c>
      <c r="K498" s="143" t="s">
        <v>204</v>
      </c>
      <c r="L498" s="143" t="s">
        <v>325</v>
      </c>
      <c r="M498" s="143" t="s">
        <v>340</v>
      </c>
      <c r="N498" s="143" t="s">
        <v>440</v>
      </c>
      <c r="O498" s="143" t="s">
        <v>339</v>
      </c>
      <c r="P498" s="143" t="s">
        <v>1502</v>
      </c>
      <c r="Q498" s="143" t="s">
        <v>415</v>
      </c>
      <c r="R498" s="143" t="s">
        <v>407</v>
      </c>
      <c r="S498" s="143" t="s">
        <v>1210</v>
      </c>
      <c r="T498" s="144">
        <v>2.99</v>
      </c>
      <c r="U498" s="143" t="s">
        <v>1975</v>
      </c>
      <c r="V498" s="146">
        <v>0.01</v>
      </c>
      <c r="W498" s="146">
        <v>2.3366999999999999E-2</v>
      </c>
      <c r="X498" s="143" t="s">
        <v>412</v>
      </c>
      <c r="Y498" s="145" t="s">
        <v>3876</v>
      </c>
      <c r="Z498" s="144">
        <v>14058784</v>
      </c>
      <c r="AA498" s="145" t="s">
        <v>3876</v>
      </c>
      <c r="AB498" s="143" t="s">
        <v>1976</v>
      </c>
      <c r="AC498" s="145" t="s">
        <v>3876</v>
      </c>
      <c r="AD498" s="144">
        <v>15260.81</v>
      </c>
      <c r="AE498" s="145" t="s">
        <v>3876</v>
      </c>
      <c r="AF498" s="145" t="s">
        <v>3876</v>
      </c>
      <c r="AG498" s="145" t="s">
        <v>3876</v>
      </c>
      <c r="AH498" s="146">
        <v>1.1698680497711238E-2</v>
      </c>
      <c r="AI498" s="146">
        <v>5.6880328821747698E-3</v>
      </c>
      <c r="AJ498" s="147">
        <v>6.762685855454118E-4</v>
      </c>
      <c r="AK498" s="181"/>
    </row>
    <row r="499" spans="1:37" ht="15" x14ac:dyDescent="0.2">
      <c r="A499" s="142" t="s">
        <v>1220</v>
      </c>
      <c r="B499" s="143" t="s">
        <v>1220</v>
      </c>
      <c r="C499" s="143" t="s">
        <v>1519</v>
      </c>
      <c r="D499" s="143" t="s">
        <v>1520</v>
      </c>
      <c r="E499" s="143" t="s">
        <v>309</v>
      </c>
      <c r="F499" s="143" t="s">
        <v>1540</v>
      </c>
      <c r="G499" s="143" t="s">
        <v>1541</v>
      </c>
      <c r="H499" s="143" t="s">
        <v>321</v>
      </c>
      <c r="I499" s="143" t="s">
        <v>754</v>
      </c>
      <c r="J499" s="143" t="s">
        <v>204</v>
      </c>
      <c r="K499" s="143" t="s">
        <v>204</v>
      </c>
      <c r="L499" s="143" t="s">
        <v>325</v>
      </c>
      <c r="M499" s="143" t="s">
        <v>340</v>
      </c>
      <c r="N499" s="143" t="s">
        <v>465</v>
      </c>
      <c r="O499" s="143" t="s">
        <v>339</v>
      </c>
      <c r="P499" s="143" t="s">
        <v>1359</v>
      </c>
      <c r="Q499" s="143" t="s">
        <v>415</v>
      </c>
      <c r="R499" s="143" t="s">
        <v>407</v>
      </c>
      <c r="S499" s="143" t="s">
        <v>1210</v>
      </c>
      <c r="T499" s="144">
        <v>2.46</v>
      </c>
      <c r="U499" s="143" t="s">
        <v>1542</v>
      </c>
      <c r="V499" s="146">
        <v>3.2800000000000003E-2</v>
      </c>
      <c r="W499" s="146">
        <v>5.8094E-2</v>
      </c>
      <c r="X499" s="143" t="s">
        <v>412</v>
      </c>
      <c r="Y499" s="145" t="s">
        <v>3876</v>
      </c>
      <c r="Z499" s="144">
        <v>12909657.24</v>
      </c>
      <c r="AA499" s="145" t="s">
        <v>3876</v>
      </c>
      <c r="AB499" s="143" t="s">
        <v>1543</v>
      </c>
      <c r="AC499" s="145" t="s">
        <v>3876</v>
      </c>
      <c r="AD499" s="144">
        <v>13994.0684</v>
      </c>
      <c r="AE499" s="145" t="s">
        <v>3876</v>
      </c>
      <c r="AF499" s="145" t="s">
        <v>3876</v>
      </c>
      <c r="AG499" s="145" t="s">
        <v>3876</v>
      </c>
      <c r="AH499" s="146">
        <v>9.337889607622326E-3</v>
      </c>
      <c r="AI499" s="146">
        <v>5.2158909862340223E-3</v>
      </c>
      <c r="AJ499" s="147">
        <v>6.2013411186028443E-4</v>
      </c>
      <c r="AK499" s="181"/>
    </row>
    <row r="500" spans="1:37" ht="15" x14ac:dyDescent="0.2">
      <c r="A500" s="142" t="s">
        <v>1220</v>
      </c>
      <c r="B500" s="143" t="s">
        <v>1220</v>
      </c>
      <c r="C500" s="143" t="s">
        <v>1468</v>
      </c>
      <c r="D500" s="143" t="s">
        <v>1469</v>
      </c>
      <c r="E500" s="143" t="s">
        <v>309</v>
      </c>
      <c r="F500" s="143" t="s">
        <v>1598</v>
      </c>
      <c r="G500" s="143" t="s">
        <v>1599</v>
      </c>
      <c r="H500" s="143" t="s">
        <v>321</v>
      </c>
      <c r="I500" s="143" t="s">
        <v>754</v>
      </c>
      <c r="J500" s="143" t="s">
        <v>204</v>
      </c>
      <c r="K500" s="143" t="s">
        <v>204</v>
      </c>
      <c r="L500" s="143" t="s">
        <v>325</v>
      </c>
      <c r="M500" s="143" t="s">
        <v>340</v>
      </c>
      <c r="N500" s="143" t="s">
        <v>448</v>
      </c>
      <c r="O500" s="143" t="s">
        <v>339</v>
      </c>
      <c r="P500" s="143" t="s">
        <v>1224</v>
      </c>
      <c r="Q500" s="143" t="s">
        <v>413</v>
      </c>
      <c r="R500" s="143" t="s">
        <v>407</v>
      </c>
      <c r="S500" s="143" t="s">
        <v>1210</v>
      </c>
      <c r="T500" s="144">
        <v>1.99</v>
      </c>
      <c r="U500" s="143" t="s">
        <v>1404</v>
      </c>
      <c r="V500" s="146">
        <v>8.3000000000000001E-3</v>
      </c>
      <c r="W500" s="146">
        <v>2.1007000000000001E-2</v>
      </c>
      <c r="X500" s="143" t="s">
        <v>412</v>
      </c>
      <c r="Y500" s="145" t="s">
        <v>3876</v>
      </c>
      <c r="Z500" s="144">
        <v>11978432</v>
      </c>
      <c r="AA500" s="145" t="s">
        <v>3876</v>
      </c>
      <c r="AB500" s="143" t="s">
        <v>1600</v>
      </c>
      <c r="AC500" s="145" t="s">
        <v>3876</v>
      </c>
      <c r="AD500" s="144">
        <v>13266.1134</v>
      </c>
      <c r="AE500" s="145" t="s">
        <v>3876</v>
      </c>
      <c r="AF500" s="145" t="s">
        <v>3876</v>
      </c>
      <c r="AG500" s="145" t="s">
        <v>3876</v>
      </c>
      <c r="AH500" s="146">
        <v>7.8756354589374529E-3</v>
      </c>
      <c r="AI500" s="146">
        <v>4.9445664618820708E-3</v>
      </c>
      <c r="AJ500" s="147">
        <v>5.8787546355283638E-4</v>
      </c>
      <c r="AK500" s="181"/>
    </row>
    <row r="501" spans="1:37" ht="15" x14ac:dyDescent="0.2">
      <c r="A501" s="142" t="s">
        <v>1220</v>
      </c>
      <c r="B501" s="143" t="s">
        <v>1220</v>
      </c>
      <c r="C501" s="143" t="s">
        <v>1349</v>
      </c>
      <c r="D501" s="143" t="s">
        <v>1350</v>
      </c>
      <c r="E501" s="143" t="s">
        <v>309</v>
      </c>
      <c r="F501" s="143" t="s">
        <v>1587</v>
      </c>
      <c r="G501" s="143" t="s">
        <v>1588</v>
      </c>
      <c r="H501" s="143" t="s">
        <v>321</v>
      </c>
      <c r="I501" s="143" t="s">
        <v>754</v>
      </c>
      <c r="J501" s="143" t="s">
        <v>204</v>
      </c>
      <c r="K501" s="143" t="s">
        <v>204</v>
      </c>
      <c r="L501" s="143" t="s">
        <v>325</v>
      </c>
      <c r="M501" s="143" t="s">
        <v>340</v>
      </c>
      <c r="N501" s="143" t="s">
        <v>448</v>
      </c>
      <c r="O501" s="143" t="s">
        <v>339</v>
      </c>
      <c r="P501" s="143" t="s">
        <v>1209</v>
      </c>
      <c r="Q501" s="143" t="s">
        <v>415</v>
      </c>
      <c r="R501" s="143" t="s">
        <v>407</v>
      </c>
      <c r="S501" s="143" t="s">
        <v>1210</v>
      </c>
      <c r="T501" s="144">
        <v>0.67</v>
      </c>
      <c r="U501" s="143" t="s">
        <v>1589</v>
      </c>
      <c r="V501" s="146">
        <v>9.4999999999999998E-3</v>
      </c>
      <c r="W501" s="146">
        <v>2.8906999999999999E-2</v>
      </c>
      <c r="X501" s="143" t="s">
        <v>412</v>
      </c>
      <c r="Y501" s="145" t="s">
        <v>3876</v>
      </c>
      <c r="Z501" s="144">
        <v>11522101.35</v>
      </c>
      <c r="AA501" s="145" t="s">
        <v>3876</v>
      </c>
      <c r="AB501" s="143" t="s">
        <v>1590</v>
      </c>
      <c r="AC501" s="145" t="s">
        <v>3876</v>
      </c>
      <c r="AD501" s="144">
        <v>13060.3019</v>
      </c>
      <c r="AE501" s="145" t="s">
        <v>3876</v>
      </c>
      <c r="AF501" s="145" t="s">
        <v>3876</v>
      </c>
      <c r="AG501" s="145" t="s">
        <v>3876</v>
      </c>
      <c r="AH501" s="146">
        <v>7.1691250922615413E-2</v>
      </c>
      <c r="AI501" s="146">
        <v>4.8678560567936681E-3</v>
      </c>
      <c r="AJ501" s="147">
        <v>5.787551159352406E-4</v>
      </c>
      <c r="AK501" s="181"/>
    </row>
    <row r="502" spans="1:37" ht="15" x14ac:dyDescent="0.2">
      <c r="A502" s="142" t="s">
        <v>1220</v>
      </c>
      <c r="B502" s="143" t="s">
        <v>1220</v>
      </c>
      <c r="C502" s="143" t="s">
        <v>1749</v>
      </c>
      <c r="D502" s="143" t="s">
        <v>1750</v>
      </c>
      <c r="E502" s="143" t="s">
        <v>309</v>
      </c>
      <c r="F502" s="143" t="s">
        <v>1751</v>
      </c>
      <c r="G502" s="143" t="s">
        <v>1752</v>
      </c>
      <c r="H502" s="143" t="s">
        <v>321</v>
      </c>
      <c r="I502" s="143" t="s">
        <v>754</v>
      </c>
      <c r="J502" s="143" t="s">
        <v>204</v>
      </c>
      <c r="K502" s="143" t="s">
        <v>204</v>
      </c>
      <c r="L502" s="143" t="s">
        <v>325</v>
      </c>
      <c r="M502" s="143" t="s">
        <v>340</v>
      </c>
      <c r="N502" s="143" t="s">
        <v>443</v>
      </c>
      <c r="O502" s="143" t="s">
        <v>339</v>
      </c>
      <c r="P502" s="143" t="s">
        <v>1617</v>
      </c>
      <c r="Q502" s="143" t="s">
        <v>415</v>
      </c>
      <c r="R502" s="143" t="s">
        <v>407</v>
      </c>
      <c r="S502" s="143" t="s">
        <v>1210</v>
      </c>
      <c r="T502" s="144">
        <v>1.04</v>
      </c>
      <c r="U502" s="143" t="s">
        <v>1753</v>
      </c>
      <c r="V502" s="146">
        <v>1.8499999999999999E-2</v>
      </c>
      <c r="W502" s="146">
        <v>2.9201000000000001E-2</v>
      </c>
      <c r="X502" s="143" t="s">
        <v>412</v>
      </c>
      <c r="Y502" s="145" t="s">
        <v>3876</v>
      </c>
      <c r="Z502" s="144">
        <v>11431181.039999999</v>
      </c>
      <c r="AA502" s="145" t="s">
        <v>3876</v>
      </c>
      <c r="AB502" s="143" t="s">
        <v>1754</v>
      </c>
      <c r="AC502" s="145" t="s">
        <v>3876</v>
      </c>
      <c r="AD502" s="144">
        <v>12839.502500000001</v>
      </c>
      <c r="AE502" s="145" t="s">
        <v>3876</v>
      </c>
      <c r="AF502" s="145" t="s">
        <v>3876</v>
      </c>
      <c r="AG502" s="145" t="s">
        <v>3876</v>
      </c>
      <c r="AH502" s="146">
        <v>3.0995610195227764E-2</v>
      </c>
      <c r="AI502" s="146">
        <v>4.7855593843727021E-3</v>
      </c>
      <c r="AJ502" s="147">
        <v>5.6897059896670612E-4</v>
      </c>
      <c r="AK502" s="181"/>
    </row>
    <row r="503" spans="1:37" ht="15" x14ac:dyDescent="0.2">
      <c r="A503" s="142" t="s">
        <v>1220</v>
      </c>
      <c r="B503" s="143" t="s">
        <v>1220</v>
      </c>
      <c r="C503" s="143" t="s">
        <v>1717</v>
      </c>
      <c r="D503" s="143" t="s">
        <v>1718</v>
      </c>
      <c r="E503" s="143" t="s">
        <v>309</v>
      </c>
      <c r="F503" s="143" t="s">
        <v>1746</v>
      </c>
      <c r="G503" s="143" t="s">
        <v>1747</v>
      </c>
      <c r="H503" s="143" t="s">
        <v>321</v>
      </c>
      <c r="I503" s="143" t="s">
        <v>754</v>
      </c>
      <c r="J503" s="143" t="s">
        <v>204</v>
      </c>
      <c r="K503" s="143" t="s">
        <v>204</v>
      </c>
      <c r="L503" s="143" t="s">
        <v>325</v>
      </c>
      <c r="M503" s="143" t="s">
        <v>340</v>
      </c>
      <c r="N503" s="143" t="s">
        <v>464</v>
      </c>
      <c r="O503" s="143" t="s">
        <v>339</v>
      </c>
      <c r="P503" s="143" t="s">
        <v>1502</v>
      </c>
      <c r="Q503" s="143" t="s">
        <v>415</v>
      </c>
      <c r="R503" s="143" t="s">
        <v>407</v>
      </c>
      <c r="S503" s="143" t="s">
        <v>1210</v>
      </c>
      <c r="T503" s="144">
        <v>2.8</v>
      </c>
      <c r="U503" s="143" t="s">
        <v>1542</v>
      </c>
      <c r="V503" s="146">
        <v>1.77E-2</v>
      </c>
      <c r="W503" s="146">
        <v>2.6707999999999999E-2</v>
      </c>
      <c r="X503" s="143" t="s">
        <v>412</v>
      </c>
      <c r="Y503" s="145" t="s">
        <v>3876</v>
      </c>
      <c r="Z503" s="144">
        <v>11532800.130000001</v>
      </c>
      <c r="AA503" s="145" t="s">
        <v>3876</v>
      </c>
      <c r="AB503" s="143" t="s">
        <v>1748</v>
      </c>
      <c r="AC503" s="145" t="s">
        <v>3876</v>
      </c>
      <c r="AD503" s="144">
        <v>12778.342500000001</v>
      </c>
      <c r="AE503" s="145" t="s">
        <v>3876</v>
      </c>
      <c r="AF503" s="145" t="s">
        <v>3876</v>
      </c>
      <c r="AG503" s="145" t="s">
        <v>3876</v>
      </c>
      <c r="AH503" s="146">
        <v>4.4447308871930907E-3</v>
      </c>
      <c r="AI503" s="146">
        <v>4.7627637338898713E-3</v>
      </c>
      <c r="AJ503" s="147">
        <v>5.6626035051562517E-4</v>
      </c>
      <c r="AK503" s="181"/>
    </row>
    <row r="504" spans="1:37" ht="15" x14ac:dyDescent="0.2">
      <c r="A504" s="142" t="s">
        <v>1220</v>
      </c>
      <c r="B504" s="143" t="s">
        <v>1220</v>
      </c>
      <c r="C504" s="143" t="s">
        <v>1509</v>
      </c>
      <c r="D504" s="143" t="s">
        <v>1510</v>
      </c>
      <c r="E504" s="143" t="s">
        <v>309</v>
      </c>
      <c r="F504" s="143" t="s">
        <v>1511</v>
      </c>
      <c r="G504" s="143" t="s">
        <v>1512</v>
      </c>
      <c r="H504" s="143" t="s">
        <v>321</v>
      </c>
      <c r="I504" s="143" t="s">
        <v>754</v>
      </c>
      <c r="J504" s="143" t="s">
        <v>204</v>
      </c>
      <c r="K504" s="143" t="s">
        <v>204</v>
      </c>
      <c r="L504" s="143" t="s">
        <v>325</v>
      </c>
      <c r="M504" s="143" t="s">
        <v>340</v>
      </c>
      <c r="N504" s="143" t="s">
        <v>448</v>
      </c>
      <c r="O504" s="143" t="s">
        <v>339</v>
      </c>
      <c r="P504" s="143" t="s">
        <v>1347</v>
      </c>
      <c r="Q504" s="143" t="s">
        <v>413</v>
      </c>
      <c r="R504" s="143" t="s">
        <v>407</v>
      </c>
      <c r="S504" s="143" t="s">
        <v>1210</v>
      </c>
      <c r="T504" s="144">
        <v>1.48</v>
      </c>
      <c r="U504" s="143" t="s">
        <v>1513</v>
      </c>
      <c r="V504" s="146">
        <v>2E-3</v>
      </c>
      <c r="W504" s="146">
        <v>2.0419E-2</v>
      </c>
      <c r="X504" s="143" t="s">
        <v>412</v>
      </c>
      <c r="Y504" s="145" t="s">
        <v>3876</v>
      </c>
      <c r="Z504" s="144">
        <v>11550750</v>
      </c>
      <c r="AA504" s="145" t="s">
        <v>3876</v>
      </c>
      <c r="AB504" s="143" t="s">
        <v>1514</v>
      </c>
      <c r="AC504" s="145" t="s">
        <v>3876</v>
      </c>
      <c r="AD504" s="144">
        <v>12649.2263</v>
      </c>
      <c r="AE504" s="145" t="s">
        <v>3876</v>
      </c>
      <c r="AF504" s="145" t="s">
        <v>3876</v>
      </c>
      <c r="AG504" s="145" t="s">
        <v>3876</v>
      </c>
      <c r="AH504" s="146">
        <v>2.7618804880830253E-2</v>
      </c>
      <c r="AI504" s="146">
        <v>4.7146393356448492E-3</v>
      </c>
      <c r="AJ504" s="147">
        <v>5.6053868550321373E-4</v>
      </c>
      <c r="AK504" s="181"/>
    </row>
    <row r="505" spans="1:37" ht="15" x14ac:dyDescent="0.2">
      <c r="A505" s="142" t="s">
        <v>1220</v>
      </c>
      <c r="B505" s="143" t="s">
        <v>1220</v>
      </c>
      <c r="C505" s="143" t="s">
        <v>1607</v>
      </c>
      <c r="D505" s="143" t="s">
        <v>1608</v>
      </c>
      <c r="E505" s="143" t="s">
        <v>309</v>
      </c>
      <c r="F505" s="143" t="s">
        <v>1609</v>
      </c>
      <c r="G505" s="143" t="s">
        <v>1610</v>
      </c>
      <c r="H505" s="143" t="s">
        <v>321</v>
      </c>
      <c r="I505" s="143" t="s">
        <v>754</v>
      </c>
      <c r="J505" s="143" t="s">
        <v>204</v>
      </c>
      <c r="K505" s="143" t="s">
        <v>204</v>
      </c>
      <c r="L505" s="143" t="s">
        <v>325</v>
      </c>
      <c r="M505" s="143" t="s">
        <v>340</v>
      </c>
      <c r="N505" s="143" t="s">
        <v>448</v>
      </c>
      <c r="O505" s="143" t="s">
        <v>339</v>
      </c>
      <c r="P505" s="143" t="s">
        <v>1224</v>
      </c>
      <c r="Q505" s="143" t="s">
        <v>413</v>
      </c>
      <c r="R505" s="143" t="s">
        <v>407</v>
      </c>
      <c r="S505" s="143" t="s">
        <v>1210</v>
      </c>
      <c r="T505" s="144">
        <v>2.98</v>
      </c>
      <c r="U505" s="143" t="s">
        <v>1611</v>
      </c>
      <c r="V505" s="146">
        <v>1.4999999999999999E-2</v>
      </c>
      <c r="W505" s="146">
        <v>2.4263E-2</v>
      </c>
      <c r="X505" s="143" t="s">
        <v>412</v>
      </c>
      <c r="Y505" s="145" t="s">
        <v>3876</v>
      </c>
      <c r="Z505" s="144">
        <v>11248671.300000001</v>
      </c>
      <c r="AA505" s="145" t="s">
        <v>3876</v>
      </c>
      <c r="AB505" s="143" t="s">
        <v>1612</v>
      </c>
      <c r="AC505" s="145" t="s">
        <v>3876</v>
      </c>
      <c r="AD505" s="144">
        <v>12505.1479</v>
      </c>
      <c r="AE505" s="145" t="s">
        <v>3876</v>
      </c>
      <c r="AF505" s="145" t="s">
        <v>3876</v>
      </c>
      <c r="AG505" s="145" t="s">
        <v>3876</v>
      </c>
      <c r="AH505" s="146">
        <v>4.0297585280864162E-2</v>
      </c>
      <c r="AI505" s="146">
        <v>4.6609381948071373E-3</v>
      </c>
      <c r="AJ505" s="147">
        <v>5.5415398356692522E-4</v>
      </c>
      <c r="AK505" s="181"/>
    </row>
    <row r="506" spans="1:37" ht="15" x14ac:dyDescent="0.2">
      <c r="A506" s="142" t="s">
        <v>1220</v>
      </c>
      <c r="B506" s="143" t="s">
        <v>1220</v>
      </c>
      <c r="C506" s="143" t="s">
        <v>1626</v>
      </c>
      <c r="D506" s="143" t="s">
        <v>1627</v>
      </c>
      <c r="E506" s="143" t="s">
        <v>309</v>
      </c>
      <c r="F506" s="143" t="s">
        <v>1628</v>
      </c>
      <c r="G506" s="143" t="s">
        <v>1629</v>
      </c>
      <c r="H506" s="143" t="s">
        <v>321</v>
      </c>
      <c r="I506" s="143" t="s">
        <v>754</v>
      </c>
      <c r="J506" s="143" t="s">
        <v>204</v>
      </c>
      <c r="K506" s="143" t="s">
        <v>204</v>
      </c>
      <c r="L506" s="143" t="s">
        <v>325</v>
      </c>
      <c r="M506" s="143" t="s">
        <v>340</v>
      </c>
      <c r="N506" s="143" t="s">
        <v>445</v>
      </c>
      <c r="O506" s="143" t="s">
        <v>339</v>
      </c>
      <c r="P506" s="143" t="s">
        <v>1410</v>
      </c>
      <c r="Q506" s="143" t="s">
        <v>413</v>
      </c>
      <c r="R506" s="143" t="s">
        <v>407</v>
      </c>
      <c r="S506" s="143" t="s">
        <v>1210</v>
      </c>
      <c r="T506" s="144">
        <v>4.79</v>
      </c>
      <c r="U506" s="143" t="s">
        <v>1630</v>
      </c>
      <c r="V506" s="146">
        <v>4.4000000000000003E-3</v>
      </c>
      <c r="W506" s="146">
        <v>2.8766E-2</v>
      </c>
      <c r="X506" s="143" t="s">
        <v>412</v>
      </c>
      <c r="Y506" s="145" t="s">
        <v>3876</v>
      </c>
      <c r="Z506" s="144">
        <v>12241621.01</v>
      </c>
      <c r="AA506" s="145" t="s">
        <v>3876</v>
      </c>
      <c r="AB506" s="143" t="s">
        <v>1631</v>
      </c>
      <c r="AC506" s="145" t="s">
        <v>3876</v>
      </c>
      <c r="AD506" s="144">
        <v>12373.8305</v>
      </c>
      <c r="AE506" s="145" t="s">
        <v>3876</v>
      </c>
      <c r="AF506" s="145" t="s">
        <v>3876</v>
      </c>
      <c r="AG506" s="145" t="s">
        <v>3876</v>
      </c>
      <c r="AH506" s="146">
        <v>1.4351320068710227E-2</v>
      </c>
      <c r="AI506" s="146">
        <v>4.6119933811538541E-3</v>
      </c>
      <c r="AJ506" s="147">
        <v>5.4833477671901499E-4</v>
      </c>
      <c r="AK506" s="181"/>
    </row>
    <row r="507" spans="1:37" ht="15" x14ac:dyDescent="0.2">
      <c r="A507" s="142" t="s">
        <v>1220</v>
      </c>
      <c r="B507" s="143" t="s">
        <v>1220</v>
      </c>
      <c r="C507" s="143" t="s">
        <v>1735</v>
      </c>
      <c r="D507" s="143" t="s">
        <v>1736</v>
      </c>
      <c r="E507" s="143" t="s">
        <v>309</v>
      </c>
      <c r="F507" s="143" t="s">
        <v>1737</v>
      </c>
      <c r="G507" s="143" t="s">
        <v>1738</v>
      </c>
      <c r="H507" s="143" t="s">
        <v>321</v>
      </c>
      <c r="I507" s="143" t="s">
        <v>754</v>
      </c>
      <c r="J507" s="143" t="s">
        <v>204</v>
      </c>
      <c r="K507" s="143" t="s">
        <v>204</v>
      </c>
      <c r="L507" s="143" t="s">
        <v>325</v>
      </c>
      <c r="M507" s="143" t="s">
        <v>340</v>
      </c>
      <c r="N507" s="143" t="s">
        <v>464</v>
      </c>
      <c r="O507" s="143" t="s">
        <v>339</v>
      </c>
      <c r="P507" s="143" t="s">
        <v>1209</v>
      </c>
      <c r="Q507" s="143" t="s">
        <v>415</v>
      </c>
      <c r="R507" s="143" t="s">
        <v>407</v>
      </c>
      <c r="S507" s="143" t="s">
        <v>1210</v>
      </c>
      <c r="T507" s="144">
        <v>1.71</v>
      </c>
      <c r="U507" s="143" t="s">
        <v>1513</v>
      </c>
      <c r="V507" s="146">
        <v>8.3000000000000001E-3</v>
      </c>
      <c r="W507" s="146">
        <v>2.2022E-2</v>
      </c>
      <c r="X507" s="143" t="s">
        <v>412</v>
      </c>
      <c r="Y507" s="145" t="s">
        <v>3876</v>
      </c>
      <c r="Z507" s="144">
        <v>10069641.140000001</v>
      </c>
      <c r="AA507" s="145" t="s">
        <v>3876</v>
      </c>
      <c r="AB507" s="143" t="s">
        <v>1739</v>
      </c>
      <c r="AC507" s="145" t="s">
        <v>3876</v>
      </c>
      <c r="AD507" s="144">
        <v>11271.956300000002</v>
      </c>
      <c r="AE507" s="145" t="s">
        <v>3876</v>
      </c>
      <c r="AF507" s="145" t="s">
        <v>3876</v>
      </c>
      <c r="AG507" s="145" t="s">
        <v>3876</v>
      </c>
      <c r="AH507" s="146">
        <v>8.4843272011163248E-3</v>
      </c>
      <c r="AI507" s="146">
        <v>4.2013011040404127E-3</v>
      </c>
      <c r="AJ507" s="147">
        <v>4.9950624652392577E-4</v>
      </c>
      <c r="AK507" s="181"/>
    </row>
    <row r="508" spans="1:37" ht="15" x14ac:dyDescent="0.2">
      <c r="A508" s="142" t="s">
        <v>1220</v>
      </c>
      <c r="B508" s="143" t="s">
        <v>1220</v>
      </c>
      <c r="C508" s="143" t="s">
        <v>1438</v>
      </c>
      <c r="D508" s="143" t="s">
        <v>1439</v>
      </c>
      <c r="E508" s="143" t="s">
        <v>309</v>
      </c>
      <c r="F508" s="143" t="s">
        <v>1977</v>
      </c>
      <c r="G508" s="143" t="s">
        <v>1978</v>
      </c>
      <c r="H508" s="143" t="s">
        <v>321</v>
      </c>
      <c r="I508" s="143" t="s">
        <v>754</v>
      </c>
      <c r="J508" s="143" t="s">
        <v>204</v>
      </c>
      <c r="K508" s="143" t="s">
        <v>204</v>
      </c>
      <c r="L508" s="143" t="s">
        <v>325</v>
      </c>
      <c r="M508" s="143" t="s">
        <v>340</v>
      </c>
      <c r="N508" s="143" t="s">
        <v>464</v>
      </c>
      <c r="O508" s="143" t="s">
        <v>339</v>
      </c>
      <c r="P508" s="143" t="s">
        <v>1366</v>
      </c>
      <c r="Q508" s="143" t="s">
        <v>415</v>
      </c>
      <c r="R508" s="143" t="s">
        <v>407</v>
      </c>
      <c r="S508" s="143" t="s">
        <v>1210</v>
      </c>
      <c r="T508" s="144">
        <v>4.21</v>
      </c>
      <c r="U508" s="143" t="s">
        <v>1979</v>
      </c>
      <c r="V508" s="146">
        <v>5.0000000000000001E-3</v>
      </c>
      <c r="W508" s="146">
        <v>3.3514000000000002E-2</v>
      </c>
      <c r="X508" s="143" t="s">
        <v>412</v>
      </c>
      <c r="Y508" s="145" t="s">
        <v>3876</v>
      </c>
      <c r="Z508" s="144">
        <v>10916675.689999999</v>
      </c>
      <c r="AA508" s="145" t="s">
        <v>3876</v>
      </c>
      <c r="AB508" s="143" t="s">
        <v>1980</v>
      </c>
      <c r="AC508" s="145" t="s">
        <v>3876</v>
      </c>
      <c r="AD508" s="144">
        <v>10965.8007</v>
      </c>
      <c r="AE508" s="145" t="s">
        <v>3876</v>
      </c>
      <c r="AF508" s="145" t="s">
        <v>3876</v>
      </c>
      <c r="AG508" s="145" t="s">
        <v>3876</v>
      </c>
      <c r="AH508" s="146">
        <v>6.7829978311389613E-3</v>
      </c>
      <c r="AI508" s="146">
        <v>4.0871903263501258E-3</v>
      </c>
      <c r="AJ508" s="147">
        <v>4.8593924791076165E-4</v>
      </c>
      <c r="AK508" s="181"/>
    </row>
    <row r="509" spans="1:37" ht="15" x14ac:dyDescent="0.2">
      <c r="A509" s="142" t="s">
        <v>1220</v>
      </c>
      <c r="B509" s="143" t="s">
        <v>1220</v>
      </c>
      <c r="C509" s="143" t="s">
        <v>1981</v>
      </c>
      <c r="D509" s="143" t="s">
        <v>1982</v>
      </c>
      <c r="E509" s="143" t="s">
        <v>309</v>
      </c>
      <c r="F509" s="143" t="s">
        <v>1983</v>
      </c>
      <c r="G509" s="143" t="s">
        <v>1984</v>
      </c>
      <c r="H509" s="143" t="s">
        <v>321</v>
      </c>
      <c r="I509" s="143" t="s">
        <v>754</v>
      </c>
      <c r="J509" s="143" t="s">
        <v>204</v>
      </c>
      <c r="K509" s="143" t="s">
        <v>204</v>
      </c>
      <c r="L509" s="143" t="s">
        <v>325</v>
      </c>
      <c r="M509" s="143" t="s">
        <v>340</v>
      </c>
      <c r="N509" s="143" t="s">
        <v>451</v>
      </c>
      <c r="O509" s="143" t="s">
        <v>339</v>
      </c>
      <c r="P509" s="145" t="s">
        <v>3876</v>
      </c>
      <c r="Q509" s="143" t="s">
        <v>410</v>
      </c>
      <c r="R509" s="143" t="s">
        <v>410</v>
      </c>
      <c r="S509" s="143" t="s">
        <v>1210</v>
      </c>
      <c r="T509" s="144">
        <v>3.02</v>
      </c>
      <c r="U509" s="143" t="s">
        <v>1542</v>
      </c>
      <c r="V509" s="146">
        <v>3.6999999999999998E-2</v>
      </c>
      <c r="W509" s="146">
        <v>4.7534E-2</v>
      </c>
      <c r="X509" s="143" t="s">
        <v>412</v>
      </c>
      <c r="Y509" s="145" t="s">
        <v>3876</v>
      </c>
      <c r="Z509" s="144">
        <v>9592852.8900000006</v>
      </c>
      <c r="AA509" s="145" t="s">
        <v>3876</v>
      </c>
      <c r="AB509" s="143" t="s">
        <v>1985</v>
      </c>
      <c r="AC509" s="145" t="s">
        <v>3876</v>
      </c>
      <c r="AD509" s="144">
        <v>10575.161</v>
      </c>
      <c r="AE509" s="145" t="s">
        <v>3876</v>
      </c>
      <c r="AF509" s="145" t="s">
        <v>3876</v>
      </c>
      <c r="AG509" s="145" t="s">
        <v>3876</v>
      </c>
      <c r="AH509" s="146">
        <v>1.2147515405930433E-2</v>
      </c>
      <c r="AI509" s="146">
        <v>3.941590487247148E-3</v>
      </c>
      <c r="AJ509" s="147">
        <v>4.6862841316605049E-4</v>
      </c>
      <c r="AK509" s="181"/>
    </row>
    <row r="510" spans="1:37" ht="15" x14ac:dyDescent="0.2">
      <c r="A510" s="142" t="s">
        <v>1220</v>
      </c>
      <c r="B510" s="143" t="s">
        <v>1220</v>
      </c>
      <c r="C510" s="143" t="s">
        <v>1740</v>
      </c>
      <c r="D510" s="143" t="s">
        <v>1741</v>
      </c>
      <c r="E510" s="143" t="s">
        <v>309</v>
      </c>
      <c r="F510" s="143" t="s">
        <v>1755</v>
      </c>
      <c r="G510" s="143" t="s">
        <v>1756</v>
      </c>
      <c r="H510" s="143" t="s">
        <v>321</v>
      </c>
      <c r="I510" s="143" t="s">
        <v>754</v>
      </c>
      <c r="J510" s="143" t="s">
        <v>204</v>
      </c>
      <c r="K510" s="143" t="s">
        <v>204</v>
      </c>
      <c r="L510" s="143" t="s">
        <v>325</v>
      </c>
      <c r="M510" s="143" t="s">
        <v>340</v>
      </c>
      <c r="N510" s="143" t="s">
        <v>464</v>
      </c>
      <c r="O510" s="143" t="s">
        <v>339</v>
      </c>
      <c r="P510" s="143" t="s">
        <v>1366</v>
      </c>
      <c r="Q510" s="143" t="s">
        <v>415</v>
      </c>
      <c r="R510" s="143" t="s">
        <v>407</v>
      </c>
      <c r="S510" s="143" t="s">
        <v>1210</v>
      </c>
      <c r="T510" s="144">
        <v>4.45</v>
      </c>
      <c r="U510" s="143" t="s">
        <v>1715</v>
      </c>
      <c r="V510" s="146">
        <v>1.3299999999999999E-2</v>
      </c>
      <c r="W510" s="146">
        <v>3.5557999999999999E-2</v>
      </c>
      <c r="X510" s="143" t="s">
        <v>412</v>
      </c>
      <c r="Y510" s="145" t="s">
        <v>3876</v>
      </c>
      <c r="Z510" s="144">
        <v>9335127.5</v>
      </c>
      <c r="AA510" s="145" t="s">
        <v>3876</v>
      </c>
      <c r="AB510" s="143" t="s">
        <v>1757</v>
      </c>
      <c r="AC510" s="145" t="s">
        <v>3876</v>
      </c>
      <c r="AD510" s="144">
        <v>9635.7186000000002</v>
      </c>
      <c r="AE510" s="145" t="s">
        <v>3876</v>
      </c>
      <c r="AF510" s="145" t="s">
        <v>3876</v>
      </c>
      <c r="AG510" s="145" t="s">
        <v>3876</v>
      </c>
      <c r="AH510" s="146">
        <v>7.8611600000000007E-3</v>
      </c>
      <c r="AI510" s="146">
        <v>3.5914400452231004E-3</v>
      </c>
      <c r="AJ510" s="147">
        <v>4.2699789712283682E-4</v>
      </c>
      <c r="AK510" s="181"/>
    </row>
    <row r="511" spans="1:37" ht="15" x14ac:dyDescent="0.2">
      <c r="A511" s="142" t="s">
        <v>1220</v>
      </c>
      <c r="B511" s="143" t="s">
        <v>1220</v>
      </c>
      <c r="C511" s="143" t="s">
        <v>1554</v>
      </c>
      <c r="D511" s="143" t="s">
        <v>1555</v>
      </c>
      <c r="E511" s="143" t="s">
        <v>309</v>
      </c>
      <c r="F511" s="143" t="s">
        <v>1556</v>
      </c>
      <c r="G511" s="143" t="s">
        <v>1557</v>
      </c>
      <c r="H511" s="143" t="s">
        <v>321</v>
      </c>
      <c r="I511" s="143" t="s">
        <v>754</v>
      </c>
      <c r="J511" s="143" t="s">
        <v>204</v>
      </c>
      <c r="K511" s="143" t="s">
        <v>204</v>
      </c>
      <c r="L511" s="143" t="s">
        <v>325</v>
      </c>
      <c r="M511" s="143" t="s">
        <v>340</v>
      </c>
      <c r="N511" s="143" t="s">
        <v>464</v>
      </c>
      <c r="O511" s="143" t="s">
        <v>339</v>
      </c>
      <c r="P511" s="143" t="s">
        <v>1410</v>
      </c>
      <c r="Q511" s="143" t="s">
        <v>413</v>
      </c>
      <c r="R511" s="143" t="s">
        <v>407</v>
      </c>
      <c r="S511" s="143" t="s">
        <v>1210</v>
      </c>
      <c r="T511" s="144">
        <v>2.4300000000000002</v>
      </c>
      <c r="U511" s="143" t="s">
        <v>1299</v>
      </c>
      <c r="V511" s="146">
        <v>2.3400000000000001E-2</v>
      </c>
      <c r="W511" s="146">
        <v>2.7517E-2</v>
      </c>
      <c r="X511" s="143" t="s">
        <v>412</v>
      </c>
      <c r="Y511" s="145" t="s">
        <v>3876</v>
      </c>
      <c r="Z511" s="144">
        <v>8193120.7400000002</v>
      </c>
      <c r="AA511" s="145" t="s">
        <v>3876</v>
      </c>
      <c r="AB511" s="143" t="s">
        <v>1558</v>
      </c>
      <c r="AC511" s="145" t="s">
        <v>3876</v>
      </c>
      <c r="AD511" s="144">
        <v>9264.7808999999997</v>
      </c>
      <c r="AE511" s="145" t="s">
        <v>3876</v>
      </c>
      <c r="AF511" s="145" t="s">
        <v>3876</v>
      </c>
      <c r="AG511" s="145" t="s">
        <v>3876</v>
      </c>
      <c r="AH511" s="146">
        <v>3.8838107882861652E-3</v>
      </c>
      <c r="AI511" s="146">
        <v>3.4531835781563928E-3</v>
      </c>
      <c r="AJ511" s="147">
        <v>4.1056013957774338E-4</v>
      </c>
      <c r="AK511" s="181"/>
    </row>
    <row r="512" spans="1:37" ht="15" x14ac:dyDescent="0.2">
      <c r="A512" s="142" t="s">
        <v>1220</v>
      </c>
      <c r="B512" s="143" t="s">
        <v>1220</v>
      </c>
      <c r="C512" s="143" t="s">
        <v>1343</v>
      </c>
      <c r="D512" s="143" t="s">
        <v>1344</v>
      </c>
      <c r="E512" s="143" t="s">
        <v>309</v>
      </c>
      <c r="F512" s="143" t="s">
        <v>1525</v>
      </c>
      <c r="G512" s="143" t="s">
        <v>1526</v>
      </c>
      <c r="H512" s="143" t="s">
        <v>321</v>
      </c>
      <c r="I512" s="143" t="s">
        <v>754</v>
      </c>
      <c r="J512" s="143" t="s">
        <v>204</v>
      </c>
      <c r="K512" s="143" t="s">
        <v>204</v>
      </c>
      <c r="L512" s="143" t="s">
        <v>325</v>
      </c>
      <c r="M512" s="143" t="s">
        <v>340</v>
      </c>
      <c r="N512" s="143" t="s">
        <v>445</v>
      </c>
      <c r="O512" s="143" t="s">
        <v>339</v>
      </c>
      <c r="P512" s="143" t="s">
        <v>1347</v>
      </c>
      <c r="Q512" s="143" t="s">
        <v>413</v>
      </c>
      <c r="R512" s="143" t="s">
        <v>407</v>
      </c>
      <c r="S512" s="143" t="s">
        <v>1210</v>
      </c>
      <c r="T512" s="144">
        <v>1.06</v>
      </c>
      <c r="U512" s="143" t="s">
        <v>1373</v>
      </c>
      <c r="V512" s="146">
        <v>2.4799999999999999E-2</v>
      </c>
      <c r="W512" s="146">
        <v>2.7913E-2</v>
      </c>
      <c r="X512" s="143" t="s">
        <v>412</v>
      </c>
      <c r="Y512" s="145" t="s">
        <v>3876</v>
      </c>
      <c r="Z512" s="144">
        <v>7929900.5700000003</v>
      </c>
      <c r="AA512" s="145" t="s">
        <v>3876</v>
      </c>
      <c r="AB512" s="143" t="s">
        <v>1527</v>
      </c>
      <c r="AC512" s="145" t="s">
        <v>3876</v>
      </c>
      <c r="AD512" s="144">
        <v>9086.0800999999992</v>
      </c>
      <c r="AE512" s="145" t="s">
        <v>3876</v>
      </c>
      <c r="AF512" s="145" t="s">
        <v>3876</v>
      </c>
      <c r="AG512" s="145" t="s">
        <v>3876</v>
      </c>
      <c r="AH512" s="146">
        <v>1.872528635885148E-2</v>
      </c>
      <c r="AI512" s="146">
        <v>3.3865779154271217E-3</v>
      </c>
      <c r="AJ512" s="147">
        <v>4.0264117738882983E-4</v>
      </c>
      <c r="AK512" s="181"/>
    </row>
    <row r="513" spans="1:37" ht="15" x14ac:dyDescent="0.2">
      <c r="A513" s="142" t="s">
        <v>1220</v>
      </c>
      <c r="B513" s="143" t="s">
        <v>1220</v>
      </c>
      <c r="C513" s="143" t="s">
        <v>1519</v>
      </c>
      <c r="D513" s="143" t="s">
        <v>1520</v>
      </c>
      <c r="E513" s="143" t="s">
        <v>309</v>
      </c>
      <c r="F513" s="143" t="s">
        <v>1521</v>
      </c>
      <c r="G513" s="143" t="s">
        <v>1522</v>
      </c>
      <c r="H513" s="143" t="s">
        <v>321</v>
      </c>
      <c r="I513" s="143" t="s">
        <v>754</v>
      </c>
      <c r="J513" s="143" t="s">
        <v>204</v>
      </c>
      <c r="K513" s="143" t="s">
        <v>204</v>
      </c>
      <c r="L513" s="143" t="s">
        <v>325</v>
      </c>
      <c r="M513" s="143" t="s">
        <v>340</v>
      </c>
      <c r="N513" s="143" t="s">
        <v>465</v>
      </c>
      <c r="O513" s="143" t="s">
        <v>339</v>
      </c>
      <c r="P513" s="143" t="s">
        <v>1359</v>
      </c>
      <c r="Q513" s="143" t="s">
        <v>415</v>
      </c>
      <c r="R513" s="143" t="s">
        <v>407</v>
      </c>
      <c r="S513" s="143" t="s">
        <v>1210</v>
      </c>
      <c r="T513" s="144">
        <v>2.1</v>
      </c>
      <c r="U513" s="143" t="s">
        <v>1523</v>
      </c>
      <c r="V513" s="146">
        <v>0.04</v>
      </c>
      <c r="W513" s="146">
        <v>5.3921999999999998E-2</v>
      </c>
      <c r="X513" s="143" t="s">
        <v>412</v>
      </c>
      <c r="Y513" s="145" t="s">
        <v>3876</v>
      </c>
      <c r="Z513" s="144">
        <v>7447623.5999999996</v>
      </c>
      <c r="AA513" s="145" t="s">
        <v>3876</v>
      </c>
      <c r="AB513" s="143" t="s">
        <v>1524</v>
      </c>
      <c r="AC513" s="145" t="s">
        <v>3876</v>
      </c>
      <c r="AD513" s="144">
        <v>8213.2392999999993</v>
      </c>
      <c r="AE513" s="145" t="s">
        <v>3876</v>
      </c>
      <c r="AF513" s="145" t="s">
        <v>3876</v>
      </c>
      <c r="AG513" s="145" t="s">
        <v>3876</v>
      </c>
      <c r="AH513" s="146">
        <v>3.4446693282960128E-3</v>
      </c>
      <c r="AI513" s="146">
        <v>3.0612513453868628E-3</v>
      </c>
      <c r="AJ513" s="147">
        <v>3.6396205159633827E-4</v>
      </c>
      <c r="AK513" s="181"/>
    </row>
    <row r="514" spans="1:37" ht="15" x14ac:dyDescent="0.2">
      <c r="A514" s="142" t="s">
        <v>1220</v>
      </c>
      <c r="B514" s="143" t="s">
        <v>1220</v>
      </c>
      <c r="C514" s="143" t="s">
        <v>1986</v>
      </c>
      <c r="D514" s="143" t="s">
        <v>1987</v>
      </c>
      <c r="E514" s="143" t="s">
        <v>309</v>
      </c>
      <c r="F514" s="143" t="s">
        <v>1988</v>
      </c>
      <c r="G514" s="143" t="s">
        <v>1989</v>
      </c>
      <c r="H514" s="143" t="s">
        <v>321</v>
      </c>
      <c r="I514" s="143" t="s">
        <v>754</v>
      </c>
      <c r="J514" s="143" t="s">
        <v>204</v>
      </c>
      <c r="K514" s="143" t="s">
        <v>204</v>
      </c>
      <c r="L514" s="143" t="s">
        <v>325</v>
      </c>
      <c r="M514" s="143" t="s">
        <v>340</v>
      </c>
      <c r="N514" s="143" t="s">
        <v>464</v>
      </c>
      <c r="O514" s="143" t="s">
        <v>339</v>
      </c>
      <c r="P514" s="143" t="s">
        <v>1410</v>
      </c>
      <c r="Q514" s="143" t="s">
        <v>413</v>
      </c>
      <c r="R514" s="143" t="s">
        <v>407</v>
      </c>
      <c r="S514" s="143" t="s">
        <v>1210</v>
      </c>
      <c r="T514" s="144">
        <v>1.41</v>
      </c>
      <c r="U514" s="143" t="s">
        <v>1360</v>
      </c>
      <c r="V514" s="146">
        <v>1.6E-2</v>
      </c>
      <c r="W514" s="146">
        <v>2.6533999999999999E-2</v>
      </c>
      <c r="X514" s="143" t="s">
        <v>412</v>
      </c>
      <c r="Y514" s="145" t="s">
        <v>3876</v>
      </c>
      <c r="Z514" s="144">
        <v>5358536.03</v>
      </c>
      <c r="AA514" s="145" t="s">
        <v>3876</v>
      </c>
      <c r="AB514" s="143" t="s">
        <v>1990</v>
      </c>
      <c r="AC514" s="145" t="s">
        <v>3876</v>
      </c>
      <c r="AD514" s="144">
        <v>6088.9044999999996</v>
      </c>
      <c r="AE514" s="145" t="s">
        <v>3876</v>
      </c>
      <c r="AF514" s="145" t="s">
        <v>3876</v>
      </c>
      <c r="AG514" s="145" t="s">
        <v>3876</v>
      </c>
      <c r="AH514" s="146">
        <v>1.382136476750097E-2</v>
      </c>
      <c r="AI514" s="146">
        <v>2.2694659646490161E-3</v>
      </c>
      <c r="AJ514" s="147">
        <v>2.6982413246349552E-4</v>
      </c>
      <c r="AK514" s="181"/>
    </row>
    <row r="515" spans="1:37" ht="15" x14ac:dyDescent="0.2">
      <c r="A515" s="142" t="s">
        <v>1220</v>
      </c>
      <c r="B515" s="143" t="s">
        <v>1220</v>
      </c>
      <c r="C515" s="143" t="s">
        <v>1724</v>
      </c>
      <c r="D515" s="143" t="s">
        <v>1725</v>
      </c>
      <c r="E515" s="143" t="s">
        <v>309</v>
      </c>
      <c r="F515" s="143" t="s">
        <v>1991</v>
      </c>
      <c r="G515" s="143" t="s">
        <v>1992</v>
      </c>
      <c r="H515" s="143" t="s">
        <v>321</v>
      </c>
      <c r="I515" s="143" t="s">
        <v>754</v>
      </c>
      <c r="J515" s="143" t="s">
        <v>204</v>
      </c>
      <c r="K515" s="143" t="s">
        <v>204</v>
      </c>
      <c r="L515" s="143" t="s">
        <v>325</v>
      </c>
      <c r="M515" s="143" t="s">
        <v>340</v>
      </c>
      <c r="N515" s="143" t="s">
        <v>464</v>
      </c>
      <c r="O515" s="143" t="s">
        <v>339</v>
      </c>
      <c r="P515" s="143" t="s">
        <v>1389</v>
      </c>
      <c r="Q515" s="143" t="s">
        <v>413</v>
      </c>
      <c r="R515" s="143" t="s">
        <v>407</v>
      </c>
      <c r="S515" s="143" t="s">
        <v>1210</v>
      </c>
      <c r="T515" s="144">
        <v>1.94</v>
      </c>
      <c r="U515" s="143" t="s">
        <v>1523</v>
      </c>
      <c r="V515" s="146">
        <v>2.2499999999999999E-2</v>
      </c>
      <c r="W515" s="146">
        <v>3.3989999999999999E-2</v>
      </c>
      <c r="X515" s="143" t="s">
        <v>412</v>
      </c>
      <c r="Y515" s="145" t="s">
        <v>3876</v>
      </c>
      <c r="Z515" s="144">
        <v>5110075.8099999996</v>
      </c>
      <c r="AA515" s="145" t="s">
        <v>3876</v>
      </c>
      <c r="AB515" s="143" t="s">
        <v>1993</v>
      </c>
      <c r="AC515" s="145" t="s">
        <v>3876</v>
      </c>
      <c r="AD515" s="144">
        <v>5713.5757999999996</v>
      </c>
      <c r="AE515" s="145" t="s">
        <v>3876</v>
      </c>
      <c r="AF515" s="145" t="s">
        <v>3876</v>
      </c>
      <c r="AG515" s="145" t="s">
        <v>3876</v>
      </c>
      <c r="AH515" s="146">
        <v>1.3646655640350296E-2</v>
      </c>
      <c r="AI515" s="146">
        <v>2.1295728567166648E-3</v>
      </c>
      <c r="AJ515" s="147">
        <v>2.5319178940418617E-4</v>
      </c>
      <c r="AK515" s="181"/>
    </row>
    <row r="516" spans="1:37" ht="15" x14ac:dyDescent="0.2">
      <c r="A516" s="142" t="s">
        <v>1220</v>
      </c>
      <c r="B516" s="143" t="s">
        <v>1220</v>
      </c>
      <c r="C516" s="143" t="s">
        <v>1581</v>
      </c>
      <c r="D516" s="143" t="s">
        <v>1582</v>
      </c>
      <c r="E516" s="143" t="s">
        <v>309</v>
      </c>
      <c r="F516" s="143" t="s">
        <v>1583</v>
      </c>
      <c r="G516" s="143" t="s">
        <v>1584</v>
      </c>
      <c r="H516" s="143" t="s">
        <v>321</v>
      </c>
      <c r="I516" s="143" t="s">
        <v>754</v>
      </c>
      <c r="J516" s="143" t="s">
        <v>204</v>
      </c>
      <c r="K516" s="143" t="s">
        <v>204</v>
      </c>
      <c r="L516" s="143" t="s">
        <v>325</v>
      </c>
      <c r="M516" s="143" t="s">
        <v>340</v>
      </c>
      <c r="N516" s="143" t="s">
        <v>464</v>
      </c>
      <c r="O516" s="143" t="s">
        <v>339</v>
      </c>
      <c r="P516" s="143" t="s">
        <v>1410</v>
      </c>
      <c r="Q516" s="143" t="s">
        <v>413</v>
      </c>
      <c r="R516" s="143" t="s">
        <v>407</v>
      </c>
      <c r="S516" s="143" t="s">
        <v>1210</v>
      </c>
      <c r="T516" s="144">
        <v>1.01</v>
      </c>
      <c r="U516" s="143" t="s">
        <v>1585</v>
      </c>
      <c r="V516" s="146">
        <v>2.1100000000000001E-2</v>
      </c>
      <c r="W516" s="146">
        <v>2.5402999999999998E-2</v>
      </c>
      <c r="X516" s="143" t="s">
        <v>412</v>
      </c>
      <c r="Y516" s="145" t="s">
        <v>3876</v>
      </c>
      <c r="Z516" s="144">
        <v>4528443.63</v>
      </c>
      <c r="AA516" s="145" t="s">
        <v>3876</v>
      </c>
      <c r="AB516" s="143" t="s">
        <v>1586</v>
      </c>
      <c r="AC516" s="144">
        <v>110.24260000000001</v>
      </c>
      <c r="AD516" s="144">
        <v>5292.5934999999999</v>
      </c>
      <c r="AE516" s="145" t="s">
        <v>3876</v>
      </c>
      <c r="AF516" s="145" t="s">
        <v>3876</v>
      </c>
      <c r="AG516" s="145" t="s">
        <v>3876</v>
      </c>
      <c r="AH516" s="146">
        <v>5.8889732723309517E-3</v>
      </c>
      <c r="AI516" s="146">
        <v>2.0137535042203374E-3</v>
      </c>
      <c r="AJ516" s="147">
        <v>2.3942165281849021E-4</v>
      </c>
      <c r="AK516" s="181"/>
    </row>
    <row r="517" spans="1:37" ht="15" x14ac:dyDescent="0.2">
      <c r="A517" s="142" t="s">
        <v>1220</v>
      </c>
      <c r="B517" s="143" t="s">
        <v>1220</v>
      </c>
      <c r="C517" s="143" t="s">
        <v>1519</v>
      </c>
      <c r="D517" s="143" t="s">
        <v>1520</v>
      </c>
      <c r="E517" s="143" t="s">
        <v>309</v>
      </c>
      <c r="F517" s="143" t="s">
        <v>1591</v>
      </c>
      <c r="G517" s="143" t="s">
        <v>1592</v>
      </c>
      <c r="H517" s="143" t="s">
        <v>321</v>
      </c>
      <c r="I517" s="143" t="s">
        <v>754</v>
      </c>
      <c r="J517" s="143" t="s">
        <v>204</v>
      </c>
      <c r="K517" s="143" t="s">
        <v>204</v>
      </c>
      <c r="L517" s="143" t="s">
        <v>325</v>
      </c>
      <c r="M517" s="143" t="s">
        <v>340</v>
      </c>
      <c r="N517" s="143" t="s">
        <v>465</v>
      </c>
      <c r="O517" s="143" t="s">
        <v>339</v>
      </c>
      <c r="P517" s="143" t="s">
        <v>1359</v>
      </c>
      <c r="Q517" s="143" t="s">
        <v>415</v>
      </c>
      <c r="R517" s="143" t="s">
        <v>407</v>
      </c>
      <c r="S517" s="143" t="s">
        <v>1210</v>
      </c>
      <c r="T517" s="144">
        <v>0.25</v>
      </c>
      <c r="U517" s="143" t="s">
        <v>1593</v>
      </c>
      <c r="V517" s="146">
        <v>5.3499999999999999E-2</v>
      </c>
      <c r="W517" s="146">
        <v>3.9487000000000001E-2</v>
      </c>
      <c r="X517" s="143" t="s">
        <v>412</v>
      </c>
      <c r="Y517" s="145" t="s">
        <v>3876</v>
      </c>
      <c r="Z517" s="144">
        <v>4356063.43</v>
      </c>
      <c r="AA517" s="145" t="s">
        <v>3876</v>
      </c>
      <c r="AB517" s="143" t="s">
        <v>1594</v>
      </c>
      <c r="AC517" s="145" t="s">
        <v>3876</v>
      </c>
      <c r="AD517" s="144">
        <v>5208.9805999999999</v>
      </c>
      <c r="AE517" s="145" t="s">
        <v>3876</v>
      </c>
      <c r="AF517" s="145" t="s">
        <v>3876</v>
      </c>
      <c r="AG517" s="145" t="s">
        <v>3876</v>
      </c>
      <c r="AH517" s="146">
        <v>1.3177036046954251E-2</v>
      </c>
      <c r="AI517" s="146">
        <v>1.9414993801360994E-3</v>
      </c>
      <c r="AJ517" s="147">
        <v>2.3083112683060456E-4</v>
      </c>
      <c r="AK517" s="181"/>
    </row>
    <row r="518" spans="1:37" ht="15" x14ac:dyDescent="0.2">
      <c r="A518" s="142" t="s">
        <v>1220</v>
      </c>
      <c r="B518" s="143" t="s">
        <v>1220</v>
      </c>
      <c r="C518" s="143" t="s">
        <v>1438</v>
      </c>
      <c r="D518" s="143" t="s">
        <v>1439</v>
      </c>
      <c r="E518" s="143" t="s">
        <v>309</v>
      </c>
      <c r="F518" s="143" t="s">
        <v>1994</v>
      </c>
      <c r="G518" s="143" t="s">
        <v>1995</v>
      </c>
      <c r="H518" s="143" t="s">
        <v>321</v>
      </c>
      <c r="I518" s="143" t="s">
        <v>754</v>
      </c>
      <c r="J518" s="143" t="s">
        <v>204</v>
      </c>
      <c r="K518" s="143" t="s">
        <v>204</v>
      </c>
      <c r="L518" s="143" t="s">
        <v>325</v>
      </c>
      <c r="M518" s="143" t="s">
        <v>340</v>
      </c>
      <c r="N518" s="143" t="s">
        <v>464</v>
      </c>
      <c r="O518" s="143" t="s">
        <v>339</v>
      </c>
      <c r="P518" s="143" t="s">
        <v>1366</v>
      </c>
      <c r="Q518" s="143" t="s">
        <v>415</v>
      </c>
      <c r="R518" s="143" t="s">
        <v>407</v>
      </c>
      <c r="S518" s="143" t="s">
        <v>1210</v>
      </c>
      <c r="T518" s="144">
        <v>1.21</v>
      </c>
      <c r="U518" s="143" t="s">
        <v>1996</v>
      </c>
      <c r="V518" s="146">
        <v>4.7500000000000001E-2</v>
      </c>
      <c r="W518" s="146">
        <v>2.8712000000000001E-2</v>
      </c>
      <c r="X518" s="143" t="s">
        <v>412</v>
      </c>
      <c r="Y518" s="145" t="s">
        <v>3876</v>
      </c>
      <c r="Z518" s="144">
        <v>3514697.7</v>
      </c>
      <c r="AA518" s="145" t="s">
        <v>3876</v>
      </c>
      <c r="AB518" s="143" t="s">
        <v>1997</v>
      </c>
      <c r="AC518" s="145" t="s">
        <v>3876</v>
      </c>
      <c r="AD518" s="144">
        <v>5011.6075000000001</v>
      </c>
      <c r="AE518" s="145" t="s">
        <v>3876</v>
      </c>
      <c r="AF518" s="145" t="s">
        <v>3876</v>
      </c>
      <c r="AG518" s="145" t="s">
        <v>3876</v>
      </c>
      <c r="AH518" s="146">
        <v>3.6781312660595831E-3</v>
      </c>
      <c r="AI518" s="146">
        <v>1.8679341339564552E-3</v>
      </c>
      <c r="AJ518" s="147">
        <v>2.2208471730559729E-4</v>
      </c>
      <c r="AK518" s="181"/>
    </row>
    <row r="519" spans="1:37" ht="15" x14ac:dyDescent="0.2">
      <c r="A519" s="142" t="s">
        <v>1220</v>
      </c>
      <c r="B519" s="143" t="s">
        <v>1220</v>
      </c>
      <c r="C519" s="143" t="s">
        <v>1581</v>
      </c>
      <c r="D519" s="143" t="s">
        <v>1582</v>
      </c>
      <c r="E519" s="143" t="s">
        <v>309</v>
      </c>
      <c r="F519" s="143" t="s">
        <v>1998</v>
      </c>
      <c r="G519" s="143" t="s">
        <v>1999</v>
      </c>
      <c r="H519" s="143" t="s">
        <v>321</v>
      </c>
      <c r="I519" s="143" t="s">
        <v>754</v>
      </c>
      <c r="J519" s="143" t="s">
        <v>204</v>
      </c>
      <c r="K519" s="143" t="s">
        <v>204</v>
      </c>
      <c r="L519" s="143" t="s">
        <v>325</v>
      </c>
      <c r="M519" s="143" t="s">
        <v>340</v>
      </c>
      <c r="N519" s="143" t="s">
        <v>464</v>
      </c>
      <c r="O519" s="143" t="s">
        <v>339</v>
      </c>
      <c r="P519" s="143" t="s">
        <v>1410</v>
      </c>
      <c r="Q519" s="143" t="s">
        <v>413</v>
      </c>
      <c r="R519" s="143" t="s">
        <v>407</v>
      </c>
      <c r="S519" s="143" t="s">
        <v>1210</v>
      </c>
      <c r="T519" s="144">
        <v>1.01</v>
      </c>
      <c r="U519" s="143" t="s">
        <v>1585</v>
      </c>
      <c r="V519" s="146">
        <v>9.5983000000000006E-3</v>
      </c>
      <c r="W519" s="146">
        <v>2.7944E-2</v>
      </c>
      <c r="X519" s="143" t="s">
        <v>412</v>
      </c>
      <c r="Y519" s="145" t="s">
        <v>3876</v>
      </c>
      <c r="Z519" s="144">
        <v>4087955.89</v>
      </c>
      <c r="AA519" s="145" t="s">
        <v>3876</v>
      </c>
      <c r="AB519" s="143" t="s">
        <v>2000</v>
      </c>
      <c r="AC519" s="144">
        <v>112.40769999999999</v>
      </c>
      <c r="AD519" s="144">
        <v>4803.7459000000008</v>
      </c>
      <c r="AE519" s="145" t="s">
        <v>3876</v>
      </c>
      <c r="AF519" s="145" t="s">
        <v>3876</v>
      </c>
      <c r="AG519" s="145" t="s">
        <v>3876</v>
      </c>
      <c r="AH519" s="146">
        <v>5.0750254079580783E-3</v>
      </c>
      <c r="AI519" s="146">
        <v>1.8323564035648767E-3</v>
      </c>
      <c r="AJ519" s="147">
        <v>2.1785476612436755E-4</v>
      </c>
      <c r="AK519" s="181"/>
    </row>
    <row r="520" spans="1:37" ht="15" x14ac:dyDescent="0.2">
      <c r="A520" s="142" t="s">
        <v>1220</v>
      </c>
      <c r="B520" s="143" t="s">
        <v>1220</v>
      </c>
      <c r="C520" s="143" t="s">
        <v>1613</v>
      </c>
      <c r="D520" s="143" t="s">
        <v>1614</v>
      </c>
      <c r="E520" s="143" t="s">
        <v>309</v>
      </c>
      <c r="F520" s="143" t="s">
        <v>1632</v>
      </c>
      <c r="G520" s="143" t="s">
        <v>1633</v>
      </c>
      <c r="H520" s="143" t="s">
        <v>321</v>
      </c>
      <c r="I520" s="143" t="s">
        <v>754</v>
      </c>
      <c r="J520" s="143" t="s">
        <v>204</v>
      </c>
      <c r="K520" s="143" t="s">
        <v>204</v>
      </c>
      <c r="L520" s="143" t="s">
        <v>325</v>
      </c>
      <c r="M520" s="143" t="s">
        <v>340</v>
      </c>
      <c r="N520" s="143" t="s">
        <v>445</v>
      </c>
      <c r="O520" s="143" t="s">
        <v>339</v>
      </c>
      <c r="P520" s="143" t="s">
        <v>1617</v>
      </c>
      <c r="Q520" s="143" t="s">
        <v>415</v>
      </c>
      <c r="R520" s="143" t="s">
        <v>407</v>
      </c>
      <c r="S520" s="143" t="s">
        <v>1210</v>
      </c>
      <c r="T520" s="144">
        <v>5.55</v>
      </c>
      <c r="U520" s="143" t="s">
        <v>1634</v>
      </c>
      <c r="V520" s="146">
        <v>5.3999999999999999E-2</v>
      </c>
      <c r="W520" s="146">
        <v>6.1131999999999999E-2</v>
      </c>
      <c r="X520" s="143" t="s">
        <v>412</v>
      </c>
      <c r="Y520" s="145" t="s">
        <v>3876</v>
      </c>
      <c r="Z520" s="144">
        <v>4461830</v>
      </c>
      <c r="AA520" s="145" t="s">
        <v>3876</v>
      </c>
      <c r="AB520" s="143" t="s">
        <v>1635</v>
      </c>
      <c r="AC520" s="145" t="s">
        <v>3876</v>
      </c>
      <c r="AD520" s="144">
        <v>4314.1433999999999</v>
      </c>
      <c r="AE520" s="145" t="s">
        <v>3876</v>
      </c>
      <c r="AF520" s="145" t="s">
        <v>3876</v>
      </c>
      <c r="AG520" s="145" t="s">
        <v>3876</v>
      </c>
      <c r="AH520" s="146">
        <v>7.8071363535559902E-3</v>
      </c>
      <c r="AI520" s="146">
        <v>1.6079742569194541E-3</v>
      </c>
      <c r="AJ520" s="147">
        <v>1.9117724859294189E-4</v>
      </c>
      <c r="AK520" s="181"/>
    </row>
    <row r="521" spans="1:37" ht="15" x14ac:dyDescent="0.2">
      <c r="A521" s="142" t="s">
        <v>1220</v>
      </c>
      <c r="B521" s="143" t="s">
        <v>1220</v>
      </c>
      <c r="C521" s="143" t="s">
        <v>1853</v>
      </c>
      <c r="D521" s="143" t="s">
        <v>1854</v>
      </c>
      <c r="E521" s="143" t="s">
        <v>309</v>
      </c>
      <c r="F521" s="143" t="s">
        <v>2001</v>
      </c>
      <c r="G521" s="143" t="s">
        <v>2002</v>
      </c>
      <c r="H521" s="143" t="s">
        <v>321</v>
      </c>
      <c r="I521" s="143" t="s">
        <v>754</v>
      </c>
      <c r="J521" s="143" t="s">
        <v>204</v>
      </c>
      <c r="K521" s="143" t="s">
        <v>204</v>
      </c>
      <c r="L521" s="143" t="s">
        <v>325</v>
      </c>
      <c r="M521" s="143" t="s">
        <v>340</v>
      </c>
      <c r="N521" s="143" t="s">
        <v>464</v>
      </c>
      <c r="O521" s="143" t="s">
        <v>339</v>
      </c>
      <c r="P521" s="143" t="s">
        <v>1410</v>
      </c>
      <c r="Q521" s="143" t="s">
        <v>413</v>
      </c>
      <c r="R521" s="143" t="s">
        <v>407</v>
      </c>
      <c r="S521" s="143" t="s">
        <v>1210</v>
      </c>
      <c r="T521" s="144">
        <v>1.99</v>
      </c>
      <c r="U521" s="143" t="s">
        <v>1432</v>
      </c>
      <c r="V521" s="146">
        <v>2.4E-2</v>
      </c>
      <c r="W521" s="146">
        <v>2.7054000000000002E-2</v>
      </c>
      <c r="X521" s="143" t="s">
        <v>412</v>
      </c>
      <c r="Y521" s="145" t="s">
        <v>3876</v>
      </c>
      <c r="Z521" s="144">
        <v>3432044.72</v>
      </c>
      <c r="AA521" s="145" t="s">
        <v>3876</v>
      </c>
      <c r="AB521" s="143" t="s">
        <v>2003</v>
      </c>
      <c r="AC521" s="145" t="s">
        <v>3876</v>
      </c>
      <c r="AD521" s="144">
        <v>3921.1111000000001</v>
      </c>
      <c r="AE521" s="145" t="s">
        <v>3876</v>
      </c>
      <c r="AF521" s="145" t="s">
        <v>3876</v>
      </c>
      <c r="AG521" s="145" t="s">
        <v>3876</v>
      </c>
      <c r="AH521" s="146">
        <v>5.9480431818564753E-3</v>
      </c>
      <c r="AI521" s="146">
        <v>1.4614826331368778E-3</v>
      </c>
      <c r="AJ521" s="147">
        <v>1.737603866897428E-4</v>
      </c>
      <c r="AK521" s="181"/>
    </row>
    <row r="522" spans="1:37" ht="15" x14ac:dyDescent="0.2">
      <c r="A522" s="142" t="s">
        <v>1220</v>
      </c>
      <c r="B522" s="143" t="s">
        <v>1220</v>
      </c>
      <c r="C522" s="143" t="s">
        <v>1601</v>
      </c>
      <c r="D522" s="143" t="s">
        <v>1602</v>
      </c>
      <c r="E522" s="143" t="s">
        <v>309</v>
      </c>
      <c r="F522" s="143" t="s">
        <v>1603</v>
      </c>
      <c r="G522" s="143" t="s">
        <v>1604</v>
      </c>
      <c r="H522" s="143" t="s">
        <v>321</v>
      </c>
      <c r="I522" s="143" t="s">
        <v>754</v>
      </c>
      <c r="J522" s="143" t="s">
        <v>204</v>
      </c>
      <c r="K522" s="143" t="s">
        <v>204</v>
      </c>
      <c r="L522" s="143" t="s">
        <v>325</v>
      </c>
      <c r="M522" s="143" t="s">
        <v>340</v>
      </c>
      <c r="N522" s="143" t="s">
        <v>484</v>
      </c>
      <c r="O522" s="143" t="s">
        <v>339</v>
      </c>
      <c r="P522" s="143" t="s">
        <v>1403</v>
      </c>
      <c r="Q522" s="143" t="s">
        <v>413</v>
      </c>
      <c r="R522" s="143" t="s">
        <v>407</v>
      </c>
      <c r="S522" s="143" t="s">
        <v>1210</v>
      </c>
      <c r="T522" s="144">
        <v>0.01</v>
      </c>
      <c r="U522" s="143" t="s">
        <v>1605</v>
      </c>
      <c r="V522" s="146">
        <v>1.9800000000000002E-2</v>
      </c>
      <c r="W522" s="146">
        <v>7.3847999999999997E-2</v>
      </c>
      <c r="X522" s="143" t="s">
        <v>412</v>
      </c>
      <c r="Y522" s="145" t="s">
        <v>3876</v>
      </c>
      <c r="Z522" s="144">
        <v>1751998.16</v>
      </c>
      <c r="AA522" s="145" t="s">
        <v>3876</v>
      </c>
      <c r="AB522" s="143" t="s">
        <v>1606</v>
      </c>
      <c r="AC522" s="145" t="s">
        <v>3876</v>
      </c>
      <c r="AD522" s="144">
        <v>2009.3667</v>
      </c>
      <c r="AE522" s="145" t="s">
        <v>3876</v>
      </c>
      <c r="AF522" s="145" t="s">
        <v>3876</v>
      </c>
      <c r="AG522" s="145" t="s">
        <v>3876</v>
      </c>
      <c r="AH522" s="146">
        <v>1.1530871274733234E-2</v>
      </c>
      <c r="AI522" s="146">
        <v>7.4893428195601174E-4</v>
      </c>
      <c r="AJ522" s="147">
        <v>8.9043213711382786E-5</v>
      </c>
      <c r="AK522" s="181"/>
    </row>
    <row r="523" spans="1:37" ht="15" x14ac:dyDescent="0.2">
      <c r="A523" s="142" t="s">
        <v>1220</v>
      </c>
      <c r="B523" s="143" t="s">
        <v>1220</v>
      </c>
      <c r="C523" s="143" t="s">
        <v>1640</v>
      </c>
      <c r="D523" s="143" t="s">
        <v>1641</v>
      </c>
      <c r="E523" s="143" t="s">
        <v>309</v>
      </c>
      <c r="F523" s="143" t="s">
        <v>1642</v>
      </c>
      <c r="G523" s="143" t="s">
        <v>1643</v>
      </c>
      <c r="H523" s="143" t="s">
        <v>321</v>
      </c>
      <c r="I523" s="143" t="s">
        <v>754</v>
      </c>
      <c r="J523" s="143" t="s">
        <v>204</v>
      </c>
      <c r="K523" s="143" t="s">
        <v>204</v>
      </c>
      <c r="L523" s="143" t="s">
        <v>325</v>
      </c>
      <c r="M523" s="143" t="s">
        <v>340</v>
      </c>
      <c r="N523" s="143" t="s">
        <v>464</v>
      </c>
      <c r="O523" s="143" t="s">
        <v>339</v>
      </c>
      <c r="P523" s="143" t="s">
        <v>1366</v>
      </c>
      <c r="Q523" s="143" t="s">
        <v>415</v>
      </c>
      <c r="R523" s="143" t="s">
        <v>407</v>
      </c>
      <c r="S523" s="143" t="s">
        <v>1210</v>
      </c>
      <c r="T523" s="144">
        <v>3.16</v>
      </c>
      <c r="U523" s="143" t="s">
        <v>1644</v>
      </c>
      <c r="V523" s="146">
        <v>1.9599999999999999E-2</v>
      </c>
      <c r="W523" s="146">
        <v>2.9968999999999999E-2</v>
      </c>
      <c r="X523" s="143" t="s">
        <v>412</v>
      </c>
      <c r="Y523" s="145" t="s">
        <v>3876</v>
      </c>
      <c r="Z523" s="144">
        <v>1686289</v>
      </c>
      <c r="AA523" s="145" t="s">
        <v>3876</v>
      </c>
      <c r="AB523" s="143" t="s">
        <v>1645</v>
      </c>
      <c r="AC523" s="145" t="s">
        <v>3876</v>
      </c>
      <c r="AD523" s="144">
        <v>1873.6357</v>
      </c>
      <c r="AE523" s="145" t="s">
        <v>3876</v>
      </c>
      <c r="AF523" s="145" t="s">
        <v>3876</v>
      </c>
      <c r="AG523" s="145" t="s">
        <v>3876</v>
      </c>
      <c r="AH523" s="146">
        <v>1.4726224492353328E-3</v>
      </c>
      <c r="AI523" s="146">
        <v>6.9834441903181949E-4</v>
      </c>
      <c r="AJ523" s="147">
        <v>8.3028421646819516E-5</v>
      </c>
      <c r="AK523" s="181"/>
    </row>
    <row r="524" spans="1:37" ht="15" x14ac:dyDescent="0.2">
      <c r="A524" s="142" t="s">
        <v>1220</v>
      </c>
      <c r="B524" s="143" t="s">
        <v>1220</v>
      </c>
      <c r="C524" s="143" t="s">
        <v>1571</v>
      </c>
      <c r="D524" s="143" t="s">
        <v>1572</v>
      </c>
      <c r="E524" s="143" t="s">
        <v>309</v>
      </c>
      <c r="F524" s="143" t="s">
        <v>1636</v>
      </c>
      <c r="G524" s="143" t="s">
        <v>1637</v>
      </c>
      <c r="H524" s="143" t="s">
        <v>321</v>
      </c>
      <c r="I524" s="143" t="s">
        <v>754</v>
      </c>
      <c r="J524" s="143" t="s">
        <v>204</v>
      </c>
      <c r="K524" s="143" t="s">
        <v>204</v>
      </c>
      <c r="L524" s="143" t="s">
        <v>325</v>
      </c>
      <c r="M524" s="143" t="s">
        <v>340</v>
      </c>
      <c r="N524" s="143" t="s">
        <v>440</v>
      </c>
      <c r="O524" s="143" t="s">
        <v>339</v>
      </c>
      <c r="P524" s="143" t="s">
        <v>1347</v>
      </c>
      <c r="Q524" s="143" t="s">
        <v>413</v>
      </c>
      <c r="R524" s="143" t="s">
        <v>407</v>
      </c>
      <c r="S524" s="143" t="s">
        <v>1210</v>
      </c>
      <c r="T524" s="144">
        <v>3.31</v>
      </c>
      <c r="U524" s="143" t="s">
        <v>1638</v>
      </c>
      <c r="V524" s="146">
        <v>1.23E-2</v>
      </c>
      <c r="W524" s="146">
        <v>2.8667000000000002E-2</v>
      </c>
      <c r="X524" s="143" t="s">
        <v>412</v>
      </c>
      <c r="Y524" s="145" t="s">
        <v>3876</v>
      </c>
      <c r="Z524" s="144">
        <v>1547117.63</v>
      </c>
      <c r="AA524" s="145" t="s">
        <v>3876</v>
      </c>
      <c r="AB524" s="143" t="s">
        <v>1639</v>
      </c>
      <c r="AC524" s="145" t="s">
        <v>3876</v>
      </c>
      <c r="AD524" s="144">
        <v>1676.7661000000001</v>
      </c>
      <c r="AE524" s="145" t="s">
        <v>3876</v>
      </c>
      <c r="AF524" s="145" t="s">
        <v>3876</v>
      </c>
      <c r="AG524" s="145" t="s">
        <v>3876</v>
      </c>
      <c r="AH524" s="146">
        <v>1.3876852479272495E-3</v>
      </c>
      <c r="AI524" s="146">
        <v>6.2496686747385405E-4</v>
      </c>
      <c r="AJ524" s="147">
        <v>7.4304327741103922E-5</v>
      </c>
      <c r="AK524" s="181"/>
    </row>
    <row r="525" spans="1:37" ht="15" x14ac:dyDescent="0.2">
      <c r="A525" s="142" t="s">
        <v>1220</v>
      </c>
      <c r="B525" s="143" t="s">
        <v>1220</v>
      </c>
      <c r="C525" s="143" t="s">
        <v>1740</v>
      </c>
      <c r="D525" s="143" t="s">
        <v>1741</v>
      </c>
      <c r="E525" s="143" t="s">
        <v>309</v>
      </c>
      <c r="F525" s="143" t="s">
        <v>2008</v>
      </c>
      <c r="G525" s="143" t="s">
        <v>2009</v>
      </c>
      <c r="H525" s="143" t="s">
        <v>321</v>
      </c>
      <c r="I525" s="143" t="s">
        <v>754</v>
      </c>
      <c r="J525" s="143" t="s">
        <v>204</v>
      </c>
      <c r="K525" s="143" t="s">
        <v>204</v>
      </c>
      <c r="L525" s="143" t="s">
        <v>325</v>
      </c>
      <c r="M525" s="143" t="s">
        <v>340</v>
      </c>
      <c r="N525" s="143" t="s">
        <v>464</v>
      </c>
      <c r="O525" s="143" t="s">
        <v>339</v>
      </c>
      <c r="P525" s="143" t="s">
        <v>1347</v>
      </c>
      <c r="Q525" s="143" t="s">
        <v>413</v>
      </c>
      <c r="R525" s="143" t="s">
        <v>407</v>
      </c>
      <c r="S525" s="143" t="s">
        <v>1210</v>
      </c>
      <c r="T525" s="144">
        <v>0.85</v>
      </c>
      <c r="U525" s="143" t="s">
        <v>2010</v>
      </c>
      <c r="V525" s="146">
        <v>2.5000000000000001E-2</v>
      </c>
      <c r="W525" s="146">
        <v>2.9173000000000001E-2</v>
      </c>
      <c r="X525" s="143" t="s">
        <v>412</v>
      </c>
      <c r="Y525" s="145" t="s">
        <v>3876</v>
      </c>
      <c r="Z525" s="144">
        <v>416032.9</v>
      </c>
      <c r="AA525" s="145" t="s">
        <v>3876</v>
      </c>
      <c r="AB525" s="143" t="s">
        <v>2011</v>
      </c>
      <c r="AC525" s="145" t="s">
        <v>3876</v>
      </c>
      <c r="AD525" s="144">
        <v>473.32059999999996</v>
      </c>
      <c r="AE525" s="145" t="s">
        <v>3876</v>
      </c>
      <c r="AF525" s="145" t="s">
        <v>3876</v>
      </c>
      <c r="AG525" s="145" t="s">
        <v>3876</v>
      </c>
      <c r="AH525" s="146">
        <v>1.7665793224552471E-3</v>
      </c>
      <c r="AI525" s="146">
        <v>1.7641680248187293E-4</v>
      </c>
      <c r="AJ525" s="147">
        <v>2.0974762972053212E-5</v>
      </c>
      <c r="AK525" s="181"/>
    </row>
    <row r="526" spans="1:37" ht="15" x14ac:dyDescent="0.2">
      <c r="A526" s="142" t="s">
        <v>1220</v>
      </c>
      <c r="B526" s="143" t="s">
        <v>1220</v>
      </c>
      <c r="C526" s="143" t="s">
        <v>1620</v>
      </c>
      <c r="D526" s="143" t="s">
        <v>1621</v>
      </c>
      <c r="E526" s="143" t="s">
        <v>309</v>
      </c>
      <c r="F526" s="143" t="s">
        <v>1622</v>
      </c>
      <c r="G526" s="143" t="s">
        <v>1623</v>
      </c>
      <c r="H526" s="143" t="s">
        <v>321</v>
      </c>
      <c r="I526" s="143" t="s">
        <v>754</v>
      </c>
      <c r="J526" s="143" t="s">
        <v>204</v>
      </c>
      <c r="K526" s="143" t="s">
        <v>204</v>
      </c>
      <c r="L526" s="143" t="s">
        <v>325</v>
      </c>
      <c r="M526" s="143" t="s">
        <v>340</v>
      </c>
      <c r="N526" s="143" t="s">
        <v>464</v>
      </c>
      <c r="O526" s="143" t="s">
        <v>339</v>
      </c>
      <c r="P526" s="143" t="s">
        <v>1410</v>
      </c>
      <c r="Q526" s="143" t="s">
        <v>413</v>
      </c>
      <c r="R526" s="143" t="s">
        <v>407</v>
      </c>
      <c r="S526" s="143" t="s">
        <v>1210</v>
      </c>
      <c r="T526" s="144">
        <v>0.22</v>
      </c>
      <c r="U526" s="143" t="s">
        <v>1624</v>
      </c>
      <c r="V526" s="146">
        <v>0.04</v>
      </c>
      <c r="W526" s="146">
        <v>2.2232999999999999E-2</v>
      </c>
      <c r="X526" s="143" t="s">
        <v>412</v>
      </c>
      <c r="Y526" s="145" t="s">
        <v>3876</v>
      </c>
      <c r="Z526" s="144">
        <v>189220.1</v>
      </c>
      <c r="AA526" s="145" t="s">
        <v>3876</v>
      </c>
      <c r="AB526" s="143" t="s">
        <v>1625</v>
      </c>
      <c r="AC526" s="145" t="s">
        <v>3876</v>
      </c>
      <c r="AD526" s="144">
        <v>217.62200000000001</v>
      </c>
      <c r="AE526" s="145" t="s">
        <v>3876</v>
      </c>
      <c r="AF526" s="145" t="s">
        <v>3876</v>
      </c>
      <c r="AG526" s="145" t="s">
        <v>3876</v>
      </c>
      <c r="AH526" s="146">
        <v>2.3242596195394635E-3</v>
      </c>
      <c r="AI526" s="146">
        <v>8.1112424556962386E-5</v>
      </c>
      <c r="AJ526" s="147">
        <v>9.6437179182274712E-6</v>
      </c>
      <c r="AK526" s="181"/>
    </row>
    <row r="527" spans="1:37" ht="15" x14ac:dyDescent="0.2">
      <c r="A527" s="142" t="s">
        <v>1220</v>
      </c>
      <c r="B527" s="143" t="s">
        <v>1220</v>
      </c>
      <c r="C527" s="143" t="s">
        <v>1717</v>
      </c>
      <c r="D527" s="143" t="s">
        <v>1718</v>
      </c>
      <c r="E527" s="143" t="s">
        <v>309</v>
      </c>
      <c r="F527" s="143" t="s">
        <v>2046</v>
      </c>
      <c r="G527" s="143" t="s">
        <v>2047</v>
      </c>
      <c r="H527" s="143" t="s">
        <v>321</v>
      </c>
      <c r="I527" s="143" t="s">
        <v>754</v>
      </c>
      <c r="J527" s="143" t="s">
        <v>204</v>
      </c>
      <c r="K527" s="143" t="s">
        <v>204</v>
      </c>
      <c r="L527" s="143" t="s">
        <v>325</v>
      </c>
      <c r="M527" s="143" t="s">
        <v>340</v>
      </c>
      <c r="N527" s="143" t="s">
        <v>464</v>
      </c>
      <c r="O527" s="143" t="s">
        <v>339</v>
      </c>
      <c r="P527" s="143" t="s">
        <v>1721</v>
      </c>
      <c r="Q527" s="143" t="s">
        <v>413</v>
      </c>
      <c r="R527" s="143" t="s">
        <v>407</v>
      </c>
      <c r="S527" s="143" t="s">
        <v>1210</v>
      </c>
      <c r="T527" s="144">
        <v>0.75</v>
      </c>
      <c r="U527" s="143" t="s">
        <v>2048</v>
      </c>
      <c r="V527" s="146">
        <v>6.4999999999999997E-3</v>
      </c>
      <c r="W527" s="146">
        <v>2.8839E-2</v>
      </c>
      <c r="X527" s="143" t="s">
        <v>412</v>
      </c>
      <c r="Y527" s="145" t="s">
        <v>3876</v>
      </c>
      <c r="Z527" s="144">
        <v>0.89</v>
      </c>
      <c r="AA527" s="145" t="s">
        <v>3876</v>
      </c>
      <c r="AB527" s="143" t="s">
        <v>2049</v>
      </c>
      <c r="AC527" s="145" t="s">
        <v>3876</v>
      </c>
      <c r="AD527" s="144">
        <v>1E-3</v>
      </c>
      <c r="AE527" s="145" t="s">
        <v>3876</v>
      </c>
      <c r="AF527" s="145" t="s">
        <v>3876</v>
      </c>
      <c r="AG527" s="145" t="s">
        <v>3876</v>
      </c>
      <c r="AH527" s="146">
        <v>1.6303691238130706E-9</v>
      </c>
      <c r="AI527" s="146">
        <v>3.7106443734680918E-10</v>
      </c>
      <c r="AJ527" s="147">
        <v>4.4117048439914477E-11</v>
      </c>
      <c r="AK527" s="181"/>
    </row>
    <row r="528" spans="1:37" ht="15" x14ac:dyDescent="0.2">
      <c r="A528" s="142" t="s">
        <v>1220</v>
      </c>
      <c r="B528" s="143" t="s">
        <v>1220</v>
      </c>
      <c r="C528" s="143" t="s">
        <v>2012</v>
      </c>
      <c r="D528" s="143" t="s">
        <v>2013</v>
      </c>
      <c r="E528" s="143" t="s">
        <v>309</v>
      </c>
      <c r="F528" s="143" t="s">
        <v>2014</v>
      </c>
      <c r="G528" s="143" t="s">
        <v>2015</v>
      </c>
      <c r="H528" s="143" t="s">
        <v>321</v>
      </c>
      <c r="I528" s="143" t="s">
        <v>755</v>
      </c>
      <c r="J528" s="143" t="s">
        <v>204</v>
      </c>
      <c r="K528" s="143" t="s">
        <v>233</v>
      </c>
      <c r="L528" s="143" t="s">
        <v>325</v>
      </c>
      <c r="M528" s="143" t="s">
        <v>340</v>
      </c>
      <c r="N528" s="143" t="s">
        <v>465</v>
      </c>
      <c r="O528" s="143" t="s">
        <v>339</v>
      </c>
      <c r="P528" s="143" t="s">
        <v>1366</v>
      </c>
      <c r="Q528" s="143" t="s">
        <v>415</v>
      </c>
      <c r="R528" s="143" t="s">
        <v>407</v>
      </c>
      <c r="S528" s="143" t="s">
        <v>1210</v>
      </c>
      <c r="T528" s="144">
        <v>3.09</v>
      </c>
      <c r="U528" s="143" t="s">
        <v>2016</v>
      </c>
      <c r="V528" s="146">
        <v>4.2999999999999997E-2</v>
      </c>
      <c r="W528" s="146">
        <v>8.4699999999999998E-2</v>
      </c>
      <c r="X528" s="143" t="s">
        <v>412</v>
      </c>
      <c r="Y528" s="145" t="s">
        <v>3876</v>
      </c>
      <c r="Z528" s="144">
        <v>18134818.039999999</v>
      </c>
      <c r="AA528" s="145" t="s">
        <v>3876</v>
      </c>
      <c r="AB528" s="143" t="s">
        <v>2017</v>
      </c>
      <c r="AC528" s="145" t="s">
        <v>3876</v>
      </c>
      <c r="AD528" s="144">
        <v>16442.839499999998</v>
      </c>
      <c r="AE528" s="145" t="s">
        <v>3876</v>
      </c>
      <c r="AF528" s="145" t="s">
        <v>3876</v>
      </c>
      <c r="AG528" s="145" t="s">
        <v>3876</v>
      </c>
      <c r="AH528" s="146">
        <v>1.6107847204048838E-2</v>
      </c>
      <c r="AI528" s="146">
        <v>6.1286007526568168E-3</v>
      </c>
      <c r="AJ528" s="147">
        <v>7.2864912144936949E-4</v>
      </c>
      <c r="AK528" s="181"/>
    </row>
    <row r="529" spans="1:37" ht="15" x14ac:dyDescent="0.2">
      <c r="A529" s="142" t="s">
        <v>1220</v>
      </c>
      <c r="B529" s="143" t="s">
        <v>1220</v>
      </c>
      <c r="C529" s="143" t="s">
        <v>2018</v>
      </c>
      <c r="D529" s="143" t="s">
        <v>2019</v>
      </c>
      <c r="E529" s="143" t="s">
        <v>309</v>
      </c>
      <c r="F529" s="143" t="s">
        <v>2020</v>
      </c>
      <c r="G529" s="143" t="s">
        <v>2021</v>
      </c>
      <c r="H529" s="143" t="s">
        <v>321</v>
      </c>
      <c r="I529" s="143" t="s">
        <v>755</v>
      </c>
      <c r="J529" s="143" t="s">
        <v>204</v>
      </c>
      <c r="K529" s="143" t="s">
        <v>204</v>
      </c>
      <c r="L529" s="143" t="s">
        <v>325</v>
      </c>
      <c r="M529" s="143" t="s">
        <v>340</v>
      </c>
      <c r="N529" s="143" t="s">
        <v>480</v>
      </c>
      <c r="O529" s="143" t="s">
        <v>339</v>
      </c>
      <c r="P529" s="143" t="s">
        <v>1347</v>
      </c>
      <c r="Q529" s="143" t="s">
        <v>413</v>
      </c>
      <c r="R529" s="143" t="s">
        <v>407</v>
      </c>
      <c r="S529" s="143" t="s">
        <v>1210</v>
      </c>
      <c r="T529" s="144">
        <v>0.98</v>
      </c>
      <c r="U529" s="143" t="s">
        <v>2022</v>
      </c>
      <c r="V529" s="146">
        <v>3.3700000000000001E-2</v>
      </c>
      <c r="W529" s="146">
        <v>6.4588000000000007E-2</v>
      </c>
      <c r="X529" s="143" t="s">
        <v>412</v>
      </c>
      <c r="Y529" s="145" t="s">
        <v>3876</v>
      </c>
      <c r="Z529" s="144">
        <v>0.35</v>
      </c>
      <c r="AA529" s="145" t="s">
        <v>3876</v>
      </c>
      <c r="AB529" s="143" t="s">
        <v>2023</v>
      </c>
      <c r="AC529" s="145" t="s">
        <v>3876</v>
      </c>
      <c r="AD529" s="144">
        <v>4.0000000000000002E-4</v>
      </c>
      <c r="AE529" s="145" t="s">
        <v>3876</v>
      </c>
      <c r="AF529" s="145" t="s">
        <v>3876</v>
      </c>
      <c r="AG529" s="145" t="s">
        <v>3876</v>
      </c>
      <c r="AH529" s="146">
        <v>2.5000000000000001E-9</v>
      </c>
      <c r="AI529" s="146">
        <v>1.4219886496801571E-10</v>
      </c>
      <c r="AJ529" s="147">
        <v>1.6906481954322894E-11</v>
      </c>
      <c r="AK529" s="181"/>
    </row>
    <row r="530" spans="1:37" ht="15" x14ac:dyDescent="0.2">
      <c r="A530" s="142" t="s">
        <v>1220</v>
      </c>
      <c r="B530" s="143" t="s">
        <v>1220</v>
      </c>
      <c r="C530" s="143" t="s">
        <v>2024</v>
      </c>
      <c r="D530" s="143" t="s">
        <v>2025</v>
      </c>
      <c r="E530" s="143" t="s">
        <v>313</v>
      </c>
      <c r="F530" s="143" t="s">
        <v>2026</v>
      </c>
      <c r="G530" s="143" t="s">
        <v>2027</v>
      </c>
      <c r="H530" s="143" t="s">
        <v>321</v>
      </c>
      <c r="I530" s="143" t="s">
        <v>755</v>
      </c>
      <c r="J530" s="143" t="s">
        <v>205</v>
      </c>
      <c r="K530" s="143" t="s">
        <v>268</v>
      </c>
      <c r="L530" s="143" t="s">
        <v>325</v>
      </c>
      <c r="M530" s="143" t="s">
        <v>364</v>
      </c>
      <c r="N530" s="143" t="s">
        <v>539</v>
      </c>
      <c r="O530" s="143" t="s">
        <v>339</v>
      </c>
      <c r="P530" s="143" t="s">
        <v>2028</v>
      </c>
      <c r="Q530" s="143" t="s">
        <v>423</v>
      </c>
      <c r="R530" s="143" t="s">
        <v>407</v>
      </c>
      <c r="S530" s="143" t="s">
        <v>1211</v>
      </c>
      <c r="T530" s="144">
        <v>2.645</v>
      </c>
      <c r="U530" s="143" t="s">
        <v>2029</v>
      </c>
      <c r="V530" s="146">
        <v>5.6250000000000001E-2</v>
      </c>
      <c r="W530" s="146">
        <v>8.7309999999999999E-2</v>
      </c>
      <c r="X530" s="143" t="s">
        <v>412</v>
      </c>
      <c r="Y530" s="145" t="s">
        <v>3876</v>
      </c>
      <c r="Z530" s="144">
        <v>6500000</v>
      </c>
      <c r="AA530" s="143" t="s">
        <v>1212</v>
      </c>
      <c r="AB530" s="143" t="s">
        <v>2030</v>
      </c>
      <c r="AC530" s="145" t="s">
        <v>3876</v>
      </c>
      <c r="AD530" s="144">
        <v>25267.757699999998</v>
      </c>
      <c r="AE530" s="145" t="s">
        <v>3876</v>
      </c>
      <c r="AF530" s="145" t="s">
        <v>3876</v>
      </c>
      <c r="AG530" s="145" t="s">
        <v>3876</v>
      </c>
      <c r="AH530" s="146">
        <v>8.1250000000000003E-3</v>
      </c>
      <c r="AI530" s="146">
        <v>9.4178380085535342E-3</v>
      </c>
      <c r="AJ530" s="147">
        <v>1.1197171536928929E-3</v>
      </c>
      <c r="AK530" s="181"/>
    </row>
    <row r="531" spans="1:37" ht="15" x14ac:dyDescent="0.2">
      <c r="A531" s="142" t="s">
        <v>1220</v>
      </c>
      <c r="B531" s="143" t="s">
        <v>1220</v>
      </c>
      <c r="C531" s="143" t="s">
        <v>2031</v>
      </c>
      <c r="D531" s="143" t="s">
        <v>2032</v>
      </c>
      <c r="E531" s="143" t="s">
        <v>313</v>
      </c>
      <c r="F531" s="143" t="s">
        <v>2033</v>
      </c>
      <c r="G531" s="143" t="s">
        <v>2034</v>
      </c>
      <c r="H531" s="143" t="s">
        <v>321</v>
      </c>
      <c r="I531" s="143" t="s">
        <v>755</v>
      </c>
      <c r="J531" s="143" t="s">
        <v>205</v>
      </c>
      <c r="K531" s="143" t="s">
        <v>233</v>
      </c>
      <c r="L531" s="143" t="s">
        <v>325</v>
      </c>
      <c r="M531" s="143" t="s">
        <v>388</v>
      </c>
      <c r="N531" s="143" t="s">
        <v>549</v>
      </c>
      <c r="O531" s="143" t="s">
        <v>339</v>
      </c>
      <c r="P531" s="143" t="s">
        <v>2035</v>
      </c>
      <c r="Q531" s="143" t="s">
        <v>433</v>
      </c>
      <c r="R531" s="143" t="s">
        <v>407</v>
      </c>
      <c r="S531" s="143" t="s">
        <v>1211</v>
      </c>
      <c r="T531" s="144">
        <v>0.249</v>
      </c>
      <c r="U531" s="143" t="s">
        <v>1341</v>
      </c>
      <c r="V531" s="146">
        <v>6.25E-2</v>
      </c>
      <c r="W531" s="146">
        <v>7.2520000000000001E-2</v>
      </c>
      <c r="X531" s="143" t="s">
        <v>412</v>
      </c>
      <c r="Y531" s="145" t="s">
        <v>3876</v>
      </c>
      <c r="Z531" s="144">
        <v>4192000</v>
      </c>
      <c r="AA531" s="143" t="s">
        <v>1212</v>
      </c>
      <c r="AB531" s="143" t="s">
        <v>2036</v>
      </c>
      <c r="AC531" s="145" t="s">
        <v>3876</v>
      </c>
      <c r="AD531" s="144">
        <v>16483.688399999999</v>
      </c>
      <c r="AE531" s="145" t="s">
        <v>3876</v>
      </c>
      <c r="AF531" s="145" t="s">
        <v>3876</v>
      </c>
      <c r="AG531" s="145" t="s">
        <v>3876</v>
      </c>
      <c r="AH531" s="146">
        <v>3.2246153846153848E-3</v>
      </c>
      <c r="AI531" s="146">
        <v>6.1438260007177599E-3</v>
      </c>
      <c r="AJ531" s="147">
        <v>7.3045930032562367E-4</v>
      </c>
      <c r="AK531" s="181"/>
    </row>
    <row r="532" spans="1:37" ht="15" x14ac:dyDescent="0.2">
      <c r="A532" s="148" t="s">
        <v>1220</v>
      </c>
      <c r="B532" s="149" t="s">
        <v>1220</v>
      </c>
      <c r="C532" s="149" t="s">
        <v>1844</v>
      </c>
      <c r="D532" s="149" t="s">
        <v>1845</v>
      </c>
      <c r="E532" s="149" t="s">
        <v>309</v>
      </c>
      <c r="F532" s="149" t="s">
        <v>2037</v>
      </c>
      <c r="G532" s="149" t="s">
        <v>2038</v>
      </c>
      <c r="H532" s="149" t="s">
        <v>321</v>
      </c>
      <c r="I532" s="149" t="s">
        <v>952</v>
      </c>
      <c r="J532" s="149" t="s">
        <v>204</v>
      </c>
      <c r="K532" s="149" t="s">
        <v>204</v>
      </c>
      <c r="L532" s="149" t="s">
        <v>325</v>
      </c>
      <c r="M532" s="149" t="s">
        <v>340</v>
      </c>
      <c r="N532" s="149" t="s">
        <v>441</v>
      </c>
      <c r="O532" s="149" t="s">
        <v>339</v>
      </c>
      <c r="P532" s="151" t="s">
        <v>3876</v>
      </c>
      <c r="Q532" s="149" t="s">
        <v>410</v>
      </c>
      <c r="R532" s="149" t="s">
        <v>410</v>
      </c>
      <c r="S532" s="149" t="s">
        <v>1210</v>
      </c>
      <c r="T532" s="150">
        <v>4.08</v>
      </c>
      <c r="U532" s="149" t="s">
        <v>1687</v>
      </c>
      <c r="V532" s="152">
        <v>0.05</v>
      </c>
      <c r="W532" s="152">
        <v>5.0389000000000003E-2</v>
      </c>
      <c r="X532" s="149" t="s">
        <v>412</v>
      </c>
      <c r="Y532" s="151" t="s">
        <v>3876</v>
      </c>
      <c r="Z532" s="150">
        <v>17567000</v>
      </c>
      <c r="AA532" s="151" t="s">
        <v>3876</v>
      </c>
      <c r="AB532" s="149" t="s">
        <v>2039</v>
      </c>
      <c r="AC532" s="151" t="s">
        <v>3876</v>
      </c>
      <c r="AD532" s="150">
        <v>17584.566999999999</v>
      </c>
      <c r="AE532" s="151" t="s">
        <v>3876</v>
      </c>
      <c r="AF532" s="151" t="s">
        <v>3876</v>
      </c>
      <c r="AG532" s="151" t="s">
        <v>3876</v>
      </c>
      <c r="AH532" s="152">
        <v>4.3103913630229418E-2</v>
      </c>
      <c r="AI532" s="152">
        <v>6.5541471982858476E-3</v>
      </c>
      <c r="AJ532" s="153">
        <v>7.7924371167603331E-4</v>
      </c>
      <c r="AK532" s="181"/>
    </row>
    <row r="533" spans="1:37" x14ac:dyDescent="0.2">
      <c r="A533" s="181" t="s">
        <v>3893</v>
      </c>
      <c r="B533" s="181"/>
      <c r="C533" s="181"/>
      <c r="D533" s="181"/>
      <c r="E533" s="181"/>
      <c r="F533" s="181"/>
      <c r="G533" s="181"/>
      <c r="H533" s="181"/>
      <c r="I533" s="181"/>
      <c r="J533" s="181"/>
      <c r="K533" s="181"/>
      <c r="L533" s="181"/>
      <c r="M533" s="181"/>
      <c r="N533" s="181"/>
      <c r="O533" s="181"/>
      <c r="P533" s="181"/>
      <c r="Q533" s="181"/>
      <c r="R533" s="181"/>
      <c r="S533" s="181"/>
      <c r="T533" s="181"/>
      <c r="U533" s="181"/>
      <c r="V533" s="181"/>
      <c r="W533" s="181"/>
      <c r="X533" s="181"/>
      <c r="Y533" s="181"/>
      <c r="Z533" s="181"/>
      <c r="AA533" s="181"/>
      <c r="AB533" s="181"/>
      <c r="AC533" s="181"/>
      <c r="AD533" s="181"/>
      <c r="AE533" s="181"/>
      <c r="AF533" s="181"/>
      <c r="AG533" s="181"/>
      <c r="AH533" s="181"/>
      <c r="AI533" s="181"/>
      <c r="AJ533" s="181"/>
    </row>
    <row r="534" spans="1:37" x14ac:dyDescent="0.2">
      <c r="A534" s="2" t="s">
        <v>3892</v>
      </c>
    </row>
    <row r="535" spans="1:37" x14ac:dyDescent="0.2">
      <c r="A535" s="17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533:AJ533"/>
    <mergeCell ref="AK2:AK532"/>
  </mergeCells>
  <dataValidations count="12">
    <dataValidation type="list" allowBlank="1" showInputMessage="1" showErrorMessage="1" sqref="J3:J21">
      <formula1>israel_abroad</formula1>
    </dataValidation>
    <dataValidation type="list" allowBlank="1" showInputMessage="1" showErrorMessage="1" sqref="O3:O21">
      <formula1>Holding_interest</formula1>
    </dataValidation>
    <dataValidation type="list" allowBlank="1" showInputMessage="1" showErrorMessage="1" sqref="Q3:Q21">
      <formula1>Rating_Agency</formula1>
    </dataValidation>
    <dataValidation type="list" allowBlank="1" showInputMessage="1" showErrorMessage="1" sqref="R3:R21">
      <formula1>What_is_rated</formula1>
    </dataValidation>
    <dataValidation type="list" allowBlank="1" showInputMessage="1" showErrorMessage="1" sqref="X3:X21">
      <formula1>Subordination_Risk</formula1>
    </dataValidation>
    <dataValidation type="list" allowBlank="1" showInputMessage="1" showErrorMessage="1" sqref="K3:K21">
      <formula1>Country_list</formula1>
    </dataValidation>
    <dataValidation type="list" allowBlank="1" showInputMessage="1" showErrorMessage="1" sqref="H4:H21">
      <formula1>Type_of_Security_ID_Fund</formula1>
    </dataValidation>
    <dataValidation type="list" allowBlank="1" showInputMessage="1" showErrorMessage="1" sqref="E3:E21">
      <formula1>Issuer_Number_Type_2</formula1>
    </dataValidation>
    <dataValidation type="list" allowBlank="1" showInputMessage="1" showErrorMessage="1" sqref="H3">
      <formula1>Security_ID_Number_Type</formula1>
    </dataValidation>
    <dataValidation type="list" allowBlank="1" showInputMessage="1" showErrorMessage="1" sqref="N3:N21">
      <formula1>Industry_Sector</formula1>
    </dataValidation>
    <dataValidation type="list" allowBlank="1" showInputMessage="1" showErrorMessage="1" sqref="L3:L21">
      <formula1>Tradeable_Status</formula1>
    </dataValidation>
    <dataValidation type="list" allowBlank="1" showInputMessage="1" showErrorMessage="1" sqref="M3:M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בחירה'!$C$874:$C$883</xm:f>
          </x14:formula1>
          <xm:sqref>I3:I21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Y277"/>
  <sheetViews>
    <sheetView rightToLeft="1" topLeftCell="E1" workbookViewId="0"/>
  </sheetViews>
  <sheetFormatPr defaultColWidth="9" defaultRowHeight="14.25" x14ac:dyDescent="0.2"/>
  <cols>
    <col min="1" max="1" width="29.375" style="4" customWidth="1"/>
    <col min="2" max="2" width="11.125" style="4" customWidth="1"/>
    <col min="3" max="3" width="33.875" style="4" bestFit="1" customWidth="1"/>
    <col min="4" max="4" width="25.5" style="4" bestFit="1" customWidth="1"/>
    <col min="5" max="5" width="18.125" style="4" customWidth="1"/>
    <col min="6" max="6" width="32.25" style="4" bestFit="1" customWidth="1"/>
    <col min="7" max="7" width="15.125" style="4" bestFit="1" customWidth="1"/>
    <col min="8" max="8" width="15.5" style="4" customWidth="1"/>
    <col min="9" max="9" width="11.5" style="4" customWidth="1"/>
    <col min="10" max="10" width="10.625" style="4" customWidth="1"/>
    <col min="11" max="11" width="19.875" style="4" customWidth="1"/>
    <col min="12" max="12" width="13.75" style="2" customWidth="1"/>
    <col min="13" max="13" width="11" style="2" bestFit="1" customWidth="1"/>
    <col min="14" max="14" width="39" style="4" bestFit="1" customWidth="1"/>
    <col min="15" max="15" width="15.125" style="4" customWidth="1"/>
    <col min="16" max="16" width="11.75" style="4" customWidth="1"/>
    <col min="17" max="17" width="14.875" style="4" customWidth="1"/>
    <col min="18" max="18" width="10.5" style="4" customWidth="1"/>
    <col min="19" max="19" width="12.875" style="4" customWidth="1"/>
    <col min="20" max="20" width="22.25" style="2" customWidth="1"/>
    <col min="21" max="21" width="17.875" style="4" customWidth="1"/>
    <col min="22" max="22" width="19" style="4" customWidth="1"/>
    <col min="23" max="23" width="21.75" style="4" customWidth="1"/>
    <col min="24" max="24" width="20.125" style="4" customWidth="1"/>
    <col min="25" max="26" width="11.625" style="4" customWidth="1"/>
    <col min="27" max="16384" width="9" style="4"/>
  </cols>
  <sheetData>
    <row r="1" spans="1:25" x14ac:dyDescent="0.2">
      <c r="A1" s="4" t="s">
        <v>3901</v>
      </c>
    </row>
    <row r="2" spans="1:25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89</v>
      </c>
      <c r="M2" s="140" t="s">
        <v>70</v>
      </c>
      <c r="N2" s="140" t="s">
        <v>83</v>
      </c>
      <c r="O2" s="140" t="s">
        <v>56</v>
      </c>
      <c r="P2" s="140" t="s">
        <v>59</v>
      </c>
      <c r="Q2" s="140" t="s">
        <v>76</v>
      </c>
      <c r="R2" s="140" t="s">
        <v>61</v>
      </c>
      <c r="S2" s="140" t="s">
        <v>77</v>
      </c>
      <c r="T2" s="140" t="s">
        <v>75</v>
      </c>
      <c r="U2" s="140" t="s">
        <v>63</v>
      </c>
      <c r="V2" s="140" t="s">
        <v>79</v>
      </c>
      <c r="W2" s="140" t="s">
        <v>64</v>
      </c>
      <c r="X2" s="141" t="s">
        <v>65</v>
      </c>
      <c r="Y2" s="183" t="s">
        <v>3894</v>
      </c>
    </row>
    <row r="3" spans="1:25" ht="15" x14ac:dyDescent="0.2">
      <c r="A3" s="142" t="s">
        <v>1205</v>
      </c>
      <c r="B3" s="143" t="s">
        <v>1205</v>
      </c>
      <c r="C3" s="143" t="s">
        <v>2050</v>
      </c>
      <c r="D3" s="143" t="s">
        <v>2051</v>
      </c>
      <c r="E3" s="143" t="s">
        <v>309</v>
      </c>
      <c r="F3" s="143" t="s">
        <v>2052</v>
      </c>
      <c r="G3" s="143" t="s">
        <v>2053</v>
      </c>
      <c r="H3" s="143" t="s">
        <v>321</v>
      </c>
      <c r="I3" s="143" t="s">
        <v>917</v>
      </c>
      <c r="J3" s="143" t="s">
        <v>204</v>
      </c>
      <c r="K3" s="143" t="s">
        <v>204</v>
      </c>
      <c r="L3" s="143" t="s">
        <v>325</v>
      </c>
      <c r="M3" s="143" t="s">
        <v>340</v>
      </c>
      <c r="N3" s="143" t="s">
        <v>467</v>
      </c>
      <c r="O3" s="143" t="s">
        <v>339</v>
      </c>
      <c r="P3" s="143" t="s">
        <v>1210</v>
      </c>
      <c r="Q3" s="144">
        <v>155449</v>
      </c>
      <c r="R3" s="145" t="s">
        <v>3876</v>
      </c>
      <c r="S3" s="143" t="s">
        <v>2054</v>
      </c>
      <c r="T3" s="145" t="s">
        <v>3876</v>
      </c>
      <c r="U3" s="144">
        <v>9513.4788000000008</v>
      </c>
      <c r="V3" s="146">
        <v>1.255246232219143E-4</v>
      </c>
      <c r="W3" s="146">
        <v>4.7356542683433756E-2</v>
      </c>
      <c r="X3" s="147">
        <v>9.5679222569267901E-3</v>
      </c>
      <c r="Y3" s="183"/>
    </row>
    <row r="4" spans="1:25" ht="15" x14ac:dyDescent="0.2">
      <c r="A4" s="142" t="s">
        <v>1205</v>
      </c>
      <c r="B4" s="143" t="s">
        <v>1205</v>
      </c>
      <c r="C4" s="143" t="s">
        <v>1474</v>
      </c>
      <c r="D4" s="143" t="s">
        <v>1475</v>
      </c>
      <c r="E4" s="143" t="s">
        <v>309</v>
      </c>
      <c r="F4" s="143" t="s">
        <v>2055</v>
      </c>
      <c r="G4" s="143" t="s">
        <v>2056</v>
      </c>
      <c r="H4" s="143" t="s">
        <v>321</v>
      </c>
      <c r="I4" s="143" t="s">
        <v>917</v>
      </c>
      <c r="J4" s="143" t="s">
        <v>204</v>
      </c>
      <c r="K4" s="143" t="s">
        <v>204</v>
      </c>
      <c r="L4" s="143" t="s">
        <v>325</v>
      </c>
      <c r="M4" s="143" t="s">
        <v>340</v>
      </c>
      <c r="N4" s="143" t="s">
        <v>448</v>
      </c>
      <c r="O4" s="143" t="s">
        <v>339</v>
      </c>
      <c r="P4" s="143" t="s">
        <v>1210</v>
      </c>
      <c r="Q4" s="144">
        <v>196534</v>
      </c>
      <c r="R4" s="145" t="s">
        <v>3876</v>
      </c>
      <c r="S4" s="143" t="s">
        <v>2057</v>
      </c>
      <c r="T4" s="145" t="s">
        <v>3876</v>
      </c>
      <c r="U4" s="144">
        <v>6613.3690999999999</v>
      </c>
      <c r="V4" s="146">
        <v>1.4692128207930029E-4</v>
      </c>
      <c r="W4" s="146">
        <v>3.2920270560276216E-2</v>
      </c>
      <c r="X4" s="147">
        <v>6.6512158943542177E-3</v>
      </c>
      <c r="Y4" s="183"/>
    </row>
    <row r="5" spans="1:25" ht="15" x14ac:dyDescent="0.2">
      <c r="A5" s="142" t="s">
        <v>1205</v>
      </c>
      <c r="B5" s="143" t="s">
        <v>1205</v>
      </c>
      <c r="C5" s="143" t="s">
        <v>2058</v>
      </c>
      <c r="D5" s="143" t="s">
        <v>2059</v>
      </c>
      <c r="E5" s="143" t="s">
        <v>309</v>
      </c>
      <c r="F5" s="143" t="s">
        <v>2060</v>
      </c>
      <c r="G5" s="143" t="s">
        <v>2061</v>
      </c>
      <c r="H5" s="143" t="s">
        <v>321</v>
      </c>
      <c r="I5" s="143" t="s">
        <v>917</v>
      </c>
      <c r="J5" s="143" t="s">
        <v>204</v>
      </c>
      <c r="K5" s="143" t="s">
        <v>204</v>
      </c>
      <c r="L5" s="143" t="s">
        <v>325</v>
      </c>
      <c r="M5" s="143" t="s">
        <v>340</v>
      </c>
      <c r="N5" s="143" t="s">
        <v>480</v>
      </c>
      <c r="O5" s="143" t="s">
        <v>339</v>
      </c>
      <c r="P5" s="143" t="s">
        <v>1210</v>
      </c>
      <c r="Q5" s="144">
        <v>9292</v>
      </c>
      <c r="R5" s="145" t="s">
        <v>3876</v>
      </c>
      <c r="S5" s="143" t="s">
        <v>2062</v>
      </c>
      <c r="T5" s="145" t="s">
        <v>3876</v>
      </c>
      <c r="U5" s="144">
        <v>5984.0479999999998</v>
      </c>
      <c r="V5" s="146">
        <v>1.2426641923223708E-4</v>
      </c>
      <c r="W5" s="146">
        <v>2.9787612974101169E-2</v>
      </c>
      <c r="X5" s="147">
        <v>6.0182933340554917E-3</v>
      </c>
      <c r="Y5" s="183"/>
    </row>
    <row r="6" spans="1:25" ht="15" x14ac:dyDescent="0.2">
      <c r="A6" s="142" t="s">
        <v>1205</v>
      </c>
      <c r="B6" s="143" t="s">
        <v>1205</v>
      </c>
      <c r="C6" s="143" t="s">
        <v>1468</v>
      </c>
      <c r="D6" s="143" t="s">
        <v>1469</v>
      </c>
      <c r="E6" s="143" t="s">
        <v>309</v>
      </c>
      <c r="F6" s="143" t="s">
        <v>2063</v>
      </c>
      <c r="G6" s="143" t="s">
        <v>2064</v>
      </c>
      <c r="H6" s="143" t="s">
        <v>321</v>
      </c>
      <c r="I6" s="143" t="s">
        <v>917</v>
      </c>
      <c r="J6" s="143" t="s">
        <v>204</v>
      </c>
      <c r="K6" s="143" t="s">
        <v>204</v>
      </c>
      <c r="L6" s="143" t="s">
        <v>325</v>
      </c>
      <c r="M6" s="143" t="s">
        <v>340</v>
      </c>
      <c r="N6" s="143" t="s">
        <v>448</v>
      </c>
      <c r="O6" s="143" t="s">
        <v>339</v>
      </c>
      <c r="P6" s="143" t="s">
        <v>1210</v>
      </c>
      <c r="Q6" s="144">
        <v>165619</v>
      </c>
      <c r="R6" s="145" t="s">
        <v>3876</v>
      </c>
      <c r="S6" s="143" t="s">
        <v>2065</v>
      </c>
      <c r="T6" s="145" t="s">
        <v>3876</v>
      </c>
      <c r="U6" s="144">
        <v>5150.7509</v>
      </c>
      <c r="V6" s="146">
        <v>1.0251051671439827E-4</v>
      </c>
      <c r="W6" s="146">
        <v>2.5639596195619299E-2</v>
      </c>
      <c r="X6" s="147">
        <v>5.1802274658977214E-3</v>
      </c>
      <c r="Y6" s="183"/>
    </row>
    <row r="7" spans="1:25" ht="15" x14ac:dyDescent="0.2">
      <c r="A7" s="142" t="s">
        <v>1205</v>
      </c>
      <c r="B7" s="143" t="s">
        <v>1205</v>
      </c>
      <c r="C7" s="143" t="s">
        <v>2066</v>
      </c>
      <c r="D7" s="143" t="s">
        <v>2067</v>
      </c>
      <c r="E7" s="143" t="s">
        <v>309</v>
      </c>
      <c r="F7" s="143" t="s">
        <v>2068</v>
      </c>
      <c r="G7" s="143" t="s">
        <v>2069</v>
      </c>
      <c r="H7" s="143" t="s">
        <v>321</v>
      </c>
      <c r="I7" s="143" t="s">
        <v>917</v>
      </c>
      <c r="J7" s="143" t="s">
        <v>204</v>
      </c>
      <c r="K7" s="143" t="s">
        <v>204</v>
      </c>
      <c r="L7" s="143" t="s">
        <v>325</v>
      </c>
      <c r="M7" s="143" t="s">
        <v>340</v>
      </c>
      <c r="N7" s="143" t="s">
        <v>448</v>
      </c>
      <c r="O7" s="143" t="s">
        <v>339</v>
      </c>
      <c r="P7" s="143" t="s">
        <v>1210</v>
      </c>
      <c r="Q7" s="144">
        <v>26750</v>
      </c>
      <c r="R7" s="145" t="s">
        <v>3876</v>
      </c>
      <c r="S7" s="143" t="s">
        <v>2070</v>
      </c>
      <c r="T7" s="145" t="s">
        <v>3876</v>
      </c>
      <c r="U7" s="144">
        <v>3854.6750000000002</v>
      </c>
      <c r="V7" s="146">
        <v>2.6662004719623354E-4</v>
      </c>
      <c r="W7" s="146">
        <v>1.9187942182439615E-2</v>
      </c>
      <c r="X7" s="147">
        <v>3.876734420821884E-3</v>
      </c>
      <c r="Y7" s="183"/>
    </row>
    <row r="8" spans="1:25" ht="15" x14ac:dyDescent="0.2">
      <c r="A8" s="142" t="s">
        <v>1205</v>
      </c>
      <c r="B8" s="143" t="s">
        <v>1205</v>
      </c>
      <c r="C8" s="143" t="s">
        <v>2071</v>
      </c>
      <c r="D8" s="143" t="s">
        <v>2072</v>
      </c>
      <c r="E8" s="143" t="s">
        <v>309</v>
      </c>
      <c r="F8" s="143" t="s">
        <v>2073</v>
      </c>
      <c r="G8" s="143" t="s">
        <v>2074</v>
      </c>
      <c r="H8" s="143" t="s">
        <v>321</v>
      </c>
      <c r="I8" s="143" t="s">
        <v>917</v>
      </c>
      <c r="J8" s="143" t="s">
        <v>204</v>
      </c>
      <c r="K8" s="143" t="s">
        <v>204</v>
      </c>
      <c r="L8" s="143" t="s">
        <v>325</v>
      </c>
      <c r="M8" s="143" t="s">
        <v>340</v>
      </c>
      <c r="N8" s="143" t="s">
        <v>448</v>
      </c>
      <c r="O8" s="143" t="s">
        <v>339</v>
      </c>
      <c r="P8" s="143" t="s">
        <v>1210</v>
      </c>
      <c r="Q8" s="144">
        <v>200904</v>
      </c>
      <c r="R8" s="145" t="s">
        <v>3876</v>
      </c>
      <c r="S8" s="143" t="s">
        <v>2075</v>
      </c>
      <c r="T8" s="145" t="s">
        <v>3876</v>
      </c>
      <c r="U8" s="144">
        <v>3835.2574</v>
      </c>
      <c r="V8" s="146">
        <v>1.6241080508874547E-4</v>
      </c>
      <c r="W8" s="146">
        <v>1.9091284343934572E-2</v>
      </c>
      <c r="X8" s="147">
        <v>3.8572056581222718E-3</v>
      </c>
      <c r="Y8" s="183"/>
    </row>
    <row r="9" spans="1:25" ht="15" x14ac:dyDescent="0.2">
      <c r="A9" s="142" t="s">
        <v>1205</v>
      </c>
      <c r="B9" s="143" t="s">
        <v>1205</v>
      </c>
      <c r="C9" s="143" t="s">
        <v>2076</v>
      </c>
      <c r="D9" s="143" t="s">
        <v>2077</v>
      </c>
      <c r="E9" s="143" t="s">
        <v>309</v>
      </c>
      <c r="F9" s="143" t="s">
        <v>2078</v>
      </c>
      <c r="G9" s="143" t="s">
        <v>2079</v>
      </c>
      <c r="H9" s="143" t="s">
        <v>321</v>
      </c>
      <c r="I9" s="143" t="s">
        <v>917</v>
      </c>
      <c r="J9" s="143" t="s">
        <v>204</v>
      </c>
      <c r="K9" s="143" t="s">
        <v>204</v>
      </c>
      <c r="L9" s="143" t="s">
        <v>327</v>
      </c>
      <c r="M9" s="143" t="s">
        <v>340</v>
      </c>
      <c r="N9" s="143" t="s">
        <v>441</v>
      </c>
      <c r="O9" s="143" t="s">
        <v>339</v>
      </c>
      <c r="P9" s="143" t="s">
        <v>1210</v>
      </c>
      <c r="Q9" s="144">
        <v>263200</v>
      </c>
      <c r="R9" s="145" t="s">
        <v>3876</v>
      </c>
      <c r="S9" s="143" t="s">
        <v>2080</v>
      </c>
      <c r="T9" s="145" t="s">
        <v>3876</v>
      </c>
      <c r="U9" s="144">
        <v>3666.3760000000002</v>
      </c>
      <c r="V9" s="146">
        <v>4.0485580857334471E-3</v>
      </c>
      <c r="W9" s="146">
        <v>1.8250620534048714E-2</v>
      </c>
      <c r="X9" s="147">
        <v>3.6873578288377762E-3</v>
      </c>
      <c r="Y9" s="183"/>
    </row>
    <row r="10" spans="1:25" ht="15" x14ac:dyDescent="0.2">
      <c r="A10" s="142" t="s">
        <v>1205</v>
      </c>
      <c r="B10" s="143" t="s">
        <v>1205</v>
      </c>
      <c r="C10" s="143" t="s">
        <v>2081</v>
      </c>
      <c r="D10" s="143" t="s">
        <v>2082</v>
      </c>
      <c r="E10" s="143" t="s">
        <v>309</v>
      </c>
      <c r="F10" s="143" t="s">
        <v>2083</v>
      </c>
      <c r="G10" s="143" t="s">
        <v>2084</v>
      </c>
      <c r="H10" s="143" t="s">
        <v>321</v>
      </c>
      <c r="I10" s="143" t="s">
        <v>917</v>
      </c>
      <c r="J10" s="143" t="s">
        <v>204</v>
      </c>
      <c r="K10" s="143" t="s">
        <v>204</v>
      </c>
      <c r="L10" s="143" t="s">
        <v>325</v>
      </c>
      <c r="M10" s="143" t="s">
        <v>340</v>
      </c>
      <c r="N10" s="143" t="s">
        <v>448</v>
      </c>
      <c r="O10" s="143" t="s">
        <v>339</v>
      </c>
      <c r="P10" s="143" t="s">
        <v>1210</v>
      </c>
      <c r="Q10" s="144">
        <v>25435</v>
      </c>
      <c r="R10" s="145" t="s">
        <v>3876</v>
      </c>
      <c r="S10" s="143" t="s">
        <v>2085</v>
      </c>
      <c r="T10" s="145" t="s">
        <v>3876</v>
      </c>
      <c r="U10" s="144">
        <v>3326.8980000000001</v>
      </c>
      <c r="V10" s="146">
        <v>9.8476167358207991E-5</v>
      </c>
      <c r="W10" s="146">
        <v>1.6560754530764329E-2</v>
      </c>
      <c r="X10" s="147">
        <v>3.3459370741148048E-3</v>
      </c>
      <c r="Y10" s="183"/>
    </row>
    <row r="11" spans="1:25" ht="15" x14ac:dyDescent="0.2">
      <c r="A11" s="142" t="s">
        <v>1205</v>
      </c>
      <c r="B11" s="143" t="s">
        <v>1205</v>
      </c>
      <c r="C11" s="143" t="s">
        <v>2086</v>
      </c>
      <c r="D11" s="143" t="s">
        <v>2087</v>
      </c>
      <c r="E11" s="143" t="s">
        <v>309</v>
      </c>
      <c r="F11" s="143" t="s">
        <v>2088</v>
      </c>
      <c r="G11" s="143" t="s">
        <v>2089</v>
      </c>
      <c r="H11" s="143" t="s">
        <v>321</v>
      </c>
      <c r="I11" s="143" t="s">
        <v>917</v>
      </c>
      <c r="J11" s="143" t="s">
        <v>204</v>
      </c>
      <c r="K11" s="143" t="s">
        <v>204</v>
      </c>
      <c r="L11" s="143" t="s">
        <v>325</v>
      </c>
      <c r="M11" s="143" t="s">
        <v>340</v>
      </c>
      <c r="N11" s="143" t="s">
        <v>441</v>
      </c>
      <c r="O11" s="143" t="s">
        <v>339</v>
      </c>
      <c r="P11" s="143" t="s">
        <v>1210</v>
      </c>
      <c r="Q11" s="144">
        <v>55101.8</v>
      </c>
      <c r="R11" s="145" t="s">
        <v>3876</v>
      </c>
      <c r="S11" s="143" t="s">
        <v>2090</v>
      </c>
      <c r="T11" s="145" t="s">
        <v>3876</v>
      </c>
      <c r="U11" s="144">
        <v>3303.2691</v>
      </c>
      <c r="V11" s="146">
        <v>4.7672927679676076E-4</v>
      </c>
      <c r="W11" s="146">
        <v>1.6443133710303141E-2</v>
      </c>
      <c r="X11" s="147">
        <v>3.3221729477196085E-3</v>
      </c>
      <c r="Y11" s="183"/>
    </row>
    <row r="12" spans="1:25" ht="15" x14ac:dyDescent="0.2">
      <c r="A12" s="142" t="s">
        <v>1205</v>
      </c>
      <c r="B12" s="143" t="s">
        <v>1205</v>
      </c>
      <c r="C12" s="143" t="s">
        <v>1828</v>
      </c>
      <c r="D12" s="143" t="s">
        <v>1829</v>
      </c>
      <c r="E12" s="143" t="s">
        <v>309</v>
      </c>
      <c r="F12" s="143" t="s">
        <v>2091</v>
      </c>
      <c r="G12" s="143" t="s">
        <v>2092</v>
      </c>
      <c r="H12" s="143" t="s">
        <v>321</v>
      </c>
      <c r="I12" s="143" t="s">
        <v>917</v>
      </c>
      <c r="J12" s="143" t="s">
        <v>204</v>
      </c>
      <c r="K12" s="143" t="s">
        <v>204</v>
      </c>
      <c r="L12" s="143" t="s">
        <v>325</v>
      </c>
      <c r="M12" s="143" t="s">
        <v>340</v>
      </c>
      <c r="N12" s="143" t="s">
        <v>454</v>
      </c>
      <c r="O12" s="143" t="s">
        <v>339</v>
      </c>
      <c r="P12" s="143" t="s">
        <v>1210</v>
      </c>
      <c r="Q12" s="144">
        <v>64075</v>
      </c>
      <c r="R12" s="145" t="s">
        <v>3876</v>
      </c>
      <c r="S12" s="143" t="s">
        <v>2093</v>
      </c>
      <c r="T12" s="145" t="s">
        <v>3876</v>
      </c>
      <c r="U12" s="144">
        <v>2994.8654999999999</v>
      </c>
      <c r="V12" s="146">
        <v>6.4103446545439005E-4</v>
      </c>
      <c r="W12" s="146">
        <v>1.4907951009665694E-2</v>
      </c>
      <c r="X12" s="147">
        <v>3.0120044282804497E-3</v>
      </c>
      <c r="Y12" s="183"/>
    </row>
    <row r="13" spans="1:25" ht="15" x14ac:dyDescent="0.2">
      <c r="A13" s="142" t="s">
        <v>1205</v>
      </c>
      <c r="B13" s="143" t="s">
        <v>1205</v>
      </c>
      <c r="C13" s="143" t="s">
        <v>1581</v>
      </c>
      <c r="D13" s="143" t="s">
        <v>1582</v>
      </c>
      <c r="E13" s="143" t="s">
        <v>309</v>
      </c>
      <c r="F13" s="143" t="s">
        <v>2094</v>
      </c>
      <c r="G13" s="143" t="s">
        <v>2095</v>
      </c>
      <c r="H13" s="143" t="s">
        <v>321</v>
      </c>
      <c r="I13" s="143" t="s">
        <v>917</v>
      </c>
      <c r="J13" s="143" t="s">
        <v>204</v>
      </c>
      <c r="K13" s="143" t="s">
        <v>204</v>
      </c>
      <c r="L13" s="143" t="s">
        <v>325</v>
      </c>
      <c r="M13" s="143" t="s">
        <v>340</v>
      </c>
      <c r="N13" s="143" t="s">
        <v>464</v>
      </c>
      <c r="O13" s="143" t="s">
        <v>339</v>
      </c>
      <c r="P13" s="143" t="s">
        <v>1210</v>
      </c>
      <c r="Q13" s="144">
        <v>9515</v>
      </c>
      <c r="R13" s="145" t="s">
        <v>3876</v>
      </c>
      <c r="S13" s="143" t="s">
        <v>2096</v>
      </c>
      <c r="T13" s="145" t="s">
        <v>3876</v>
      </c>
      <c r="U13" s="144">
        <v>2351.1565000000001</v>
      </c>
      <c r="V13" s="146">
        <v>2.0022393094940526E-4</v>
      </c>
      <c r="W13" s="146">
        <v>1.1703672808697774E-2</v>
      </c>
      <c r="X13" s="147">
        <v>2.3646116293303868E-3</v>
      </c>
      <c r="Y13" s="183"/>
    </row>
    <row r="14" spans="1:25" ht="15" x14ac:dyDescent="0.2">
      <c r="A14" s="142" t="s">
        <v>1205</v>
      </c>
      <c r="B14" s="143" t="s">
        <v>1205</v>
      </c>
      <c r="C14" s="143" t="s">
        <v>2097</v>
      </c>
      <c r="D14" s="143" t="s">
        <v>2098</v>
      </c>
      <c r="E14" s="143" t="s">
        <v>313</v>
      </c>
      <c r="F14" s="143" t="s">
        <v>2099</v>
      </c>
      <c r="G14" s="143" t="s">
        <v>2100</v>
      </c>
      <c r="H14" s="143" t="s">
        <v>321</v>
      </c>
      <c r="I14" s="143" t="s">
        <v>917</v>
      </c>
      <c r="J14" s="143" t="s">
        <v>204</v>
      </c>
      <c r="K14" s="143" t="s">
        <v>204</v>
      </c>
      <c r="L14" s="143" t="s">
        <v>325</v>
      </c>
      <c r="M14" s="143" t="s">
        <v>340</v>
      </c>
      <c r="N14" s="143" t="s">
        <v>454</v>
      </c>
      <c r="O14" s="143" t="s">
        <v>339</v>
      </c>
      <c r="P14" s="143" t="s">
        <v>1210</v>
      </c>
      <c r="Q14" s="144">
        <v>46951</v>
      </c>
      <c r="R14" s="145" t="s">
        <v>3876</v>
      </c>
      <c r="S14" s="143" t="s">
        <v>2101</v>
      </c>
      <c r="T14" s="144">
        <v>52.946599999999997</v>
      </c>
      <c r="U14" s="144">
        <v>2226.404</v>
      </c>
      <c r="V14" s="146">
        <v>2.6370892097887566E-4</v>
      </c>
      <c r="W14" s="146">
        <v>1.1346235001534801E-2</v>
      </c>
      <c r="X14" s="147">
        <v>2.2923948466677859E-3</v>
      </c>
      <c r="Y14" s="183"/>
    </row>
    <row r="15" spans="1:25" ht="15" x14ac:dyDescent="0.2">
      <c r="A15" s="142" t="s">
        <v>1205</v>
      </c>
      <c r="B15" s="143" t="s">
        <v>1205</v>
      </c>
      <c r="C15" s="143" t="s">
        <v>2102</v>
      </c>
      <c r="D15" s="143" t="s">
        <v>2103</v>
      </c>
      <c r="E15" s="143" t="s">
        <v>309</v>
      </c>
      <c r="F15" s="143" t="s">
        <v>2104</v>
      </c>
      <c r="G15" s="143" t="s">
        <v>2105</v>
      </c>
      <c r="H15" s="143" t="s">
        <v>321</v>
      </c>
      <c r="I15" s="143" t="s">
        <v>917</v>
      </c>
      <c r="J15" s="143" t="s">
        <v>204</v>
      </c>
      <c r="K15" s="143" t="s">
        <v>204</v>
      </c>
      <c r="L15" s="143" t="s">
        <v>325</v>
      </c>
      <c r="M15" s="143" t="s">
        <v>340</v>
      </c>
      <c r="N15" s="143" t="s">
        <v>441</v>
      </c>
      <c r="O15" s="143" t="s">
        <v>339</v>
      </c>
      <c r="P15" s="143" t="s">
        <v>1210</v>
      </c>
      <c r="Q15" s="144">
        <v>8132.56</v>
      </c>
      <c r="R15" s="145" t="s">
        <v>3876</v>
      </c>
      <c r="S15" s="143" t="s">
        <v>2106</v>
      </c>
      <c r="T15" s="145" t="s">
        <v>3876</v>
      </c>
      <c r="U15" s="144">
        <v>2161.6343999999999</v>
      </c>
      <c r="V15" s="146">
        <v>1.4431052948043181E-4</v>
      </c>
      <c r="W15" s="146">
        <v>1.0760263007333635E-2</v>
      </c>
      <c r="X15" s="147">
        <v>2.1740049861002325E-3</v>
      </c>
      <c r="Y15" s="183"/>
    </row>
    <row r="16" spans="1:25" ht="15" x14ac:dyDescent="0.2">
      <c r="A16" s="142" t="s">
        <v>1205</v>
      </c>
      <c r="B16" s="143" t="s">
        <v>1205</v>
      </c>
      <c r="C16" s="143" t="s">
        <v>1740</v>
      </c>
      <c r="D16" s="143" t="s">
        <v>1741</v>
      </c>
      <c r="E16" s="143" t="s">
        <v>309</v>
      </c>
      <c r="F16" s="143" t="s">
        <v>2107</v>
      </c>
      <c r="G16" s="143" t="s">
        <v>2108</v>
      </c>
      <c r="H16" s="143" t="s">
        <v>321</v>
      </c>
      <c r="I16" s="143" t="s">
        <v>917</v>
      </c>
      <c r="J16" s="143" t="s">
        <v>204</v>
      </c>
      <c r="K16" s="143" t="s">
        <v>204</v>
      </c>
      <c r="L16" s="143" t="s">
        <v>325</v>
      </c>
      <c r="M16" s="143" t="s">
        <v>340</v>
      </c>
      <c r="N16" s="143" t="s">
        <v>464</v>
      </c>
      <c r="O16" s="143" t="s">
        <v>339</v>
      </c>
      <c r="P16" s="143" t="s">
        <v>1210</v>
      </c>
      <c r="Q16" s="144">
        <v>5621</v>
      </c>
      <c r="R16" s="145" t="s">
        <v>3876</v>
      </c>
      <c r="S16" s="143" t="s">
        <v>2109</v>
      </c>
      <c r="T16" s="145" t="s">
        <v>3876</v>
      </c>
      <c r="U16" s="144">
        <v>2008.9453999999998</v>
      </c>
      <c r="V16" s="146">
        <v>2.2848124157218833E-4</v>
      </c>
      <c r="W16" s="146">
        <v>1.0000201880282521E-2</v>
      </c>
      <c r="X16" s="147">
        <v>2.0204421337030459E-3</v>
      </c>
      <c r="Y16" s="183"/>
    </row>
    <row r="17" spans="1:25" ht="15" x14ac:dyDescent="0.2">
      <c r="A17" s="142" t="s">
        <v>1205</v>
      </c>
      <c r="B17" s="143" t="s">
        <v>1205</v>
      </c>
      <c r="C17" s="143" t="s">
        <v>1379</v>
      </c>
      <c r="D17" s="143" t="s">
        <v>1380</v>
      </c>
      <c r="E17" s="143" t="s">
        <v>309</v>
      </c>
      <c r="F17" s="143" t="s">
        <v>2110</v>
      </c>
      <c r="G17" s="143" t="s">
        <v>2111</v>
      </c>
      <c r="H17" s="143" t="s">
        <v>321</v>
      </c>
      <c r="I17" s="143" t="s">
        <v>917</v>
      </c>
      <c r="J17" s="143" t="s">
        <v>204</v>
      </c>
      <c r="K17" s="143" t="s">
        <v>204</v>
      </c>
      <c r="L17" s="143" t="s">
        <v>325</v>
      </c>
      <c r="M17" s="143" t="s">
        <v>340</v>
      </c>
      <c r="N17" s="143" t="s">
        <v>445</v>
      </c>
      <c r="O17" s="143" t="s">
        <v>339</v>
      </c>
      <c r="P17" s="143" t="s">
        <v>1210</v>
      </c>
      <c r="Q17" s="144">
        <v>36317</v>
      </c>
      <c r="R17" s="145" t="s">
        <v>3876</v>
      </c>
      <c r="S17" s="143" t="s">
        <v>2112</v>
      </c>
      <c r="T17" s="145" t="s">
        <v>3876</v>
      </c>
      <c r="U17" s="144">
        <v>1921.5325</v>
      </c>
      <c r="V17" s="146">
        <v>4.5927013569543808E-4</v>
      </c>
      <c r="W17" s="146">
        <v>9.5650746005928877E-3</v>
      </c>
      <c r="X17" s="147">
        <v>1.9325289595558365E-3</v>
      </c>
      <c r="Y17" s="183"/>
    </row>
    <row r="18" spans="1:25" ht="15" x14ac:dyDescent="0.2">
      <c r="A18" s="142" t="s">
        <v>1205</v>
      </c>
      <c r="B18" s="143" t="s">
        <v>1205</v>
      </c>
      <c r="C18" s="143" t="s">
        <v>1717</v>
      </c>
      <c r="D18" s="143" t="s">
        <v>1718</v>
      </c>
      <c r="E18" s="143" t="s">
        <v>309</v>
      </c>
      <c r="F18" s="143" t="s">
        <v>2113</v>
      </c>
      <c r="G18" s="143" t="s">
        <v>2114</v>
      </c>
      <c r="H18" s="143" t="s">
        <v>321</v>
      </c>
      <c r="I18" s="143" t="s">
        <v>917</v>
      </c>
      <c r="J18" s="143" t="s">
        <v>204</v>
      </c>
      <c r="K18" s="143" t="s">
        <v>204</v>
      </c>
      <c r="L18" s="143" t="s">
        <v>325</v>
      </c>
      <c r="M18" s="143" t="s">
        <v>340</v>
      </c>
      <c r="N18" s="143" t="s">
        <v>464</v>
      </c>
      <c r="O18" s="143" t="s">
        <v>339</v>
      </c>
      <c r="P18" s="143" t="s">
        <v>1210</v>
      </c>
      <c r="Q18" s="144">
        <v>8652</v>
      </c>
      <c r="R18" s="145" t="s">
        <v>3876</v>
      </c>
      <c r="S18" s="143" t="s">
        <v>2115</v>
      </c>
      <c r="T18" s="145" t="s">
        <v>3876</v>
      </c>
      <c r="U18" s="144">
        <v>1903.44</v>
      </c>
      <c r="V18" s="146">
        <v>7.1343309082765171E-5</v>
      </c>
      <c r="W18" s="146">
        <v>9.475013241775989E-3</v>
      </c>
      <c r="X18" s="147">
        <v>1.9143329505001607E-3</v>
      </c>
      <c r="Y18" s="183"/>
    </row>
    <row r="19" spans="1:25" ht="15" x14ac:dyDescent="0.2">
      <c r="A19" s="142" t="s">
        <v>1205</v>
      </c>
      <c r="B19" s="143" t="s">
        <v>1205</v>
      </c>
      <c r="C19" s="143" t="s">
        <v>1858</v>
      </c>
      <c r="D19" s="143" t="s">
        <v>1859</v>
      </c>
      <c r="E19" s="143" t="s">
        <v>309</v>
      </c>
      <c r="F19" s="143" t="s">
        <v>2116</v>
      </c>
      <c r="G19" s="143" t="s">
        <v>2117</v>
      </c>
      <c r="H19" s="143" t="s">
        <v>321</v>
      </c>
      <c r="I19" s="143" t="s">
        <v>917</v>
      </c>
      <c r="J19" s="143" t="s">
        <v>204</v>
      </c>
      <c r="K19" s="143" t="s">
        <v>204</v>
      </c>
      <c r="L19" s="143" t="s">
        <v>325</v>
      </c>
      <c r="M19" s="143" t="s">
        <v>340</v>
      </c>
      <c r="N19" s="143" t="s">
        <v>463</v>
      </c>
      <c r="O19" s="143" t="s">
        <v>339</v>
      </c>
      <c r="P19" s="143" t="s">
        <v>1210</v>
      </c>
      <c r="Q19" s="144">
        <v>94110</v>
      </c>
      <c r="R19" s="145" t="s">
        <v>3876</v>
      </c>
      <c r="S19" s="143" t="s">
        <v>2118</v>
      </c>
      <c r="T19" s="145" t="s">
        <v>3876</v>
      </c>
      <c r="U19" s="144">
        <v>1806.912</v>
      </c>
      <c r="V19" s="146">
        <v>2.6333212773984926E-4</v>
      </c>
      <c r="W19" s="146">
        <v>8.9945126332975755E-3</v>
      </c>
      <c r="X19" s="147">
        <v>1.8172525428981983E-3</v>
      </c>
      <c r="Y19" s="183"/>
    </row>
    <row r="20" spans="1:25" ht="15" x14ac:dyDescent="0.2">
      <c r="A20" s="142" t="s">
        <v>1205</v>
      </c>
      <c r="B20" s="143" t="s">
        <v>1205</v>
      </c>
      <c r="C20" s="143" t="s">
        <v>1399</v>
      </c>
      <c r="D20" s="143" t="s">
        <v>1400</v>
      </c>
      <c r="E20" s="143" t="s">
        <v>309</v>
      </c>
      <c r="F20" s="143" t="s">
        <v>2119</v>
      </c>
      <c r="G20" s="143" t="s">
        <v>2120</v>
      </c>
      <c r="H20" s="143" t="s">
        <v>321</v>
      </c>
      <c r="I20" s="143" t="s">
        <v>917</v>
      </c>
      <c r="J20" s="143" t="s">
        <v>204</v>
      </c>
      <c r="K20" s="143" t="s">
        <v>204</v>
      </c>
      <c r="L20" s="143" t="s">
        <v>325</v>
      </c>
      <c r="M20" s="143" t="s">
        <v>340</v>
      </c>
      <c r="N20" s="143" t="s">
        <v>451</v>
      </c>
      <c r="O20" s="143" t="s">
        <v>339</v>
      </c>
      <c r="P20" s="143" t="s">
        <v>1210</v>
      </c>
      <c r="Q20" s="144">
        <v>1369</v>
      </c>
      <c r="R20" s="145" t="s">
        <v>3876</v>
      </c>
      <c r="S20" s="143" t="s">
        <v>2121</v>
      </c>
      <c r="T20" s="145" t="s">
        <v>3876</v>
      </c>
      <c r="U20" s="144">
        <v>1775.4561000000001</v>
      </c>
      <c r="V20" s="146">
        <v>3.3736695075477539E-4</v>
      </c>
      <c r="W20" s="146">
        <v>8.8379303039191962E-3</v>
      </c>
      <c r="X20" s="147">
        <v>1.7856166279979974E-3</v>
      </c>
      <c r="Y20" s="183"/>
    </row>
    <row r="21" spans="1:25" ht="15" x14ac:dyDescent="0.2">
      <c r="A21" s="142" t="s">
        <v>1205</v>
      </c>
      <c r="B21" s="143" t="s">
        <v>1205</v>
      </c>
      <c r="C21" s="143" t="s">
        <v>2122</v>
      </c>
      <c r="D21" s="143" t="s">
        <v>2123</v>
      </c>
      <c r="E21" s="143" t="s">
        <v>309</v>
      </c>
      <c r="F21" s="143" t="s">
        <v>2124</v>
      </c>
      <c r="G21" s="143" t="s">
        <v>2125</v>
      </c>
      <c r="H21" s="143" t="s">
        <v>321</v>
      </c>
      <c r="I21" s="143" t="s">
        <v>917</v>
      </c>
      <c r="J21" s="143" t="s">
        <v>204</v>
      </c>
      <c r="K21" s="143" t="s">
        <v>204</v>
      </c>
      <c r="L21" s="143" t="s">
        <v>325</v>
      </c>
      <c r="M21" s="143" t="s">
        <v>340</v>
      </c>
      <c r="N21" s="143" t="s">
        <v>451</v>
      </c>
      <c r="O21" s="143" t="s">
        <v>339</v>
      </c>
      <c r="P21" s="143" t="s">
        <v>1210</v>
      </c>
      <c r="Q21" s="144">
        <v>324370</v>
      </c>
      <c r="R21" s="145" t="s">
        <v>3876</v>
      </c>
      <c r="S21" s="143" t="s">
        <v>2126</v>
      </c>
      <c r="T21" s="145" t="s">
        <v>3876</v>
      </c>
      <c r="U21" s="144">
        <v>1743.1643999999999</v>
      </c>
      <c r="V21" s="146">
        <v>1.7340992595165747E-3</v>
      </c>
      <c r="W21" s="146">
        <v>8.6771873991784518E-3</v>
      </c>
      <c r="X21" s="147">
        <v>1.7531401098916611E-3</v>
      </c>
      <c r="Y21" s="183"/>
    </row>
    <row r="22" spans="1:25" ht="15" x14ac:dyDescent="0.2">
      <c r="A22" s="142" t="s">
        <v>1205</v>
      </c>
      <c r="B22" s="143" t="s">
        <v>1205</v>
      </c>
      <c r="C22" s="143" t="s">
        <v>1626</v>
      </c>
      <c r="D22" s="143" t="s">
        <v>1627</v>
      </c>
      <c r="E22" s="143" t="s">
        <v>309</v>
      </c>
      <c r="F22" s="143" t="s">
        <v>2127</v>
      </c>
      <c r="G22" s="143" t="s">
        <v>2128</v>
      </c>
      <c r="H22" s="143" t="s">
        <v>321</v>
      </c>
      <c r="I22" s="143" t="s">
        <v>917</v>
      </c>
      <c r="J22" s="143" t="s">
        <v>204</v>
      </c>
      <c r="K22" s="143" t="s">
        <v>204</v>
      </c>
      <c r="L22" s="143" t="s">
        <v>325</v>
      </c>
      <c r="M22" s="143" t="s">
        <v>340</v>
      </c>
      <c r="N22" s="143" t="s">
        <v>445</v>
      </c>
      <c r="O22" s="143" t="s">
        <v>339</v>
      </c>
      <c r="P22" s="143" t="s">
        <v>1210</v>
      </c>
      <c r="Q22" s="144">
        <v>49983</v>
      </c>
      <c r="R22" s="145" t="s">
        <v>3876</v>
      </c>
      <c r="S22" s="143" t="s">
        <v>2129</v>
      </c>
      <c r="T22" s="145" t="s">
        <v>3876</v>
      </c>
      <c r="U22" s="144">
        <v>1708.9188000000001</v>
      </c>
      <c r="V22" s="146">
        <v>1.9155822233632414E-4</v>
      </c>
      <c r="W22" s="146">
        <v>8.5067183493409502E-3</v>
      </c>
      <c r="X22" s="147">
        <v>1.718698520121047E-3</v>
      </c>
      <c r="Y22" s="183"/>
    </row>
    <row r="23" spans="1:25" ht="15" x14ac:dyDescent="0.2">
      <c r="A23" s="142" t="s">
        <v>1205</v>
      </c>
      <c r="B23" s="143" t="s">
        <v>1205</v>
      </c>
      <c r="C23" s="143" t="s">
        <v>2130</v>
      </c>
      <c r="D23" s="143" t="s">
        <v>2131</v>
      </c>
      <c r="E23" s="143" t="s">
        <v>309</v>
      </c>
      <c r="F23" s="143" t="s">
        <v>2132</v>
      </c>
      <c r="G23" s="143" t="s">
        <v>2133</v>
      </c>
      <c r="H23" s="143" t="s">
        <v>321</v>
      </c>
      <c r="I23" s="143" t="s">
        <v>917</v>
      </c>
      <c r="J23" s="143" t="s">
        <v>204</v>
      </c>
      <c r="K23" s="143" t="s">
        <v>204</v>
      </c>
      <c r="L23" s="143" t="s">
        <v>325</v>
      </c>
      <c r="M23" s="143" t="s">
        <v>340</v>
      </c>
      <c r="N23" s="143" t="s">
        <v>456</v>
      </c>
      <c r="O23" s="143" t="s">
        <v>339</v>
      </c>
      <c r="P23" s="143" t="s">
        <v>1210</v>
      </c>
      <c r="Q23" s="144">
        <v>103077</v>
      </c>
      <c r="R23" s="145" t="s">
        <v>3876</v>
      </c>
      <c r="S23" s="143" t="s">
        <v>2134</v>
      </c>
      <c r="T23" s="145" t="s">
        <v>3876</v>
      </c>
      <c r="U23" s="144">
        <v>1661.6012000000001</v>
      </c>
      <c r="V23" s="146">
        <v>7.8414040851307565E-5</v>
      </c>
      <c r="W23" s="146">
        <v>8.2711794180806361E-3</v>
      </c>
      <c r="X23" s="147">
        <v>1.6711102027507699E-3</v>
      </c>
      <c r="Y23" s="183"/>
    </row>
    <row r="24" spans="1:25" ht="15" x14ac:dyDescent="0.2">
      <c r="A24" s="142" t="s">
        <v>1205</v>
      </c>
      <c r="B24" s="143" t="s">
        <v>1205</v>
      </c>
      <c r="C24" s="143" t="s">
        <v>1554</v>
      </c>
      <c r="D24" s="143" t="s">
        <v>1555</v>
      </c>
      <c r="E24" s="143" t="s">
        <v>309</v>
      </c>
      <c r="F24" s="143" t="s">
        <v>2135</v>
      </c>
      <c r="G24" s="143" t="s">
        <v>2136</v>
      </c>
      <c r="H24" s="143" t="s">
        <v>321</v>
      </c>
      <c r="I24" s="143" t="s">
        <v>917</v>
      </c>
      <c r="J24" s="143" t="s">
        <v>204</v>
      </c>
      <c r="K24" s="143" t="s">
        <v>204</v>
      </c>
      <c r="L24" s="143" t="s">
        <v>325</v>
      </c>
      <c r="M24" s="143" t="s">
        <v>340</v>
      </c>
      <c r="N24" s="143" t="s">
        <v>464</v>
      </c>
      <c r="O24" s="143" t="s">
        <v>339</v>
      </c>
      <c r="P24" s="143" t="s">
        <v>1210</v>
      </c>
      <c r="Q24" s="144">
        <v>29709.09</v>
      </c>
      <c r="R24" s="145" t="s">
        <v>3876</v>
      </c>
      <c r="S24" s="143" t="s">
        <v>2137</v>
      </c>
      <c r="T24" s="145" t="s">
        <v>3876</v>
      </c>
      <c r="U24" s="144">
        <v>1579.6323</v>
      </c>
      <c r="V24" s="146">
        <v>2.2590788724100009E-4</v>
      </c>
      <c r="W24" s="146">
        <v>7.8631515070634039E-3</v>
      </c>
      <c r="X24" s="147">
        <v>1.5886721886971217E-3</v>
      </c>
      <c r="Y24" s="183"/>
    </row>
    <row r="25" spans="1:25" ht="15" x14ac:dyDescent="0.2">
      <c r="A25" s="142" t="s">
        <v>1205</v>
      </c>
      <c r="B25" s="143" t="s">
        <v>1205</v>
      </c>
      <c r="C25" s="143" t="s">
        <v>1770</v>
      </c>
      <c r="D25" s="143" t="s">
        <v>1771</v>
      </c>
      <c r="E25" s="143" t="s">
        <v>309</v>
      </c>
      <c r="F25" s="143" t="s">
        <v>2138</v>
      </c>
      <c r="G25" s="143" t="s">
        <v>2139</v>
      </c>
      <c r="H25" s="143" t="s">
        <v>321</v>
      </c>
      <c r="I25" s="143" t="s">
        <v>917</v>
      </c>
      <c r="J25" s="143" t="s">
        <v>204</v>
      </c>
      <c r="K25" s="143" t="s">
        <v>204</v>
      </c>
      <c r="L25" s="143" t="s">
        <v>325</v>
      </c>
      <c r="M25" s="143" t="s">
        <v>340</v>
      </c>
      <c r="N25" s="143" t="s">
        <v>445</v>
      </c>
      <c r="O25" s="143" t="s">
        <v>339</v>
      </c>
      <c r="P25" s="143" t="s">
        <v>1210</v>
      </c>
      <c r="Q25" s="144">
        <v>51185</v>
      </c>
      <c r="R25" s="145" t="s">
        <v>3876</v>
      </c>
      <c r="S25" s="143" t="s">
        <v>2140</v>
      </c>
      <c r="T25" s="145" t="s">
        <v>3876</v>
      </c>
      <c r="U25" s="144">
        <v>1534.0145</v>
      </c>
      <c r="V25" s="146">
        <v>2.2966805595985465E-4</v>
      </c>
      <c r="W25" s="146">
        <v>7.6360732289043583E-3</v>
      </c>
      <c r="X25" s="147">
        <v>1.542793262818046E-3</v>
      </c>
      <c r="Y25" s="183"/>
    </row>
    <row r="26" spans="1:25" ht="15" x14ac:dyDescent="0.2">
      <c r="A26" s="142" t="s">
        <v>1205</v>
      </c>
      <c r="B26" s="143" t="s">
        <v>1205</v>
      </c>
      <c r="C26" s="143" t="s">
        <v>1392</v>
      </c>
      <c r="D26" s="143" t="s">
        <v>1393</v>
      </c>
      <c r="E26" s="143" t="s">
        <v>309</v>
      </c>
      <c r="F26" s="143" t="s">
        <v>2141</v>
      </c>
      <c r="G26" s="143" t="s">
        <v>2142</v>
      </c>
      <c r="H26" s="143" t="s">
        <v>321</v>
      </c>
      <c r="I26" s="143" t="s">
        <v>917</v>
      </c>
      <c r="J26" s="143" t="s">
        <v>204</v>
      </c>
      <c r="K26" s="143" t="s">
        <v>204</v>
      </c>
      <c r="L26" s="143" t="s">
        <v>325</v>
      </c>
      <c r="M26" s="143" t="s">
        <v>340</v>
      </c>
      <c r="N26" s="143" t="s">
        <v>484</v>
      </c>
      <c r="O26" s="143" t="s">
        <v>339</v>
      </c>
      <c r="P26" s="143" t="s">
        <v>1210</v>
      </c>
      <c r="Q26" s="144">
        <v>356525</v>
      </c>
      <c r="R26" s="145" t="s">
        <v>3876</v>
      </c>
      <c r="S26" s="143" t="s">
        <v>2143</v>
      </c>
      <c r="T26" s="145" t="s">
        <v>3876</v>
      </c>
      <c r="U26" s="144">
        <v>1510.2398999999998</v>
      </c>
      <c r="V26" s="146">
        <v>1.288534021007535E-4</v>
      </c>
      <c r="W26" s="146">
        <v>7.5177274044668846E-3</v>
      </c>
      <c r="X26" s="147">
        <v>1.5188826565219117E-3</v>
      </c>
      <c r="Y26" s="183"/>
    </row>
    <row r="27" spans="1:25" ht="15" x14ac:dyDescent="0.2">
      <c r="A27" s="142" t="s">
        <v>1205</v>
      </c>
      <c r="B27" s="143" t="s">
        <v>1205</v>
      </c>
      <c r="C27" s="143" t="s">
        <v>2144</v>
      </c>
      <c r="D27" s="143" t="s">
        <v>2145</v>
      </c>
      <c r="E27" s="143" t="s">
        <v>309</v>
      </c>
      <c r="F27" s="143" t="s">
        <v>2146</v>
      </c>
      <c r="G27" s="143" t="s">
        <v>2147</v>
      </c>
      <c r="H27" s="143" t="s">
        <v>321</v>
      </c>
      <c r="I27" s="143" t="s">
        <v>917</v>
      </c>
      <c r="J27" s="143" t="s">
        <v>204</v>
      </c>
      <c r="K27" s="143" t="s">
        <v>204</v>
      </c>
      <c r="L27" s="143" t="s">
        <v>325</v>
      </c>
      <c r="M27" s="143" t="s">
        <v>340</v>
      </c>
      <c r="N27" s="143" t="s">
        <v>463</v>
      </c>
      <c r="O27" s="143" t="s">
        <v>339</v>
      </c>
      <c r="P27" s="143" t="s">
        <v>1210</v>
      </c>
      <c r="Q27" s="144">
        <v>300336</v>
      </c>
      <c r="R27" s="145" t="s">
        <v>3876</v>
      </c>
      <c r="S27" s="143" t="s">
        <v>2148</v>
      </c>
      <c r="T27" s="145" t="s">
        <v>3876</v>
      </c>
      <c r="U27" s="144">
        <v>1466.5407</v>
      </c>
      <c r="V27" s="146">
        <v>1.0446106222392264E-3</v>
      </c>
      <c r="W27" s="146">
        <v>7.3001998688707135E-3</v>
      </c>
      <c r="X27" s="147">
        <v>1.4749333639555624E-3</v>
      </c>
      <c r="Y27" s="183"/>
    </row>
    <row r="28" spans="1:25" ht="15" x14ac:dyDescent="0.2">
      <c r="A28" s="142" t="s">
        <v>1205</v>
      </c>
      <c r="B28" s="143" t="s">
        <v>1205</v>
      </c>
      <c r="C28" s="143" t="s">
        <v>1724</v>
      </c>
      <c r="D28" s="143" t="s">
        <v>1725</v>
      </c>
      <c r="E28" s="143" t="s">
        <v>309</v>
      </c>
      <c r="F28" s="143" t="s">
        <v>2149</v>
      </c>
      <c r="G28" s="143" t="s">
        <v>2150</v>
      </c>
      <c r="H28" s="143" t="s">
        <v>321</v>
      </c>
      <c r="I28" s="143" t="s">
        <v>917</v>
      </c>
      <c r="J28" s="143" t="s">
        <v>204</v>
      </c>
      <c r="K28" s="143" t="s">
        <v>204</v>
      </c>
      <c r="L28" s="143" t="s">
        <v>325</v>
      </c>
      <c r="M28" s="143" t="s">
        <v>340</v>
      </c>
      <c r="N28" s="143" t="s">
        <v>464</v>
      </c>
      <c r="O28" s="143" t="s">
        <v>339</v>
      </c>
      <c r="P28" s="143" t="s">
        <v>1210</v>
      </c>
      <c r="Q28" s="144">
        <v>51105</v>
      </c>
      <c r="R28" s="145" t="s">
        <v>3876</v>
      </c>
      <c r="S28" s="143" t="s">
        <v>2151</v>
      </c>
      <c r="T28" s="145" t="s">
        <v>3876</v>
      </c>
      <c r="U28" s="144">
        <v>1449.8489</v>
      </c>
      <c r="V28" s="146">
        <v>1.2575138018322126E-3</v>
      </c>
      <c r="W28" s="146">
        <v>7.2171106272452459E-3</v>
      </c>
      <c r="X28" s="147">
        <v>1.4581460023955391E-3</v>
      </c>
      <c r="Y28" s="183"/>
    </row>
    <row r="29" spans="1:25" ht="15" x14ac:dyDescent="0.2">
      <c r="A29" s="142" t="s">
        <v>1205</v>
      </c>
      <c r="B29" s="143" t="s">
        <v>1205</v>
      </c>
      <c r="C29" s="143" t="s">
        <v>1689</v>
      </c>
      <c r="D29" s="143" t="s">
        <v>1690</v>
      </c>
      <c r="E29" s="143" t="s">
        <v>309</v>
      </c>
      <c r="F29" s="143" t="s">
        <v>2152</v>
      </c>
      <c r="G29" s="143" t="s">
        <v>2153</v>
      </c>
      <c r="H29" s="143" t="s">
        <v>321</v>
      </c>
      <c r="I29" s="143" t="s">
        <v>917</v>
      </c>
      <c r="J29" s="143" t="s">
        <v>204</v>
      </c>
      <c r="K29" s="143" t="s">
        <v>204</v>
      </c>
      <c r="L29" s="143" t="s">
        <v>325</v>
      </c>
      <c r="M29" s="143" t="s">
        <v>340</v>
      </c>
      <c r="N29" s="143" t="s">
        <v>451</v>
      </c>
      <c r="O29" s="143" t="s">
        <v>339</v>
      </c>
      <c r="P29" s="143" t="s">
        <v>1210</v>
      </c>
      <c r="Q29" s="144">
        <v>1675</v>
      </c>
      <c r="R29" s="145" t="s">
        <v>3876</v>
      </c>
      <c r="S29" s="143" t="s">
        <v>2154</v>
      </c>
      <c r="T29" s="145" t="s">
        <v>3876</v>
      </c>
      <c r="U29" s="144">
        <v>1402.645</v>
      </c>
      <c r="V29" s="146">
        <v>2.1746496866557004E-4</v>
      </c>
      <c r="W29" s="146">
        <v>6.9821375764462677E-3</v>
      </c>
      <c r="X29" s="147">
        <v>1.4106720155898258E-3</v>
      </c>
      <c r="Y29" s="183"/>
    </row>
    <row r="30" spans="1:25" ht="15" x14ac:dyDescent="0.2">
      <c r="A30" s="142" t="s">
        <v>1205</v>
      </c>
      <c r="B30" s="143" t="s">
        <v>1205</v>
      </c>
      <c r="C30" s="143" t="s">
        <v>2155</v>
      </c>
      <c r="D30" s="143" t="s">
        <v>2156</v>
      </c>
      <c r="E30" s="143" t="s">
        <v>309</v>
      </c>
      <c r="F30" s="143" t="s">
        <v>2157</v>
      </c>
      <c r="G30" s="143" t="s">
        <v>2158</v>
      </c>
      <c r="H30" s="143" t="s">
        <v>321</v>
      </c>
      <c r="I30" s="143" t="s">
        <v>917</v>
      </c>
      <c r="J30" s="143" t="s">
        <v>204</v>
      </c>
      <c r="K30" s="143" t="s">
        <v>204</v>
      </c>
      <c r="L30" s="143" t="s">
        <v>325</v>
      </c>
      <c r="M30" s="143" t="s">
        <v>340</v>
      </c>
      <c r="N30" s="143" t="s">
        <v>458</v>
      </c>
      <c r="O30" s="143" t="s">
        <v>339</v>
      </c>
      <c r="P30" s="143" t="s">
        <v>1210</v>
      </c>
      <c r="Q30" s="144">
        <v>1482</v>
      </c>
      <c r="R30" s="145" t="s">
        <v>3876</v>
      </c>
      <c r="S30" s="143" t="s">
        <v>2159</v>
      </c>
      <c r="T30" s="145" t="s">
        <v>3876</v>
      </c>
      <c r="U30" s="144">
        <v>1301.1959999999999</v>
      </c>
      <c r="V30" s="146">
        <v>5.1024940247109444E-5</v>
      </c>
      <c r="W30" s="146">
        <v>6.4771410342043621E-3</v>
      </c>
      <c r="X30" s="147">
        <v>1.3086424462336649E-3</v>
      </c>
      <c r="Y30" s="183"/>
    </row>
    <row r="31" spans="1:25" ht="15" x14ac:dyDescent="0.2">
      <c r="A31" s="142" t="s">
        <v>1205</v>
      </c>
      <c r="B31" s="143" t="s">
        <v>1205</v>
      </c>
      <c r="C31" s="143" t="s">
        <v>2160</v>
      </c>
      <c r="D31" s="143" t="s">
        <v>2161</v>
      </c>
      <c r="E31" s="143" t="s">
        <v>309</v>
      </c>
      <c r="F31" s="143" t="s">
        <v>2162</v>
      </c>
      <c r="G31" s="143" t="s">
        <v>2163</v>
      </c>
      <c r="H31" s="143" t="s">
        <v>321</v>
      </c>
      <c r="I31" s="143" t="s">
        <v>917</v>
      </c>
      <c r="J31" s="143" t="s">
        <v>204</v>
      </c>
      <c r="K31" s="143" t="s">
        <v>204</v>
      </c>
      <c r="L31" s="143" t="s">
        <v>325</v>
      </c>
      <c r="M31" s="143" t="s">
        <v>340</v>
      </c>
      <c r="N31" s="143" t="s">
        <v>439</v>
      </c>
      <c r="O31" s="143" t="s">
        <v>339</v>
      </c>
      <c r="P31" s="143" t="s">
        <v>1210</v>
      </c>
      <c r="Q31" s="144">
        <v>22892</v>
      </c>
      <c r="R31" s="145" t="s">
        <v>3876</v>
      </c>
      <c r="S31" s="143" t="s">
        <v>2164</v>
      </c>
      <c r="T31" s="145" t="s">
        <v>3876</v>
      </c>
      <c r="U31" s="144">
        <v>1228.8426000000002</v>
      </c>
      <c r="V31" s="146">
        <v>2.8618012403530625E-4</v>
      </c>
      <c r="W31" s="146">
        <v>6.116977434569992E-3</v>
      </c>
      <c r="X31" s="147">
        <v>1.2358749440933103E-3</v>
      </c>
      <c r="Y31" s="183"/>
    </row>
    <row r="32" spans="1:25" ht="15" x14ac:dyDescent="0.2">
      <c r="A32" s="142" t="s">
        <v>1205</v>
      </c>
      <c r="B32" s="143" t="s">
        <v>1205</v>
      </c>
      <c r="C32" s="143" t="s">
        <v>1640</v>
      </c>
      <c r="D32" s="143" t="s">
        <v>1641</v>
      </c>
      <c r="E32" s="143" t="s">
        <v>309</v>
      </c>
      <c r="F32" s="143" t="s">
        <v>2165</v>
      </c>
      <c r="G32" s="143" t="s">
        <v>2166</v>
      </c>
      <c r="H32" s="143" t="s">
        <v>321</v>
      </c>
      <c r="I32" s="143" t="s">
        <v>917</v>
      </c>
      <c r="J32" s="143" t="s">
        <v>204</v>
      </c>
      <c r="K32" s="143" t="s">
        <v>204</v>
      </c>
      <c r="L32" s="143" t="s">
        <v>325</v>
      </c>
      <c r="M32" s="143" t="s">
        <v>340</v>
      </c>
      <c r="N32" s="143" t="s">
        <v>464</v>
      </c>
      <c r="O32" s="143" t="s">
        <v>339</v>
      </c>
      <c r="P32" s="143" t="s">
        <v>1210</v>
      </c>
      <c r="Q32" s="144">
        <v>171688</v>
      </c>
      <c r="R32" s="145" t="s">
        <v>3876</v>
      </c>
      <c r="S32" s="143" t="s">
        <v>2167</v>
      </c>
      <c r="T32" s="145" t="s">
        <v>3876</v>
      </c>
      <c r="U32" s="144">
        <v>1136.4028999999998</v>
      </c>
      <c r="V32" s="146">
        <v>7.7220080693203238E-4</v>
      </c>
      <c r="W32" s="146">
        <v>5.6568277750768427E-3</v>
      </c>
      <c r="X32" s="147">
        <v>1.1429062449631281E-3</v>
      </c>
      <c r="Y32" s="183"/>
    </row>
    <row r="33" spans="1:25" ht="15" x14ac:dyDescent="0.2">
      <c r="A33" s="142" t="s">
        <v>1205</v>
      </c>
      <c r="B33" s="143" t="s">
        <v>1205</v>
      </c>
      <c r="C33" s="143" t="s">
        <v>2168</v>
      </c>
      <c r="D33" s="143" t="s">
        <v>2169</v>
      </c>
      <c r="E33" s="143" t="s">
        <v>309</v>
      </c>
      <c r="F33" s="143" t="s">
        <v>2170</v>
      </c>
      <c r="G33" s="143" t="s">
        <v>2171</v>
      </c>
      <c r="H33" s="143" t="s">
        <v>321</v>
      </c>
      <c r="I33" s="143" t="s">
        <v>917</v>
      </c>
      <c r="J33" s="143" t="s">
        <v>204</v>
      </c>
      <c r="K33" s="143" t="s">
        <v>204</v>
      </c>
      <c r="L33" s="143" t="s">
        <v>325</v>
      </c>
      <c r="M33" s="143" t="s">
        <v>340</v>
      </c>
      <c r="N33" s="143" t="s">
        <v>446</v>
      </c>
      <c r="O33" s="143" t="s">
        <v>339</v>
      </c>
      <c r="P33" s="143" t="s">
        <v>1210</v>
      </c>
      <c r="Q33" s="144">
        <v>1675</v>
      </c>
      <c r="R33" s="145" t="s">
        <v>3876</v>
      </c>
      <c r="S33" s="143" t="s">
        <v>2172</v>
      </c>
      <c r="T33" s="144">
        <v>3.1481999999999997</v>
      </c>
      <c r="U33" s="144">
        <v>1115.5156999999999</v>
      </c>
      <c r="V33" s="146">
        <v>3.7660093620069869E-5</v>
      </c>
      <c r="W33" s="146">
        <v>5.5685256733050224E-3</v>
      </c>
      <c r="X33" s="147">
        <v>1.1250656764375975E-3</v>
      </c>
      <c r="Y33" s="183"/>
    </row>
    <row r="34" spans="1:25" ht="15" x14ac:dyDescent="0.2">
      <c r="A34" s="142" t="s">
        <v>1205</v>
      </c>
      <c r="B34" s="143" t="s">
        <v>1205</v>
      </c>
      <c r="C34" s="143" t="s">
        <v>1601</v>
      </c>
      <c r="D34" s="143" t="s">
        <v>1602</v>
      </c>
      <c r="E34" s="143" t="s">
        <v>309</v>
      </c>
      <c r="F34" s="143" t="s">
        <v>2173</v>
      </c>
      <c r="G34" s="143" t="s">
        <v>2174</v>
      </c>
      <c r="H34" s="143" t="s">
        <v>321</v>
      </c>
      <c r="I34" s="143" t="s">
        <v>917</v>
      </c>
      <c r="J34" s="143" t="s">
        <v>204</v>
      </c>
      <c r="K34" s="143" t="s">
        <v>204</v>
      </c>
      <c r="L34" s="143" t="s">
        <v>325</v>
      </c>
      <c r="M34" s="143" t="s">
        <v>340</v>
      </c>
      <c r="N34" s="143" t="s">
        <v>484</v>
      </c>
      <c r="O34" s="143" t="s">
        <v>339</v>
      </c>
      <c r="P34" s="143" t="s">
        <v>1210</v>
      </c>
      <c r="Q34" s="144">
        <v>78639</v>
      </c>
      <c r="R34" s="145" t="s">
        <v>3876</v>
      </c>
      <c r="S34" s="143" t="s">
        <v>2175</v>
      </c>
      <c r="T34" s="145" t="s">
        <v>3876</v>
      </c>
      <c r="U34" s="144">
        <v>1038.0348000000001</v>
      </c>
      <c r="V34" s="146">
        <v>4.7453918560473108E-4</v>
      </c>
      <c r="W34" s="146">
        <v>5.1671675889044524E-3</v>
      </c>
      <c r="X34" s="147">
        <v>1.0439752350511937E-3</v>
      </c>
      <c r="Y34" s="183"/>
    </row>
    <row r="35" spans="1:25" ht="15" x14ac:dyDescent="0.2">
      <c r="A35" s="142" t="s">
        <v>1205</v>
      </c>
      <c r="B35" s="143" t="s">
        <v>1205</v>
      </c>
      <c r="C35" s="143" t="s">
        <v>2176</v>
      </c>
      <c r="D35" s="143" t="s">
        <v>2177</v>
      </c>
      <c r="E35" s="143" t="s">
        <v>309</v>
      </c>
      <c r="F35" s="143" t="s">
        <v>2178</v>
      </c>
      <c r="G35" s="143" t="s">
        <v>2179</v>
      </c>
      <c r="H35" s="143" t="s">
        <v>321</v>
      </c>
      <c r="I35" s="143" t="s">
        <v>917</v>
      </c>
      <c r="J35" s="143" t="s">
        <v>204</v>
      </c>
      <c r="K35" s="143" t="s">
        <v>204</v>
      </c>
      <c r="L35" s="143" t="s">
        <v>325</v>
      </c>
      <c r="M35" s="143" t="s">
        <v>340</v>
      </c>
      <c r="N35" s="143" t="s">
        <v>454</v>
      </c>
      <c r="O35" s="143" t="s">
        <v>339</v>
      </c>
      <c r="P35" s="143" t="s">
        <v>1210</v>
      </c>
      <c r="Q35" s="144">
        <v>67529</v>
      </c>
      <c r="R35" s="145" t="s">
        <v>3876</v>
      </c>
      <c r="S35" s="143" t="s">
        <v>2180</v>
      </c>
      <c r="T35" s="145" t="s">
        <v>3876</v>
      </c>
      <c r="U35" s="144">
        <v>960.26240000000007</v>
      </c>
      <c r="V35" s="146">
        <v>3.376281185940703E-3</v>
      </c>
      <c r="W35" s="146">
        <v>4.7800291924512076E-3</v>
      </c>
      <c r="X35" s="147">
        <v>9.657577413313299E-4</v>
      </c>
      <c r="Y35" s="183"/>
    </row>
    <row r="36" spans="1:25" ht="15" x14ac:dyDescent="0.2">
      <c r="A36" s="142" t="s">
        <v>1205</v>
      </c>
      <c r="B36" s="143" t="s">
        <v>1205</v>
      </c>
      <c r="C36" s="143" t="s">
        <v>1428</v>
      </c>
      <c r="D36" s="143" t="s">
        <v>1429</v>
      </c>
      <c r="E36" s="143" t="s">
        <v>309</v>
      </c>
      <c r="F36" s="143" t="s">
        <v>2181</v>
      </c>
      <c r="G36" s="143" t="s">
        <v>2182</v>
      </c>
      <c r="H36" s="143" t="s">
        <v>321</v>
      </c>
      <c r="I36" s="143" t="s">
        <v>917</v>
      </c>
      <c r="J36" s="143" t="s">
        <v>204</v>
      </c>
      <c r="K36" s="143" t="s">
        <v>204</v>
      </c>
      <c r="L36" s="143" t="s">
        <v>325</v>
      </c>
      <c r="M36" s="143" t="s">
        <v>340</v>
      </c>
      <c r="N36" s="143" t="s">
        <v>445</v>
      </c>
      <c r="O36" s="143" t="s">
        <v>339</v>
      </c>
      <c r="P36" s="143" t="s">
        <v>1210</v>
      </c>
      <c r="Q36" s="144">
        <v>10482</v>
      </c>
      <c r="R36" s="145" t="s">
        <v>3876</v>
      </c>
      <c r="S36" s="143" t="s">
        <v>2183</v>
      </c>
      <c r="T36" s="145" t="s">
        <v>3876</v>
      </c>
      <c r="U36" s="144">
        <v>939.18719999999996</v>
      </c>
      <c r="V36" s="146">
        <v>1.6566587797043844E-4</v>
      </c>
      <c r="W36" s="146">
        <v>4.6751203907170781E-3</v>
      </c>
      <c r="X36" s="147">
        <v>9.4456195291051179E-4</v>
      </c>
      <c r="Y36" s="183"/>
    </row>
    <row r="37" spans="1:25" ht="15" x14ac:dyDescent="0.2">
      <c r="A37" s="142" t="s">
        <v>1205</v>
      </c>
      <c r="B37" s="143" t="s">
        <v>1205</v>
      </c>
      <c r="C37" s="143" t="s">
        <v>1758</v>
      </c>
      <c r="D37" s="143" t="s">
        <v>1759</v>
      </c>
      <c r="E37" s="143" t="s">
        <v>309</v>
      </c>
      <c r="F37" s="143" t="s">
        <v>2184</v>
      </c>
      <c r="G37" s="143" t="s">
        <v>2185</v>
      </c>
      <c r="H37" s="143" t="s">
        <v>321</v>
      </c>
      <c r="I37" s="143" t="s">
        <v>917</v>
      </c>
      <c r="J37" s="143" t="s">
        <v>204</v>
      </c>
      <c r="K37" s="143" t="s">
        <v>204</v>
      </c>
      <c r="L37" s="143" t="s">
        <v>325</v>
      </c>
      <c r="M37" s="143" t="s">
        <v>340</v>
      </c>
      <c r="N37" s="143" t="s">
        <v>464</v>
      </c>
      <c r="O37" s="143" t="s">
        <v>339</v>
      </c>
      <c r="P37" s="143" t="s">
        <v>1210</v>
      </c>
      <c r="Q37" s="144">
        <v>9818</v>
      </c>
      <c r="R37" s="145" t="s">
        <v>3876</v>
      </c>
      <c r="S37" s="143" t="s">
        <v>2186</v>
      </c>
      <c r="T37" s="145" t="s">
        <v>3876</v>
      </c>
      <c r="U37" s="144">
        <v>898.4452</v>
      </c>
      <c r="V37" s="146">
        <v>2.6823072847728435E-4</v>
      </c>
      <c r="W37" s="146">
        <v>4.4723132736045335E-3</v>
      </c>
      <c r="X37" s="147">
        <v>9.0358677567564411E-4</v>
      </c>
      <c r="Y37" s="183"/>
    </row>
    <row r="38" spans="1:25" ht="15" x14ac:dyDescent="0.2">
      <c r="A38" s="142" t="s">
        <v>1205</v>
      </c>
      <c r="B38" s="143" t="s">
        <v>1205</v>
      </c>
      <c r="C38" s="143" t="s">
        <v>2187</v>
      </c>
      <c r="D38" s="143" t="s">
        <v>2188</v>
      </c>
      <c r="E38" s="143" t="s">
        <v>309</v>
      </c>
      <c r="F38" s="143" t="s">
        <v>2189</v>
      </c>
      <c r="G38" s="143" t="s">
        <v>2190</v>
      </c>
      <c r="H38" s="143" t="s">
        <v>321</v>
      </c>
      <c r="I38" s="143" t="s">
        <v>917</v>
      </c>
      <c r="J38" s="143" t="s">
        <v>204</v>
      </c>
      <c r="K38" s="143" t="s">
        <v>204</v>
      </c>
      <c r="L38" s="143" t="s">
        <v>325</v>
      </c>
      <c r="M38" s="143" t="s">
        <v>340</v>
      </c>
      <c r="N38" s="143" t="s">
        <v>475</v>
      </c>
      <c r="O38" s="143" t="s">
        <v>339</v>
      </c>
      <c r="P38" s="143" t="s">
        <v>1210</v>
      </c>
      <c r="Q38" s="144">
        <v>4957</v>
      </c>
      <c r="R38" s="145" t="s">
        <v>3876</v>
      </c>
      <c r="S38" s="143" t="s">
        <v>2191</v>
      </c>
      <c r="T38" s="145" t="s">
        <v>3876</v>
      </c>
      <c r="U38" s="144">
        <v>891.76430000000005</v>
      </c>
      <c r="V38" s="146">
        <v>3.4186770388836067E-4</v>
      </c>
      <c r="W38" s="146">
        <v>4.4390569448173288E-3</v>
      </c>
      <c r="X38" s="147">
        <v>8.968676625318951E-4</v>
      </c>
      <c r="Y38" s="183"/>
    </row>
    <row r="39" spans="1:25" ht="15" x14ac:dyDescent="0.2">
      <c r="A39" s="142" t="s">
        <v>1205</v>
      </c>
      <c r="B39" s="143" t="s">
        <v>1205</v>
      </c>
      <c r="C39" s="143" t="s">
        <v>2192</v>
      </c>
      <c r="D39" s="143" t="s">
        <v>2193</v>
      </c>
      <c r="E39" s="143" t="s">
        <v>309</v>
      </c>
      <c r="F39" s="143" t="s">
        <v>2194</v>
      </c>
      <c r="G39" s="143" t="s">
        <v>2195</v>
      </c>
      <c r="H39" s="143" t="s">
        <v>321</v>
      </c>
      <c r="I39" s="143" t="s">
        <v>917</v>
      </c>
      <c r="J39" s="143" t="s">
        <v>204</v>
      </c>
      <c r="K39" s="143" t="s">
        <v>204</v>
      </c>
      <c r="L39" s="143" t="s">
        <v>325</v>
      </c>
      <c r="M39" s="143" t="s">
        <v>340</v>
      </c>
      <c r="N39" s="143" t="s">
        <v>459</v>
      </c>
      <c r="O39" s="143" t="s">
        <v>339</v>
      </c>
      <c r="P39" s="143" t="s">
        <v>1210</v>
      </c>
      <c r="Q39" s="144">
        <v>15618</v>
      </c>
      <c r="R39" s="145" t="s">
        <v>3876</v>
      </c>
      <c r="S39" s="143" t="s">
        <v>2196</v>
      </c>
      <c r="T39" s="145" t="s">
        <v>3876</v>
      </c>
      <c r="U39" s="144">
        <v>874.45180000000005</v>
      </c>
      <c r="V39" s="146">
        <v>1.3299509309588393E-4</v>
      </c>
      <c r="W39" s="146">
        <v>4.3528782487470656E-3</v>
      </c>
      <c r="X39" s="147">
        <v>8.794561071800716E-4</v>
      </c>
      <c r="Y39" s="183"/>
    </row>
    <row r="40" spans="1:25" ht="15" x14ac:dyDescent="0.2">
      <c r="A40" s="142" t="s">
        <v>1205</v>
      </c>
      <c r="B40" s="143" t="s">
        <v>1205</v>
      </c>
      <c r="C40" s="143" t="s">
        <v>1776</v>
      </c>
      <c r="D40" s="143" t="s">
        <v>1777</v>
      </c>
      <c r="E40" s="143" t="s">
        <v>309</v>
      </c>
      <c r="F40" s="143" t="s">
        <v>2197</v>
      </c>
      <c r="G40" s="143" t="s">
        <v>2198</v>
      </c>
      <c r="H40" s="143" t="s">
        <v>321</v>
      </c>
      <c r="I40" s="143" t="s">
        <v>917</v>
      </c>
      <c r="J40" s="143" t="s">
        <v>204</v>
      </c>
      <c r="K40" s="143" t="s">
        <v>204</v>
      </c>
      <c r="L40" s="143" t="s">
        <v>325</v>
      </c>
      <c r="M40" s="143" t="s">
        <v>340</v>
      </c>
      <c r="N40" s="143" t="s">
        <v>464</v>
      </c>
      <c r="O40" s="143" t="s">
        <v>339</v>
      </c>
      <c r="P40" s="143" t="s">
        <v>1210</v>
      </c>
      <c r="Q40" s="144">
        <v>57842</v>
      </c>
      <c r="R40" s="145" t="s">
        <v>3876</v>
      </c>
      <c r="S40" s="143" t="s">
        <v>2199</v>
      </c>
      <c r="T40" s="145" t="s">
        <v>3876</v>
      </c>
      <c r="U40" s="144">
        <v>873.41419999999994</v>
      </c>
      <c r="V40" s="146">
        <v>1.2267636121407902E-4</v>
      </c>
      <c r="W40" s="146">
        <v>4.3477131459647702E-3</v>
      </c>
      <c r="X40" s="147">
        <v>8.7841254911882568E-4</v>
      </c>
      <c r="Y40" s="183"/>
    </row>
    <row r="41" spans="1:25" ht="15" x14ac:dyDescent="0.2">
      <c r="A41" s="142" t="s">
        <v>1205</v>
      </c>
      <c r="B41" s="143" t="s">
        <v>1205</v>
      </c>
      <c r="C41" s="143" t="s">
        <v>1870</v>
      </c>
      <c r="D41" s="143" t="s">
        <v>1871</v>
      </c>
      <c r="E41" s="143" t="s">
        <v>309</v>
      </c>
      <c r="F41" s="143" t="s">
        <v>2200</v>
      </c>
      <c r="G41" s="143" t="s">
        <v>2201</v>
      </c>
      <c r="H41" s="143" t="s">
        <v>321</v>
      </c>
      <c r="I41" s="143" t="s">
        <v>917</v>
      </c>
      <c r="J41" s="143" t="s">
        <v>204</v>
      </c>
      <c r="K41" s="143" t="s">
        <v>204</v>
      </c>
      <c r="L41" s="143" t="s">
        <v>325</v>
      </c>
      <c r="M41" s="143" t="s">
        <v>340</v>
      </c>
      <c r="N41" s="143" t="s">
        <v>484</v>
      </c>
      <c r="O41" s="143" t="s">
        <v>339</v>
      </c>
      <c r="P41" s="143" t="s">
        <v>1210</v>
      </c>
      <c r="Q41" s="144">
        <v>54572</v>
      </c>
      <c r="R41" s="145" t="s">
        <v>3876</v>
      </c>
      <c r="S41" s="143" t="s">
        <v>2202</v>
      </c>
      <c r="T41" s="145" t="s">
        <v>3876</v>
      </c>
      <c r="U41" s="144">
        <v>837.6801999999999</v>
      </c>
      <c r="V41" s="146">
        <v>2.855375816604546E-4</v>
      </c>
      <c r="W41" s="146">
        <v>4.1698351339540833E-3</v>
      </c>
      <c r="X41" s="147">
        <v>8.4247405163365521E-4</v>
      </c>
      <c r="Y41" s="183"/>
    </row>
    <row r="42" spans="1:25" ht="15" x14ac:dyDescent="0.2">
      <c r="A42" s="142" t="s">
        <v>1205</v>
      </c>
      <c r="B42" s="143" t="s">
        <v>1205</v>
      </c>
      <c r="C42" s="143" t="s">
        <v>1385</v>
      </c>
      <c r="D42" s="143" t="s">
        <v>1386</v>
      </c>
      <c r="E42" s="143" t="s">
        <v>309</v>
      </c>
      <c r="F42" s="143" t="s">
        <v>2203</v>
      </c>
      <c r="G42" s="143" t="s">
        <v>2204</v>
      </c>
      <c r="H42" s="143" t="s">
        <v>321</v>
      </c>
      <c r="I42" s="143" t="s">
        <v>917</v>
      </c>
      <c r="J42" s="143" t="s">
        <v>204</v>
      </c>
      <c r="K42" s="143" t="s">
        <v>204</v>
      </c>
      <c r="L42" s="143" t="s">
        <v>325</v>
      </c>
      <c r="M42" s="143" t="s">
        <v>340</v>
      </c>
      <c r="N42" s="143" t="s">
        <v>440</v>
      </c>
      <c r="O42" s="143" t="s">
        <v>339</v>
      </c>
      <c r="P42" s="143" t="s">
        <v>1210</v>
      </c>
      <c r="Q42" s="144">
        <v>31788</v>
      </c>
      <c r="R42" s="145" t="s">
        <v>3876</v>
      </c>
      <c r="S42" s="143" t="s">
        <v>2205</v>
      </c>
      <c r="T42" s="145" t="s">
        <v>3876</v>
      </c>
      <c r="U42" s="144">
        <v>836.97799999999995</v>
      </c>
      <c r="V42" s="146">
        <v>1.4162966917549477E-4</v>
      </c>
      <c r="W42" s="146">
        <v>4.1663398962277316E-3</v>
      </c>
      <c r="X42" s="147">
        <v>8.4176787333303988E-4</v>
      </c>
      <c r="Y42" s="183"/>
    </row>
    <row r="43" spans="1:25" ht="15" x14ac:dyDescent="0.2">
      <c r="A43" s="142" t="s">
        <v>1205</v>
      </c>
      <c r="B43" s="143" t="s">
        <v>1205</v>
      </c>
      <c r="C43" s="143" t="s">
        <v>1764</v>
      </c>
      <c r="D43" s="143" t="s">
        <v>1765</v>
      </c>
      <c r="E43" s="143" t="s">
        <v>309</v>
      </c>
      <c r="F43" s="143" t="s">
        <v>2206</v>
      </c>
      <c r="G43" s="143" t="s">
        <v>2207</v>
      </c>
      <c r="H43" s="143" t="s">
        <v>321</v>
      </c>
      <c r="I43" s="143" t="s">
        <v>917</v>
      </c>
      <c r="J43" s="143" t="s">
        <v>204</v>
      </c>
      <c r="K43" s="143" t="s">
        <v>204</v>
      </c>
      <c r="L43" s="143" t="s">
        <v>325</v>
      </c>
      <c r="M43" s="143" t="s">
        <v>340</v>
      </c>
      <c r="N43" s="143" t="s">
        <v>440</v>
      </c>
      <c r="O43" s="143" t="s">
        <v>339</v>
      </c>
      <c r="P43" s="143" t="s">
        <v>1210</v>
      </c>
      <c r="Q43" s="144">
        <v>957922</v>
      </c>
      <c r="R43" s="145" t="s">
        <v>3876</v>
      </c>
      <c r="S43" s="143" t="s">
        <v>2208</v>
      </c>
      <c r="T43" s="145" t="s">
        <v>3876</v>
      </c>
      <c r="U43" s="144">
        <v>830.51840000000004</v>
      </c>
      <c r="V43" s="146">
        <v>2.97813581372646E-4</v>
      </c>
      <c r="W43" s="146">
        <v>4.1341847345796367E-3</v>
      </c>
      <c r="X43" s="147">
        <v>8.352712401462699E-4</v>
      </c>
      <c r="Y43" s="183"/>
    </row>
    <row r="44" spans="1:25" ht="15" x14ac:dyDescent="0.2">
      <c r="A44" s="142" t="s">
        <v>1205</v>
      </c>
      <c r="B44" s="143" t="s">
        <v>1205</v>
      </c>
      <c r="C44" s="143" t="s">
        <v>1844</v>
      </c>
      <c r="D44" s="143" t="s">
        <v>1845</v>
      </c>
      <c r="E44" s="143" t="s">
        <v>309</v>
      </c>
      <c r="F44" s="143" t="s">
        <v>1844</v>
      </c>
      <c r="G44" s="143" t="s">
        <v>2209</v>
      </c>
      <c r="H44" s="143" t="s">
        <v>321</v>
      </c>
      <c r="I44" s="143" t="s">
        <v>917</v>
      </c>
      <c r="J44" s="143" t="s">
        <v>204</v>
      </c>
      <c r="K44" s="143" t="s">
        <v>204</v>
      </c>
      <c r="L44" s="143" t="s">
        <v>325</v>
      </c>
      <c r="M44" s="143" t="s">
        <v>340</v>
      </c>
      <c r="N44" s="143" t="s">
        <v>441</v>
      </c>
      <c r="O44" s="143" t="s">
        <v>339</v>
      </c>
      <c r="P44" s="143" t="s">
        <v>1210</v>
      </c>
      <c r="Q44" s="144">
        <v>9918</v>
      </c>
      <c r="R44" s="145" t="s">
        <v>3876</v>
      </c>
      <c r="S44" s="143" t="s">
        <v>2210</v>
      </c>
      <c r="T44" s="145" t="s">
        <v>3876</v>
      </c>
      <c r="U44" s="144">
        <v>818.23500000000001</v>
      </c>
      <c r="V44" s="146">
        <v>2.7906182105648901E-4</v>
      </c>
      <c r="W44" s="146">
        <v>4.0730401062731561E-3</v>
      </c>
      <c r="X44" s="147">
        <v>8.2291757121448483E-4</v>
      </c>
      <c r="Y44" s="183"/>
    </row>
    <row r="45" spans="1:25" ht="15" x14ac:dyDescent="0.2">
      <c r="A45" s="142" t="s">
        <v>1205</v>
      </c>
      <c r="B45" s="143" t="s">
        <v>1205</v>
      </c>
      <c r="C45" s="143" t="s">
        <v>1683</v>
      </c>
      <c r="D45" s="143" t="s">
        <v>1684</v>
      </c>
      <c r="E45" s="143" t="s">
        <v>309</v>
      </c>
      <c r="F45" s="143" t="s">
        <v>2211</v>
      </c>
      <c r="G45" s="143" t="s">
        <v>2212</v>
      </c>
      <c r="H45" s="143" t="s">
        <v>321</v>
      </c>
      <c r="I45" s="143" t="s">
        <v>917</v>
      </c>
      <c r="J45" s="143" t="s">
        <v>204</v>
      </c>
      <c r="K45" s="143" t="s">
        <v>204</v>
      </c>
      <c r="L45" s="143" t="s">
        <v>325</v>
      </c>
      <c r="M45" s="143" t="s">
        <v>340</v>
      </c>
      <c r="N45" s="143" t="s">
        <v>464</v>
      </c>
      <c r="O45" s="143" t="s">
        <v>339</v>
      </c>
      <c r="P45" s="143" t="s">
        <v>1210</v>
      </c>
      <c r="Q45" s="144">
        <v>108350</v>
      </c>
      <c r="R45" s="145" t="s">
        <v>3876</v>
      </c>
      <c r="S45" s="143" t="s">
        <v>2213</v>
      </c>
      <c r="T45" s="145" t="s">
        <v>3876</v>
      </c>
      <c r="U45" s="144">
        <v>790.19659999999999</v>
      </c>
      <c r="V45" s="146">
        <v>7.1997709788401958E-4</v>
      </c>
      <c r="W45" s="146">
        <v>3.9334692844826755E-3</v>
      </c>
      <c r="X45" s="147">
        <v>7.9471866359672372E-4</v>
      </c>
      <c r="Y45" s="183"/>
    </row>
    <row r="46" spans="1:25" ht="15" x14ac:dyDescent="0.2">
      <c r="A46" s="142" t="s">
        <v>1205</v>
      </c>
      <c r="B46" s="143" t="s">
        <v>1205</v>
      </c>
      <c r="C46" s="143" t="s">
        <v>1406</v>
      </c>
      <c r="D46" s="143" t="s">
        <v>1407</v>
      </c>
      <c r="E46" s="143" t="s">
        <v>309</v>
      </c>
      <c r="F46" s="143" t="s">
        <v>2214</v>
      </c>
      <c r="G46" s="143" t="s">
        <v>2215</v>
      </c>
      <c r="H46" s="143" t="s">
        <v>321</v>
      </c>
      <c r="I46" s="143" t="s">
        <v>917</v>
      </c>
      <c r="J46" s="143" t="s">
        <v>204</v>
      </c>
      <c r="K46" s="143" t="s">
        <v>204</v>
      </c>
      <c r="L46" s="143" t="s">
        <v>325</v>
      </c>
      <c r="M46" s="143" t="s">
        <v>340</v>
      </c>
      <c r="N46" s="143" t="s">
        <v>475</v>
      </c>
      <c r="O46" s="143" t="s">
        <v>339</v>
      </c>
      <c r="P46" s="143" t="s">
        <v>1210</v>
      </c>
      <c r="Q46" s="144">
        <v>31320</v>
      </c>
      <c r="R46" s="145" t="s">
        <v>3876</v>
      </c>
      <c r="S46" s="143" t="s">
        <v>2216</v>
      </c>
      <c r="T46" s="145" t="s">
        <v>3876</v>
      </c>
      <c r="U46" s="144">
        <v>774.23040000000003</v>
      </c>
      <c r="V46" s="146">
        <v>1.1407594483647164E-4</v>
      </c>
      <c r="W46" s="146">
        <v>3.8539923991223897E-3</v>
      </c>
      <c r="X46" s="147">
        <v>7.7866114298266276E-4</v>
      </c>
      <c r="Y46" s="183"/>
    </row>
    <row r="47" spans="1:25" ht="15" x14ac:dyDescent="0.2">
      <c r="A47" s="142" t="s">
        <v>1205</v>
      </c>
      <c r="B47" s="143" t="s">
        <v>1205</v>
      </c>
      <c r="C47" s="143" t="s">
        <v>2217</v>
      </c>
      <c r="D47" s="143" t="s">
        <v>2218</v>
      </c>
      <c r="E47" s="143" t="s">
        <v>309</v>
      </c>
      <c r="F47" s="143" t="s">
        <v>2219</v>
      </c>
      <c r="G47" s="143" t="s">
        <v>2220</v>
      </c>
      <c r="H47" s="143" t="s">
        <v>321</v>
      </c>
      <c r="I47" s="143" t="s">
        <v>917</v>
      </c>
      <c r="J47" s="143" t="s">
        <v>204</v>
      </c>
      <c r="K47" s="143" t="s">
        <v>204</v>
      </c>
      <c r="L47" s="143" t="s">
        <v>325</v>
      </c>
      <c r="M47" s="143" t="s">
        <v>340</v>
      </c>
      <c r="N47" s="143" t="s">
        <v>475</v>
      </c>
      <c r="O47" s="143" t="s">
        <v>339</v>
      </c>
      <c r="P47" s="143" t="s">
        <v>1210</v>
      </c>
      <c r="Q47" s="144">
        <v>12000</v>
      </c>
      <c r="R47" s="145" t="s">
        <v>3876</v>
      </c>
      <c r="S47" s="143" t="s">
        <v>2221</v>
      </c>
      <c r="T47" s="145" t="s">
        <v>3876</v>
      </c>
      <c r="U47" s="144">
        <v>749.28</v>
      </c>
      <c r="V47" s="146">
        <v>4.8000000000000001E-4</v>
      </c>
      <c r="W47" s="146">
        <v>3.7297933855534788E-3</v>
      </c>
      <c r="X47" s="147">
        <v>7.5356795756670054E-4</v>
      </c>
      <c r="Y47" s="183"/>
    </row>
    <row r="48" spans="1:25" ht="15" x14ac:dyDescent="0.2">
      <c r="A48" s="142" t="s">
        <v>1205</v>
      </c>
      <c r="B48" s="143" t="s">
        <v>1205</v>
      </c>
      <c r="C48" s="143" t="s">
        <v>1853</v>
      </c>
      <c r="D48" s="143" t="s">
        <v>1854</v>
      </c>
      <c r="E48" s="143" t="s">
        <v>309</v>
      </c>
      <c r="F48" s="143" t="s">
        <v>2222</v>
      </c>
      <c r="G48" s="143" t="s">
        <v>2223</v>
      </c>
      <c r="H48" s="143" t="s">
        <v>321</v>
      </c>
      <c r="I48" s="143" t="s">
        <v>917</v>
      </c>
      <c r="J48" s="143" t="s">
        <v>204</v>
      </c>
      <c r="K48" s="143" t="s">
        <v>204</v>
      </c>
      <c r="L48" s="143" t="s">
        <v>325</v>
      </c>
      <c r="M48" s="143" t="s">
        <v>340</v>
      </c>
      <c r="N48" s="143" t="s">
        <v>464</v>
      </c>
      <c r="O48" s="143" t="s">
        <v>339</v>
      </c>
      <c r="P48" s="143" t="s">
        <v>1210</v>
      </c>
      <c r="Q48" s="144">
        <v>84731.41</v>
      </c>
      <c r="R48" s="145" t="s">
        <v>3876</v>
      </c>
      <c r="S48" s="143" t="s">
        <v>2224</v>
      </c>
      <c r="T48" s="145" t="s">
        <v>3876</v>
      </c>
      <c r="U48" s="144">
        <v>746.4837</v>
      </c>
      <c r="V48" s="146">
        <v>1.1216225948201156E-4</v>
      </c>
      <c r="W48" s="146">
        <v>3.7158739711615433E-3</v>
      </c>
      <c r="X48" s="147">
        <v>7.5075567720970192E-4</v>
      </c>
      <c r="Y48" s="183"/>
    </row>
    <row r="49" spans="1:25" ht="15" x14ac:dyDescent="0.2">
      <c r="A49" s="142" t="s">
        <v>1205</v>
      </c>
      <c r="B49" s="143" t="s">
        <v>1205</v>
      </c>
      <c r="C49" s="143" t="s">
        <v>2225</v>
      </c>
      <c r="D49" s="143" t="s">
        <v>2226</v>
      </c>
      <c r="E49" s="143" t="s">
        <v>309</v>
      </c>
      <c r="F49" s="143" t="s">
        <v>2227</v>
      </c>
      <c r="G49" s="143" t="s">
        <v>2228</v>
      </c>
      <c r="H49" s="143" t="s">
        <v>321</v>
      </c>
      <c r="I49" s="143" t="s">
        <v>917</v>
      </c>
      <c r="J49" s="143" t="s">
        <v>204</v>
      </c>
      <c r="K49" s="143" t="s">
        <v>204</v>
      </c>
      <c r="L49" s="143" t="s">
        <v>325</v>
      </c>
      <c r="M49" s="143" t="s">
        <v>340</v>
      </c>
      <c r="N49" s="143" t="s">
        <v>476</v>
      </c>
      <c r="O49" s="143" t="s">
        <v>339</v>
      </c>
      <c r="P49" s="143" t="s">
        <v>1210</v>
      </c>
      <c r="Q49" s="144">
        <v>2739</v>
      </c>
      <c r="R49" s="145" t="s">
        <v>3876</v>
      </c>
      <c r="S49" s="143" t="s">
        <v>2229</v>
      </c>
      <c r="T49" s="145" t="s">
        <v>3876</v>
      </c>
      <c r="U49" s="144">
        <v>734.05200000000002</v>
      </c>
      <c r="V49" s="146">
        <v>1.7225020842652548E-4</v>
      </c>
      <c r="W49" s="146">
        <v>3.6539908902577171E-3</v>
      </c>
      <c r="X49" s="147">
        <v>7.3825281121576937E-4</v>
      </c>
      <c r="Y49" s="183"/>
    </row>
    <row r="50" spans="1:25" ht="15" x14ac:dyDescent="0.2">
      <c r="A50" s="142" t="s">
        <v>1205</v>
      </c>
      <c r="B50" s="143" t="s">
        <v>1205</v>
      </c>
      <c r="C50" s="143" t="s">
        <v>2230</v>
      </c>
      <c r="D50" s="143" t="s">
        <v>2231</v>
      </c>
      <c r="E50" s="143" t="s">
        <v>309</v>
      </c>
      <c r="F50" s="143" t="s">
        <v>2232</v>
      </c>
      <c r="G50" s="143" t="s">
        <v>2233</v>
      </c>
      <c r="H50" s="143" t="s">
        <v>321</v>
      </c>
      <c r="I50" s="143" t="s">
        <v>917</v>
      </c>
      <c r="J50" s="143" t="s">
        <v>204</v>
      </c>
      <c r="K50" s="143" t="s">
        <v>204</v>
      </c>
      <c r="L50" s="143" t="s">
        <v>325</v>
      </c>
      <c r="M50" s="143" t="s">
        <v>340</v>
      </c>
      <c r="N50" s="143" t="s">
        <v>451</v>
      </c>
      <c r="O50" s="143" t="s">
        <v>339</v>
      </c>
      <c r="P50" s="143" t="s">
        <v>1210</v>
      </c>
      <c r="Q50" s="144">
        <v>1409939</v>
      </c>
      <c r="R50" s="145" t="s">
        <v>3876</v>
      </c>
      <c r="S50" s="143" t="s">
        <v>2234</v>
      </c>
      <c r="T50" s="145" t="s">
        <v>3876</v>
      </c>
      <c r="U50" s="144">
        <v>733.16830000000004</v>
      </c>
      <c r="V50" s="146">
        <v>1.1146153974525635E-3</v>
      </c>
      <c r="W50" s="146">
        <v>3.6495918765236239E-3</v>
      </c>
      <c r="X50" s="147">
        <v>7.3736403388892108E-4</v>
      </c>
      <c r="Y50" s="183"/>
    </row>
    <row r="51" spans="1:25" ht="15" x14ac:dyDescent="0.2">
      <c r="A51" s="142" t="s">
        <v>1205</v>
      </c>
      <c r="B51" s="143" t="s">
        <v>1205</v>
      </c>
      <c r="C51" s="143" t="s">
        <v>2235</v>
      </c>
      <c r="D51" s="143" t="s">
        <v>2236</v>
      </c>
      <c r="E51" s="143" t="s">
        <v>309</v>
      </c>
      <c r="F51" s="143" t="s">
        <v>2237</v>
      </c>
      <c r="G51" s="143" t="s">
        <v>2238</v>
      </c>
      <c r="H51" s="143" t="s">
        <v>321</v>
      </c>
      <c r="I51" s="143" t="s">
        <v>917</v>
      </c>
      <c r="J51" s="143" t="s">
        <v>204</v>
      </c>
      <c r="K51" s="143" t="s">
        <v>204</v>
      </c>
      <c r="L51" s="143" t="s">
        <v>325</v>
      </c>
      <c r="M51" s="143" t="s">
        <v>340</v>
      </c>
      <c r="N51" s="143" t="s">
        <v>455</v>
      </c>
      <c r="O51" s="143" t="s">
        <v>339</v>
      </c>
      <c r="P51" s="143" t="s">
        <v>1210</v>
      </c>
      <c r="Q51" s="144">
        <v>13000</v>
      </c>
      <c r="R51" s="145" t="s">
        <v>3876</v>
      </c>
      <c r="S51" s="143" t="s">
        <v>2239</v>
      </c>
      <c r="T51" s="145" t="s">
        <v>3876</v>
      </c>
      <c r="U51" s="144">
        <v>730.6</v>
      </c>
      <c r="V51" s="146">
        <v>1.2526043330281797E-3</v>
      </c>
      <c r="W51" s="146">
        <v>3.6368073984163083E-3</v>
      </c>
      <c r="X51" s="147">
        <v>7.3478105621160503E-4</v>
      </c>
      <c r="Y51" s="183"/>
    </row>
    <row r="52" spans="1:25" ht="15" x14ac:dyDescent="0.2">
      <c r="A52" s="142" t="s">
        <v>1205</v>
      </c>
      <c r="B52" s="143" t="s">
        <v>1205</v>
      </c>
      <c r="C52" s="143" t="s">
        <v>1571</v>
      </c>
      <c r="D52" s="143" t="s">
        <v>1572</v>
      </c>
      <c r="E52" s="143" t="s">
        <v>309</v>
      </c>
      <c r="F52" s="143" t="s">
        <v>2240</v>
      </c>
      <c r="G52" s="143" t="s">
        <v>2241</v>
      </c>
      <c r="H52" s="143" t="s">
        <v>321</v>
      </c>
      <c r="I52" s="143" t="s">
        <v>917</v>
      </c>
      <c r="J52" s="143" t="s">
        <v>204</v>
      </c>
      <c r="K52" s="143" t="s">
        <v>204</v>
      </c>
      <c r="L52" s="143" t="s">
        <v>325</v>
      </c>
      <c r="M52" s="143" t="s">
        <v>340</v>
      </c>
      <c r="N52" s="143" t="s">
        <v>440</v>
      </c>
      <c r="O52" s="143" t="s">
        <v>339</v>
      </c>
      <c r="P52" s="143" t="s">
        <v>1210</v>
      </c>
      <c r="Q52" s="144">
        <v>1991</v>
      </c>
      <c r="R52" s="145" t="s">
        <v>3876</v>
      </c>
      <c r="S52" s="143" t="s">
        <v>2242</v>
      </c>
      <c r="T52" s="144">
        <v>32.653400000000005</v>
      </c>
      <c r="U52" s="144">
        <v>718.35380000000009</v>
      </c>
      <c r="V52" s="146">
        <v>1.445860337008186E-4</v>
      </c>
      <c r="W52" s="146">
        <v>3.7383913039915305E-3</v>
      </c>
      <c r="X52" s="147">
        <v>7.5530508216501823E-4</v>
      </c>
      <c r="Y52" s="183"/>
    </row>
    <row r="53" spans="1:25" ht="15" x14ac:dyDescent="0.2">
      <c r="A53" s="142" t="s">
        <v>1205</v>
      </c>
      <c r="B53" s="143" t="s">
        <v>1205</v>
      </c>
      <c r="C53" s="143" t="s">
        <v>2243</v>
      </c>
      <c r="D53" s="143" t="s">
        <v>2244</v>
      </c>
      <c r="E53" s="143" t="s">
        <v>309</v>
      </c>
      <c r="F53" s="143" t="s">
        <v>2245</v>
      </c>
      <c r="G53" s="143" t="s">
        <v>2246</v>
      </c>
      <c r="H53" s="143" t="s">
        <v>321</v>
      </c>
      <c r="I53" s="143" t="s">
        <v>917</v>
      </c>
      <c r="J53" s="143" t="s">
        <v>204</v>
      </c>
      <c r="K53" s="143" t="s">
        <v>204</v>
      </c>
      <c r="L53" s="143" t="s">
        <v>325</v>
      </c>
      <c r="M53" s="143" t="s">
        <v>340</v>
      </c>
      <c r="N53" s="143" t="s">
        <v>437</v>
      </c>
      <c r="O53" s="143" t="s">
        <v>339</v>
      </c>
      <c r="P53" s="143" t="s">
        <v>1210</v>
      </c>
      <c r="Q53" s="144">
        <v>4387</v>
      </c>
      <c r="R53" s="145" t="s">
        <v>3876</v>
      </c>
      <c r="S53" s="143" t="s">
        <v>2247</v>
      </c>
      <c r="T53" s="145" t="s">
        <v>3876</v>
      </c>
      <c r="U53" s="144">
        <v>688.75900000000001</v>
      </c>
      <c r="V53" s="146">
        <v>1.6294334136511161E-4</v>
      </c>
      <c r="W53" s="146">
        <v>3.4285297384695022E-3</v>
      </c>
      <c r="X53" s="147">
        <v>6.9270060976628638E-4</v>
      </c>
      <c r="Y53" s="183"/>
    </row>
    <row r="54" spans="1:25" ht="15" x14ac:dyDescent="0.2">
      <c r="A54" s="142" t="s">
        <v>1205</v>
      </c>
      <c r="B54" s="143" t="s">
        <v>1205</v>
      </c>
      <c r="C54" s="143" t="s">
        <v>2248</v>
      </c>
      <c r="D54" s="143" t="s">
        <v>2249</v>
      </c>
      <c r="E54" s="143" t="s">
        <v>309</v>
      </c>
      <c r="F54" s="143" t="s">
        <v>2250</v>
      </c>
      <c r="G54" s="143" t="s">
        <v>2251</v>
      </c>
      <c r="H54" s="143" t="s">
        <v>321</v>
      </c>
      <c r="I54" s="143" t="s">
        <v>917</v>
      </c>
      <c r="J54" s="143" t="s">
        <v>204</v>
      </c>
      <c r="K54" s="143" t="s">
        <v>204</v>
      </c>
      <c r="L54" s="143" t="s">
        <v>325</v>
      </c>
      <c r="M54" s="143" t="s">
        <v>340</v>
      </c>
      <c r="N54" s="143" t="s">
        <v>476</v>
      </c>
      <c r="O54" s="143" t="s">
        <v>339</v>
      </c>
      <c r="P54" s="143" t="s">
        <v>1210</v>
      </c>
      <c r="Q54" s="144">
        <v>3445</v>
      </c>
      <c r="R54" s="145" t="s">
        <v>3876</v>
      </c>
      <c r="S54" s="143" t="s">
        <v>2252</v>
      </c>
      <c r="T54" s="145" t="s">
        <v>3876</v>
      </c>
      <c r="U54" s="144">
        <v>675.22</v>
      </c>
      <c r="V54" s="146">
        <v>1.5022232249640983E-4</v>
      </c>
      <c r="W54" s="146">
        <v>3.3611348091413355E-3</v>
      </c>
      <c r="X54" s="147">
        <v>6.790841291749246E-4</v>
      </c>
      <c r="Y54" s="183"/>
    </row>
    <row r="55" spans="1:25" ht="15" x14ac:dyDescent="0.2">
      <c r="A55" s="142" t="s">
        <v>1205</v>
      </c>
      <c r="B55" s="143" t="s">
        <v>1205</v>
      </c>
      <c r="C55" s="143" t="s">
        <v>2253</v>
      </c>
      <c r="D55" s="143" t="s">
        <v>2254</v>
      </c>
      <c r="E55" s="143" t="s">
        <v>309</v>
      </c>
      <c r="F55" s="143" t="s">
        <v>2255</v>
      </c>
      <c r="G55" s="143" t="s">
        <v>2256</v>
      </c>
      <c r="H55" s="143" t="s">
        <v>321</v>
      </c>
      <c r="I55" s="143" t="s">
        <v>917</v>
      </c>
      <c r="J55" s="143" t="s">
        <v>204</v>
      </c>
      <c r="K55" s="143" t="s">
        <v>204</v>
      </c>
      <c r="L55" s="143" t="s">
        <v>325</v>
      </c>
      <c r="M55" s="143" t="s">
        <v>340</v>
      </c>
      <c r="N55" s="143" t="s">
        <v>456</v>
      </c>
      <c r="O55" s="143" t="s">
        <v>339</v>
      </c>
      <c r="P55" s="143" t="s">
        <v>1210</v>
      </c>
      <c r="Q55" s="144">
        <v>62199</v>
      </c>
      <c r="R55" s="145" t="s">
        <v>3876</v>
      </c>
      <c r="S55" s="143" t="s">
        <v>2257</v>
      </c>
      <c r="T55" s="145" t="s">
        <v>3876</v>
      </c>
      <c r="U55" s="144">
        <v>674.23719999999992</v>
      </c>
      <c r="V55" s="146">
        <v>5.820406014657234E-4</v>
      </c>
      <c r="W55" s="146">
        <v>3.3562423922463731E-3</v>
      </c>
      <c r="X55" s="147">
        <v>6.7809566460705296E-4</v>
      </c>
      <c r="Y55" s="183"/>
    </row>
    <row r="56" spans="1:25" ht="15" x14ac:dyDescent="0.2">
      <c r="A56" s="142" t="s">
        <v>1205</v>
      </c>
      <c r="B56" s="143" t="s">
        <v>1205</v>
      </c>
      <c r="C56" s="143" t="s">
        <v>2258</v>
      </c>
      <c r="D56" s="143" t="s">
        <v>2259</v>
      </c>
      <c r="E56" s="143" t="s">
        <v>309</v>
      </c>
      <c r="F56" s="143" t="s">
        <v>2260</v>
      </c>
      <c r="G56" s="143" t="s">
        <v>2261</v>
      </c>
      <c r="H56" s="143" t="s">
        <v>321</v>
      </c>
      <c r="I56" s="143" t="s">
        <v>917</v>
      </c>
      <c r="J56" s="143" t="s">
        <v>204</v>
      </c>
      <c r="K56" s="143" t="s">
        <v>204</v>
      </c>
      <c r="L56" s="143" t="s">
        <v>325</v>
      </c>
      <c r="M56" s="143" t="s">
        <v>340</v>
      </c>
      <c r="N56" s="143" t="s">
        <v>473</v>
      </c>
      <c r="O56" s="143" t="s">
        <v>339</v>
      </c>
      <c r="P56" s="143" t="s">
        <v>1210</v>
      </c>
      <c r="Q56" s="144">
        <v>46009.63</v>
      </c>
      <c r="R56" s="145" t="s">
        <v>3876</v>
      </c>
      <c r="S56" s="143" t="s">
        <v>2262</v>
      </c>
      <c r="T56" s="145" t="s">
        <v>3876</v>
      </c>
      <c r="U56" s="144">
        <v>647.81560000000002</v>
      </c>
      <c r="V56" s="146">
        <v>4.1894678535385227E-4</v>
      </c>
      <c r="W56" s="146">
        <v>3.2247201368411564E-3</v>
      </c>
      <c r="X56" s="147">
        <v>6.5152289042493363E-4</v>
      </c>
      <c r="Y56" s="183"/>
    </row>
    <row r="57" spans="1:25" ht="15" x14ac:dyDescent="0.2">
      <c r="A57" s="142" t="s">
        <v>1205</v>
      </c>
      <c r="B57" s="143" t="s">
        <v>1205</v>
      </c>
      <c r="C57" s="143" t="s">
        <v>2263</v>
      </c>
      <c r="D57" s="143" t="s">
        <v>2264</v>
      </c>
      <c r="E57" s="143" t="s">
        <v>309</v>
      </c>
      <c r="F57" s="143" t="s">
        <v>2265</v>
      </c>
      <c r="G57" s="143" t="s">
        <v>2266</v>
      </c>
      <c r="H57" s="143" t="s">
        <v>321</v>
      </c>
      <c r="I57" s="143" t="s">
        <v>917</v>
      </c>
      <c r="J57" s="143" t="s">
        <v>204</v>
      </c>
      <c r="K57" s="143" t="s">
        <v>204</v>
      </c>
      <c r="L57" s="143" t="s">
        <v>325</v>
      </c>
      <c r="M57" s="143" t="s">
        <v>340</v>
      </c>
      <c r="N57" s="143" t="s">
        <v>476</v>
      </c>
      <c r="O57" s="143" t="s">
        <v>339</v>
      </c>
      <c r="P57" s="143" t="s">
        <v>1210</v>
      </c>
      <c r="Q57" s="144">
        <v>9206</v>
      </c>
      <c r="R57" s="145" t="s">
        <v>3876</v>
      </c>
      <c r="S57" s="143" t="s">
        <v>2267</v>
      </c>
      <c r="T57" s="144">
        <v>7.4568999999999992</v>
      </c>
      <c r="U57" s="144">
        <v>642.76290000000006</v>
      </c>
      <c r="V57" s="146">
        <v>1.4344940757856652E-4</v>
      </c>
      <c r="W57" s="146">
        <v>3.2366877997544816E-3</v>
      </c>
      <c r="X57" s="147">
        <v>6.539408386505303E-4</v>
      </c>
      <c r="Y57" s="183"/>
    </row>
    <row r="58" spans="1:25" ht="15" x14ac:dyDescent="0.2">
      <c r="A58" s="142" t="s">
        <v>1205</v>
      </c>
      <c r="B58" s="143" t="s">
        <v>1205</v>
      </c>
      <c r="C58" s="143" t="s">
        <v>2268</v>
      </c>
      <c r="D58" s="143" t="s">
        <v>2269</v>
      </c>
      <c r="E58" s="143" t="s">
        <v>309</v>
      </c>
      <c r="F58" s="143" t="s">
        <v>2270</v>
      </c>
      <c r="G58" s="143" t="s">
        <v>2271</v>
      </c>
      <c r="H58" s="143" t="s">
        <v>321</v>
      </c>
      <c r="I58" s="143" t="s">
        <v>917</v>
      </c>
      <c r="J58" s="143" t="s">
        <v>204</v>
      </c>
      <c r="K58" s="143" t="s">
        <v>204</v>
      </c>
      <c r="L58" s="143" t="s">
        <v>325</v>
      </c>
      <c r="M58" s="143" t="s">
        <v>340</v>
      </c>
      <c r="N58" s="143" t="s">
        <v>465</v>
      </c>
      <c r="O58" s="143" t="s">
        <v>339</v>
      </c>
      <c r="P58" s="143" t="s">
        <v>1210</v>
      </c>
      <c r="Q58" s="144">
        <v>103133</v>
      </c>
      <c r="R58" s="145" t="s">
        <v>3876</v>
      </c>
      <c r="S58" s="143" t="s">
        <v>2272</v>
      </c>
      <c r="T58" s="145" t="s">
        <v>3876</v>
      </c>
      <c r="U58" s="144">
        <v>578.06050000000005</v>
      </c>
      <c r="V58" s="146">
        <v>1.5156308905247403E-3</v>
      </c>
      <c r="W58" s="146">
        <v>2.877490522644363E-3</v>
      </c>
      <c r="X58" s="147">
        <v>5.8136857244302155E-4</v>
      </c>
      <c r="Y58" s="183"/>
    </row>
    <row r="59" spans="1:25" ht="15" x14ac:dyDescent="0.2">
      <c r="A59" s="142" t="s">
        <v>1205</v>
      </c>
      <c r="B59" s="143" t="s">
        <v>1205</v>
      </c>
      <c r="C59" s="143" t="s">
        <v>2273</v>
      </c>
      <c r="D59" s="143" t="s">
        <v>2274</v>
      </c>
      <c r="E59" s="143" t="s">
        <v>309</v>
      </c>
      <c r="F59" s="143" t="s">
        <v>2275</v>
      </c>
      <c r="G59" s="143" t="s">
        <v>2276</v>
      </c>
      <c r="H59" s="143" t="s">
        <v>321</v>
      </c>
      <c r="I59" s="143" t="s">
        <v>917</v>
      </c>
      <c r="J59" s="143" t="s">
        <v>204</v>
      </c>
      <c r="K59" s="143" t="s">
        <v>204</v>
      </c>
      <c r="L59" s="143" t="s">
        <v>325</v>
      </c>
      <c r="M59" s="143" t="s">
        <v>340</v>
      </c>
      <c r="N59" s="143" t="s">
        <v>475</v>
      </c>
      <c r="O59" s="143" t="s">
        <v>339</v>
      </c>
      <c r="P59" s="143" t="s">
        <v>1210</v>
      </c>
      <c r="Q59" s="144">
        <v>66000</v>
      </c>
      <c r="R59" s="145" t="s">
        <v>3876</v>
      </c>
      <c r="S59" s="143" t="s">
        <v>2277</v>
      </c>
      <c r="T59" s="145" t="s">
        <v>3876</v>
      </c>
      <c r="U59" s="144">
        <v>575.19000000000005</v>
      </c>
      <c r="V59" s="146">
        <v>4.612579586391666E-4</v>
      </c>
      <c r="W59" s="146">
        <v>2.8632018169929873E-3</v>
      </c>
      <c r="X59" s="147">
        <v>5.7848168043026697E-4</v>
      </c>
      <c r="Y59" s="183"/>
    </row>
    <row r="60" spans="1:25" ht="15" x14ac:dyDescent="0.2">
      <c r="A60" s="142" t="s">
        <v>1205</v>
      </c>
      <c r="B60" s="143" t="s">
        <v>1205</v>
      </c>
      <c r="C60" s="143" t="s">
        <v>2278</v>
      </c>
      <c r="D60" s="143" t="s">
        <v>2279</v>
      </c>
      <c r="E60" s="143" t="s">
        <v>309</v>
      </c>
      <c r="F60" s="143" t="s">
        <v>2280</v>
      </c>
      <c r="G60" s="143" t="s">
        <v>2281</v>
      </c>
      <c r="H60" s="143" t="s">
        <v>321</v>
      </c>
      <c r="I60" s="143" t="s">
        <v>917</v>
      </c>
      <c r="J60" s="143" t="s">
        <v>204</v>
      </c>
      <c r="K60" s="143" t="s">
        <v>204</v>
      </c>
      <c r="L60" s="143" t="s">
        <v>325</v>
      </c>
      <c r="M60" s="143" t="s">
        <v>340</v>
      </c>
      <c r="N60" s="143" t="s">
        <v>476</v>
      </c>
      <c r="O60" s="143" t="s">
        <v>339</v>
      </c>
      <c r="P60" s="143" t="s">
        <v>1210</v>
      </c>
      <c r="Q60" s="144">
        <v>12274</v>
      </c>
      <c r="R60" s="145" t="s">
        <v>3876</v>
      </c>
      <c r="S60" s="143" t="s">
        <v>2282</v>
      </c>
      <c r="T60" s="145" t="s">
        <v>3876</v>
      </c>
      <c r="U60" s="144">
        <v>557.85329999999999</v>
      </c>
      <c r="V60" s="146">
        <v>1.7088970815270745E-4</v>
      </c>
      <c r="W60" s="146">
        <v>2.7769025577209861E-3</v>
      </c>
      <c r="X60" s="147">
        <v>5.6104576647293919E-4</v>
      </c>
      <c r="Y60" s="183"/>
    </row>
    <row r="61" spans="1:25" ht="15" x14ac:dyDescent="0.2">
      <c r="A61" s="142" t="s">
        <v>1205</v>
      </c>
      <c r="B61" s="143" t="s">
        <v>1205</v>
      </c>
      <c r="C61" s="143" t="s">
        <v>2283</v>
      </c>
      <c r="D61" s="143" t="s">
        <v>2284</v>
      </c>
      <c r="E61" s="143" t="s">
        <v>309</v>
      </c>
      <c r="F61" s="143" t="s">
        <v>2283</v>
      </c>
      <c r="G61" s="143" t="s">
        <v>2285</v>
      </c>
      <c r="H61" s="143" t="s">
        <v>321</v>
      </c>
      <c r="I61" s="143" t="s">
        <v>917</v>
      </c>
      <c r="J61" s="143" t="s">
        <v>204</v>
      </c>
      <c r="K61" s="143" t="s">
        <v>204</v>
      </c>
      <c r="L61" s="143" t="s">
        <v>325</v>
      </c>
      <c r="M61" s="143" t="s">
        <v>340</v>
      </c>
      <c r="N61" s="143" t="s">
        <v>471</v>
      </c>
      <c r="O61" s="143" t="s">
        <v>339</v>
      </c>
      <c r="P61" s="143" t="s">
        <v>1210</v>
      </c>
      <c r="Q61" s="144">
        <v>31372.5</v>
      </c>
      <c r="R61" s="145" t="s">
        <v>3876</v>
      </c>
      <c r="S61" s="143" t="s">
        <v>2286</v>
      </c>
      <c r="T61" s="145" t="s">
        <v>3876</v>
      </c>
      <c r="U61" s="144">
        <v>555.29330000000004</v>
      </c>
      <c r="V61" s="146">
        <v>2.1611568218329847E-4</v>
      </c>
      <c r="W61" s="146">
        <v>2.7641590472086458E-3</v>
      </c>
      <c r="X61" s="147">
        <v>5.5847106589402521E-4</v>
      </c>
      <c r="Y61" s="183"/>
    </row>
    <row r="62" spans="1:25" ht="15" x14ac:dyDescent="0.2">
      <c r="A62" s="142" t="s">
        <v>1205</v>
      </c>
      <c r="B62" s="143" t="s">
        <v>1205</v>
      </c>
      <c r="C62" s="143" t="s">
        <v>2287</v>
      </c>
      <c r="D62" s="143" t="s">
        <v>2288</v>
      </c>
      <c r="E62" s="143" t="s">
        <v>309</v>
      </c>
      <c r="F62" s="143" t="s">
        <v>2289</v>
      </c>
      <c r="G62" s="143" t="s">
        <v>2290</v>
      </c>
      <c r="H62" s="143" t="s">
        <v>321</v>
      </c>
      <c r="I62" s="143" t="s">
        <v>917</v>
      </c>
      <c r="J62" s="143" t="s">
        <v>204</v>
      </c>
      <c r="K62" s="143" t="s">
        <v>204</v>
      </c>
      <c r="L62" s="143" t="s">
        <v>325</v>
      </c>
      <c r="M62" s="143" t="s">
        <v>340</v>
      </c>
      <c r="N62" s="143" t="s">
        <v>441</v>
      </c>
      <c r="O62" s="143" t="s">
        <v>339</v>
      </c>
      <c r="P62" s="143" t="s">
        <v>1210</v>
      </c>
      <c r="Q62" s="144">
        <v>39177.58</v>
      </c>
      <c r="R62" s="145" t="s">
        <v>3876</v>
      </c>
      <c r="S62" s="143" t="s">
        <v>2291</v>
      </c>
      <c r="T62" s="145" t="s">
        <v>3876</v>
      </c>
      <c r="U62" s="144">
        <v>546.52719999999999</v>
      </c>
      <c r="V62" s="146">
        <v>7.1303506463323203E-5</v>
      </c>
      <c r="W62" s="146">
        <v>2.7205232870310056E-3</v>
      </c>
      <c r="X62" s="147">
        <v>5.4965489103530577E-4</v>
      </c>
      <c r="Y62" s="183"/>
    </row>
    <row r="63" spans="1:25" ht="15" x14ac:dyDescent="0.2">
      <c r="A63" s="142" t="s">
        <v>1205</v>
      </c>
      <c r="B63" s="143" t="s">
        <v>1205</v>
      </c>
      <c r="C63" s="143" t="s">
        <v>2292</v>
      </c>
      <c r="D63" s="143" t="s">
        <v>2293</v>
      </c>
      <c r="E63" s="143" t="s">
        <v>309</v>
      </c>
      <c r="F63" s="143" t="s">
        <v>2294</v>
      </c>
      <c r="G63" s="143" t="s">
        <v>2295</v>
      </c>
      <c r="H63" s="143" t="s">
        <v>321</v>
      </c>
      <c r="I63" s="143" t="s">
        <v>917</v>
      </c>
      <c r="J63" s="143" t="s">
        <v>204</v>
      </c>
      <c r="K63" s="143" t="s">
        <v>204</v>
      </c>
      <c r="L63" s="143" t="s">
        <v>325</v>
      </c>
      <c r="M63" s="143" t="s">
        <v>340</v>
      </c>
      <c r="N63" s="143" t="s">
        <v>447</v>
      </c>
      <c r="O63" s="143" t="s">
        <v>339</v>
      </c>
      <c r="P63" s="143" t="s">
        <v>1210</v>
      </c>
      <c r="Q63" s="144">
        <v>35229</v>
      </c>
      <c r="R63" s="145" t="s">
        <v>3876</v>
      </c>
      <c r="S63" s="143" t="s">
        <v>2296</v>
      </c>
      <c r="T63" s="145" t="s">
        <v>3876</v>
      </c>
      <c r="U63" s="144">
        <v>545.69719999999995</v>
      </c>
      <c r="V63" s="146">
        <v>1.6697641045963099E-4</v>
      </c>
      <c r="W63" s="146">
        <v>2.7163915283645469E-3</v>
      </c>
      <c r="X63" s="147">
        <v>5.488201099582891E-4</v>
      </c>
      <c r="Y63" s="183"/>
    </row>
    <row r="64" spans="1:25" ht="15" x14ac:dyDescent="0.2">
      <c r="A64" s="142" t="s">
        <v>1205</v>
      </c>
      <c r="B64" s="143" t="s">
        <v>1205</v>
      </c>
      <c r="C64" s="143" t="s">
        <v>2297</v>
      </c>
      <c r="D64" s="143" t="s">
        <v>2298</v>
      </c>
      <c r="E64" s="143" t="s">
        <v>309</v>
      </c>
      <c r="F64" s="143" t="s">
        <v>2299</v>
      </c>
      <c r="G64" s="143" t="s">
        <v>2300</v>
      </c>
      <c r="H64" s="143" t="s">
        <v>321</v>
      </c>
      <c r="I64" s="143" t="s">
        <v>917</v>
      </c>
      <c r="J64" s="143" t="s">
        <v>204</v>
      </c>
      <c r="K64" s="143" t="s">
        <v>204</v>
      </c>
      <c r="L64" s="143" t="s">
        <v>325</v>
      </c>
      <c r="M64" s="143" t="s">
        <v>340</v>
      </c>
      <c r="N64" s="143" t="s">
        <v>475</v>
      </c>
      <c r="O64" s="143" t="s">
        <v>339</v>
      </c>
      <c r="P64" s="143" t="s">
        <v>1210</v>
      </c>
      <c r="Q64" s="144">
        <v>106608</v>
      </c>
      <c r="R64" s="145" t="s">
        <v>3876</v>
      </c>
      <c r="S64" s="143" t="s">
        <v>2301</v>
      </c>
      <c r="T64" s="145" t="s">
        <v>3876</v>
      </c>
      <c r="U64" s="144">
        <v>520.78009999999995</v>
      </c>
      <c r="V64" s="146">
        <v>9.801459759954704E-4</v>
      </c>
      <c r="W64" s="146">
        <v>2.5923581274183371E-3</v>
      </c>
      <c r="X64" s="147">
        <v>5.2376038493890525E-4</v>
      </c>
      <c r="Y64" s="183"/>
    </row>
    <row r="65" spans="1:25" ht="15" x14ac:dyDescent="0.2">
      <c r="A65" s="142" t="s">
        <v>1205</v>
      </c>
      <c r="B65" s="143" t="s">
        <v>1205</v>
      </c>
      <c r="C65" s="143" t="s">
        <v>2302</v>
      </c>
      <c r="D65" s="143" t="s">
        <v>2303</v>
      </c>
      <c r="E65" s="143" t="s">
        <v>309</v>
      </c>
      <c r="F65" s="143" t="s">
        <v>2304</v>
      </c>
      <c r="G65" s="143" t="s">
        <v>2305</v>
      </c>
      <c r="H65" s="143" t="s">
        <v>321</v>
      </c>
      <c r="I65" s="143" t="s">
        <v>917</v>
      </c>
      <c r="J65" s="143" t="s">
        <v>204</v>
      </c>
      <c r="K65" s="143" t="s">
        <v>204</v>
      </c>
      <c r="L65" s="143" t="s">
        <v>325</v>
      </c>
      <c r="M65" s="143" t="s">
        <v>340</v>
      </c>
      <c r="N65" s="143" t="s">
        <v>447</v>
      </c>
      <c r="O65" s="143" t="s">
        <v>339</v>
      </c>
      <c r="P65" s="143" t="s">
        <v>1210</v>
      </c>
      <c r="Q65" s="144">
        <v>42442</v>
      </c>
      <c r="R65" s="145" t="s">
        <v>3876</v>
      </c>
      <c r="S65" s="143" t="s">
        <v>2306</v>
      </c>
      <c r="T65" s="145" t="s">
        <v>3876</v>
      </c>
      <c r="U65" s="144">
        <v>513.12379999999996</v>
      </c>
      <c r="V65" s="146">
        <v>1.5108868363914962E-4</v>
      </c>
      <c r="W65" s="146">
        <v>2.5542463172835233E-3</v>
      </c>
      <c r="X65" s="147">
        <v>5.1606026969024262E-4</v>
      </c>
      <c r="Y65" s="183"/>
    </row>
    <row r="66" spans="1:25" ht="15" x14ac:dyDescent="0.2">
      <c r="A66" s="142" t="s">
        <v>1205</v>
      </c>
      <c r="B66" s="143" t="s">
        <v>1205</v>
      </c>
      <c r="C66" s="143" t="s">
        <v>1838</v>
      </c>
      <c r="D66" s="143" t="s">
        <v>1839</v>
      </c>
      <c r="E66" s="143" t="s">
        <v>309</v>
      </c>
      <c r="F66" s="143" t="s">
        <v>2307</v>
      </c>
      <c r="G66" s="143" t="s">
        <v>2308</v>
      </c>
      <c r="H66" s="143" t="s">
        <v>321</v>
      </c>
      <c r="I66" s="143" t="s">
        <v>917</v>
      </c>
      <c r="J66" s="143" t="s">
        <v>204</v>
      </c>
      <c r="K66" s="143" t="s">
        <v>204</v>
      </c>
      <c r="L66" s="143" t="s">
        <v>325</v>
      </c>
      <c r="M66" s="143" t="s">
        <v>340</v>
      </c>
      <c r="N66" s="143" t="s">
        <v>454</v>
      </c>
      <c r="O66" s="143" t="s">
        <v>339</v>
      </c>
      <c r="P66" s="143" t="s">
        <v>1210</v>
      </c>
      <c r="Q66" s="144">
        <v>317658.3</v>
      </c>
      <c r="R66" s="145" t="s">
        <v>3876</v>
      </c>
      <c r="S66" s="143" t="s">
        <v>2309</v>
      </c>
      <c r="T66" s="145" t="s">
        <v>3876</v>
      </c>
      <c r="U66" s="144">
        <v>467.59300000000002</v>
      </c>
      <c r="V66" s="146">
        <v>1.2237598014675752E-4</v>
      </c>
      <c r="W66" s="146">
        <v>2.3276016231254955E-3</v>
      </c>
      <c r="X66" s="147">
        <v>4.702689451810835E-4</v>
      </c>
      <c r="Y66" s="183"/>
    </row>
    <row r="67" spans="1:25" ht="15" x14ac:dyDescent="0.2">
      <c r="A67" s="142" t="s">
        <v>1205</v>
      </c>
      <c r="B67" s="143" t="s">
        <v>1205</v>
      </c>
      <c r="C67" s="143" t="s">
        <v>2310</v>
      </c>
      <c r="D67" s="143" t="s">
        <v>2311</v>
      </c>
      <c r="E67" s="143" t="s">
        <v>309</v>
      </c>
      <c r="F67" s="143" t="s">
        <v>2312</v>
      </c>
      <c r="G67" s="143" t="s">
        <v>2313</v>
      </c>
      <c r="H67" s="143" t="s">
        <v>321</v>
      </c>
      <c r="I67" s="143" t="s">
        <v>917</v>
      </c>
      <c r="J67" s="143" t="s">
        <v>204</v>
      </c>
      <c r="K67" s="143" t="s">
        <v>204</v>
      </c>
      <c r="L67" s="143" t="s">
        <v>325</v>
      </c>
      <c r="M67" s="143" t="s">
        <v>340</v>
      </c>
      <c r="N67" s="143" t="s">
        <v>448</v>
      </c>
      <c r="O67" s="143" t="s">
        <v>339</v>
      </c>
      <c r="P67" s="143" t="s">
        <v>1210</v>
      </c>
      <c r="Q67" s="144">
        <v>2598</v>
      </c>
      <c r="R67" s="145" t="s">
        <v>3876</v>
      </c>
      <c r="S67" s="143" t="s">
        <v>2314</v>
      </c>
      <c r="T67" s="145" t="s">
        <v>3876</v>
      </c>
      <c r="U67" s="144">
        <v>394.89600000000002</v>
      </c>
      <c r="V67" s="146">
        <v>7.3280861453477091E-5</v>
      </c>
      <c r="W67" s="146">
        <v>1.9657277503490373E-3</v>
      </c>
      <c r="X67" s="147">
        <v>3.9715589922493562E-4</v>
      </c>
      <c r="Y67" s="183"/>
    </row>
    <row r="68" spans="1:25" ht="15" x14ac:dyDescent="0.2">
      <c r="A68" s="142" t="s">
        <v>1205</v>
      </c>
      <c r="B68" s="143" t="s">
        <v>1205</v>
      </c>
      <c r="C68" s="143" t="s">
        <v>2315</v>
      </c>
      <c r="D68" s="143" t="s">
        <v>2316</v>
      </c>
      <c r="E68" s="143" t="s">
        <v>309</v>
      </c>
      <c r="F68" s="143" t="s">
        <v>2317</v>
      </c>
      <c r="G68" s="143" t="s">
        <v>2318</v>
      </c>
      <c r="H68" s="143" t="s">
        <v>321</v>
      </c>
      <c r="I68" s="143" t="s">
        <v>917</v>
      </c>
      <c r="J68" s="143" t="s">
        <v>204</v>
      </c>
      <c r="K68" s="143" t="s">
        <v>204</v>
      </c>
      <c r="L68" s="143" t="s">
        <v>325</v>
      </c>
      <c r="M68" s="143" t="s">
        <v>340</v>
      </c>
      <c r="N68" s="143" t="s">
        <v>462</v>
      </c>
      <c r="O68" s="143" t="s">
        <v>339</v>
      </c>
      <c r="P68" s="143" t="s">
        <v>1210</v>
      </c>
      <c r="Q68" s="144">
        <v>1948</v>
      </c>
      <c r="R68" s="145" t="s">
        <v>3876</v>
      </c>
      <c r="S68" s="143" t="s">
        <v>2319</v>
      </c>
      <c r="T68" s="145" t="s">
        <v>3876</v>
      </c>
      <c r="U68" s="144">
        <v>378.49640000000005</v>
      </c>
      <c r="V68" s="146">
        <v>2.2688094259481218E-4</v>
      </c>
      <c r="W68" s="146">
        <v>1.8840932217272632E-3</v>
      </c>
      <c r="X68" s="147">
        <v>3.8066244807595143E-4</v>
      </c>
      <c r="Y68" s="183"/>
    </row>
    <row r="69" spans="1:25" ht="15" x14ac:dyDescent="0.2">
      <c r="A69" s="142" t="s">
        <v>1205</v>
      </c>
      <c r="B69" s="143" t="s">
        <v>1205</v>
      </c>
      <c r="C69" s="143" t="s">
        <v>2320</v>
      </c>
      <c r="D69" s="143" t="s">
        <v>2321</v>
      </c>
      <c r="E69" s="143" t="s">
        <v>309</v>
      </c>
      <c r="F69" s="143" t="s">
        <v>2322</v>
      </c>
      <c r="G69" s="143" t="s">
        <v>2323</v>
      </c>
      <c r="H69" s="143" t="s">
        <v>321</v>
      </c>
      <c r="I69" s="143" t="s">
        <v>917</v>
      </c>
      <c r="J69" s="143" t="s">
        <v>204</v>
      </c>
      <c r="K69" s="143" t="s">
        <v>204</v>
      </c>
      <c r="L69" s="143" t="s">
        <v>325</v>
      </c>
      <c r="M69" s="143" t="s">
        <v>340</v>
      </c>
      <c r="N69" s="143" t="s">
        <v>480</v>
      </c>
      <c r="O69" s="143" t="s">
        <v>339</v>
      </c>
      <c r="P69" s="143" t="s">
        <v>1210</v>
      </c>
      <c r="Q69" s="144">
        <v>11896</v>
      </c>
      <c r="R69" s="145" t="s">
        <v>3876</v>
      </c>
      <c r="S69" s="143" t="s">
        <v>2324</v>
      </c>
      <c r="T69" s="145" t="s">
        <v>3876</v>
      </c>
      <c r="U69" s="144">
        <v>372.46870000000001</v>
      </c>
      <c r="V69" s="146">
        <v>2.6635022277948192E-4</v>
      </c>
      <c r="W69" s="146">
        <v>1.8540884630773647E-3</v>
      </c>
      <c r="X69" s="147">
        <v>3.7460028260033479E-4</v>
      </c>
      <c r="Y69" s="183"/>
    </row>
    <row r="70" spans="1:25" ht="15" x14ac:dyDescent="0.2">
      <c r="A70" s="142" t="s">
        <v>1205</v>
      </c>
      <c r="B70" s="143" t="s">
        <v>1205</v>
      </c>
      <c r="C70" s="143" t="s">
        <v>1620</v>
      </c>
      <c r="D70" s="143" t="s">
        <v>1621</v>
      </c>
      <c r="E70" s="143" t="s">
        <v>309</v>
      </c>
      <c r="F70" s="143" t="s">
        <v>2325</v>
      </c>
      <c r="G70" s="143" t="s">
        <v>2326</v>
      </c>
      <c r="H70" s="143" t="s">
        <v>321</v>
      </c>
      <c r="I70" s="143" t="s">
        <v>917</v>
      </c>
      <c r="J70" s="143" t="s">
        <v>204</v>
      </c>
      <c r="K70" s="143" t="s">
        <v>204</v>
      </c>
      <c r="L70" s="143" t="s">
        <v>325</v>
      </c>
      <c r="M70" s="143" t="s">
        <v>340</v>
      </c>
      <c r="N70" s="143" t="s">
        <v>464</v>
      </c>
      <c r="O70" s="143" t="s">
        <v>339</v>
      </c>
      <c r="P70" s="143" t="s">
        <v>1210</v>
      </c>
      <c r="Q70" s="144">
        <v>26764</v>
      </c>
      <c r="R70" s="145" t="s">
        <v>3876</v>
      </c>
      <c r="S70" s="143" t="s">
        <v>2327</v>
      </c>
      <c r="T70" s="145" t="s">
        <v>3876</v>
      </c>
      <c r="U70" s="144">
        <v>372.28719999999998</v>
      </c>
      <c r="V70" s="146">
        <v>1.3758606776047007E-4</v>
      </c>
      <c r="W70" s="146">
        <v>1.8531850380071008E-3</v>
      </c>
      <c r="X70" s="147">
        <v>3.7441775447755719E-4</v>
      </c>
      <c r="Y70" s="183"/>
    </row>
    <row r="71" spans="1:25" ht="15" x14ac:dyDescent="0.2">
      <c r="A71" s="142" t="s">
        <v>1205</v>
      </c>
      <c r="B71" s="143" t="s">
        <v>1205</v>
      </c>
      <c r="C71" s="143" t="s">
        <v>2328</v>
      </c>
      <c r="D71" s="143" t="s">
        <v>2329</v>
      </c>
      <c r="E71" s="143" t="s">
        <v>309</v>
      </c>
      <c r="F71" s="143" t="s">
        <v>2330</v>
      </c>
      <c r="G71" s="143" t="s">
        <v>2331</v>
      </c>
      <c r="H71" s="143" t="s">
        <v>321</v>
      </c>
      <c r="I71" s="143" t="s">
        <v>917</v>
      </c>
      <c r="J71" s="143" t="s">
        <v>204</v>
      </c>
      <c r="K71" s="143" t="s">
        <v>204</v>
      </c>
      <c r="L71" s="143" t="s">
        <v>325</v>
      </c>
      <c r="M71" s="143" t="s">
        <v>340</v>
      </c>
      <c r="N71" s="143" t="s">
        <v>455</v>
      </c>
      <c r="O71" s="143" t="s">
        <v>339</v>
      </c>
      <c r="P71" s="143" t="s">
        <v>1210</v>
      </c>
      <c r="Q71" s="144">
        <v>16389</v>
      </c>
      <c r="R71" s="145" t="s">
        <v>3876</v>
      </c>
      <c r="S71" s="143" t="s">
        <v>2332</v>
      </c>
      <c r="T71" s="145" t="s">
        <v>3876</v>
      </c>
      <c r="U71" s="144">
        <v>363.67190000000005</v>
      </c>
      <c r="V71" s="146">
        <v>6.5600272311777772E-4</v>
      </c>
      <c r="W71" s="146">
        <v>1.8102993332660688E-3</v>
      </c>
      <c r="X71" s="147">
        <v>3.6575312092019131E-4</v>
      </c>
      <c r="Y71" s="183"/>
    </row>
    <row r="72" spans="1:25" ht="15" x14ac:dyDescent="0.2">
      <c r="A72" s="142" t="s">
        <v>1205</v>
      </c>
      <c r="B72" s="143" t="s">
        <v>1205</v>
      </c>
      <c r="C72" s="143" t="s">
        <v>2333</v>
      </c>
      <c r="D72" s="143" t="s">
        <v>2334</v>
      </c>
      <c r="E72" s="143" t="s">
        <v>309</v>
      </c>
      <c r="F72" s="143" t="s">
        <v>2335</v>
      </c>
      <c r="G72" s="143" t="s">
        <v>2336</v>
      </c>
      <c r="H72" s="143" t="s">
        <v>321</v>
      </c>
      <c r="I72" s="143" t="s">
        <v>917</v>
      </c>
      <c r="J72" s="143" t="s">
        <v>204</v>
      </c>
      <c r="K72" s="143" t="s">
        <v>204</v>
      </c>
      <c r="L72" s="143" t="s">
        <v>325</v>
      </c>
      <c r="M72" s="143" t="s">
        <v>340</v>
      </c>
      <c r="N72" s="143" t="s">
        <v>465</v>
      </c>
      <c r="O72" s="143" t="s">
        <v>339</v>
      </c>
      <c r="P72" s="143" t="s">
        <v>1210</v>
      </c>
      <c r="Q72" s="144">
        <v>8343</v>
      </c>
      <c r="R72" s="145" t="s">
        <v>3876</v>
      </c>
      <c r="S72" s="143" t="s">
        <v>2337</v>
      </c>
      <c r="T72" s="145" t="s">
        <v>3876</v>
      </c>
      <c r="U72" s="144">
        <v>351.24029999999999</v>
      </c>
      <c r="V72" s="146">
        <v>1.1286094958792361E-4</v>
      </c>
      <c r="W72" s="146">
        <v>1.748416810377722E-3</v>
      </c>
      <c r="X72" s="147">
        <v>3.5325036766778125E-4</v>
      </c>
      <c r="Y72" s="183"/>
    </row>
    <row r="73" spans="1:25" ht="15" x14ac:dyDescent="0.2">
      <c r="A73" s="142" t="s">
        <v>1205</v>
      </c>
      <c r="B73" s="143" t="s">
        <v>1205</v>
      </c>
      <c r="C73" s="143" t="s">
        <v>1655</v>
      </c>
      <c r="D73" s="143" t="s">
        <v>1656</v>
      </c>
      <c r="E73" s="143" t="s">
        <v>309</v>
      </c>
      <c r="F73" s="143" t="s">
        <v>2338</v>
      </c>
      <c r="G73" s="143" t="s">
        <v>2339</v>
      </c>
      <c r="H73" s="143" t="s">
        <v>321</v>
      </c>
      <c r="I73" s="143" t="s">
        <v>917</v>
      </c>
      <c r="J73" s="143" t="s">
        <v>204</v>
      </c>
      <c r="K73" s="143" t="s">
        <v>204</v>
      </c>
      <c r="L73" s="143" t="s">
        <v>325</v>
      </c>
      <c r="M73" s="143" t="s">
        <v>340</v>
      </c>
      <c r="N73" s="143" t="s">
        <v>447</v>
      </c>
      <c r="O73" s="143" t="s">
        <v>339</v>
      </c>
      <c r="P73" s="143" t="s">
        <v>1210</v>
      </c>
      <c r="Q73" s="144">
        <v>9800</v>
      </c>
      <c r="R73" s="145" t="s">
        <v>3876</v>
      </c>
      <c r="S73" s="143" t="s">
        <v>2340</v>
      </c>
      <c r="T73" s="145" t="s">
        <v>3876</v>
      </c>
      <c r="U73" s="144">
        <v>340.15800000000002</v>
      </c>
      <c r="V73" s="146">
        <v>1.6023324466712287E-4</v>
      </c>
      <c r="W73" s="146">
        <v>1.6932509321523333E-3</v>
      </c>
      <c r="X73" s="147">
        <v>3.4210464620699035E-4</v>
      </c>
      <c r="Y73" s="183"/>
    </row>
    <row r="74" spans="1:25" ht="15" x14ac:dyDescent="0.2">
      <c r="A74" s="142" t="s">
        <v>1205</v>
      </c>
      <c r="B74" s="143" t="s">
        <v>1205</v>
      </c>
      <c r="C74" s="143" t="s">
        <v>2341</v>
      </c>
      <c r="D74" s="143" t="s">
        <v>2342</v>
      </c>
      <c r="E74" s="143" t="s">
        <v>309</v>
      </c>
      <c r="F74" s="143" t="s">
        <v>2343</v>
      </c>
      <c r="G74" s="143" t="s">
        <v>2344</v>
      </c>
      <c r="H74" s="143" t="s">
        <v>321</v>
      </c>
      <c r="I74" s="143" t="s">
        <v>917</v>
      </c>
      <c r="J74" s="143" t="s">
        <v>204</v>
      </c>
      <c r="K74" s="143" t="s">
        <v>204</v>
      </c>
      <c r="L74" s="143" t="s">
        <v>325</v>
      </c>
      <c r="M74" s="143" t="s">
        <v>340</v>
      </c>
      <c r="N74" s="143" t="s">
        <v>445</v>
      </c>
      <c r="O74" s="143" t="s">
        <v>339</v>
      </c>
      <c r="P74" s="143" t="s">
        <v>1210</v>
      </c>
      <c r="Q74" s="144">
        <v>3348</v>
      </c>
      <c r="R74" s="145" t="s">
        <v>3876</v>
      </c>
      <c r="S74" s="143" t="s">
        <v>2345</v>
      </c>
      <c r="T74" s="145" t="s">
        <v>3876</v>
      </c>
      <c r="U74" s="144">
        <v>330.21320000000003</v>
      </c>
      <c r="V74" s="146">
        <v>2.2798605035890439E-4</v>
      </c>
      <c r="W74" s="146">
        <v>1.643747542139365E-3</v>
      </c>
      <c r="X74" s="147">
        <v>3.3210297462668521E-4</v>
      </c>
      <c r="Y74" s="183"/>
    </row>
    <row r="75" spans="1:25" ht="15" x14ac:dyDescent="0.2">
      <c r="A75" s="142" t="s">
        <v>1205</v>
      </c>
      <c r="B75" s="143" t="s">
        <v>1205</v>
      </c>
      <c r="C75" s="143" t="s">
        <v>2346</v>
      </c>
      <c r="D75" s="143" t="s">
        <v>2347</v>
      </c>
      <c r="E75" s="143" t="s">
        <v>309</v>
      </c>
      <c r="F75" s="143" t="s">
        <v>2348</v>
      </c>
      <c r="G75" s="143" t="s">
        <v>2349</v>
      </c>
      <c r="H75" s="143" t="s">
        <v>321</v>
      </c>
      <c r="I75" s="143" t="s">
        <v>917</v>
      </c>
      <c r="J75" s="143" t="s">
        <v>204</v>
      </c>
      <c r="K75" s="143" t="s">
        <v>204</v>
      </c>
      <c r="L75" s="143" t="s">
        <v>325</v>
      </c>
      <c r="M75" s="143" t="s">
        <v>340</v>
      </c>
      <c r="N75" s="143" t="s">
        <v>464</v>
      </c>
      <c r="O75" s="143" t="s">
        <v>339</v>
      </c>
      <c r="P75" s="143" t="s">
        <v>1210</v>
      </c>
      <c r="Q75" s="144">
        <v>189195</v>
      </c>
      <c r="R75" s="145" t="s">
        <v>3876</v>
      </c>
      <c r="S75" s="143" t="s">
        <v>2350</v>
      </c>
      <c r="T75" s="145" t="s">
        <v>3876</v>
      </c>
      <c r="U75" s="144">
        <v>301.57679999999999</v>
      </c>
      <c r="V75" s="146">
        <v>2.5336637902113364E-4</v>
      </c>
      <c r="W75" s="146">
        <v>1.5012001731931799E-3</v>
      </c>
      <c r="X75" s="147">
        <v>3.0330268502100691E-4</v>
      </c>
      <c r="Y75" s="183"/>
    </row>
    <row r="76" spans="1:25" ht="15" x14ac:dyDescent="0.2">
      <c r="A76" s="142" t="s">
        <v>1205</v>
      </c>
      <c r="B76" s="143" t="s">
        <v>1205</v>
      </c>
      <c r="C76" s="143" t="s">
        <v>2351</v>
      </c>
      <c r="D76" s="143" t="s">
        <v>2352</v>
      </c>
      <c r="E76" s="143" t="s">
        <v>309</v>
      </c>
      <c r="F76" s="143" t="s">
        <v>2353</v>
      </c>
      <c r="G76" s="143" t="s">
        <v>2354</v>
      </c>
      <c r="H76" s="143" t="s">
        <v>321</v>
      </c>
      <c r="I76" s="143" t="s">
        <v>917</v>
      </c>
      <c r="J76" s="143" t="s">
        <v>204</v>
      </c>
      <c r="K76" s="143" t="s">
        <v>204</v>
      </c>
      <c r="L76" s="143" t="s">
        <v>325</v>
      </c>
      <c r="M76" s="143" t="s">
        <v>340</v>
      </c>
      <c r="N76" s="143" t="s">
        <v>451</v>
      </c>
      <c r="O76" s="143" t="s">
        <v>339</v>
      </c>
      <c r="P76" s="143" t="s">
        <v>1210</v>
      </c>
      <c r="Q76" s="144">
        <v>951000</v>
      </c>
      <c r="R76" s="145" t="s">
        <v>3876</v>
      </c>
      <c r="S76" s="143" t="s">
        <v>2355</v>
      </c>
      <c r="T76" s="145" t="s">
        <v>3876</v>
      </c>
      <c r="U76" s="144">
        <v>278.64299999999997</v>
      </c>
      <c r="V76" s="146">
        <v>3.0937656945172159E-3</v>
      </c>
      <c r="W76" s="146">
        <v>1.3870393155172671E-3</v>
      </c>
      <c r="X76" s="147">
        <v>2.8023760997258451E-4</v>
      </c>
      <c r="Y76" s="183"/>
    </row>
    <row r="77" spans="1:25" ht="15" x14ac:dyDescent="0.2">
      <c r="A77" s="142" t="s">
        <v>1205</v>
      </c>
      <c r="B77" s="143" t="s">
        <v>1205</v>
      </c>
      <c r="C77" s="143" t="s">
        <v>2356</v>
      </c>
      <c r="D77" s="143" t="s">
        <v>2357</v>
      </c>
      <c r="E77" s="143" t="s">
        <v>309</v>
      </c>
      <c r="F77" s="143" t="s">
        <v>2358</v>
      </c>
      <c r="G77" s="143" t="s">
        <v>2359</v>
      </c>
      <c r="H77" s="143" t="s">
        <v>321</v>
      </c>
      <c r="I77" s="143" t="s">
        <v>917</v>
      </c>
      <c r="J77" s="143" t="s">
        <v>204</v>
      </c>
      <c r="K77" s="143" t="s">
        <v>204</v>
      </c>
      <c r="L77" s="143" t="s">
        <v>325</v>
      </c>
      <c r="M77" s="143" t="s">
        <v>340</v>
      </c>
      <c r="N77" s="143" t="s">
        <v>477</v>
      </c>
      <c r="O77" s="143" t="s">
        <v>339</v>
      </c>
      <c r="P77" s="143" t="s">
        <v>1210</v>
      </c>
      <c r="Q77" s="144">
        <v>51227.16</v>
      </c>
      <c r="R77" s="145" t="s">
        <v>3876</v>
      </c>
      <c r="S77" s="143" t="s">
        <v>2360</v>
      </c>
      <c r="T77" s="145" t="s">
        <v>3876</v>
      </c>
      <c r="U77" s="144">
        <v>189.18189999999998</v>
      </c>
      <c r="V77" s="146">
        <v>9.2864512011991735E-4</v>
      </c>
      <c r="W77" s="146">
        <v>9.4171658965733933E-4</v>
      </c>
      <c r="X77" s="147">
        <v>1.9026454650904274E-4</v>
      </c>
      <c r="Y77" s="183"/>
    </row>
    <row r="78" spans="1:25" ht="15" x14ac:dyDescent="0.2">
      <c r="A78" s="142" t="s">
        <v>1205</v>
      </c>
      <c r="B78" s="143" t="s">
        <v>1205</v>
      </c>
      <c r="C78" s="143" t="s">
        <v>2361</v>
      </c>
      <c r="D78" s="143" t="s">
        <v>2362</v>
      </c>
      <c r="E78" s="143" t="s">
        <v>309</v>
      </c>
      <c r="F78" s="143" t="s">
        <v>2363</v>
      </c>
      <c r="G78" s="143" t="s">
        <v>2364</v>
      </c>
      <c r="H78" s="143" t="s">
        <v>321</v>
      </c>
      <c r="I78" s="143" t="s">
        <v>917</v>
      </c>
      <c r="J78" s="143" t="s">
        <v>204</v>
      </c>
      <c r="K78" s="143" t="s">
        <v>204</v>
      </c>
      <c r="L78" s="143" t="s">
        <v>325</v>
      </c>
      <c r="M78" s="143" t="s">
        <v>340</v>
      </c>
      <c r="N78" s="143" t="s">
        <v>464</v>
      </c>
      <c r="O78" s="143" t="s">
        <v>339</v>
      </c>
      <c r="P78" s="143" t="s">
        <v>1210</v>
      </c>
      <c r="Q78" s="144">
        <v>52646.9</v>
      </c>
      <c r="R78" s="145" t="s">
        <v>3876</v>
      </c>
      <c r="S78" s="143" t="s">
        <v>2365</v>
      </c>
      <c r="T78" s="145" t="s">
        <v>3876</v>
      </c>
      <c r="U78" s="144">
        <v>181.2106</v>
      </c>
      <c r="V78" s="146">
        <v>5.5650234057631623E-4</v>
      </c>
      <c r="W78" s="146">
        <v>9.0203689998401141E-4</v>
      </c>
      <c r="X78" s="147">
        <v>1.8224765666741602E-4</v>
      </c>
      <c r="Y78" s="183"/>
    </row>
    <row r="79" spans="1:25" ht="15" x14ac:dyDescent="0.2">
      <c r="A79" s="142" t="s">
        <v>1205</v>
      </c>
      <c r="B79" s="143" t="s">
        <v>1205</v>
      </c>
      <c r="C79" s="143" t="s">
        <v>2366</v>
      </c>
      <c r="D79" s="143" t="s">
        <v>2367</v>
      </c>
      <c r="E79" s="143" t="s">
        <v>309</v>
      </c>
      <c r="F79" s="143" t="s">
        <v>2368</v>
      </c>
      <c r="G79" s="143" t="s">
        <v>2369</v>
      </c>
      <c r="H79" s="143" t="s">
        <v>321</v>
      </c>
      <c r="I79" s="143" t="s">
        <v>917</v>
      </c>
      <c r="J79" s="143" t="s">
        <v>204</v>
      </c>
      <c r="K79" s="143" t="s">
        <v>204</v>
      </c>
      <c r="L79" s="143" t="s">
        <v>325</v>
      </c>
      <c r="M79" s="143" t="s">
        <v>340</v>
      </c>
      <c r="N79" s="143" t="s">
        <v>445</v>
      </c>
      <c r="O79" s="143" t="s">
        <v>339</v>
      </c>
      <c r="P79" s="143" t="s">
        <v>1210</v>
      </c>
      <c r="Q79" s="144">
        <v>10440</v>
      </c>
      <c r="R79" s="145" t="s">
        <v>3876</v>
      </c>
      <c r="S79" s="143" t="s">
        <v>2370</v>
      </c>
      <c r="T79" s="145" t="s">
        <v>3876</v>
      </c>
      <c r="U79" s="144">
        <v>177.48</v>
      </c>
      <c r="V79" s="146">
        <v>5.7369572146083589E-4</v>
      </c>
      <c r="W79" s="146">
        <v>8.8346643453452833E-4</v>
      </c>
      <c r="X79" s="147">
        <v>1.7849567732881966E-4</v>
      </c>
      <c r="Y79" s="183"/>
    </row>
    <row r="80" spans="1:25" ht="15" x14ac:dyDescent="0.2">
      <c r="A80" s="142" t="s">
        <v>1205</v>
      </c>
      <c r="B80" s="143" t="s">
        <v>1205</v>
      </c>
      <c r="C80" s="143" t="s">
        <v>2371</v>
      </c>
      <c r="D80" s="143" t="s">
        <v>2372</v>
      </c>
      <c r="E80" s="143" t="s">
        <v>309</v>
      </c>
      <c r="F80" s="143" t="s">
        <v>2373</v>
      </c>
      <c r="G80" s="143" t="s">
        <v>2374</v>
      </c>
      <c r="H80" s="143" t="s">
        <v>321</v>
      </c>
      <c r="I80" s="143" t="s">
        <v>917</v>
      </c>
      <c r="J80" s="143" t="s">
        <v>204</v>
      </c>
      <c r="K80" s="143" t="s">
        <v>204</v>
      </c>
      <c r="L80" s="143" t="s">
        <v>325</v>
      </c>
      <c r="M80" s="143" t="s">
        <v>340</v>
      </c>
      <c r="N80" s="143" t="s">
        <v>440</v>
      </c>
      <c r="O80" s="143" t="s">
        <v>339</v>
      </c>
      <c r="P80" s="143" t="s">
        <v>1210</v>
      </c>
      <c r="Q80" s="144">
        <v>1991</v>
      </c>
      <c r="R80" s="145" t="s">
        <v>3876</v>
      </c>
      <c r="S80" s="143" t="s">
        <v>2375</v>
      </c>
      <c r="T80" s="145" t="s">
        <v>3876</v>
      </c>
      <c r="U80" s="144">
        <v>123.223</v>
      </c>
      <c r="V80" s="146">
        <v>1.5935887626939831E-4</v>
      </c>
      <c r="W80" s="146">
        <v>6.1338390594987513E-4</v>
      </c>
      <c r="X80" s="147">
        <v>1.2392816690631267E-4</v>
      </c>
      <c r="Y80" s="183"/>
    </row>
    <row r="81" spans="1:25" ht="15" x14ac:dyDescent="0.2">
      <c r="A81" s="142" t="s">
        <v>1205</v>
      </c>
      <c r="B81" s="143" t="s">
        <v>1205</v>
      </c>
      <c r="C81" s="143" t="s">
        <v>2376</v>
      </c>
      <c r="D81" s="143" t="s">
        <v>2377</v>
      </c>
      <c r="E81" s="143" t="s">
        <v>309</v>
      </c>
      <c r="F81" s="143" t="s">
        <v>2378</v>
      </c>
      <c r="G81" s="143" t="s">
        <v>2379</v>
      </c>
      <c r="H81" s="143" t="s">
        <v>321</v>
      </c>
      <c r="I81" s="143" t="s">
        <v>917</v>
      </c>
      <c r="J81" s="143" t="s">
        <v>204</v>
      </c>
      <c r="K81" s="143" t="s">
        <v>204</v>
      </c>
      <c r="L81" s="143" t="s">
        <v>325</v>
      </c>
      <c r="M81" s="143" t="s">
        <v>340</v>
      </c>
      <c r="N81" s="143" t="s">
        <v>439</v>
      </c>
      <c r="O81" s="143" t="s">
        <v>339</v>
      </c>
      <c r="P81" s="143" t="s">
        <v>1210</v>
      </c>
      <c r="Q81" s="144">
        <v>31814</v>
      </c>
      <c r="R81" s="145" t="s">
        <v>3876</v>
      </c>
      <c r="S81" s="143" t="s">
        <v>2380</v>
      </c>
      <c r="T81" s="145" t="s">
        <v>3876</v>
      </c>
      <c r="U81" s="144">
        <v>60.287500000000001</v>
      </c>
      <c r="V81" s="146">
        <v>1.0814824665496461E-3</v>
      </c>
      <c r="W81" s="146">
        <v>3.0010147157985925E-4</v>
      </c>
      <c r="X81" s="147">
        <v>6.0632541705158532E-5</v>
      </c>
      <c r="Y81" s="183"/>
    </row>
    <row r="82" spans="1:25" ht="15" x14ac:dyDescent="0.2">
      <c r="A82" s="142" t="s">
        <v>1205</v>
      </c>
      <c r="B82" s="143" t="s">
        <v>1205</v>
      </c>
      <c r="C82" s="143" t="s">
        <v>2381</v>
      </c>
      <c r="D82" s="143" t="s">
        <v>2382</v>
      </c>
      <c r="E82" s="143" t="s">
        <v>309</v>
      </c>
      <c r="F82" s="143" t="s">
        <v>2383</v>
      </c>
      <c r="G82" s="143" t="s">
        <v>2384</v>
      </c>
      <c r="H82" s="143" t="s">
        <v>321</v>
      </c>
      <c r="I82" s="143" t="s">
        <v>917</v>
      </c>
      <c r="J82" s="143" t="s">
        <v>204</v>
      </c>
      <c r="K82" s="143" t="s">
        <v>204</v>
      </c>
      <c r="L82" s="143" t="s">
        <v>325</v>
      </c>
      <c r="M82" s="143" t="s">
        <v>340</v>
      </c>
      <c r="N82" s="143" t="s">
        <v>459</v>
      </c>
      <c r="O82" s="143" t="s">
        <v>339</v>
      </c>
      <c r="P82" s="143" t="s">
        <v>1210</v>
      </c>
      <c r="Q82" s="144">
        <v>346.71</v>
      </c>
      <c r="R82" s="145" t="s">
        <v>3876</v>
      </c>
      <c r="S82" s="143" t="s">
        <v>2385</v>
      </c>
      <c r="T82" s="145" t="s">
        <v>3876</v>
      </c>
      <c r="U82" s="144">
        <v>50.238300000000002</v>
      </c>
      <c r="V82" s="146">
        <v>1.0324056442105809E-4</v>
      </c>
      <c r="W82" s="146">
        <v>2.500779424458016E-4</v>
      </c>
      <c r="X82" s="147">
        <v>5.0525781146829039E-5</v>
      </c>
      <c r="Y82" s="183"/>
    </row>
    <row r="83" spans="1:25" ht="15" x14ac:dyDescent="0.2">
      <c r="A83" s="142" t="s">
        <v>1205</v>
      </c>
      <c r="B83" s="143" t="s">
        <v>1205</v>
      </c>
      <c r="C83" s="143" t="s">
        <v>2386</v>
      </c>
      <c r="D83" s="143" t="s">
        <v>2387</v>
      </c>
      <c r="E83" s="143" t="s">
        <v>309</v>
      </c>
      <c r="F83" s="143" t="s">
        <v>2388</v>
      </c>
      <c r="G83" s="143" t="s">
        <v>2389</v>
      </c>
      <c r="H83" s="143" t="s">
        <v>321</v>
      </c>
      <c r="I83" s="143" t="s">
        <v>917</v>
      </c>
      <c r="J83" s="143" t="s">
        <v>204</v>
      </c>
      <c r="K83" s="143" t="s">
        <v>204</v>
      </c>
      <c r="L83" s="143" t="s">
        <v>325</v>
      </c>
      <c r="M83" s="143" t="s">
        <v>340</v>
      </c>
      <c r="N83" s="143" t="s">
        <v>473</v>
      </c>
      <c r="O83" s="143" t="s">
        <v>339</v>
      </c>
      <c r="P83" s="143" t="s">
        <v>1210</v>
      </c>
      <c r="Q83" s="144">
        <v>235900</v>
      </c>
      <c r="R83" s="145" t="s">
        <v>3876</v>
      </c>
      <c r="S83" s="143" t="s">
        <v>2390</v>
      </c>
      <c r="T83" s="145" t="s">
        <v>3876</v>
      </c>
      <c r="U83" s="144">
        <v>37.979900000000001</v>
      </c>
      <c r="V83" s="146">
        <v>2.1045514390822819E-3</v>
      </c>
      <c r="W83" s="146">
        <v>1.8905773516440124E-4</v>
      </c>
      <c r="X83" s="147">
        <v>3.8197250255695507E-5</v>
      </c>
      <c r="Y83" s="183"/>
    </row>
    <row r="84" spans="1:25" ht="15" x14ac:dyDescent="0.2">
      <c r="A84" s="142" t="s">
        <v>1205</v>
      </c>
      <c r="B84" s="143" t="s">
        <v>1205</v>
      </c>
      <c r="C84" s="143" t="s">
        <v>2391</v>
      </c>
      <c r="D84" s="143" t="s">
        <v>2392</v>
      </c>
      <c r="E84" s="143" t="s">
        <v>309</v>
      </c>
      <c r="F84" s="143" t="s">
        <v>2393</v>
      </c>
      <c r="G84" s="143" t="s">
        <v>2394</v>
      </c>
      <c r="H84" s="143" t="s">
        <v>321</v>
      </c>
      <c r="I84" s="143" t="s">
        <v>917</v>
      </c>
      <c r="J84" s="143" t="s">
        <v>204</v>
      </c>
      <c r="K84" s="143" t="s">
        <v>204</v>
      </c>
      <c r="L84" s="143" t="s">
        <v>325</v>
      </c>
      <c r="M84" s="143" t="s">
        <v>340</v>
      </c>
      <c r="N84" s="143" t="s">
        <v>480</v>
      </c>
      <c r="O84" s="143" t="s">
        <v>339</v>
      </c>
      <c r="P84" s="143" t="s">
        <v>1210</v>
      </c>
      <c r="Q84" s="144">
        <v>72000</v>
      </c>
      <c r="R84" s="145" t="s">
        <v>3876</v>
      </c>
      <c r="S84" s="143" t="s">
        <v>2395</v>
      </c>
      <c r="T84" s="145" t="s">
        <v>3876</v>
      </c>
      <c r="U84" s="144">
        <v>32.616</v>
      </c>
      <c r="V84" s="146">
        <v>4.8285930286691875E-4</v>
      </c>
      <c r="W84" s="146">
        <v>1.6235711758383017E-4</v>
      </c>
      <c r="X84" s="147">
        <v>3.2802653886391609E-5</v>
      </c>
      <c r="Y84" s="183"/>
    </row>
    <row r="85" spans="1:25" ht="15" x14ac:dyDescent="0.2">
      <c r="A85" s="142" t="s">
        <v>1205</v>
      </c>
      <c r="B85" s="143" t="s">
        <v>1205</v>
      </c>
      <c r="C85" s="143" t="s">
        <v>2396</v>
      </c>
      <c r="D85" s="143" t="s">
        <v>2397</v>
      </c>
      <c r="E85" s="143" t="s">
        <v>309</v>
      </c>
      <c r="F85" s="143" t="s">
        <v>2398</v>
      </c>
      <c r="G85" s="143" t="s">
        <v>2399</v>
      </c>
      <c r="H85" s="143" t="s">
        <v>321</v>
      </c>
      <c r="I85" s="143" t="s">
        <v>917</v>
      </c>
      <c r="J85" s="143" t="s">
        <v>204</v>
      </c>
      <c r="K85" s="143" t="s">
        <v>204</v>
      </c>
      <c r="L85" s="143" t="s">
        <v>325</v>
      </c>
      <c r="M85" s="143" t="s">
        <v>340</v>
      </c>
      <c r="N85" s="143" t="s">
        <v>480</v>
      </c>
      <c r="O85" s="143" t="s">
        <v>339</v>
      </c>
      <c r="P85" s="143" t="s">
        <v>1210</v>
      </c>
      <c r="Q85" s="144">
        <v>17720</v>
      </c>
      <c r="R85" s="145" t="s">
        <v>3876</v>
      </c>
      <c r="S85" s="143" t="s">
        <v>2400</v>
      </c>
      <c r="T85" s="145" t="s">
        <v>3876</v>
      </c>
      <c r="U85" s="144">
        <v>21.901900000000001</v>
      </c>
      <c r="V85" s="146">
        <v>1.4060144410061096E-3</v>
      </c>
      <c r="W85" s="146">
        <v>1.0902417834043542E-4</v>
      </c>
      <c r="X85" s="147">
        <v>2.2027259664196653E-5</v>
      </c>
      <c r="Y85" s="183"/>
    </row>
    <row r="86" spans="1:25" ht="15" x14ac:dyDescent="0.2">
      <c r="A86" s="142" t="s">
        <v>1205</v>
      </c>
      <c r="B86" s="143" t="s">
        <v>1205</v>
      </c>
      <c r="C86" s="143" t="s">
        <v>2401</v>
      </c>
      <c r="D86" s="143" t="s">
        <v>2402</v>
      </c>
      <c r="E86" s="143" t="s">
        <v>309</v>
      </c>
      <c r="F86" s="143" t="s">
        <v>2403</v>
      </c>
      <c r="G86" s="143" t="s">
        <v>2404</v>
      </c>
      <c r="H86" s="143" t="s">
        <v>321</v>
      </c>
      <c r="I86" s="143" t="s">
        <v>917</v>
      </c>
      <c r="J86" s="143" t="s">
        <v>204</v>
      </c>
      <c r="K86" s="143" t="s">
        <v>204</v>
      </c>
      <c r="L86" s="143" t="s">
        <v>325</v>
      </c>
      <c r="M86" s="143" t="s">
        <v>340</v>
      </c>
      <c r="N86" s="143" t="s">
        <v>460</v>
      </c>
      <c r="O86" s="143" t="s">
        <v>339</v>
      </c>
      <c r="P86" s="143" t="s">
        <v>1210</v>
      </c>
      <c r="Q86" s="144">
        <v>29961</v>
      </c>
      <c r="R86" s="145" t="s">
        <v>3876</v>
      </c>
      <c r="S86" s="143" t="s">
        <v>2405</v>
      </c>
      <c r="T86" s="145" t="s">
        <v>3876</v>
      </c>
      <c r="U86" s="144">
        <v>10.636200000000001</v>
      </c>
      <c r="V86" s="146">
        <v>1.119784165442364E-3</v>
      </c>
      <c r="W86" s="146">
        <v>5.294504132863757E-5</v>
      </c>
      <c r="X86" s="147">
        <v>1.0697023275294748E-5</v>
      </c>
      <c r="Y86" s="183"/>
    </row>
    <row r="87" spans="1:25" ht="15" x14ac:dyDescent="0.2">
      <c r="A87" s="142" t="s">
        <v>1205</v>
      </c>
      <c r="B87" s="143" t="s">
        <v>1205</v>
      </c>
      <c r="C87" s="143" t="s">
        <v>2406</v>
      </c>
      <c r="D87" s="143" t="s">
        <v>2407</v>
      </c>
      <c r="E87" s="143" t="s">
        <v>309</v>
      </c>
      <c r="F87" s="143" t="s">
        <v>2408</v>
      </c>
      <c r="G87" s="143" t="s">
        <v>2409</v>
      </c>
      <c r="H87" s="143" t="s">
        <v>321</v>
      </c>
      <c r="I87" s="143" t="s">
        <v>917</v>
      </c>
      <c r="J87" s="143" t="s">
        <v>204</v>
      </c>
      <c r="K87" s="143" t="s">
        <v>204</v>
      </c>
      <c r="L87" s="143" t="s">
        <v>325</v>
      </c>
      <c r="M87" s="143" t="s">
        <v>340</v>
      </c>
      <c r="N87" s="143" t="s">
        <v>473</v>
      </c>
      <c r="O87" s="143" t="s">
        <v>339</v>
      </c>
      <c r="P87" s="143" t="s">
        <v>1210</v>
      </c>
      <c r="Q87" s="144">
        <v>0.32</v>
      </c>
      <c r="R87" s="145" t="s">
        <v>3876</v>
      </c>
      <c r="S87" s="143" t="s">
        <v>2410</v>
      </c>
      <c r="T87" s="145" t="s">
        <v>3876</v>
      </c>
      <c r="U87" s="144">
        <v>1.2999999999999999E-3</v>
      </c>
      <c r="V87" s="146">
        <v>1.5559545822692267E-8</v>
      </c>
      <c r="W87" s="146">
        <v>6.3429584716096312E-9</v>
      </c>
      <c r="X87" s="147">
        <v>1.2815321832289564E-9</v>
      </c>
      <c r="Y87" s="183"/>
    </row>
    <row r="88" spans="1:25" ht="15" x14ac:dyDescent="0.2">
      <c r="A88" s="142" t="s">
        <v>1205</v>
      </c>
      <c r="B88" s="143" t="s">
        <v>1205</v>
      </c>
      <c r="C88" s="143" t="s">
        <v>2411</v>
      </c>
      <c r="D88" s="143" t="s">
        <v>2412</v>
      </c>
      <c r="E88" s="143" t="s">
        <v>313</v>
      </c>
      <c r="F88" s="143" t="s">
        <v>2411</v>
      </c>
      <c r="G88" s="143" t="s">
        <v>2413</v>
      </c>
      <c r="H88" s="143" t="s">
        <v>321</v>
      </c>
      <c r="I88" s="143" t="s">
        <v>917</v>
      </c>
      <c r="J88" s="143" t="s">
        <v>205</v>
      </c>
      <c r="K88" s="143" t="s">
        <v>224</v>
      </c>
      <c r="L88" s="143" t="s">
        <v>325</v>
      </c>
      <c r="M88" s="143" t="s">
        <v>344</v>
      </c>
      <c r="N88" s="143" t="s">
        <v>544</v>
      </c>
      <c r="O88" s="143" t="s">
        <v>339</v>
      </c>
      <c r="P88" s="143" t="s">
        <v>1211</v>
      </c>
      <c r="Q88" s="144">
        <v>2456</v>
      </c>
      <c r="R88" s="143" t="s">
        <v>1212</v>
      </c>
      <c r="S88" s="143" t="s">
        <v>2414</v>
      </c>
      <c r="T88" s="145" t="s">
        <v>3876</v>
      </c>
      <c r="U88" s="144">
        <v>4655.0114999999996</v>
      </c>
      <c r="V88" s="146">
        <v>1.0889802382898045E-6</v>
      </c>
      <c r="W88" s="146">
        <v>2.3171886375723549E-2</v>
      </c>
      <c r="X88" s="147">
        <v>4.6816510417856446E-3</v>
      </c>
      <c r="Y88" s="183"/>
    </row>
    <row r="89" spans="1:25" ht="15" x14ac:dyDescent="0.2">
      <c r="A89" s="142" t="s">
        <v>1205</v>
      </c>
      <c r="B89" s="143" t="s">
        <v>1205</v>
      </c>
      <c r="C89" s="143" t="s">
        <v>2415</v>
      </c>
      <c r="D89" s="143" t="s">
        <v>2416</v>
      </c>
      <c r="E89" s="143" t="s">
        <v>313</v>
      </c>
      <c r="F89" s="143" t="s">
        <v>2415</v>
      </c>
      <c r="G89" s="143" t="s">
        <v>2417</v>
      </c>
      <c r="H89" s="143" t="s">
        <v>321</v>
      </c>
      <c r="I89" s="143" t="s">
        <v>917</v>
      </c>
      <c r="J89" s="143" t="s">
        <v>205</v>
      </c>
      <c r="K89" s="143" t="s">
        <v>224</v>
      </c>
      <c r="L89" s="143" t="s">
        <v>325</v>
      </c>
      <c r="M89" s="143" t="s">
        <v>344</v>
      </c>
      <c r="N89" s="143" t="s">
        <v>546</v>
      </c>
      <c r="O89" s="143" t="s">
        <v>339</v>
      </c>
      <c r="P89" s="143" t="s">
        <v>1211</v>
      </c>
      <c r="Q89" s="144">
        <v>2419</v>
      </c>
      <c r="R89" s="143" t="s">
        <v>1212</v>
      </c>
      <c r="S89" s="143" t="s">
        <v>2418</v>
      </c>
      <c r="T89" s="145" t="s">
        <v>3876</v>
      </c>
      <c r="U89" s="144">
        <v>4064.1257000000001</v>
      </c>
      <c r="V89" s="146">
        <v>3.245031540123628E-7</v>
      </c>
      <c r="W89" s="146">
        <v>2.0230553715572249E-2</v>
      </c>
      <c r="X89" s="147">
        <v>4.087383795288951E-3</v>
      </c>
      <c r="Y89" s="183"/>
    </row>
    <row r="90" spans="1:25" ht="15" x14ac:dyDescent="0.2">
      <c r="A90" s="142" t="s">
        <v>1205</v>
      </c>
      <c r="B90" s="143" t="s">
        <v>1205</v>
      </c>
      <c r="C90" s="143" t="s">
        <v>2419</v>
      </c>
      <c r="D90" s="143" t="s">
        <v>2420</v>
      </c>
      <c r="E90" s="143" t="s">
        <v>313</v>
      </c>
      <c r="F90" s="143" t="s">
        <v>2419</v>
      </c>
      <c r="G90" s="143" t="s">
        <v>2421</v>
      </c>
      <c r="H90" s="143" t="s">
        <v>321</v>
      </c>
      <c r="I90" s="143" t="s">
        <v>917</v>
      </c>
      <c r="J90" s="143" t="s">
        <v>205</v>
      </c>
      <c r="K90" s="143" t="s">
        <v>224</v>
      </c>
      <c r="L90" s="143" t="s">
        <v>325</v>
      </c>
      <c r="M90" s="143" t="s">
        <v>344</v>
      </c>
      <c r="N90" s="143" t="s">
        <v>521</v>
      </c>
      <c r="O90" s="143" t="s">
        <v>339</v>
      </c>
      <c r="P90" s="143" t="s">
        <v>1211</v>
      </c>
      <c r="Q90" s="144">
        <v>5461</v>
      </c>
      <c r="R90" s="143" t="s">
        <v>1212</v>
      </c>
      <c r="S90" s="143" t="s">
        <v>2422</v>
      </c>
      <c r="T90" s="145" t="s">
        <v>3876</v>
      </c>
      <c r="U90" s="144">
        <v>3967.0165000000002</v>
      </c>
      <c r="V90" s="146">
        <v>5.3530535342602287E-7</v>
      </c>
      <c r="W90" s="146">
        <v>1.974715971868031E-2</v>
      </c>
      <c r="X90" s="147">
        <v>3.9897188071025321E-3</v>
      </c>
      <c r="Y90" s="183"/>
    </row>
    <row r="91" spans="1:25" ht="15" x14ac:dyDescent="0.2">
      <c r="A91" s="142" t="s">
        <v>1205</v>
      </c>
      <c r="B91" s="143" t="s">
        <v>1205</v>
      </c>
      <c r="C91" s="143" t="s">
        <v>2423</v>
      </c>
      <c r="D91" s="143" t="s">
        <v>2424</v>
      </c>
      <c r="E91" s="143" t="s">
        <v>313</v>
      </c>
      <c r="F91" s="143" t="s">
        <v>2423</v>
      </c>
      <c r="G91" s="143" t="s">
        <v>2425</v>
      </c>
      <c r="H91" s="143" t="s">
        <v>321</v>
      </c>
      <c r="I91" s="143" t="s">
        <v>917</v>
      </c>
      <c r="J91" s="143" t="s">
        <v>205</v>
      </c>
      <c r="K91" s="143" t="s">
        <v>224</v>
      </c>
      <c r="L91" s="143" t="s">
        <v>325</v>
      </c>
      <c r="M91" s="143" t="s">
        <v>344</v>
      </c>
      <c r="N91" s="143" t="s">
        <v>546</v>
      </c>
      <c r="O91" s="143" t="s">
        <v>339</v>
      </c>
      <c r="P91" s="143" t="s">
        <v>1211</v>
      </c>
      <c r="Q91" s="144">
        <v>4893</v>
      </c>
      <c r="R91" s="143" t="s">
        <v>1212</v>
      </c>
      <c r="S91" s="143" t="s">
        <v>2426</v>
      </c>
      <c r="T91" s="145" t="s">
        <v>3876</v>
      </c>
      <c r="U91" s="144">
        <v>3873.8887999999997</v>
      </c>
      <c r="V91" s="146">
        <v>3.0757880976241189E-7</v>
      </c>
      <c r="W91" s="146">
        <v>1.9283585328483784E-2</v>
      </c>
      <c r="X91" s="147">
        <v>3.8960581749201452E-3</v>
      </c>
      <c r="Y91" s="183"/>
    </row>
    <row r="92" spans="1:25" ht="15" x14ac:dyDescent="0.2">
      <c r="A92" s="142" t="s">
        <v>1205</v>
      </c>
      <c r="B92" s="143" t="s">
        <v>1205</v>
      </c>
      <c r="C92" s="143" t="s">
        <v>2427</v>
      </c>
      <c r="D92" s="143" t="s">
        <v>2428</v>
      </c>
      <c r="E92" s="143" t="s">
        <v>313</v>
      </c>
      <c r="F92" s="143" t="s">
        <v>2427</v>
      </c>
      <c r="G92" s="143" t="s">
        <v>2429</v>
      </c>
      <c r="H92" s="143" t="s">
        <v>321</v>
      </c>
      <c r="I92" s="143" t="s">
        <v>917</v>
      </c>
      <c r="J92" s="143" t="s">
        <v>205</v>
      </c>
      <c r="K92" s="143" t="s">
        <v>224</v>
      </c>
      <c r="L92" s="143" t="s">
        <v>325</v>
      </c>
      <c r="M92" s="143" t="s">
        <v>344</v>
      </c>
      <c r="N92" s="143" t="s">
        <v>544</v>
      </c>
      <c r="O92" s="143" t="s">
        <v>339</v>
      </c>
      <c r="P92" s="143" t="s">
        <v>1211</v>
      </c>
      <c r="Q92" s="144">
        <v>1811</v>
      </c>
      <c r="R92" s="143" t="s">
        <v>1212</v>
      </c>
      <c r="S92" s="143" t="s">
        <v>2430</v>
      </c>
      <c r="T92" s="145" t="s">
        <v>3876</v>
      </c>
      <c r="U92" s="144">
        <v>3781.8658</v>
      </c>
      <c r="V92" s="146">
        <v>3.8954613895461387E-6</v>
      </c>
      <c r="W92" s="146">
        <v>1.8825509741942414E-2</v>
      </c>
      <c r="X92" s="147">
        <v>3.8035085217682659E-3</v>
      </c>
      <c r="Y92" s="183"/>
    </row>
    <row r="93" spans="1:25" x14ac:dyDescent="0.2">
      <c r="A93" s="142" t="s">
        <v>1205</v>
      </c>
      <c r="B93" s="143" t="s">
        <v>1205</v>
      </c>
      <c r="C93" s="143" t="s">
        <v>2431</v>
      </c>
      <c r="D93" s="143" t="s">
        <v>2432</v>
      </c>
      <c r="E93" s="143" t="s">
        <v>313</v>
      </c>
      <c r="F93" s="143" t="s">
        <v>2433</v>
      </c>
      <c r="G93" s="143" t="s">
        <v>2434</v>
      </c>
      <c r="H93" s="143" t="s">
        <v>321</v>
      </c>
      <c r="I93" s="143" t="s">
        <v>917</v>
      </c>
      <c r="J93" s="143" t="s">
        <v>205</v>
      </c>
      <c r="K93" s="143" t="s">
        <v>224</v>
      </c>
      <c r="L93" s="143" t="s">
        <v>325</v>
      </c>
      <c r="M93" s="143" t="s">
        <v>344</v>
      </c>
      <c r="N93" s="143" t="s">
        <v>546</v>
      </c>
      <c r="O93" s="143" t="s">
        <v>339</v>
      </c>
      <c r="P93" s="143" t="s">
        <v>1211</v>
      </c>
      <c r="Q93" s="144">
        <v>5176</v>
      </c>
      <c r="R93" s="143" t="s">
        <v>1212</v>
      </c>
      <c r="S93" s="143" t="s">
        <v>2435</v>
      </c>
      <c r="T93" s="144">
        <v>2.8881999999999999</v>
      </c>
      <c r="U93" s="144">
        <v>3392.6055999999999</v>
      </c>
      <c r="V93" s="146">
        <v>9.9805710521789495E-7</v>
      </c>
      <c r="W93" s="146">
        <v>1.6902213493487198E-2</v>
      </c>
      <c r="X93" s="147">
        <v>3.4149254888963198E-3</v>
      </c>
      <c r="Y93" s="183"/>
    </row>
    <row r="94" spans="1:25" ht="15" x14ac:dyDescent="0.2">
      <c r="A94" s="142" t="s">
        <v>1205</v>
      </c>
      <c r="B94" s="143" t="s">
        <v>1205</v>
      </c>
      <c r="C94" s="143" t="s">
        <v>2436</v>
      </c>
      <c r="D94" s="143" t="s">
        <v>2437</v>
      </c>
      <c r="E94" s="143" t="s">
        <v>313</v>
      </c>
      <c r="F94" s="143" t="s">
        <v>2438</v>
      </c>
      <c r="G94" s="143" t="s">
        <v>2439</v>
      </c>
      <c r="H94" s="143" t="s">
        <v>321</v>
      </c>
      <c r="I94" s="143" t="s">
        <v>917</v>
      </c>
      <c r="J94" s="143" t="s">
        <v>205</v>
      </c>
      <c r="K94" s="143" t="s">
        <v>224</v>
      </c>
      <c r="L94" s="143" t="s">
        <v>325</v>
      </c>
      <c r="M94" s="143" t="s">
        <v>344</v>
      </c>
      <c r="N94" s="143" t="s">
        <v>539</v>
      </c>
      <c r="O94" s="143" t="s">
        <v>339</v>
      </c>
      <c r="P94" s="143" t="s">
        <v>1211</v>
      </c>
      <c r="Q94" s="144">
        <v>3390</v>
      </c>
      <c r="R94" s="143" t="s">
        <v>1212</v>
      </c>
      <c r="S94" s="143" t="s">
        <v>2440</v>
      </c>
      <c r="T94" s="145" t="s">
        <v>3876</v>
      </c>
      <c r="U94" s="144">
        <v>3344.6578</v>
      </c>
      <c r="V94" s="146">
        <v>2.0824976210996938E-6</v>
      </c>
      <c r="W94" s="146">
        <v>1.6649160085420243E-2</v>
      </c>
      <c r="X94" s="147">
        <v>3.36379854427496E-3</v>
      </c>
      <c r="Y94" s="183"/>
    </row>
    <row r="95" spans="1:25" x14ac:dyDescent="0.2">
      <c r="A95" s="142" t="s">
        <v>1205</v>
      </c>
      <c r="B95" s="143" t="s">
        <v>1205</v>
      </c>
      <c r="C95" s="143" t="s">
        <v>2441</v>
      </c>
      <c r="D95" s="143" t="s">
        <v>2442</v>
      </c>
      <c r="E95" s="143" t="s">
        <v>313</v>
      </c>
      <c r="F95" s="143" t="s">
        <v>2441</v>
      </c>
      <c r="G95" s="143" t="s">
        <v>2443</v>
      </c>
      <c r="H95" s="143" t="s">
        <v>321</v>
      </c>
      <c r="I95" s="143" t="s">
        <v>917</v>
      </c>
      <c r="J95" s="143" t="s">
        <v>205</v>
      </c>
      <c r="K95" s="143" t="s">
        <v>224</v>
      </c>
      <c r="L95" s="143" t="s">
        <v>325</v>
      </c>
      <c r="M95" s="143" t="s">
        <v>344</v>
      </c>
      <c r="N95" s="143" t="s">
        <v>546</v>
      </c>
      <c r="O95" s="143" t="s">
        <v>339</v>
      </c>
      <c r="P95" s="143" t="s">
        <v>1211</v>
      </c>
      <c r="Q95" s="144">
        <v>6850</v>
      </c>
      <c r="R95" s="143" t="s">
        <v>1212</v>
      </c>
      <c r="S95" s="143" t="s">
        <v>2444</v>
      </c>
      <c r="T95" s="144">
        <v>6.8500000000000005E-2</v>
      </c>
      <c r="U95" s="144">
        <v>3181.3074999999999</v>
      </c>
      <c r="V95" s="146">
        <v>2.7845528455284553E-6</v>
      </c>
      <c r="W95" s="146">
        <v>1.5836369710238093E-2</v>
      </c>
      <c r="X95" s="147">
        <v>3.1995822674891631E-3</v>
      </c>
      <c r="Y95" s="183"/>
    </row>
    <row r="96" spans="1:25" ht="15" x14ac:dyDescent="0.2">
      <c r="A96" s="142" t="s">
        <v>1205</v>
      </c>
      <c r="B96" s="143" t="s">
        <v>1205</v>
      </c>
      <c r="C96" s="143" t="s">
        <v>2445</v>
      </c>
      <c r="D96" s="143" t="s">
        <v>2446</v>
      </c>
      <c r="E96" s="143" t="s">
        <v>313</v>
      </c>
      <c r="F96" s="143" t="s">
        <v>2445</v>
      </c>
      <c r="G96" s="143" t="s">
        <v>2447</v>
      </c>
      <c r="H96" s="143" t="s">
        <v>321</v>
      </c>
      <c r="I96" s="143" t="s">
        <v>917</v>
      </c>
      <c r="J96" s="143" t="s">
        <v>205</v>
      </c>
      <c r="K96" s="143" t="s">
        <v>224</v>
      </c>
      <c r="L96" s="143" t="s">
        <v>325</v>
      </c>
      <c r="M96" s="143" t="s">
        <v>344</v>
      </c>
      <c r="N96" s="143" t="s">
        <v>517</v>
      </c>
      <c r="O96" s="143" t="s">
        <v>339</v>
      </c>
      <c r="P96" s="143" t="s">
        <v>1211</v>
      </c>
      <c r="Q96" s="144">
        <v>3811</v>
      </c>
      <c r="R96" s="143" t="s">
        <v>1212</v>
      </c>
      <c r="S96" s="143" t="s">
        <v>2448</v>
      </c>
      <c r="T96" s="145" t="s">
        <v>3876</v>
      </c>
      <c r="U96" s="144">
        <v>2834.7395999999999</v>
      </c>
      <c r="V96" s="146">
        <v>1.2068712172456863E-6</v>
      </c>
      <c r="W96" s="146">
        <v>1.4110870628558951E-2</v>
      </c>
      <c r="X96" s="147">
        <v>2.8509622008118731E-3</v>
      </c>
      <c r="Y96" s="183"/>
    </row>
    <row r="97" spans="1:25" ht="15" x14ac:dyDescent="0.2">
      <c r="A97" s="142" t="s">
        <v>1205</v>
      </c>
      <c r="B97" s="143" t="s">
        <v>1205</v>
      </c>
      <c r="C97" s="143" t="s">
        <v>2449</v>
      </c>
      <c r="D97" s="143" t="s">
        <v>2450</v>
      </c>
      <c r="E97" s="143" t="s">
        <v>313</v>
      </c>
      <c r="F97" s="143" t="s">
        <v>2449</v>
      </c>
      <c r="G97" s="143" t="s">
        <v>2451</v>
      </c>
      <c r="H97" s="143" t="s">
        <v>321</v>
      </c>
      <c r="I97" s="143" t="s">
        <v>917</v>
      </c>
      <c r="J97" s="143" t="s">
        <v>205</v>
      </c>
      <c r="K97" s="143" t="s">
        <v>224</v>
      </c>
      <c r="L97" s="143" t="s">
        <v>325</v>
      </c>
      <c r="M97" s="143" t="s">
        <v>344</v>
      </c>
      <c r="N97" s="143" t="s">
        <v>544</v>
      </c>
      <c r="O97" s="143" t="s">
        <v>339</v>
      </c>
      <c r="P97" s="143" t="s">
        <v>1211</v>
      </c>
      <c r="Q97" s="144">
        <v>2148</v>
      </c>
      <c r="R97" s="143" t="s">
        <v>1212</v>
      </c>
      <c r="S97" s="143" t="s">
        <v>2452</v>
      </c>
      <c r="T97" s="145" t="s">
        <v>3876</v>
      </c>
      <c r="U97" s="144">
        <v>2737.2792999999997</v>
      </c>
      <c r="V97" s="146">
        <v>7.1041847881808593E-6</v>
      </c>
      <c r="W97" s="146">
        <v>1.3625728960038771E-2</v>
      </c>
      <c r="X97" s="147">
        <v>2.7529441128144858E-3</v>
      </c>
      <c r="Y97" s="183"/>
    </row>
    <row r="98" spans="1:25" ht="15" x14ac:dyDescent="0.2">
      <c r="A98" s="142" t="s">
        <v>1205</v>
      </c>
      <c r="B98" s="143" t="s">
        <v>1205</v>
      </c>
      <c r="C98" s="143" t="s">
        <v>2453</v>
      </c>
      <c r="D98" s="143" t="s">
        <v>2454</v>
      </c>
      <c r="E98" s="143" t="s">
        <v>313</v>
      </c>
      <c r="F98" s="143" t="s">
        <v>2455</v>
      </c>
      <c r="G98" s="143" t="s">
        <v>2456</v>
      </c>
      <c r="H98" s="143" t="s">
        <v>321</v>
      </c>
      <c r="I98" s="143" t="s">
        <v>917</v>
      </c>
      <c r="J98" s="143" t="s">
        <v>205</v>
      </c>
      <c r="K98" s="143" t="s">
        <v>281</v>
      </c>
      <c r="L98" s="143" t="s">
        <v>325</v>
      </c>
      <c r="M98" s="143" t="s">
        <v>364</v>
      </c>
      <c r="N98" s="143" t="s">
        <v>517</v>
      </c>
      <c r="O98" s="143" t="s">
        <v>339</v>
      </c>
      <c r="P98" s="143" t="s">
        <v>1213</v>
      </c>
      <c r="Q98" s="144">
        <v>947</v>
      </c>
      <c r="R98" s="143" t="s">
        <v>1214</v>
      </c>
      <c r="S98" s="143" t="s">
        <v>2457</v>
      </c>
      <c r="T98" s="145" t="s">
        <v>3876</v>
      </c>
      <c r="U98" s="144">
        <v>2716.7674999999999</v>
      </c>
      <c r="V98" s="146">
        <v>1.886273822423354E-6</v>
      </c>
      <c r="W98" s="146">
        <v>1.3523624813396366E-2</v>
      </c>
      <c r="X98" s="147">
        <v>2.7323149772858456E-3</v>
      </c>
      <c r="Y98" s="183"/>
    </row>
    <row r="99" spans="1:25" ht="15" x14ac:dyDescent="0.2">
      <c r="A99" s="142" t="s">
        <v>1205</v>
      </c>
      <c r="B99" s="143" t="s">
        <v>1205</v>
      </c>
      <c r="C99" s="143" t="s">
        <v>2458</v>
      </c>
      <c r="D99" s="143" t="s">
        <v>2459</v>
      </c>
      <c r="E99" s="143" t="s">
        <v>309</v>
      </c>
      <c r="F99" s="143" t="s">
        <v>2460</v>
      </c>
      <c r="G99" s="143" t="s">
        <v>2461</v>
      </c>
      <c r="H99" s="143" t="s">
        <v>321</v>
      </c>
      <c r="I99" s="143" t="s">
        <v>917</v>
      </c>
      <c r="J99" s="143" t="s">
        <v>205</v>
      </c>
      <c r="K99" s="143" t="s">
        <v>224</v>
      </c>
      <c r="L99" s="143" t="s">
        <v>325</v>
      </c>
      <c r="M99" s="143" t="s">
        <v>344</v>
      </c>
      <c r="N99" s="143" t="s">
        <v>458</v>
      </c>
      <c r="O99" s="143" t="s">
        <v>339</v>
      </c>
      <c r="P99" s="143" t="s">
        <v>1211</v>
      </c>
      <c r="Q99" s="144">
        <v>17741.580000000002</v>
      </c>
      <c r="R99" s="143" t="s">
        <v>1212</v>
      </c>
      <c r="S99" s="143" t="s">
        <v>2462</v>
      </c>
      <c r="T99" s="145" t="s">
        <v>3876</v>
      </c>
      <c r="U99" s="144">
        <v>2627.4810000000002</v>
      </c>
      <c r="V99" s="146">
        <v>1.5970395719623785E-4</v>
      </c>
      <c r="W99" s="146">
        <v>1.3079171048505428E-2</v>
      </c>
      <c r="X99" s="147">
        <v>2.6425174788134221E-3</v>
      </c>
      <c r="Y99" s="183"/>
    </row>
    <row r="100" spans="1:25" ht="15" x14ac:dyDescent="0.2">
      <c r="A100" s="142" t="s">
        <v>1205</v>
      </c>
      <c r="B100" s="143" t="s">
        <v>1205</v>
      </c>
      <c r="C100" s="143" t="s">
        <v>2463</v>
      </c>
      <c r="D100" s="143" t="s">
        <v>2464</v>
      </c>
      <c r="E100" s="143" t="s">
        <v>313</v>
      </c>
      <c r="F100" s="143" t="s">
        <v>2463</v>
      </c>
      <c r="G100" s="143" t="s">
        <v>2465</v>
      </c>
      <c r="H100" s="143" t="s">
        <v>321</v>
      </c>
      <c r="I100" s="143" t="s">
        <v>917</v>
      </c>
      <c r="J100" s="143" t="s">
        <v>205</v>
      </c>
      <c r="K100" s="143" t="s">
        <v>224</v>
      </c>
      <c r="L100" s="143" t="s">
        <v>325</v>
      </c>
      <c r="M100" s="143" t="s">
        <v>344</v>
      </c>
      <c r="N100" s="143" t="s">
        <v>486</v>
      </c>
      <c r="O100" s="143" t="s">
        <v>339</v>
      </c>
      <c r="P100" s="143" t="s">
        <v>1211</v>
      </c>
      <c r="Q100" s="144">
        <v>9162</v>
      </c>
      <c r="R100" s="143" t="s">
        <v>1212</v>
      </c>
      <c r="S100" s="143" t="s">
        <v>2466</v>
      </c>
      <c r="T100" s="145" t="s">
        <v>3876</v>
      </c>
      <c r="U100" s="144">
        <v>2438.6934000000001</v>
      </c>
      <c r="V100" s="146">
        <v>4.6105907715719489E-6</v>
      </c>
      <c r="W100" s="146">
        <v>1.2139417320111248E-2</v>
      </c>
      <c r="X100" s="147">
        <v>2.4526495090581467E-3</v>
      </c>
      <c r="Y100" s="183"/>
    </row>
    <row r="101" spans="1:25" ht="15" x14ac:dyDescent="0.2">
      <c r="A101" s="142" t="s">
        <v>1205</v>
      </c>
      <c r="B101" s="143" t="s">
        <v>1205</v>
      </c>
      <c r="C101" s="143" t="s">
        <v>2467</v>
      </c>
      <c r="D101" s="143" t="s">
        <v>2468</v>
      </c>
      <c r="E101" s="143" t="s">
        <v>313</v>
      </c>
      <c r="F101" s="143" t="s">
        <v>2467</v>
      </c>
      <c r="G101" s="143" t="s">
        <v>2469</v>
      </c>
      <c r="H101" s="143" t="s">
        <v>321</v>
      </c>
      <c r="I101" s="143" t="s">
        <v>917</v>
      </c>
      <c r="J101" s="143" t="s">
        <v>205</v>
      </c>
      <c r="K101" s="143" t="s">
        <v>224</v>
      </c>
      <c r="L101" s="143" t="s">
        <v>325</v>
      </c>
      <c r="M101" s="143" t="s">
        <v>344</v>
      </c>
      <c r="N101" s="143" t="s">
        <v>533</v>
      </c>
      <c r="O101" s="143" t="s">
        <v>339</v>
      </c>
      <c r="P101" s="143" t="s">
        <v>1211</v>
      </c>
      <c r="Q101" s="144">
        <v>712</v>
      </c>
      <c r="R101" s="143" t="s">
        <v>1212</v>
      </c>
      <c r="S101" s="143" t="s">
        <v>2470</v>
      </c>
      <c r="T101" s="145" t="s">
        <v>3876</v>
      </c>
      <c r="U101" s="144">
        <v>2423.1662999999999</v>
      </c>
      <c r="V101" s="146">
        <v>7.4933328281648279E-7</v>
      </c>
      <c r="W101" s="146">
        <v>1.2062125700326252E-2</v>
      </c>
      <c r="X101" s="147">
        <v>2.4370334997950065E-3</v>
      </c>
      <c r="Y101" s="183"/>
    </row>
    <row r="102" spans="1:25" ht="15" x14ac:dyDescent="0.2">
      <c r="A102" s="142" t="s">
        <v>1205</v>
      </c>
      <c r="B102" s="143" t="s">
        <v>1205</v>
      </c>
      <c r="C102" s="143" t="s">
        <v>2471</v>
      </c>
      <c r="D102" s="143" t="s">
        <v>2472</v>
      </c>
      <c r="E102" s="143" t="s">
        <v>313</v>
      </c>
      <c r="F102" s="143" t="s">
        <v>2471</v>
      </c>
      <c r="G102" s="143" t="s">
        <v>2473</v>
      </c>
      <c r="H102" s="143" t="s">
        <v>321</v>
      </c>
      <c r="I102" s="143" t="s">
        <v>917</v>
      </c>
      <c r="J102" s="143" t="s">
        <v>205</v>
      </c>
      <c r="K102" s="143" t="s">
        <v>241</v>
      </c>
      <c r="L102" s="143" t="s">
        <v>325</v>
      </c>
      <c r="M102" s="143" t="s">
        <v>344</v>
      </c>
      <c r="N102" s="143" t="s">
        <v>533</v>
      </c>
      <c r="O102" s="143" t="s">
        <v>339</v>
      </c>
      <c r="P102" s="143" t="s">
        <v>1211</v>
      </c>
      <c r="Q102" s="144">
        <v>4235</v>
      </c>
      <c r="R102" s="143" t="s">
        <v>1212</v>
      </c>
      <c r="S102" s="143" t="s">
        <v>2474</v>
      </c>
      <c r="T102" s="145" t="s">
        <v>3876</v>
      </c>
      <c r="U102" s="144">
        <v>2272.3302000000003</v>
      </c>
      <c r="V102" s="146">
        <v>2.430326805787334E-6</v>
      </c>
      <c r="W102" s="146">
        <v>1.1311288171223918E-2</v>
      </c>
      <c r="X102" s="147">
        <v>2.2853341843686878E-3</v>
      </c>
      <c r="Y102" s="183"/>
    </row>
    <row r="103" spans="1:25" ht="15" x14ac:dyDescent="0.2">
      <c r="A103" s="142" t="s">
        <v>1205</v>
      </c>
      <c r="B103" s="143" t="s">
        <v>1205</v>
      </c>
      <c r="C103" s="143" t="s">
        <v>2475</v>
      </c>
      <c r="D103" s="143" t="s">
        <v>2476</v>
      </c>
      <c r="E103" s="143" t="s">
        <v>313</v>
      </c>
      <c r="F103" s="143" t="s">
        <v>2477</v>
      </c>
      <c r="G103" s="143" t="s">
        <v>2478</v>
      </c>
      <c r="H103" s="143" t="s">
        <v>321</v>
      </c>
      <c r="I103" s="143" t="s">
        <v>917</v>
      </c>
      <c r="J103" s="143" t="s">
        <v>205</v>
      </c>
      <c r="K103" s="143" t="s">
        <v>224</v>
      </c>
      <c r="L103" s="143" t="s">
        <v>325</v>
      </c>
      <c r="M103" s="143" t="s">
        <v>344</v>
      </c>
      <c r="N103" s="143" t="s">
        <v>539</v>
      </c>
      <c r="O103" s="143" t="s">
        <v>339</v>
      </c>
      <c r="P103" s="143" t="s">
        <v>1211</v>
      </c>
      <c r="Q103" s="144">
        <v>1331</v>
      </c>
      <c r="R103" s="143" t="s">
        <v>1212</v>
      </c>
      <c r="S103" s="143" t="s">
        <v>2479</v>
      </c>
      <c r="T103" s="145" t="s">
        <v>3876</v>
      </c>
      <c r="U103" s="144">
        <v>2263.0605</v>
      </c>
      <c r="V103" s="146">
        <v>3.9304856261166153E-6</v>
      </c>
      <c r="W103" s="146">
        <v>1.1265145523667013E-2</v>
      </c>
      <c r="X103" s="147">
        <v>2.2760115176464891E-3</v>
      </c>
      <c r="Y103" s="183"/>
    </row>
    <row r="104" spans="1:25" ht="15" x14ac:dyDescent="0.2">
      <c r="A104" s="142" t="s">
        <v>1205</v>
      </c>
      <c r="B104" s="143" t="s">
        <v>1205</v>
      </c>
      <c r="C104" s="143" t="s">
        <v>2480</v>
      </c>
      <c r="D104" s="143" t="s">
        <v>2481</v>
      </c>
      <c r="E104" s="143" t="s">
        <v>313</v>
      </c>
      <c r="F104" s="143" t="s">
        <v>2482</v>
      </c>
      <c r="G104" s="143" t="s">
        <v>2483</v>
      </c>
      <c r="H104" s="143" t="s">
        <v>321</v>
      </c>
      <c r="I104" s="143" t="s">
        <v>917</v>
      </c>
      <c r="J104" s="143" t="s">
        <v>205</v>
      </c>
      <c r="K104" s="143" t="s">
        <v>224</v>
      </c>
      <c r="L104" s="143" t="s">
        <v>325</v>
      </c>
      <c r="M104" s="143" t="s">
        <v>344</v>
      </c>
      <c r="N104" s="143" t="s">
        <v>475</v>
      </c>
      <c r="O104" s="143" t="s">
        <v>339</v>
      </c>
      <c r="P104" s="143" t="s">
        <v>1211</v>
      </c>
      <c r="Q104" s="144">
        <v>5872</v>
      </c>
      <c r="R104" s="143" t="s">
        <v>1212</v>
      </c>
      <c r="S104" s="143" t="s">
        <v>2484</v>
      </c>
      <c r="T104" s="145" t="s">
        <v>3876</v>
      </c>
      <c r="U104" s="144">
        <v>2191.6131</v>
      </c>
      <c r="V104" s="146">
        <v>3.2200185129129761E-6</v>
      </c>
      <c r="W104" s="146">
        <v>1.0909491727683265E-2</v>
      </c>
      <c r="X104" s="147">
        <v>2.2041551768426284E-3</v>
      </c>
      <c r="Y104" s="183"/>
    </row>
    <row r="105" spans="1:25" ht="15" x14ac:dyDescent="0.2">
      <c r="A105" s="142" t="s">
        <v>1205</v>
      </c>
      <c r="B105" s="143" t="s">
        <v>1205</v>
      </c>
      <c r="C105" s="143" t="s">
        <v>2485</v>
      </c>
      <c r="D105" s="143" t="s">
        <v>2486</v>
      </c>
      <c r="E105" s="143" t="s">
        <v>309</v>
      </c>
      <c r="F105" s="143" t="s">
        <v>2487</v>
      </c>
      <c r="G105" s="143" t="s">
        <v>2488</v>
      </c>
      <c r="H105" s="143" t="s">
        <v>321</v>
      </c>
      <c r="I105" s="143" t="s">
        <v>917</v>
      </c>
      <c r="J105" s="143" t="s">
        <v>205</v>
      </c>
      <c r="K105" s="143" t="s">
        <v>224</v>
      </c>
      <c r="L105" s="143" t="s">
        <v>325</v>
      </c>
      <c r="M105" s="143" t="s">
        <v>344</v>
      </c>
      <c r="N105" s="143" t="s">
        <v>544</v>
      </c>
      <c r="O105" s="143" t="s">
        <v>339</v>
      </c>
      <c r="P105" s="143" t="s">
        <v>1211</v>
      </c>
      <c r="Q105" s="144">
        <v>46081</v>
      </c>
      <c r="R105" s="143" t="s">
        <v>1212</v>
      </c>
      <c r="S105" s="143" t="s">
        <v>2489</v>
      </c>
      <c r="T105" s="145" t="s">
        <v>3876</v>
      </c>
      <c r="U105" s="144">
        <v>2069.9607999999998</v>
      </c>
      <c r="V105" s="146">
        <v>2.3347756475213815E-4</v>
      </c>
      <c r="W105" s="146">
        <v>1.030392668948393E-2</v>
      </c>
      <c r="X105" s="147">
        <v>2.0818067350288848E-3</v>
      </c>
      <c r="Y105" s="183"/>
    </row>
    <row r="106" spans="1:25" ht="15" x14ac:dyDescent="0.2">
      <c r="A106" s="142" t="s">
        <v>1205</v>
      </c>
      <c r="B106" s="143" t="s">
        <v>1205</v>
      </c>
      <c r="C106" s="143" t="s">
        <v>2490</v>
      </c>
      <c r="D106" s="143" t="s">
        <v>2491</v>
      </c>
      <c r="E106" s="143" t="s">
        <v>313</v>
      </c>
      <c r="F106" s="143" t="s">
        <v>2492</v>
      </c>
      <c r="G106" s="143" t="s">
        <v>2493</v>
      </c>
      <c r="H106" s="143" t="s">
        <v>321</v>
      </c>
      <c r="I106" s="143" t="s">
        <v>917</v>
      </c>
      <c r="J106" s="143" t="s">
        <v>205</v>
      </c>
      <c r="K106" s="143" t="s">
        <v>224</v>
      </c>
      <c r="L106" s="143" t="s">
        <v>325</v>
      </c>
      <c r="M106" s="143" t="s">
        <v>344</v>
      </c>
      <c r="N106" s="143" t="s">
        <v>539</v>
      </c>
      <c r="O106" s="143" t="s">
        <v>339</v>
      </c>
      <c r="P106" s="143" t="s">
        <v>1211</v>
      </c>
      <c r="Q106" s="144">
        <v>1247</v>
      </c>
      <c r="R106" s="143" t="s">
        <v>1212</v>
      </c>
      <c r="S106" s="143" t="s">
        <v>2494</v>
      </c>
      <c r="T106" s="145" t="s">
        <v>3876</v>
      </c>
      <c r="U106" s="144">
        <v>2067.9256</v>
      </c>
      <c r="V106" s="146">
        <v>1.3073978588870028E-6</v>
      </c>
      <c r="W106" s="146">
        <v>1.0293795620429542E-2</v>
      </c>
      <c r="X106" s="147">
        <v>2.079759852473714E-3</v>
      </c>
      <c r="Y106" s="183"/>
    </row>
    <row r="107" spans="1:25" x14ac:dyDescent="0.2">
      <c r="A107" s="142" t="s">
        <v>1205</v>
      </c>
      <c r="B107" s="143" t="s">
        <v>1205</v>
      </c>
      <c r="C107" s="143" t="s">
        <v>2495</v>
      </c>
      <c r="D107" s="143" t="s">
        <v>2496</v>
      </c>
      <c r="E107" s="143" t="s">
        <v>313</v>
      </c>
      <c r="F107" s="143" t="s">
        <v>2495</v>
      </c>
      <c r="G107" s="143" t="s">
        <v>2497</v>
      </c>
      <c r="H107" s="143" t="s">
        <v>321</v>
      </c>
      <c r="I107" s="143" t="s">
        <v>917</v>
      </c>
      <c r="J107" s="143" t="s">
        <v>205</v>
      </c>
      <c r="K107" s="143" t="s">
        <v>224</v>
      </c>
      <c r="L107" s="143" t="s">
        <v>325</v>
      </c>
      <c r="M107" s="143" t="s">
        <v>344</v>
      </c>
      <c r="N107" s="143" t="s">
        <v>568</v>
      </c>
      <c r="O107" s="143" t="s">
        <v>339</v>
      </c>
      <c r="P107" s="143" t="s">
        <v>1211</v>
      </c>
      <c r="Q107" s="144">
        <v>4809</v>
      </c>
      <c r="R107" s="143" t="s">
        <v>1212</v>
      </c>
      <c r="S107" s="143" t="s">
        <v>2498</v>
      </c>
      <c r="T107" s="144">
        <v>4.6166</v>
      </c>
      <c r="U107" s="144">
        <v>2047.5853</v>
      </c>
      <c r="V107" s="146">
        <v>5.2097382780888745E-6</v>
      </c>
      <c r="W107" s="146">
        <v>1.0215525873827987E-2</v>
      </c>
      <c r="X107" s="147">
        <v>2.0639462223369215E-3</v>
      </c>
      <c r="Y107" s="183"/>
    </row>
    <row r="108" spans="1:25" ht="15" x14ac:dyDescent="0.2">
      <c r="A108" s="142" t="s">
        <v>1205</v>
      </c>
      <c r="B108" s="143" t="s">
        <v>1205</v>
      </c>
      <c r="C108" s="143" t="s">
        <v>2499</v>
      </c>
      <c r="D108" s="143" t="s">
        <v>2500</v>
      </c>
      <c r="E108" s="143" t="s">
        <v>313</v>
      </c>
      <c r="F108" s="143" t="s">
        <v>2501</v>
      </c>
      <c r="G108" s="143" t="s">
        <v>2502</v>
      </c>
      <c r="H108" s="143" t="s">
        <v>321</v>
      </c>
      <c r="I108" s="143" t="s">
        <v>917</v>
      </c>
      <c r="J108" s="143" t="s">
        <v>205</v>
      </c>
      <c r="K108" s="143" t="s">
        <v>224</v>
      </c>
      <c r="L108" s="143" t="s">
        <v>325</v>
      </c>
      <c r="M108" s="143" t="s">
        <v>344</v>
      </c>
      <c r="N108" s="143" t="s">
        <v>546</v>
      </c>
      <c r="O108" s="143" t="s">
        <v>339</v>
      </c>
      <c r="P108" s="143" t="s">
        <v>1211</v>
      </c>
      <c r="Q108" s="144">
        <v>2929</v>
      </c>
      <c r="R108" s="143" t="s">
        <v>1212</v>
      </c>
      <c r="S108" s="143" t="s">
        <v>2503</v>
      </c>
      <c r="T108" s="145" t="s">
        <v>3876</v>
      </c>
      <c r="U108" s="144">
        <v>2019.4746</v>
      </c>
      <c r="V108" s="146">
        <v>4.8126848504765035E-7</v>
      </c>
      <c r="W108" s="146">
        <v>1.0052614316095719E-2</v>
      </c>
      <c r="X108" s="147">
        <v>2.031031549288324E-3</v>
      </c>
      <c r="Y108" s="183"/>
    </row>
    <row r="109" spans="1:25" ht="15" x14ac:dyDescent="0.2">
      <c r="A109" s="142" t="s">
        <v>1205</v>
      </c>
      <c r="B109" s="143" t="s">
        <v>1205</v>
      </c>
      <c r="C109" s="143" t="s">
        <v>2504</v>
      </c>
      <c r="D109" s="143" t="s">
        <v>2505</v>
      </c>
      <c r="E109" s="143" t="s">
        <v>313</v>
      </c>
      <c r="F109" s="143" t="s">
        <v>2506</v>
      </c>
      <c r="G109" s="143" t="s">
        <v>2507</v>
      </c>
      <c r="H109" s="143" t="s">
        <v>321</v>
      </c>
      <c r="I109" s="143" t="s">
        <v>917</v>
      </c>
      <c r="J109" s="143" t="s">
        <v>205</v>
      </c>
      <c r="K109" s="143" t="s">
        <v>243</v>
      </c>
      <c r="L109" s="143" t="s">
        <v>325</v>
      </c>
      <c r="M109" s="143" t="s">
        <v>380</v>
      </c>
      <c r="N109" s="143" t="s">
        <v>546</v>
      </c>
      <c r="O109" s="143" t="s">
        <v>339</v>
      </c>
      <c r="P109" s="143" t="s">
        <v>1211</v>
      </c>
      <c r="Q109" s="144">
        <v>360</v>
      </c>
      <c r="R109" s="143" t="s">
        <v>1212</v>
      </c>
      <c r="S109" s="143" t="s">
        <v>2508</v>
      </c>
      <c r="T109" s="145" t="s">
        <v>3876</v>
      </c>
      <c r="U109" s="144">
        <v>2002.7952</v>
      </c>
      <c r="V109" s="146">
        <v>1.5075945073306783E-6</v>
      </c>
      <c r="W109" s="146">
        <v>9.9695871898065561E-3</v>
      </c>
      <c r="X109" s="147">
        <v>2.014256737519207E-3</v>
      </c>
      <c r="Y109" s="183"/>
    </row>
    <row r="110" spans="1:25" ht="15" x14ac:dyDescent="0.2">
      <c r="A110" s="142" t="s">
        <v>1205</v>
      </c>
      <c r="B110" s="143" t="s">
        <v>1205</v>
      </c>
      <c r="C110" s="143" t="s">
        <v>2509</v>
      </c>
      <c r="D110" s="143" t="s">
        <v>2510</v>
      </c>
      <c r="E110" s="143" t="s">
        <v>313</v>
      </c>
      <c r="F110" s="143" t="s">
        <v>2511</v>
      </c>
      <c r="G110" s="143" t="s">
        <v>2512</v>
      </c>
      <c r="H110" s="143" t="s">
        <v>321</v>
      </c>
      <c r="I110" s="143" t="s">
        <v>917</v>
      </c>
      <c r="J110" s="143" t="s">
        <v>205</v>
      </c>
      <c r="K110" s="143" t="s">
        <v>224</v>
      </c>
      <c r="L110" s="143" t="s">
        <v>325</v>
      </c>
      <c r="M110" s="143" t="s">
        <v>344</v>
      </c>
      <c r="N110" s="143" t="s">
        <v>539</v>
      </c>
      <c r="O110" s="143" t="s">
        <v>339</v>
      </c>
      <c r="P110" s="143" t="s">
        <v>1211</v>
      </c>
      <c r="Q110" s="144">
        <v>5010</v>
      </c>
      <c r="R110" s="143" t="s">
        <v>1212</v>
      </c>
      <c r="S110" s="143" t="s">
        <v>2513</v>
      </c>
      <c r="T110" s="145" t="s">
        <v>3876</v>
      </c>
      <c r="U110" s="144">
        <v>1981.9418000000001</v>
      </c>
      <c r="V110" s="146">
        <v>5.8180585103912148E-6</v>
      </c>
      <c r="W110" s="146">
        <v>9.8657822312964768E-3</v>
      </c>
      <c r="X110" s="147">
        <v>1.9932839697319295E-3</v>
      </c>
      <c r="Y110" s="183"/>
    </row>
    <row r="111" spans="1:25" ht="15" x14ac:dyDescent="0.2">
      <c r="A111" s="142" t="s">
        <v>1205</v>
      </c>
      <c r="B111" s="143" t="s">
        <v>1205</v>
      </c>
      <c r="C111" s="143" t="s">
        <v>2514</v>
      </c>
      <c r="D111" s="143" t="s">
        <v>2515</v>
      </c>
      <c r="E111" s="143" t="s">
        <v>313</v>
      </c>
      <c r="F111" s="143" t="s">
        <v>2514</v>
      </c>
      <c r="G111" s="143" t="s">
        <v>2516</v>
      </c>
      <c r="H111" s="143" t="s">
        <v>321</v>
      </c>
      <c r="I111" s="143" t="s">
        <v>917</v>
      </c>
      <c r="J111" s="143" t="s">
        <v>205</v>
      </c>
      <c r="K111" s="143" t="s">
        <v>224</v>
      </c>
      <c r="L111" s="143" t="s">
        <v>325</v>
      </c>
      <c r="M111" s="143" t="s">
        <v>344</v>
      </c>
      <c r="N111" s="143" t="s">
        <v>521</v>
      </c>
      <c r="O111" s="143" t="s">
        <v>339</v>
      </c>
      <c r="P111" s="143" t="s">
        <v>1211</v>
      </c>
      <c r="Q111" s="144">
        <v>573</v>
      </c>
      <c r="R111" s="143" t="s">
        <v>1212</v>
      </c>
      <c r="S111" s="143" t="s">
        <v>2517</v>
      </c>
      <c r="T111" s="145" t="s">
        <v>3876</v>
      </c>
      <c r="U111" s="144">
        <v>1830.7993999999999</v>
      </c>
      <c r="V111" s="146">
        <v>1.2910028591319865E-6</v>
      </c>
      <c r="W111" s="146">
        <v>9.1134202609997848E-3</v>
      </c>
      <c r="X111" s="147">
        <v>1.8412766560015463E-3</v>
      </c>
      <c r="Y111" s="183"/>
    </row>
    <row r="112" spans="1:25" ht="15" x14ac:dyDescent="0.2">
      <c r="A112" s="142" t="s">
        <v>1205</v>
      </c>
      <c r="B112" s="143" t="s">
        <v>1205</v>
      </c>
      <c r="C112" s="143" t="s">
        <v>2499</v>
      </c>
      <c r="D112" s="143" t="s">
        <v>2500</v>
      </c>
      <c r="E112" s="143" t="s">
        <v>313</v>
      </c>
      <c r="F112" s="143" t="s">
        <v>2518</v>
      </c>
      <c r="G112" s="143" t="s">
        <v>2519</v>
      </c>
      <c r="H112" s="143" t="s">
        <v>321</v>
      </c>
      <c r="I112" s="143" t="s">
        <v>917</v>
      </c>
      <c r="J112" s="143" t="s">
        <v>205</v>
      </c>
      <c r="K112" s="143" t="s">
        <v>224</v>
      </c>
      <c r="L112" s="143" t="s">
        <v>325</v>
      </c>
      <c r="M112" s="143" t="s">
        <v>344</v>
      </c>
      <c r="N112" s="143" t="s">
        <v>546</v>
      </c>
      <c r="O112" s="143" t="s">
        <v>339</v>
      </c>
      <c r="P112" s="143" t="s">
        <v>1211</v>
      </c>
      <c r="Q112" s="144">
        <v>2652</v>
      </c>
      <c r="R112" s="143" t="s">
        <v>1212</v>
      </c>
      <c r="S112" s="143" t="s">
        <v>2520</v>
      </c>
      <c r="T112" s="145" t="s">
        <v>3876</v>
      </c>
      <c r="U112" s="144">
        <v>1815.8293000000001</v>
      </c>
      <c r="V112" s="146">
        <v>4.4399799095931693E-7</v>
      </c>
      <c r="W112" s="146">
        <v>9.0389015262103915E-3</v>
      </c>
      <c r="X112" s="147">
        <v>1.8262208807960879E-3</v>
      </c>
      <c r="Y112" s="183"/>
    </row>
    <row r="113" spans="1:25" ht="15" x14ac:dyDescent="0.2">
      <c r="A113" s="142" t="s">
        <v>1205</v>
      </c>
      <c r="B113" s="143" t="s">
        <v>1205</v>
      </c>
      <c r="C113" s="143" t="s">
        <v>2521</v>
      </c>
      <c r="D113" s="143" t="s">
        <v>2522</v>
      </c>
      <c r="E113" s="143" t="s">
        <v>313</v>
      </c>
      <c r="F113" s="143" t="s">
        <v>2521</v>
      </c>
      <c r="G113" s="143" t="s">
        <v>2523</v>
      </c>
      <c r="H113" s="143" t="s">
        <v>321</v>
      </c>
      <c r="I113" s="143" t="s">
        <v>917</v>
      </c>
      <c r="J113" s="143" t="s">
        <v>205</v>
      </c>
      <c r="K113" s="143" t="s">
        <v>224</v>
      </c>
      <c r="L113" s="143" t="s">
        <v>325</v>
      </c>
      <c r="M113" s="143" t="s">
        <v>344</v>
      </c>
      <c r="N113" s="143" t="s">
        <v>544</v>
      </c>
      <c r="O113" s="143" t="s">
        <v>339</v>
      </c>
      <c r="P113" s="143" t="s">
        <v>1211</v>
      </c>
      <c r="Q113" s="144">
        <v>1730</v>
      </c>
      <c r="R113" s="143" t="s">
        <v>1212</v>
      </c>
      <c r="S113" s="143" t="s">
        <v>2524</v>
      </c>
      <c r="T113" s="145" t="s">
        <v>3876</v>
      </c>
      <c r="U113" s="144">
        <v>1671.9393</v>
      </c>
      <c r="V113" s="146">
        <v>1.8783930510314876E-6</v>
      </c>
      <c r="W113" s="146">
        <v>8.3226405762832755E-3</v>
      </c>
      <c r="X113" s="147">
        <v>1.6815074220795899E-3</v>
      </c>
      <c r="Y113" s="183"/>
    </row>
    <row r="114" spans="1:25" ht="15" x14ac:dyDescent="0.2">
      <c r="A114" s="142" t="s">
        <v>1205</v>
      </c>
      <c r="B114" s="143" t="s">
        <v>1205</v>
      </c>
      <c r="C114" s="143" t="s">
        <v>2525</v>
      </c>
      <c r="D114" s="143" t="s">
        <v>2526</v>
      </c>
      <c r="E114" s="143" t="s">
        <v>313</v>
      </c>
      <c r="F114" s="143" t="s">
        <v>2527</v>
      </c>
      <c r="G114" s="143" t="s">
        <v>2528</v>
      </c>
      <c r="H114" s="143" t="s">
        <v>321</v>
      </c>
      <c r="I114" s="143" t="s">
        <v>917</v>
      </c>
      <c r="J114" s="143" t="s">
        <v>205</v>
      </c>
      <c r="K114" s="143" t="s">
        <v>224</v>
      </c>
      <c r="L114" s="143" t="s">
        <v>325</v>
      </c>
      <c r="M114" s="143" t="s">
        <v>344</v>
      </c>
      <c r="N114" s="143" t="s">
        <v>517</v>
      </c>
      <c r="O114" s="143" t="s">
        <v>339</v>
      </c>
      <c r="P114" s="143" t="s">
        <v>1211</v>
      </c>
      <c r="Q114" s="144">
        <v>5574</v>
      </c>
      <c r="R114" s="143" t="s">
        <v>1212</v>
      </c>
      <c r="S114" s="143" t="s">
        <v>2529</v>
      </c>
      <c r="T114" s="145" t="s">
        <v>3876</v>
      </c>
      <c r="U114" s="144">
        <v>1418.7049999999999</v>
      </c>
      <c r="V114" s="146">
        <v>2.0668940967072084E-6</v>
      </c>
      <c r="W114" s="146">
        <v>7.0620817057393467E-3</v>
      </c>
      <c r="X114" s="147">
        <v>1.4268239382309493E-3</v>
      </c>
      <c r="Y114" s="183"/>
    </row>
    <row r="115" spans="1:25" x14ac:dyDescent="0.2">
      <c r="A115" s="142" t="s">
        <v>1205</v>
      </c>
      <c r="B115" s="143" t="s">
        <v>1205</v>
      </c>
      <c r="C115" s="143" t="s">
        <v>2530</v>
      </c>
      <c r="D115" s="143" t="s">
        <v>2531</v>
      </c>
      <c r="E115" s="143" t="s">
        <v>313</v>
      </c>
      <c r="F115" s="143" t="s">
        <v>2532</v>
      </c>
      <c r="G115" s="143" t="s">
        <v>2533</v>
      </c>
      <c r="H115" s="143" t="s">
        <v>321</v>
      </c>
      <c r="I115" s="143" t="s">
        <v>917</v>
      </c>
      <c r="J115" s="143" t="s">
        <v>205</v>
      </c>
      <c r="K115" s="143" t="s">
        <v>268</v>
      </c>
      <c r="L115" s="143" t="s">
        <v>325</v>
      </c>
      <c r="M115" s="143" t="s">
        <v>344</v>
      </c>
      <c r="N115" s="143" t="s">
        <v>521</v>
      </c>
      <c r="O115" s="143" t="s">
        <v>339</v>
      </c>
      <c r="P115" s="143" t="s">
        <v>1211</v>
      </c>
      <c r="Q115" s="144">
        <v>4914</v>
      </c>
      <c r="R115" s="143" t="s">
        <v>1212</v>
      </c>
      <c r="S115" s="143" t="s">
        <v>2534</v>
      </c>
      <c r="T115" s="144">
        <v>8.1571999999999996</v>
      </c>
      <c r="U115" s="144">
        <v>1360.6273000000001</v>
      </c>
      <c r="V115" s="146">
        <v>1.8560654132748337E-6</v>
      </c>
      <c r="W115" s="146">
        <v>6.813585925340304E-3</v>
      </c>
      <c r="X115" s="147">
        <v>1.3766178173169722E-3</v>
      </c>
      <c r="Y115" s="183"/>
    </row>
    <row r="116" spans="1:25" x14ac:dyDescent="0.2">
      <c r="A116" s="142" t="s">
        <v>1205</v>
      </c>
      <c r="B116" s="143" t="s">
        <v>1205</v>
      </c>
      <c r="C116" s="143" t="s">
        <v>2535</v>
      </c>
      <c r="D116" s="143" t="s">
        <v>2536</v>
      </c>
      <c r="E116" s="143" t="s">
        <v>313</v>
      </c>
      <c r="F116" s="143" t="s">
        <v>2537</v>
      </c>
      <c r="G116" s="143" t="s">
        <v>2538</v>
      </c>
      <c r="H116" s="143" t="s">
        <v>321</v>
      </c>
      <c r="I116" s="143" t="s">
        <v>917</v>
      </c>
      <c r="J116" s="143" t="s">
        <v>205</v>
      </c>
      <c r="K116" s="143" t="s">
        <v>224</v>
      </c>
      <c r="L116" s="143" t="s">
        <v>325</v>
      </c>
      <c r="M116" s="143" t="s">
        <v>344</v>
      </c>
      <c r="N116" s="143" t="s">
        <v>497</v>
      </c>
      <c r="O116" s="143" t="s">
        <v>339</v>
      </c>
      <c r="P116" s="143" t="s">
        <v>1211</v>
      </c>
      <c r="Q116" s="144">
        <v>937</v>
      </c>
      <c r="R116" s="143" t="s">
        <v>1212</v>
      </c>
      <c r="S116" s="143" t="s">
        <v>2539</v>
      </c>
      <c r="T116" s="144">
        <v>1.3774000000000002</v>
      </c>
      <c r="U116" s="144">
        <v>1321.1708000000001</v>
      </c>
      <c r="V116" s="146">
        <v>3.1417966248319288E-6</v>
      </c>
      <c r="W116" s="146">
        <v>6.5834289619872135E-3</v>
      </c>
      <c r="X116" s="147">
        <v>1.3301168734669671E-3</v>
      </c>
      <c r="Y116" s="183"/>
    </row>
    <row r="117" spans="1:25" x14ac:dyDescent="0.2">
      <c r="A117" s="142" t="s">
        <v>1205</v>
      </c>
      <c r="B117" s="143" t="s">
        <v>1205</v>
      </c>
      <c r="C117" s="143" t="s">
        <v>2540</v>
      </c>
      <c r="D117" s="143" t="s">
        <v>2541</v>
      </c>
      <c r="E117" s="143" t="s">
        <v>313</v>
      </c>
      <c r="F117" s="143" t="s">
        <v>2540</v>
      </c>
      <c r="G117" s="143" t="s">
        <v>2542</v>
      </c>
      <c r="H117" s="143" t="s">
        <v>321</v>
      </c>
      <c r="I117" s="143" t="s">
        <v>917</v>
      </c>
      <c r="J117" s="143" t="s">
        <v>205</v>
      </c>
      <c r="K117" s="143" t="s">
        <v>224</v>
      </c>
      <c r="L117" s="143" t="s">
        <v>325</v>
      </c>
      <c r="M117" s="143" t="s">
        <v>344</v>
      </c>
      <c r="N117" s="143" t="s">
        <v>546</v>
      </c>
      <c r="O117" s="143" t="s">
        <v>339</v>
      </c>
      <c r="P117" s="143" t="s">
        <v>1211</v>
      </c>
      <c r="Q117" s="144">
        <v>200</v>
      </c>
      <c r="R117" s="143" t="s">
        <v>1212</v>
      </c>
      <c r="S117" s="143" t="s">
        <v>2543</v>
      </c>
      <c r="T117" s="144">
        <v>1.05</v>
      </c>
      <c r="U117" s="144">
        <v>1210.9843999999998</v>
      </c>
      <c r="V117" s="146">
        <v>4.7859942663788685E-7</v>
      </c>
      <c r="W117" s="146">
        <v>6.0333091809503161E-3</v>
      </c>
      <c r="X117" s="147">
        <v>1.2189705988720546E-3</v>
      </c>
      <c r="Y117" s="183"/>
    </row>
    <row r="118" spans="1:25" ht="15" x14ac:dyDescent="0.2">
      <c r="A118" s="142" t="s">
        <v>1205</v>
      </c>
      <c r="B118" s="143" t="s">
        <v>1205</v>
      </c>
      <c r="C118" s="143" t="s">
        <v>2544</v>
      </c>
      <c r="D118" s="143" t="s">
        <v>2545</v>
      </c>
      <c r="E118" s="143" t="s">
        <v>313</v>
      </c>
      <c r="F118" s="143" t="s">
        <v>2546</v>
      </c>
      <c r="G118" s="143" t="s">
        <v>2547</v>
      </c>
      <c r="H118" s="143" t="s">
        <v>321</v>
      </c>
      <c r="I118" s="143" t="s">
        <v>917</v>
      </c>
      <c r="J118" s="143" t="s">
        <v>205</v>
      </c>
      <c r="K118" s="143" t="s">
        <v>224</v>
      </c>
      <c r="L118" s="143" t="s">
        <v>325</v>
      </c>
      <c r="M118" s="143" t="s">
        <v>344</v>
      </c>
      <c r="N118" s="143" t="s">
        <v>536</v>
      </c>
      <c r="O118" s="143" t="s">
        <v>339</v>
      </c>
      <c r="P118" s="143" t="s">
        <v>1211</v>
      </c>
      <c r="Q118" s="144">
        <v>1558</v>
      </c>
      <c r="R118" s="143" t="s">
        <v>1212</v>
      </c>
      <c r="S118" s="143" t="s">
        <v>2548</v>
      </c>
      <c r="T118" s="145" t="s">
        <v>3876</v>
      </c>
      <c r="U118" s="144">
        <v>1184.5401000000002</v>
      </c>
      <c r="V118" s="146">
        <v>5.3115960186894535E-7</v>
      </c>
      <c r="W118" s="146">
        <v>5.8964472267380016E-3</v>
      </c>
      <c r="X118" s="147">
        <v>1.1913189912243413E-3</v>
      </c>
      <c r="Y118" s="183"/>
    </row>
    <row r="119" spans="1:25" ht="15" x14ac:dyDescent="0.2">
      <c r="A119" s="142" t="s">
        <v>1205</v>
      </c>
      <c r="B119" s="143" t="s">
        <v>1205</v>
      </c>
      <c r="C119" s="143" t="s">
        <v>2549</v>
      </c>
      <c r="D119" s="143" t="s">
        <v>2550</v>
      </c>
      <c r="E119" s="143" t="s">
        <v>309</v>
      </c>
      <c r="F119" s="143" t="s">
        <v>2551</v>
      </c>
      <c r="G119" s="143" t="s">
        <v>2552</v>
      </c>
      <c r="H119" s="143" t="s">
        <v>321</v>
      </c>
      <c r="I119" s="143" t="s">
        <v>917</v>
      </c>
      <c r="J119" s="143" t="s">
        <v>205</v>
      </c>
      <c r="K119" s="143" t="s">
        <v>204</v>
      </c>
      <c r="L119" s="143" t="s">
        <v>325</v>
      </c>
      <c r="M119" s="143" t="s">
        <v>344</v>
      </c>
      <c r="N119" s="143" t="s">
        <v>544</v>
      </c>
      <c r="O119" s="143" t="s">
        <v>339</v>
      </c>
      <c r="P119" s="143" t="s">
        <v>1211</v>
      </c>
      <c r="Q119" s="144">
        <v>1934</v>
      </c>
      <c r="R119" s="143" t="s">
        <v>1212</v>
      </c>
      <c r="S119" s="143" t="s">
        <v>2553</v>
      </c>
      <c r="T119" s="145" t="s">
        <v>3876</v>
      </c>
      <c r="U119" s="144">
        <v>1156.4239</v>
      </c>
      <c r="V119" s="146">
        <v>3.2898429924983413E-5</v>
      </c>
      <c r="W119" s="146">
        <v>5.756489416483504E-3</v>
      </c>
      <c r="X119" s="147">
        <v>1.1630418964052301E-3</v>
      </c>
      <c r="Y119" s="183"/>
    </row>
    <row r="120" spans="1:25" ht="15" x14ac:dyDescent="0.2">
      <c r="A120" s="142" t="s">
        <v>1205</v>
      </c>
      <c r="B120" s="143" t="s">
        <v>1205</v>
      </c>
      <c r="C120" s="143" t="s">
        <v>2554</v>
      </c>
      <c r="D120" s="143" t="s">
        <v>2555</v>
      </c>
      <c r="E120" s="143" t="s">
        <v>313</v>
      </c>
      <c r="F120" s="143" t="s">
        <v>2556</v>
      </c>
      <c r="G120" s="143" t="s">
        <v>2557</v>
      </c>
      <c r="H120" s="143" t="s">
        <v>321</v>
      </c>
      <c r="I120" s="143" t="s">
        <v>917</v>
      </c>
      <c r="J120" s="143" t="s">
        <v>205</v>
      </c>
      <c r="K120" s="143" t="s">
        <v>281</v>
      </c>
      <c r="L120" s="143" t="s">
        <v>325</v>
      </c>
      <c r="M120" s="143" t="s">
        <v>364</v>
      </c>
      <c r="N120" s="143" t="s">
        <v>517</v>
      </c>
      <c r="O120" s="143" t="s">
        <v>339</v>
      </c>
      <c r="P120" s="143" t="s">
        <v>1213</v>
      </c>
      <c r="Q120" s="144">
        <v>687</v>
      </c>
      <c r="R120" s="143" t="s">
        <v>1214</v>
      </c>
      <c r="S120" s="143" t="s">
        <v>2558</v>
      </c>
      <c r="T120" s="145" t="s">
        <v>3876</v>
      </c>
      <c r="U120" s="144">
        <v>1132.5078000000001</v>
      </c>
      <c r="V120" s="146">
        <v>1.2799755556342214E-6</v>
      </c>
      <c r="W120" s="146">
        <v>5.6374388819627691E-3</v>
      </c>
      <c r="X120" s="147">
        <v>1.1389889103890353E-3</v>
      </c>
      <c r="Y120" s="183"/>
    </row>
    <row r="121" spans="1:25" ht="15" x14ac:dyDescent="0.2">
      <c r="A121" s="142" t="s">
        <v>1205</v>
      </c>
      <c r="B121" s="143" t="s">
        <v>1205</v>
      </c>
      <c r="C121" s="143" t="s">
        <v>2559</v>
      </c>
      <c r="D121" s="143" t="s">
        <v>2560</v>
      </c>
      <c r="E121" s="143" t="s">
        <v>313</v>
      </c>
      <c r="F121" s="143" t="s">
        <v>2559</v>
      </c>
      <c r="G121" s="143" t="s">
        <v>2561</v>
      </c>
      <c r="H121" s="143" t="s">
        <v>321</v>
      </c>
      <c r="I121" s="143" t="s">
        <v>917</v>
      </c>
      <c r="J121" s="143" t="s">
        <v>205</v>
      </c>
      <c r="K121" s="143" t="s">
        <v>224</v>
      </c>
      <c r="L121" s="143" t="s">
        <v>325</v>
      </c>
      <c r="M121" s="143" t="s">
        <v>344</v>
      </c>
      <c r="N121" s="143" t="s">
        <v>546</v>
      </c>
      <c r="O121" s="143" t="s">
        <v>339</v>
      </c>
      <c r="P121" s="143" t="s">
        <v>1211</v>
      </c>
      <c r="Q121" s="144">
        <v>4831</v>
      </c>
      <c r="R121" s="143" t="s">
        <v>1212</v>
      </c>
      <c r="S121" s="143" t="s">
        <v>2562</v>
      </c>
      <c r="T121" s="145" t="s">
        <v>3876</v>
      </c>
      <c r="U121" s="144">
        <v>1094.4868999999999</v>
      </c>
      <c r="V121" s="146">
        <v>6.1837908135313781E-6</v>
      </c>
      <c r="W121" s="146">
        <v>5.4481767516518327E-3</v>
      </c>
      <c r="X121" s="147">
        <v>1.1007503641104267E-3</v>
      </c>
      <c r="Y121" s="183"/>
    </row>
    <row r="122" spans="1:25" ht="15" x14ac:dyDescent="0.2">
      <c r="A122" s="142" t="s">
        <v>1205</v>
      </c>
      <c r="B122" s="143" t="s">
        <v>1205</v>
      </c>
      <c r="C122" s="143" t="s">
        <v>2563</v>
      </c>
      <c r="D122" s="143" t="s">
        <v>2564</v>
      </c>
      <c r="E122" s="143" t="s">
        <v>313</v>
      </c>
      <c r="F122" s="143" t="s">
        <v>2565</v>
      </c>
      <c r="G122" s="143" t="s">
        <v>2566</v>
      </c>
      <c r="H122" s="143" t="s">
        <v>321</v>
      </c>
      <c r="I122" s="143" t="s">
        <v>917</v>
      </c>
      <c r="J122" s="143" t="s">
        <v>205</v>
      </c>
      <c r="K122" s="143" t="s">
        <v>238</v>
      </c>
      <c r="L122" s="143" t="s">
        <v>325</v>
      </c>
      <c r="M122" s="143" t="s">
        <v>368</v>
      </c>
      <c r="N122" s="143" t="s">
        <v>544</v>
      </c>
      <c r="O122" s="143" t="s">
        <v>339</v>
      </c>
      <c r="P122" s="143" t="s">
        <v>1213</v>
      </c>
      <c r="Q122" s="144">
        <v>1433</v>
      </c>
      <c r="R122" s="143" t="s">
        <v>1214</v>
      </c>
      <c r="S122" s="143" t="s">
        <v>2567</v>
      </c>
      <c r="T122" s="145" t="s">
        <v>3876</v>
      </c>
      <c r="U122" s="144">
        <v>1091.8146000000002</v>
      </c>
      <c r="V122" s="146">
        <v>1.1664593684676646E-6</v>
      </c>
      <c r="W122" s="146">
        <v>5.4348746422674477E-3</v>
      </c>
      <c r="X122" s="147">
        <v>1.0980628041402294E-3</v>
      </c>
      <c r="Y122" s="183"/>
    </row>
    <row r="123" spans="1:25" x14ac:dyDescent="0.2">
      <c r="A123" s="142" t="s">
        <v>1205</v>
      </c>
      <c r="B123" s="143" t="s">
        <v>1205</v>
      </c>
      <c r="C123" s="143" t="s">
        <v>2568</v>
      </c>
      <c r="D123" s="143" t="s">
        <v>2569</v>
      </c>
      <c r="E123" s="143" t="s">
        <v>313</v>
      </c>
      <c r="F123" s="143" t="s">
        <v>2568</v>
      </c>
      <c r="G123" s="143" t="s">
        <v>2570</v>
      </c>
      <c r="H123" s="143" t="s">
        <v>321</v>
      </c>
      <c r="I123" s="143" t="s">
        <v>917</v>
      </c>
      <c r="J123" s="143" t="s">
        <v>205</v>
      </c>
      <c r="K123" s="143" t="s">
        <v>224</v>
      </c>
      <c r="L123" s="143" t="s">
        <v>325</v>
      </c>
      <c r="M123" s="143" t="s">
        <v>344</v>
      </c>
      <c r="N123" s="143" t="s">
        <v>515</v>
      </c>
      <c r="O123" s="143" t="s">
        <v>339</v>
      </c>
      <c r="P123" s="143" t="s">
        <v>1211</v>
      </c>
      <c r="Q123" s="144">
        <v>3750</v>
      </c>
      <c r="R123" s="143" t="s">
        <v>1212</v>
      </c>
      <c r="S123" s="143" t="s">
        <v>2571</v>
      </c>
      <c r="T123" s="144">
        <v>2.9415</v>
      </c>
      <c r="U123" s="144">
        <v>1073.4915000000001</v>
      </c>
      <c r="V123" s="146">
        <v>2.9769276201726144E-6</v>
      </c>
      <c r="W123" s="146">
        <v>5.3583073589706732E-3</v>
      </c>
      <c r="X123" s="147">
        <v>1.0825931399186495E-3</v>
      </c>
      <c r="Y123" s="183"/>
    </row>
    <row r="124" spans="1:25" x14ac:dyDescent="0.2">
      <c r="A124" s="142" t="s">
        <v>1205</v>
      </c>
      <c r="B124" s="143" t="s">
        <v>1205</v>
      </c>
      <c r="C124" s="143" t="s">
        <v>2572</v>
      </c>
      <c r="D124" s="143" t="s">
        <v>2573</v>
      </c>
      <c r="E124" s="143" t="s">
        <v>313</v>
      </c>
      <c r="F124" s="143" t="s">
        <v>2572</v>
      </c>
      <c r="G124" s="143" t="s">
        <v>2574</v>
      </c>
      <c r="H124" s="143" t="s">
        <v>321</v>
      </c>
      <c r="I124" s="143" t="s">
        <v>917</v>
      </c>
      <c r="J124" s="143" t="s">
        <v>205</v>
      </c>
      <c r="K124" s="143" t="s">
        <v>224</v>
      </c>
      <c r="L124" s="143" t="s">
        <v>325</v>
      </c>
      <c r="M124" s="143" t="s">
        <v>344</v>
      </c>
      <c r="N124" s="143" t="s">
        <v>497</v>
      </c>
      <c r="O124" s="143" t="s">
        <v>339</v>
      </c>
      <c r="P124" s="143" t="s">
        <v>1211</v>
      </c>
      <c r="Q124" s="144">
        <v>4499</v>
      </c>
      <c r="R124" s="143" t="s">
        <v>1212</v>
      </c>
      <c r="S124" s="143" t="s">
        <v>2575</v>
      </c>
      <c r="T124" s="144">
        <v>0.8548</v>
      </c>
      <c r="U124" s="144">
        <v>1070.0058999999999</v>
      </c>
      <c r="V124" s="146">
        <v>5.3620357381648465E-6</v>
      </c>
      <c r="W124" s="146">
        <v>5.3305693705529289E-3</v>
      </c>
      <c r="X124" s="147">
        <v>1.0769889530057957E-3</v>
      </c>
      <c r="Y124" s="183"/>
    </row>
    <row r="125" spans="1:25" ht="15" x14ac:dyDescent="0.2">
      <c r="A125" s="142" t="s">
        <v>1205</v>
      </c>
      <c r="B125" s="143" t="s">
        <v>1205</v>
      </c>
      <c r="C125" s="143" t="s">
        <v>2576</v>
      </c>
      <c r="D125" s="143" t="s">
        <v>2577</v>
      </c>
      <c r="E125" s="143" t="s">
        <v>309</v>
      </c>
      <c r="F125" s="143" t="s">
        <v>2576</v>
      </c>
      <c r="G125" s="143" t="s">
        <v>2578</v>
      </c>
      <c r="H125" s="143" t="s">
        <v>321</v>
      </c>
      <c r="I125" s="143" t="s">
        <v>917</v>
      </c>
      <c r="J125" s="143" t="s">
        <v>205</v>
      </c>
      <c r="K125" s="143" t="s">
        <v>224</v>
      </c>
      <c r="L125" s="143" t="s">
        <v>325</v>
      </c>
      <c r="M125" s="143" t="s">
        <v>344</v>
      </c>
      <c r="N125" s="143" t="s">
        <v>544</v>
      </c>
      <c r="O125" s="143" t="s">
        <v>339</v>
      </c>
      <c r="P125" s="143" t="s">
        <v>1211</v>
      </c>
      <c r="Q125" s="144">
        <v>7350</v>
      </c>
      <c r="R125" s="143" t="s">
        <v>1212</v>
      </c>
      <c r="S125" s="143" t="s">
        <v>2579</v>
      </c>
      <c r="T125" s="145" t="s">
        <v>3876</v>
      </c>
      <c r="U125" s="144">
        <v>1037.4558</v>
      </c>
      <c r="V125" s="146">
        <v>7.3287466347591977E-5</v>
      </c>
      <c r="W125" s="146">
        <v>5.1642854588639002E-3</v>
      </c>
      <c r="X125" s="147">
        <v>1.0433929291099283E-3</v>
      </c>
      <c r="Y125" s="183"/>
    </row>
    <row r="126" spans="1:25" ht="15" x14ac:dyDescent="0.2">
      <c r="A126" s="142" t="s">
        <v>1205</v>
      </c>
      <c r="B126" s="143" t="s">
        <v>1205</v>
      </c>
      <c r="C126" s="143" t="s">
        <v>2580</v>
      </c>
      <c r="D126" s="143" t="s">
        <v>2581</v>
      </c>
      <c r="E126" s="143" t="s">
        <v>309</v>
      </c>
      <c r="F126" s="143" t="s">
        <v>2580</v>
      </c>
      <c r="G126" s="143" t="s">
        <v>2582</v>
      </c>
      <c r="H126" s="143" t="s">
        <v>321</v>
      </c>
      <c r="I126" s="143" t="s">
        <v>917</v>
      </c>
      <c r="J126" s="143" t="s">
        <v>205</v>
      </c>
      <c r="K126" s="143" t="s">
        <v>204</v>
      </c>
      <c r="L126" s="143" t="s">
        <v>325</v>
      </c>
      <c r="M126" s="143" t="s">
        <v>344</v>
      </c>
      <c r="N126" s="143" t="s">
        <v>476</v>
      </c>
      <c r="O126" s="143" t="s">
        <v>339</v>
      </c>
      <c r="P126" s="143" t="s">
        <v>1211</v>
      </c>
      <c r="Q126" s="144">
        <v>998</v>
      </c>
      <c r="R126" s="143" t="s">
        <v>1212</v>
      </c>
      <c r="S126" s="143" t="s">
        <v>2583</v>
      </c>
      <c r="T126" s="145" t="s">
        <v>3876</v>
      </c>
      <c r="U126" s="144">
        <v>1025.7302</v>
      </c>
      <c r="V126" s="146">
        <v>2.4511248649179683E-5</v>
      </c>
      <c r="W126" s="146">
        <v>5.105917343051867E-3</v>
      </c>
      <c r="X126" s="147">
        <v>1.0316002271361798E-3</v>
      </c>
      <c r="Y126" s="183"/>
    </row>
    <row r="127" spans="1:25" ht="15" x14ac:dyDescent="0.2">
      <c r="A127" s="142" t="s">
        <v>1205</v>
      </c>
      <c r="B127" s="143" t="s">
        <v>1205</v>
      </c>
      <c r="C127" s="143" t="s">
        <v>2584</v>
      </c>
      <c r="D127" s="143" t="s">
        <v>2585</v>
      </c>
      <c r="E127" s="143" t="s">
        <v>313</v>
      </c>
      <c r="F127" s="143" t="s">
        <v>2584</v>
      </c>
      <c r="G127" s="143" t="s">
        <v>2586</v>
      </c>
      <c r="H127" s="143" t="s">
        <v>321</v>
      </c>
      <c r="I127" s="143" t="s">
        <v>917</v>
      </c>
      <c r="J127" s="143" t="s">
        <v>205</v>
      </c>
      <c r="K127" s="143" t="s">
        <v>224</v>
      </c>
      <c r="L127" s="143" t="s">
        <v>325</v>
      </c>
      <c r="M127" s="143" t="s">
        <v>344</v>
      </c>
      <c r="N127" s="143" t="s">
        <v>533</v>
      </c>
      <c r="O127" s="143" t="s">
        <v>339</v>
      </c>
      <c r="P127" s="143" t="s">
        <v>1211</v>
      </c>
      <c r="Q127" s="144">
        <v>2180</v>
      </c>
      <c r="R127" s="143" t="s">
        <v>1212</v>
      </c>
      <c r="S127" s="143" t="s">
        <v>2587</v>
      </c>
      <c r="T127" s="145" t="s">
        <v>3876</v>
      </c>
      <c r="U127" s="144">
        <v>973.11109999999996</v>
      </c>
      <c r="V127" s="146">
        <v>5.6744234473423913E-6</v>
      </c>
      <c r="W127" s="146">
        <v>4.8439881451973954E-3</v>
      </c>
      <c r="X127" s="147">
        <v>9.7868001675166061E-4</v>
      </c>
      <c r="Y127" s="183"/>
    </row>
    <row r="128" spans="1:25" ht="15" x14ac:dyDescent="0.2">
      <c r="A128" s="142" t="s">
        <v>1205</v>
      </c>
      <c r="B128" s="143" t="s">
        <v>1205</v>
      </c>
      <c r="C128" s="143" t="s">
        <v>2588</v>
      </c>
      <c r="D128" s="143" t="s">
        <v>2589</v>
      </c>
      <c r="E128" s="143" t="s">
        <v>313</v>
      </c>
      <c r="F128" s="143" t="s">
        <v>2590</v>
      </c>
      <c r="G128" s="143" t="s">
        <v>2591</v>
      </c>
      <c r="H128" s="143" t="s">
        <v>321</v>
      </c>
      <c r="I128" s="143" t="s">
        <v>917</v>
      </c>
      <c r="J128" s="143" t="s">
        <v>205</v>
      </c>
      <c r="K128" s="143" t="s">
        <v>224</v>
      </c>
      <c r="L128" s="143" t="s">
        <v>325</v>
      </c>
      <c r="M128" s="143" t="s">
        <v>344</v>
      </c>
      <c r="N128" s="143" t="s">
        <v>544</v>
      </c>
      <c r="O128" s="143" t="s">
        <v>339</v>
      </c>
      <c r="P128" s="143" t="s">
        <v>1211</v>
      </c>
      <c r="Q128" s="144">
        <v>1491</v>
      </c>
      <c r="R128" s="143" t="s">
        <v>1212</v>
      </c>
      <c r="S128" s="143" t="s">
        <v>2592</v>
      </c>
      <c r="T128" s="145" t="s">
        <v>3876</v>
      </c>
      <c r="U128" s="144">
        <v>757.13469999999995</v>
      </c>
      <c r="V128" s="146">
        <v>4.5277862131794718E-6</v>
      </c>
      <c r="W128" s="146">
        <v>3.7688929737335077E-3</v>
      </c>
      <c r="X128" s="147">
        <v>7.6146764362455192E-4</v>
      </c>
      <c r="Y128" s="183"/>
    </row>
    <row r="129" spans="1:25" ht="15" x14ac:dyDescent="0.2">
      <c r="A129" s="142" t="s">
        <v>1205</v>
      </c>
      <c r="B129" s="143" t="s">
        <v>1205</v>
      </c>
      <c r="C129" s="143" t="s">
        <v>2593</v>
      </c>
      <c r="D129" s="143" t="s">
        <v>2594</v>
      </c>
      <c r="E129" s="143" t="s">
        <v>313</v>
      </c>
      <c r="F129" s="143" t="s">
        <v>2593</v>
      </c>
      <c r="G129" s="143" t="s">
        <v>2595</v>
      </c>
      <c r="H129" s="143" t="s">
        <v>321</v>
      </c>
      <c r="I129" s="143" t="s">
        <v>917</v>
      </c>
      <c r="J129" s="143" t="s">
        <v>205</v>
      </c>
      <c r="K129" s="143" t="s">
        <v>268</v>
      </c>
      <c r="L129" s="143" t="s">
        <v>325</v>
      </c>
      <c r="M129" s="143" t="s">
        <v>344</v>
      </c>
      <c r="N129" s="143" t="s">
        <v>544</v>
      </c>
      <c r="O129" s="143" t="s">
        <v>339</v>
      </c>
      <c r="P129" s="143" t="s">
        <v>1211</v>
      </c>
      <c r="Q129" s="144">
        <v>7237</v>
      </c>
      <c r="R129" s="143" t="s">
        <v>1212</v>
      </c>
      <c r="S129" s="143" t="s">
        <v>2596</v>
      </c>
      <c r="T129" s="145" t="s">
        <v>3876</v>
      </c>
      <c r="U129" s="144">
        <v>702.94830000000002</v>
      </c>
      <c r="V129" s="146">
        <v>5.3694631353005288E-6</v>
      </c>
      <c r="W129" s="146">
        <v>3.4991619377056317E-3</v>
      </c>
      <c r="X129" s="147">
        <v>7.0697114880551948E-4</v>
      </c>
      <c r="Y129" s="183"/>
    </row>
    <row r="130" spans="1:25" ht="15" x14ac:dyDescent="0.2">
      <c r="A130" s="142" t="s">
        <v>1205</v>
      </c>
      <c r="B130" s="143" t="s">
        <v>1205</v>
      </c>
      <c r="C130" s="143" t="s">
        <v>2597</v>
      </c>
      <c r="D130" s="143" t="s">
        <v>2598</v>
      </c>
      <c r="E130" s="143" t="s">
        <v>313</v>
      </c>
      <c r="F130" s="143" t="s">
        <v>2599</v>
      </c>
      <c r="G130" s="143" t="s">
        <v>2600</v>
      </c>
      <c r="H130" s="143" t="s">
        <v>321</v>
      </c>
      <c r="I130" s="143" t="s">
        <v>917</v>
      </c>
      <c r="J130" s="143" t="s">
        <v>205</v>
      </c>
      <c r="K130" s="143" t="s">
        <v>268</v>
      </c>
      <c r="L130" s="143" t="s">
        <v>325</v>
      </c>
      <c r="M130" s="143" t="s">
        <v>344</v>
      </c>
      <c r="N130" s="143" t="s">
        <v>546</v>
      </c>
      <c r="O130" s="143" t="s">
        <v>339</v>
      </c>
      <c r="P130" s="143" t="s">
        <v>1211</v>
      </c>
      <c r="Q130" s="144">
        <v>1407</v>
      </c>
      <c r="R130" s="143" t="s">
        <v>1212</v>
      </c>
      <c r="S130" s="143" t="s">
        <v>2601</v>
      </c>
      <c r="T130" s="145" t="s">
        <v>3876</v>
      </c>
      <c r="U130" s="144">
        <v>457.3852</v>
      </c>
      <c r="V130" s="146">
        <v>5.1045211473018958E-6</v>
      </c>
      <c r="W130" s="146">
        <v>2.2767887566544306E-3</v>
      </c>
      <c r="X130" s="147">
        <v>4.6000270680095733E-4</v>
      </c>
      <c r="Y130" s="183"/>
    </row>
    <row r="131" spans="1:25" ht="15" x14ac:dyDescent="0.2">
      <c r="A131" s="142" t="s">
        <v>1205</v>
      </c>
      <c r="B131" s="143" t="s">
        <v>1205</v>
      </c>
      <c r="C131" s="143" t="s">
        <v>2602</v>
      </c>
      <c r="D131" s="143" t="s">
        <v>2603</v>
      </c>
      <c r="E131" s="143" t="s">
        <v>313</v>
      </c>
      <c r="F131" s="143" t="s">
        <v>2604</v>
      </c>
      <c r="G131" s="143" t="s">
        <v>2605</v>
      </c>
      <c r="H131" s="143" t="s">
        <v>321</v>
      </c>
      <c r="I131" s="143" t="s">
        <v>917</v>
      </c>
      <c r="J131" s="143" t="s">
        <v>205</v>
      </c>
      <c r="K131" s="143" t="s">
        <v>224</v>
      </c>
      <c r="L131" s="143" t="s">
        <v>325</v>
      </c>
      <c r="M131" s="143" t="s">
        <v>344</v>
      </c>
      <c r="N131" s="143" t="s">
        <v>548</v>
      </c>
      <c r="O131" s="143" t="s">
        <v>339</v>
      </c>
      <c r="P131" s="143" t="s">
        <v>1211</v>
      </c>
      <c r="Q131" s="144">
        <v>4707</v>
      </c>
      <c r="R131" s="143" t="s">
        <v>1212</v>
      </c>
      <c r="S131" s="143" t="s">
        <v>2606</v>
      </c>
      <c r="T131" s="145" t="s">
        <v>3876</v>
      </c>
      <c r="U131" s="144">
        <v>446.94069999999999</v>
      </c>
      <c r="V131" s="146">
        <v>8.4211467930941943E-5</v>
      </c>
      <c r="W131" s="146">
        <v>2.2247975839998417E-3</v>
      </c>
      <c r="X131" s="147">
        <v>4.494984032809374E-4</v>
      </c>
      <c r="Y131" s="183"/>
    </row>
    <row r="132" spans="1:25" ht="15" x14ac:dyDescent="0.2">
      <c r="A132" s="142" t="s">
        <v>1205</v>
      </c>
      <c r="B132" s="143" t="s">
        <v>1205</v>
      </c>
      <c r="C132" s="143" t="s">
        <v>2607</v>
      </c>
      <c r="D132" s="143" t="s">
        <v>2608</v>
      </c>
      <c r="E132" s="143" t="s">
        <v>313</v>
      </c>
      <c r="F132" s="143" t="s">
        <v>2609</v>
      </c>
      <c r="G132" s="143" t="s">
        <v>2610</v>
      </c>
      <c r="H132" s="143" t="s">
        <v>321</v>
      </c>
      <c r="I132" s="143" t="s">
        <v>917</v>
      </c>
      <c r="J132" s="143" t="s">
        <v>205</v>
      </c>
      <c r="K132" s="143" t="s">
        <v>224</v>
      </c>
      <c r="L132" s="143" t="s">
        <v>325</v>
      </c>
      <c r="M132" s="143" t="s">
        <v>344</v>
      </c>
      <c r="N132" s="143" t="s">
        <v>489</v>
      </c>
      <c r="O132" s="143" t="s">
        <v>339</v>
      </c>
      <c r="P132" s="143" t="s">
        <v>1211</v>
      </c>
      <c r="Q132" s="144">
        <v>13467</v>
      </c>
      <c r="R132" s="143" t="s">
        <v>1212</v>
      </c>
      <c r="S132" s="143" t="s">
        <v>2611</v>
      </c>
      <c r="T132" s="145" t="s">
        <v>3876</v>
      </c>
      <c r="U132" s="144">
        <v>303.73470000000003</v>
      </c>
      <c r="V132" s="146">
        <v>1.2949038461538462E-3</v>
      </c>
      <c r="W132" s="146">
        <v>1.5119417869946497E-3</v>
      </c>
      <c r="X132" s="147">
        <v>3.0547292211904463E-4</v>
      </c>
      <c r="Y132" s="183"/>
    </row>
    <row r="133" spans="1:25" ht="15" x14ac:dyDescent="0.2">
      <c r="A133" s="142" t="s">
        <v>1205</v>
      </c>
      <c r="B133" s="143" t="s">
        <v>1205</v>
      </c>
      <c r="C133" s="143" t="s">
        <v>2612</v>
      </c>
      <c r="D133" s="143" t="s">
        <v>2613</v>
      </c>
      <c r="E133" s="143" t="s">
        <v>313</v>
      </c>
      <c r="F133" s="143" t="s">
        <v>2612</v>
      </c>
      <c r="G133" s="143" t="s">
        <v>2614</v>
      </c>
      <c r="H133" s="143" t="s">
        <v>321</v>
      </c>
      <c r="I133" s="143" t="s">
        <v>917</v>
      </c>
      <c r="J133" s="143" t="s">
        <v>205</v>
      </c>
      <c r="K133" s="143" t="s">
        <v>272</v>
      </c>
      <c r="L133" s="143" t="s">
        <v>325</v>
      </c>
      <c r="M133" s="143" t="s">
        <v>394</v>
      </c>
      <c r="N133" s="143" t="s">
        <v>568</v>
      </c>
      <c r="O133" s="143" t="s">
        <v>339</v>
      </c>
      <c r="P133" s="143" t="s">
        <v>1213</v>
      </c>
      <c r="Q133" s="144">
        <v>9268</v>
      </c>
      <c r="R133" s="143" t="s">
        <v>1214</v>
      </c>
      <c r="S133" s="143" t="s">
        <v>2615</v>
      </c>
      <c r="T133" s="145" t="s">
        <v>3876</v>
      </c>
      <c r="U133" s="144">
        <v>208.6516</v>
      </c>
      <c r="V133" s="146">
        <v>2.5673130193905819E-3</v>
      </c>
      <c r="W133" s="146">
        <v>1.038633545861018E-3</v>
      </c>
      <c r="X133" s="147">
        <v>2.0984566138335898E-4</v>
      </c>
      <c r="Y133" s="183"/>
    </row>
    <row r="134" spans="1:25" ht="15" x14ac:dyDescent="0.2">
      <c r="A134" s="142" t="s">
        <v>1205</v>
      </c>
      <c r="B134" s="143" t="s">
        <v>1205</v>
      </c>
      <c r="C134" s="143" t="s">
        <v>2616</v>
      </c>
      <c r="D134" s="143" t="s">
        <v>2617</v>
      </c>
      <c r="E134" s="143" t="s">
        <v>313</v>
      </c>
      <c r="F134" s="143" t="s">
        <v>2616</v>
      </c>
      <c r="G134" s="143" t="s">
        <v>2618</v>
      </c>
      <c r="H134" s="143" t="s">
        <v>321</v>
      </c>
      <c r="I134" s="143" t="s">
        <v>917</v>
      </c>
      <c r="J134" s="143" t="s">
        <v>205</v>
      </c>
      <c r="K134" s="143" t="s">
        <v>238</v>
      </c>
      <c r="L134" s="143" t="s">
        <v>325</v>
      </c>
      <c r="M134" s="143" t="s">
        <v>368</v>
      </c>
      <c r="N134" s="143" t="s">
        <v>510</v>
      </c>
      <c r="O134" s="143" t="s">
        <v>339</v>
      </c>
      <c r="P134" s="143" t="s">
        <v>1213</v>
      </c>
      <c r="Q134" s="144">
        <v>47</v>
      </c>
      <c r="R134" s="143" t="s">
        <v>1214</v>
      </c>
      <c r="S134" s="143" t="s">
        <v>2619</v>
      </c>
      <c r="T134" s="145" t="s">
        <v>3876</v>
      </c>
      <c r="U134" s="144">
        <v>7.0232000000000001</v>
      </c>
      <c r="V134" s="146">
        <v>5.7111471871992536E-8</v>
      </c>
      <c r="W134" s="146">
        <v>3.4960586701625797E-5</v>
      </c>
      <c r="X134" s="147">
        <v>7.0634416421348858E-6</v>
      </c>
      <c r="Y134" s="183"/>
    </row>
    <row r="135" spans="1:25" ht="15" x14ac:dyDescent="0.2">
      <c r="A135" s="142" t="s">
        <v>1205</v>
      </c>
      <c r="B135" s="143" t="s">
        <v>1205</v>
      </c>
      <c r="C135" s="143" t="s">
        <v>2620</v>
      </c>
      <c r="D135" s="143" t="s">
        <v>2621</v>
      </c>
      <c r="E135" s="143" t="s">
        <v>313</v>
      </c>
      <c r="F135" s="143" t="s">
        <v>2620</v>
      </c>
      <c r="G135" s="143" t="s">
        <v>2622</v>
      </c>
      <c r="H135" s="143" t="s">
        <v>321</v>
      </c>
      <c r="I135" s="143" t="s">
        <v>917</v>
      </c>
      <c r="J135" s="143" t="s">
        <v>205</v>
      </c>
      <c r="K135" s="143" t="s">
        <v>224</v>
      </c>
      <c r="L135" s="143" t="s">
        <v>325</v>
      </c>
      <c r="M135" s="143" t="s">
        <v>344</v>
      </c>
      <c r="N135" s="143" t="s">
        <v>544</v>
      </c>
      <c r="O135" s="143" t="s">
        <v>339</v>
      </c>
      <c r="P135" s="143" t="s">
        <v>1211</v>
      </c>
      <c r="Q135" s="144">
        <v>50</v>
      </c>
      <c r="R135" s="143" t="s">
        <v>1212</v>
      </c>
      <c r="S135" s="143" t="s">
        <v>2623</v>
      </c>
      <c r="T135" s="145" t="s">
        <v>3876</v>
      </c>
      <c r="U135" s="144">
        <v>5.9109999999999996</v>
      </c>
      <c r="V135" s="146">
        <v>4.3776320512708263E-7</v>
      </c>
      <c r="W135" s="146">
        <v>2.9424128858804074E-5</v>
      </c>
      <c r="X135" s="147">
        <v>5.9448549544837705E-6</v>
      </c>
      <c r="Y135" s="183"/>
    </row>
    <row r="136" spans="1:25" ht="15" x14ac:dyDescent="0.2">
      <c r="A136" s="142" t="s">
        <v>1205</v>
      </c>
      <c r="B136" s="143" t="s">
        <v>1205</v>
      </c>
      <c r="C136" s="143" t="s">
        <v>2624</v>
      </c>
      <c r="D136" s="143" t="s">
        <v>2625</v>
      </c>
      <c r="E136" s="143" t="s">
        <v>309</v>
      </c>
      <c r="F136" s="143" t="s">
        <v>2624</v>
      </c>
      <c r="G136" s="143" t="s">
        <v>2626</v>
      </c>
      <c r="H136" s="143" t="s">
        <v>321</v>
      </c>
      <c r="I136" s="143" t="s">
        <v>917</v>
      </c>
      <c r="J136" s="143" t="s">
        <v>205</v>
      </c>
      <c r="K136" s="143" t="s">
        <v>204</v>
      </c>
      <c r="L136" s="143" t="s">
        <v>325</v>
      </c>
      <c r="M136" s="143" t="s">
        <v>344</v>
      </c>
      <c r="N136" s="143" t="s">
        <v>533</v>
      </c>
      <c r="O136" s="143" t="s">
        <v>339</v>
      </c>
      <c r="P136" s="143" t="s">
        <v>1211</v>
      </c>
      <c r="Q136" s="144">
        <v>92165</v>
      </c>
      <c r="R136" s="143" t="s">
        <v>1212</v>
      </c>
      <c r="S136" s="143" t="s">
        <v>2627</v>
      </c>
      <c r="T136" s="145" t="s">
        <v>3876</v>
      </c>
      <c r="U136" s="144">
        <v>5.8896000000000006</v>
      </c>
      <c r="V136" s="146">
        <v>1.2390933168416665E-3</v>
      </c>
      <c r="W136" s="146">
        <v>2.9317565797531647E-5</v>
      </c>
      <c r="X136" s="147">
        <v>5.9233249392432082E-6</v>
      </c>
      <c r="Y136" s="183"/>
    </row>
    <row r="137" spans="1:25" ht="15" x14ac:dyDescent="0.2">
      <c r="A137" s="142" t="s">
        <v>1205</v>
      </c>
      <c r="B137" s="143" t="s">
        <v>1205</v>
      </c>
      <c r="C137" s="143" t="s">
        <v>2628</v>
      </c>
      <c r="D137" s="143" t="s">
        <v>2629</v>
      </c>
      <c r="E137" s="143" t="s">
        <v>313</v>
      </c>
      <c r="F137" s="143" t="s">
        <v>2628</v>
      </c>
      <c r="G137" s="143" t="s">
        <v>2630</v>
      </c>
      <c r="H137" s="143" t="s">
        <v>321</v>
      </c>
      <c r="I137" s="143" t="s">
        <v>917</v>
      </c>
      <c r="J137" s="143" t="s">
        <v>205</v>
      </c>
      <c r="K137" s="143" t="s">
        <v>224</v>
      </c>
      <c r="L137" s="143" t="s">
        <v>325</v>
      </c>
      <c r="M137" s="143" t="s">
        <v>344</v>
      </c>
      <c r="N137" s="143" t="s">
        <v>544</v>
      </c>
      <c r="O137" s="143" t="s">
        <v>339</v>
      </c>
      <c r="P137" s="143" t="s">
        <v>1211</v>
      </c>
      <c r="Q137" s="144">
        <v>8</v>
      </c>
      <c r="R137" s="143" t="s">
        <v>1212</v>
      </c>
      <c r="S137" s="143" t="s">
        <v>2631</v>
      </c>
      <c r="T137" s="145" t="s">
        <v>3876</v>
      </c>
      <c r="U137" s="144">
        <v>0.25950000000000001</v>
      </c>
      <c r="V137" s="146">
        <v>6.4484926648395933E-8</v>
      </c>
      <c r="W137" s="146">
        <v>1.2918549166370958E-6</v>
      </c>
      <c r="X137" s="147">
        <v>2.6100654121307445E-7</v>
      </c>
      <c r="Y137" s="183"/>
    </row>
    <row r="138" spans="1:25" ht="15" x14ac:dyDescent="0.2">
      <c r="A138" s="142" t="s">
        <v>1220</v>
      </c>
      <c r="B138" s="143" t="s">
        <v>1220</v>
      </c>
      <c r="C138" s="143" t="s">
        <v>2050</v>
      </c>
      <c r="D138" s="143" t="s">
        <v>2051</v>
      </c>
      <c r="E138" s="143" t="s">
        <v>309</v>
      </c>
      <c r="F138" s="143" t="s">
        <v>2052</v>
      </c>
      <c r="G138" s="143" t="s">
        <v>2053</v>
      </c>
      <c r="H138" s="143" t="s">
        <v>321</v>
      </c>
      <c r="I138" s="143" t="s">
        <v>917</v>
      </c>
      <c r="J138" s="143" t="s">
        <v>204</v>
      </c>
      <c r="K138" s="143" t="s">
        <v>204</v>
      </c>
      <c r="L138" s="143" t="s">
        <v>325</v>
      </c>
      <c r="M138" s="143" t="s">
        <v>340</v>
      </c>
      <c r="N138" s="143" t="s">
        <v>467</v>
      </c>
      <c r="O138" s="143" t="s">
        <v>339</v>
      </c>
      <c r="P138" s="143" t="s">
        <v>1210</v>
      </c>
      <c r="Q138" s="144">
        <v>3509705</v>
      </c>
      <c r="R138" s="145" t="s">
        <v>3876</v>
      </c>
      <c r="S138" s="143" t="s">
        <v>2054</v>
      </c>
      <c r="T138" s="145" t="s">
        <v>3876</v>
      </c>
      <c r="U138" s="144">
        <v>214793.946</v>
      </c>
      <c r="V138" s="146">
        <v>2.8340767566537497E-3</v>
      </c>
      <c r="W138" s="146">
        <v>4.7556871963641827E-2</v>
      </c>
      <c r="X138" s="147">
        <v>9.5183936986666471E-3</v>
      </c>
      <c r="Y138" s="183"/>
    </row>
    <row r="139" spans="1:25" ht="15" x14ac:dyDescent="0.2">
      <c r="A139" s="142" t="s">
        <v>1220</v>
      </c>
      <c r="B139" s="143" t="s">
        <v>1220</v>
      </c>
      <c r="C139" s="143" t="s">
        <v>1474</v>
      </c>
      <c r="D139" s="143" t="s">
        <v>1475</v>
      </c>
      <c r="E139" s="143" t="s">
        <v>309</v>
      </c>
      <c r="F139" s="143" t="s">
        <v>2055</v>
      </c>
      <c r="G139" s="143" t="s">
        <v>2056</v>
      </c>
      <c r="H139" s="143" t="s">
        <v>321</v>
      </c>
      <c r="I139" s="143" t="s">
        <v>917</v>
      </c>
      <c r="J139" s="143" t="s">
        <v>204</v>
      </c>
      <c r="K139" s="143" t="s">
        <v>204</v>
      </c>
      <c r="L139" s="143" t="s">
        <v>325</v>
      </c>
      <c r="M139" s="143" t="s">
        <v>340</v>
      </c>
      <c r="N139" s="143" t="s">
        <v>448</v>
      </c>
      <c r="O139" s="143" t="s">
        <v>339</v>
      </c>
      <c r="P139" s="143" t="s">
        <v>1210</v>
      </c>
      <c r="Q139" s="144">
        <v>4432221</v>
      </c>
      <c r="R139" s="145" t="s">
        <v>3876</v>
      </c>
      <c r="S139" s="143" t="s">
        <v>2057</v>
      </c>
      <c r="T139" s="145" t="s">
        <v>3876</v>
      </c>
      <c r="U139" s="144">
        <v>149144.23669999998</v>
      </c>
      <c r="V139" s="146">
        <v>3.3133584610235294E-3</v>
      </c>
      <c r="W139" s="146">
        <v>3.3021570200489479E-2</v>
      </c>
      <c r="X139" s="147">
        <v>6.6091879625034084E-3</v>
      </c>
      <c r="Y139" s="183"/>
    </row>
    <row r="140" spans="1:25" ht="15" x14ac:dyDescent="0.2">
      <c r="A140" s="142" t="s">
        <v>1220</v>
      </c>
      <c r="B140" s="143" t="s">
        <v>1220</v>
      </c>
      <c r="C140" s="143" t="s">
        <v>2058</v>
      </c>
      <c r="D140" s="143" t="s">
        <v>2059</v>
      </c>
      <c r="E140" s="143" t="s">
        <v>309</v>
      </c>
      <c r="F140" s="143" t="s">
        <v>2060</v>
      </c>
      <c r="G140" s="143" t="s">
        <v>2061</v>
      </c>
      <c r="H140" s="143" t="s">
        <v>321</v>
      </c>
      <c r="I140" s="143" t="s">
        <v>917</v>
      </c>
      <c r="J140" s="143" t="s">
        <v>204</v>
      </c>
      <c r="K140" s="143" t="s">
        <v>204</v>
      </c>
      <c r="L140" s="143" t="s">
        <v>325</v>
      </c>
      <c r="M140" s="143" t="s">
        <v>340</v>
      </c>
      <c r="N140" s="143" t="s">
        <v>480</v>
      </c>
      <c r="O140" s="143" t="s">
        <v>339</v>
      </c>
      <c r="P140" s="143" t="s">
        <v>1210</v>
      </c>
      <c r="Q140" s="144">
        <v>202683</v>
      </c>
      <c r="R140" s="145" t="s">
        <v>3876</v>
      </c>
      <c r="S140" s="143" t="s">
        <v>2062</v>
      </c>
      <c r="T140" s="145" t="s">
        <v>3876</v>
      </c>
      <c r="U140" s="144">
        <v>130527.852</v>
      </c>
      <c r="V140" s="146">
        <v>2.7105779863589655E-3</v>
      </c>
      <c r="W140" s="146">
        <v>2.8899773298327457E-2</v>
      </c>
      <c r="X140" s="147">
        <v>5.7842202125067931E-3</v>
      </c>
      <c r="Y140" s="183"/>
    </row>
    <row r="141" spans="1:25" ht="15" x14ac:dyDescent="0.2">
      <c r="A141" s="142" t="s">
        <v>1220</v>
      </c>
      <c r="B141" s="143" t="s">
        <v>1220</v>
      </c>
      <c r="C141" s="143" t="s">
        <v>1468</v>
      </c>
      <c r="D141" s="143" t="s">
        <v>1469</v>
      </c>
      <c r="E141" s="143" t="s">
        <v>309</v>
      </c>
      <c r="F141" s="143" t="s">
        <v>2063</v>
      </c>
      <c r="G141" s="143" t="s">
        <v>2064</v>
      </c>
      <c r="H141" s="143" t="s">
        <v>321</v>
      </c>
      <c r="I141" s="143" t="s">
        <v>917</v>
      </c>
      <c r="J141" s="143" t="s">
        <v>204</v>
      </c>
      <c r="K141" s="143" t="s">
        <v>204</v>
      </c>
      <c r="L141" s="143" t="s">
        <v>325</v>
      </c>
      <c r="M141" s="143" t="s">
        <v>340</v>
      </c>
      <c r="N141" s="143" t="s">
        <v>448</v>
      </c>
      <c r="O141" s="143" t="s">
        <v>339</v>
      </c>
      <c r="P141" s="143" t="s">
        <v>1210</v>
      </c>
      <c r="Q141" s="144">
        <v>3620003</v>
      </c>
      <c r="R141" s="145" t="s">
        <v>3876</v>
      </c>
      <c r="S141" s="143" t="s">
        <v>2065</v>
      </c>
      <c r="T141" s="145" t="s">
        <v>3876</v>
      </c>
      <c r="U141" s="144">
        <v>112582.09329999999</v>
      </c>
      <c r="V141" s="146">
        <v>2.2406147726871427E-3</v>
      </c>
      <c r="W141" s="146">
        <v>2.4926457640788807E-2</v>
      </c>
      <c r="X141" s="147">
        <v>4.9889706269906717E-3</v>
      </c>
      <c r="Y141" s="183"/>
    </row>
    <row r="142" spans="1:25" ht="15" x14ac:dyDescent="0.2">
      <c r="A142" s="142" t="s">
        <v>1220</v>
      </c>
      <c r="B142" s="143" t="s">
        <v>1220</v>
      </c>
      <c r="C142" s="143" t="s">
        <v>2066</v>
      </c>
      <c r="D142" s="143" t="s">
        <v>2067</v>
      </c>
      <c r="E142" s="143" t="s">
        <v>309</v>
      </c>
      <c r="F142" s="143" t="s">
        <v>2068</v>
      </c>
      <c r="G142" s="143" t="s">
        <v>2069</v>
      </c>
      <c r="H142" s="143" t="s">
        <v>321</v>
      </c>
      <c r="I142" s="143" t="s">
        <v>917</v>
      </c>
      <c r="J142" s="143" t="s">
        <v>204</v>
      </c>
      <c r="K142" s="143" t="s">
        <v>204</v>
      </c>
      <c r="L142" s="143" t="s">
        <v>325</v>
      </c>
      <c r="M142" s="143" t="s">
        <v>340</v>
      </c>
      <c r="N142" s="143" t="s">
        <v>448</v>
      </c>
      <c r="O142" s="143" t="s">
        <v>339</v>
      </c>
      <c r="P142" s="143" t="s">
        <v>1210</v>
      </c>
      <c r="Q142" s="144">
        <v>610586</v>
      </c>
      <c r="R142" s="145" t="s">
        <v>3876</v>
      </c>
      <c r="S142" s="143" t="s">
        <v>2070</v>
      </c>
      <c r="T142" s="145" t="s">
        <v>3876</v>
      </c>
      <c r="U142" s="144">
        <v>87985.442599999995</v>
      </c>
      <c r="V142" s="146">
        <v>6.08577450980783E-3</v>
      </c>
      <c r="W142" s="146">
        <v>1.9480588286192001E-2</v>
      </c>
      <c r="X142" s="147">
        <v>3.898992955873328E-3</v>
      </c>
      <c r="Y142" s="183"/>
    </row>
    <row r="143" spans="1:25" ht="15" x14ac:dyDescent="0.2">
      <c r="A143" s="142" t="s">
        <v>1220</v>
      </c>
      <c r="B143" s="143" t="s">
        <v>1220</v>
      </c>
      <c r="C143" s="143" t="s">
        <v>2071</v>
      </c>
      <c r="D143" s="143" t="s">
        <v>2072</v>
      </c>
      <c r="E143" s="143" t="s">
        <v>309</v>
      </c>
      <c r="F143" s="143" t="s">
        <v>2073</v>
      </c>
      <c r="G143" s="143" t="s">
        <v>2074</v>
      </c>
      <c r="H143" s="143" t="s">
        <v>321</v>
      </c>
      <c r="I143" s="143" t="s">
        <v>917</v>
      </c>
      <c r="J143" s="143" t="s">
        <v>204</v>
      </c>
      <c r="K143" s="143" t="s">
        <v>204</v>
      </c>
      <c r="L143" s="143" t="s">
        <v>325</v>
      </c>
      <c r="M143" s="143" t="s">
        <v>340</v>
      </c>
      <c r="N143" s="143" t="s">
        <v>448</v>
      </c>
      <c r="O143" s="143" t="s">
        <v>339</v>
      </c>
      <c r="P143" s="143" t="s">
        <v>1210</v>
      </c>
      <c r="Q143" s="144">
        <v>4543555</v>
      </c>
      <c r="R143" s="145" t="s">
        <v>3876</v>
      </c>
      <c r="S143" s="143" t="s">
        <v>2075</v>
      </c>
      <c r="T143" s="145" t="s">
        <v>3876</v>
      </c>
      <c r="U143" s="144">
        <v>86736.464999999997</v>
      </c>
      <c r="V143" s="146">
        <v>3.6730101218243284E-3</v>
      </c>
      <c r="W143" s="146">
        <v>1.920405595698706E-2</v>
      </c>
      <c r="X143" s="147">
        <v>3.8436456743743629E-3</v>
      </c>
      <c r="Y143" s="183"/>
    </row>
    <row r="144" spans="1:25" ht="15" x14ac:dyDescent="0.2">
      <c r="A144" s="142" t="s">
        <v>1220</v>
      </c>
      <c r="B144" s="143" t="s">
        <v>1220</v>
      </c>
      <c r="C144" s="143" t="s">
        <v>2076</v>
      </c>
      <c r="D144" s="143" t="s">
        <v>2077</v>
      </c>
      <c r="E144" s="143" t="s">
        <v>309</v>
      </c>
      <c r="F144" s="143" t="s">
        <v>2078</v>
      </c>
      <c r="G144" s="143" t="s">
        <v>2079</v>
      </c>
      <c r="H144" s="143" t="s">
        <v>321</v>
      </c>
      <c r="I144" s="143" t="s">
        <v>917</v>
      </c>
      <c r="J144" s="143" t="s">
        <v>204</v>
      </c>
      <c r="K144" s="143" t="s">
        <v>204</v>
      </c>
      <c r="L144" s="143" t="s">
        <v>327</v>
      </c>
      <c r="M144" s="143" t="s">
        <v>340</v>
      </c>
      <c r="N144" s="143" t="s">
        <v>441</v>
      </c>
      <c r="O144" s="143" t="s">
        <v>339</v>
      </c>
      <c r="P144" s="143" t="s">
        <v>1210</v>
      </c>
      <c r="Q144" s="144">
        <v>5947200</v>
      </c>
      <c r="R144" s="145" t="s">
        <v>3876</v>
      </c>
      <c r="S144" s="143" t="s">
        <v>2080</v>
      </c>
      <c r="T144" s="145" t="s">
        <v>3876</v>
      </c>
      <c r="U144" s="144">
        <v>82844.495999999999</v>
      </c>
      <c r="V144" s="146">
        <v>9.1480184830828107E-2</v>
      </c>
      <c r="W144" s="146">
        <v>1.8342346991308767E-2</v>
      </c>
      <c r="X144" s="147">
        <v>3.6711766945964775E-3</v>
      </c>
      <c r="Y144" s="183"/>
    </row>
    <row r="145" spans="1:25" ht="15" x14ac:dyDescent="0.2">
      <c r="A145" s="142" t="s">
        <v>1220</v>
      </c>
      <c r="B145" s="143" t="s">
        <v>1220</v>
      </c>
      <c r="C145" s="143" t="s">
        <v>1828</v>
      </c>
      <c r="D145" s="143" t="s">
        <v>1829</v>
      </c>
      <c r="E145" s="143" t="s">
        <v>309</v>
      </c>
      <c r="F145" s="143" t="s">
        <v>2091</v>
      </c>
      <c r="G145" s="143" t="s">
        <v>2092</v>
      </c>
      <c r="H145" s="143" t="s">
        <v>321</v>
      </c>
      <c r="I145" s="143" t="s">
        <v>917</v>
      </c>
      <c r="J145" s="143" t="s">
        <v>204</v>
      </c>
      <c r="K145" s="143" t="s">
        <v>204</v>
      </c>
      <c r="L145" s="143" t="s">
        <v>325</v>
      </c>
      <c r="M145" s="143" t="s">
        <v>340</v>
      </c>
      <c r="N145" s="143" t="s">
        <v>454</v>
      </c>
      <c r="O145" s="143" t="s">
        <v>339</v>
      </c>
      <c r="P145" s="143" t="s">
        <v>1210</v>
      </c>
      <c r="Q145" s="144">
        <v>1689624</v>
      </c>
      <c r="R145" s="145" t="s">
        <v>3876</v>
      </c>
      <c r="S145" s="143" t="s">
        <v>2093</v>
      </c>
      <c r="T145" s="145" t="s">
        <v>3876</v>
      </c>
      <c r="U145" s="144">
        <v>78973.025800000003</v>
      </c>
      <c r="V145" s="146">
        <v>1.6903741204196774E-2</v>
      </c>
      <c r="W145" s="146">
        <v>1.7485176582442915E-2</v>
      </c>
      <c r="X145" s="147">
        <v>3.4996160960636328E-3</v>
      </c>
      <c r="Y145" s="183"/>
    </row>
    <row r="146" spans="1:25" ht="15" x14ac:dyDescent="0.2">
      <c r="A146" s="142" t="s">
        <v>1220</v>
      </c>
      <c r="B146" s="143" t="s">
        <v>1220</v>
      </c>
      <c r="C146" s="143" t="s">
        <v>2081</v>
      </c>
      <c r="D146" s="143" t="s">
        <v>2082</v>
      </c>
      <c r="E146" s="143" t="s">
        <v>309</v>
      </c>
      <c r="F146" s="143" t="s">
        <v>2083</v>
      </c>
      <c r="G146" s="143" t="s">
        <v>2084</v>
      </c>
      <c r="H146" s="143" t="s">
        <v>321</v>
      </c>
      <c r="I146" s="143" t="s">
        <v>917</v>
      </c>
      <c r="J146" s="143" t="s">
        <v>204</v>
      </c>
      <c r="K146" s="143" t="s">
        <v>204</v>
      </c>
      <c r="L146" s="143" t="s">
        <v>325</v>
      </c>
      <c r="M146" s="143" t="s">
        <v>340</v>
      </c>
      <c r="N146" s="143" t="s">
        <v>448</v>
      </c>
      <c r="O146" s="143" t="s">
        <v>339</v>
      </c>
      <c r="P146" s="143" t="s">
        <v>1210</v>
      </c>
      <c r="Q146" s="144">
        <v>568133</v>
      </c>
      <c r="R146" s="145" t="s">
        <v>3876</v>
      </c>
      <c r="S146" s="143" t="s">
        <v>2085</v>
      </c>
      <c r="T146" s="145" t="s">
        <v>3876</v>
      </c>
      <c r="U146" s="144">
        <v>74311.796400000007</v>
      </c>
      <c r="V146" s="146">
        <v>2.1996288731952339E-3</v>
      </c>
      <c r="W146" s="146">
        <v>1.6453148017416746E-2</v>
      </c>
      <c r="X146" s="147">
        <v>3.2930580575597731E-3</v>
      </c>
      <c r="Y146" s="183"/>
    </row>
    <row r="147" spans="1:25" ht="15" x14ac:dyDescent="0.2">
      <c r="A147" s="142" t="s">
        <v>1220</v>
      </c>
      <c r="B147" s="143" t="s">
        <v>1220</v>
      </c>
      <c r="C147" s="143" t="s">
        <v>2086</v>
      </c>
      <c r="D147" s="143" t="s">
        <v>2087</v>
      </c>
      <c r="E147" s="143" t="s">
        <v>309</v>
      </c>
      <c r="F147" s="143" t="s">
        <v>2088</v>
      </c>
      <c r="G147" s="143" t="s">
        <v>2089</v>
      </c>
      <c r="H147" s="143" t="s">
        <v>321</v>
      </c>
      <c r="I147" s="143" t="s">
        <v>917</v>
      </c>
      <c r="J147" s="143" t="s">
        <v>204</v>
      </c>
      <c r="K147" s="143" t="s">
        <v>204</v>
      </c>
      <c r="L147" s="143" t="s">
        <v>325</v>
      </c>
      <c r="M147" s="143" t="s">
        <v>340</v>
      </c>
      <c r="N147" s="143" t="s">
        <v>441</v>
      </c>
      <c r="O147" s="143" t="s">
        <v>339</v>
      </c>
      <c r="P147" s="143" t="s">
        <v>1210</v>
      </c>
      <c r="Q147" s="144">
        <v>1239099.8</v>
      </c>
      <c r="R147" s="145" t="s">
        <v>3876</v>
      </c>
      <c r="S147" s="143" t="s">
        <v>2090</v>
      </c>
      <c r="T147" s="145" t="s">
        <v>3876</v>
      </c>
      <c r="U147" s="144">
        <v>74281.446200000006</v>
      </c>
      <c r="V147" s="146">
        <v>1.0720432935639325E-2</v>
      </c>
      <c r="W147" s="146">
        <v>1.6446428271299128E-2</v>
      </c>
      <c r="X147" s="147">
        <v>3.2917131165142084E-3</v>
      </c>
      <c r="Y147" s="183"/>
    </row>
    <row r="148" spans="1:25" ht="15" x14ac:dyDescent="0.2">
      <c r="A148" s="142" t="s">
        <v>1220</v>
      </c>
      <c r="B148" s="143" t="s">
        <v>1220</v>
      </c>
      <c r="C148" s="143" t="s">
        <v>1581</v>
      </c>
      <c r="D148" s="143" t="s">
        <v>1582</v>
      </c>
      <c r="E148" s="143" t="s">
        <v>309</v>
      </c>
      <c r="F148" s="143" t="s">
        <v>2094</v>
      </c>
      <c r="G148" s="143" t="s">
        <v>2095</v>
      </c>
      <c r="H148" s="143" t="s">
        <v>321</v>
      </c>
      <c r="I148" s="143" t="s">
        <v>917</v>
      </c>
      <c r="J148" s="143" t="s">
        <v>204</v>
      </c>
      <c r="K148" s="143" t="s">
        <v>204</v>
      </c>
      <c r="L148" s="143" t="s">
        <v>325</v>
      </c>
      <c r="M148" s="143" t="s">
        <v>340</v>
      </c>
      <c r="N148" s="143" t="s">
        <v>464</v>
      </c>
      <c r="O148" s="143" t="s">
        <v>339</v>
      </c>
      <c r="P148" s="143" t="s">
        <v>1210</v>
      </c>
      <c r="Q148" s="144">
        <v>209990</v>
      </c>
      <c r="R148" s="145" t="s">
        <v>3876</v>
      </c>
      <c r="S148" s="143" t="s">
        <v>2096</v>
      </c>
      <c r="T148" s="145" t="s">
        <v>3876</v>
      </c>
      <c r="U148" s="144">
        <v>51888.529000000002</v>
      </c>
      <c r="V148" s="146">
        <v>4.4188148460394755E-3</v>
      </c>
      <c r="W148" s="146">
        <v>1.1488480825407973E-2</v>
      </c>
      <c r="X148" s="147">
        <v>2.2993918435051312E-3</v>
      </c>
      <c r="Y148" s="183"/>
    </row>
    <row r="149" spans="1:25" ht="15" x14ac:dyDescent="0.2">
      <c r="A149" s="142" t="s">
        <v>1220</v>
      </c>
      <c r="B149" s="143" t="s">
        <v>1220</v>
      </c>
      <c r="C149" s="143" t="s">
        <v>2102</v>
      </c>
      <c r="D149" s="143" t="s">
        <v>2103</v>
      </c>
      <c r="E149" s="143" t="s">
        <v>309</v>
      </c>
      <c r="F149" s="143" t="s">
        <v>2104</v>
      </c>
      <c r="G149" s="143" t="s">
        <v>2105</v>
      </c>
      <c r="H149" s="143" t="s">
        <v>321</v>
      </c>
      <c r="I149" s="143" t="s">
        <v>917</v>
      </c>
      <c r="J149" s="143" t="s">
        <v>204</v>
      </c>
      <c r="K149" s="143" t="s">
        <v>204</v>
      </c>
      <c r="L149" s="143" t="s">
        <v>325</v>
      </c>
      <c r="M149" s="143" t="s">
        <v>340</v>
      </c>
      <c r="N149" s="143" t="s">
        <v>441</v>
      </c>
      <c r="O149" s="143" t="s">
        <v>339</v>
      </c>
      <c r="P149" s="143" t="s">
        <v>1210</v>
      </c>
      <c r="Q149" s="144">
        <v>185927.94</v>
      </c>
      <c r="R149" s="145" t="s">
        <v>3876</v>
      </c>
      <c r="S149" s="143" t="s">
        <v>2106</v>
      </c>
      <c r="T149" s="145" t="s">
        <v>3876</v>
      </c>
      <c r="U149" s="144">
        <v>49419.646500000003</v>
      </c>
      <c r="V149" s="146">
        <v>3.2992513386444068E-3</v>
      </c>
      <c r="W149" s="146">
        <v>1.0941853076279021E-2</v>
      </c>
      <c r="X149" s="147">
        <v>2.1899856124392367E-3</v>
      </c>
      <c r="Y149" s="183"/>
    </row>
    <row r="150" spans="1:25" ht="15" x14ac:dyDescent="0.2">
      <c r="A150" s="142" t="s">
        <v>1220</v>
      </c>
      <c r="B150" s="143" t="s">
        <v>1220</v>
      </c>
      <c r="C150" s="143" t="s">
        <v>2097</v>
      </c>
      <c r="D150" s="143" t="s">
        <v>2098</v>
      </c>
      <c r="E150" s="143" t="s">
        <v>313</v>
      </c>
      <c r="F150" s="143" t="s">
        <v>2099</v>
      </c>
      <c r="G150" s="143" t="s">
        <v>2100</v>
      </c>
      <c r="H150" s="143" t="s">
        <v>321</v>
      </c>
      <c r="I150" s="143" t="s">
        <v>917</v>
      </c>
      <c r="J150" s="143" t="s">
        <v>204</v>
      </c>
      <c r="K150" s="143" t="s">
        <v>204</v>
      </c>
      <c r="L150" s="143" t="s">
        <v>325</v>
      </c>
      <c r="M150" s="143" t="s">
        <v>340</v>
      </c>
      <c r="N150" s="143" t="s">
        <v>454</v>
      </c>
      <c r="O150" s="143" t="s">
        <v>339</v>
      </c>
      <c r="P150" s="143" t="s">
        <v>1210</v>
      </c>
      <c r="Q150" s="144">
        <v>1015741</v>
      </c>
      <c r="R150" s="145" t="s">
        <v>3876</v>
      </c>
      <c r="S150" s="143" t="s">
        <v>2101</v>
      </c>
      <c r="T150" s="144">
        <v>1145.4511</v>
      </c>
      <c r="U150" s="144">
        <v>48175.300799999997</v>
      </c>
      <c r="V150" s="146">
        <v>5.7050960172095192E-3</v>
      </c>
      <c r="W150" s="146">
        <v>1.0919957145074098E-2</v>
      </c>
      <c r="X150" s="147">
        <v>2.1856031943994899E-3</v>
      </c>
      <c r="Y150" s="183"/>
    </row>
    <row r="151" spans="1:25" ht="15" x14ac:dyDescent="0.2">
      <c r="A151" s="142" t="s">
        <v>1220</v>
      </c>
      <c r="B151" s="143" t="s">
        <v>1220</v>
      </c>
      <c r="C151" s="143" t="s">
        <v>1740</v>
      </c>
      <c r="D151" s="143" t="s">
        <v>1741</v>
      </c>
      <c r="E151" s="143" t="s">
        <v>309</v>
      </c>
      <c r="F151" s="143" t="s">
        <v>2107</v>
      </c>
      <c r="G151" s="143" t="s">
        <v>2108</v>
      </c>
      <c r="H151" s="143" t="s">
        <v>321</v>
      </c>
      <c r="I151" s="143" t="s">
        <v>917</v>
      </c>
      <c r="J151" s="143" t="s">
        <v>204</v>
      </c>
      <c r="K151" s="143" t="s">
        <v>204</v>
      </c>
      <c r="L151" s="143" t="s">
        <v>325</v>
      </c>
      <c r="M151" s="143" t="s">
        <v>340</v>
      </c>
      <c r="N151" s="143" t="s">
        <v>464</v>
      </c>
      <c r="O151" s="143" t="s">
        <v>339</v>
      </c>
      <c r="P151" s="143" t="s">
        <v>1210</v>
      </c>
      <c r="Q151" s="144">
        <v>127766</v>
      </c>
      <c r="R151" s="145" t="s">
        <v>3876</v>
      </c>
      <c r="S151" s="143" t="s">
        <v>2109</v>
      </c>
      <c r="T151" s="145" t="s">
        <v>3876</v>
      </c>
      <c r="U151" s="144">
        <v>45663.568399999996</v>
      </c>
      <c r="V151" s="146">
        <v>5.1934058549568075E-3</v>
      </c>
      <c r="W151" s="146">
        <v>1.0110231299544173E-2</v>
      </c>
      <c r="X151" s="147">
        <v>2.0235385112632245E-3</v>
      </c>
      <c r="Y151" s="183"/>
    </row>
    <row r="152" spans="1:25" ht="15" x14ac:dyDescent="0.2">
      <c r="A152" s="142" t="s">
        <v>1220</v>
      </c>
      <c r="B152" s="143" t="s">
        <v>1220</v>
      </c>
      <c r="C152" s="143" t="s">
        <v>1392</v>
      </c>
      <c r="D152" s="143" t="s">
        <v>1393</v>
      </c>
      <c r="E152" s="143" t="s">
        <v>309</v>
      </c>
      <c r="F152" s="143" t="s">
        <v>2141</v>
      </c>
      <c r="G152" s="143" t="s">
        <v>2142</v>
      </c>
      <c r="H152" s="143" t="s">
        <v>321</v>
      </c>
      <c r="I152" s="143" t="s">
        <v>917</v>
      </c>
      <c r="J152" s="143" t="s">
        <v>204</v>
      </c>
      <c r="K152" s="143" t="s">
        <v>204</v>
      </c>
      <c r="L152" s="143" t="s">
        <v>325</v>
      </c>
      <c r="M152" s="143" t="s">
        <v>340</v>
      </c>
      <c r="N152" s="143" t="s">
        <v>484</v>
      </c>
      <c r="O152" s="143" t="s">
        <v>339</v>
      </c>
      <c r="P152" s="143" t="s">
        <v>1210</v>
      </c>
      <c r="Q152" s="144">
        <v>10636868</v>
      </c>
      <c r="R152" s="145" t="s">
        <v>3876</v>
      </c>
      <c r="S152" s="143" t="s">
        <v>2143</v>
      </c>
      <c r="T152" s="145" t="s">
        <v>3876</v>
      </c>
      <c r="U152" s="144">
        <v>45057.772799999999</v>
      </c>
      <c r="V152" s="146">
        <v>3.844321238332902E-3</v>
      </c>
      <c r="W152" s="146">
        <v>9.9761039554587504E-3</v>
      </c>
      <c r="X152" s="147">
        <v>1.9966932454993694E-3</v>
      </c>
      <c r="Y152" s="183"/>
    </row>
    <row r="153" spans="1:25" ht="15" x14ac:dyDescent="0.2">
      <c r="A153" s="142" t="s">
        <v>1220</v>
      </c>
      <c r="B153" s="143" t="s">
        <v>1220</v>
      </c>
      <c r="C153" s="143" t="s">
        <v>1379</v>
      </c>
      <c r="D153" s="143" t="s">
        <v>1380</v>
      </c>
      <c r="E153" s="143" t="s">
        <v>309</v>
      </c>
      <c r="F153" s="143" t="s">
        <v>2110</v>
      </c>
      <c r="G153" s="143" t="s">
        <v>2111</v>
      </c>
      <c r="H153" s="143" t="s">
        <v>321</v>
      </c>
      <c r="I153" s="143" t="s">
        <v>917</v>
      </c>
      <c r="J153" s="143" t="s">
        <v>204</v>
      </c>
      <c r="K153" s="143" t="s">
        <v>204</v>
      </c>
      <c r="L153" s="143" t="s">
        <v>325</v>
      </c>
      <c r="M153" s="143" t="s">
        <v>340</v>
      </c>
      <c r="N153" s="143" t="s">
        <v>445</v>
      </c>
      <c r="O153" s="143" t="s">
        <v>339</v>
      </c>
      <c r="P153" s="143" t="s">
        <v>1210</v>
      </c>
      <c r="Q153" s="144">
        <v>832097</v>
      </c>
      <c r="R153" s="145" t="s">
        <v>3876</v>
      </c>
      <c r="S153" s="143" t="s">
        <v>2112</v>
      </c>
      <c r="T153" s="145" t="s">
        <v>3876</v>
      </c>
      <c r="U153" s="144">
        <v>44026.2523</v>
      </c>
      <c r="V153" s="146">
        <v>1.0522821326149377E-2</v>
      </c>
      <c r="W153" s="146">
        <v>9.747718132816394E-3</v>
      </c>
      <c r="X153" s="147">
        <v>1.9509823716478312E-3</v>
      </c>
      <c r="Y153" s="183"/>
    </row>
    <row r="154" spans="1:25" ht="15" x14ac:dyDescent="0.2">
      <c r="A154" s="142" t="s">
        <v>1220</v>
      </c>
      <c r="B154" s="143" t="s">
        <v>1220</v>
      </c>
      <c r="C154" s="143" t="s">
        <v>1717</v>
      </c>
      <c r="D154" s="143" t="s">
        <v>1718</v>
      </c>
      <c r="E154" s="143" t="s">
        <v>309</v>
      </c>
      <c r="F154" s="143" t="s">
        <v>2113</v>
      </c>
      <c r="G154" s="143" t="s">
        <v>2114</v>
      </c>
      <c r="H154" s="143" t="s">
        <v>321</v>
      </c>
      <c r="I154" s="143" t="s">
        <v>917</v>
      </c>
      <c r="J154" s="143" t="s">
        <v>204</v>
      </c>
      <c r="K154" s="143" t="s">
        <v>204</v>
      </c>
      <c r="L154" s="143" t="s">
        <v>325</v>
      </c>
      <c r="M154" s="143" t="s">
        <v>340</v>
      </c>
      <c r="N154" s="143" t="s">
        <v>464</v>
      </c>
      <c r="O154" s="143" t="s">
        <v>339</v>
      </c>
      <c r="P154" s="143" t="s">
        <v>1210</v>
      </c>
      <c r="Q154" s="144">
        <v>195983</v>
      </c>
      <c r="R154" s="145" t="s">
        <v>3876</v>
      </c>
      <c r="S154" s="143" t="s">
        <v>2115</v>
      </c>
      <c r="T154" s="145" t="s">
        <v>3876</v>
      </c>
      <c r="U154" s="144">
        <v>43116.26</v>
      </c>
      <c r="V154" s="146">
        <v>1.6160512880221412E-3</v>
      </c>
      <c r="W154" s="146">
        <v>9.5462395219048281E-3</v>
      </c>
      <c r="X154" s="147">
        <v>1.9106569115969068E-3</v>
      </c>
      <c r="Y154" s="183"/>
    </row>
    <row r="155" spans="1:25" ht="15" x14ac:dyDescent="0.2">
      <c r="A155" s="142" t="s">
        <v>1220</v>
      </c>
      <c r="B155" s="143" t="s">
        <v>1220</v>
      </c>
      <c r="C155" s="143" t="s">
        <v>1399</v>
      </c>
      <c r="D155" s="143" t="s">
        <v>1400</v>
      </c>
      <c r="E155" s="143" t="s">
        <v>309</v>
      </c>
      <c r="F155" s="143" t="s">
        <v>2119</v>
      </c>
      <c r="G155" s="143" t="s">
        <v>2120</v>
      </c>
      <c r="H155" s="143" t="s">
        <v>321</v>
      </c>
      <c r="I155" s="143" t="s">
        <v>917</v>
      </c>
      <c r="J155" s="143" t="s">
        <v>204</v>
      </c>
      <c r="K155" s="143" t="s">
        <v>204</v>
      </c>
      <c r="L155" s="143" t="s">
        <v>325</v>
      </c>
      <c r="M155" s="143" t="s">
        <v>340</v>
      </c>
      <c r="N155" s="143" t="s">
        <v>451</v>
      </c>
      <c r="O155" s="143" t="s">
        <v>339</v>
      </c>
      <c r="P155" s="143" t="s">
        <v>1210</v>
      </c>
      <c r="Q155" s="144">
        <v>31516</v>
      </c>
      <c r="R155" s="145" t="s">
        <v>3876</v>
      </c>
      <c r="S155" s="143" t="s">
        <v>2121</v>
      </c>
      <c r="T155" s="145" t="s">
        <v>3876</v>
      </c>
      <c r="U155" s="144">
        <v>40873.100399999996</v>
      </c>
      <c r="V155" s="146">
        <v>7.7665864280405412E-3</v>
      </c>
      <c r="W155" s="146">
        <v>9.049588401713507E-3</v>
      </c>
      <c r="X155" s="147">
        <v>1.8112533827761106E-3</v>
      </c>
      <c r="Y155" s="183"/>
    </row>
    <row r="156" spans="1:25" ht="15" x14ac:dyDescent="0.2">
      <c r="A156" s="142" t="s">
        <v>1220</v>
      </c>
      <c r="B156" s="143" t="s">
        <v>1220</v>
      </c>
      <c r="C156" s="143" t="s">
        <v>1858</v>
      </c>
      <c r="D156" s="143" t="s">
        <v>1859</v>
      </c>
      <c r="E156" s="143" t="s">
        <v>309</v>
      </c>
      <c r="F156" s="143" t="s">
        <v>2116</v>
      </c>
      <c r="G156" s="143" t="s">
        <v>2117</v>
      </c>
      <c r="H156" s="143" t="s">
        <v>321</v>
      </c>
      <c r="I156" s="143" t="s">
        <v>917</v>
      </c>
      <c r="J156" s="143" t="s">
        <v>204</v>
      </c>
      <c r="K156" s="143" t="s">
        <v>204</v>
      </c>
      <c r="L156" s="143" t="s">
        <v>325</v>
      </c>
      <c r="M156" s="143" t="s">
        <v>340</v>
      </c>
      <c r="N156" s="143" t="s">
        <v>463</v>
      </c>
      <c r="O156" s="143" t="s">
        <v>339</v>
      </c>
      <c r="P156" s="143" t="s">
        <v>1210</v>
      </c>
      <c r="Q156" s="144">
        <v>2117083</v>
      </c>
      <c r="R156" s="145" t="s">
        <v>3876</v>
      </c>
      <c r="S156" s="143" t="s">
        <v>2118</v>
      </c>
      <c r="T156" s="145" t="s">
        <v>3876</v>
      </c>
      <c r="U156" s="144">
        <v>40647.993600000002</v>
      </c>
      <c r="V156" s="146">
        <v>5.9238760067140935E-3</v>
      </c>
      <c r="W156" s="146">
        <v>8.9997481922238741E-3</v>
      </c>
      <c r="X156" s="147">
        <v>1.8012779845558691E-3</v>
      </c>
      <c r="Y156" s="183"/>
    </row>
    <row r="157" spans="1:25" ht="15" x14ac:dyDescent="0.2">
      <c r="A157" s="142" t="s">
        <v>1220</v>
      </c>
      <c r="B157" s="143" t="s">
        <v>1220</v>
      </c>
      <c r="C157" s="143" t="s">
        <v>2122</v>
      </c>
      <c r="D157" s="143" t="s">
        <v>2123</v>
      </c>
      <c r="E157" s="143" t="s">
        <v>309</v>
      </c>
      <c r="F157" s="143" t="s">
        <v>2124</v>
      </c>
      <c r="G157" s="143" t="s">
        <v>2125</v>
      </c>
      <c r="H157" s="143" t="s">
        <v>321</v>
      </c>
      <c r="I157" s="143" t="s">
        <v>917</v>
      </c>
      <c r="J157" s="143" t="s">
        <v>204</v>
      </c>
      <c r="K157" s="143" t="s">
        <v>204</v>
      </c>
      <c r="L157" s="143" t="s">
        <v>325</v>
      </c>
      <c r="M157" s="143" t="s">
        <v>340</v>
      </c>
      <c r="N157" s="143" t="s">
        <v>451</v>
      </c>
      <c r="O157" s="143" t="s">
        <v>339</v>
      </c>
      <c r="P157" s="143" t="s">
        <v>1210</v>
      </c>
      <c r="Q157" s="144">
        <v>7300731</v>
      </c>
      <c r="R157" s="145" t="s">
        <v>3876</v>
      </c>
      <c r="S157" s="143" t="s">
        <v>2126</v>
      </c>
      <c r="T157" s="145" t="s">
        <v>3876</v>
      </c>
      <c r="U157" s="144">
        <v>39234.128400000001</v>
      </c>
      <c r="V157" s="146">
        <v>3.9030095942996272E-2</v>
      </c>
      <c r="W157" s="146">
        <v>8.6867086125348349E-3</v>
      </c>
      <c r="X157" s="147">
        <v>1.7386238645577458E-3</v>
      </c>
      <c r="Y157" s="183"/>
    </row>
    <row r="158" spans="1:25" ht="15" x14ac:dyDescent="0.2">
      <c r="A158" s="142" t="s">
        <v>1220</v>
      </c>
      <c r="B158" s="143" t="s">
        <v>1220</v>
      </c>
      <c r="C158" s="143" t="s">
        <v>1626</v>
      </c>
      <c r="D158" s="143" t="s">
        <v>1627</v>
      </c>
      <c r="E158" s="143" t="s">
        <v>309</v>
      </c>
      <c r="F158" s="143" t="s">
        <v>2127</v>
      </c>
      <c r="G158" s="143" t="s">
        <v>2128</v>
      </c>
      <c r="H158" s="143" t="s">
        <v>321</v>
      </c>
      <c r="I158" s="143" t="s">
        <v>917</v>
      </c>
      <c r="J158" s="143" t="s">
        <v>204</v>
      </c>
      <c r="K158" s="143" t="s">
        <v>204</v>
      </c>
      <c r="L158" s="143" t="s">
        <v>325</v>
      </c>
      <c r="M158" s="143" t="s">
        <v>340</v>
      </c>
      <c r="N158" s="143" t="s">
        <v>445</v>
      </c>
      <c r="O158" s="143" t="s">
        <v>339</v>
      </c>
      <c r="P158" s="143" t="s">
        <v>1210</v>
      </c>
      <c r="Q158" s="144">
        <v>1088416</v>
      </c>
      <c r="R158" s="145" t="s">
        <v>3876</v>
      </c>
      <c r="S158" s="143" t="s">
        <v>2129</v>
      </c>
      <c r="T158" s="145" t="s">
        <v>3876</v>
      </c>
      <c r="U158" s="144">
        <v>37212.942999999999</v>
      </c>
      <c r="V158" s="146">
        <v>4.1713189308847523E-3</v>
      </c>
      <c r="W158" s="146">
        <v>8.2392041326135711E-3</v>
      </c>
      <c r="X158" s="147">
        <v>1.6490569177437472E-3</v>
      </c>
      <c r="Y158" s="183"/>
    </row>
    <row r="159" spans="1:25" ht="15" x14ac:dyDescent="0.2">
      <c r="A159" s="142" t="s">
        <v>1220</v>
      </c>
      <c r="B159" s="143" t="s">
        <v>1220</v>
      </c>
      <c r="C159" s="143" t="s">
        <v>1770</v>
      </c>
      <c r="D159" s="143" t="s">
        <v>1771</v>
      </c>
      <c r="E159" s="143" t="s">
        <v>309</v>
      </c>
      <c r="F159" s="143" t="s">
        <v>2138</v>
      </c>
      <c r="G159" s="143" t="s">
        <v>2139</v>
      </c>
      <c r="H159" s="143" t="s">
        <v>321</v>
      </c>
      <c r="I159" s="143" t="s">
        <v>917</v>
      </c>
      <c r="J159" s="143" t="s">
        <v>204</v>
      </c>
      <c r="K159" s="143" t="s">
        <v>204</v>
      </c>
      <c r="L159" s="143" t="s">
        <v>325</v>
      </c>
      <c r="M159" s="143" t="s">
        <v>340</v>
      </c>
      <c r="N159" s="143" t="s">
        <v>445</v>
      </c>
      <c r="O159" s="143" t="s">
        <v>339</v>
      </c>
      <c r="P159" s="143" t="s">
        <v>1210</v>
      </c>
      <c r="Q159" s="144">
        <v>1147845</v>
      </c>
      <c r="R159" s="145" t="s">
        <v>3876</v>
      </c>
      <c r="S159" s="143" t="s">
        <v>2140</v>
      </c>
      <c r="T159" s="145" t="s">
        <v>3876</v>
      </c>
      <c r="U159" s="144">
        <v>34400.914700000001</v>
      </c>
      <c r="V159" s="146">
        <v>5.1504020649260395E-3</v>
      </c>
      <c r="W159" s="146">
        <v>7.6166015099988918E-3</v>
      </c>
      <c r="X159" s="147">
        <v>1.5244444982305467E-3</v>
      </c>
      <c r="Y159" s="183"/>
    </row>
    <row r="160" spans="1:25" ht="15" x14ac:dyDescent="0.2">
      <c r="A160" s="142" t="s">
        <v>1220</v>
      </c>
      <c r="B160" s="143" t="s">
        <v>1220</v>
      </c>
      <c r="C160" s="143" t="s">
        <v>2130</v>
      </c>
      <c r="D160" s="143" t="s">
        <v>2131</v>
      </c>
      <c r="E160" s="143" t="s">
        <v>309</v>
      </c>
      <c r="F160" s="143" t="s">
        <v>2132</v>
      </c>
      <c r="G160" s="143" t="s">
        <v>2133</v>
      </c>
      <c r="H160" s="143" t="s">
        <v>321</v>
      </c>
      <c r="I160" s="143" t="s">
        <v>917</v>
      </c>
      <c r="J160" s="143" t="s">
        <v>204</v>
      </c>
      <c r="K160" s="143" t="s">
        <v>204</v>
      </c>
      <c r="L160" s="143" t="s">
        <v>325</v>
      </c>
      <c r="M160" s="143" t="s">
        <v>340</v>
      </c>
      <c r="N160" s="143" t="s">
        <v>456</v>
      </c>
      <c r="O160" s="143" t="s">
        <v>339</v>
      </c>
      <c r="P160" s="143" t="s">
        <v>1210</v>
      </c>
      <c r="Q160" s="144">
        <v>2120115</v>
      </c>
      <c r="R160" s="145" t="s">
        <v>3876</v>
      </c>
      <c r="S160" s="143" t="s">
        <v>2134</v>
      </c>
      <c r="T160" s="145" t="s">
        <v>3876</v>
      </c>
      <c r="U160" s="144">
        <v>34176.253799999999</v>
      </c>
      <c r="V160" s="146">
        <v>1.6128407328450569E-3</v>
      </c>
      <c r="W160" s="146">
        <v>7.5668600369375744E-3</v>
      </c>
      <c r="X160" s="147">
        <v>1.5144888618692821E-3</v>
      </c>
      <c r="Y160" s="183"/>
    </row>
    <row r="161" spans="1:25" ht="15" x14ac:dyDescent="0.2">
      <c r="A161" s="142" t="s">
        <v>1220</v>
      </c>
      <c r="B161" s="143" t="s">
        <v>1220</v>
      </c>
      <c r="C161" s="143" t="s">
        <v>1724</v>
      </c>
      <c r="D161" s="143" t="s">
        <v>1725</v>
      </c>
      <c r="E161" s="143" t="s">
        <v>309</v>
      </c>
      <c r="F161" s="143" t="s">
        <v>2149</v>
      </c>
      <c r="G161" s="143" t="s">
        <v>2150</v>
      </c>
      <c r="H161" s="143" t="s">
        <v>321</v>
      </c>
      <c r="I161" s="143" t="s">
        <v>917</v>
      </c>
      <c r="J161" s="143" t="s">
        <v>204</v>
      </c>
      <c r="K161" s="143" t="s">
        <v>204</v>
      </c>
      <c r="L161" s="143" t="s">
        <v>325</v>
      </c>
      <c r="M161" s="143" t="s">
        <v>340</v>
      </c>
      <c r="N161" s="143" t="s">
        <v>464</v>
      </c>
      <c r="O161" s="143" t="s">
        <v>339</v>
      </c>
      <c r="P161" s="143" t="s">
        <v>1210</v>
      </c>
      <c r="Q161" s="144">
        <v>1177251</v>
      </c>
      <c r="R161" s="145" t="s">
        <v>3876</v>
      </c>
      <c r="S161" s="143" t="s">
        <v>2151</v>
      </c>
      <c r="T161" s="145" t="s">
        <v>3876</v>
      </c>
      <c r="U161" s="144">
        <v>33398.6109</v>
      </c>
      <c r="V161" s="146">
        <v>2.8967994926538974E-2</v>
      </c>
      <c r="W161" s="146">
        <v>7.3946844894226494E-3</v>
      </c>
      <c r="X161" s="147">
        <v>1.4800283395753964E-3</v>
      </c>
      <c r="Y161" s="183"/>
    </row>
    <row r="162" spans="1:25" ht="15" x14ac:dyDescent="0.2">
      <c r="A162" s="142" t="s">
        <v>1220</v>
      </c>
      <c r="B162" s="143" t="s">
        <v>1220</v>
      </c>
      <c r="C162" s="143" t="s">
        <v>2144</v>
      </c>
      <c r="D162" s="143" t="s">
        <v>2145</v>
      </c>
      <c r="E162" s="143" t="s">
        <v>309</v>
      </c>
      <c r="F162" s="143" t="s">
        <v>2146</v>
      </c>
      <c r="G162" s="143" t="s">
        <v>2147</v>
      </c>
      <c r="H162" s="143" t="s">
        <v>321</v>
      </c>
      <c r="I162" s="143" t="s">
        <v>917</v>
      </c>
      <c r="J162" s="143" t="s">
        <v>204</v>
      </c>
      <c r="K162" s="143" t="s">
        <v>204</v>
      </c>
      <c r="L162" s="143" t="s">
        <v>325</v>
      </c>
      <c r="M162" s="143" t="s">
        <v>340</v>
      </c>
      <c r="N162" s="143" t="s">
        <v>463</v>
      </c>
      <c r="O162" s="143" t="s">
        <v>339</v>
      </c>
      <c r="P162" s="143" t="s">
        <v>1210</v>
      </c>
      <c r="Q162" s="144">
        <v>6712850</v>
      </c>
      <c r="R162" s="145" t="s">
        <v>3876</v>
      </c>
      <c r="S162" s="143" t="s">
        <v>2148</v>
      </c>
      <c r="T162" s="145" t="s">
        <v>3876</v>
      </c>
      <c r="U162" s="144">
        <v>32778.846600000004</v>
      </c>
      <c r="V162" s="146">
        <v>2.3348231365865536E-2</v>
      </c>
      <c r="W162" s="146">
        <v>7.2574643630515202E-3</v>
      </c>
      <c r="X162" s="147">
        <v>1.4525640608654816E-3</v>
      </c>
      <c r="Y162" s="183"/>
    </row>
    <row r="163" spans="1:25" ht="15" x14ac:dyDescent="0.2">
      <c r="A163" s="142" t="s">
        <v>1220</v>
      </c>
      <c r="B163" s="143" t="s">
        <v>1220</v>
      </c>
      <c r="C163" s="143" t="s">
        <v>1689</v>
      </c>
      <c r="D163" s="143" t="s">
        <v>1690</v>
      </c>
      <c r="E163" s="143" t="s">
        <v>309</v>
      </c>
      <c r="F163" s="143" t="s">
        <v>2152</v>
      </c>
      <c r="G163" s="143" t="s">
        <v>2153</v>
      </c>
      <c r="H163" s="143" t="s">
        <v>321</v>
      </c>
      <c r="I163" s="143" t="s">
        <v>917</v>
      </c>
      <c r="J163" s="143" t="s">
        <v>204</v>
      </c>
      <c r="K163" s="143" t="s">
        <v>204</v>
      </c>
      <c r="L163" s="143" t="s">
        <v>325</v>
      </c>
      <c r="M163" s="143" t="s">
        <v>340</v>
      </c>
      <c r="N163" s="143" t="s">
        <v>451</v>
      </c>
      <c r="O163" s="143" t="s">
        <v>339</v>
      </c>
      <c r="P163" s="143" t="s">
        <v>1210</v>
      </c>
      <c r="Q163" s="144">
        <v>37673</v>
      </c>
      <c r="R163" s="145" t="s">
        <v>3876</v>
      </c>
      <c r="S163" s="143" t="s">
        <v>2154</v>
      </c>
      <c r="T163" s="145" t="s">
        <v>3876</v>
      </c>
      <c r="U163" s="144">
        <v>31547.370199999998</v>
      </c>
      <c r="V163" s="146">
        <v>4.8910792624107585E-3</v>
      </c>
      <c r="W163" s="146">
        <v>6.9848069432599819E-3</v>
      </c>
      <c r="X163" s="147">
        <v>1.3979923331786266E-3</v>
      </c>
      <c r="Y163" s="183"/>
    </row>
    <row r="164" spans="1:25" ht="15" x14ac:dyDescent="0.2">
      <c r="A164" s="142" t="s">
        <v>1220</v>
      </c>
      <c r="B164" s="143" t="s">
        <v>1220</v>
      </c>
      <c r="C164" s="143" t="s">
        <v>2155</v>
      </c>
      <c r="D164" s="143" t="s">
        <v>2156</v>
      </c>
      <c r="E164" s="143" t="s">
        <v>309</v>
      </c>
      <c r="F164" s="143" t="s">
        <v>2157</v>
      </c>
      <c r="G164" s="143" t="s">
        <v>2158</v>
      </c>
      <c r="H164" s="143" t="s">
        <v>321</v>
      </c>
      <c r="I164" s="143" t="s">
        <v>917</v>
      </c>
      <c r="J164" s="143" t="s">
        <v>204</v>
      </c>
      <c r="K164" s="143" t="s">
        <v>204</v>
      </c>
      <c r="L164" s="143" t="s">
        <v>325</v>
      </c>
      <c r="M164" s="143" t="s">
        <v>340</v>
      </c>
      <c r="N164" s="143" t="s">
        <v>458</v>
      </c>
      <c r="O164" s="143" t="s">
        <v>339</v>
      </c>
      <c r="P164" s="143" t="s">
        <v>1210</v>
      </c>
      <c r="Q164" s="144">
        <v>32878</v>
      </c>
      <c r="R164" s="145" t="s">
        <v>3876</v>
      </c>
      <c r="S164" s="143" t="s">
        <v>2159</v>
      </c>
      <c r="T164" s="145" t="s">
        <v>3876</v>
      </c>
      <c r="U164" s="144">
        <v>28866.883999999998</v>
      </c>
      <c r="V164" s="146">
        <v>1.1319824463188019E-3</v>
      </c>
      <c r="W164" s="146">
        <v>6.3913286754241237E-3</v>
      </c>
      <c r="X164" s="147">
        <v>1.2792090833218411E-3</v>
      </c>
      <c r="Y164" s="183"/>
    </row>
    <row r="165" spans="1:25" ht="15" x14ac:dyDescent="0.2">
      <c r="A165" s="142" t="s">
        <v>1220</v>
      </c>
      <c r="B165" s="143" t="s">
        <v>1220</v>
      </c>
      <c r="C165" s="143" t="s">
        <v>1554</v>
      </c>
      <c r="D165" s="143" t="s">
        <v>1555</v>
      </c>
      <c r="E165" s="143" t="s">
        <v>309</v>
      </c>
      <c r="F165" s="143" t="s">
        <v>2135</v>
      </c>
      <c r="G165" s="143" t="s">
        <v>2136</v>
      </c>
      <c r="H165" s="143" t="s">
        <v>321</v>
      </c>
      <c r="I165" s="143" t="s">
        <v>917</v>
      </c>
      <c r="J165" s="143" t="s">
        <v>204</v>
      </c>
      <c r="K165" s="143" t="s">
        <v>204</v>
      </c>
      <c r="L165" s="143" t="s">
        <v>325</v>
      </c>
      <c r="M165" s="143" t="s">
        <v>340</v>
      </c>
      <c r="N165" s="143" t="s">
        <v>464</v>
      </c>
      <c r="O165" s="143" t="s">
        <v>339</v>
      </c>
      <c r="P165" s="143" t="s">
        <v>1210</v>
      </c>
      <c r="Q165" s="144">
        <v>522615.24</v>
      </c>
      <c r="R165" s="145" t="s">
        <v>3876</v>
      </c>
      <c r="S165" s="143" t="s">
        <v>2137</v>
      </c>
      <c r="T165" s="145" t="s">
        <v>3876</v>
      </c>
      <c r="U165" s="144">
        <v>27787.452300000001</v>
      </c>
      <c r="V165" s="146">
        <v>3.9739657023607324E-3</v>
      </c>
      <c r="W165" s="146">
        <v>6.1523349998910994E-3</v>
      </c>
      <c r="X165" s="147">
        <v>1.2313750731927924E-3</v>
      </c>
      <c r="Y165" s="183"/>
    </row>
    <row r="166" spans="1:25" ht="15" x14ac:dyDescent="0.2">
      <c r="A166" s="142" t="s">
        <v>1220</v>
      </c>
      <c r="B166" s="143" t="s">
        <v>1220</v>
      </c>
      <c r="C166" s="143" t="s">
        <v>2160</v>
      </c>
      <c r="D166" s="143" t="s">
        <v>2161</v>
      </c>
      <c r="E166" s="143" t="s">
        <v>309</v>
      </c>
      <c r="F166" s="143" t="s">
        <v>2162</v>
      </c>
      <c r="G166" s="143" t="s">
        <v>2163</v>
      </c>
      <c r="H166" s="143" t="s">
        <v>321</v>
      </c>
      <c r="I166" s="143" t="s">
        <v>917</v>
      </c>
      <c r="J166" s="143" t="s">
        <v>204</v>
      </c>
      <c r="K166" s="143" t="s">
        <v>204</v>
      </c>
      <c r="L166" s="143" t="s">
        <v>325</v>
      </c>
      <c r="M166" s="143" t="s">
        <v>340</v>
      </c>
      <c r="N166" s="143" t="s">
        <v>439</v>
      </c>
      <c r="O166" s="143" t="s">
        <v>339</v>
      </c>
      <c r="P166" s="143" t="s">
        <v>1210</v>
      </c>
      <c r="Q166" s="144">
        <v>515807</v>
      </c>
      <c r="R166" s="145" t="s">
        <v>3876</v>
      </c>
      <c r="S166" s="143" t="s">
        <v>2164</v>
      </c>
      <c r="T166" s="145" t="s">
        <v>3876</v>
      </c>
      <c r="U166" s="144">
        <v>27688.519800000002</v>
      </c>
      <c r="V166" s="146">
        <v>6.4482662606272596E-3</v>
      </c>
      <c r="W166" s="146">
        <v>6.1304306457924413E-3</v>
      </c>
      <c r="X166" s="147">
        <v>1.2269909693310953E-3</v>
      </c>
      <c r="Y166" s="183"/>
    </row>
    <row r="167" spans="1:25" ht="15" x14ac:dyDescent="0.2">
      <c r="A167" s="142" t="s">
        <v>1220</v>
      </c>
      <c r="B167" s="143" t="s">
        <v>1220</v>
      </c>
      <c r="C167" s="143" t="s">
        <v>1640</v>
      </c>
      <c r="D167" s="143" t="s">
        <v>1641</v>
      </c>
      <c r="E167" s="143" t="s">
        <v>309</v>
      </c>
      <c r="F167" s="143" t="s">
        <v>2165</v>
      </c>
      <c r="G167" s="143" t="s">
        <v>2166</v>
      </c>
      <c r="H167" s="143" t="s">
        <v>321</v>
      </c>
      <c r="I167" s="143" t="s">
        <v>917</v>
      </c>
      <c r="J167" s="143" t="s">
        <v>204</v>
      </c>
      <c r="K167" s="143" t="s">
        <v>204</v>
      </c>
      <c r="L167" s="143" t="s">
        <v>325</v>
      </c>
      <c r="M167" s="143" t="s">
        <v>340</v>
      </c>
      <c r="N167" s="143" t="s">
        <v>464</v>
      </c>
      <c r="O167" s="143" t="s">
        <v>339</v>
      </c>
      <c r="P167" s="143" t="s">
        <v>1210</v>
      </c>
      <c r="Q167" s="144">
        <v>3911379</v>
      </c>
      <c r="R167" s="145" t="s">
        <v>3876</v>
      </c>
      <c r="S167" s="143" t="s">
        <v>2167</v>
      </c>
      <c r="T167" s="145" t="s">
        <v>3876</v>
      </c>
      <c r="U167" s="144">
        <v>25889.417600000001</v>
      </c>
      <c r="V167" s="146">
        <v>1.7592202250693151E-2</v>
      </c>
      <c r="W167" s="146">
        <v>5.7320969282067761E-3</v>
      </c>
      <c r="X167" s="147">
        <v>1.1472654324973749E-3</v>
      </c>
      <c r="Y167" s="183"/>
    </row>
    <row r="168" spans="1:25" ht="15" x14ac:dyDescent="0.2">
      <c r="A168" s="142" t="s">
        <v>1220</v>
      </c>
      <c r="B168" s="143" t="s">
        <v>1220</v>
      </c>
      <c r="C168" s="143" t="s">
        <v>1601</v>
      </c>
      <c r="D168" s="143" t="s">
        <v>1602</v>
      </c>
      <c r="E168" s="143" t="s">
        <v>309</v>
      </c>
      <c r="F168" s="143" t="s">
        <v>2173</v>
      </c>
      <c r="G168" s="143" t="s">
        <v>2174</v>
      </c>
      <c r="H168" s="143" t="s">
        <v>321</v>
      </c>
      <c r="I168" s="143" t="s">
        <v>917</v>
      </c>
      <c r="J168" s="143" t="s">
        <v>204</v>
      </c>
      <c r="K168" s="143" t="s">
        <v>204</v>
      </c>
      <c r="L168" s="143" t="s">
        <v>325</v>
      </c>
      <c r="M168" s="143" t="s">
        <v>340</v>
      </c>
      <c r="N168" s="143" t="s">
        <v>484</v>
      </c>
      <c r="O168" s="143" t="s">
        <v>339</v>
      </c>
      <c r="P168" s="143" t="s">
        <v>1210</v>
      </c>
      <c r="Q168" s="144">
        <v>1823923</v>
      </c>
      <c r="R168" s="145" t="s">
        <v>3876</v>
      </c>
      <c r="S168" s="143" t="s">
        <v>2175</v>
      </c>
      <c r="T168" s="145" t="s">
        <v>3876</v>
      </c>
      <c r="U168" s="144">
        <v>24075.783600000002</v>
      </c>
      <c r="V168" s="146">
        <v>1.1006281044084206E-2</v>
      </c>
      <c r="W168" s="146">
        <v>5.3305457598397474E-3</v>
      </c>
      <c r="X168" s="147">
        <v>1.0668959306176246E-3</v>
      </c>
      <c r="Y168" s="183"/>
    </row>
    <row r="169" spans="1:25" ht="15" x14ac:dyDescent="0.2">
      <c r="A169" s="142" t="s">
        <v>1220</v>
      </c>
      <c r="B169" s="143" t="s">
        <v>1220</v>
      </c>
      <c r="C169" s="143" t="s">
        <v>2168</v>
      </c>
      <c r="D169" s="143" t="s">
        <v>2169</v>
      </c>
      <c r="E169" s="143" t="s">
        <v>309</v>
      </c>
      <c r="F169" s="143" t="s">
        <v>2170</v>
      </c>
      <c r="G169" s="143" t="s">
        <v>2171</v>
      </c>
      <c r="H169" s="143" t="s">
        <v>321</v>
      </c>
      <c r="I169" s="143" t="s">
        <v>917</v>
      </c>
      <c r="J169" s="143" t="s">
        <v>204</v>
      </c>
      <c r="K169" s="143" t="s">
        <v>204</v>
      </c>
      <c r="L169" s="143" t="s">
        <v>325</v>
      </c>
      <c r="M169" s="143" t="s">
        <v>340</v>
      </c>
      <c r="N169" s="143" t="s">
        <v>446</v>
      </c>
      <c r="O169" s="143" t="s">
        <v>339</v>
      </c>
      <c r="P169" s="143" t="s">
        <v>1210</v>
      </c>
      <c r="Q169" s="144">
        <v>35894</v>
      </c>
      <c r="R169" s="145" t="s">
        <v>3876</v>
      </c>
      <c r="S169" s="143" t="s">
        <v>2172</v>
      </c>
      <c r="T169" s="144">
        <v>67.462800000000001</v>
      </c>
      <c r="U169" s="144">
        <v>23904.6682</v>
      </c>
      <c r="V169" s="146">
        <v>8.0702770173061956E-4</v>
      </c>
      <c r="W169" s="146">
        <v>5.3075963407704088E-3</v>
      </c>
      <c r="X169" s="147">
        <v>1.0623026595121437E-3</v>
      </c>
      <c r="Y169" s="183"/>
    </row>
    <row r="170" spans="1:25" ht="15" x14ac:dyDescent="0.2">
      <c r="A170" s="142" t="s">
        <v>1220</v>
      </c>
      <c r="B170" s="143" t="s">
        <v>1220</v>
      </c>
      <c r="C170" s="143" t="s">
        <v>2176</v>
      </c>
      <c r="D170" s="143" t="s">
        <v>2177</v>
      </c>
      <c r="E170" s="143" t="s">
        <v>309</v>
      </c>
      <c r="F170" s="143" t="s">
        <v>2178</v>
      </c>
      <c r="G170" s="143" t="s">
        <v>2179</v>
      </c>
      <c r="H170" s="143" t="s">
        <v>321</v>
      </c>
      <c r="I170" s="143" t="s">
        <v>917</v>
      </c>
      <c r="J170" s="143" t="s">
        <v>204</v>
      </c>
      <c r="K170" s="143" t="s">
        <v>204</v>
      </c>
      <c r="L170" s="143" t="s">
        <v>325</v>
      </c>
      <c r="M170" s="143" t="s">
        <v>340</v>
      </c>
      <c r="N170" s="143" t="s">
        <v>454</v>
      </c>
      <c r="O170" s="143" t="s">
        <v>339</v>
      </c>
      <c r="P170" s="143" t="s">
        <v>1210</v>
      </c>
      <c r="Q170" s="144">
        <v>1582534</v>
      </c>
      <c r="R170" s="145" t="s">
        <v>3876</v>
      </c>
      <c r="S170" s="143" t="s">
        <v>2180</v>
      </c>
      <c r="T170" s="145" t="s">
        <v>3876</v>
      </c>
      <c r="U170" s="144">
        <v>22503.6335</v>
      </c>
      <c r="V170" s="146">
        <v>7.9122743862806863E-2</v>
      </c>
      <c r="W170" s="146">
        <v>4.9824608004784433E-3</v>
      </c>
      <c r="X170" s="147">
        <v>9.9722756205212495E-4</v>
      </c>
      <c r="Y170" s="183"/>
    </row>
    <row r="171" spans="1:25" ht="15" x14ac:dyDescent="0.2">
      <c r="A171" s="142" t="s">
        <v>1220</v>
      </c>
      <c r="B171" s="143" t="s">
        <v>1220</v>
      </c>
      <c r="C171" s="143" t="s">
        <v>1385</v>
      </c>
      <c r="D171" s="143" t="s">
        <v>1386</v>
      </c>
      <c r="E171" s="143" t="s">
        <v>309</v>
      </c>
      <c r="F171" s="143" t="s">
        <v>2203</v>
      </c>
      <c r="G171" s="143" t="s">
        <v>2204</v>
      </c>
      <c r="H171" s="143" t="s">
        <v>321</v>
      </c>
      <c r="I171" s="143" t="s">
        <v>917</v>
      </c>
      <c r="J171" s="143" t="s">
        <v>204</v>
      </c>
      <c r="K171" s="143" t="s">
        <v>204</v>
      </c>
      <c r="L171" s="143" t="s">
        <v>325</v>
      </c>
      <c r="M171" s="143" t="s">
        <v>340</v>
      </c>
      <c r="N171" s="143" t="s">
        <v>440</v>
      </c>
      <c r="O171" s="143" t="s">
        <v>339</v>
      </c>
      <c r="P171" s="143" t="s">
        <v>1210</v>
      </c>
      <c r="Q171" s="144">
        <v>780173</v>
      </c>
      <c r="R171" s="145" t="s">
        <v>3876</v>
      </c>
      <c r="S171" s="143" t="s">
        <v>2205</v>
      </c>
      <c r="T171" s="145" t="s">
        <v>3876</v>
      </c>
      <c r="U171" s="144">
        <v>20541.955100000003</v>
      </c>
      <c r="V171" s="146">
        <v>3.4760174874057283E-3</v>
      </c>
      <c r="W171" s="146">
        <v>4.5481315758220233E-3</v>
      </c>
      <c r="X171" s="147">
        <v>9.1029761093429167E-4</v>
      </c>
      <c r="Y171" s="183"/>
    </row>
    <row r="172" spans="1:25" ht="15" x14ac:dyDescent="0.2">
      <c r="A172" s="142" t="s">
        <v>1220</v>
      </c>
      <c r="B172" s="143" t="s">
        <v>1220</v>
      </c>
      <c r="C172" s="143" t="s">
        <v>1428</v>
      </c>
      <c r="D172" s="143" t="s">
        <v>1429</v>
      </c>
      <c r="E172" s="143" t="s">
        <v>309</v>
      </c>
      <c r="F172" s="143" t="s">
        <v>2181</v>
      </c>
      <c r="G172" s="143" t="s">
        <v>2182</v>
      </c>
      <c r="H172" s="143" t="s">
        <v>321</v>
      </c>
      <c r="I172" s="143" t="s">
        <v>917</v>
      </c>
      <c r="J172" s="143" t="s">
        <v>204</v>
      </c>
      <c r="K172" s="143" t="s">
        <v>204</v>
      </c>
      <c r="L172" s="143" t="s">
        <v>325</v>
      </c>
      <c r="M172" s="143" t="s">
        <v>340</v>
      </c>
      <c r="N172" s="143" t="s">
        <v>445</v>
      </c>
      <c r="O172" s="143" t="s">
        <v>339</v>
      </c>
      <c r="P172" s="143" t="s">
        <v>1210</v>
      </c>
      <c r="Q172" s="144">
        <v>228518</v>
      </c>
      <c r="R172" s="145" t="s">
        <v>3876</v>
      </c>
      <c r="S172" s="143" t="s">
        <v>2183</v>
      </c>
      <c r="T172" s="145" t="s">
        <v>3876</v>
      </c>
      <c r="U172" s="144">
        <v>20475.212800000001</v>
      </c>
      <c r="V172" s="146">
        <v>3.6116805096402067E-3</v>
      </c>
      <c r="W172" s="146">
        <v>4.533354369112062E-3</v>
      </c>
      <c r="X172" s="147">
        <v>9.0733998850404593E-4</v>
      </c>
      <c r="Y172" s="183"/>
    </row>
    <row r="173" spans="1:25" ht="15" x14ac:dyDescent="0.2">
      <c r="A173" s="142" t="s">
        <v>1220</v>
      </c>
      <c r="B173" s="143" t="s">
        <v>1220</v>
      </c>
      <c r="C173" s="143" t="s">
        <v>2187</v>
      </c>
      <c r="D173" s="143" t="s">
        <v>2188</v>
      </c>
      <c r="E173" s="143" t="s">
        <v>309</v>
      </c>
      <c r="F173" s="143" t="s">
        <v>2189</v>
      </c>
      <c r="G173" s="143" t="s">
        <v>2190</v>
      </c>
      <c r="H173" s="143" t="s">
        <v>321</v>
      </c>
      <c r="I173" s="143" t="s">
        <v>917</v>
      </c>
      <c r="J173" s="143" t="s">
        <v>204</v>
      </c>
      <c r="K173" s="143" t="s">
        <v>204</v>
      </c>
      <c r="L173" s="143" t="s">
        <v>325</v>
      </c>
      <c r="M173" s="143" t="s">
        <v>340</v>
      </c>
      <c r="N173" s="143" t="s">
        <v>475</v>
      </c>
      <c r="O173" s="143" t="s">
        <v>339</v>
      </c>
      <c r="P173" s="143" t="s">
        <v>1210</v>
      </c>
      <c r="Q173" s="144">
        <v>112998</v>
      </c>
      <c r="R173" s="145" t="s">
        <v>3876</v>
      </c>
      <c r="S173" s="143" t="s">
        <v>2191</v>
      </c>
      <c r="T173" s="145" t="s">
        <v>3876</v>
      </c>
      <c r="U173" s="144">
        <v>20328.340199999999</v>
      </c>
      <c r="V173" s="146">
        <v>7.7930939689281773E-3</v>
      </c>
      <c r="W173" s="146">
        <v>4.5008357550484828E-3</v>
      </c>
      <c r="X173" s="147">
        <v>9.0083146600431602E-4</v>
      </c>
      <c r="Y173" s="183"/>
    </row>
    <row r="174" spans="1:25" ht="15" x14ac:dyDescent="0.2">
      <c r="A174" s="142" t="s">
        <v>1220</v>
      </c>
      <c r="B174" s="143" t="s">
        <v>1220</v>
      </c>
      <c r="C174" s="143" t="s">
        <v>1870</v>
      </c>
      <c r="D174" s="143" t="s">
        <v>1871</v>
      </c>
      <c r="E174" s="143" t="s">
        <v>309</v>
      </c>
      <c r="F174" s="143" t="s">
        <v>2200</v>
      </c>
      <c r="G174" s="143" t="s">
        <v>2201</v>
      </c>
      <c r="H174" s="143" t="s">
        <v>321</v>
      </c>
      <c r="I174" s="143" t="s">
        <v>917</v>
      </c>
      <c r="J174" s="143" t="s">
        <v>204</v>
      </c>
      <c r="K174" s="143" t="s">
        <v>204</v>
      </c>
      <c r="L174" s="143" t="s">
        <v>325</v>
      </c>
      <c r="M174" s="143" t="s">
        <v>340</v>
      </c>
      <c r="N174" s="143" t="s">
        <v>484</v>
      </c>
      <c r="O174" s="143" t="s">
        <v>339</v>
      </c>
      <c r="P174" s="143" t="s">
        <v>1210</v>
      </c>
      <c r="Q174" s="144">
        <v>1294890</v>
      </c>
      <c r="R174" s="145" t="s">
        <v>3876</v>
      </c>
      <c r="S174" s="143" t="s">
        <v>2202</v>
      </c>
      <c r="T174" s="145" t="s">
        <v>3876</v>
      </c>
      <c r="U174" s="144">
        <v>19876.5615</v>
      </c>
      <c r="V174" s="146">
        <v>6.7752649548542491E-3</v>
      </c>
      <c r="W174" s="146">
        <v>4.4008088120554038E-3</v>
      </c>
      <c r="X174" s="147">
        <v>8.8081131361477044E-4</v>
      </c>
      <c r="Y174" s="183"/>
    </row>
    <row r="175" spans="1:25" ht="15" x14ac:dyDescent="0.2">
      <c r="A175" s="142" t="s">
        <v>1220</v>
      </c>
      <c r="B175" s="143" t="s">
        <v>1220</v>
      </c>
      <c r="C175" s="143" t="s">
        <v>1853</v>
      </c>
      <c r="D175" s="143" t="s">
        <v>1854</v>
      </c>
      <c r="E175" s="143" t="s">
        <v>309</v>
      </c>
      <c r="F175" s="143" t="s">
        <v>2222</v>
      </c>
      <c r="G175" s="143" t="s">
        <v>2223</v>
      </c>
      <c r="H175" s="143" t="s">
        <v>321</v>
      </c>
      <c r="I175" s="143" t="s">
        <v>917</v>
      </c>
      <c r="J175" s="143" t="s">
        <v>204</v>
      </c>
      <c r="K175" s="143" t="s">
        <v>204</v>
      </c>
      <c r="L175" s="143" t="s">
        <v>325</v>
      </c>
      <c r="M175" s="143" t="s">
        <v>340</v>
      </c>
      <c r="N175" s="143" t="s">
        <v>464</v>
      </c>
      <c r="O175" s="143" t="s">
        <v>339</v>
      </c>
      <c r="P175" s="143" t="s">
        <v>1210</v>
      </c>
      <c r="Q175" s="144">
        <v>2243130.79</v>
      </c>
      <c r="R175" s="145" t="s">
        <v>3876</v>
      </c>
      <c r="S175" s="143" t="s">
        <v>2224</v>
      </c>
      <c r="T175" s="145" t="s">
        <v>3876</v>
      </c>
      <c r="U175" s="144">
        <v>19761.9823</v>
      </c>
      <c r="V175" s="146">
        <v>2.9693193789654816E-3</v>
      </c>
      <c r="W175" s="146">
        <v>4.3754401722375614E-3</v>
      </c>
      <c r="X175" s="147">
        <v>8.7573384128710136E-4</v>
      </c>
      <c r="Y175" s="183"/>
    </row>
    <row r="176" spans="1:25" ht="15" x14ac:dyDescent="0.2">
      <c r="A176" s="142" t="s">
        <v>1220</v>
      </c>
      <c r="B176" s="143" t="s">
        <v>1220</v>
      </c>
      <c r="C176" s="143" t="s">
        <v>1758</v>
      </c>
      <c r="D176" s="143" t="s">
        <v>1759</v>
      </c>
      <c r="E176" s="143" t="s">
        <v>309</v>
      </c>
      <c r="F176" s="143" t="s">
        <v>2184</v>
      </c>
      <c r="G176" s="143" t="s">
        <v>2185</v>
      </c>
      <c r="H176" s="143" t="s">
        <v>321</v>
      </c>
      <c r="I176" s="143" t="s">
        <v>917</v>
      </c>
      <c r="J176" s="143" t="s">
        <v>204</v>
      </c>
      <c r="K176" s="143" t="s">
        <v>204</v>
      </c>
      <c r="L176" s="143" t="s">
        <v>325</v>
      </c>
      <c r="M176" s="143" t="s">
        <v>340</v>
      </c>
      <c r="N176" s="143" t="s">
        <v>464</v>
      </c>
      <c r="O176" s="143" t="s">
        <v>339</v>
      </c>
      <c r="P176" s="143" t="s">
        <v>1210</v>
      </c>
      <c r="Q176" s="144">
        <v>212230</v>
      </c>
      <c r="R176" s="145" t="s">
        <v>3876</v>
      </c>
      <c r="S176" s="143" t="s">
        <v>2186</v>
      </c>
      <c r="T176" s="145" t="s">
        <v>3876</v>
      </c>
      <c r="U176" s="144">
        <v>19421.167300000001</v>
      </c>
      <c r="V176" s="146">
        <v>5.798187767848244E-3</v>
      </c>
      <c r="W176" s="146">
        <v>4.299981372242993E-3</v>
      </c>
      <c r="X176" s="147">
        <v>8.6063094370951562E-4</v>
      </c>
      <c r="Y176" s="183"/>
    </row>
    <row r="177" spans="1:25" ht="15" x14ac:dyDescent="0.2">
      <c r="A177" s="142" t="s">
        <v>1220</v>
      </c>
      <c r="B177" s="143" t="s">
        <v>1220</v>
      </c>
      <c r="C177" s="143" t="s">
        <v>2192</v>
      </c>
      <c r="D177" s="143" t="s">
        <v>2193</v>
      </c>
      <c r="E177" s="143" t="s">
        <v>309</v>
      </c>
      <c r="F177" s="143" t="s">
        <v>2194</v>
      </c>
      <c r="G177" s="143" t="s">
        <v>2195</v>
      </c>
      <c r="H177" s="143" t="s">
        <v>321</v>
      </c>
      <c r="I177" s="143" t="s">
        <v>917</v>
      </c>
      <c r="J177" s="143" t="s">
        <v>204</v>
      </c>
      <c r="K177" s="143" t="s">
        <v>204</v>
      </c>
      <c r="L177" s="143" t="s">
        <v>325</v>
      </c>
      <c r="M177" s="143" t="s">
        <v>340</v>
      </c>
      <c r="N177" s="143" t="s">
        <v>459</v>
      </c>
      <c r="O177" s="143" t="s">
        <v>339</v>
      </c>
      <c r="P177" s="143" t="s">
        <v>1210</v>
      </c>
      <c r="Q177" s="144">
        <v>328044</v>
      </c>
      <c r="R177" s="145" t="s">
        <v>3876</v>
      </c>
      <c r="S177" s="143" t="s">
        <v>2196</v>
      </c>
      <c r="T177" s="145" t="s">
        <v>3876</v>
      </c>
      <c r="U177" s="144">
        <v>18367.1836</v>
      </c>
      <c r="V177" s="146">
        <v>2.7934589780731303E-3</v>
      </c>
      <c r="W177" s="146">
        <v>4.0666220494670136E-3</v>
      </c>
      <c r="X177" s="147">
        <v>8.1392463575187372E-4</v>
      </c>
      <c r="Y177" s="183"/>
    </row>
    <row r="178" spans="1:25" ht="15" x14ac:dyDescent="0.2">
      <c r="A178" s="142" t="s">
        <v>1220</v>
      </c>
      <c r="B178" s="143" t="s">
        <v>1220</v>
      </c>
      <c r="C178" s="143" t="s">
        <v>1844</v>
      </c>
      <c r="D178" s="143" t="s">
        <v>1845</v>
      </c>
      <c r="E178" s="143" t="s">
        <v>309</v>
      </c>
      <c r="F178" s="143" t="s">
        <v>1844</v>
      </c>
      <c r="G178" s="143" t="s">
        <v>2209</v>
      </c>
      <c r="H178" s="143" t="s">
        <v>321</v>
      </c>
      <c r="I178" s="143" t="s">
        <v>917</v>
      </c>
      <c r="J178" s="143" t="s">
        <v>204</v>
      </c>
      <c r="K178" s="143" t="s">
        <v>204</v>
      </c>
      <c r="L178" s="143" t="s">
        <v>325</v>
      </c>
      <c r="M178" s="143" t="s">
        <v>340</v>
      </c>
      <c r="N178" s="143" t="s">
        <v>441</v>
      </c>
      <c r="O178" s="143" t="s">
        <v>339</v>
      </c>
      <c r="P178" s="143" t="s">
        <v>1210</v>
      </c>
      <c r="Q178" s="144">
        <v>219570</v>
      </c>
      <c r="R178" s="145" t="s">
        <v>3876</v>
      </c>
      <c r="S178" s="143" t="s">
        <v>2210</v>
      </c>
      <c r="T178" s="145" t="s">
        <v>3876</v>
      </c>
      <c r="U178" s="144">
        <v>18114.525000000001</v>
      </c>
      <c r="V178" s="146">
        <v>6.1780201703340682E-3</v>
      </c>
      <c r="W178" s="146">
        <v>4.0106816888926143E-3</v>
      </c>
      <c r="X178" s="147">
        <v>8.0272830694371356E-4</v>
      </c>
      <c r="Y178" s="183"/>
    </row>
    <row r="179" spans="1:25" ht="15" x14ac:dyDescent="0.2">
      <c r="A179" s="142" t="s">
        <v>1220</v>
      </c>
      <c r="B179" s="143" t="s">
        <v>1220</v>
      </c>
      <c r="C179" s="143" t="s">
        <v>1776</v>
      </c>
      <c r="D179" s="143" t="s">
        <v>1777</v>
      </c>
      <c r="E179" s="143" t="s">
        <v>309</v>
      </c>
      <c r="F179" s="143" t="s">
        <v>2197</v>
      </c>
      <c r="G179" s="143" t="s">
        <v>2198</v>
      </c>
      <c r="H179" s="143" t="s">
        <v>321</v>
      </c>
      <c r="I179" s="143" t="s">
        <v>917</v>
      </c>
      <c r="J179" s="143" t="s">
        <v>204</v>
      </c>
      <c r="K179" s="143" t="s">
        <v>204</v>
      </c>
      <c r="L179" s="143" t="s">
        <v>325</v>
      </c>
      <c r="M179" s="143" t="s">
        <v>340</v>
      </c>
      <c r="N179" s="143" t="s">
        <v>464</v>
      </c>
      <c r="O179" s="143" t="s">
        <v>339</v>
      </c>
      <c r="P179" s="143" t="s">
        <v>1210</v>
      </c>
      <c r="Q179" s="144">
        <v>1174418</v>
      </c>
      <c r="R179" s="145" t="s">
        <v>3876</v>
      </c>
      <c r="S179" s="143" t="s">
        <v>2199</v>
      </c>
      <c r="T179" s="145" t="s">
        <v>3876</v>
      </c>
      <c r="U179" s="144">
        <v>17733.711800000001</v>
      </c>
      <c r="V179" s="146">
        <v>2.4908081806354595E-3</v>
      </c>
      <c r="W179" s="146">
        <v>3.9263670006450006E-3</v>
      </c>
      <c r="X179" s="147">
        <v>7.8585292460286733E-4</v>
      </c>
      <c r="Y179" s="183"/>
    </row>
    <row r="180" spans="1:25" ht="15" x14ac:dyDescent="0.2">
      <c r="A180" s="142" t="s">
        <v>1220</v>
      </c>
      <c r="B180" s="143" t="s">
        <v>1220</v>
      </c>
      <c r="C180" s="143" t="s">
        <v>2225</v>
      </c>
      <c r="D180" s="143" t="s">
        <v>2226</v>
      </c>
      <c r="E180" s="143" t="s">
        <v>309</v>
      </c>
      <c r="F180" s="143" t="s">
        <v>2227</v>
      </c>
      <c r="G180" s="143" t="s">
        <v>2228</v>
      </c>
      <c r="H180" s="143" t="s">
        <v>321</v>
      </c>
      <c r="I180" s="143" t="s">
        <v>917</v>
      </c>
      <c r="J180" s="143" t="s">
        <v>204</v>
      </c>
      <c r="K180" s="143" t="s">
        <v>204</v>
      </c>
      <c r="L180" s="143" t="s">
        <v>325</v>
      </c>
      <c r="M180" s="143" t="s">
        <v>340</v>
      </c>
      <c r="N180" s="143" t="s">
        <v>476</v>
      </c>
      <c r="O180" s="143" t="s">
        <v>339</v>
      </c>
      <c r="P180" s="143" t="s">
        <v>1210</v>
      </c>
      <c r="Q180" s="144">
        <v>64430</v>
      </c>
      <c r="R180" s="145" t="s">
        <v>3876</v>
      </c>
      <c r="S180" s="143" t="s">
        <v>2229</v>
      </c>
      <c r="T180" s="145" t="s">
        <v>3876</v>
      </c>
      <c r="U180" s="144">
        <v>17267.240000000002</v>
      </c>
      <c r="V180" s="146">
        <v>4.0518732854768298E-3</v>
      </c>
      <c r="W180" s="146">
        <v>3.8230869032289888E-3</v>
      </c>
      <c r="X180" s="147">
        <v>7.6518166116918709E-4</v>
      </c>
      <c r="Y180" s="183"/>
    </row>
    <row r="181" spans="1:25" ht="15" x14ac:dyDescent="0.2">
      <c r="A181" s="142" t="s">
        <v>1220</v>
      </c>
      <c r="B181" s="143" t="s">
        <v>1220</v>
      </c>
      <c r="C181" s="143" t="s">
        <v>1406</v>
      </c>
      <c r="D181" s="143" t="s">
        <v>1407</v>
      </c>
      <c r="E181" s="143" t="s">
        <v>309</v>
      </c>
      <c r="F181" s="143" t="s">
        <v>2214</v>
      </c>
      <c r="G181" s="143" t="s">
        <v>2215</v>
      </c>
      <c r="H181" s="143" t="s">
        <v>321</v>
      </c>
      <c r="I181" s="143" t="s">
        <v>917</v>
      </c>
      <c r="J181" s="143" t="s">
        <v>204</v>
      </c>
      <c r="K181" s="143" t="s">
        <v>204</v>
      </c>
      <c r="L181" s="143" t="s">
        <v>325</v>
      </c>
      <c r="M181" s="143" t="s">
        <v>340</v>
      </c>
      <c r="N181" s="143" t="s">
        <v>475</v>
      </c>
      <c r="O181" s="143" t="s">
        <v>339</v>
      </c>
      <c r="P181" s="143" t="s">
        <v>1210</v>
      </c>
      <c r="Q181" s="144">
        <v>694821</v>
      </c>
      <c r="R181" s="145" t="s">
        <v>3876</v>
      </c>
      <c r="S181" s="143" t="s">
        <v>2216</v>
      </c>
      <c r="T181" s="145" t="s">
        <v>3876</v>
      </c>
      <c r="U181" s="144">
        <v>17175.975100000003</v>
      </c>
      <c r="V181" s="146">
        <v>2.5307267582127097E-3</v>
      </c>
      <c r="W181" s="146">
        <v>3.8028802247179611E-3</v>
      </c>
      <c r="X181" s="147">
        <v>7.6113734299877852E-4</v>
      </c>
      <c r="Y181" s="183"/>
    </row>
    <row r="182" spans="1:25" ht="15" x14ac:dyDescent="0.2">
      <c r="A182" s="142" t="s">
        <v>1220</v>
      </c>
      <c r="B182" s="143" t="s">
        <v>1220</v>
      </c>
      <c r="C182" s="143" t="s">
        <v>1683</v>
      </c>
      <c r="D182" s="143" t="s">
        <v>1684</v>
      </c>
      <c r="E182" s="143" t="s">
        <v>309</v>
      </c>
      <c r="F182" s="143" t="s">
        <v>2211</v>
      </c>
      <c r="G182" s="143" t="s">
        <v>2212</v>
      </c>
      <c r="H182" s="143" t="s">
        <v>321</v>
      </c>
      <c r="I182" s="143" t="s">
        <v>917</v>
      </c>
      <c r="J182" s="143" t="s">
        <v>204</v>
      </c>
      <c r="K182" s="143" t="s">
        <v>204</v>
      </c>
      <c r="L182" s="143" t="s">
        <v>325</v>
      </c>
      <c r="M182" s="143" t="s">
        <v>340</v>
      </c>
      <c r="N182" s="143" t="s">
        <v>464</v>
      </c>
      <c r="O182" s="143" t="s">
        <v>339</v>
      </c>
      <c r="P182" s="143" t="s">
        <v>1210</v>
      </c>
      <c r="Q182" s="144">
        <v>2347947</v>
      </c>
      <c r="R182" s="145" t="s">
        <v>3876</v>
      </c>
      <c r="S182" s="143" t="s">
        <v>2213</v>
      </c>
      <c r="T182" s="145" t="s">
        <v>3876</v>
      </c>
      <c r="U182" s="144">
        <v>17123.577499999999</v>
      </c>
      <c r="V182" s="146">
        <v>1.5601920323447069E-2</v>
      </c>
      <c r="W182" s="146">
        <v>3.7912790211873507E-3</v>
      </c>
      <c r="X182" s="147">
        <v>7.5881538997657114E-4</v>
      </c>
      <c r="Y182" s="183"/>
    </row>
    <row r="183" spans="1:25" ht="15" x14ac:dyDescent="0.2">
      <c r="A183" s="142" t="s">
        <v>1220</v>
      </c>
      <c r="B183" s="143" t="s">
        <v>1220</v>
      </c>
      <c r="C183" s="143" t="s">
        <v>2217</v>
      </c>
      <c r="D183" s="143" t="s">
        <v>2218</v>
      </c>
      <c r="E183" s="143" t="s">
        <v>309</v>
      </c>
      <c r="F183" s="143" t="s">
        <v>2219</v>
      </c>
      <c r="G183" s="143" t="s">
        <v>2220</v>
      </c>
      <c r="H183" s="143" t="s">
        <v>321</v>
      </c>
      <c r="I183" s="143" t="s">
        <v>917</v>
      </c>
      <c r="J183" s="143" t="s">
        <v>204</v>
      </c>
      <c r="K183" s="143" t="s">
        <v>204</v>
      </c>
      <c r="L183" s="143" t="s">
        <v>325</v>
      </c>
      <c r="M183" s="143" t="s">
        <v>340</v>
      </c>
      <c r="N183" s="143" t="s">
        <v>475</v>
      </c>
      <c r="O183" s="143" t="s">
        <v>339</v>
      </c>
      <c r="P183" s="143" t="s">
        <v>1210</v>
      </c>
      <c r="Q183" s="144">
        <v>271667</v>
      </c>
      <c r="R183" s="145" t="s">
        <v>3876</v>
      </c>
      <c r="S183" s="143" t="s">
        <v>2221</v>
      </c>
      <c r="T183" s="145" t="s">
        <v>3876</v>
      </c>
      <c r="U183" s="144">
        <v>16962.887500000001</v>
      </c>
      <c r="V183" s="146">
        <v>1.086668E-2</v>
      </c>
      <c r="W183" s="146">
        <v>3.7557011407575842E-3</v>
      </c>
      <c r="X183" s="147">
        <v>7.5169456266157219E-4</v>
      </c>
      <c r="Y183" s="183"/>
    </row>
    <row r="184" spans="1:25" ht="15" x14ac:dyDescent="0.2">
      <c r="A184" s="142" t="s">
        <v>1220</v>
      </c>
      <c r="B184" s="143" t="s">
        <v>1220</v>
      </c>
      <c r="C184" s="143" t="s">
        <v>2230</v>
      </c>
      <c r="D184" s="143" t="s">
        <v>2231</v>
      </c>
      <c r="E184" s="143" t="s">
        <v>309</v>
      </c>
      <c r="F184" s="143" t="s">
        <v>2232</v>
      </c>
      <c r="G184" s="143" t="s">
        <v>2233</v>
      </c>
      <c r="H184" s="143" t="s">
        <v>321</v>
      </c>
      <c r="I184" s="143" t="s">
        <v>917</v>
      </c>
      <c r="J184" s="143" t="s">
        <v>204</v>
      </c>
      <c r="K184" s="143" t="s">
        <v>204</v>
      </c>
      <c r="L184" s="143" t="s">
        <v>325</v>
      </c>
      <c r="M184" s="143" t="s">
        <v>340</v>
      </c>
      <c r="N184" s="143" t="s">
        <v>451</v>
      </c>
      <c r="O184" s="143" t="s">
        <v>339</v>
      </c>
      <c r="P184" s="143" t="s">
        <v>1210</v>
      </c>
      <c r="Q184" s="144">
        <v>31783664</v>
      </c>
      <c r="R184" s="145" t="s">
        <v>3876</v>
      </c>
      <c r="S184" s="143" t="s">
        <v>2234</v>
      </c>
      <c r="T184" s="145" t="s">
        <v>3876</v>
      </c>
      <c r="U184" s="144">
        <v>16527.505300000001</v>
      </c>
      <c r="V184" s="146">
        <v>2.5126307791939039E-2</v>
      </c>
      <c r="W184" s="146">
        <v>3.6593044967821124E-3</v>
      </c>
      <c r="X184" s="147">
        <v>7.3240100590093787E-4</v>
      </c>
      <c r="Y184" s="183"/>
    </row>
    <row r="185" spans="1:25" ht="15" x14ac:dyDescent="0.2">
      <c r="A185" s="142" t="s">
        <v>1220</v>
      </c>
      <c r="B185" s="143" t="s">
        <v>1220</v>
      </c>
      <c r="C185" s="143" t="s">
        <v>2235</v>
      </c>
      <c r="D185" s="143" t="s">
        <v>2236</v>
      </c>
      <c r="E185" s="143" t="s">
        <v>309</v>
      </c>
      <c r="F185" s="143" t="s">
        <v>2237</v>
      </c>
      <c r="G185" s="143" t="s">
        <v>2238</v>
      </c>
      <c r="H185" s="143" t="s">
        <v>321</v>
      </c>
      <c r="I185" s="143" t="s">
        <v>917</v>
      </c>
      <c r="J185" s="143" t="s">
        <v>204</v>
      </c>
      <c r="K185" s="143" t="s">
        <v>204</v>
      </c>
      <c r="L185" s="143" t="s">
        <v>325</v>
      </c>
      <c r="M185" s="143" t="s">
        <v>340</v>
      </c>
      <c r="N185" s="143" t="s">
        <v>455</v>
      </c>
      <c r="O185" s="143" t="s">
        <v>339</v>
      </c>
      <c r="P185" s="143" t="s">
        <v>1210</v>
      </c>
      <c r="Q185" s="144">
        <v>291000</v>
      </c>
      <c r="R185" s="145" t="s">
        <v>3876</v>
      </c>
      <c r="S185" s="143" t="s">
        <v>2239</v>
      </c>
      <c r="T185" s="145" t="s">
        <v>3876</v>
      </c>
      <c r="U185" s="144">
        <v>16354.2</v>
      </c>
      <c r="V185" s="146">
        <v>2.8039066223938484E-2</v>
      </c>
      <c r="W185" s="146">
        <v>3.6209335037207758E-3</v>
      </c>
      <c r="X185" s="147">
        <v>7.2472114380139039E-4</v>
      </c>
      <c r="Y185" s="183"/>
    </row>
    <row r="186" spans="1:25" ht="15" x14ac:dyDescent="0.2">
      <c r="A186" s="142" t="s">
        <v>1220</v>
      </c>
      <c r="B186" s="143" t="s">
        <v>1220</v>
      </c>
      <c r="C186" s="143" t="s">
        <v>1571</v>
      </c>
      <c r="D186" s="143" t="s">
        <v>1572</v>
      </c>
      <c r="E186" s="143" t="s">
        <v>309</v>
      </c>
      <c r="F186" s="143" t="s">
        <v>2240</v>
      </c>
      <c r="G186" s="143" t="s">
        <v>2241</v>
      </c>
      <c r="H186" s="143" t="s">
        <v>321</v>
      </c>
      <c r="I186" s="143" t="s">
        <v>917</v>
      </c>
      <c r="J186" s="143" t="s">
        <v>204</v>
      </c>
      <c r="K186" s="143" t="s">
        <v>204</v>
      </c>
      <c r="L186" s="143" t="s">
        <v>325</v>
      </c>
      <c r="M186" s="143" t="s">
        <v>340</v>
      </c>
      <c r="N186" s="143" t="s">
        <v>440</v>
      </c>
      <c r="O186" s="143" t="s">
        <v>339</v>
      </c>
      <c r="P186" s="143" t="s">
        <v>1210</v>
      </c>
      <c r="Q186" s="144">
        <v>45011</v>
      </c>
      <c r="R186" s="145" t="s">
        <v>3876</v>
      </c>
      <c r="S186" s="143" t="s">
        <v>2242</v>
      </c>
      <c r="T186" s="144">
        <v>738.20339999999999</v>
      </c>
      <c r="U186" s="144">
        <v>16239.991800000002</v>
      </c>
      <c r="V186" s="146">
        <v>3.2686900868445735E-3</v>
      </c>
      <c r="W186" s="146">
        <v>3.7590903541780039E-3</v>
      </c>
      <c r="X186" s="147">
        <v>7.5237290558725965E-4</v>
      </c>
      <c r="Y186" s="183"/>
    </row>
    <row r="187" spans="1:25" ht="15" x14ac:dyDescent="0.2">
      <c r="A187" s="142" t="s">
        <v>1220</v>
      </c>
      <c r="B187" s="143" t="s">
        <v>1220</v>
      </c>
      <c r="C187" s="143" t="s">
        <v>2243</v>
      </c>
      <c r="D187" s="143" t="s">
        <v>2244</v>
      </c>
      <c r="E187" s="143" t="s">
        <v>309</v>
      </c>
      <c r="F187" s="143" t="s">
        <v>2245</v>
      </c>
      <c r="G187" s="143" t="s">
        <v>2246</v>
      </c>
      <c r="H187" s="143" t="s">
        <v>321</v>
      </c>
      <c r="I187" s="143" t="s">
        <v>917</v>
      </c>
      <c r="J187" s="143" t="s">
        <v>204</v>
      </c>
      <c r="K187" s="143" t="s">
        <v>204</v>
      </c>
      <c r="L187" s="143" t="s">
        <v>325</v>
      </c>
      <c r="M187" s="143" t="s">
        <v>340</v>
      </c>
      <c r="N187" s="143" t="s">
        <v>437</v>
      </c>
      <c r="O187" s="143" t="s">
        <v>339</v>
      </c>
      <c r="P187" s="143" t="s">
        <v>1210</v>
      </c>
      <c r="Q187" s="144">
        <v>97358</v>
      </c>
      <c r="R187" s="145" t="s">
        <v>3876</v>
      </c>
      <c r="S187" s="143" t="s">
        <v>2247</v>
      </c>
      <c r="T187" s="145" t="s">
        <v>3876</v>
      </c>
      <c r="U187" s="144">
        <v>15285.206</v>
      </c>
      <c r="V187" s="146">
        <v>3.6161016249429078E-3</v>
      </c>
      <c r="W187" s="146">
        <v>3.3842508050943381E-3</v>
      </c>
      <c r="X187" s="147">
        <v>6.7734967014955634E-4</v>
      </c>
      <c r="Y187" s="183"/>
    </row>
    <row r="188" spans="1:25" ht="15" x14ac:dyDescent="0.2">
      <c r="A188" s="142" t="s">
        <v>1220</v>
      </c>
      <c r="B188" s="143" t="s">
        <v>1220</v>
      </c>
      <c r="C188" s="143" t="s">
        <v>2263</v>
      </c>
      <c r="D188" s="143" t="s">
        <v>2264</v>
      </c>
      <c r="E188" s="143" t="s">
        <v>309</v>
      </c>
      <c r="F188" s="143" t="s">
        <v>2265</v>
      </c>
      <c r="G188" s="143" t="s">
        <v>2266</v>
      </c>
      <c r="H188" s="143" t="s">
        <v>321</v>
      </c>
      <c r="I188" s="143" t="s">
        <v>917</v>
      </c>
      <c r="J188" s="143" t="s">
        <v>204</v>
      </c>
      <c r="K188" s="143" t="s">
        <v>204</v>
      </c>
      <c r="L188" s="143" t="s">
        <v>325</v>
      </c>
      <c r="M188" s="143" t="s">
        <v>340</v>
      </c>
      <c r="N188" s="143" t="s">
        <v>476</v>
      </c>
      <c r="O188" s="143" t="s">
        <v>339</v>
      </c>
      <c r="P188" s="143" t="s">
        <v>1210</v>
      </c>
      <c r="Q188" s="144">
        <v>205529</v>
      </c>
      <c r="R188" s="145" t="s">
        <v>3876</v>
      </c>
      <c r="S188" s="143" t="s">
        <v>2267</v>
      </c>
      <c r="T188" s="144">
        <v>166.4785</v>
      </c>
      <c r="U188" s="144">
        <v>14350.034800000001</v>
      </c>
      <c r="V188" s="146">
        <v>3.2025867141228762E-3</v>
      </c>
      <c r="W188" s="146">
        <v>3.2140568940425235E-3</v>
      </c>
      <c r="X188" s="147">
        <v>6.4328576763415281E-4</v>
      </c>
      <c r="Y188" s="183"/>
    </row>
    <row r="189" spans="1:25" ht="15" x14ac:dyDescent="0.2">
      <c r="A189" s="142" t="s">
        <v>1220</v>
      </c>
      <c r="B189" s="143" t="s">
        <v>1220</v>
      </c>
      <c r="C189" s="143" t="s">
        <v>2258</v>
      </c>
      <c r="D189" s="143" t="s">
        <v>2259</v>
      </c>
      <c r="E189" s="143" t="s">
        <v>309</v>
      </c>
      <c r="F189" s="143" t="s">
        <v>2260</v>
      </c>
      <c r="G189" s="143" t="s">
        <v>2261</v>
      </c>
      <c r="H189" s="143" t="s">
        <v>321</v>
      </c>
      <c r="I189" s="143" t="s">
        <v>917</v>
      </c>
      <c r="J189" s="143" t="s">
        <v>204</v>
      </c>
      <c r="K189" s="143" t="s">
        <v>204</v>
      </c>
      <c r="L189" s="143" t="s">
        <v>325</v>
      </c>
      <c r="M189" s="143" t="s">
        <v>340</v>
      </c>
      <c r="N189" s="143" t="s">
        <v>473</v>
      </c>
      <c r="O189" s="143" t="s">
        <v>339</v>
      </c>
      <c r="P189" s="143" t="s">
        <v>1210</v>
      </c>
      <c r="Q189" s="144">
        <v>1010124.59</v>
      </c>
      <c r="R189" s="145" t="s">
        <v>3876</v>
      </c>
      <c r="S189" s="143" t="s">
        <v>2262</v>
      </c>
      <c r="T189" s="145" t="s">
        <v>3876</v>
      </c>
      <c r="U189" s="144">
        <v>14222.554199999999</v>
      </c>
      <c r="V189" s="146">
        <v>9.1978233640952565E-3</v>
      </c>
      <c r="W189" s="146">
        <v>3.1489723196337352E-3</v>
      </c>
      <c r="X189" s="147">
        <v>6.3025924639014341E-4</v>
      </c>
      <c r="Y189" s="183"/>
    </row>
    <row r="190" spans="1:25" ht="15" x14ac:dyDescent="0.2">
      <c r="A190" s="142" t="s">
        <v>1220</v>
      </c>
      <c r="B190" s="143" t="s">
        <v>1220</v>
      </c>
      <c r="C190" s="143" t="s">
        <v>2248</v>
      </c>
      <c r="D190" s="143" t="s">
        <v>2249</v>
      </c>
      <c r="E190" s="143" t="s">
        <v>309</v>
      </c>
      <c r="F190" s="143" t="s">
        <v>2250</v>
      </c>
      <c r="G190" s="143" t="s">
        <v>2251</v>
      </c>
      <c r="H190" s="143" t="s">
        <v>321</v>
      </c>
      <c r="I190" s="143" t="s">
        <v>917</v>
      </c>
      <c r="J190" s="143" t="s">
        <v>204</v>
      </c>
      <c r="K190" s="143" t="s">
        <v>204</v>
      </c>
      <c r="L190" s="143" t="s">
        <v>325</v>
      </c>
      <c r="M190" s="143" t="s">
        <v>340</v>
      </c>
      <c r="N190" s="143" t="s">
        <v>476</v>
      </c>
      <c r="O190" s="143" t="s">
        <v>339</v>
      </c>
      <c r="P190" s="143" t="s">
        <v>1210</v>
      </c>
      <c r="Q190" s="144">
        <v>71233</v>
      </c>
      <c r="R190" s="145" t="s">
        <v>3876</v>
      </c>
      <c r="S190" s="143" t="s">
        <v>2252</v>
      </c>
      <c r="T190" s="145" t="s">
        <v>3876</v>
      </c>
      <c r="U190" s="144">
        <v>13961.668</v>
      </c>
      <c r="V190" s="146">
        <v>3.1061790125941251E-3</v>
      </c>
      <c r="W190" s="146">
        <v>3.0912102963780706E-3</v>
      </c>
      <c r="X190" s="147">
        <v>6.1869831617170328E-4</v>
      </c>
      <c r="Y190" s="183"/>
    </row>
    <row r="191" spans="1:25" ht="15" x14ac:dyDescent="0.2">
      <c r="A191" s="142" t="s">
        <v>1220</v>
      </c>
      <c r="B191" s="143" t="s">
        <v>1220</v>
      </c>
      <c r="C191" s="143" t="s">
        <v>2253</v>
      </c>
      <c r="D191" s="143" t="s">
        <v>2254</v>
      </c>
      <c r="E191" s="143" t="s">
        <v>309</v>
      </c>
      <c r="F191" s="143" t="s">
        <v>2255</v>
      </c>
      <c r="G191" s="143" t="s">
        <v>2256</v>
      </c>
      <c r="H191" s="143" t="s">
        <v>321</v>
      </c>
      <c r="I191" s="143" t="s">
        <v>917</v>
      </c>
      <c r="J191" s="143" t="s">
        <v>204</v>
      </c>
      <c r="K191" s="143" t="s">
        <v>204</v>
      </c>
      <c r="L191" s="143" t="s">
        <v>325</v>
      </c>
      <c r="M191" s="143" t="s">
        <v>340</v>
      </c>
      <c r="N191" s="143" t="s">
        <v>456</v>
      </c>
      <c r="O191" s="143" t="s">
        <v>339</v>
      </c>
      <c r="P191" s="143" t="s">
        <v>1210</v>
      </c>
      <c r="Q191" s="144">
        <v>1282033</v>
      </c>
      <c r="R191" s="145" t="s">
        <v>3876</v>
      </c>
      <c r="S191" s="143" t="s">
        <v>2257</v>
      </c>
      <c r="T191" s="145" t="s">
        <v>3876</v>
      </c>
      <c r="U191" s="144">
        <v>13897.2377</v>
      </c>
      <c r="V191" s="146">
        <v>1.1996901210934352E-2</v>
      </c>
      <c r="W191" s="146">
        <v>3.076944984745211E-3</v>
      </c>
      <c r="X191" s="147">
        <v>6.1584314831164024E-4</v>
      </c>
      <c r="Y191" s="183"/>
    </row>
    <row r="192" spans="1:25" ht="15" x14ac:dyDescent="0.2">
      <c r="A192" s="142" t="s">
        <v>1220</v>
      </c>
      <c r="B192" s="143" t="s">
        <v>1220</v>
      </c>
      <c r="C192" s="143" t="s">
        <v>2302</v>
      </c>
      <c r="D192" s="143" t="s">
        <v>2303</v>
      </c>
      <c r="E192" s="143" t="s">
        <v>309</v>
      </c>
      <c r="F192" s="143" t="s">
        <v>2304</v>
      </c>
      <c r="G192" s="143" t="s">
        <v>2305</v>
      </c>
      <c r="H192" s="143" t="s">
        <v>321</v>
      </c>
      <c r="I192" s="143" t="s">
        <v>917</v>
      </c>
      <c r="J192" s="143" t="s">
        <v>204</v>
      </c>
      <c r="K192" s="143" t="s">
        <v>204</v>
      </c>
      <c r="L192" s="143" t="s">
        <v>325</v>
      </c>
      <c r="M192" s="143" t="s">
        <v>340</v>
      </c>
      <c r="N192" s="143" t="s">
        <v>447</v>
      </c>
      <c r="O192" s="143" t="s">
        <v>339</v>
      </c>
      <c r="P192" s="143" t="s">
        <v>1210</v>
      </c>
      <c r="Q192" s="144">
        <v>1102079</v>
      </c>
      <c r="R192" s="145" t="s">
        <v>3876</v>
      </c>
      <c r="S192" s="143" t="s">
        <v>2306</v>
      </c>
      <c r="T192" s="145" t="s">
        <v>3876</v>
      </c>
      <c r="U192" s="144">
        <v>13324.1351</v>
      </c>
      <c r="V192" s="146">
        <v>3.9232756556324012E-3</v>
      </c>
      <c r="W192" s="146">
        <v>2.9500560851586323E-3</v>
      </c>
      <c r="X192" s="147">
        <v>5.9044663982851277E-4</v>
      </c>
      <c r="Y192" s="183"/>
    </row>
    <row r="193" spans="1:25" ht="15" x14ac:dyDescent="0.2">
      <c r="A193" s="142" t="s">
        <v>1220</v>
      </c>
      <c r="B193" s="143" t="s">
        <v>1220</v>
      </c>
      <c r="C193" s="143" t="s">
        <v>2268</v>
      </c>
      <c r="D193" s="143" t="s">
        <v>2269</v>
      </c>
      <c r="E193" s="143" t="s">
        <v>309</v>
      </c>
      <c r="F193" s="143" t="s">
        <v>2270</v>
      </c>
      <c r="G193" s="143" t="s">
        <v>2271</v>
      </c>
      <c r="H193" s="143" t="s">
        <v>321</v>
      </c>
      <c r="I193" s="143" t="s">
        <v>917</v>
      </c>
      <c r="J193" s="143" t="s">
        <v>204</v>
      </c>
      <c r="K193" s="143" t="s">
        <v>204</v>
      </c>
      <c r="L193" s="143" t="s">
        <v>325</v>
      </c>
      <c r="M193" s="143" t="s">
        <v>340</v>
      </c>
      <c r="N193" s="143" t="s">
        <v>465</v>
      </c>
      <c r="O193" s="143" t="s">
        <v>339</v>
      </c>
      <c r="P193" s="143" t="s">
        <v>1210</v>
      </c>
      <c r="Q193" s="144">
        <v>2363466</v>
      </c>
      <c r="R193" s="145" t="s">
        <v>3876</v>
      </c>
      <c r="S193" s="143" t="s">
        <v>2272</v>
      </c>
      <c r="T193" s="145" t="s">
        <v>3876</v>
      </c>
      <c r="U193" s="144">
        <v>13247.2269</v>
      </c>
      <c r="V193" s="146">
        <v>3.4733228727031558E-2</v>
      </c>
      <c r="W193" s="146">
        <v>2.9330280797733375E-3</v>
      </c>
      <c r="X193" s="147">
        <v>5.8703852544949805E-4</v>
      </c>
      <c r="Y193" s="183"/>
    </row>
    <row r="194" spans="1:25" ht="15" x14ac:dyDescent="0.2">
      <c r="A194" s="142" t="s">
        <v>1220</v>
      </c>
      <c r="B194" s="143" t="s">
        <v>1220</v>
      </c>
      <c r="C194" s="143" t="s">
        <v>2283</v>
      </c>
      <c r="D194" s="143" t="s">
        <v>2284</v>
      </c>
      <c r="E194" s="143" t="s">
        <v>309</v>
      </c>
      <c r="F194" s="143" t="s">
        <v>2283</v>
      </c>
      <c r="G194" s="143" t="s">
        <v>2285</v>
      </c>
      <c r="H194" s="143" t="s">
        <v>321</v>
      </c>
      <c r="I194" s="143" t="s">
        <v>917</v>
      </c>
      <c r="J194" s="143" t="s">
        <v>204</v>
      </c>
      <c r="K194" s="143" t="s">
        <v>204</v>
      </c>
      <c r="L194" s="143" t="s">
        <v>325</v>
      </c>
      <c r="M194" s="143" t="s">
        <v>340</v>
      </c>
      <c r="N194" s="143" t="s">
        <v>471</v>
      </c>
      <c r="O194" s="143" t="s">
        <v>339</v>
      </c>
      <c r="P194" s="143" t="s">
        <v>1210</v>
      </c>
      <c r="Q194" s="144">
        <v>738343.11</v>
      </c>
      <c r="R194" s="145" t="s">
        <v>3876</v>
      </c>
      <c r="S194" s="143" t="s">
        <v>2286</v>
      </c>
      <c r="T194" s="145" t="s">
        <v>3876</v>
      </c>
      <c r="U194" s="144">
        <v>13068.673000000001</v>
      </c>
      <c r="V194" s="146">
        <v>5.0862228035058786E-3</v>
      </c>
      <c r="W194" s="146">
        <v>2.8934950095421959E-3</v>
      </c>
      <c r="X194" s="147">
        <v>5.791260763955584E-4</v>
      </c>
      <c r="Y194" s="183"/>
    </row>
    <row r="195" spans="1:25" ht="15" x14ac:dyDescent="0.2">
      <c r="A195" s="142" t="s">
        <v>1220</v>
      </c>
      <c r="B195" s="143" t="s">
        <v>1220</v>
      </c>
      <c r="C195" s="143" t="s">
        <v>2292</v>
      </c>
      <c r="D195" s="143" t="s">
        <v>2293</v>
      </c>
      <c r="E195" s="143" t="s">
        <v>309</v>
      </c>
      <c r="F195" s="143" t="s">
        <v>2294</v>
      </c>
      <c r="G195" s="143" t="s">
        <v>2295</v>
      </c>
      <c r="H195" s="143" t="s">
        <v>321</v>
      </c>
      <c r="I195" s="143" t="s">
        <v>917</v>
      </c>
      <c r="J195" s="143" t="s">
        <v>204</v>
      </c>
      <c r="K195" s="143" t="s">
        <v>204</v>
      </c>
      <c r="L195" s="143" t="s">
        <v>325</v>
      </c>
      <c r="M195" s="143" t="s">
        <v>340</v>
      </c>
      <c r="N195" s="143" t="s">
        <v>447</v>
      </c>
      <c r="O195" s="143" t="s">
        <v>339</v>
      </c>
      <c r="P195" s="143" t="s">
        <v>1210</v>
      </c>
      <c r="Q195" s="144">
        <v>842660</v>
      </c>
      <c r="R195" s="145" t="s">
        <v>3876</v>
      </c>
      <c r="S195" s="143" t="s">
        <v>2296</v>
      </c>
      <c r="T195" s="145" t="s">
        <v>3876</v>
      </c>
      <c r="U195" s="144">
        <v>13052.803400000001</v>
      </c>
      <c r="V195" s="146">
        <v>3.9939919395359687E-3</v>
      </c>
      <c r="W195" s="146">
        <v>2.8899813594391935E-3</v>
      </c>
      <c r="X195" s="147">
        <v>5.7842282776673134E-4</v>
      </c>
      <c r="Y195" s="183"/>
    </row>
    <row r="196" spans="1:25" ht="15" x14ac:dyDescent="0.2">
      <c r="A196" s="142" t="s">
        <v>1220</v>
      </c>
      <c r="B196" s="143" t="s">
        <v>1220</v>
      </c>
      <c r="C196" s="143" t="s">
        <v>2273</v>
      </c>
      <c r="D196" s="143" t="s">
        <v>2274</v>
      </c>
      <c r="E196" s="143" t="s">
        <v>309</v>
      </c>
      <c r="F196" s="143" t="s">
        <v>2275</v>
      </c>
      <c r="G196" s="143" t="s">
        <v>2276</v>
      </c>
      <c r="H196" s="143" t="s">
        <v>321</v>
      </c>
      <c r="I196" s="143" t="s">
        <v>917</v>
      </c>
      <c r="J196" s="143" t="s">
        <v>204</v>
      </c>
      <c r="K196" s="143" t="s">
        <v>204</v>
      </c>
      <c r="L196" s="143" t="s">
        <v>325</v>
      </c>
      <c r="M196" s="143" t="s">
        <v>340</v>
      </c>
      <c r="N196" s="143" t="s">
        <v>475</v>
      </c>
      <c r="O196" s="143" t="s">
        <v>339</v>
      </c>
      <c r="P196" s="143" t="s">
        <v>1210</v>
      </c>
      <c r="Q196" s="144">
        <v>1488000</v>
      </c>
      <c r="R196" s="145" t="s">
        <v>3876</v>
      </c>
      <c r="S196" s="143" t="s">
        <v>2277</v>
      </c>
      <c r="T196" s="145" t="s">
        <v>3876</v>
      </c>
      <c r="U196" s="144">
        <v>12967.92</v>
      </c>
      <c r="V196" s="146">
        <v>1.0399270340228483E-2</v>
      </c>
      <c r="W196" s="146">
        <v>2.8711875849366355E-3</v>
      </c>
      <c r="X196" s="147">
        <v>5.7466129894002309E-4</v>
      </c>
      <c r="Y196" s="183"/>
    </row>
    <row r="197" spans="1:25" ht="15" x14ac:dyDescent="0.2">
      <c r="A197" s="142" t="s">
        <v>1220</v>
      </c>
      <c r="B197" s="143" t="s">
        <v>1220</v>
      </c>
      <c r="C197" s="143" t="s">
        <v>1764</v>
      </c>
      <c r="D197" s="143" t="s">
        <v>1765</v>
      </c>
      <c r="E197" s="143" t="s">
        <v>309</v>
      </c>
      <c r="F197" s="143" t="s">
        <v>2206</v>
      </c>
      <c r="G197" s="143" t="s">
        <v>2207</v>
      </c>
      <c r="H197" s="143" t="s">
        <v>321</v>
      </c>
      <c r="I197" s="143" t="s">
        <v>917</v>
      </c>
      <c r="J197" s="143" t="s">
        <v>204</v>
      </c>
      <c r="K197" s="143" t="s">
        <v>204</v>
      </c>
      <c r="L197" s="143" t="s">
        <v>325</v>
      </c>
      <c r="M197" s="143" t="s">
        <v>340</v>
      </c>
      <c r="N197" s="143" t="s">
        <v>440</v>
      </c>
      <c r="O197" s="143" t="s">
        <v>339</v>
      </c>
      <c r="P197" s="143" t="s">
        <v>1210</v>
      </c>
      <c r="Q197" s="144">
        <v>14465335</v>
      </c>
      <c r="R197" s="145" t="s">
        <v>3876</v>
      </c>
      <c r="S197" s="143" t="s">
        <v>2208</v>
      </c>
      <c r="T197" s="145" t="s">
        <v>3876</v>
      </c>
      <c r="U197" s="144">
        <v>12541.445400000001</v>
      </c>
      <c r="V197" s="146">
        <v>4.497206684996361E-3</v>
      </c>
      <c r="W197" s="146">
        <v>2.7767631554516158E-3</v>
      </c>
      <c r="X197" s="147">
        <v>5.5576247617267357E-4</v>
      </c>
      <c r="Y197" s="183"/>
    </row>
    <row r="198" spans="1:25" ht="15" x14ac:dyDescent="0.2">
      <c r="A198" s="142" t="s">
        <v>1220</v>
      </c>
      <c r="B198" s="143" t="s">
        <v>1220</v>
      </c>
      <c r="C198" s="143" t="s">
        <v>2278</v>
      </c>
      <c r="D198" s="143" t="s">
        <v>2279</v>
      </c>
      <c r="E198" s="143" t="s">
        <v>309</v>
      </c>
      <c r="F198" s="143" t="s">
        <v>2280</v>
      </c>
      <c r="G198" s="143" t="s">
        <v>2281</v>
      </c>
      <c r="H198" s="143" t="s">
        <v>321</v>
      </c>
      <c r="I198" s="143" t="s">
        <v>917</v>
      </c>
      <c r="J198" s="143" t="s">
        <v>204</v>
      </c>
      <c r="K198" s="143" t="s">
        <v>204</v>
      </c>
      <c r="L198" s="143" t="s">
        <v>325</v>
      </c>
      <c r="M198" s="143" t="s">
        <v>340</v>
      </c>
      <c r="N198" s="143" t="s">
        <v>476</v>
      </c>
      <c r="O198" s="143" t="s">
        <v>339</v>
      </c>
      <c r="P198" s="143" t="s">
        <v>1210</v>
      </c>
      <c r="Q198" s="144">
        <v>271456</v>
      </c>
      <c r="R198" s="145" t="s">
        <v>3876</v>
      </c>
      <c r="S198" s="143" t="s">
        <v>2282</v>
      </c>
      <c r="T198" s="145" t="s">
        <v>3876</v>
      </c>
      <c r="U198" s="144">
        <v>12337.6752</v>
      </c>
      <c r="V198" s="146">
        <v>3.7794554844632032E-3</v>
      </c>
      <c r="W198" s="146">
        <v>2.7316470074785024E-3</v>
      </c>
      <c r="X198" s="147">
        <v>5.467325875184386E-4</v>
      </c>
      <c r="Y198" s="183"/>
    </row>
    <row r="199" spans="1:25" ht="15" x14ac:dyDescent="0.2">
      <c r="A199" s="142" t="s">
        <v>1220</v>
      </c>
      <c r="B199" s="143" t="s">
        <v>1220</v>
      </c>
      <c r="C199" s="143" t="s">
        <v>2287</v>
      </c>
      <c r="D199" s="143" t="s">
        <v>2288</v>
      </c>
      <c r="E199" s="143" t="s">
        <v>309</v>
      </c>
      <c r="F199" s="143" t="s">
        <v>2289</v>
      </c>
      <c r="G199" s="143" t="s">
        <v>2290</v>
      </c>
      <c r="H199" s="143" t="s">
        <v>321</v>
      </c>
      <c r="I199" s="143" t="s">
        <v>917</v>
      </c>
      <c r="J199" s="143" t="s">
        <v>204</v>
      </c>
      <c r="K199" s="143" t="s">
        <v>204</v>
      </c>
      <c r="L199" s="143" t="s">
        <v>325</v>
      </c>
      <c r="M199" s="143" t="s">
        <v>340</v>
      </c>
      <c r="N199" s="143" t="s">
        <v>441</v>
      </c>
      <c r="O199" s="143" t="s">
        <v>339</v>
      </c>
      <c r="P199" s="143" t="s">
        <v>1210</v>
      </c>
      <c r="Q199" s="144">
        <v>883753.12</v>
      </c>
      <c r="R199" s="145" t="s">
        <v>3876</v>
      </c>
      <c r="S199" s="143" t="s">
        <v>2291</v>
      </c>
      <c r="T199" s="145" t="s">
        <v>3876</v>
      </c>
      <c r="U199" s="144">
        <v>12328.356</v>
      </c>
      <c r="V199" s="146">
        <v>1.6084376907379691E-3</v>
      </c>
      <c r="W199" s="146">
        <v>2.7295836771654655E-3</v>
      </c>
      <c r="X199" s="147">
        <v>5.4631961691211078E-4</v>
      </c>
      <c r="Y199" s="183"/>
    </row>
    <row r="200" spans="1:25" ht="15" x14ac:dyDescent="0.2">
      <c r="A200" s="142" t="s">
        <v>1220</v>
      </c>
      <c r="B200" s="143" t="s">
        <v>1220</v>
      </c>
      <c r="C200" s="143" t="s">
        <v>2297</v>
      </c>
      <c r="D200" s="143" t="s">
        <v>2298</v>
      </c>
      <c r="E200" s="143" t="s">
        <v>309</v>
      </c>
      <c r="F200" s="143" t="s">
        <v>2299</v>
      </c>
      <c r="G200" s="143" t="s">
        <v>2300</v>
      </c>
      <c r="H200" s="143" t="s">
        <v>321</v>
      </c>
      <c r="I200" s="143" t="s">
        <v>917</v>
      </c>
      <c r="J200" s="143" t="s">
        <v>204</v>
      </c>
      <c r="K200" s="143" t="s">
        <v>204</v>
      </c>
      <c r="L200" s="143" t="s">
        <v>325</v>
      </c>
      <c r="M200" s="143" t="s">
        <v>340</v>
      </c>
      <c r="N200" s="143" t="s">
        <v>475</v>
      </c>
      <c r="O200" s="143" t="s">
        <v>339</v>
      </c>
      <c r="P200" s="143" t="s">
        <v>1210</v>
      </c>
      <c r="Q200" s="144">
        <v>2420185</v>
      </c>
      <c r="R200" s="145" t="s">
        <v>3876</v>
      </c>
      <c r="S200" s="143" t="s">
        <v>2301</v>
      </c>
      <c r="T200" s="145" t="s">
        <v>3876</v>
      </c>
      <c r="U200" s="144">
        <v>11822.6037</v>
      </c>
      <c r="V200" s="146">
        <v>2.2250999820975888E-2</v>
      </c>
      <c r="W200" s="146">
        <v>2.6176066043625827E-3</v>
      </c>
      <c r="X200" s="147">
        <v>5.2390767474364865E-4</v>
      </c>
      <c r="Y200" s="183"/>
    </row>
    <row r="201" spans="1:25" ht="15" x14ac:dyDescent="0.2">
      <c r="A201" s="142" t="s">
        <v>1220</v>
      </c>
      <c r="B201" s="143" t="s">
        <v>1220</v>
      </c>
      <c r="C201" s="143" t="s">
        <v>1838</v>
      </c>
      <c r="D201" s="143" t="s">
        <v>1839</v>
      </c>
      <c r="E201" s="143" t="s">
        <v>309</v>
      </c>
      <c r="F201" s="143" t="s">
        <v>2307</v>
      </c>
      <c r="G201" s="143" t="s">
        <v>2308</v>
      </c>
      <c r="H201" s="143" t="s">
        <v>321</v>
      </c>
      <c r="I201" s="143" t="s">
        <v>917</v>
      </c>
      <c r="J201" s="143" t="s">
        <v>204</v>
      </c>
      <c r="K201" s="143" t="s">
        <v>204</v>
      </c>
      <c r="L201" s="143" t="s">
        <v>325</v>
      </c>
      <c r="M201" s="143" t="s">
        <v>340</v>
      </c>
      <c r="N201" s="143" t="s">
        <v>454</v>
      </c>
      <c r="O201" s="143" t="s">
        <v>339</v>
      </c>
      <c r="P201" s="143" t="s">
        <v>1210</v>
      </c>
      <c r="Q201" s="144">
        <v>7059501.9000000004</v>
      </c>
      <c r="R201" s="145" t="s">
        <v>3876</v>
      </c>
      <c r="S201" s="143" t="s">
        <v>2309</v>
      </c>
      <c r="T201" s="145" t="s">
        <v>3876</v>
      </c>
      <c r="U201" s="144">
        <v>10391.586800000001</v>
      </c>
      <c r="V201" s="146">
        <v>2.7196313282555405E-3</v>
      </c>
      <c r="W201" s="146">
        <v>2.3007695142138154E-3</v>
      </c>
      <c r="X201" s="147">
        <v>4.6049349214809178E-4</v>
      </c>
      <c r="Y201" s="183"/>
    </row>
    <row r="202" spans="1:25" ht="15" x14ac:dyDescent="0.2">
      <c r="A202" s="142" t="s">
        <v>1220</v>
      </c>
      <c r="B202" s="143" t="s">
        <v>1220</v>
      </c>
      <c r="C202" s="143" t="s">
        <v>2310</v>
      </c>
      <c r="D202" s="143" t="s">
        <v>2311</v>
      </c>
      <c r="E202" s="143" t="s">
        <v>309</v>
      </c>
      <c r="F202" s="143" t="s">
        <v>2312</v>
      </c>
      <c r="G202" s="143" t="s">
        <v>2313</v>
      </c>
      <c r="H202" s="143" t="s">
        <v>321</v>
      </c>
      <c r="I202" s="143" t="s">
        <v>917</v>
      </c>
      <c r="J202" s="143" t="s">
        <v>204</v>
      </c>
      <c r="K202" s="143" t="s">
        <v>204</v>
      </c>
      <c r="L202" s="143" t="s">
        <v>325</v>
      </c>
      <c r="M202" s="143" t="s">
        <v>340</v>
      </c>
      <c r="N202" s="143" t="s">
        <v>448</v>
      </c>
      <c r="O202" s="143" t="s">
        <v>339</v>
      </c>
      <c r="P202" s="143" t="s">
        <v>1210</v>
      </c>
      <c r="Q202" s="144">
        <v>58157</v>
      </c>
      <c r="R202" s="145" t="s">
        <v>3876</v>
      </c>
      <c r="S202" s="143" t="s">
        <v>2314</v>
      </c>
      <c r="T202" s="145" t="s">
        <v>3876</v>
      </c>
      <c r="U202" s="144">
        <v>8839.8639999999996</v>
      </c>
      <c r="V202" s="146">
        <v>1.6404138027520658E-3</v>
      </c>
      <c r="W202" s="146">
        <v>1.9572073061314621E-3</v>
      </c>
      <c r="X202" s="147">
        <v>3.9173034138806752E-4</v>
      </c>
      <c r="Y202" s="183"/>
    </row>
    <row r="203" spans="1:25" ht="15" x14ac:dyDescent="0.2">
      <c r="A203" s="142" t="s">
        <v>1220</v>
      </c>
      <c r="B203" s="143" t="s">
        <v>1220</v>
      </c>
      <c r="C203" s="143" t="s">
        <v>2320</v>
      </c>
      <c r="D203" s="143" t="s">
        <v>2321</v>
      </c>
      <c r="E203" s="143" t="s">
        <v>309</v>
      </c>
      <c r="F203" s="143" t="s">
        <v>2322</v>
      </c>
      <c r="G203" s="143" t="s">
        <v>2323</v>
      </c>
      <c r="H203" s="143" t="s">
        <v>321</v>
      </c>
      <c r="I203" s="143" t="s">
        <v>917</v>
      </c>
      <c r="J203" s="143" t="s">
        <v>204</v>
      </c>
      <c r="K203" s="143" t="s">
        <v>204</v>
      </c>
      <c r="L203" s="143" t="s">
        <v>325</v>
      </c>
      <c r="M203" s="143" t="s">
        <v>340</v>
      </c>
      <c r="N203" s="143" t="s">
        <v>480</v>
      </c>
      <c r="O203" s="143" t="s">
        <v>339</v>
      </c>
      <c r="P203" s="143" t="s">
        <v>1210</v>
      </c>
      <c r="Q203" s="144">
        <v>266963</v>
      </c>
      <c r="R203" s="145" t="s">
        <v>3876</v>
      </c>
      <c r="S203" s="143" t="s">
        <v>2324</v>
      </c>
      <c r="T203" s="145" t="s">
        <v>3876</v>
      </c>
      <c r="U203" s="144">
        <v>8358.3703000000005</v>
      </c>
      <c r="V203" s="146">
        <v>5.97727425385666E-3</v>
      </c>
      <c r="W203" s="146">
        <v>1.8506012463890295E-3</v>
      </c>
      <c r="X203" s="147">
        <v>3.7039339458324358E-4</v>
      </c>
      <c r="Y203" s="183"/>
    </row>
    <row r="204" spans="1:25" ht="15" x14ac:dyDescent="0.2">
      <c r="A204" s="142" t="s">
        <v>1220</v>
      </c>
      <c r="B204" s="143" t="s">
        <v>1220</v>
      </c>
      <c r="C204" s="143" t="s">
        <v>1620</v>
      </c>
      <c r="D204" s="143" t="s">
        <v>1621</v>
      </c>
      <c r="E204" s="143" t="s">
        <v>309</v>
      </c>
      <c r="F204" s="143" t="s">
        <v>2325</v>
      </c>
      <c r="G204" s="143" t="s">
        <v>2326</v>
      </c>
      <c r="H204" s="143" t="s">
        <v>321</v>
      </c>
      <c r="I204" s="143" t="s">
        <v>917</v>
      </c>
      <c r="J204" s="143" t="s">
        <v>204</v>
      </c>
      <c r="K204" s="143" t="s">
        <v>204</v>
      </c>
      <c r="L204" s="143" t="s">
        <v>325</v>
      </c>
      <c r="M204" s="143" t="s">
        <v>340</v>
      </c>
      <c r="N204" s="143" t="s">
        <v>464</v>
      </c>
      <c r="O204" s="143" t="s">
        <v>339</v>
      </c>
      <c r="P204" s="143" t="s">
        <v>1210</v>
      </c>
      <c r="Q204" s="144">
        <v>591799</v>
      </c>
      <c r="R204" s="145" t="s">
        <v>3876</v>
      </c>
      <c r="S204" s="143" t="s">
        <v>2327</v>
      </c>
      <c r="T204" s="145" t="s">
        <v>3876</v>
      </c>
      <c r="U204" s="144">
        <v>8231.9241000000002</v>
      </c>
      <c r="V204" s="146">
        <v>3.0422693661103883E-3</v>
      </c>
      <c r="W204" s="146">
        <v>1.8226051862865295E-3</v>
      </c>
      <c r="X204" s="147">
        <v>3.6479005039629085E-4</v>
      </c>
      <c r="Y204" s="183"/>
    </row>
    <row r="205" spans="1:25" ht="15" x14ac:dyDescent="0.2">
      <c r="A205" s="142" t="s">
        <v>1220</v>
      </c>
      <c r="B205" s="143" t="s">
        <v>1220</v>
      </c>
      <c r="C205" s="143" t="s">
        <v>2328</v>
      </c>
      <c r="D205" s="143" t="s">
        <v>2329</v>
      </c>
      <c r="E205" s="143" t="s">
        <v>309</v>
      </c>
      <c r="F205" s="143" t="s">
        <v>2330</v>
      </c>
      <c r="G205" s="143" t="s">
        <v>2331</v>
      </c>
      <c r="H205" s="143" t="s">
        <v>321</v>
      </c>
      <c r="I205" s="143" t="s">
        <v>917</v>
      </c>
      <c r="J205" s="143" t="s">
        <v>204</v>
      </c>
      <c r="K205" s="143" t="s">
        <v>204</v>
      </c>
      <c r="L205" s="143" t="s">
        <v>325</v>
      </c>
      <c r="M205" s="143" t="s">
        <v>340</v>
      </c>
      <c r="N205" s="143" t="s">
        <v>455</v>
      </c>
      <c r="O205" s="143" t="s">
        <v>339</v>
      </c>
      <c r="P205" s="143" t="s">
        <v>1210</v>
      </c>
      <c r="Q205" s="144">
        <v>369975</v>
      </c>
      <c r="R205" s="145" t="s">
        <v>3876</v>
      </c>
      <c r="S205" s="143" t="s">
        <v>2332</v>
      </c>
      <c r="T205" s="145" t="s">
        <v>3876</v>
      </c>
      <c r="U205" s="144">
        <v>8209.7453000000005</v>
      </c>
      <c r="V205" s="146">
        <v>1.4808994294069181E-2</v>
      </c>
      <c r="W205" s="146">
        <v>1.8176946370190837E-3</v>
      </c>
      <c r="X205" s="147">
        <v>3.6380721575485388E-4</v>
      </c>
      <c r="Y205" s="183"/>
    </row>
    <row r="206" spans="1:25" ht="15" x14ac:dyDescent="0.2">
      <c r="A206" s="142" t="s">
        <v>1220</v>
      </c>
      <c r="B206" s="143" t="s">
        <v>1220</v>
      </c>
      <c r="C206" s="143" t="s">
        <v>2333</v>
      </c>
      <c r="D206" s="143" t="s">
        <v>2334</v>
      </c>
      <c r="E206" s="143" t="s">
        <v>309</v>
      </c>
      <c r="F206" s="143" t="s">
        <v>2335</v>
      </c>
      <c r="G206" s="143" t="s">
        <v>2336</v>
      </c>
      <c r="H206" s="143" t="s">
        <v>321</v>
      </c>
      <c r="I206" s="143" t="s">
        <v>917</v>
      </c>
      <c r="J206" s="143" t="s">
        <v>204</v>
      </c>
      <c r="K206" s="143" t="s">
        <v>204</v>
      </c>
      <c r="L206" s="143" t="s">
        <v>325</v>
      </c>
      <c r="M206" s="143" t="s">
        <v>340</v>
      </c>
      <c r="N206" s="143" t="s">
        <v>465</v>
      </c>
      <c r="O206" s="143" t="s">
        <v>339</v>
      </c>
      <c r="P206" s="143" t="s">
        <v>1210</v>
      </c>
      <c r="Q206" s="144">
        <v>188542</v>
      </c>
      <c r="R206" s="145" t="s">
        <v>3876</v>
      </c>
      <c r="S206" s="143" t="s">
        <v>2337</v>
      </c>
      <c r="T206" s="145" t="s">
        <v>3876</v>
      </c>
      <c r="U206" s="144">
        <v>7937.6181999999999</v>
      </c>
      <c r="V206" s="146">
        <v>2.5505248899923639E-3</v>
      </c>
      <c r="W206" s="146">
        <v>1.7574438174978782E-3</v>
      </c>
      <c r="X206" s="147">
        <v>3.5174815894160113E-4</v>
      </c>
      <c r="Y206" s="183"/>
    </row>
    <row r="207" spans="1:25" ht="15" x14ac:dyDescent="0.2">
      <c r="A207" s="142" t="s">
        <v>1220</v>
      </c>
      <c r="B207" s="143" t="s">
        <v>1220</v>
      </c>
      <c r="C207" s="143" t="s">
        <v>2341</v>
      </c>
      <c r="D207" s="143" t="s">
        <v>2342</v>
      </c>
      <c r="E207" s="143" t="s">
        <v>309</v>
      </c>
      <c r="F207" s="143" t="s">
        <v>2343</v>
      </c>
      <c r="G207" s="143" t="s">
        <v>2344</v>
      </c>
      <c r="H207" s="143" t="s">
        <v>321</v>
      </c>
      <c r="I207" s="143" t="s">
        <v>917</v>
      </c>
      <c r="J207" s="143" t="s">
        <v>204</v>
      </c>
      <c r="K207" s="143" t="s">
        <v>204</v>
      </c>
      <c r="L207" s="143" t="s">
        <v>325</v>
      </c>
      <c r="M207" s="143" t="s">
        <v>340</v>
      </c>
      <c r="N207" s="143" t="s">
        <v>445</v>
      </c>
      <c r="O207" s="143" t="s">
        <v>339</v>
      </c>
      <c r="P207" s="143" t="s">
        <v>1210</v>
      </c>
      <c r="Q207" s="144">
        <v>74301</v>
      </c>
      <c r="R207" s="145" t="s">
        <v>3876</v>
      </c>
      <c r="S207" s="143" t="s">
        <v>2345</v>
      </c>
      <c r="T207" s="145" t="s">
        <v>3876</v>
      </c>
      <c r="U207" s="144">
        <v>7328.3075999999992</v>
      </c>
      <c r="V207" s="146">
        <v>5.0596151516478357E-3</v>
      </c>
      <c r="W207" s="146">
        <v>1.6225382240060409E-3</v>
      </c>
      <c r="X207" s="147">
        <v>3.2474712842829709E-4</v>
      </c>
      <c r="Y207" s="183"/>
    </row>
    <row r="208" spans="1:25" ht="15" x14ac:dyDescent="0.2">
      <c r="A208" s="142" t="s">
        <v>1220</v>
      </c>
      <c r="B208" s="143" t="s">
        <v>1220</v>
      </c>
      <c r="C208" s="143" t="s">
        <v>1655</v>
      </c>
      <c r="D208" s="143" t="s">
        <v>1656</v>
      </c>
      <c r="E208" s="143" t="s">
        <v>309</v>
      </c>
      <c r="F208" s="143" t="s">
        <v>2338</v>
      </c>
      <c r="G208" s="143" t="s">
        <v>2339</v>
      </c>
      <c r="H208" s="143" t="s">
        <v>321</v>
      </c>
      <c r="I208" s="143" t="s">
        <v>917</v>
      </c>
      <c r="J208" s="143" t="s">
        <v>204</v>
      </c>
      <c r="K208" s="143" t="s">
        <v>204</v>
      </c>
      <c r="L208" s="143" t="s">
        <v>325</v>
      </c>
      <c r="M208" s="143" t="s">
        <v>340</v>
      </c>
      <c r="N208" s="143" t="s">
        <v>447</v>
      </c>
      <c r="O208" s="143" t="s">
        <v>339</v>
      </c>
      <c r="P208" s="143" t="s">
        <v>1210</v>
      </c>
      <c r="Q208" s="144">
        <v>202300</v>
      </c>
      <c r="R208" s="145" t="s">
        <v>3876</v>
      </c>
      <c r="S208" s="143" t="s">
        <v>2340</v>
      </c>
      <c r="T208" s="145" t="s">
        <v>3876</v>
      </c>
      <c r="U208" s="144">
        <v>7021.8329999999996</v>
      </c>
      <c r="V208" s="146">
        <v>3.3076719791998938E-3</v>
      </c>
      <c r="W208" s="146">
        <v>1.5546826116368986E-3</v>
      </c>
      <c r="X208" s="147">
        <v>3.1116599059216279E-4</v>
      </c>
      <c r="Y208" s="183"/>
    </row>
    <row r="209" spans="1:25" ht="15" x14ac:dyDescent="0.2">
      <c r="A209" s="142" t="s">
        <v>1220</v>
      </c>
      <c r="B209" s="143" t="s">
        <v>1220</v>
      </c>
      <c r="C209" s="143" t="s">
        <v>2346</v>
      </c>
      <c r="D209" s="143" t="s">
        <v>2347</v>
      </c>
      <c r="E209" s="143" t="s">
        <v>309</v>
      </c>
      <c r="F209" s="143" t="s">
        <v>2348</v>
      </c>
      <c r="G209" s="143" t="s">
        <v>2349</v>
      </c>
      <c r="H209" s="143" t="s">
        <v>321</v>
      </c>
      <c r="I209" s="143" t="s">
        <v>917</v>
      </c>
      <c r="J209" s="143" t="s">
        <v>204</v>
      </c>
      <c r="K209" s="143" t="s">
        <v>204</v>
      </c>
      <c r="L209" s="143" t="s">
        <v>325</v>
      </c>
      <c r="M209" s="143" t="s">
        <v>340</v>
      </c>
      <c r="N209" s="143" t="s">
        <v>464</v>
      </c>
      <c r="O209" s="143" t="s">
        <v>339</v>
      </c>
      <c r="P209" s="143" t="s">
        <v>1210</v>
      </c>
      <c r="Q209" s="144">
        <v>4213665</v>
      </c>
      <c r="R209" s="145" t="s">
        <v>3876</v>
      </c>
      <c r="S209" s="143" t="s">
        <v>2350</v>
      </c>
      <c r="T209" s="145" t="s">
        <v>3876</v>
      </c>
      <c r="U209" s="144">
        <v>6716.5820000000003</v>
      </c>
      <c r="V209" s="146">
        <v>5.64286077041193E-3</v>
      </c>
      <c r="W209" s="146">
        <v>1.4870979216652133E-3</v>
      </c>
      <c r="X209" s="147">
        <v>2.9763907722316237E-4</v>
      </c>
      <c r="Y209" s="183"/>
    </row>
    <row r="210" spans="1:25" ht="15" x14ac:dyDescent="0.2">
      <c r="A210" s="142" t="s">
        <v>1220</v>
      </c>
      <c r="B210" s="143" t="s">
        <v>1220</v>
      </c>
      <c r="C210" s="143" t="s">
        <v>2315</v>
      </c>
      <c r="D210" s="143" t="s">
        <v>2316</v>
      </c>
      <c r="E210" s="143" t="s">
        <v>309</v>
      </c>
      <c r="F210" s="143" t="s">
        <v>2317</v>
      </c>
      <c r="G210" s="143" t="s">
        <v>2318</v>
      </c>
      <c r="H210" s="143" t="s">
        <v>321</v>
      </c>
      <c r="I210" s="143" t="s">
        <v>917</v>
      </c>
      <c r="J210" s="143" t="s">
        <v>204</v>
      </c>
      <c r="K210" s="143" t="s">
        <v>204</v>
      </c>
      <c r="L210" s="143" t="s">
        <v>325</v>
      </c>
      <c r="M210" s="143" t="s">
        <v>340</v>
      </c>
      <c r="N210" s="143" t="s">
        <v>462</v>
      </c>
      <c r="O210" s="143" t="s">
        <v>339</v>
      </c>
      <c r="P210" s="143" t="s">
        <v>1210</v>
      </c>
      <c r="Q210" s="144">
        <v>34109</v>
      </c>
      <c r="R210" s="145" t="s">
        <v>3876</v>
      </c>
      <c r="S210" s="143" t="s">
        <v>2319</v>
      </c>
      <c r="T210" s="145" t="s">
        <v>3876</v>
      </c>
      <c r="U210" s="144">
        <v>6627.3787000000002</v>
      </c>
      <c r="V210" s="146">
        <v>3.9726293998801074E-3</v>
      </c>
      <c r="W210" s="146">
        <v>1.4673476890753104E-3</v>
      </c>
      <c r="X210" s="147">
        <v>2.9368611560754863E-4</v>
      </c>
      <c r="Y210" s="183"/>
    </row>
    <row r="211" spans="1:25" ht="15" x14ac:dyDescent="0.2">
      <c r="A211" s="142" t="s">
        <v>1220</v>
      </c>
      <c r="B211" s="143" t="s">
        <v>1220</v>
      </c>
      <c r="C211" s="143" t="s">
        <v>2351</v>
      </c>
      <c r="D211" s="143" t="s">
        <v>2352</v>
      </c>
      <c r="E211" s="143" t="s">
        <v>309</v>
      </c>
      <c r="F211" s="143" t="s">
        <v>2353</v>
      </c>
      <c r="G211" s="143" t="s">
        <v>2354</v>
      </c>
      <c r="H211" s="143" t="s">
        <v>321</v>
      </c>
      <c r="I211" s="143" t="s">
        <v>917</v>
      </c>
      <c r="J211" s="143" t="s">
        <v>204</v>
      </c>
      <c r="K211" s="143" t="s">
        <v>204</v>
      </c>
      <c r="L211" s="143" t="s">
        <v>325</v>
      </c>
      <c r="M211" s="143" t="s">
        <v>340</v>
      </c>
      <c r="N211" s="143" t="s">
        <v>451</v>
      </c>
      <c r="O211" s="143" t="s">
        <v>339</v>
      </c>
      <c r="P211" s="143" t="s">
        <v>1210</v>
      </c>
      <c r="Q211" s="144">
        <v>20934000</v>
      </c>
      <c r="R211" s="145" t="s">
        <v>3876</v>
      </c>
      <c r="S211" s="143" t="s">
        <v>2355</v>
      </c>
      <c r="T211" s="145" t="s">
        <v>3876</v>
      </c>
      <c r="U211" s="144">
        <v>6133.6620000000003</v>
      </c>
      <c r="V211" s="146">
        <v>6.810188333230642E-2</v>
      </c>
      <c r="W211" s="146">
        <v>1.3580353815104977E-3</v>
      </c>
      <c r="X211" s="147">
        <v>2.7180751980109843E-4</v>
      </c>
      <c r="Y211" s="183"/>
    </row>
    <row r="212" spans="1:25" ht="15" x14ac:dyDescent="0.2">
      <c r="A212" s="142" t="s">
        <v>1220</v>
      </c>
      <c r="B212" s="143" t="s">
        <v>1220</v>
      </c>
      <c r="C212" s="143" t="s">
        <v>2361</v>
      </c>
      <c r="D212" s="143" t="s">
        <v>2362</v>
      </c>
      <c r="E212" s="143" t="s">
        <v>309</v>
      </c>
      <c r="F212" s="143" t="s">
        <v>2363</v>
      </c>
      <c r="G212" s="143" t="s">
        <v>2364</v>
      </c>
      <c r="H212" s="143" t="s">
        <v>321</v>
      </c>
      <c r="I212" s="143" t="s">
        <v>917</v>
      </c>
      <c r="J212" s="143" t="s">
        <v>204</v>
      </c>
      <c r="K212" s="143" t="s">
        <v>204</v>
      </c>
      <c r="L212" s="143" t="s">
        <v>325</v>
      </c>
      <c r="M212" s="143" t="s">
        <v>340</v>
      </c>
      <c r="N212" s="143" t="s">
        <v>464</v>
      </c>
      <c r="O212" s="143" t="s">
        <v>339</v>
      </c>
      <c r="P212" s="143" t="s">
        <v>1210</v>
      </c>
      <c r="Q212" s="144">
        <v>1352104.6</v>
      </c>
      <c r="R212" s="145" t="s">
        <v>3876</v>
      </c>
      <c r="S212" s="143" t="s">
        <v>2365</v>
      </c>
      <c r="T212" s="145" t="s">
        <v>3876</v>
      </c>
      <c r="U212" s="144">
        <v>4653.9440000000004</v>
      </c>
      <c r="V212" s="146">
        <v>1.4292377606354864E-2</v>
      </c>
      <c r="W212" s="146">
        <v>1.0304155430565405E-3</v>
      </c>
      <c r="X212" s="147">
        <v>2.0623519603088869E-4</v>
      </c>
      <c r="Y212" s="183"/>
    </row>
    <row r="213" spans="1:25" ht="15" x14ac:dyDescent="0.2">
      <c r="A213" s="142" t="s">
        <v>1220</v>
      </c>
      <c r="B213" s="143" t="s">
        <v>1220</v>
      </c>
      <c r="C213" s="143" t="s">
        <v>2356</v>
      </c>
      <c r="D213" s="143" t="s">
        <v>2357</v>
      </c>
      <c r="E213" s="143" t="s">
        <v>309</v>
      </c>
      <c r="F213" s="143" t="s">
        <v>2358</v>
      </c>
      <c r="G213" s="143" t="s">
        <v>2359</v>
      </c>
      <c r="H213" s="143" t="s">
        <v>321</v>
      </c>
      <c r="I213" s="143" t="s">
        <v>917</v>
      </c>
      <c r="J213" s="143" t="s">
        <v>204</v>
      </c>
      <c r="K213" s="143" t="s">
        <v>204</v>
      </c>
      <c r="L213" s="143" t="s">
        <v>325</v>
      </c>
      <c r="M213" s="143" t="s">
        <v>340</v>
      </c>
      <c r="N213" s="143" t="s">
        <v>477</v>
      </c>
      <c r="O213" s="143" t="s">
        <v>339</v>
      </c>
      <c r="P213" s="143" t="s">
        <v>1210</v>
      </c>
      <c r="Q213" s="144">
        <v>1200674.03</v>
      </c>
      <c r="R213" s="145" t="s">
        <v>3876</v>
      </c>
      <c r="S213" s="143" t="s">
        <v>2360</v>
      </c>
      <c r="T213" s="145" t="s">
        <v>3876</v>
      </c>
      <c r="U213" s="144">
        <v>4434.0892000000003</v>
      </c>
      <c r="V213" s="146">
        <v>2.1765799213038849E-2</v>
      </c>
      <c r="W213" s="146">
        <v>9.8173815390905825E-4</v>
      </c>
      <c r="X213" s="147">
        <v>1.9649253350919962E-4</v>
      </c>
      <c r="Y213" s="183"/>
    </row>
    <row r="214" spans="1:25" ht="15" x14ac:dyDescent="0.2">
      <c r="A214" s="142" t="s">
        <v>1220</v>
      </c>
      <c r="B214" s="143" t="s">
        <v>1220</v>
      </c>
      <c r="C214" s="143" t="s">
        <v>2366</v>
      </c>
      <c r="D214" s="143" t="s">
        <v>2367</v>
      </c>
      <c r="E214" s="143" t="s">
        <v>309</v>
      </c>
      <c r="F214" s="143" t="s">
        <v>2368</v>
      </c>
      <c r="G214" s="143" t="s">
        <v>2369</v>
      </c>
      <c r="H214" s="143" t="s">
        <v>321</v>
      </c>
      <c r="I214" s="143" t="s">
        <v>917</v>
      </c>
      <c r="J214" s="143" t="s">
        <v>204</v>
      </c>
      <c r="K214" s="143" t="s">
        <v>204</v>
      </c>
      <c r="L214" s="143" t="s">
        <v>325</v>
      </c>
      <c r="M214" s="143" t="s">
        <v>340</v>
      </c>
      <c r="N214" s="143" t="s">
        <v>445</v>
      </c>
      <c r="O214" s="143" t="s">
        <v>339</v>
      </c>
      <c r="P214" s="143" t="s">
        <v>1210</v>
      </c>
      <c r="Q214" s="144">
        <v>247880</v>
      </c>
      <c r="R214" s="145" t="s">
        <v>3876</v>
      </c>
      <c r="S214" s="143" t="s">
        <v>2370</v>
      </c>
      <c r="T214" s="145" t="s">
        <v>3876</v>
      </c>
      <c r="U214" s="144">
        <v>4213.96</v>
      </c>
      <c r="V214" s="146">
        <v>1.3621426765872798E-2</v>
      </c>
      <c r="W214" s="146">
        <v>9.3300002123853211E-4</v>
      </c>
      <c r="X214" s="147">
        <v>1.8673771331727062E-4</v>
      </c>
      <c r="Y214" s="183"/>
    </row>
    <row r="215" spans="1:25" ht="15" x14ac:dyDescent="0.2">
      <c r="A215" s="142" t="s">
        <v>1220</v>
      </c>
      <c r="B215" s="143" t="s">
        <v>1220</v>
      </c>
      <c r="C215" s="143" t="s">
        <v>2371</v>
      </c>
      <c r="D215" s="143" t="s">
        <v>2372</v>
      </c>
      <c r="E215" s="143" t="s">
        <v>309</v>
      </c>
      <c r="F215" s="143" t="s">
        <v>2373</v>
      </c>
      <c r="G215" s="143" t="s">
        <v>2374</v>
      </c>
      <c r="H215" s="143" t="s">
        <v>321</v>
      </c>
      <c r="I215" s="143" t="s">
        <v>917</v>
      </c>
      <c r="J215" s="143" t="s">
        <v>204</v>
      </c>
      <c r="K215" s="143" t="s">
        <v>204</v>
      </c>
      <c r="L215" s="143" t="s">
        <v>325</v>
      </c>
      <c r="M215" s="143" t="s">
        <v>340</v>
      </c>
      <c r="N215" s="143" t="s">
        <v>440</v>
      </c>
      <c r="O215" s="143" t="s">
        <v>339</v>
      </c>
      <c r="P215" s="143" t="s">
        <v>1210</v>
      </c>
      <c r="Q215" s="144">
        <v>45011</v>
      </c>
      <c r="R215" s="145" t="s">
        <v>3876</v>
      </c>
      <c r="S215" s="143" t="s">
        <v>2375</v>
      </c>
      <c r="T215" s="145" t="s">
        <v>3876</v>
      </c>
      <c r="U215" s="144">
        <v>2785.7307999999998</v>
      </c>
      <c r="V215" s="146">
        <v>3.6026631741646847E-3</v>
      </c>
      <c r="W215" s="146">
        <v>6.1678015126741422E-4</v>
      </c>
      <c r="X215" s="147">
        <v>1.2344706585779499E-4</v>
      </c>
      <c r="Y215" s="183"/>
    </row>
    <row r="216" spans="1:25" ht="15" x14ac:dyDescent="0.2">
      <c r="A216" s="142" t="s">
        <v>1220</v>
      </c>
      <c r="B216" s="143" t="s">
        <v>1220</v>
      </c>
      <c r="C216" s="143" t="s">
        <v>2376</v>
      </c>
      <c r="D216" s="143" t="s">
        <v>2377</v>
      </c>
      <c r="E216" s="143" t="s">
        <v>309</v>
      </c>
      <c r="F216" s="143" t="s">
        <v>2378</v>
      </c>
      <c r="G216" s="143" t="s">
        <v>2379</v>
      </c>
      <c r="H216" s="143" t="s">
        <v>321</v>
      </c>
      <c r="I216" s="143" t="s">
        <v>917</v>
      </c>
      <c r="J216" s="143" t="s">
        <v>204</v>
      </c>
      <c r="K216" s="143" t="s">
        <v>204</v>
      </c>
      <c r="L216" s="143" t="s">
        <v>325</v>
      </c>
      <c r="M216" s="143" t="s">
        <v>340</v>
      </c>
      <c r="N216" s="143" t="s">
        <v>439</v>
      </c>
      <c r="O216" s="143" t="s">
        <v>339</v>
      </c>
      <c r="P216" s="143" t="s">
        <v>1210</v>
      </c>
      <c r="Q216" s="144">
        <v>670143</v>
      </c>
      <c r="R216" s="145" t="s">
        <v>3876</v>
      </c>
      <c r="S216" s="143" t="s">
        <v>2380</v>
      </c>
      <c r="T216" s="145" t="s">
        <v>3876</v>
      </c>
      <c r="U216" s="144">
        <v>1269.921</v>
      </c>
      <c r="V216" s="146">
        <v>2.2780785332903106E-2</v>
      </c>
      <c r="W216" s="146">
        <v>2.8116932908149519E-4</v>
      </c>
      <c r="X216" s="147">
        <v>5.6275365886841806E-5</v>
      </c>
      <c r="Y216" s="183"/>
    </row>
    <row r="217" spans="1:25" ht="15" x14ac:dyDescent="0.2">
      <c r="A217" s="142" t="s">
        <v>1220</v>
      </c>
      <c r="B217" s="143" t="s">
        <v>1220</v>
      </c>
      <c r="C217" s="143" t="s">
        <v>2381</v>
      </c>
      <c r="D217" s="143" t="s">
        <v>2382</v>
      </c>
      <c r="E217" s="143" t="s">
        <v>309</v>
      </c>
      <c r="F217" s="143" t="s">
        <v>2383</v>
      </c>
      <c r="G217" s="143" t="s">
        <v>2384</v>
      </c>
      <c r="H217" s="143" t="s">
        <v>321</v>
      </c>
      <c r="I217" s="143" t="s">
        <v>917</v>
      </c>
      <c r="J217" s="143" t="s">
        <v>204</v>
      </c>
      <c r="K217" s="143" t="s">
        <v>204</v>
      </c>
      <c r="L217" s="143" t="s">
        <v>325</v>
      </c>
      <c r="M217" s="143" t="s">
        <v>340</v>
      </c>
      <c r="N217" s="143" t="s">
        <v>459</v>
      </c>
      <c r="O217" s="143" t="s">
        <v>339</v>
      </c>
      <c r="P217" s="143" t="s">
        <v>1210</v>
      </c>
      <c r="Q217" s="144">
        <v>6452.23</v>
      </c>
      <c r="R217" s="145" t="s">
        <v>3876</v>
      </c>
      <c r="S217" s="143" t="s">
        <v>2385</v>
      </c>
      <c r="T217" s="145" t="s">
        <v>3876</v>
      </c>
      <c r="U217" s="144">
        <v>934.92809999999997</v>
      </c>
      <c r="V217" s="146">
        <v>1.9212940698984269E-3</v>
      </c>
      <c r="W217" s="146">
        <v>2.0699958289767842E-4</v>
      </c>
      <c r="X217" s="147">
        <v>4.1430469333353609E-5</v>
      </c>
      <c r="Y217" s="183"/>
    </row>
    <row r="218" spans="1:25" ht="15" x14ac:dyDescent="0.2">
      <c r="A218" s="142" t="s">
        <v>1220</v>
      </c>
      <c r="B218" s="143" t="s">
        <v>1220</v>
      </c>
      <c r="C218" s="143" t="s">
        <v>2386</v>
      </c>
      <c r="D218" s="143" t="s">
        <v>2387</v>
      </c>
      <c r="E218" s="143" t="s">
        <v>309</v>
      </c>
      <c r="F218" s="143" t="s">
        <v>2388</v>
      </c>
      <c r="G218" s="143" t="s">
        <v>2389</v>
      </c>
      <c r="H218" s="143" t="s">
        <v>321</v>
      </c>
      <c r="I218" s="143" t="s">
        <v>917</v>
      </c>
      <c r="J218" s="143" t="s">
        <v>204</v>
      </c>
      <c r="K218" s="143" t="s">
        <v>204</v>
      </c>
      <c r="L218" s="143" t="s">
        <v>325</v>
      </c>
      <c r="M218" s="143" t="s">
        <v>340</v>
      </c>
      <c r="N218" s="143" t="s">
        <v>473</v>
      </c>
      <c r="O218" s="143" t="s">
        <v>339</v>
      </c>
      <c r="P218" s="143" t="s">
        <v>1210</v>
      </c>
      <c r="Q218" s="144">
        <v>5187000</v>
      </c>
      <c r="R218" s="145" t="s">
        <v>3876</v>
      </c>
      <c r="S218" s="143" t="s">
        <v>2390</v>
      </c>
      <c r="T218" s="145" t="s">
        <v>3876</v>
      </c>
      <c r="U218" s="144">
        <v>835.10699999999997</v>
      </c>
      <c r="V218" s="146">
        <v>4.6275151820770653E-2</v>
      </c>
      <c r="W218" s="146">
        <v>1.8489849185479853E-4</v>
      </c>
      <c r="X218" s="147">
        <v>3.7006989044804861E-5</v>
      </c>
      <c r="Y218" s="183"/>
    </row>
    <row r="219" spans="1:25" ht="15" x14ac:dyDescent="0.2">
      <c r="A219" s="142" t="s">
        <v>1220</v>
      </c>
      <c r="B219" s="143" t="s">
        <v>1220</v>
      </c>
      <c r="C219" s="143" t="s">
        <v>2391</v>
      </c>
      <c r="D219" s="143" t="s">
        <v>2392</v>
      </c>
      <c r="E219" s="143" t="s">
        <v>309</v>
      </c>
      <c r="F219" s="143" t="s">
        <v>2393</v>
      </c>
      <c r="G219" s="143" t="s">
        <v>2394</v>
      </c>
      <c r="H219" s="143" t="s">
        <v>321</v>
      </c>
      <c r="I219" s="143" t="s">
        <v>917</v>
      </c>
      <c r="J219" s="143" t="s">
        <v>204</v>
      </c>
      <c r="K219" s="143" t="s">
        <v>204</v>
      </c>
      <c r="L219" s="143" t="s">
        <v>325</v>
      </c>
      <c r="M219" s="143" t="s">
        <v>340</v>
      </c>
      <c r="N219" s="143" t="s">
        <v>480</v>
      </c>
      <c r="O219" s="143" t="s">
        <v>339</v>
      </c>
      <c r="P219" s="143" t="s">
        <v>1210</v>
      </c>
      <c r="Q219" s="144">
        <v>1682000</v>
      </c>
      <c r="R219" s="145" t="s">
        <v>3876</v>
      </c>
      <c r="S219" s="143" t="s">
        <v>2395</v>
      </c>
      <c r="T219" s="145" t="s">
        <v>3876</v>
      </c>
      <c r="U219" s="144">
        <v>761.94600000000003</v>
      </c>
      <c r="V219" s="146">
        <v>1.128012982530774E-2</v>
      </c>
      <c r="W219" s="146">
        <v>1.6870013815570498E-4</v>
      </c>
      <c r="X219" s="147">
        <v>3.3764927458077694E-5</v>
      </c>
      <c r="Y219" s="183"/>
    </row>
    <row r="220" spans="1:25" ht="15" x14ac:dyDescent="0.2">
      <c r="A220" s="142" t="s">
        <v>1220</v>
      </c>
      <c r="B220" s="143" t="s">
        <v>1220</v>
      </c>
      <c r="C220" s="143" t="s">
        <v>2396</v>
      </c>
      <c r="D220" s="143" t="s">
        <v>2397</v>
      </c>
      <c r="E220" s="143" t="s">
        <v>309</v>
      </c>
      <c r="F220" s="143" t="s">
        <v>2398</v>
      </c>
      <c r="G220" s="143" t="s">
        <v>2399</v>
      </c>
      <c r="H220" s="143" t="s">
        <v>321</v>
      </c>
      <c r="I220" s="143" t="s">
        <v>917</v>
      </c>
      <c r="J220" s="143" t="s">
        <v>204</v>
      </c>
      <c r="K220" s="143" t="s">
        <v>204</v>
      </c>
      <c r="L220" s="143" t="s">
        <v>325</v>
      </c>
      <c r="M220" s="143" t="s">
        <v>340</v>
      </c>
      <c r="N220" s="143" t="s">
        <v>480</v>
      </c>
      <c r="O220" s="143" t="s">
        <v>339</v>
      </c>
      <c r="P220" s="143" t="s">
        <v>1210</v>
      </c>
      <c r="Q220" s="144">
        <v>390320</v>
      </c>
      <c r="R220" s="145" t="s">
        <v>3876</v>
      </c>
      <c r="S220" s="143" t="s">
        <v>2400</v>
      </c>
      <c r="T220" s="145" t="s">
        <v>3876</v>
      </c>
      <c r="U220" s="144">
        <v>482.43549999999999</v>
      </c>
      <c r="V220" s="146">
        <v>3.0970403872093946E-2</v>
      </c>
      <c r="W220" s="146">
        <v>1.0681457593480295E-4</v>
      </c>
      <c r="X220" s="147">
        <v>2.1378680819900609E-5</v>
      </c>
      <c r="Y220" s="183"/>
    </row>
    <row r="221" spans="1:25" ht="15" x14ac:dyDescent="0.2">
      <c r="A221" s="142" t="s">
        <v>1220</v>
      </c>
      <c r="B221" s="143" t="s">
        <v>1220</v>
      </c>
      <c r="C221" s="143" t="s">
        <v>2401</v>
      </c>
      <c r="D221" s="143" t="s">
        <v>2402</v>
      </c>
      <c r="E221" s="143" t="s">
        <v>309</v>
      </c>
      <c r="F221" s="143" t="s">
        <v>2403</v>
      </c>
      <c r="G221" s="143" t="s">
        <v>2404</v>
      </c>
      <c r="H221" s="143" t="s">
        <v>321</v>
      </c>
      <c r="I221" s="143" t="s">
        <v>917</v>
      </c>
      <c r="J221" s="143" t="s">
        <v>204</v>
      </c>
      <c r="K221" s="143" t="s">
        <v>204</v>
      </c>
      <c r="L221" s="143" t="s">
        <v>325</v>
      </c>
      <c r="M221" s="143" t="s">
        <v>340</v>
      </c>
      <c r="N221" s="143" t="s">
        <v>460</v>
      </c>
      <c r="O221" s="143" t="s">
        <v>339</v>
      </c>
      <c r="P221" s="143" t="s">
        <v>1210</v>
      </c>
      <c r="Q221" s="144">
        <v>677374</v>
      </c>
      <c r="R221" s="145" t="s">
        <v>3876</v>
      </c>
      <c r="S221" s="143" t="s">
        <v>2405</v>
      </c>
      <c r="T221" s="145" t="s">
        <v>3876</v>
      </c>
      <c r="U221" s="144">
        <v>240.46779999999998</v>
      </c>
      <c r="V221" s="146">
        <v>2.5316667644015751E-2</v>
      </c>
      <c r="W221" s="146">
        <v>5.3241234970712213E-5</v>
      </c>
      <c r="X221" s="147">
        <v>1.0656105301498677E-5</v>
      </c>
      <c r="Y221" s="183"/>
    </row>
    <row r="222" spans="1:25" ht="15" x14ac:dyDescent="0.2">
      <c r="A222" s="142" t="s">
        <v>1220</v>
      </c>
      <c r="B222" s="143" t="s">
        <v>1220</v>
      </c>
      <c r="C222" s="143" t="s">
        <v>2411</v>
      </c>
      <c r="D222" s="143" t="s">
        <v>2412</v>
      </c>
      <c r="E222" s="143" t="s">
        <v>313</v>
      </c>
      <c r="F222" s="143" t="s">
        <v>2411</v>
      </c>
      <c r="G222" s="143" t="s">
        <v>2413</v>
      </c>
      <c r="H222" s="143" t="s">
        <v>321</v>
      </c>
      <c r="I222" s="143" t="s">
        <v>917</v>
      </c>
      <c r="J222" s="143" t="s">
        <v>205</v>
      </c>
      <c r="K222" s="143" t="s">
        <v>224</v>
      </c>
      <c r="L222" s="143" t="s">
        <v>325</v>
      </c>
      <c r="M222" s="143" t="s">
        <v>344</v>
      </c>
      <c r="N222" s="143" t="s">
        <v>544</v>
      </c>
      <c r="O222" s="143" t="s">
        <v>339</v>
      </c>
      <c r="P222" s="143" t="s">
        <v>1211</v>
      </c>
      <c r="Q222" s="144">
        <v>54890</v>
      </c>
      <c r="R222" s="143" t="s">
        <v>1212</v>
      </c>
      <c r="S222" s="143" t="s">
        <v>2414</v>
      </c>
      <c r="T222" s="145" t="s">
        <v>3876</v>
      </c>
      <c r="U222" s="144">
        <v>104036.474</v>
      </c>
      <c r="V222" s="146">
        <v>2.4337998892397136E-5</v>
      </c>
      <c r="W222" s="146">
        <v>2.3034398149399754E-2</v>
      </c>
      <c r="X222" s="147">
        <v>4.6102794642474939E-3</v>
      </c>
      <c r="Y222" s="183"/>
    </row>
    <row r="223" spans="1:25" ht="15" x14ac:dyDescent="0.2">
      <c r="A223" s="142" t="s">
        <v>1220</v>
      </c>
      <c r="B223" s="143" t="s">
        <v>1220</v>
      </c>
      <c r="C223" s="143" t="s">
        <v>2415</v>
      </c>
      <c r="D223" s="143" t="s">
        <v>2416</v>
      </c>
      <c r="E223" s="143" t="s">
        <v>313</v>
      </c>
      <c r="F223" s="143" t="s">
        <v>2415</v>
      </c>
      <c r="G223" s="143" t="s">
        <v>2417</v>
      </c>
      <c r="H223" s="143" t="s">
        <v>321</v>
      </c>
      <c r="I223" s="143" t="s">
        <v>917</v>
      </c>
      <c r="J223" s="143" t="s">
        <v>205</v>
      </c>
      <c r="K223" s="143" t="s">
        <v>224</v>
      </c>
      <c r="L223" s="143" t="s">
        <v>325</v>
      </c>
      <c r="M223" s="143" t="s">
        <v>344</v>
      </c>
      <c r="N223" s="143" t="s">
        <v>546</v>
      </c>
      <c r="O223" s="143" t="s">
        <v>339</v>
      </c>
      <c r="P223" s="143" t="s">
        <v>1211</v>
      </c>
      <c r="Q223" s="144">
        <v>55745</v>
      </c>
      <c r="R223" s="143" t="s">
        <v>1212</v>
      </c>
      <c r="S223" s="143" t="s">
        <v>2418</v>
      </c>
      <c r="T223" s="145" t="s">
        <v>3876</v>
      </c>
      <c r="U223" s="144">
        <v>93656.341099999991</v>
      </c>
      <c r="V223" s="146">
        <v>7.4780604879781578E-6</v>
      </c>
      <c r="W223" s="146">
        <v>2.0736164616382797E-2</v>
      </c>
      <c r="X223" s="147">
        <v>4.1502935426448867E-3</v>
      </c>
      <c r="Y223" s="183"/>
    </row>
    <row r="224" spans="1:25" ht="15" x14ac:dyDescent="0.2">
      <c r="A224" s="142" t="s">
        <v>1220</v>
      </c>
      <c r="B224" s="143" t="s">
        <v>1220</v>
      </c>
      <c r="C224" s="143" t="s">
        <v>2419</v>
      </c>
      <c r="D224" s="143" t="s">
        <v>2420</v>
      </c>
      <c r="E224" s="143" t="s">
        <v>313</v>
      </c>
      <c r="F224" s="143" t="s">
        <v>2419</v>
      </c>
      <c r="G224" s="143" t="s">
        <v>2421</v>
      </c>
      <c r="H224" s="143" t="s">
        <v>321</v>
      </c>
      <c r="I224" s="143" t="s">
        <v>917</v>
      </c>
      <c r="J224" s="143" t="s">
        <v>205</v>
      </c>
      <c r="K224" s="143" t="s">
        <v>224</v>
      </c>
      <c r="L224" s="143" t="s">
        <v>325</v>
      </c>
      <c r="M224" s="143" t="s">
        <v>344</v>
      </c>
      <c r="N224" s="143" t="s">
        <v>521</v>
      </c>
      <c r="O224" s="143" t="s">
        <v>339</v>
      </c>
      <c r="P224" s="143" t="s">
        <v>1211</v>
      </c>
      <c r="Q224" s="144">
        <v>120857</v>
      </c>
      <c r="R224" s="143" t="s">
        <v>1212</v>
      </c>
      <c r="S224" s="143" t="s">
        <v>2422</v>
      </c>
      <c r="T224" s="145" t="s">
        <v>3876</v>
      </c>
      <c r="U224" s="144">
        <v>87793.757700000002</v>
      </c>
      <c r="V224" s="146">
        <v>1.1846804449552985E-5</v>
      </c>
      <c r="W224" s="146">
        <v>1.9438147923046798E-2</v>
      </c>
      <c r="X224" s="147">
        <v>3.8904986191255438E-3</v>
      </c>
      <c r="Y224" s="183"/>
    </row>
    <row r="225" spans="1:25" ht="15" x14ac:dyDescent="0.2">
      <c r="A225" s="142" t="s">
        <v>1220</v>
      </c>
      <c r="B225" s="143" t="s">
        <v>1220</v>
      </c>
      <c r="C225" s="143" t="s">
        <v>2423</v>
      </c>
      <c r="D225" s="143" t="s">
        <v>2424</v>
      </c>
      <c r="E225" s="143" t="s">
        <v>313</v>
      </c>
      <c r="F225" s="143" t="s">
        <v>2423</v>
      </c>
      <c r="G225" s="143" t="s">
        <v>2425</v>
      </c>
      <c r="H225" s="143" t="s">
        <v>321</v>
      </c>
      <c r="I225" s="143" t="s">
        <v>917</v>
      </c>
      <c r="J225" s="143" t="s">
        <v>205</v>
      </c>
      <c r="K225" s="143" t="s">
        <v>224</v>
      </c>
      <c r="L225" s="143" t="s">
        <v>325</v>
      </c>
      <c r="M225" s="143" t="s">
        <v>344</v>
      </c>
      <c r="N225" s="143" t="s">
        <v>546</v>
      </c>
      <c r="O225" s="143" t="s">
        <v>339</v>
      </c>
      <c r="P225" s="143" t="s">
        <v>1211</v>
      </c>
      <c r="Q225" s="144">
        <v>109503</v>
      </c>
      <c r="R225" s="143" t="s">
        <v>1212</v>
      </c>
      <c r="S225" s="143" t="s">
        <v>2426</v>
      </c>
      <c r="T225" s="145" t="s">
        <v>3876</v>
      </c>
      <c r="U225" s="144">
        <v>86695.77870000001</v>
      </c>
      <c r="V225" s="146">
        <v>6.8834666677730198E-6</v>
      </c>
      <c r="W225" s="146">
        <v>1.9195047732305123E-2</v>
      </c>
      <c r="X225" s="147">
        <v>3.8418426998407503E-3</v>
      </c>
      <c r="Y225" s="183"/>
    </row>
    <row r="226" spans="1:25" ht="15" x14ac:dyDescent="0.2">
      <c r="A226" s="142" t="s">
        <v>1220</v>
      </c>
      <c r="B226" s="143" t="s">
        <v>1220</v>
      </c>
      <c r="C226" s="143" t="s">
        <v>2427</v>
      </c>
      <c r="D226" s="143" t="s">
        <v>2428</v>
      </c>
      <c r="E226" s="143" t="s">
        <v>313</v>
      </c>
      <c r="F226" s="143" t="s">
        <v>2427</v>
      </c>
      <c r="G226" s="143" t="s">
        <v>2429</v>
      </c>
      <c r="H226" s="143" t="s">
        <v>321</v>
      </c>
      <c r="I226" s="143" t="s">
        <v>917</v>
      </c>
      <c r="J226" s="143" t="s">
        <v>205</v>
      </c>
      <c r="K226" s="143" t="s">
        <v>224</v>
      </c>
      <c r="L226" s="143" t="s">
        <v>325</v>
      </c>
      <c r="M226" s="143" t="s">
        <v>344</v>
      </c>
      <c r="N226" s="143" t="s">
        <v>544</v>
      </c>
      <c r="O226" s="143" t="s">
        <v>339</v>
      </c>
      <c r="P226" s="143" t="s">
        <v>1211</v>
      </c>
      <c r="Q226" s="144">
        <v>40893</v>
      </c>
      <c r="R226" s="143" t="s">
        <v>1212</v>
      </c>
      <c r="S226" s="143" t="s">
        <v>2430</v>
      </c>
      <c r="T226" s="145" t="s">
        <v>3876</v>
      </c>
      <c r="U226" s="144">
        <v>85395.823799999998</v>
      </c>
      <c r="V226" s="146">
        <v>8.7960851796085182E-5</v>
      </c>
      <c r="W226" s="146">
        <v>1.8907228703099528E-2</v>
      </c>
      <c r="X226" s="147">
        <v>3.7842364124457055E-3</v>
      </c>
      <c r="Y226" s="183"/>
    </row>
    <row r="227" spans="1:25" ht="15" x14ac:dyDescent="0.2">
      <c r="A227" s="142" t="s">
        <v>1220</v>
      </c>
      <c r="B227" s="143" t="s">
        <v>1220</v>
      </c>
      <c r="C227" s="143" t="s">
        <v>2436</v>
      </c>
      <c r="D227" s="143" t="s">
        <v>2437</v>
      </c>
      <c r="E227" s="143" t="s">
        <v>313</v>
      </c>
      <c r="F227" s="143" t="s">
        <v>2438</v>
      </c>
      <c r="G227" s="143" t="s">
        <v>2439</v>
      </c>
      <c r="H227" s="143" t="s">
        <v>321</v>
      </c>
      <c r="I227" s="143" t="s">
        <v>917</v>
      </c>
      <c r="J227" s="143" t="s">
        <v>205</v>
      </c>
      <c r="K227" s="143" t="s">
        <v>224</v>
      </c>
      <c r="L227" s="143" t="s">
        <v>325</v>
      </c>
      <c r="M227" s="143" t="s">
        <v>344</v>
      </c>
      <c r="N227" s="143" t="s">
        <v>539</v>
      </c>
      <c r="O227" s="143" t="s">
        <v>339</v>
      </c>
      <c r="P227" s="143" t="s">
        <v>1211</v>
      </c>
      <c r="Q227" s="144">
        <v>77798</v>
      </c>
      <c r="R227" s="143" t="s">
        <v>1212</v>
      </c>
      <c r="S227" s="143" t="s">
        <v>2440</v>
      </c>
      <c r="T227" s="145" t="s">
        <v>3876</v>
      </c>
      <c r="U227" s="144">
        <v>76757.430699999997</v>
      </c>
      <c r="V227" s="146">
        <v>4.7791784639030673E-5</v>
      </c>
      <c r="W227" s="146">
        <v>1.6994628452778614E-2</v>
      </c>
      <c r="X227" s="147">
        <v>3.4014340661383032E-3</v>
      </c>
      <c r="Y227" s="183"/>
    </row>
    <row r="228" spans="1:25" x14ac:dyDescent="0.2">
      <c r="A228" s="142" t="s">
        <v>1220</v>
      </c>
      <c r="B228" s="143" t="s">
        <v>1220</v>
      </c>
      <c r="C228" s="143" t="s">
        <v>2431</v>
      </c>
      <c r="D228" s="143" t="s">
        <v>2432</v>
      </c>
      <c r="E228" s="143" t="s">
        <v>313</v>
      </c>
      <c r="F228" s="143" t="s">
        <v>2433</v>
      </c>
      <c r="G228" s="143" t="s">
        <v>2434</v>
      </c>
      <c r="H228" s="143" t="s">
        <v>321</v>
      </c>
      <c r="I228" s="143" t="s">
        <v>917</v>
      </c>
      <c r="J228" s="143" t="s">
        <v>205</v>
      </c>
      <c r="K228" s="143" t="s">
        <v>224</v>
      </c>
      <c r="L228" s="143" t="s">
        <v>325</v>
      </c>
      <c r="M228" s="143" t="s">
        <v>344</v>
      </c>
      <c r="N228" s="143" t="s">
        <v>546</v>
      </c>
      <c r="O228" s="143" t="s">
        <v>339</v>
      </c>
      <c r="P228" s="143" t="s">
        <v>1211</v>
      </c>
      <c r="Q228" s="144">
        <v>115231</v>
      </c>
      <c r="R228" s="143" t="s">
        <v>1212</v>
      </c>
      <c r="S228" s="143" t="s">
        <v>2435</v>
      </c>
      <c r="T228" s="144">
        <v>64.298900000000003</v>
      </c>
      <c r="U228" s="144">
        <v>75528.079700000002</v>
      </c>
      <c r="V228" s="146">
        <v>2.2219304152118095E-5</v>
      </c>
      <c r="W228" s="146">
        <v>1.6736677808829609E-2</v>
      </c>
      <c r="X228" s="147">
        <v>3.3498058643127433E-3</v>
      </c>
      <c r="Y228" s="183"/>
    </row>
    <row r="229" spans="1:25" x14ac:dyDescent="0.2">
      <c r="A229" s="142" t="s">
        <v>1220</v>
      </c>
      <c r="B229" s="143" t="s">
        <v>1220</v>
      </c>
      <c r="C229" s="143" t="s">
        <v>2441</v>
      </c>
      <c r="D229" s="143" t="s">
        <v>2442</v>
      </c>
      <c r="E229" s="143" t="s">
        <v>313</v>
      </c>
      <c r="F229" s="143" t="s">
        <v>2441</v>
      </c>
      <c r="G229" s="143" t="s">
        <v>2443</v>
      </c>
      <c r="H229" s="143" t="s">
        <v>321</v>
      </c>
      <c r="I229" s="143" t="s">
        <v>917</v>
      </c>
      <c r="J229" s="143" t="s">
        <v>205</v>
      </c>
      <c r="K229" s="143" t="s">
        <v>224</v>
      </c>
      <c r="L229" s="143" t="s">
        <v>325</v>
      </c>
      <c r="M229" s="143" t="s">
        <v>344</v>
      </c>
      <c r="N229" s="143" t="s">
        <v>546</v>
      </c>
      <c r="O229" s="143" t="s">
        <v>339</v>
      </c>
      <c r="P229" s="143" t="s">
        <v>1211</v>
      </c>
      <c r="Q229" s="144">
        <v>151720</v>
      </c>
      <c r="R229" s="143" t="s">
        <v>1212</v>
      </c>
      <c r="S229" s="143" t="s">
        <v>2444</v>
      </c>
      <c r="T229" s="144">
        <v>1.5172000000000001</v>
      </c>
      <c r="U229" s="144">
        <v>70462.477599999998</v>
      </c>
      <c r="V229" s="146">
        <v>6.1674796747967481E-5</v>
      </c>
      <c r="W229" s="146">
        <v>1.5601217999704271E-2</v>
      </c>
      <c r="X229" s="147">
        <v>3.1225463107296017E-3</v>
      </c>
      <c r="Y229" s="183"/>
    </row>
    <row r="230" spans="1:25" ht="15" x14ac:dyDescent="0.2">
      <c r="A230" s="142" t="s">
        <v>1220</v>
      </c>
      <c r="B230" s="143" t="s">
        <v>1220</v>
      </c>
      <c r="C230" s="143" t="s">
        <v>2445</v>
      </c>
      <c r="D230" s="143" t="s">
        <v>2446</v>
      </c>
      <c r="E230" s="143" t="s">
        <v>313</v>
      </c>
      <c r="F230" s="143" t="s">
        <v>2445</v>
      </c>
      <c r="G230" s="143" t="s">
        <v>2447</v>
      </c>
      <c r="H230" s="143" t="s">
        <v>321</v>
      </c>
      <c r="I230" s="143" t="s">
        <v>917</v>
      </c>
      <c r="J230" s="143" t="s">
        <v>205</v>
      </c>
      <c r="K230" s="143" t="s">
        <v>224</v>
      </c>
      <c r="L230" s="143" t="s">
        <v>325</v>
      </c>
      <c r="M230" s="143" t="s">
        <v>344</v>
      </c>
      <c r="N230" s="143" t="s">
        <v>517</v>
      </c>
      <c r="O230" s="143" t="s">
        <v>339</v>
      </c>
      <c r="P230" s="143" t="s">
        <v>1211</v>
      </c>
      <c r="Q230" s="144">
        <v>85914</v>
      </c>
      <c r="R230" s="143" t="s">
        <v>1212</v>
      </c>
      <c r="S230" s="143" t="s">
        <v>2448</v>
      </c>
      <c r="T230" s="145" t="s">
        <v>3876</v>
      </c>
      <c r="U230" s="144">
        <v>63905.489700000006</v>
      </c>
      <c r="V230" s="146">
        <v>2.7207329771305663E-5</v>
      </c>
      <c r="W230" s="146">
        <v>1.4149119405703858E-2</v>
      </c>
      <c r="X230" s="147">
        <v>2.8319122648751316E-3</v>
      </c>
      <c r="Y230" s="183"/>
    </row>
    <row r="231" spans="1:25" ht="15" x14ac:dyDescent="0.2">
      <c r="A231" s="142" t="s">
        <v>1220</v>
      </c>
      <c r="B231" s="143" t="s">
        <v>1220</v>
      </c>
      <c r="C231" s="143" t="s">
        <v>2499</v>
      </c>
      <c r="D231" s="143" t="s">
        <v>2500</v>
      </c>
      <c r="E231" s="143" t="s">
        <v>313</v>
      </c>
      <c r="F231" s="143" t="s">
        <v>2501</v>
      </c>
      <c r="G231" s="143" t="s">
        <v>2502</v>
      </c>
      <c r="H231" s="143" t="s">
        <v>321</v>
      </c>
      <c r="I231" s="143" t="s">
        <v>917</v>
      </c>
      <c r="J231" s="143" t="s">
        <v>205</v>
      </c>
      <c r="K231" s="143" t="s">
        <v>224</v>
      </c>
      <c r="L231" s="143" t="s">
        <v>325</v>
      </c>
      <c r="M231" s="143" t="s">
        <v>344</v>
      </c>
      <c r="N231" s="143" t="s">
        <v>546</v>
      </c>
      <c r="O231" s="143" t="s">
        <v>339</v>
      </c>
      <c r="P231" s="143" t="s">
        <v>1211</v>
      </c>
      <c r="Q231" s="144">
        <v>90746</v>
      </c>
      <c r="R231" s="143" t="s">
        <v>1212</v>
      </c>
      <c r="S231" s="143" t="s">
        <v>2503</v>
      </c>
      <c r="T231" s="145" t="s">
        <v>3876</v>
      </c>
      <c r="U231" s="144">
        <v>62567.169099999999</v>
      </c>
      <c r="V231" s="146">
        <v>1.4910614525139664E-5</v>
      </c>
      <c r="W231" s="146">
        <v>1.3852805942362734E-2</v>
      </c>
      <c r="X231" s="147">
        <v>2.7726058368902863E-3</v>
      </c>
      <c r="Y231" s="183"/>
    </row>
    <row r="232" spans="1:25" ht="15" x14ac:dyDescent="0.2">
      <c r="A232" s="142" t="s">
        <v>1220</v>
      </c>
      <c r="B232" s="143" t="s">
        <v>1220</v>
      </c>
      <c r="C232" s="143" t="s">
        <v>2453</v>
      </c>
      <c r="D232" s="143" t="s">
        <v>2454</v>
      </c>
      <c r="E232" s="143" t="s">
        <v>313</v>
      </c>
      <c r="F232" s="143" t="s">
        <v>2455</v>
      </c>
      <c r="G232" s="143" t="s">
        <v>2456</v>
      </c>
      <c r="H232" s="143" t="s">
        <v>321</v>
      </c>
      <c r="I232" s="143" t="s">
        <v>917</v>
      </c>
      <c r="J232" s="143" t="s">
        <v>205</v>
      </c>
      <c r="K232" s="143" t="s">
        <v>281</v>
      </c>
      <c r="L232" s="143" t="s">
        <v>325</v>
      </c>
      <c r="M232" s="143" t="s">
        <v>364</v>
      </c>
      <c r="N232" s="143" t="s">
        <v>517</v>
      </c>
      <c r="O232" s="143" t="s">
        <v>339</v>
      </c>
      <c r="P232" s="143" t="s">
        <v>1213</v>
      </c>
      <c r="Q232" s="144">
        <v>21570</v>
      </c>
      <c r="R232" s="143" t="s">
        <v>1214</v>
      </c>
      <c r="S232" s="143" t="s">
        <v>2457</v>
      </c>
      <c r="T232" s="145" t="s">
        <v>3876</v>
      </c>
      <c r="U232" s="144">
        <v>61880.333500000001</v>
      </c>
      <c r="V232" s="146">
        <v>4.2964019376633311E-5</v>
      </c>
      <c r="W232" s="146">
        <v>1.3700735763854105E-2</v>
      </c>
      <c r="X232" s="147">
        <v>2.742169355912768E-3</v>
      </c>
      <c r="Y232" s="183"/>
    </row>
    <row r="233" spans="1:25" ht="15" x14ac:dyDescent="0.2">
      <c r="A233" s="142" t="s">
        <v>1220</v>
      </c>
      <c r="B233" s="143" t="s">
        <v>1220</v>
      </c>
      <c r="C233" s="143" t="s">
        <v>2449</v>
      </c>
      <c r="D233" s="143" t="s">
        <v>2450</v>
      </c>
      <c r="E233" s="143" t="s">
        <v>313</v>
      </c>
      <c r="F233" s="143" t="s">
        <v>2449</v>
      </c>
      <c r="G233" s="143" t="s">
        <v>2451</v>
      </c>
      <c r="H233" s="143" t="s">
        <v>321</v>
      </c>
      <c r="I233" s="143" t="s">
        <v>917</v>
      </c>
      <c r="J233" s="143" t="s">
        <v>205</v>
      </c>
      <c r="K233" s="143" t="s">
        <v>224</v>
      </c>
      <c r="L233" s="143" t="s">
        <v>325</v>
      </c>
      <c r="M233" s="143" t="s">
        <v>344</v>
      </c>
      <c r="N233" s="143" t="s">
        <v>544</v>
      </c>
      <c r="O233" s="143" t="s">
        <v>339</v>
      </c>
      <c r="P233" s="143" t="s">
        <v>1211</v>
      </c>
      <c r="Q233" s="144">
        <v>46375</v>
      </c>
      <c r="R233" s="143" t="s">
        <v>1212</v>
      </c>
      <c r="S233" s="143" t="s">
        <v>2452</v>
      </c>
      <c r="T233" s="145" t="s">
        <v>3876</v>
      </c>
      <c r="U233" s="144">
        <v>59097.452100000002</v>
      </c>
      <c r="V233" s="146">
        <v>1.5337829122527344E-4</v>
      </c>
      <c r="W233" s="146">
        <v>1.3084586487517532E-2</v>
      </c>
      <c r="X233" s="147">
        <v>2.6188485581571091E-3</v>
      </c>
      <c r="Y233" s="183"/>
    </row>
    <row r="234" spans="1:25" ht="15" x14ac:dyDescent="0.2">
      <c r="A234" s="142" t="s">
        <v>1220</v>
      </c>
      <c r="B234" s="143" t="s">
        <v>1220</v>
      </c>
      <c r="C234" s="143" t="s">
        <v>2458</v>
      </c>
      <c r="D234" s="143" t="s">
        <v>2459</v>
      </c>
      <c r="E234" s="143" t="s">
        <v>309</v>
      </c>
      <c r="F234" s="143" t="s">
        <v>2460</v>
      </c>
      <c r="G234" s="143" t="s">
        <v>2461</v>
      </c>
      <c r="H234" s="143" t="s">
        <v>321</v>
      </c>
      <c r="I234" s="143" t="s">
        <v>917</v>
      </c>
      <c r="J234" s="143" t="s">
        <v>205</v>
      </c>
      <c r="K234" s="143" t="s">
        <v>224</v>
      </c>
      <c r="L234" s="143" t="s">
        <v>325</v>
      </c>
      <c r="M234" s="143" t="s">
        <v>344</v>
      </c>
      <c r="N234" s="143" t="s">
        <v>458</v>
      </c>
      <c r="O234" s="143" t="s">
        <v>339</v>
      </c>
      <c r="P234" s="143" t="s">
        <v>1211</v>
      </c>
      <c r="Q234" s="144">
        <v>397552.54</v>
      </c>
      <c r="R234" s="143" t="s">
        <v>1212</v>
      </c>
      <c r="S234" s="143" t="s">
        <v>2462</v>
      </c>
      <c r="T234" s="145" t="s">
        <v>3876</v>
      </c>
      <c r="U234" s="144">
        <v>58876.403200000001</v>
      </c>
      <c r="V234" s="146">
        <v>3.5786392097781391E-3</v>
      </c>
      <c r="W234" s="146">
        <v>1.3035644720257158E-2</v>
      </c>
      <c r="X234" s="147">
        <v>2.6090529809911236E-3</v>
      </c>
      <c r="Y234" s="183"/>
    </row>
    <row r="235" spans="1:25" ht="15" x14ac:dyDescent="0.2">
      <c r="A235" s="142" t="s">
        <v>1220</v>
      </c>
      <c r="B235" s="143" t="s">
        <v>1220</v>
      </c>
      <c r="C235" s="143" t="s">
        <v>2463</v>
      </c>
      <c r="D235" s="143" t="s">
        <v>2464</v>
      </c>
      <c r="E235" s="143" t="s">
        <v>313</v>
      </c>
      <c r="F235" s="143" t="s">
        <v>2463</v>
      </c>
      <c r="G235" s="143" t="s">
        <v>2465</v>
      </c>
      <c r="H235" s="143" t="s">
        <v>321</v>
      </c>
      <c r="I235" s="143" t="s">
        <v>917</v>
      </c>
      <c r="J235" s="143" t="s">
        <v>205</v>
      </c>
      <c r="K235" s="143" t="s">
        <v>224</v>
      </c>
      <c r="L235" s="143" t="s">
        <v>325</v>
      </c>
      <c r="M235" s="143" t="s">
        <v>344</v>
      </c>
      <c r="N235" s="143" t="s">
        <v>486</v>
      </c>
      <c r="O235" s="143" t="s">
        <v>339</v>
      </c>
      <c r="P235" s="143" t="s">
        <v>1211</v>
      </c>
      <c r="Q235" s="144">
        <v>206845</v>
      </c>
      <c r="R235" s="143" t="s">
        <v>1212</v>
      </c>
      <c r="S235" s="143" t="s">
        <v>2466</v>
      </c>
      <c r="T235" s="145" t="s">
        <v>3876</v>
      </c>
      <c r="U235" s="144">
        <v>55056.924399999996</v>
      </c>
      <c r="V235" s="146">
        <v>1.0409055317024664E-4</v>
      </c>
      <c r="W235" s="146">
        <v>1.2189985588273835E-2</v>
      </c>
      <c r="X235" s="147">
        <v>2.4397963368778634E-3</v>
      </c>
      <c r="Y235" s="183"/>
    </row>
    <row r="236" spans="1:25" ht="15" x14ac:dyDescent="0.2">
      <c r="A236" s="142" t="s">
        <v>1220</v>
      </c>
      <c r="B236" s="143" t="s">
        <v>1220</v>
      </c>
      <c r="C236" s="143" t="s">
        <v>2467</v>
      </c>
      <c r="D236" s="143" t="s">
        <v>2468</v>
      </c>
      <c r="E236" s="143" t="s">
        <v>313</v>
      </c>
      <c r="F236" s="143" t="s">
        <v>2467</v>
      </c>
      <c r="G236" s="143" t="s">
        <v>2469</v>
      </c>
      <c r="H236" s="143" t="s">
        <v>321</v>
      </c>
      <c r="I236" s="143" t="s">
        <v>917</v>
      </c>
      <c r="J236" s="143" t="s">
        <v>205</v>
      </c>
      <c r="K236" s="143" t="s">
        <v>224</v>
      </c>
      <c r="L236" s="143" t="s">
        <v>325</v>
      </c>
      <c r="M236" s="143" t="s">
        <v>344</v>
      </c>
      <c r="N236" s="143" t="s">
        <v>533</v>
      </c>
      <c r="O236" s="143" t="s">
        <v>339</v>
      </c>
      <c r="P236" s="143" t="s">
        <v>1211</v>
      </c>
      <c r="Q236" s="144">
        <v>15827</v>
      </c>
      <c r="R236" s="143" t="s">
        <v>1212</v>
      </c>
      <c r="S236" s="143" t="s">
        <v>2470</v>
      </c>
      <c r="T236" s="145" t="s">
        <v>3876</v>
      </c>
      <c r="U236" s="144">
        <v>53864.399799999999</v>
      </c>
      <c r="V236" s="146">
        <v>1.6656879026877069E-5</v>
      </c>
      <c r="W236" s="146">
        <v>1.192595234123295E-2</v>
      </c>
      <c r="X236" s="147">
        <v>2.3869507166530135E-3</v>
      </c>
      <c r="Y236" s="183"/>
    </row>
    <row r="237" spans="1:25" ht="15" x14ac:dyDescent="0.2">
      <c r="A237" s="142" t="s">
        <v>1220</v>
      </c>
      <c r="B237" s="143" t="s">
        <v>1220</v>
      </c>
      <c r="C237" s="143" t="s">
        <v>2475</v>
      </c>
      <c r="D237" s="143" t="s">
        <v>2476</v>
      </c>
      <c r="E237" s="143" t="s">
        <v>313</v>
      </c>
      <c r="F237" s="143" t="s">
        <v>2477</v>
      </c>
      <c r="G237" s="143" t="s">
        <v>2478</v>
      </c>
      <c r="H237" s="143" t="s">
        <v>321</v>
      </c>
      <c r="I237" s="143" t="s">
        <v>917</v>
      </c>
      <c r="J237" s="143" t="s">
        <v>205</v>
      </c>
      <c r="K237" s="143" t="s">
        <v>224</v>
      </c>
      <c r="L237" s="143" t="s">
        <v>325</v>
      </c>
      <c r="M237" s="143" t="s">
        <v>344</v>
      </c>
      <c r="N237" s="143" t="s">
        <v>539</v>
      </c>
      <c r="O237" s="143" t="s">
        <v>339</v>
      </c>
      <c r="P237" s="143" t="s">
        <v>1211</v>
      </c>
      <c r="Q237" s="144">
        <v>29888</v>
      </c>
      <c r="R237" s="143" t="s">
        <v>1212</v>
      </c>
      <c r="S237" s="143" t="s">
        <v>2479</v>
      </c>
      <c r="T237" s="145" t="s">
        <v>3876</v>
      </c>
      <c r="U237" s="144">
        <v>50817.696100000001</v>
      </c>
      <c r="V237" s="146">
        <v>8.8260221182098717E-5</v>
      </c>
      <c r="W237" s="146">
        <v>1.1251390973007999E-2</v>
      </c>
      <c r="X237" s="147">
        <v>2.2519388790034492E-3</v>
      </c>
      <c r="Y237" s="183"/>
    </row>
    <row r="238" spans="1:25" ht="15" x14ac:dyDescent="0.2">
      <c r="A238" s="142" t="s">
        <v>1220</v>
      </c>
      <c r="B238" s="143" t="s">
        <v>1220</v>
      </c>
      <c r="C238" s="143" t="s">
        <v>2471</v>
      </c>
      <c r="D238" s="143" t="s">
        <v>2472</v>
      </c>
      <c r="E238" s="143" t="s">
        <v>313</v>
      </c>
      <c r="F238" s="143" t="s">
        <v>2471</v>
      </c>
      <c r="G238" s="143" t="s">
        <v>2473</v>
      </c>
      <c r="H238" s="143" t="s">
        <v>321</v>
      </c>
      <c r="I238" s="143" t="s">
        <v>917</v>
      </c>
      <c r="J238" s="143" t="s">
        <v>205</v>
      </c>
      <c r="K238" s="143" t="s">
        <v>241</v>
      </c>
      <c r="L238" s="143" t="s">
        <v>325</v>
      </c>
      <c r="M238" s="143" t="s">
        <v>344</v>
      </c>
      <c r="N238" s="143" t="s">
        <v>533</v>
      </c>
      <c r="O238" s="143" t="s">
        <v>339</v>
      </c>
      <c r="P238" s="143" t="s">
        <v>1211</v>
      </c>
      <c r="Q238" s="144">
        <v>94556</v>
      </c>
      <c r="R238" s="143" t="s">
        <v>1212</v>
      </c>
      <c r="S238" s="143" t="s">
        <v>2474</v>
      </c>
      <c r="T238" s="145" t="s">
        <v>3876</v>
      </c>
      <c r="U238" s="144">
        <v>50734.9352</v>
      </c>
      <c r="V238" s="146">
        <v>5.4262569409215386E-5</v>
      </c>
      <c r="W238" s="146">
        <v>1.1233067145715959E-2</v>
      </c>
      <c r="X238" s="147">
        <v>2.2482714089821798E-3</v>
      </c>
      <c r="Y238" s="183"/>
    </row>
    <row r="239" spans="1:25" ht="15" x14ac:dyDescent="0.2">
      <c r="A239" s="142" t="s">
        <v>1220</v>
      </c>
      <c r="B239" s="143" t="s">
        <v>1220</v>
      </c>
      <c r="C239" s="143" t="s">
        <v>2480</v>
      </c>
      <c r="D239" s="143" t="s">
        <v>2481</v>
      </c>
      <c r="E239" s="143" t="s">
        <v>313</v>
      </c>
      <c r="F239" s="143" t="s">
        <v>2482</v>
      </c>
      <c r="G239" s="143" t="s">
        <v>2483</v>
      </c>
      <c r="H239" s="143" t="s">
        <v>321</v>
      </c>
      <c r="I239" s="143" t="s">
        <v>917</v>
      </c>
      <c r="J239" s="143" t="s">
        <v>205</v>
      </c>
      <c r="K239" s="143" t="s">
        <v>224</v>
      </c>
      <c r="L239" s="143" t="s">
        <v>325</v>
      </c>
      <c r="M239" s="143" t="s">
        <v>344</v>
      </c>
      <c r="N239" s="143" t="s">
        <v>475</v>
      </c>
      <c r="O239" s="143" t="s">
        <v>339</v>
      </c>
      <c r="P239" s="143" t="s">
        <v>1211</v>
      </c>
      <c r="Q239" s="144">
        <v>132637</v>
      </c>
      <c r="R239" s="143" t="s">
        <v>1212</v>
      </c>
      <c r="S239" s="143" t="s">
        <v>2484</v>
      </c>
      <c r="T239" s="145" t="s">
        <v>3876</v>
      </c>
      <c r="U239" s="144">
        <v>49504.254700000005</v>
      </c>
      <c r="V239" s="146">
        <v>7.2733922938903007E-5</v>
      </c>
      <c r="W239" s="146">
        <v>1.0960585938424668E-2</v>
      </c>
      <c r="X239" s="147">
        <v>2.1937349498040116E-3</v>
      </c>
      <c r="Y239" s="183"/>
    </row>
    <row r="240" spans="1:25" ht="15" x14ac:dyDescent="0.2">
      <c r="A240" s="142" t="s">
        <v>1220</v>
      </c>
      <c r="B240" s="143" t="s">
        <v>1220</v>
      </c>
      <c r="C240" s="143" t="s">
        <v>2490</v>
      </c>
      <c r="D240" s="143" t="s">
        <v>2491</v>
      </c>
      <c r="E240" s="143" t="s">
        <v>313</v>
      </c>
      <c r="F240" s="143" t="s">
        <v>2492</v>
      </c>
      <c r="G240" s="143" t="s">
        <v>2493</v>
      </c>
      <c r="H240" s="143" t="s">
        <v>321</v>
      </c>
      <c r="I240" s="143" t="s">
        <v>917</v>
      </c>
      <c r="J240" s="143" t="s">
        <v>205</v>
      </c>
      <c r="K240" s="143" t="s">
        <v>224</v>
      </c>
      <c r="L240" s="143" t="s">
        <v>325</v>
      </c>
      <c r="M240" s="143" t="s">
        <v>344</v>
      </c>
      <c r="N240" s="143" t="s">
        <v>539</v>
      </c>
      <c r="O240" s="143" t="s">
        <v>339</v>
      </c>
      <c r="P240" s="143" t="s">
        <v>1211</v>
      </c>
      <c r="Q240" s="144">
        <v>27896</v>
      </c>
      <c r="R240" s="143" t="s">
        <v>1212</v>
      </c>
      <c r="S240" s="143" t="s">
        <v>2494</v>
      </c>
      <c r="T240" s="145" t="s">
        <v>3876</v>
      </c>
      <c r="U240" s="144">
        <v>46260.506999999998</v>
      </c>
      <c r="V240" s="146">
        <v>2.9247129648365543E-5</v>
      </c>
      <c r="W240" s="146">
        <v>1.0242397651646237E-2</v>
      </c>
      <c r="X240" s="147">
        <v>2.0499912891916348E-3</v>
      </c>
      <c r="Y240" s="183"/>
    </row>
    <row r="241" spans="1:25" x14ac:dyDescent="0.2">
      <c r="A241" s="142" t="s">
        <v>1220</v>
      </c>
      <c r="B241" s="143" t="s">
        <v>1220</v>
      </c>
      <c r="C241" s="143" t="s">
        <v>2495</v>
      </c>
      <c r="D241" s="143" t="s">
        <v>2496</v>
      </c>
      <c r="E241" s="143" t="s">
        <v>313</v>
      </c>
      <c r="F241" s="143" t="s">
        <v>2495</v>
      </c>
      <c r="G241" s="143" t="s">
        <v>2497</v>
      </c>
      <c r="H241" s="143" t="s">
        <v>321</v>
      </c>
      <c r="I241" s="143" t="s">
        <v>917</v>
      </c>
      <c r="J241" s="143" t="s">
        <v>205</v>
      </c>
      <c r="K241" s="143" t="s">
        <v>224</v>
      </c>
      <c r="L241" s="143" t="s">
        <v>325</v>
      </c>
      <c r="M241" s="143" t="s">
        <v>344</v>
      </c>
      <c r="N241" s="143" t="s">
        <v>568</v>
      </c>
      <c r="O241" s="143" t="s">
        <v>339</v>
      </c>
      <c r="P241" s="143" t="s">
        <v>1211</v>
      </c>
      <c r="Q241" s="144">
        <v>108158</v>
      </c>
      <c r="R241" s="143" t="s">
        <v>1212</v>
      </c>
      <c r="S241" s="143" t="s">
        <v>2498</v>
      </c>
      <c r="T241" s="144">
        <v>103.8317</v>
      </c>
      <c r="U241" s="144">
        <v>46051.722000000002</v>
      </c>
      <c r="V241" s="146">
        <v>1.1717090303213485E-4</v>
      </c>
      <c r="W241" s="146">
        <v>1.0219160255357247E-2</v>
      </c>
      <c r="X241" s="147">
        <v>2.045340380137321E-3</v>
      </c>
      <c r="Y241" s="183"/>
    </row>
    <row r="242" spans="1:25" ht="15" x14ac:dyDescent="0.2">
      <c r="A242" s="142" t="s">
        <v>1220</v>
      </c>
      <c r="B242" s="143" t="s">
        <v>1220</v>
      </c>
      <c r="C242" s="143" t="s">
        <v>2485</v>
      </c>
      <c r="D242" s="143" t="s">
        <v>2486</v>
      </c>
      <c r="E242" s="143" t="s">
        <v>309</v>
      </c>
      <c r="F242" s="143" t="s">
        <v>2487</v>
      </c>
      <c r="G242" s="143" t="s">
        <v>2488</v>
      </c>
      <c r="H242" s="143" t="s">
        <v>321</v>
      </c>
      <c r="I242" s="143" t="s">
        <v>917</v>
      </c>
      <c r="J242" s="143" t="s">
        <v>205</v>
      </c>
      <c r="K242" s="143" t="s">
        <v>224</v>
      </c>
      <c r="L242" s="143" t="s">
        <v>325</v>
      </c>
      <c r="M242" s="143" t="s">
        <v>344</v>
      </c>
      <c r="N242" s="143" t="s">
        <v>544</v>
      </c>
      <c r="O242" s="143" t="s">
        <v>339</v>
      </c>
      <c r="P242" s="143" t="s">
        <v>1211</v>
      </c>
      <c r="Q242" s="144">
        <v>1019368</v>
      </c>
      <c r="R242" s="143" t="s">
        <v>1212</v>
      </c>
      <c r="S242" s="143" t="s">
        <v>2489</v>
      </c>
      <c r="T242" s="145" t="s">
        <v>3876</v>
      </c>
      <c r="U242" s="144">
        <v>45790.061500000003</v>
      </c>
      <c r="V242" s="146">
        <v>5.1648088849256214E-3</v>
      </c>
      <c r="W242" s="146">
        <v>1.0138237757005498E-2</v>
      </c>
      <c r="X242" s="147">
        <v>2.0291439364565731E-3</v>
      </c>
      <c r="Y242" s="183"/>
    </row>
    <row r="243" spans="1:25" ht="15" x14ac:dyDescent="0.2">
      <c r="A243" s="142" t="s">
        <v>1220</v>
      </c>
      <c r="B243" s="143" t="s">
        <v>1220</v>
      </c>
      <c r="C243" s="143" t="s">
        <v>2504</v>
      </c>
      <c r="D243" s="143" t="s">
        <v>2505</v>
      </c>
      <c r="E243" s="143" t="s">
        <v>313</v>
      </c>
      <c r="F243" s="143" t="s">
        <v>2506</v>
      </c>
      <c r="G243" s="143" t="s">
        <v>2507</v>
      </c>
      <c r="H243" s="143" t="s">
        <v>321</v>
      </c>
      <c r="I243" s="143" t="s">
        <v>917</v>
      </c>
      <c r="J243" s="143" t="s">
        <v>205</v>
      </c>
      <c r="K243" s="143" t="s">
        <v>243</v>
      </c>
      <c r="L243" s="143" t="s">
        <v>325</v>
      </c>
      <c r="M243" s="143" t="s">
        <v>380</v>
      </c>
      <c r="N243" s="143" t="s">
        <v>546</v>
      </c>
      <c r="O243" s="143" t="s">
        <v>339</v>
      </c>
      <c r="P243" s="143" t="s">
        <v>1211</v>
      </c>
      <c r="Q243" s="144">
        <v>8165</v>
      </c>
      <c r="R243" s="143" t="s">
        <v>1212</v>
      </c>
      <c r="S243" s="143" t="s">
        <v>2508</v>
      </c>
      <c r="T243" s="145" t="s">
        <v>3876</v>
      </c>
      <c r="U243" s="144">
        <v>45424.507799999999</v>
      </c>
      <c r="V243" s="146">
        <v>3.4193080978763858E-5</v>
      </c>
      <c r="W243" s="146">
        <v>1.0057301621788025E-2</v>
      </c>
      <c r="X243" s="147">
        <v>2.0129447633899047E-3</v>
      </c>
      <c r="Y243" s="183"/>
    </row>
    <row r="244" spans="1:25" ht="15" x14ac:dyDescent="0.2">
      <c r="A244" s="142" t="s">
        <v>1220</v>
      </c>
      <c r="B244" s="143" t="s">
        <v>1220</v>
      </c>
      <c r="C244" s="143" t="s">
        <v>2509</v>
      </c>
      <c r="D244" s="143" t="s">
        <v>2510</v>
      </c>
      <c r="E244" s="143" t="s">
        <v>313</v>
      </c>
      <c r="F244" s="143" t="s">
        <v>2511</v>
      </c>
      <c r="G244" s="143" t="s">
        <v>2512</v>
      </c>
      <c r="H244" s="143" t="s">
        <v>321</v>
      </c>
      <c r="I244" s="143" t="s">
        <v>917</v>
      </c>
      <c r="J244" s="143" t="s">
        <v>205</v>
      </c>
      <c r="K244" s="143" t="s">
        <v>224</v>
      </c>
      <c r="L244" s="143" t="s">
        <v>325</v>
      </c>
      <c r="M244" s="143" t="s">
        <v>344</v>
      </c>
      <c r="N244" s="143" t="s">
        <v>539</v>
      </c>
      <c r="O244" s="143" t="s">
        <v>339</v>
      </c>
      <c r="P244" s="143" t="s">
        <v>1211</v>
      </c>
      <c r="Q244" s="144">
        <v>112737</v>
      </c>
      <c r="R244" s="143" t="s">
        <v>1212</v>
      </c>
      <c r="S244" s="143" t="s">
        <v>2513</v>
      </c>
      <c r="T244" s="145" t="s">
        <v>3876</v>
      </c>
      <c r="U244" s="144">
        <v>44598.436999999998</v>
      </c>
      <c r="V244" s="146">
        <v>1.3092025195328831E-4</v>
      </c>
      <c r="W244" s="146">
        <v>9.8744038133541118E-3</v>
      </c>
      <c r="X244" s="147">
        <v>1.9763382063264323E-3</v>
      </c>
      <c r="Y244" s="183"/>
    </row>
    <row r="245" spans="1:25" ht="15" x14ac:dyDescent="0.2">
      <c r="A245" s="142" t="s">
        <v>1220</v>
      </c>
      <c r="B245" s="143" t="s">
        <v>1220</v>
      </c>
      <c r="C245" s="143" t="s">
        <v>2514</v>
      </c>
      <c r="D245" s="143" t="s">
        <v>2515</v>
      </c>
      <c r="E245" s="143" t="s">
        <v>313</v>
      </c>
      <c r="F245" s="143" t="s">
        <v>2514</v>
      </c>
      <c r="G245" s="143" t="s">
        <v>2516</v>
      </c>
      <c r="H245" s="143" t="s">
        <v>321</v>
      </c>
      <c r="I245" s="143" t="s">
        <v>917</v>
      </c>
      <c r="J245" s="143" t="s">
        <v>205</v>
      </c>
      <c r="K245" s="143" t="s">
        <v>224</v>
      </c>
      <c r="L245" s="143" t="s">
        <v>325</v>
      </c>
      <c r="M245" s="143" t="s">
        <v>344</v>
      </c>
      <c r="N245" s="143" t="s">
        <v>521</v>
      </c>
      <c r="O245" s="143" t="s">
        <v>339</v>
      </c>
      <c r="P245" s="143" t="s">
        <v>1211</v>
      </c>
      <c r="Q245" s="144">
        <v>12448</v>
      </c>
      <c r="R245" s="143" t="s">
        <v>1212</v>
      </c>
      <c r="S245" s="143" t="s">
        <v>2517</v>
      </c>
      <c r="T245" s="145" t="s">
        <v>3876</v>
      </c>
      <c r="U245" s="144">
        <v>39772.759299999998</v>
      </c>
      <c r="V245" s="146">
        <v>2.8046079564528738E-5</v>
      </c>
      <c r="W245" s="146">
        <v>8.8059652328585144E-3</v>
      </c>
      <c r="X245" s="147">
        <v>1.7624927906780554E-3</v>
      </c>
      <c r="Y245" s="183"/>
    </row>
    <row r="246" spans="1:25" ht="15" x14ac:dyDescent="0.2">
      <c r="A246" s="142" t="s">
        <v>1220</v>
      </c>
      <c r="B246" s="143" t="s">
        <v>1220</v>
      </c>
      <c r="C246" s="143" t="s">
        <v>2521</v>
      </c>
      <c r="D246" s="143" t="s">
        <v>2522</v>
      </c>
      <c r="E246" s="143" t="s">
        <v>313</v>
      </c>
      <c r="F246" s="143" t="s">
        <v>2521</v>
      </c>
      <c r="G246" s="143" t="s">
        <v>2523</v>
      </c>
      <c r="H246" s="143" t="s">
        <v>321</v>
      </c>
      <c r="I246" s="143" t="s">
        <v>917</v>
      </c>
      <c r="J246" s="143" t="s">
        <v>205</v>
      </c>
      <c r="K246" s="143" t="s">
        <v>224</v>
      </c>
      <c r="L246" s="143" t="s">
        <v>325</v>
      </c>
      <c r="M246" s="143" t="s">
        <v>344</v>
      </c>
      <c r="N246" s="143" t="s">
        <v>544</v>
      </c>
      <c r="O246" s="143" t="s">
        <v>339</v>
      </c>
      <c r="P246" s="143" t="s">
        <v>1211</v>
      </c>
      <c r="Q246" s="144">
        <v>39020</v>
      </c>
      <c r="R246" s="143" t="s">
        <v>1212</v>
      </c>
      <c r="S246" s="143" t="s">
        <v>2524</v>
      </c>
      <c r="T246" s="145" t="s">
        <v>3876</v>
      </c>
      <c r="U246" s="144">
        <v>37710.445899999999</v>
      </c>
      <c r="V246" s="146">
        <v>4.236699239956569E-5</v>
      </c>
      <c r="W246" s="146">
        <v>8.3493547174364521E-3</v>
      </c>
      <c r="X246" s="147">
        <v>1.6711032927299767E-3</v>
      </c>
      <c r="Y246" s="183"/>
    </row>
    <row r="247" spans="1:25" ht="15" x14ac:dyDescent="0.2">
      <c r="A247" s="142" t="s">
        <v>1220</v>
      </c>
      <c r="B247" s="143" t="s">
        <v>1220</v>
      </c>
      <c r="C247" s="143" t="s">
        <v>2499</v>
      </c>
      <c r="D247" s="143" t="s">
        <v>2500</v>
      </c>
      <c r="E247" s="143" t="s">
        <v>313</v>
      </c>
      <c r="F247" s="143" t="s">
        <v>2518</v>
      </c>
      <c r="G247" s="143" t="s">
        <v>2519</v>
      </c>
      <c r="H247" s="143" t="s">
        <v>321</v>
      </c>
      <c r="I247" s="143" t="s">
        <v>917</v>
      </c>
      <c r="J247" s="143" t="s">
        <v>205</v>
      </c>
      <c r="K247" s="143" t="s">
        <v>224</v>
      </c>
      <c r="L247" s="143" t="s">
        <v>325</v>
      </c>
      <c r="M247" s="143" t="s">
        <v>344</v>
      </c>
      <c r="N247" s="143" t="s">
        <v>546</v>
      </c>
      <c r="O247" s="143" t="s">
        <v>339</v>
      </c>
      <c r="P247" s="143" t="s">
        <v>1211</v>
      </c>
      <c r="Q247" s="144">
        <v>47243</v>
      </c>
      <c r="R247" s="143" t="s">
        <v>1212</v>
      </c>
      <c r="S247" s="143" t="s">
        <v>2520</v>
      </c>
      <c r="T247" s="145" t="s">
        <v>3876</v>
      </c>
      <c r="U247" s="144">
        <v>32347.369500000001</v>
      </c>
      <c r="V247" s="146">
        <v>7.9094257492047543E-6</v>
      </c>
      <c r="W247" s="146">
        <v>7.161932346318141E-3</v>
      </c>
      <c r="X247" s="147">
        <v>1.4334435571706403E-3</v>
      </c>
      <c r="Y247" s="183"/>
    </row>
    <row r="248" spans="1:25" ht="15" x14ac:dyDescent="0.2">
      <c r="A248" s="142" t="s">
        <v>1220</v>
      </c>
      <c r="B248" s="143" t="s">
        <v>1220</v>
      </c>
      <c r="C248" s="143" t="s">
        <v>2525</v>
      </c>
      <c r="D248" s="143" t="s">
        <v>2526</v>
      </c>
      <c r="E248" s="143" t="s">
        <v>313</v>
      </c>
      <c r="F248" s="143" t="s">
        <v>2527</v>
      </c>
      <c r="G248" s="143" t="s">
        <v>2528</v>
      </c>
      <c r="H248" s="143" t="s">
        <v>321</v>
      </c>
      <c r="I248" s="143" t="s">
        <v>917</v>
      </c>
      <c r="J248" s="143" t="s">
        <v>205</v>
      </c>
      <c r="K248" s="143" t="s">
        <v>224</v>
      </c>
      <c r="L248" s="143" t="s">
        <v>325</v>
      </c>
      <c r="M248" s="143" t="s">
        <v>344</v>
      </c>
      <c r="N248" s="143" t="s">
        <v>517</v>
      </c>
      <c r="O248" s="143" t="s">
        <v>339</v>
      </c>
      <c r="P248" s="143" t="s">
        <v>1211</v>
      </c>
      <c r="Q248" s="144">
        <v>122478</v>
      </c>
      <c r="R248" s="143" t="s">
        <v>1212</v>
      </c>
      <c r="S248" s="143" t="s">
        <v>2529</v>
      </c>
      <c r="T248" s="145" t="s">
        <v>3876</v>
      </c>
      <c r="U248" s="144">
        <v>31173.331999999999</v>
      </c>
      <c r="V248" s="146">
        <v>4.5416048650252148E-5</v>
      </c>
      <c r="W248" s="146">
        <v>6.9019922966963784E-3</v>
      </c>
      <c r="X248" s="147">
        <v>1.381417180577948E-3</v>
      </c>
      <c r="Y248" s="183"/>
    </row>
    <row r="249" spans="1:25" x14ac:dyDescent="0.2">
      <c r="A249" s="142" t="s">
        <v>1220</v>
      </c>
      <c r="B249" s="143" t="s">
        <v>1220</v>
      </c>
      <c r="C249" s="143" t="s">
        <v>2530</v>
      </c>
      <c r="D249" s="143" t="s">
        <v>2531</v>
      </c>
      <c r="E249" s="143" t="s">
        <v>313</v>
      </c>
      <c r="F249" s="143" t="s">
        <v>2532</v>
      </c>
      <c r="G249" s="143" t="s">
        <v>2533</v>
      </c>
      <c r="H249" s="143" t="s">
        <v>321</v>
      </c>
      <c r="I249" s="143" t="s">
        <v>917</v>
      </c>
      <c r="J249" s="143" t="s">
        <v>205</v>
      </c>
      <c r="K249" s="143" t="s">
        <v>268</v>
      </c>
      <c r="L249" s="143" t="s">
        <v>325</v>
      </c>
      <c r="M249" s="143" t="s">
        <v>344</v>
      </c>
      <c r="N249" s="143" t="s">
        <v>521</v>
      </c>
      <c r="O249" s="143" t="s">
        <v>339</v>
      </c>
      <c r="P249" s="143" t="s">
        <v>1211</v>
      </c>
      <c r="Q249" s="144">
        <v>111240</v>
      </c>
      <c r="R249" s="143" t="s">
        <v>1212</v>
      </c>
      <c r="S249" s="143" t="s">
        <v>2534</v>
      </c>
      <c r="T249" s="144">
        <v>184.6584</v>
      </c>
      <c r="U249" s="144">
        <v>30801.0144</v>
      </c>
      <c r="V249" s="146">
        <v>4.2016425838968761E-5</v>
      </c>
      <c r="W249" s="146">
        <v>6.8604432465032908E-3</v>
      </c>
      <c r="X249" s="147">
        <v>1.3731012379767224E-3</v>
      </c>
      <c r="Y249" s="183"/>
    </row>
    <row r="250" spans="1:25" x14ac:dyDescent="0.2">
      <c r="A250" s="142" t="s">
        <v>1220</v>
      </c>
      <c r="B250" s="143" t="s">
        <v>1220</v>
      </c>
      <c r="C250" s="143" t="s">
        <v>2535</v>
      </c>
      <c r="D250" s="143" t="s">
        <v>2536</v>
      </c>
      <c r="E250" s="143" t="s">
        <v>313</v>
      </c>
      <c r="F250" s="143" t="s">
        <v>2537</v>
      </c>
      <c r="G250" s="143" t="s">
        <v>2538</v>
      </c>
      <c r="H250" s="143" t="s">
        <v>321</v>
      </c>
      <c r="I250" s="143" t="s">
        <v>917</v>
      </c>
      <c r="J250" s="143" t="s">
        <v>205</v>
      </c>
      <c r="K250" s="143" t="s">
        <v>224</v>
      </c>
      <c r="L250" s="143" t="s">
        <v>325</v>
      </c>
      <c r="M250" s="143" t="s">
        <v>344</v>
      </c>
      <c r="N250" s="143" t="s">
        <v>497</v>
      </c>
      <c r="O250" s="143" t="s">
        <v>339</v>
      </c>
      <c r="P250" s="143" t="s">
        <v>1211</v>
      </c>
      <c r="Q250" s="144">
        <v>21528</v>
      </c>
      <c r="R250" s="143" t="s">
        <v>1212</v>
      </c>
      <c r="S250" s="143" t="s">
        <v>2539</v>
      </c>
      <c r="T250" s="144">
        <v>31.6462</v>
      </c>
      <c r="U250" s="144">
        <v>30354.499399999997</v>
      </c>
      <c r="V250" s="146">
        <v>7.2184202496672112E-5</v>
      </c>
      <c r="W250" s="146">
        <v>6.7277037346578344E-3</v>
      </c>
      <c r="X250" s="147">
        <v>1.3465337435023209E-3</v>
      </c>
      <c r="Y250" s="183"/>
    </row>
    <row r="251" spans="1:25" x14ac:dyDescent="0.2">
      <c r="A251" s="142" t="s">
        <v>1220</v>
      </c>
      <c r="B251" s="143" t="s">
        <v>1220</v>
      </c>
      <c r="C251" s="143" t="s">
        <v>2540</v>
      </c>
      <c r="D251" s="143" t="s">
        <v>2541</v>
      </c>
      <c r="E251" s="143" t="s">
        <v>313</v>
      </c>
      <c r="F251" s="143" t="s">
        <v>2540</v>
      </c>
      <c r="G251" s="143" t="s">
        <v>2542</v>
      </c>
      <c r="H251" s="143" t="s">
        <v>321</v>
      </c>
      <c r="I251" s="143" t="s">
        <v>917</v>
      </c>
      <c r="J251" s="143" t="s">
        <v>205</v>
      </c>
      <c r="K251" s="143" t="s">
        <v>224</v>
      </c>
      <c r="L251" s="143" t="s">
        <v>325</v>
      </c>
      <c r="M251" s="143" t="s">
        <v>344</v>
      </c>
      <c r="N251" s="143" t="s">
        <v>546</v>
      </c>
      <c r="O251" s="143" t="s">
        <v>339</v>
      </c>
      <c r="P251" s="143" t="s">
        <v>1211</v>
      </c>
      <c r="Q251" s="144">
        <v>4555</v>
      </c>
      <c r="R251" s="143" t="s">
        <v>1212</v>
      </c>
      <c r="S251" s="143" t="s">
        <v>2543</v>
      </c>
      <c r="T251" s="144">
        <v>23.913799999999998</v>
      </c>
      <c r="U251" s="144">
        <v>27580.1698</v>
      </c>
      <c r="V251" s="146">
        <v>1.0900101941677873E-5</v>
      </c>
      <c r="W251" s="146">
        <v>6.1117358825063632E-3</v>
      </c>
      <c r="X251" s="147">
        <v>1.2232492573615546E-3</v>
      </c>
      <c r="Y251" s="183"/>
    </row>
    <row r="252" spans="1:25" ht="15" x14ac:dyDescent="0.2">
      <c r="A252" s="142" t="s">
        <v>1220</v>
      </c>
      <c r="B252" s="143" t="s">
        <v>1220</v>
      </c>
      <c r="C252" s="143" t="s">
        <v>2549</v>
      </c>
      <c r="D252" s="143" t="s">
        <v>2550</v>
      </c>
      <c r="E252" s="143" t="s">
        <v>309</v>
      </c>
      <c r="F252" s="143" t="s">
        <v>2551</v>
      </c>
      <c r="G252" s="143" t="s">
        <v>2552</v>
      </c>
      <c r="H252" s="143" t="s">
        <v>321</v>
      </c>
      <c r="I252" s="143" t="s">
        <v>917</v>
      </c>
      <c r="J252" s="143" t="s">
        <v>205</v>
      </c>
      <c r="K252" s="143" t="s">
        <v>204</v>
      </c>
      <c r="L252" s="143" t="s">
        <v>325</v>
      </c>
      <c r="M252" s="143" t="s">
        <v>344</v>
      </c>
      <c r="N252" s="143" t="s">
        <v>544</v>
      </c>
      <c r="O252" s="143" t="s">
        <v>339</v>
      </c>
      <c r="P252" s="143" t="s">
        <v>1211</v>
      </c>
      <c r="Q252" s="144">
        <v>43985</v>
      </c>
      <c r="R252" s="143" t="s">
        <v>1212</v>
      </c>
      <c r="S252" s="143" t="s">
        <v>2553</v>
      </c>
      <c r="T252" s="145" t="s">
        <v>3876</v>
      </c>
      <c r="U252" s="144">
        <v>26300.572600000003</v>
      </c>
      <c r="V252" s="146">
        <v>7.4820963818531309E-4</v>
      </c>
      <c r="W252" s="146">
        <v>5.8231294922700275E-3</v>
      </c>
      <c r="X252" s="147">
        <v>1.1654853815473369E-3</v>
      </c>
      <c r="Y252" s="183"/>
    </row>
    <row r="253" spans="1:25" x14ac:dyDescent="0.2">
      <c r="A253" s="142" t="s">
        <v>1220</v>
      </c>
      <c r="B253" s="143" t="s">
        <v>1220</v>
      </c>
      <c r="C253" s="143" t="s">
        <v>2572</v>
      </c>
      <c r="D253" s="143" t="s">
        <v>2573</v>
      </c>
      <c r="E253" s="143" t="s">
        <v>313</v>
      </c>
      <c r="F253" s="143" t="s">
        <v>2572</v>
      </c>
      <c r="G253" s="143" t="s">
        <v>2574</v>
      </c>
      <c r="H253" s="143" t="s">
        <v>321</v>
      </c>
      <c r="I253" s="143" t="s">
        <v>917</v>
      </c>
      <c r="J253" s="143" t="s">
        <v>205</v>
      </c>
      <c r="K253" s="143" t="s">
        <v>224</v>
      </c>
      <c r="L253" s="143" t="s">
        <v>325</v>
      </c>
      <c r="M253" s="143" t="s">
        <v>344</v>
      </c>
      <c r="N253" s="143" t="s">
        <v>497</v>
      </c>
      <c r="O253" s="143" t="s">
        <v>339</v>
      </c>
      <c r="P253" s="143" t="s">
        <v>1211</v>
      </c>
      <c r="Q253" s="144">
        <v>105042</v>
      </c>
      <c r="R253" s="143" t="s">
        <v>1212</v>
      </c>
      <c r="S253" s="143" t="s">
        <v>2575</v>
      </c>
      <c r="T253" s="144">
        <v>19.957999999999998</v>
      </c>
      <c r="U253" s="144">
        <v>24982.3416</v>
      </c>
      <c r="V253" s="146">
        <v>1.2519203334258986E-4</v>
      </c>
      <c r="W253" s="146">
        <v>5.5356828329673567E-3</v>
      </c>
      <c r="X253" s="147">
        <v>1.1079536230939829E-3</v>
      </c>
      <c r="Y253" s="183"/>
    </row>
    <row r="254" spans="1:25" ht="15" x14ac:dyDescent="0.2">
      <c r="A254" s="142" t="s">
        <v>1220</v>
      </c>
      <c r="B254" s="143" t="s">
        <v>1220</v>
      </c>
      <c r="C254" s="143" t="s">
        <v>2554</v>
      </c>
      <c r="D254" s="143" t="s">
        <v>2555</v>
      </c>
      <c r="E254" s="143" t="s">
        <v>313</v>
      </c>
      <c r="F254" s="143" t="s">
        <v>2556</v>
      </c>
      <c r="G254" s="143" t="s">
        <v>2557</v>
      </c>
      <c r="H254" s="143" t="s">
        <v>321</v>
      </c>
      <c r="I254" s="143" t="s">
        <v>917</v>
      </c>
      <c r="J254" s="143" t="s">
        <v>205</v>
      </c>
      <c r="K254" s="143" t="s">
        <v>281</v>
      </c>
      <c r="L254" s="143" t="s">
        <v>325</v>
      </c>
      <c r="M254" s="143" t="s">
        <v>364</v>
      </c>
      <c r="N254" s="143" t="s">
        <v>517</v>
      </c>
      <c r="O254" s="143" t="s">
        <v>339</v>
      </c>
      <c r="P254" s="143" t="s">
        <v>1213</v>
      </c>
      <c r="Q254" s="144">
        <v>15100</v>
      </c>
      <c r="R254" s="143" t="s">
        <v>1214</v>
      </c>
      <c r="S254" s="143" t="s">
        <v>2558</v>
      </c>
      <c r="T254" s="145" t="s">
        <v>3876</v>
      </c>
      <c r="U254" s="144">
        <v>24892.093499999999</v>
      </c>
      <c r="V254" s="146">
        <v>2.813337829705494E-5</v>
      </c>
      <c r="W254" s="146">
        <v>5.5112824323094011E-3</v>
      </c>
      <c r="X254" s="147">
        <v>1.1030699415085922E-3</v>
      </c>
      <c r="Y254" s="183"/>
    </row>
    <row r="255" spans="1:25" ht="15" x14ac:dyDescent="0.2">
      <c r="A255" s="142" t="s">
        <v>1220</v>
      </c>
      <c r="B255" s="143" t="s">
        <v>1220</v>
      </c>
      <c r="C255" s="143" t="s">
        <v>2563</v>
      </c>
      <c r="D255" s="143" t="s">
        <v>2564</v>
      </c>
      <c r="E255" s="143" t="s">
        <v>313</v>
      </c>
      <c r="F255" s="143" t="s">
        <v>2565</v>
      </c>
      <c r="G255" s="143" t="s">
        <v>2566</v>
      </c>
      <c r="H255" s="143" t="s">
        <v>321</v>
      </c>
      <c r="I255" s="143" t="s">
        <v>917</v>
      </c>
      <c r="J255" s="143" t="s">
        <v>205</v>
      </c>
      <c r="K255" s="143" t="s">
        <v>238</v>
      </c>
      <c r="L255" s="143" t="s">
        <v>325</v>
      </c>
      <c r="M255" s="143" t="s">
        <v>368</v>
      </c>
      <c r="N255" s="143" t="s">
        <v>544</v>
      </c>
      <c r="O255" s="143" t="s">
        <v>339</v>
      </c>
      <c r="P255" s="143" t="s">
        <v>1213</v>
      </c>
      <c r="Q255" s="144">
        <v>32386</v>
      </c>
      <c r="R255" s="143" t="s">
        <v>1214</v>
      </c>
      <c r="S255" s="143" t="s">
        <v>2567</v>
      </c>
      <c r="T255" s="145" t="s">
        <v>3876</v>
      </c>
      <c r="U255" s="144">
        <v>24675.1623</v>
      </c>
      <c r="V255" s="146">
        <v>2.6362144527001948E-5</v>
      </c>
      <c r="W255" s="146">
        <v>5.46325237569274E-3</v>
      </c>
      <c r="X255" s="147">
        <v>1.0934568410381461E-3</v>
      </c>
      <c r="Y255" s="183"/>
    </row>
    <row r="256" spans="1:25" x14ac:dyDescent="0.2">
      <c r="A256" s="142" t="s">
        <v>1220</v>
      </c>
      <c r="B256" s="143" t="s">
        <v>1220</v>
      </c>
      <c r="C256" s="143" t="s">
        <v>2568</v>
      </c>
      <c r="D256" s="143" t="s">
        <v>2569</v>
      </c>
      <c r="E256" s="143" t="s">
        <v>313</v>
      </c>
      <c r="F256" s="143" t="s">
        <v>2568</v>
      </c>
      <c r="G256" s="143" t="s">
        <v>2570</v>
      </c>
      <c r="H256" s="143" t="s">
        <v>321</v>
      </c>
      <c r="I256" s="143" t="s">
        <v>917</v>
      </c>
      <c r="J256" s="143" t="s">
        <v>205</v>
      </c>
      <c r="K256" s="143" t="s">
        <v>224</v>
      </c>
      <c r="L256" s="143" t="s">
        <v>325</v>
      </c>
      <c r="M256" s="143" t="s">
        <v>344</v>
      </c>
      <c r="N256" s="143" t="s">
        <v>515</v>
      </c>
      <c r="O256" s="143" t="s">
        <v>339</v>
      </c>
      <c r="P256" s="143" t="s">
        <v>1211</v>
      </c>
      <c r="Q256" s="144">
        <v>85274</v>
      </c>
      <c r="R256" s="143" t="s">
        <v>1212</v>
      </c>
      <c r="S256" s="143" t="s">
        <v>2571</v>
      </c>
      <c r="T256" s="144">
        <v>65.813399999999987</v>
      </c>
      <c r="U256" s="144">
        <v>24406.866600000001</v>
      </c>
      <c r="V256" s="146">
        <v>6.7694540235359871E-5</v>
      </c>
      <c r="W256" s="146">
        <v>5.418421372080779E-3</v>
      </c>
      <c r="X256" s="147">
        <v>1.0844840233429193E-3</v>
      </c>
      <c r="Y256" s="183"/>
    </row>
    <row r="257" spans="1:25" ht="15" x14ac:dyDescent="0.2">
      <c r="A257" s="142" t="s">
        <v>1220</v>
      </c>
      <c r="B257" s="143" t="s">
        <v>1220</v>
      </c>
      <c r="C257" s="143" t="s">
        <v>2559</v>
      </c>
      <c r="D257" s="143" t="s">
        <v>2560</v>
      </c>
      <c r="E257" s="143" t="s">
        <v>313</v>
      </c>
      <c r="F257" s="143" t="s">
        <v>2559</v>
      </c>
      <c r="G257" s="143" t="s">
        <v>2561</v>
      </c>
      <c r="H257" s="143" t="s">
        <v>321</v>
      </c>
      <c r="I257" s="143" t="s">
        <v>917</v>
      </c>
      <c r="J257" s="143" t="s">
        <v>205</v>
      </c>
      <c r="K257" s="143" t="s">
        <v>224</v>
      </c>
      <c r="L257" s="143" t="s">
        <v>325</v>
      </c>
      <c r="M257" s="143" t="s">
        <v>344</v>
      </c>
      <c r="N257" s="143" t="s">
        <v>546</v>
      </c>
      <c r="O257" s="143" t="s">
        <v>339</v>
      </c>
      <c r="P257" s="143" t="s">
        <v>1211</v>
      </c>
      <c r="Q257" s="144">
        <v>106910</v>
      </c>
      <c r="R257" s="143" t="s">
        <v>1212</v>
      </c>
      <c r="S257" s="143" t="s">
        <v>2562</v>
      </c>
      <c r="T257" s="145" t="s">
        <v>3876</v>
      </c>
      <c r="U257" s="144">
        <v>24220.9876</v>
      </c>
      <c r="V257" s="146">
        <v>1.3684725230276126E-4</v>
      </c>
      <c r="W257" s="146">
        <v>5.3626949268090161E-3</v>
      </c>
      <c r="X257" s="147">
        <v>1.0733305091687878E-3</v>
      </c>
      <c r="Y257" s="183"/>
    </row>
    <row r="258" spans="1:25" ht="15" x14ac:dyDescent="0.2">
      <c r="A258" s="142" t="s">
        <v>1220</v>
      </c>
      <c r="B258" s="143" t="s">
        <v>1220</v>
      </c>
      <c r="C258" s="143" t="s">
        <v>2576</v>
      </c>
      <c r="D258" s="143" t="s">
        <v>2577</v>
      </c>
      <c r="E258" s="143" t="s">
        <v>309</v>
      </c>
      <c r="F258" s="143" t="s">
        <v>2576</v>
      </c>
      <c r="G258" s="143" t="s">
        <v>2578</v>
      </c>
      <c r="H258" s="143" t="s">
        <v>321</v>
      </c>
      <c r="I258" s="143" t="s">
        <v>917</v>
      </c>
      <c r="J258" s="143" t="s">
        <v>205</v>
      </c>
      <c r="K258" s="143" t="s">
        <v>224</v>
      </c>
      <c r="L258" s="143" t="s">
        <v>325</v>
      </c>
      <c r="M258" s="143" t="s">
        <v>344</v>
      </c>
      <c r="N258" s="143" t="s">
        <v>544</v>
      </c>
      <c r="O258" s="143" t="s">
        <v>339</v>
      </c>
      <c r="P258" s="143" t="s">
        <v>1211</v>
      </c>
      <c r="Q258" s="144">
        <v>167050</v>
      </c>
      <c r="R258" s="143" t="s">
        <v>1212</v>
      </c>
      <c r="S258" s="143" t="s">
        <v>2579</v>
      </c>
      <c r="T258" s="145" t="s">
        <v>3876</v>
      </c>
      <c r="U258" s="144">
        <v>23579.182699999998</v>
      </c>
      <c r="V258" s="146">
        <v>1.6656695582809851E-3</v>
      </c>
      <c r="W258" s="146">
        <v>5.2205948642677497E-3</v>
      </c>
      <c r="X258" s="147">
        <v>1.044889522955334E-3</v>
      </c>
      <c r="Y258" s="183"/>
    </row>
    <row r="259" spans="1:25" ht="15" x14ac:dyDescent="0.2">
      <c r="A259" s="142" t="s">
        <v>1220</v>
      </c>
      <c r="B259" s="143" t="s">
        <v>1220</v>
      </c>
      <c r="C259" s="143" t="s">
        <v>2580</v>
      </c>
      <c r="D259" s="143" t="s">
        <v>2581</v>
      </c>
      <c r="E259" s="143" t="s">
        <v>309</v>
      </c>
      <c r="F259" s="143" t="s">
        <v>2580</v>
      </c>
      <c r="G259" s="143" t="s">
        <v>2582</v>
      </c>
      <c r="H259" s="143" t="s">
        <v>321</v>
      </c>
      <c r="I259" s="143" t="s">
        <v>917</v>
      </c>
      <c r="J259" s="143" t="s">
        <v>205</v>
      </c>
      <c r="K259" s="143" t="s">
        <v>204</v>
      </c>
      <c r="L259" s="143" t="s">
        <v>325</v>
      </c>
      <c r="M259" s="143" t="s">
        <v>344</v>
      </c>
      <c r="N259" s="143" t="s">
        <v>476</v>
      </c>
      <c r="O259" s="143" t="s">
        <v>339</v>
      </c>
      <c r="P259" s="143" t="s">
        <v>1211</v>
      </c>
      <c r="Q259" s="144">
        <v>21944</v>
      </c>
      <c r="R259" s="143" t="s">
        <v>1212</v>
      </c>
      <c r="S259" s="143" t="s">
        <v>2583</v>
      </c>
      <c r="T259" s="145" t="s">
        <v>3876</v>
      </c>
      <c r="U259" s="144">
        <v>22553.731199999998</v>
      </c>
      <c r="V259" s="146">
        <v>5.3895274584929756E-4</v>
      </c>
      <c r="W259" s="146">
        <v>4.9935527740782313E-3</v>
      </c>
      <c r="X259" s="147">
        <v>9.9944759392677635E-4</v>
      </c>
      <c r="Y259" s="183"/>
    </row>
    <row r="260" spans="1:25" ht="15" x14ac:dyDescent="0.2">
      <c r="A260" s="142" t="s">
        <v>1220</v>
      </c>
      <c r="B260" s="143" t="s">
        <v>1220</v>
      </c>
      <c r="C260" s="143" t="s">
        <v>2584</v>
      </c>
      <c r="D260" s="143" t="s">
        <v>2585</v>
      </c>
      <c r="E260" s="143" t="s">
        <v>313</v>
      </c>
      <c r="F260" s="143" t="s">
        <v>2584</v>
      </c>
      <c r="G260" s="143" t="s">
        <v>2586</v>
      </c>
      <c r="H260" s="143" t="s">
        <v>321</v>
      </c>
      <c r="I260" s="143" t="s">
        <v>917</v>
      </c>
      <c r="J260" s="143" t="s">
        <v>205</v>
      </c>
      <c r="K260" s="143" t="s">
        <v>224</v>
      </c>
      <c r="L260" s="143" t="s">
        <v>325</v>
      </c>
      <c r="M260" s="143" t="s">
        <v>344</v>
      </c>
      <c r="N260" s="143" t="s">
        <v>533</v>
      </c>
      <c r="O260" s="143" t="s">
        <v>339</v>
      </c>
      <c r="P260" s="143" t="s">
        <v>1211</v>
      </c>
      <c r="Q260" s="144">
        <v>48003</v>
      </c>
      <c r="R260" s="143" t="s">
        <v>1212</v>
      </c>
      <c r="S260" s="143" t="s">
        <v>2587</v>
      </c>
      <c r="T260" s="145" t="s">
        <v>3876</v>
      </c>
      <c r="U260" s="144">
        <v>21427.6391</v>
      </c>
      <c r="V260" s="146">
        <v>1.2494924254255818E-4</v>
      </c>
      <c r="W260" s="146">
        <v>4.744228178770171E-3</v>
      </c>
      <c r="X260" s="147">
        <v>9.495458750181571E-4</v>
      </c>
      <c r="Y260" s="183"/>
    </row>
    <row r="261" spans="1:25" ht="15" x14ac:dyDescent="0.2">
      <c r="A261" s="142" t="s">
        <v>1220</v>
      </c>
      <c r="B261" s="143" t="s">
        <v>1220</v>
      </c>
      <c r="C261" s="143" t="s">
        <v>2544</v>
      </c>
      <c r="D261" s="143" t="s">
        <v>2545</v>
      </c>
      <c r="E261" s="143" t="s">
        <v>313</v>
      </c>
      <c r="F261" s="143" t="s">
        <v>2546</v>
      </c>
      <c r="G261" s="143" t="s">
        <v>2547</v>
      </c>
      <c r="H261" s="143" t="s">
        <v>321</v>
      </c>
      <c r="I261" s="143" t="s">
        <v>917</v>
      </c>
      <c r="J261" s="143" t="s">
        <v>205</v>
      </c>
      <c r="K261" s="143" t="s">
        <v>224</v>
      </c>
      <c r="L261" s="143" t="s">
        <v>325</v>
      </c>
      <c r="M261" s="143" t="s">
        <v>344</v>
      </c>
      <c r="N261" s="143" t="s">
        <v>536</v>
      </c>
      <c r="O261" s="143" t="s">
        <v>339</v>
      </c>
      <c r="P261" s="143" t="s">
        <v>1211</v>
      </c>
      <c r="Q261" s="144">
        <v>27520</v>
      </c>
      <c r="R261" s="143" t="s">
        <v>1212</v>
      </c>
      <c r="S261" s="143" t="s">
        <v>2548</v>
      </c>
      <c r="T261" s="145" t="s">
        <v>3876</v>
      </c>
      <c r="U261" s="144">
        <v>20923.327799999999</v>
      </c>
      <c r="V261" s="146">
        <v>9.3822286543218078E-6</v>
      </c>
      <c r="W261" s="146">
        <v>4.6325701339061517E-3</v>
      </c>
      <c r="X261" s="147">
        <v>9.2719778552539868E-4</v>
      </c>
      <c r="Y261" s="183"/>
    </row>
    <row r="262" spans="1:25" ht="15" x14ac:dyDescent="0.2">
      <c r="A262" s="142" t="s">
        <v>1220</v>
      </c>
      <c r="B262" s="143" t="s">
        <v>1220</v>
      </c>
      <c r="C262" s="143" t="s">
        <v>2588</v>
      </c>
      <c r="D262" s="143" t="s">
        <v>2589</v>
      </c>
      <c r="E262" s="143" t="s">
        <v>313</v>
      </c>
      <c r="F262" s="143" t="s">
        <v>2590</v>
      </c>
      <c r="G262" s="143" t="s">
        <v>2591</v>
      </c>
      <c r="H262" s="143" t="s">
        <v>321</v>
      </c>
      <c r="I262" s="143" t="s">
        <v>917</v>
      </c>
      <c r="J262" s="143" t="s">
        <v>205</v>
      </c>
      <c r="K262" s="143" t="s">
        <v>224</v>
      </c>
      <c r="L262" s="143" t="s">
        <v>325</v>
      </c>
      <c r="M262" s="143" t="s">
        <v>344</v>
      </c>
      <c r="N262" s="143" t="s">
        <v>544</v>
      </c>
      <c r="O262" s="143" t="s">
        <v>339</v>
      </c>
      <c r="P262" s="143" t="s">
        <v>1211</v>
      </c>
      <c r="Q262" s="144">
        <v>33856</v>
      </c>
      <c r="R262" s="143" t="s">
        <v>1212</v>
      </c>
      <c r="S262" s="143" t="s">
        <v>2592</v>
      </c>
      <c r="T262" s="145" t="s">
        <v>3876</v>
      </c>
      <c r="U262" s="144">
        <v>17192.188899999997</v>
      </c>
      <c r="V262" s="146">
        <v>1.0281202550865472E-4</v>
      </c>
      <c r="W262" s="146">
        <v>3.8064700601457379E-3</v>
      </c>
      <c r="X262" s="147">
        <v>7.6185583993737299E-4</v>
      </c>
      <c r="Y262" s="183"/>
    </row>
    <row r="263" spans="1:25" ht="15" x14ac:dyDescent="0.2">
      <c r="A263" s="142" t="s">
        <v>1220</v>
      </c>
      <c r="B263" s="143" t="s">
        <v>1220</v>
      </c>
      <c r="C263" s="143" t="s">
        <v>2593</v>
      </c>
      <c r="D263" s="143" t="s">
        <v>2594</v>
      </c>
      <c r="E263" s="143" t="s">
        <v>313</v>
      </c>
      <c r="F263" s="143" t="s">
        <v>2593</v>
      </c>
      <c r="G263" s="143" t="s">
        <v>2595</v>
      </c>
      <c r="H263" s="143" t="s">
        <v>321</v>
      </c>
      <c r="I263" s="143" t="s">
        <v>917</v>
      </c>
      <c r="J263" s="143" t="s">
        <v>205</v>
      </c>
      <c r="K263" s="143" t="s">
        <v>268</v>
      </c>
      <c r="L263" s="143" t="s">
        <v>325</v>
      </c>
      <c r="M263" s="143" t="s">
        <v>344</v>
      </c>
      <c r="N263" s="143" t="s">
        <v>544</v>
      </c>
      <c r="O263" s="143" t="s">
        <v>339</v>
      </c>
      <c r="P263" s="143" t="s">
        <v>1211</v>
      </c>
      <c r="Q263" s="144">
        <v>156166</v>
      </c>
      <c r="R263" s="143" t="s">
        <v>1212</v>
      </c>
      <c r="S263" s="143" t="s">
        <v>2596</v>
      </c>
      <c r="T263" s="145" t="s">
        <v>3876</v>
      </c>
      <c r="U263" s="144">
        <v>15168.803400000001</v>
      </c>
      <c r="V263" s="146">
        <v>1.1586673759670338E-4</v>
      </c>
      <c r="W263" s="146">
        <v>3.3584784529684187E-3</v>
      </c>
      <c r="X263" s="147">
        <v>6.7219139577308525E-4</v>
      </c>
      <c r="Y263" s="183"/>
    </row>
    <row r="264" spans="1:25" ht="15" x14ac:dyDescent="0.2">
      <c r="A264" s="142" t="s">
        <v>1220</v>
      </c>
      <c r="B264" s="143" t="s">
        <v>1220</v>
      </c>
      <c r="C264" s="143" t="s">
        <v>2597</v>
      </c>
      <c r="D264" s="143" t="s">
        <v>2598</v>
      </c>
      <c r="E264" s="143" t="s">
        <v>313</v>
      </c>
      <c r="F264" s="143" t="s">
        <v>2599</v>
      </c>
      <c r="G264" s="143" t="s">
        <v>2600</v>
      </c>
      <c r="H264" s="143" t="s">
        <v>321</v>
      </c>
      <c r="I264" s="143" t="s">
        <v>917</v>
      </c>
      <c r="J264" s="143" t="s">
        <v>205</v>
      </c>
      <c r="K264" s="143" t="s">
        <v>268</v>
      </c>
      <c r="L264" s="143" t="s">
        <v>325</v>
      </c>
      <c r="M264" s="143" t="s">
        <v>344</v>
      </c>
      <c r="N264" s="143" t="s">
        <v>546</v>
      </c>
      <c r="O264" s="143" t="s">
        <v>339</v>
      </c>
      <c r="P264" s="143" t="s">
        <v>1211</v>
      </c>
      <c r="Q264" s="144">
        <v>32072</v>
      </c>
      <c r="R264" s="143" t="s">
        <v>1212</v>
      </c>
      <c r="S264" s="143" t="s">
        <v>2601</v>
      </c>
      <c r="T264" s="145" t="s">
        <v>3876</v>
      </c>
      <c r="U264" s="144">
        <v>10425.911900000001</v>
      </c>
      <c r="V264" s="146">
        <v>1.1635550976280484E-4</v>
      </c>
      <c r="W264" s="146">
        <v>2.3083693259013812E-3</v>
      </c>
      <c r="X264" s="147">
        <v>4.620145762036891E-4</v>
      </c>
      <c r="Y264" s="183"/>
    </row>
    <row r="265" spans="1:25" ht="15" x14ac:dyDescent="0.2">
      <c r="A265" s="142" t="s">
        <v>1220</v>
      </c>
      <c r="B265" s="143" t="s">
        <v>1220</v>
      </c>
      <c r="C265" s="143" t="s">
        <v>2602</v>
      </c>
      <c r="D265" s="143" t="s">
        <v>2603</v>
      </c>
      <c r="E265" s="143" t="s">
        <v>313</v>
      </c>
      <c r="F265" s="143" t="s">
        <v>2604</v>
      </c>
      <c r="G265" s="143" t="s">
        <v>2605</v>
      </c>
      <c r="H265" s="143" t="s">
        <v>321</v>
      </c>
      <c r="I265" s="143" t="s">
        <v>917</v>
      </c>
      <c r="J265" s="143" t="s">
        <v>205</v>
      </c>
      <c r="K265" s="143" t="s">
        <v>224</v>
      </c>
      <c r="L265" s="143" t="s">
        <v>325</v>
      </c>
      <c r="M265" s="143" t="s">
        <v>344</v>
      </c>
      <c r="N265" s="143" t="s">
        <v>548</v>
      </c>
      <c r="O265" s="143" t="s">
        <v>339</v>
      </c>
      <c r="P265" s="143" t="s">
        <v>1211</v>
      </c>
      <c r="Q265" s="144">
        <v>105124</v>
      </c>
      <c r="R265" s="143" t="s">
        <v>1212</v>
      </c>
      <c r="S265" s="143" t="s">
        <v>2606</v>
      </c>
      <c r="T265" s="145" t="s">
        <v>3876</v>
      </c>
      <c r="U265" s="144">
        <v>9981.7698</v>
      </c>
      <c r="V265" s="146">
        <v>1.8807406744789337E-3</v>
      </c>
      <c r="W265" s="146">
        <v>2.2100331816669871E-3</v>
      </c>
      <c r="X265" s="147">
        <v>4.4233283312463583E-4</v>
      </c>
      <c r="Y265" s="183"/>
    </row>
    <row r="266" spans="1:25" ht="15" x14ac:dyDescent="0.2">
      <c r="A266" s="142" t="s">
        <v>1220</v>
      </c>
      <c r="B266" s="143" t="s">
        <v>1220</v>
      </c>
      <c r="C266" s="143" t="s">
        <v>2607</v>
      </c>
      <c r="D266" s="143" t="s">
        <v>2608</v>
      </c>
      <c r="E266" s="143" t="s">
        <v>313</v>
      </c>
      <c r="F266" s="143" t="s">
        <v>2609</v>
      </c>
      <c r="G266" s="143" t="s">
        <v>2610</v>
      </c>
      <c r="H266" s="143" t="s">
        <v>321</v>
      </c>
      <c r="I266" s="143" t="s">
        <v>917</v>
      </c>
      <c r="J266" s="143" t="s">
        <v>205</v>
      </c>
      <c r="K266" s="143" t="s">
        <v>224</v>
      </c>
      <c r="L266" s="143" t="s">
        <v>325</v>
      </c>
      <c r="M266" s="143" t="s">
        <v>344</v>
      </c>
      <c r="N266" s="143" t="s">
        <v>489</v>
      </c>
      <c r="O266" s="143" t="s">
        <v>339</v>
      </c>
      <c r="P266" s="143" t="s">
        <v>1211</v>
      </c>
      <c r="Q266" s="144">
        <v>298270</v>
      </c>
      <c r="R266" s="143" t="s">
        <v>1212</v>
      </c>
      <c r="S266" s="143" t="s">
        <v>2611</v>
      </c>
      <c r="T266" s="145" t="s">
        <v>3876</v>
      </c>
      <c r="U266" s="144">
        <v>6727.1815999999999</v>
      </c>
      <c r="V266" s="146">
        <v>2.8679807692307692E-2</v>
      </c>
      <c r="W266" s="146">
        <v>1.489444740105616E-3</v>
      </c>
      <c r="X266" s="147">
        <v>2.9810878729728417E-4</v>
      </c>
      <c r="Y266" s="183"/>
    </row>
    <row r="267" spans="1:25" ht="15" x14ac:dyDescent="0.2">
      <c r="A267" s="142" t="s">
        <v>1220</v>
      </c>
      <c r="B267" s="143" t="s">
        <v>1220</v>
      </c>
      <c r="C267" s="143" t="s">
        <v>2612</v>
      </c>
      <c r="D267" s="143" t="s">
        <v>2613</v>
      </c>
      <c r="E267" s="143" t="s">
        <v>313</v>
      </c>
      <c r="F267" s="143" t="s">
        <v>2612</v>
      </c>
      <c r="G267" s="143" t="s">
        <v>2614</v>
      </c>
      <c r="H267" s="143" t="s">
        <v>321</v>
      </c>
      <c r="I267" s="143" t="s">
        <v>917</v>
      </c>
      <c r="J267" s="143" t="s">
        <v>205</v>
      </c>
      <c r="K267" s="143" t="s">
        <v>272</v>
      </c>
      <c r="L267" s="143" t="s">
        <v>325</v>
      </c>
      <c r="M267" s="143" t="s">
        <v>394</v>
      </c>
      <c r="N267" s="143" t="s">
        <v>568</v>
      </c>
      <c r="O267" s="143" t="s">
        <v>339</v>
      </c>
      <c r="P267" s="143" t="s">
        <v>1213</v>
      </c>
      <c r="Q267" s="144">
        <v>210324</v>
      </c>
      <c r="R267" s="143" t="s">
        <v>1214</v>
      </c>
      <c r="S267" s="143" t="s">
        <v>2615</v>
      </c>
      <c r="T267" s="145" t="s">
        <v>3876</v>
      </c>
      <c r="U267" s="144">
        <v>4735.0495000000001</v>
      </c>
      <c r="V267" s="146">
        <v>5.8261495844875347E-2</v>
      </c>
      <c r="W267" s="146">
        <v>1.0483728460252445E-3</v>
      </c>
      <c r="X267" s="147">
        <v>2.0982930708918191E-4</v>
      </c>
      <c r="Y267" s="183"/>
    </row>
    <row r="268" spans="1:25" ht="15" x14ac:dyDescent="0.2">
      <c r="A268" s="142" t="s">
        <v>1220</v>
      </c>
      <c r="B268" s="143" t="s">
        <v>1220</v>
      </c>
      <c r="C268" s="143" t="s">
        <v>2620</v>
      </c>
      <c r="D268" s="143" t="s">
        <v>2621</v>
      </c>
      <c r="E268" s="143" t="s">
        <v>313</v>
      </c>
      <c r="F268" s="143" t="s">
        <v>2620</v>
      </c>
      <c r="G268" s="143" t="s">
        <v>2622</v>
      </c>
      <c r="H268" s="143" t="s">
        <v>321</v>
      </c>
      <c r="I268" s="143" t="s">
        <v>917</v>
      </c>
      <c r="J268" s="143" t="s">
        <v>205</v>
      </c>
      <c r="K268" s="143" t="s">
        <v>224</v>
      </c>
      <c r="L268" s="143" t="s">
        <v>325</v>
      </c>
      <c r="M268" s="143" t="s">
        <v>344</v>
      </c>
      <c r="N268" s="143" t="s">
        <v>544</v>
      </c>
      <c r="O268" s="143" t="s">
        <v>339</v>
      </c>
      <c r="P268" s="143" t="s">
        <v>1211</v>
      </c>
      <c r="Q268" s="144">
        <v>1176</v>
      </c>
      <c r="R268" s="143" t="s">
        <v>1212</v>
      </c>
      <c r="S268" s="143" t="s">
        <v>2623</v>
      </c>
      <c r="T268" s="145" t="s">
        <v>3876</v>
      </c>
      <c r="U268" s="144">
        <v>139.0274</v>
      </c>
      <c r="V268" s="146">
        <v>1.0296190584588985E-5</v>
      </c>
      <c r="W268" s="146">
        <v>3.078162492694216E-5</v>
      </c>
      <c r="X268" s="147">
        <v>6.160868296033523E-6</v>
      </c>
      <c r="Y268" s="183"/>
    </row>
    <row r="269" spans="1:25" ht="15" x14ac:dyDescent="0.2">
      <c r="A269" s="142" t="s">
        <v>1220</v>
      </c>
      <c r="B269" s="143" t="s">
        <v>1220</v>
      </c>
      <c r="C269" s="143" t="s">
        <v>2624</v>
      </c>
      <c r="D269" s="143" t="s">
        <v>2625</v>
      </c>
      <c r="E269" s="143" t="s">
        <v>309</v>
      </c>
      <c r="F269" s="143" t="s">
        <v>2624</v>
      </c>
      <c r="G269" s="143" t="s">
        <v>2626</v>
      </c>
      <c r="H269" s="143" t="s">
        <v>321</v>
      </c>
      <c r="I269" s="143" t="s">
        <v>917</v>
      </c>
      <c r="J269" s="143" t="s">
        <v>205</v>
      </c>
      <c r="K269" s="143" t="s">
        <v>204</v>
      </c>
      <c r="L269" s="143" t="s">
        <v>325</v>
      </c>
      <c r="M269" s="143" t="s">
        <v>344</v>
      </c>
      <c r="N269" s="143" t="s">
        <v>533</v>
      </c>
      <c r="O269" s="143" t="s">
        <v>339</v>
      </c>
      <c r="P269" s="143" t="s">
        <v>1211</v>
      </c>
      <c r="Q269" s="144">
        <v>2119816</v>
      </c>
      <c r="R269" s="143" t="s">
        <v>1212</v>
      </c>
      <c r="S269" s="143" t="s">
        <v>2627</v>
      </c>
      <c r="T269" s="145" t="s">
        <v>3876</v>
      </c>
      <c r="U269" s="144">
        <v>135.46260000000001</v>
      </c>
      <c r="V269" s="146">
        <v>2.8499428617523293E-2</v>
      </c>
      <c r="W269" s="146">
        <v>2.9992361199729188E-5</v>
      </c>
      <c r="X269" s="147">
        <v>6.0028990567312924E-6</v>
      </c>
      <c r="Y269" s="183"/>
    </row>
    <row r="270" spans="1:25" ht="15" x14ac:dyDescent="0.2">
      <c r="A270" s="142" t="s">
        <v>1220</v>
      </c>
      <c r="B270" s="143" t="s">
        <v>1220</v>
      </c>
      <c r="C270" s="143" t="s">
        <v>2628</v>
      </c>
      <c r="D270" s="143" t="s">
        <v>2629</v>
      </c>
      <c r="E270" s="143" t="s">
        <v>313</v>
      </c>
      <c r="F270" s="143" t="s">
        <v>2628</v>
      </c>
      <c r="G270" s="143" t="s">
        <v>2630</v>
      </c>
      <c r="H270" s="143" t="s">
        <v>321</v>
      </c>
      <c r="I270" s="143" t="s">
        <v>917</v>
      </c>
      <c r="J270" s="143" t="s">
        <v>205</v>
      </c>
      <c r="K270" s="143" t="s">
        <v>224</v>
      </c>
      <c r="L270" s="143" t="s">
        <v>325</v>
      </c>
      <c r="M270" s="143" t="s">
        <v>344</v>
      </c>
      <c r="N270" s="143" t="s">
        <v>544</v>
      </c>
      <c r="O270" s="143" t="s">
        <v>339</v>
      </c>
      <c r="P270" s="143" t="s">
        <v>1211</v>
      </c>
      <c r="Q270" s="144">
        <v>97</v>
      </c>
      <c r="R270" s="143" t="s">
        <v>1212</v>
      </c>
      <c r="S270" s="143" t="s">
        <v>2631</v>
      </c>
      <c r="T270" s="145" t="s">
        <v>3876</v>
      </c>
      <c r="U270" s="144">
        <v>3.1466999999999996</v>
      </c>
      <c r="V270" s="146">
        <v>7.8187973561180073E-7</v>
      </c>
      <c r="W270" s="146">
        <v>6.9670046512098228E-7</v>
      </c>
      <c r="X270" s="147">
        <v>1.3944292471833659E-7</v>
      </c>
      <c r="Y270" s="183"/>
    </row>
    <row r="271" spans="1:25" ht="15" x14ac:dyDescent="0.2">
      <c r="A271" s="154" t="s">
        <v>1205</v>
      </c>
      <c r="B271" s="155" t="s">
        <v>1206</v>
      </c>
      <c r="C271" s="145" t="s">
        <v>3876</v>
      </c>
      <c r="D271" s="145" t="s">
        <v>3876</v>
      </c>
      <c r="E271" s="145" t="s">
        <v>3876</v>
      </c>
      <c r="F271" s="145" t="s">
        <v>3876</v>
      </c>
      <c r="G271" s="145" t="s">
        <v>3876</v>
      </c>
      <c r="H271" s="145" t="s">
        <v>3876</v>
      </c>
      <c r="I271" s="145" t="s">
        <v>3876</v>
      </c>
      <c r="J271" s="145" t="s">
        <v>3876</v>
      </c>
      <c r="K271" s="145" t="s">
        <v>3876</v>
      </c>
      <c r="L271" s="145" t="s">
        <v>3876</v>
      </c>
      <c r="M271" s="145" t="s">
        <v>3876</v>
      </c>
      <c r="N271" s="145" t="s">
        <v>3876</v>
      </c>
      <c r="O271" s="145" t="s">
        <v>3876</v>
      </c>
      <c r="P271" s="145" t="s">
        <v>3876</v>
      </c>
      <c r="Q271" s="145" t="s">
        <v>3876</v>
      </c>
      <c r="R271" s="145" t="s">
        <v>3876</v>
      </c>
      <c r="S271" s="145" t="s">
        <v>3876</v>
      </c>
      <c r="T271" s="145" t="s">
        <v>3876</v>
      </c>
      <c r="U271" s="145" t="s">
        <v>3876</v>
      </c>
      <c r="V271" s="145" t="s">
        <v>3876</v>
      </c>
      <c r="W271" s="145" t="s">
        <v>3876</v>
      </c>
      <c r="X271" s="156" t="s">
        <v>3876</v>
      </c>
      <c r="Y271" s="183"/>
    </row>
    <row r="272" spans="1:25" ht="15" x14ac:dyDescent="0.2">
      <c r="A272" s="154" t="s">
        <v>1205</v>
      </c>
      <c r="B272" s="155" t="s">
        <v>1215</v>
      </c>
      <c r="C272" s="145" t="s">
        <v>3876</v>
      </c>
      <c r="D272" s="145" t="s">
        <v>3876</v>
      </c>
      <c r="E272" s="145" t="s">
        <v>3876</v>
      </c>
      <c r="F272" s="145" t="s">
        <v>3876</v>
      </c>
      <c r="G272" s="145" t="s">
        <v>3876</v>
      </c>
      <c r="H272" s="145" t="s">
        <v>3876</v>
      </c>
      <c r="I272" s="145" t="s">
        <v>3876</v>
      </c>
      <c r="J272" s="145" t="s">
        <v>3876</v>
      </c>
      <c r="K272" s="145" t="s">
        <v>3876</v>
      </c>
      <c r="L272" s="145" t="s">
        <v>3876</v>
      </c>
      <c r="M272" s="145" t="s">
        <v>3876</v>
      </c>
      <c r="N272" s="145" t="s">
        <v>3876</v>
      </c>
      <c r="O272" s="145" t="s">
        <v>3876</v>
      </c>
      <c r="P272" s="145" t="s">
        <v>3876</v>
      </c>
      <c r="Q272" s="145" t="s">
        <v>3876</v>
      </c>
      <c r="R272" s="145" t="s">
        <v>3876</v>
      </c>
      <c r="S272" s="145" t="s">
        <v>3876</v>
      </c>
      <c r="T272" s="145" t="s">
        <v>3876</v>
      </c>
      <c r="U272" s="145" t="s">
        <v>3876</v>
      </c>
      <c r="V272" s="145" t="s">
        <v>3876</v>
      </c>
      <c r="W272" s="145" t="s">
        <v>3876</v>
      </c>
      <c r="X272" s="156" t="s">
        <v>3876</v>
      </c>
      <c r="Y272" s="183"/>
    </row>
    <row r="273" spans="1:25" ht="15" x14ac:dyDescent="0.2">
      <c r="A273" s="154" t="s">
        <v>1220</v>
      </c>
      <c r="B273" s="155" t="s">
        <v>1221</v>
      </c>
      <c r="C273" s="145" t="s">
        <v>3876</v>
      </c>
      <c r="D273" s="145" t="s">
        <v>3876</v>
      </c>
      <c r="E273" s="145" t="s">
        <v>3876</v>
      </c>
      <c r="F273" s="145" t="s">
        <v>3876</v>
      </c>
      <c r="G273" s="145" t="s">
        <v>3876</v>
      </c>
      <c r="H273" s="145" t="s">
        <v>3876</v>
      </c>
      <c r="I273" s="145" t="s">
        <v>3876</v>
      </c>
      <c r="J273" s="145" t="s">
        <v>3876</v>
      </c>
      <c r="K273" s="145" t="s">
        <v>3876</v>
      </c>
      <c r="L273" s="145" t="s">
        <v>3876</v>
      </c>
      <c r="M273" s="145" t="s">
        <v>3876</v>
      </c>
      <c r="N273" s="145" t="s">
        <v>3876</v>
      </c>
      <c r="O273" s="145" t="s">
        <v>3876</v>
      </c>
      <c r="P273" s="145" t="s">
        <v>3876</v>
      </c>
      <c r="Q273" s="145" t="s">
        <v>3876</v>
      </c>
      <c r="R273" s="145" t="s">
        <v>3876</v>
      </c>
      <c r="S273" s="145" t="s">
        <v>3876</v>
      </c>
      <c r="T273" s="145" t="s">
        <v>3876</v>
      </c>
      <c r="U273" s="145" t="s">
        <v>3876</v>
      </c>
      <c r="V273" s="145" t="s">
        <v>3876</v>
      </c>
      <c r="W273" s="145" t="s">
        <v>3876</v>
      </c>
      <c r="X273" s="156" t="s">
        <v>3876</v>
      </c>
      <c r="Y273" s="183"/>
    </row>
    <row r="274" spans="1:25" ht="15" x14ac:dyDescent="0.2">
      <c r="A274" s="157" t="s">
        <v>1220</v>
      </c>
      <c r="B274" s="158" t="s">
        <v>1222</v>
      </c>
      <c r="C274" s="151" t="s">
        <v>3876</v>
      </c>
      <c r="D274" s="151" t="s">
        <v>3876</v>
      </c>
      <c r="E274" s="151" t="s">
        <v>3876</v>
      </c>
      <c r="F274" s="151" t="s">
        <v>3876</v>
      </c>
      <c r="G274" s="151" t="s">
        <v>3876</v>
      </c>
      <c r="H274" s="151" t="s">
        <v>3876</v>
      </c>
      <c r="I274" s="151" t="s">
        <v>3876</v>
      </c>
      <c r="J274" s="151" t="s">
        <v>3876</v>
      </c>
      <c r="K274" s="151" t="s">
        <v>3876</v>
      </c>
      <c r="L274" s="151" t="s">
        <v>3876</v>
      </c>
      <c r="M274" s="151" t="s">
        <v>3876</v>
      </c>
      <c r="N274" s="151" t="s">
        <v>3876</v>
      </c>
      <c r="O274" s="151" t="s">
        <v>3876</v>
      </c>
      <c r="P274" s="151" t="s">
        <v>3876</v>
      </c>
      <c r="Q274" s="151" t="s">
        <v>3876</v>
      </c>
      <c r="R274" s="151" t="s">
        <v>3876</v>
      </c>
      <c r="S274" s="151" t="s">
        <v>3876</v>
      </c>
      <c r="T274" s="151" t="s">
        <v>3876</v>
      </c>
      <c r="U274" s="151" t="s">
        <v>3876</v>
      </c>
      <c r="V274" s="151" t="s">
        <v>3876</v>
      </c>
      <c r="W274" s="151" t="s">
        <v>3876</v>
      </c>
      <c r="X274" s="159" t="s">
        <v>3876</v>
      </c>
      <c r="Y274" s="183"/>
    </row>
    <row r="275" spans="1:25" x14ac:dyDescent="0.2">
      <c r="A275" s="183" t="s">
        <v>3893</v>
      </c>
      <c r="B275" s="183"/>
      <c r="C275" s="183"/>
      <c r="D275" s="183"/>
      <c r="E275" s="183"/>
      <c r="F275" s="183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3"/>
      <c r="V275" s="183"/>
      <c r="W275" s="183"/>
      <c r="X275" s="183"/>
    </row>
    <row r="276" spans="1:25" x14ac:dyDescent="0.2">
      <c r="A276" s="4" t="s">
        <v>3892</v>
      </c>
    </row>
    <row r="277" spans="1:25" x14ac:dyDescent="0.2">
      <c r="A277" s="177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" right="0" top="0" bottom="0" header="0" footer="0"/>
    </customSheetView>
  </customSheetViews>
  <mergeCells count="2">
    <mergeCell ref="A275:X275"/>
    <mergeCell ref="Y2:Y274"/>
  </mergeCells>
  <dataValidations count="8">
    <dataValidation type="list" allowBlank="1" showInputMessage="1" showErrorMessage="1" sqref="J3:J20">
      <formula1>israel_abroad</formula1>
    </dataValidation>
    <dataValidation type="list" allowBlank="1" showInputMessage="1" showErrorMessage="1" sqref="O3:O20">
      <formula1>Holding_interest</formula1>
    </dataValidation>
    <dataValidation type="list" allowBlank="1" showInputMessage="1" showErrorMessage="1" sqref="K3:K21">
      <formula1>Country_list</formula1>
    </dataValidation>
    <dataValidation type="list" allowBlank="1" showInputMessage="1" showErrorMessage="1" sqref="E3:E21">
      <formula1>Issuer_Number_Type_2</formula1>
    </dataValidation>
    <dataValidation type="list" allowBlank="1" showInputMessage="1" showErrorMessage="1" sqref="H3:H21">
      <formula1>Security_ID_Number_Type</formula1>
    </dataValidation>
    <dataValidation type="list" allowBlank="1" showInputMessage="1" showErrorMessage="1" sqref="N3:N22">
      <formula1>Industry_Sector</formula1>
    </dataValidation>
    <dataValidation type="list" allowBlank="1" showInputMessage="1" showErrorMessage="1" sqref="L3:L21">
      <formula1>Tradeable_Status</formula1>
    </dataValidation>
    <dataValidation type="list" allowBlank="1" showInputMessage="1" showErrorMessage="1" sqref="M3:M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בחירה'!$C$884:$C$889</xm:f>
          </x14:formula1>
          <xm:sqref>I3:I20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228"/>
  <sheetViews>
    <sheetView rightToLeft="1" topLeftCell="B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34.75" style="2" bestFit="1" customWidth="1"/>
    <col min="4" max="4" width="26.375" style="2" bestFit="1" customWidth="1"/>
    <col min="5" max="5" width="18.125" style="4" customWidth="1"/>
    <col min="6" max="6" width="47" style="2" bestFit="1" customWidth="1"/>
    <col min="7" max="7" width="14.375" style="2" bestFit="1" customWidth="1"/>
    <col min="8" max="8" width="15.5" style="2" customWidth="1"/>
    <col min="9" max="9" width="24.5" style="2" bestFit="1" customWidth="1"/>
    <col min="10" max="10" width="10.625" style="2" customWidth="1"/>
    <col min="11" max="11" width="21" style="2" bestFit="1" customWidth="1"/>
    <col min="12" max="12" width="11" style="2" bestFit="1" customWidth="1"/>
    <col min="13" max="13" width="75.5" style="2" bestFit="1" customWidth="1"/>
    <col min="14" max="14" width="15.125" style="2" customWidth="1"/>
    <col min="15" max="15" width="11.75" style="2" customWidth="1"/>
    <col min="16" max="16" width="14.875" style="4" customWidth="1"/>
    <col min="17" max="17" width="10.5" style="2" customWidth="1"/>
    <col min="18" max="18" width="12.875" style="2" customWidth="1"/>
    <col min="19" max="19" width="22.25" style="2" customWidth="1"/>
    <col min="20" max="20" width="17.875" style="2" customWidth="1"/>
    <col min="21" max="21" width="19" style="2" customWidth="1"/>
    <col min="22" max="22" width="21.75" style="2" customWidth="1"/>
    <col min="23" max="23" width="20.125" style="2" customWidth="1"/>
    <col min="24" max="24" width="11.625" style="2" customWidth="1"/>
    <col min="25" max="16384" width="9" style="2"/>
  </cols>
  <sheetData>
    <row r="1" spans="1:24" x14ac:dyDescent="0.2">
      <c r="A1" s="2" t="s">
        <v>3902</v>
      </c>
    </row>
    <row r="2" spans="1:24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70</v>
      </c>
      <c r="M2" s="140" t="s">
        <v>90</v>
      </c>
      <c r="N2" s="140" t="s">
        <v>56</v>
      </c>
      <c r="O2" s="140" t="s">
        <v>59</v>
      </c>
      <c r="P2" s="140" t="s">
        <v>76</v>
      </c>
      <c r="Q2" s="140" t="s">
        <v>61</v>
      </c>
      <c r="R2" s="140" t="s">
        <v>77</v>
      </c>
      <c r="S2" s="140" t="s">
        <v>75</v>
      </c>
      <c r="T2" s="140" t="s">
        <v>63</v>
      </c>
      <c r="U2" s="140" t="s">
        <v>79</v>
      </c>
      <c r="V2" s="140" t="s">
        <v>64</v>
      </c>
      <c r="W2" s="141" t="s">
        <v>65</v>
      </c>
      <c r="X2" s="181" t="s">
        <v>3894</v>
      </c>
    </row>
    <row r="3" spans="1:24" ht="15" x14ac:dyDescent="0.2">
      <c r="A3" s="142" t="s">
        <v>1205</v>
      </c>
      <c r="B3" s="143" t="s">
        <v>1206</v>
      </c>
      <c r="C3" s="143" t="s">
        <v>2632</v>
      </c>
      <c r="D3" s="143" t="s">
        <v>2633</v>
      </c>
      <c r="E3" s="143" t="s">
        <v>309</v>
      </c>
      <c r="F3" s="143" t="s">
        <v>2634</v>
      </c>
      <c r="G3" s="143" t="s">
        <v>2635</v>
      </c>
      <c r="H3" s="143" t="s">
        <v>321</v>
      </c>
      <c r="I3" s="143" t="s">
        <v>964</v>
      </c>
      <c r="J3" s="143" t="s">
        <v>204</v>
      </c>
      <c r="K3" s="143" t="s">
        <v>204</v>
      </c>
      <c r="L3" s="143" t="s">
        <v>340</v>
      </c>
      <c r="M3" s="143" t="s">
        <v>572</v>
      </c>
      <c r="N3" s="143" t="s">
        <v>339</v>
      </c>
      <c r="O3" s="143" t="s">
        <v>1210</v>
      </c>
      <c r="P3" s="144">
        <v>5821</v>
      </c>
      <c r="Q3" s="145" t="s">
        <v>3876</v>
      </c>
      <c r="R3" s="143" t="s">
        <v>2636</v>
      </c>
      <c r="S3" s="144" t="s">
        <v>3878</v>
      </c>
      <c r="T3" s="144">
        <v>1112.9751999999999</v>
      </c>
      <c r="U3" s="146">
        <v>2.7719047619047619E-3</v>
      </c>
      <c r="V3" s="146">
        <v>6.3307813994907383E-2</v>
      </c>
      <c r="W3" s="147">
        <v>3.8712567413246822E-2</v>
      </c>
      <c r="X3" s="181"/>
    </row>
    <row r="4" spans="1:24" ht="15" x14ac:dyDescent="0.2">
      <c r="A4" s="142" t="s">
        <v>1205</v>
      </c>
      <c r="B4" s="143" t="s">
        <v>1206</v>
      </c>
      <c r="C4" s="143" t="s">
        <v>2637</v>
      </c>
      <c r="D4" s="143" t="s">
        <v>2638</v>
      </c>
      <c r="E4" s="143" t="s">
        <v>309</v>
      </c>
      <c r="F4" s="143" t="s">
        <v>2639</v>
      </c>
      <c r="G4" s="143" t="s">
        <v>2640</v>
      </c>
      <c r="H4" s="143" t="s">
        <v>321</v>
      </c>
      <c r="I4" s="143" t="s">
        <v>964</v>
      </c>
      <c r="J4" s="143" t="s">
        <v>204</v>
      </c>
      <c r="K4" s="143" t="s">
        <v>204</v>
      </c>
      <c r="L4" s="143" t="s">
        <v>340</v>
      </c>
      <c r="M4" s="143" t="s">
        <v>572</v>
      </c>
      <c r="N4" s="143" t="s">
        <v>339</v>
      </c>
      <c r="O4" s="143" t="s">
        <v>1210</v>
      </c>
      <c r="P4" s="144">
        <v>56746</v>
      </c>
      <c r="Q4" s="145" t="s">
        <v>3876</v>
      </c>
      <c r="R4" s="143" t="s">
        <v>2118</v>
      </c>
      <c r="S4" s="144" t="s">
        <v>3878</v>
      </c>
      <c r="T4" s="144">
        <v>1089.5231999999999</v>
      </c>
      <c r="U4" s="146">
        <v>2.9866315789473684E-3</v>
      </c>
      <c r="V4" s="146">
        <v>6.1973826630401359E-2</v>
      </c>
      <c r="W4" s="147">
        <v>3.7896837529080969E-2</v>
      </c>
      <c r="X4" s="181"/>
    </row>
    <row r="5" spans="1:24" ht="15" x14ac:dyDescent="0.2">
      <c r="A5" s="142" t="s">
        <v>1205</v>
      </c>
      <c r="B5" s="143" t="s">
        <v>1206</v>
      </c>
      <c r="C5" s="143" t="s">
        <v>2641</v>
      </c>
      <c r="D5" s="143" t="s">
        <v>2642</v>
      </c>
      <c r="E5" s="143" t="s">
        <v>309</v>
      </c>
      <c r="F5" s="143" t="s">
        <v>2643</v>
      </c>
      <c r="G5" s="143" t="s">
        <v>2644</v>
      </c>
      <c r="H5" s="143" t="s">
        <v>321</v>
      </c>
      <c r="I5" s="143" t="s">
        <v>964</v>
      </c>
      <c r="J5" s="143" t="s">
        <v>204</v>
      </c>
      <c r="K5" s="143" t="s">
        <v>204</v>
      </c>
      <c r="L5" s="143" t="s">
        <v>340</v>
      </c>
      <c r="M5" s="143" t="s">
        <v>572</v>
      </c>
      <c r="N5" s="143" t="s">
        <v>339</v>
      </c>
      <c r="O5" s="143" t="s">
        <v>1210</v>
      </c>
      <c r="P5" s="144">
        <v>29949</v>
      </c>
      <c r="Q5" s="145" t="s">
        <v>3876</v>
      </c>
      <c r="R5" s="143" t="s">
        <v>2645</v>
      </c>
      <c r="S5" s="144" t="s">
        <v>3878</v>
      </c>
      <c r="T5" s="144">
        <v>572.62490000000003</v>
      </c>
      <c r="U5" s="146">
        <v>1.4680997498019593E-3</v>
      </c>
      <c r="V5" s="146">
        <v>3.2571821359448229E-2</v>
      </c>
      <c r="W5" s="147">
        <v>1.9917586006860145E-2</v>
      </c>
      <c r="X5" s="181"/>
    </row>
    <row r="6" spans="1:24" ht="15" x14ac:dyDescent="0.2">
      <c r="A6" s="142" t="s">
        <v>1205</v>
      </c>
      <c r="B6" s="143" t="s">
        <v>1206</v>
      </c>
      <c r="C6" s="143" t="s">
        <v>2646</v>
      </c>
      <c r="D6" s="143" t="s">
        <v>2647</v>
      </c>
      <c r="E6" s="143" t="s">
        <v>309</v>
      </c>
      <c r="F6" s="143" t="s">
        <v>2648</v>
      </c>
      <c r="G6" s="143" t="s">
        <v>2649</v>
      </c>
      <c r="H6" s="143" t="s">
        <v>321</v>
      </c>
      <c r="I6" s="143" t="s">
        <v>964</v>
      </c>
      <c r="J6" s="143" t="s">
        <v>204</v>
      </c>
      <c r="K6" s="143" t="s">
        <v>204</v>
      </c>
      <c r="L6" s="143" t="s">
        <v>340</v>
      </c>
      <c r="M6" s="143" t="s">
        <v>572</v>
      </c>
      <c r="N6" s="143" t="s">
        <v>339</v>
      </c>
      <c r="O6" s="143" t="s">
        <v>1210</v>
      </c>
      <c r="P6" s="144">
        <v>5992</v>
      </c>
      <c r="Q6" s="145" t="s">
        <v>3876</v>
      </c>
      <c r="R6" s="143" t="s">
        <v>2650</v>
      </c>
      <c r="S6" s="144" t="s">
        <v>3878</v>
      </c>
      <c r="T6" s="144">
        <v>179.99970000000002</v>
      </c>
      <c r="U6" s="146">
        <v>6.6577777777777783E-4</v>
      </c>
      <c r="V6" s="146">
        <v>1.0238670421931099E-2</v>
      </c>
      <c r="W6" s="147">
        <v>6.2609209498673962E-3</v>
      </c>
      <c r="X6" s="181"/>
    </row>
    <row r="7" spans="1:24" x14ac:dyDescent="0.2">
      <c r="A7" s="142" t="s">
        <v>1205</v>
      </c>
      <c r="B7" s="143" t="s">
        <v>1206</v>
      </c>
      <c r="C7" s="143" t="s">
        <v>2651</v>
      </c>
      <c r="D7" s="143" t="s">
        <v>2652</v>
      </c>
      <c r="E7" s="143" t="s">
        <v>313</v>
      </c>
      <c r="F7" s="143" t="s">
        <v>2653</v>
      </c>
      <c r="G7" s="143" t="s">
        <v>2654</v>
      </c>
      <c r="H7" s="143" t="s">
        <v>321</v>
      </c>
      <c r="I7" s="143" t="s">
        <v>965</v>
      </c>
      <c r="J7" s="143" t="s">
        <v>205</v>
      </c>
      <c r="K7" s="143" t="s">
        <v>224</v>
      </c>
      <c r="L7" s="143" t="s">
        <v>344</v>
      </c>
      <c r="M7" s="143" t="s">
        <v>604</v>
      </c>
      <c r="N7" s="143" t="s">
        <v>339</v>
      </c>
      <c r="O7" s="143" t="s">
        <v>1211</v>
      </c>
      <c r="P7" s="144">
        <v>1179</v>
      </c>
      <c r="Q7" s="143" t="s">
        <v>1212</v>
      </c>
      <c r="R7" s="143" t="s">
        <v>2655</v>
      </c>
      <c r="S7" s="144">
        <v>2.0738799999999999</v>
      </c>
      <c r="T7" s="144">
        <v>2419.7031000000002</v>
      </c>
      <c r="U7" s="146">
        <v>1.2503552748236352E-6</v>
      </c>
      <c r="V7" s="146">
        <v>0.13775455833604891</v>
      </c>
      <c r="W7" s="147">
        <v>8.4236562432803641E-2</v>
      </c>
      <c r="X7" s="181"/>
    </row>
    <row r="8" spans="1:24" x14ac:dyDescent="0.2">
      <c r="A8" s="142" t="s">
        <v>1205</v>
      </c>
      <c r="B8" s="143" t="s">
        <v>1206</v>
      </c>
      <c r="C8" s="143" t="s">
        <v>2656</v>
      </c>
      <c r="D8" s="143" t="s">
        <v>2657</v>
      </c>
      <c r="E8" s="143" t="s">
        <v>313</v>
      </c>
      <c r="F8" s="143" t="s">
        <v>2658</v>
      </c>
      <c r="G8" s="143" t="s">
        <v>2659</v>
      </c>
      <c r="H8" s="143" t="s">
        <v>321</v>
      </c>
      <c r="I8" s="143" t="s">
        <v>965</v>
      </c>
      <c r="J8" s="143" t="s">
        <v>205</v>
      </c>
      <c r="K8" s="143" t="s">
        <v>224</v>
      </c>
      <c r="L8" s="143" t="s">
        <v>344</v>
      </c>
      <c r="M8" s="143" t="s">
        <v>597</v>
      </c>
      <c r="N8" s="143" t="s">
        <v>339</v>
      </c>
      <c r="O8" s="143" t="s">
        <v>1211</v>
      </c>
      <c r="P8" s="144">
        <v>963</v>
      </c>
      <c r="Q8" s="143" t="s">
        <v>1212</v>
      </c>
      <c r="R8" s="143" t="s">
        <v>2660</v>
      </c>
      <c r="S8" s="144">
        <v>0.73332000000000008</v>
      </c>
      <c r="T8" s="144">
        <v>1737.095</v>
      </c>
      <c r="U8" s="146">
        <v>1.7821782178217822E-6</v>
      </c>
      <c r="V8" s="146">
        <v>9.8850460467484275E-2</v>
      </c>
      <c r="W8" s="147">
        <v>6.0446805428881298E-2</v>
      </c>
      <c r="X8" s="181"/>
    </row>
    <row r="9" spans="1:24" x14ac:dyDescent="0.2">
      <c r="A9" s="142" t="s">
        <v>1205</v>
      </c>
      <c r="B9" s="143" t="s">
        <v>1206</v>
      </c>
      <c r="C9" s="143" t="s">
        <v>2661</v>
      </c>
      <c r="D9" s="143" t="s">
        <v>2662</v>
      </c>
      <c r="E9" s="143" t="s">
        <v>313</v>
      </c>
      <c r="F9" s="143" t="s">
        <v>2661</v>
      </c>
      <c r="G9" s="143" t="s">
        <v>2663</v>
      </c>
      <c r="H9" s="143" t="s">
        <v>321</v>
      </c>
      <c r="I9" s="143" t="s">
        <v>965</v>
      </c>
      <c r="J9" s="143" t="s">
        <v>205</v>
      </c>
      <c r="K9" s="143" t="s">
        <v>224</v>
      </c>
      <c r="L9" s="143" t="s">
        <v>344</v>
      </c>
      <c r="M9" s="143" t="s">
        <v>604</v>
      </c>
      <c r="N9" s="143" t="s">
        <v>339</v>
      </c>
      <c r="O9" s="143" t="s">
        <v>1211</v>
      </c>
      <c r="P9" s="144">
        <v>832</v>
      </c>
      <c r="Q9" s="143" t="s">
        <v>1212</v>
      </c>
      <c r="R9" s="143" t="s">
        <v>2664</v>
      </c>
      <c r="S9" s="144">
        <v>1.4838699999999998</v>
      </c>
      <c r="T9" s="144">
        <v>1569.7284</v>
      </c>
      <c r="U9" s="146">
        <v>1.1145733140069178E-6</v>
      </c>
      <c r="V9" s="146">
        <v>8.9373075623550083E-2</v>
      </c>
      <c r="W9" s="147">
        <v>5.4651408675779063E-2</v>
      </c>
      <c r="X9" s="181"/>
    </row>
    <row r="10" spans="1:24" x14ac:dyDescent="0.2">
      <c r="A10" s="142" t="s">
        <v>1205</v>
      </c>
      <c r="B10" s="143" t="s">
        <v>1206</v>
      </c>
      <c r="C10" s="143" t="s">
        <v>2665</v>
      </c>
      <c r="D10" s="143" t="s">
        <v>2666</v>
      </c>
      <c r="E10" s="143" t="s">
        <v>313</v>
      </c>
      <c r="F10" s="143" t="s">
        <v>2665</v>
      </c>
      <c r="G10" s="143" t="s">
        <v>2667</v>
      </c>
      <c r="H10" s="143" t="s">
        <v>321</v>
      </c>
      <c r="I10" s="143" t="s">
        <v>965</v>
      </c>
      <c r="J10" s="143" t="s">
        <v>205</v>
      </c>
      <c r="K10" s="143" t="s">
        <v>224</v>
      </c>
      <c r="L10" s="143" t="s">
        <v>344</v>
      </c>
      <c r="M10" s="143" t="s">
        <v>611</v>
      </c>
      <c r="N10" s="143" t="s">
        <v>339</v>
      </c>
      <c r="O10" s="143" t="s">
        <v>1211</v>
      </c>
      <c r="P10" s="144">
        <v>600</v>
      </c>
      <c r="Q10" s="143" t="s">
        <v>1212</v>
      </c>
      <c r="R10" s="143" t="s">
        <v>2668</v>
      </c>
      <c r="S10" s="144" t="s">
        <v>3878</v>
      </c>
      <c r="T10" s="144">
        <v>510.23909999999995</v>
      </c>
      <c r="U10" s="146">
        <v>1.9649196347869371E-6</v>
      </c>
      <c r="V10" s="146">
        <v>2.9023220548541544E-2</v>
      </c>
      <c r="W10" s="147">
        <v>1.7747625626835368E-2</v>
      </c>
      <c r="X10" s="181"/>
    </row>
    <row r="11" spans="1:24" x14ac:dyDescent="0.2">
      <c r="A11" s="142" t="s">
        <v>1205</v>
      </c>
      <c r="B11" s="143" t="s">
        <v>1206</v>
      </c>
      <c r="C11" s="143" t="s">
        <v>2669</v>
      </c>
      <c r="D11" s="143" t="s">
        <v>2670</v>
      </c>
      <c r="E11" s="143" t="s">
        <v>313</v>
      </c>
      <c r="F11" s="143" t="s">
        <v>2671</v>
      </c>
      <c r="G11" s="143" t="s">
        <v>2672</v>
      </c>
      <c r="H11" s="143" t="s">
        <v>321</v>
      </c>
      <c r="I11" s="143" t="s">
        <v>965</v>
      </c>
      <c r="J11" s="143" t="s">
        <v>205</v>
      </c>
      <c r="K11" s="143" t="s">
        <v>224</v>
      </c>
      <c r="L11" s="143" t="s">
        <v>344</v>
      </c>
      <c r="M11" s="143" t="s">
        <v>604</v>
      </c>
      <c r="N11" s="143" t="s">
        <v>339</v>
      </c>
      <c r="O11" s="143" t="s">
        <v>1211</v>
      </c>
      <c r="P11" s="144">
        <v>820</v>
      </c>
      <c r="Q11" s="143" t="s">
        <v>1212</v>
      </c>
      <c r="R11" s="143" t="s">
        <v>2673</v>
      </c>
      <c r="S11" s="144">
        <v>0.54400000000000004</v>
      </c>
      <c r="T11" s="144">
        <v>508.41829999999999</v>
      </c>
      <c r="U11" s="146">
        <v>3.560681392834346E-6</v>
      </c>
      <c r="V11" s="146">
        <v>2.8950590727091424E-2</v>
      </c>
      <c r="W11" s="147">
        <v>1.7703212675547458E-2</v>
      </c>
      <c r="X11" s="181"/>
    </row>
    <row r="12" spans="1:24" x14ac:dyDescent="0.2">
      <c r="A12" s="142" t="s">
        <v>1205</v>
      </c>
      <c r="B12" s="143" t="s">
        <v>1206</v>
      </c>
      <c r="C12" s="143" t="s">
        <v>2674</v>
      </c>
      <c r="D12" s="143" t="s">
        <v>2675</v>
      </c>
      <c r="E12" s="143" t="s">
        <v>313</v>
      </c>
      <c r="F12" s="143" t="s">
        <v>2674</v>
      </c>
      <c r="G12" s="143" t="s">
        <v>2676</v>
      </c>
      <c r="H12" s="143" t="s">
        <v>321</v>
      </c>
      <c r="I12" s="143" t="s">
        <v>965</v>
      </c>
      <c r="J12" s="143" t="s">
        <v>205</v>
      </c>
      <c r="K12" s="143" t="s">
        <v>224</v>
      </c>
      <c r="L12" s="143" t="s">
        <v>344</v>
      </c>
      <c r="M12" s="143" t="s">
        <v>586</v>
      </c>
      <c r="N12" s="143" t="s">
        <v>339</v>
      </c>
      <c r="O12" s="143" t="s">
        <v>1211</v>
      </c>
      <c r="P12" s="144">
        <v>2375</v>
      </c>
      <c r="Q12" s="143" t="s">
        <v>1212</v>
      </c>
      <c r="R12" s="143" t="s">
        <v>2677</v>
      </c>
      <c r="S12" s="144" t="s">
        <v>3878</v>
      </c>
      <c r="T12" s="144">
        <v>367.0147</v>
      </c>
      <c r="U12" s="146">
        <v>2.5624565056724693E-6</v>
      </c>
      <c r="V12" s="146">
        <v>2.0876382569969643E-2</v>
      </c>
      <c r="W12" s="147">
        <v>1.2765854901413787E-2</v>
      </c>
      <c r="X12" s="181"/>
    </row>
    <row r="13" spans="1:24" x14ac:dyDescent="0.2">
      <c r="A13" s="142" t="s">
        <v>1205</v>
      </c>
      <c r="B13" s="143" t="s">
        <v>1206</v>
      </c>
      <c r="C13" s="143" t="s">
        <v>2678</v>
      </c>
      <c r="D13" s="143" t="s">
        <v>2679</v>
      </c>
      <c r="E13" s="143" t="s">
        <v>313</v>
      </c>
      <c r="F13" s="143" t="s">
        <v>2678</v>
      </c>
      <c r="G13" s="143" t="s">
        <v>2680</v>
      </c>
      <c r="H13" s="143" t="s">
        <v>321</v>
      </c>
      <c r="I13" s="143" t="s">
        <v>965</v>
      </c>
      <c r="J13" s="143" t="s">
        <v>205</v>
      </c>
      <c r="K13" s="143" t="s">
        <v>253</v>
      </c>
      <c r="L13" s="143" t="s">
        <v>314</v>
      </c>
      <c r="M13" s="143" t="s">
        <v>610</v>
      </c>
      <c r="N13" s="143" t="s">
        <v>339</v>
      </c>
      <c r="O13" s="143" t="s">
        <v>1213</v>
      </c>
      <c r="P13" s="144">
        <v>332</v>
      </c>
      <c r="Q13" s="143" t="s">
        <v>1214</v>
      </c>
      <c r="R13" s="143" t="s">
        <v>2681</v>
      </c>
      <c r="S13" s="144" t="s">
        <v>3878</v>
      </c>
      <c r="T13" s="144">
        <v>316.65909999999997</v>
      </c>
      <c r="U13" s="146">
        <v>3.2900604499058564E-5</v>
      </c>
      <c r="V13" s="146">
        <v>1.8012076984970739E-2</v>
      </c>
      <c r="W13" s="147">
        <v>1.1014339313459205E-2</v>
      </c>
      <c r="X13" s="181"/>
    </row>
    <row r="14" spans="1:24" x14ac:dyDescent="0.2">
      <c r="A14" s="142" t="s">
        <v>1205</v>
      </c>
      <c r="B14" s="143" t="s">
        <v>1206</v>
      </c>
      <c r="C14" s="143" t="s">
        <v>2682</v>
      </c>
      <c r="D14" s="143" t="s">
        <v>2683</v>
      </c>
      <c r="E14" s="143" t="s">
        <v>313</v>
      </c>
      <c r="F14" s="143" t="s">
        <v>2682</v>
      </c>
      <c r="G14" s="143" t="s">
        <v>2684</v>
      </c>
      <c r="H14" s="143" t="s">
        <v>321</v>
      </c>
      <c r="I14" s="143" t="s">
        <v>965</v>
      </c>
      <c r="J14" s="143" t="s">
        <v>205</v>
      </c>
      <c r="K14" s="143" t="s">
        <v>224</v>
      </c>
      <c r="L14" s="143" t="s">
        <v>344</v>
      </c>
      <c r="M14" s="143" t="s">
        <v>596</v>
      </c>
      <c r="N14" s="143" t="s">
        <v>339</v>
      </c>
      <c r="O14" s="143" t="s">
        <v>1211</v>
      </c>
      <c r="P14" s="144">
        <v>2664</v>
      </c>
      <c r="Q14" s="143" t="s">
        <v>1212</v>
      </c>
      <c r="R14" s="143" t="s">
        <v>2685</v>
      </c>
      <c r="S14" s="144" t="s">
        <v>3878</v>
      </c>
      <c r="T14" s="144">
        <v>306.72809999999998</v>
      </c>
      <c r="U14" s="146">
        <v>2.2749786507258754E-5</v>
      </c>
      <c r="V14" s="146">
        <v>1.7447185296309571E-2</v>
      </c>
      <c r="W14" s="147">
        <v>1.0668909481049616E-2</v>
      </c>
      <c r="X14" s="181"/>
    </row>
    <row r="15" spans="1:24" x14ac:dyDescent="0.2">
      <c r="A15" s="142" t="s">
        <v>1205</v>
      </c>
      <c r="B15" s="143" t="s">
        <v>1206</v>
      </c>
      <c r="C15" s="143" t="s">
        <v>2686</v>
      </c>
      <c r="D15" s="143" t="s">
        <v>2687</v>
      </c>
      <c r="E15" s="143" t="s">
        <v>313</v>
      </c>
      <c r="F15" s="143" t="s">
        <v>2686</v>
      </c>
      <c r="G15" s="143" t="s">
        <v>2688</v>
      </c>
      <c r="H15" s="143" t="s">
        <v>321</v>
      </c>
      <c r="I15" s="143" t="s">
        <v>965</v>
      </c>
      <c r="J15" s="143" t="s">
        <v>205</v>
      </c>
      <c r="K15" s="143" t="s">
        <v>268</v>
      </c>
      <c r="L15" s="143" t="s">
        <v>344</v>
      </c>
      <c r="M15" s="143" t="s">
        <v>707</v>
      </c>
      <c r="N15" s="143" t="s">
        <v>339</v>
      </c>
      <c r="O15" s="143" t="s">
        <v>1211</v>
      </c>
      <c r="P15" s="144">
        <v>991</v>
      </c>
      <c r="Q15" s="143" t="s">
        <v>1212</v>
      </c>
      <c r="R15" s="143" t="s">
        <v>2689</v>
      </c>
      <c r="S15" s="144" t="s">
        <v>3878</v>
      </c>
      <c r="T15" s="144">
        <v>268.1377</v>
      </c>
      <c r="U15" s="146">
        <v>1.7823741007194246E-5</v>
      </c>
      <c r="V15" s="146">
        <v>1.5252100313458753E-2</v>
      </c>
      <c r="W15" s="147">
        <v>9.3266205910359171E-3</v>
      </c>
      <c r="X15" s="181"/>
    </row>
    <row r="16" spans="1:24" x14ac:dyDescent="0.2">
      <c r="A16" s="142" t="s">
        <v>1205</v>
      </c>
      <c r="B16" s="143" t="s">
        <v>1206</v>
      </c>
      <c r="C16" s="143" t="s">
        <v>2690</v>
      </c>
      <c r="D16" s="143" t="s">
        <v>2691</v>
      </c>
      <c r="E16" s="143" t="s">
        <v>313</v>
      </c>
      <c r="F16" s="143" t="s">
        <v>2692</v>
      </c>
      <c r="G16" s="143" t="s">
        <v>2693</v>
      </c>
      <c r="H16" s="143" t="s">
        <v>321</v>
      </c>
      <c r="I16" s="143" t="s">
        <v>965</v>
      </c>
      <c r="J16" s="143" t="s">
        <v>205</v>
      </c>
      <c r="K16" s="143" t="s">
        <v>224</v>
      </c>
      <c r="L16" s="143" t="s">
        <v>344</v>
      </c>
      <c r="M16" s="143" t="s">
        <v>583</v>
      </c>
      <c r="N16" s="143" t="s">
        <v>339</v>
      </c>
      <c r="O16" s="143" t="s">
        <v>1211</v>
      </c>
      <c r="P16" s="144">
        <v>525</v>
      </c>
      <c r="Q16" s="143" t="s">
        <v>1212</v>
      </c>
      <c r="R16" s="143" t="s">
        <v>2694</v>
      </c>
      <c r="S16" s="144" t="s">
        <v>3878</v>
      </c>
      <c r="T16" s="144">
        <v>240.50739999999999</v>
      </c>
      <c r="U16" s="146">
        <v>3.8146861784837169E-6</v>
      </c>
      <c r="V16" s="146">
        <v>1.3680446458115251E-2</v>
      </c>
      <c r="W16" s="147">
        <v>8.3655582515564826E-3</v>
      </c>
      <c r="X16" s="181"/>
    </row>
    <row r="17" spans="1:24" x14ac:dyDescent="0.2">
      <c r="A17" s="142" t="s">
        <v>1205</v>
      </c>
      <c r="B17" s="143" t="s">
        <v>1206</v>
      </c>
      <c r="C17" s="143" t="s">
        <v>2695</v>
      </c>
      <c r="D17" s="143" t="s">
        <v>2696</v>
      </c>
      <c r="E17" s="143" t="s">
        <v>313</v>
      </c>
      <c r="F17" s="143" t="s">
        <v>2697</v>
      </c>
      <c r="G17" s="143" t="s">
        <v>2698</v>
      </c>
      <c r="H17" s="143" t="s">
        <v>321</v>
      </c>
      <c r="I17" s="143" t="s">
        <v>965</v>
      </c>
      <c r="J17" s="143" t="s">
        <v>205</v>
      </c>
      <c r="K17" s="143" t="s">
        <v>224</v>
      </c>
      <c r="L17" s="143" t="s">
        <v>344</v>
      </c>
      <c r="M17" s="143" t="s">
        <v>597</v>
      </c>
      <c r="N17" s="143" t="s">
        <v>339</v>
      </c>
      <c r="O17" s="143" t="s">
        <v>1211</v>
      </c>
      <c r="P17" s="144">
        <v>239</v>
      </c>
      <c r="Q17" s="143" t="s">
        <v>1212</v>
      </c>
      <c r="R17" s="143" t="s">
        <v>2699</v>
      </c>
      <c r="S17" s="144" t="s">
        <v>3878</v>
      </c>
      <c r="T17" s="144">
        <v>177.39829999999998</v>
      </c>
      <c r="U17" s="146">
        <v>1.8037735849056605E-5</v>
      </c>
      <c r="V17" s="146">
        <v>1.0090697564087347E-2</v>
      </c>
      <c r="W17" s="147">
        <v>6.1704359232470189E-3</v>
      </c>
      <c r="X17" s="181"/>
    </row>
    <row r="18" spans="1:24" x14ac:dyDescent="0.2">
      <c r="A18" s="142" t="s">
        <v>1205</v>
      </c>
      <c r="B18" s="143" t="s">
        <v>1206</v>
      </c>
      <c r="C18" s="143" t="s">
        <v>2700</v>
      </c>
      <c r="D18" s="143" t="s">
        <v>2701</v>
      </c>
      <c r="E18" s="143" t="s">
        <v>313</v>
      </c>
      <c r="F18" s="143" t="s">
        <v>2700</v>
      </c>
      <c r="G18" s="143" t="s">
        <v>2702</v>
      </c>
      <c r="H18" s="143" t="s">
        <v>321</v>
      </c>
      <c r="I18" s="143" t="s">
        <v>965</v>
      </c>
      <c r="J18" s="143" t="s">
        <v>205</v>
      </c>
      <c r="K18" s="143" t="s">
        <v>251</v>
      </c>
      <c r="L18" s="143" t="s">
        <v>344</v>
      </c>
      <c r="M18" s="143" t="s">
        <v>599</v>
      </c>
      <c r="N18" s="143" t="s">
        <v>339</v>
      </c>
      <c r="O18" s="143" t="s">
        <v>1211</v>
      </c>
      <c r="P18" s="144">
        <v>668</v>
      </c>
      <c r="Q18" s="143" t="s">
        <v>1212</v>
      </c>
      <c r="R18" s="143" t="s">
        <v>2703</v>
      </c>
      <c r="S18" s="144" t="s">
        <v>3878</v>
      </c>
      <c r="T18" s="144">
        <v>171.35149999999999</v>
      </c>
      <c r="U18" s="146">
        <v>3.9064327485380118E-6</v>
      </c>
      <c r="V18" s="146">
        <v>9.7467457374890848E-3</v>
      </c>
      <c r="W18" s="147">
        <v>5.9601102551523075E-3</v>
      </c>
      <c r="X18" s="181"/>
    </row>
    <row r="19" spans="1:24" x14ac:dyDescent="0.2">
      <c r="A19" s="142" t="s">
        <v>1205</v>
      </c>
      <c r="B19" s="143" t="s">
        <v>1206</v>
      </c>
      <c r="C19" s="143" t="s">
        <v>2704</v>
      </c>
      <c r="D19" s="143" t="s">
        <v>2705</v>
      </c>
      <c r="E19" s="143" t="s">
        <v>313</v>
      </c>
      <c r="F19" s="143" t="s">
        <v>2706</v>
      </c>
      <c r="G19" s="143" t="s">
        <v>2707</v>
      </c>
      <c r="H19" s="143" t="s">
        <v>321</v>
      </c>
      <c r="I19" s="143" t="s">
        <v>965</v>
      </c>
      <c r="J19" s="143" t="s">
        <v>205</v>
      </c>
      <c r="K19" s="143" t="s">
        <v>224</v>
      </c>
      <c r="L19" s="143" t="s">
        <v>344</v>
      </c>
      <c r="M19" s="143" t="s">
        <v>580</v>
      </c>
      <c r="N19" s="143" t="s">
        <v>339</v>
      </c>
      <c r="O19" s="143" t="s">
        <v>1211</v>
      </c>
      <c r="P19" s="144">
        <v>896</v>
      </c>
      <c r="Q19" s="143" t="s">
        <v>1212</v>
      </c>
      <c r="R19" s="143" t="s">
        <v>2708</v>
      </c>
      <c r="S19" s="144" t="s">
        <v>3878</v>
      </c>
      <c r="T19" s="144">
        <v>162.61010000000002</v>
      </c>
      <c r="U19" s="146">
        <v>3.9298245614035087E-5</v>
      </c>
      <c r="V19" s="146">
        <v>9.2495249298125276E-3</v>
      </c>
      <c r="W19" s="147">
        <v>5.6560609945350299E-3</v>
      </c>
      <c r="X19" s="181"/>
    </row>
    <row r="20" spans="1:24" x14ac:dyDescent="0.2">
      <c r="A20" s="142" t="s">
        <v>1205</v>
      </c>
      <c r="B20" s="143" t="s">
        <v>1206</v>
      </c>
      <c r="C20" s="143" t="s">
        <v>2709</v>
      </c>
      <c r="D20" s="143" t="s">
        <v>2710</v>
      </c>
      <c r="E20" s="143" t="s">
        <v>313</v>
      </c>
      <c r="F20" s="143" t="s">
        <v>2711</v>
      </c>
      <c r="G20" s="143" t="s">
        <v>2712</v>
      </c>
      <c r="H20" s="143" t="s">
        <v>321</v>
      </c>
      <c r="I20" s="143" t="s">
        <v>965</v>
      </c>
      <c r="J20" s="143" t="s">
        <v>205</v>
      </c>
      <c r="K20" s="143" t="s">
        <v>224</v>
      </c>
      <c r="L20" s="143" t="s">
        <v>344</v>
      </c>
      <c r="M20" s="143" t="s">
        <v>708</v>
      </c>
      <c r="N20" s="143" t="s">
        <v>339</v>
      </c>
      <c r="O20" s="143" t="s">
        <v>1211</v>
      </c>
      <c r="P20" s="144">
        <v>107</v>
      </c>
      <c r="Q20" s="143" t="s">
        <v>1212</v>
      </c>
      <c r="R20" s="143" t="s">
        <v>2713</v>
      </c>
      <c r="S20" s="144">
        <v>9.3469999999999998E-2</v>
      </c>
      <c r="T20" s="144">
        <v>157.66890000000001</v>
      </c>
      <c r="U20" s="146">
        <v>1.2125607696927801E-6</v>
      </c>
      <c r="V20" s="146">
        <v>8.9737779613890539E-3</v>
      </c>
      <c r="W20" s="147">
        <v>5.4874424239277604E-3</v>
      </c>
      <c r="X20" s="181"/>
    </row>
    <row r="21" spans="1:24" x14ac:dyDescent="0.2">
      <c r="A21" s="142" t="s">
        <v>1205</v>
      </c>
      <c r="B21" s="143" t="s">
        <v>1206</v>
      </c>
      <c r="C21" s="143" t="s">
        <v>2714</v>
      </c>
      <c r="D21" s="143" t="s">
        <v>2715</v>
      </c>
      <c r="E21" s="143" t="s">
        <v>313</v>
      </c>
      <c r="F21" s="143" t="s">
        <v>2714</v>
      </c>
      <c r="G21" s="143" t="s">
        <v>2716</v>
      </c>
      <c r="H21" s="143" t="s">
        <v>321</v>
      </c>
      <c r="I21" s="143" t="s">
        <v>965</v>
      </c>
      <c r="J21" s="143" t="s">
        <v>205</v>
      </c>
      <c r="K21" s="143" t="s">
        <v>224</v>
      </c>
      <c r="L21" s="143" t="s">
        <v>344</v>
      </c>
      <c r="M21" s="143" t="s">
        <v>589</v>
      </c>
      <c r="N21" s="143" t="s">
        <v>339</v>
      </c>
      <c r="O21" s="143" t="s">
        <v>1211</v>
      </c>
      <c r="P21" s="144">
        <v>222</v>
      </c>
      <c r="Q21" s="143" t="s">
        <v>1212</v>
      </c>
      <c r="R21" s="143" t="s">
        <v>2717</v>
      </c>
      <c r="S21" s="144" t="s">
        <v>3878</v>
      </c>
      <c r="T21" s="144">
        <v>121.6281</v>
      </c>
      <c r="U21" s="146">
        <v>7.1678801478778881E-7</v>
      </c>
      <c r="V21" s="146">
        <v>6.918400416087496E-3</v>
      </c>
      <c r="W21" s="147">
        <v>4.2305842770241093E-3</v>
      </c>
      <c r="X21" s="181"/>
    </row>
    <row r="22" spans="1:24" x14ac:dyDescent="0.2">
      <c r="A22" s="142" t="s">
        <v>1205</v>
      </c>
      <c r="B22" s="143" t="s">
        <v>1206</v>
      </c>
      <c r="C22" s="143" t="s">
        <v>2718</v>
      </c>
      <c r="D22" s="143" t="s">
        <v>2719</v>
      </c>
      <c r="E22" s="143" t="s">
        <v>313</v>
      </c>
      <c r="F22" s="143" t="s">
        <v>2720</v>
      </c>
      <c r="G22" s="143" t="s">
        <v>2721</v>
      </c>
      <c r="H22" s="143" t="s">
        <v>321</v>
      </c>
      <c r="I22" s="143" t="s">
        <v>965</v>
      </c>
      <c r="J22" s="143" t="s">
        <v>205</v>
      </c>
      <c r="K22" s="143" t="s">
        <v>224</v>
      </c>
      <c r="L22" s="143" t="s">
        <v>344</v>
      </c>
      <c r="M22" s="143" t="s">
        <v>602</v>
      </c>
      <c r="N22" s="143" t="s">
        <v>339</v>
      </c>
      <c r="O22" s="143" t="s">
        <v>1211</v>
      </c>
      <c r="P22" s="144">
        <v>153</v>
      </c>
      <c r="Q22" s="143" t="s">
        <v>1212</v>
      </c>
      <c r="R22" s="143" t="s">
        <v>2722</v>
      </c>
      <c r="S22" s="144" t="s">
        <v>3878</v>
      </c>
      <c r="T22" s="144">
        <v>116.6875</v>
      </c>
      <c r="U22" s="146">
        <v>5.0295857988165677E-7</v>
      </c>
      <c r="V22" s="146">
        <v>6.6373730732390331E-3</v>
      </c>
      <c r="W22" s="147">
        <v>4.0587367708716793E-3</v>
      </c>
      <c r="X22" s="181"/>
    </row>
    <row r="23" spans="1:24" x14ac:dyDescent="0.2">
      <c r="A23" s="142" t="s">
        <v>1205</v>
      </c>
      <c r="B23" s="143" t="s">
        <v>1206</v>
      </c>
      <c r="C23" s="143" t="s">
        <v>2723</v>
      </c>
      <c r="D23" s="143" t="s">
        <v>2724</v>
      </c>
      <c r="E23" s="143" t="s">
        <v>313</v>
      </c>
      <c r="F23" s="143" t="s">
        <v>2725</v>
      </c>
      <c r="G23" s="143" t="s">
        <v>2726</v>
      </c>
      <c r="H23" s="143" t="s">
        <v>321</v>
      </c>
      <c r="I23" s="143" t="s">
        <v>965</v>
      </c>
      <c r="J23" s="143" t="s">
        <v>205</v>
      </c>
      <c r="K23" s="143" t="s">
        <v>224</v>
      </c>
      <c r="L23" s="143" t="s">
        <v>344</v>
      </c>
      <c r="M23" s="143" t="s">
        <v>612</v>
      </c>
      <c r="N23" s="143" t="s">
        <v>339</v>
      </c>
      <c r="O23" s="143" t="s">
        <v>1211</v>
      </c>
      <c r="P23" s="144">
        <v>355</v>
      </c>
      <c r="Q23" s="143" t="s">
        <v>1212</v>
      </c>
      <c r="R23" s="143" t="s">
        <v>2727</v>
      </c>
      <c r="S23" s="144" t="s">
        <v>3878</v>
      </c>
      <c r="T23" s="144">
        <v>115.9633</v>
      </c>
      <c r="U23" s="146">
        <v>2.0699708454810495E-5</v>
      </c>
      <c r="V23" s="146">
        <v>6.5961767693072859E-3</v>
      </c>
      <c r="W23" s="147">
        <v>4.0335453356838734E-3</v>
      </c>
      <c r="X23" s="181"/>
    </row>
    <row r="24" spans="1:24" x14ac:dyDescent="0.2">
      <c r="A24" s="142" t="s">
        <v>1205</v>
      </c>
      <c r="B24" s="143" t="s">
        <v>1206</v>
      </c>
      <c r="C24" s="143" t="s">
        <v>2728</v>
      </c>
      <c r="D24" s="143" t="s">
        <v>2729</v>
      </c>
      <c r="E24" s="143" t="s">
        <v>313</v>
      </c>
      <c r="F24" s="143" t="s">
        <v>2728</v>
      </c>
      <c r="G24" s="143" t="s">
        <v>2730</v>
      </c>
      <c r="H24" s="143" t="s">
        <v>321</v>
      </c>
      <c r="I24" s="143" t="s">
        <v>965</v>
      </c>
      <c r="J24" s="143" t="s">
        <v>205</v>
      </c>
      <c r="K24" s="143" t="s">
        <v>244</v>
      </c>
      <c r="L24" s="143" t="s">
        <v>344</v>
      </c>
      <c r="M24" s="143" t="s">
        <v>580</v>
      </c>
      <c r="N24" s="143" t="s">
        <v>339</v>
      </c>
      <c r="O24" s="143" t="s">
        <v>1211</v>
      </c>
      <c r="P24" s="144">
        <v>504</v>
      </c>
      <c r="Q24" s="143" t="s">
        <v>1212</v>
      </c>
      <c r="R24" s="143" t="s">
        <v>2731</v>
      </c>
      <c r="S24" s="144" t="s">
        <v>3878</v>
      </c>
      <c r="T24" s="144">
        <v>105.6772</v>
      </c>
      <c r="U24" s="146">
        <v>4.6408839779005524E-6</v>
      </c>
      <c r="V24" s="146">
        <v>6.0110896143129727E-3</v>
      </c>
      <c r="W24" s="147">
        <v>3.6757660269217014E-3</v>
      </c>
      <c r="X24" s="181"/>
    </row>
    <row r="25" spans="1:24" x14ac:dyDescent="0.2">
      <c r="A25" s="142" t="s">
        <v>1205</v>
      </c>
      <c r="B25" s="143" t="s">
        <v>1206</v>
      </c>
      <c r="C25" s="143" t="s">
        <v>2732</v>
      </c>
      <c r="D25" s="143" t="s">
        <v>2733</v>
      </c>
      <c r="E25" s="143" t="s">
        <v>313</v>
      </c>
      <c r="F25" s="143" t="s">
        <v>2732</v>
      </c>
      <c r="G25" s="143" t="s">
        <v>2734</v>
      </c>
      <c r="H25" s="143" t="s">
        <v>321</v>
      </c>
      <c r="I25" s="143" t="s">
        <v>965</v>
      </c>
      <c r="J25" s="143" t="s">
        <v>205</v>
      </c>
      <c r="K25" s="143" t="s">
        <v>268</v>
      </c>
      <c r="L25" s="143" t="s">
        <v>344</v>
      </c>
      <c r="M25" s="143" t="s">
        <v>588</v>
      </c>
      <c r="N25" s="143" t="s">
        <v>339</v>
      </c>
      <c r="O25" s="143" t="s">
        <v>1211</v>
      </c>
      <c r="P25" s="144">
        <v>990</v>
      </c>
      <c r="Q25" s="143" t="s">
        <v>1212</v>
      </c>
      <c r="R25" s="143" t="s">
        <v>2735</v>
      </c>
      <c r="S25" s="144" t="s">
        <v>3878</v>
      </c>
      <c r="T25" s="144">
        <v>100.55249999999999</v>
      </c>
      <c r="U25" s="146">
        <v>4.6121593291404616E-6</v>
      </c>
      <c r="V25" s="146">
        <v>5.7195873302198106E-3</v>
      </c>
      <c r="W25" s="147">
        <v>3.4975131208115685E-3</v>
      </c>
      <c r="X25" s="181"/>
    </row>
    <row r="26" spans="1:24" x14ac:dyDescent="0.2">
      <c r="A26" s="142" t="s">
        <v>1205</v>
      </c>
      <c r="B26" s="143" t="s">
        <v>1206</v>
      </c>
      <c r="C26" s="143" t="s">
        <v>2736</v>
      </c>
      <c r="D26" s="143" t="s">
        <v>2737</v>
      </c>
      <c r="E26" s="143" t="s">
        <v>313</v>
      </c>
      <c r="F26" s="143" t="s">
        <v>2738</v>
      </c>
      <c r="G26" s="143" t="s">
        <v>2739</v>
      </c>
      <c r="H26" s="143" t="s">
        <v>321</v>
      </c>
      <c r="I26" s="143" t="s">
        <v>965</v>
      </c>
      <c r="J26" s="143" t="s">
        <v>205</v>
      </c>
      <c r="K26" s="143" t="s">
        <v>268</v>
      </c>
      <c r="L26" s="143" t="s">
        <v>344</v>
      </c>
      <c r="M26" s="143" t="s">
        <v>588</v>
      </c>
      <c r="N26" s="143" t="s">
        <v>339</v>
      </c>
      <c r="O26" s="143" t="s">
        <v>1211</v>
      </c>
      <c r="P26" s="144">
        <v>601</v>
      </c>
      <c r="Q26" s="143" t="s">
        <v>1212</v>
      </c>
      <c r="R26" s="143" t="s">
        <v>2740</v>
      </c>
      <c r="S26" s="144" t="s">
        <v>3878</v>
      </c>
      <c r="T26" s="144">
        <v>95.268699999999995</v>
      </c>
      <c r="U26" s="146">
        <v>3.7329192546583852E-6</v>
      </c>
      <c r="V26" s="146">
        <v>5.4190384087707951E-3</v>
      </c>
      <c r="W26" s="147">
        <v>3.3137282189429056E-3</v>
      </c>
      <c r="X26" s="181"/>
    </row>
    <row r="27" spans="1:24" x14ac:dyDescent="0.2">
      <c r="A27" s="142" t="s">
        <v>1205</v>
      </c>
      <c r="B27" s="143" t="s">
        <v>1206</v>
      </c>
      <c r="C27" s="143" t="s">
        <v>2741</v>
      </c>
      <c r="D27" s="143" t="s">
        <v>2742</v>
      </c>
      <c r="E27" s="143" t="s">
        <v>313</v>
      </c>
      <c r="F27" s="143" t="s">
        <v>2741</v>
      </c>
      <c r="G27" s="143" t="s">
        <v>2743</v>
      </c>
      <c r="H27" s="143" t="s">
        <v>321</v>
      </c>
      <c r="I27" s="143" t="s">
        <v>965</v>
      </c>
      <c r="J27" s="143" t="s">
        <v>205</v>
      </c>
      <c r="K27" s="143" t="s">
        <v>224</v>
      </c>
      <c r="L27" s="143" t="s">
        <v>344</v>
      </c>
      <c r="M27" s="143" t="s">
        <v>708</v>
      </c>
      <c r="N27" s="143" t="s">
        <v>339</v>
      </c>
      <c r="O27" s="143" t="s">
        <v>1211</v>
      </c>
      <c r="P27" s="144">
        <v>134</v>
      </c>
      <c r="Q27" s="143" t="s">
        <v>1212</v>
      </c>
      <c r="R27" s="143" t="s">
        <v>2744</v>
      </c>
      <c r="S27" s="144" t="s">
        <v>3878</v>
      </c>
      <c r="T27" s="144">
        <v>91.876000000000005</v>
      </c>
      <c r="U27" s="146">
        <v>1.3555481371329145E-6</v>
      </c>
      <c r="V27" s="146">
        <v>5.2260527439569838E-3</v>
      </c>
      <c r="W27" s="147">
        <v>3.1957179752232926E-3</v>
      </c>
      <c r="X27" s="181"/>
    </row>
    <row r="28" spans="1:24" x14ac:dyDescent="0.2">
      <c r="A28" s="142" t="s">
        <v>1205</v>
      </c>
      <c r="B28" s="143" t="s">
        <v>1206</v>
      </c>
      <c r="C28" s="143" t="s">
        <v>2745</v>
      </c>
      <c r="D28" s="143" t="s">
        <v>2746</v>
      </c>
      <c r="E28" s="143" t="s">
        <v>313</v>
      </c>
      <c r="F28" s="143" t="s">
        <v>2745</v>
      </c>
      <c r="G28" s="143" t="s">
        <v>2747</v>
      </c>
      <c r="H28" s="143" t="s">
        <v>321</v>
      </c>
      <c r="I28" s="143" t="s">
        <v>965</v>
      </c>
      <c r="J28" s="143" t="s">
        <v>205</v>
      </c>
      <c r="K28" s="143" t="s">
        <v>224</v>
      </c>
      <c r="L28" s="143" t="s">
        <v>344</v>
      </c>
      <c r="M28" s="143" t="s">
        <v>586</v>
      </c>
      <c r="N28" s="143" t="s">
        <v>339</v>
      </c>
      <c r="O28" s="143" t="s">
        <v>1211</v>
      </c>
      <c r="P28" s="144">
        <v>202</v>
      </c>
      <c r="Q28" s="143" t="s">
        <v>1212</v>
      </c>
      <c r="R28" s="143" t="s">
        <v>2748</v>
      </c>
      <c r="S28" s="144" t="s">
        <v>3878</v>
      </c>
      <c r="T28" s="144">
        <v>88.787100000000009</v>
      </c>
      <c r="U28" s="146">
        <v>2.3488372093023256E-5</v>
      </c>
      <c r="V28" s="146">
        <v>5.0503499838341105E-3</v>
      </c>
      <c r="W28" s="147">
        <v>3.0882761838119288E-3</v>
      </c>
      <c r="X28" s="181"/>
    </row>
    <row r="29" spans="1:24" x14ac:dyDescent="0.2">
      <c r="A29" s="142" t="s">
        <v>1205</v>
      </c>
      <c r="B29" s="143" t="s">
        <v>1206</v>
      </c>
      <c r="C29" s="143" t="s">
        <v>2749</v>
      </c>
      <c r="D29" s="143" t="s">
        <v>2750</v>
      </c>
      <c r="E29" s="143" t="s">
        <v>313</v>
      </c>
      <c r="F29" s="143" t="s">
        <v>2751</v>
      </c>
      <c r="G29" s="143" t="s">
        <v>2752</v>
      </c>
      <c r="H29" s="143" t="s">
        <v>321</v>
      </c>
      <c r="I29" s="143" t="s">
        <v>965</v>
      </c>
      <c r="J29" s="143" t="s">
        <v>205</v>
      </c>
      <c r="K29" s="143" t="s">
        <v>243</v>
      </c>
      <c r="L29" s="143" t="s">
        <v>344</v>
      </c>
      <c r="M29" s="143" t="s">
        <v>707</v>
      </c>
      <c r="N29" s="143" t="s">
        <v>339</v>
      </c>
      <c r="O29" s="143" t="s">
        <v>1211</v>
      </c>
      <c r="P29" s="144">
        <v>341</v>
      </c>
      <c r="Q29" s="143" t="s">
        <v>1212</v>
      </c>
      <c r="R29" s="143" t="s">
        <v>2753</v>
      </c>
      <c r="S29" s="144" t="s">
        <v>3878</v>
      </c>
      <c r="T29" s="144">
        <v>84.715399999999988</v>
      </c>
      <c r="U29" s="146">
        <v>5.9982409850483727E-6</v>
      </c>
      <c r="V29" s="146">
        <v>4.8187487977140574E-3</v>
      </c>
      <c r="W29" s="147">
        <v>2.9466526469230747E-3</v>
      </c>
      <c r="X29" s="181"/>
    </row>
    <row r="30" spans="1:24" x14ac:dyDescent="0.2">
      <c r="A30" s="142" t="s">
        <v>1205</v>
      </c>
      <c r="B30" s="143" t="s">
        <v>1206</v>
      </c>
      <c r="C30" s="143" t="s">
        <v>2754</v>
      </c>
      <c r="D30" s="143" t="s">
        <v>2755</v>
      </c>
      <c r="E30" s="143" t="s">
        <v>313</v>
      </c>
      <c r="F30" s="143" t="s">
        <v>2756</v>
      </c>
      <c r="G30" s="143" t="s">
        <v>2757</v>
      </c>
      <c r="H30" s="143" t="s">
        <v>321</v>
      </c>
      <c r="I30" s="143" t="s">
        <v>965</v>
      </c>
      <c r="J30" s="143" t="s">
        <v>205</v>
      </c>
      <c r="K30" s="143" t="s">
        <v>224</v>
      </c>
      <c r="L30" s="143" t="s">
        <v>344</v>
      </c>
      <c r="M30" s="143" t="s">
        <v>703</v>
      </c>
      <c r="N30" s="143" t="s">
        <v>339</v>
      </c>
      <c r="O30" s="143" t="s">
        <v>1211</v>
      </c>
      <c r="P30" s="144">
        <v>186</v>
      </c>
      <c r="Q30" s="143" t="s">
        <v>1212</v>
      </c>
      <c r="R30" s="143" t="s">
        <v>2758</v>
      </c>
      <c r="S30" s="144">
        <v>2.5909999999999999E-2</v>
      </c>
      <c r="T30" s="144">
        <v>71.916499999999999</v>
      </c>
      <c r="U30" s="146">
        <v>8.2961641391614622E-6</v>
      </c>
      <c r="V30" s="146">
        <v>4.0922024235661462E-3</v>
      </c>
      <c r="W30" s="147">
        <v>2.5023713850505099E-3</v>
      </c>
      <c r="X30" s="181"/>
    </row>
    <row r="31" spans="1:24" x14ac:dyDescent="0.2">
      <c r="A31" s="142" t="s">
        <v>1205</v>
      </c>
      <c r="B31" s="143" t="s">
        <v>1206</v>
      </c>
      <c r="C31" s="143" t="s">
        <v>2759</v>
      </c>
      <c r="D31" s="143" t="s">
        <v>2662</v>
      </c>
      <c r="E31" s="143" t="s">
        <v>313</v>
      </c>
      <c r="F31" s="143" t="s">
        <v>2759</v>
      </c>
      <c r="G31" s="143" t="s">
        <v>2760</v>
      </c>
      <c r="H31" s="143" t="s">
        <v>321</v>
      </c>
      <c r="I31" s="143" t="s">
        <v>965</v>
      </c>
      <c r="J31" s="143" t="s">
        <v>205</v>
      </c>
      <c r="K31" s="143" t="s">
        <v>224</v>
      </c>
      <c r="L31" s="143" t="s">
        <v>344</v>
      </c>
      <c r="M31" s="143" t="s">
        <v>708</v>
      </c>
      <c r="N31" s="143" t="s">
        <v>339</v>
      </c>
      <c r="O31" s="143" t="s">
        <v>1211</v>
      </c>
      <c r="P31" s="144">
        <v>192</v>
      </c>
      <c r="Q31" s="143" t="s">
        <v>1212</v>
      </c>
      <c r="R31" s="143" t="s">
        <v>2761</v>
      </c>
      <c r="S31" s="144">
        <v>7.1290000000000006E-2</v>
      </c>
      <c r="T31" s="144">
        <v>71.798400000000001</v>
      </c>
      <c r="U31" s="146">
        <v>3.1999999999999999E-5</v>
      </c>
      <c r="V31" s="146">
        <v>4.0880655508231572E-3</v>
      </c>
      <c r="W31" s="147">
        <v>2.4998416978786256E-3</v>
      </c>
      <c r="X31" s="181"/>
    </row>
    <row r="32" spans="1:24" x14ac:dyDescent="0.2">
      <c r="A32" s="142" t="s">
        <v>1205</v>
      </c>
      <c r="B32" s="143" t="s">
        <v>1206</v>
      </c>
      <c r="C32" s="143" t="s">
        <v>2762</v>
      </c>
      <c r="D32" s="143" t="s">
        <v>2763</v>
      </c>
      <c r="E32" s="143" t="s">
        <v>313</v>
      </c>
      <c r="F32" s="143" t="s">
        <v>2764</v>
      </c>
      <c r="G32" s="143" t="s">
        <v>2765</v>
      </c>
      <c r="H32" s="143" t="s">
        <v>321</v>
      </c>
      <c r="I32" s="143" t="s">
        <v>965</v>
      </c>
      <c r="J32" s="143" t="s">
        <v>205</v>
      </c>
      <c r="K32" s="143" t="s">
        <v>224</v>
      </c>
      <c r="L32" s="143" t="s">
        <v>344</v>
      </c>
      <c r="M32" s="143" t="s">
        <v>707</v>
      </c>
      <c r="N32" s="143" t="s">
        <v>339</v>
      </c>
      <c r="O32" s="143" t="s">
        <v>1211</v>
      </c>
      <c r="P32" s="144">
        <v>297</v>
      </c>
      <c r="Q32" s="143" t="s">
        <v>1212</v>
      </c>
      <c r="R32" s="143" t="s">
        <v>2766</v>
      </c>
      <c r="S32" s="144" t="s">
        <v>3878</v>
      </c>
      <c r="T32" s="144">
        <v>60.499000000000002</v>
      </c>
      <c r="U32" s="146">
        <v>3.5357142857142859E-6</v>
      </c>
      <c r="V32" s="146">
        <v>3.4412779876899875E-3</v>
      </c>
      <c r="W32" s="147">
        <v>2.1043327463002837E-3</v>
      </c>
      <c r="X32" s="181"/>
    </row>
    <row r="33" spans="1:24" x14ac:dyDescent="0.2">
      <c r="A33" s="142" t="s">
        <v>1205</v>
      </c>
      <c r="B33" s="143" t="s">
        <v>1206</v>
      </c>
      <c r="C33" s="143" t="s">
        <v>2767</v>
      </c>
      <c r="D33" s="143" t="s">
        <v>2768</v>
      </c>
      <c r="E33" s="143" t="s">
        <v>313</v>
      </c>
      <c r="F33" s="143" t="s">
        <v>2769</v>
      </c>
      <c r="G33" s="143" t="s">
        <v>2770</v>
      </c>
      <c r="H33" s="143" t="s">
        <v>321</v>
      </c>
      <c r="I33" s="143" t="s">
        <v>965</v>
      </c>
      <c r="J33" s="143" t="s">
        <v>205</v>
      </c>
      <c r="K33" s="143" t="s">
        <v>238</v>
      </c>
      <c r="L33" s="143" t="s">
        <v>368</v>
      </c>
      <c r="M33" s="143" t="s">
        <v>581</v>
      </c>
      <c r="N33" s="143" t="s">
        <v>339</v>
      </c>
      <c r="O33" s="143" t="s">
        <v>1213</v>
      </c>
      <c r="P33" s="144">
        <v>98</v>
      </c>
      <c r="Q33" s="143" t="s">
        <v>1214</v>
      </c>
      <c r="R33" s="143" t="s">
        <v>2771</v>
      </c>
      <c r="S33" s="144" t="s">
        <v>3878</v>
      </c>
      <c r="T33" s="144">
        <v>59.877000000000002</v>
      </c>
      <c r="U33" s="146">
        <v>2.2328548644338117E-6</v>
      </c>
      <c r="V33" s="146">
        <v>3.405900886122787E-3</v>
      </c>
      <c r="W33" s="147">
        <v>2.0826997385736913E-3</v>
      </c>
      <c r="X33" s="181"/>
    </row>
    <row r="34" spans="1:24" x14ac:dyDescent="0.2">
      <c r="A34" s="142" t="s">
        <v>1205</v>
      </c>
      <c r="B34" s="143" t="s">
        <v>1206</v>
      </c>
      <c r="C34" s="143" t="s">
        <v>2772</v>
      </c>
      <c r="D34" s="143" t="s">
        <v>2773</v>
      </c>
      <c r="E34" s="143" t="s">
        <v>313</v>
      </c>
      <c r="F34" s="143" t="s">
        <v>2772</v>
      </c>
      <c r="G34" s="143" t="s">
        <v>2774</v>
      </c>
      <c r="H34" s="143" t="s">
        <v>321</v>
      </c>
      <c r="I34" s="143" t="s">
        <v>965</v>
      </c>
      <c r="J34" s="143" t="s">
        <v>205</v>
      </c>
      <c r="K34" s="143" t="s">
        <v>224</v>
      </c>
      <c r="L34" s="143" t="s">
        <v>344</v>
      </c>
      <c r="M34" s="143" t="s">
        <v>708</v>
      </c>
      <c r="N34" s="143" t="s">
        <v>339</v>
      </c>
      <c r="O34" s="143" t="s">
        <v>1211</v>
      </c>
      <c r="P34" s="144">
        <v>173</v>
      </c>
      <c r="Q34" s="143" t="s">
        <v>1212</v>
      </c>
      <c r="R34" s="143" t="s">
        <v>2775</v>
      </c>
      <c r="S34" s="144" t="s">
        <v>3878</v>
      </c>
      <c r="T34" s="144">
        <v>55.705300000000001</v>
      </c>
      <c r="U34" s="146">
        <v>1.0402886349969934E-6</v>
      </c>
      <c r="V34" s="146">
        <v>3.168606650227172E-3</v>
      </c>
      <c r="W34" s="147">
        <v>1.9375949162112756E-3</v>
      </c>
      <c r="X34" s="181"/>
    </row>
    <row r="35" spans="1:24" x14ac:dyDescent="0.2">
      <c r="A35" s="142" t="s">
        <v>1205</v>
      </c>
      <c r="B35" s="143" t="s">
        <v>1206</v>
      </c>
      <c r="C35" s="143" t="s">
        <v>2776</v>
      </c>
      <c r="D35" s="143" t="s">
        <v>2662</v>
      </c>
      <c r="E35" s="143" t="s">
        <v>313</v>
      </c>
      <c r="F35" s="143" t="s">
        <v>2776</v>
      </c>
      <c r="G35" s="143" t="s">
        <v>2777</v>
      </c>
      <c r="H35" s="143" t="s">
        <v>321</v>
      </c>
      <c r="I35" s="143" t="s">
        <v>965</v>
      </c>
      <c r="J35" s="143" t="s">
        <v>205</v>
      </c>
      <c r="K35" s="143" t="s">
        <v>301</v>
      </c>
      <c r="L35" s="143" t="s">
        <v>314</v>
      </c>
      <c r="M35" s="143" t="s">
        <v>596</v>
      </c>
      <c r="N35" s="143" t="s">
        <v>339</v>
      </c>
      <c r="O35" s="143" t="s">
        <v>1213</v>
      </c>
      <c r="P35" s="144">
        <v>289</v>
      </c>
      <c r="Q35" s="143" t="s">
        <v>1214</v>
      </c>
      <c r="R35" s="143" t="s">
        <v>2778</v>
      </c>
      <c r="S35" s="144" t="s">
        <v>3878</v>
      </c>
      <c r="T35" s="144">
        <v>52.317599999999999</v>
      </c>
      <c r="U35" s="146">
        <v>9.9312714776632309E-6</v>
      </c>
      <c r="V35" s="146">
        <v>2.9759064823721118E-3</v>
      </c>
      <c r="W35" s="147">
        <v>1.819759253156584E-3</v>
      </c>
      <c r="X35" s="181"/>
    </row>
    <row r="36" spans="1:24" x14ac:dyDescent="0.2">
      <c r="A36" s="142" t="s">
        <v>1205</v>
      </c>
      <c r="B36" s="143" t="s">
        <v>1206</v>
      </c>
      <c r="C36" s="143" t="s">
        <v>2779</v>
      </c>
      <c r="D36" s="143" t="s">
        <v>2780</v>
      </c>
      <c r="E36" s="143" t="s">
        <v>313</v>
      </c>
      <c r="F36" s="143" t="s">
        <v>2779</v>
      </c>
      <c r="G36" s="143" t="s">
        <v>2781</v>
      </c>
      <c r="H36" s="143" t="s">
        <v>321</v>
      </c>
      <c r="I36" s="143" t="s">
        <v>965</v>
      </c>
      <c r="J36" s="143" t="s">
        <v>205</v>
      </c>
      <c r="K36" s="143" t="s">
        <v>246</v>
      </c>
      <c r="L36" s="143" t="s">
        <v>370</v>
      </c>
      <c r="M36" s="143" t="s">
        <v>707</v>
      </c>
      <c r="N36" s="143" t="s">
        <v>339</v>
      </c>
      <c r="O36" s="143" t="s">
        <v>2782</v>
      </c>
      <c r="P36" s="144">
        <v>10920</v>
      </c>
      <c r="Q36" s="143" t="s">
        <v>2783</v>
      </c>
      <c r="R36" s="143" t="s">
        <v>2784</v>
      </c>
      <c r="S36" s="144">
        <v>0.21840000000000001</v>
      </c>
      <c r="T36" s="144">
        <v>39.313400000000001</v>
      </c>
      <c r="U36" s="146">
        <v>7.5833333333333338E-5</v>
      </c>
      <c r="V36" s="146">
        <v>2.2486295599300514E-3</v>
      </c>
      <c r="W36" s="147">
        <v>1.3750312628582335E-3</v>
      </c>
      <c r="X36" s="181"/>
    </row>
    <row r="37" spans="1:24" x14ac:dyDescent="0.2">
      <c r="A37" s="142" t="s">
        <v>1205</v>
      </c>
      <c r="B37" s="143" t="s">
        <v>1206</v>
      </c>
      <c r="C37" s="143" t="s">
        <v>2762</v>
      </c>
      <c r="D37" s="143" t="s">
        <v>2763</v>
      </c>
      <c r="E37" s="143" t="s">
        <v>313</v>
      </c>
      <c r="F37" s="143" t="s">
        <v>2785</v>
      </c>
      <c r="G37" s="143" t="s">
        <v>2786</v>
      </c>
      <c r="H37" s="143" t="s">
        <v>321</v>
      </c>
      <c r="I37" s="143" t="s">
        <v>965</v>
      </c>
      <c r="J37" s="143" t="s">
        <v>205</v>
      </c>
      <c r="K37" s="143" t="s">
        <v>224</v>
      </c>
      <c r="L37" s="143" t="s">
        <v>344</v>
      </c>
      <c r="M37" s="143" t="s">
        <v>708</v>
      </c>
      <c r="N37" s="143" t="s">
        <v>339</v>
      </c>
      <c r="O37" s="143" t="s">
        <v>1211</v>
      </c>
      <c r="P37" s="144">
        <v>141</v>
      </c>
      <c r="Q37" s="143" t="s">
        <v>1212</v>
      </c>
      <c r="R37" s="143" t="s">
        <v>2787</v>
      </c>
      <c r="S37" s="144" t="s">
        <v>3878</v>
      </c>
      <c r="T37" s="144">
        <v>29.702300000000001</v>
      </c>
      <c r="U37" s="146">
        <v>1.176470588235294E-6</v>
      </c>
      <c r="V37" s="146">
        <v>1.6895124461475623E-3</v>
      </c>
      <c r="W37" s="147">
        <v>1.033132568315633E-3</v>
      </c>
      <c r="X37" s="181"/>
    </row>
    <row r="38" spans="1:24" x14ac:dyDescent="0.2">
      <c r="A38" s="142" t="s">
        <v>1205</v>
      </c>
      <c r="B38" s="143" t="s">
        <v>1206</v>
      </c>
      <c r="C38" s="143" t="s">
        <v>2788</v>
      </c>
      <c r="D38" s="143" t="s">
        <v>2789</v>
      </c>
      <c r="E38" s="143" t="s">
        <v>313</v>
      </c>
      <c r="F38" s="143" t="s">
        <v>2790</v>
      </c>
      <c r="G38" s="143" t="s">
        <v>2791</v>
      </c>
      <c r="H38" s="143" t="s">
        <v>321</v>
      </c>
      <c r="I38" s="143" t="s">
        <v>965</v>
      </c>
      <c r="J38" s="143" t="s">
        <v>205</v>
      </c>
      <c r="K38" s="143" t="s">
        <v>224</v>
      </c>
      <c r="L38" s="143" t="s">
        <v>344</v>
      </c>
      <c r="M38" s="143" t="s">
        <v>708</v>
      </c>
      <c r="N38" s="143" t="s">
        <v>339</v>
      </c>
      <c r="O38" s="143" t="s">
        <v>1211</v>
      </c>
      <c r="P38" s="144">
        <v>202</v>
      </c>
      <c r="Q38" s="143" t="s">
        <v>1212</v>
      </c>
      <c r="R38" s="143" t="s">
        <v>2792</v>
      </c>
      <c r="S38" s="144" t="s">
        <v>3878</v>
      </c>
      <c r="T38" s="144">
        <v>29.165400000000002</v>
      </c>
      <c r="U38" s="146">
        <v>1.5343714394227117E-6</v>
      </c>
      <c r="V38" s="146">
        <v>1.6589749668953066E-3</v>
      </c>
      <c r="W38" s="147">
        <v>1.0144589773387171E-3</v>
      </c>
      <c r="X38" s="181"/>
    </row>
    <row r="39" spans="1:24" x14ac:dyDescent="0.2">
      <c r="A39" s="142" t="s">
        <v>1205</v>
      </c>
      <c r="B39" s="143" t="s">
        <v>1206</v>
      </c>
      <c r="C39" s="143" t="s">
        <v>2793</v>
      </c>
      <c r="D39" s="143" t="s">
        <v>2794</v>
      </c>
      <c r="E39" s="143" t="s">
        <v>313</v>
      </c>
      <c r="F39" s="143" t="s">
        <v>2793</v>
      </c>
      <c r="G39" s="143" t="s">
        <v>2795</v>
      </c>
      <c r="H39" s="143" t="s">
        <v>321</v>
      </c>
      <c r="I39" s="143" t="s">
        <v>965</v>
      </c>
      <c r="J39" s="143" t="s">
        <v>205</v>
      </c>
      <c r="K39" s="143" t="s">
        <v>224</v>
      </c>
      <c r="L39" s="143" t="s">
        <v>344</v>
      </c>
      <c r="M39" s="143" t="s">
        <v>703</v>
      </c>
      <c r="N39" s="143" t="s">
        <v>339</v>
      </c>
      <c r="O39" s="143" t="s">
        <v>1211</v>
      </c>
      <c r="P39" s="144">
        <v>212</v>
      </c>
      <c r="Q39" s="143" t="s">
        <v>1212</v>
      </c>
      <c r="R39" s="143" t="s">
        <v>2796</v>
      </c>
      <c r="S39" s="144" t="s">
        <v>3878</v>
      </c>
      <c r="T39" s="144">
        <v>15.667200000000001</v>
      </c>
      <c r="U39" s="146">
        <v>4.5611015490533561E-6</v>
      </c>
      <c r="V39" s="146">
        <v>8.9117609946129514E-4</v>
      </c>
      <c r="W39" s="147">
        <v>5.4495192063091884E-4</v>
      </c>
      <c r="X39" s="181"/>
    </row>
    <row r="40" spans="1:24" x14ac:dyDescent="0.2">
      <c r="A40" s="142" t="s">
        <v>1205</v>
      </c>
      <c r="B40" s="143" t="s">
        <v>1206</v>
      </c>
      <c r="C40" s="143" t="s">
        <v>2797</v>
      </c>
      <c r="D40" s="143" t="s">
        <v>2798</v>
      </c>
      <c r="E40" s="143" t="s">
        <v>313</v>
      </c>
      <c r="F40" s="143" t="s">
        <v>2799</v>
      </c>
      <c r="G40" s="143" t="s">
        <v>2800</v>
      </c>
      <c r="H40" s="143" t="s">
        <v>321</v>
      </c>
      <c r="I40" s="143" t="s">
        <v>965</v>
      </c>
      <c r="J40" s="143" t="s">
        <v>205</v>
      </c>
      <c r="K40" s="143" t="s">
        <v>268</v>
      </c>
      <c r="L40" s="143" t="s">
        <v>344</v>
      </c>
      <c r="M40" s="143" t="s">
        <v>588</v>
      </c>
      <c r="N40" s="143" t="s">
        <v>339</v>
      </c>
      <c r="O40" s="143" t="s">
        <v>1211</v>
      </c>
      <c r="P40" s="144">
        <v>130</v>
      </c>
      <c r="Q40" s="143" t="s">
        <v>1212</v>
      </c>
      <c r="R40" s="143" t="s">
        <v>2801</v>
      </c>
      <c r="S40" s="144" t="s">
        <v>3878</v>
      </c>
      <c r="T40" s="144">
        <v>12.7005</v>
      </c>
      <c r="U40" s="146">
        <v>7.0403466016788521E-7</v>
      </c>
      <c r="V40" s="146">
        <v>7.2242669898891479E-4</v>
      </c>
      <c r="W40" s="147">
        <v>4.4176209097959788E-4</v>
      </c>
      <c r="X40" s="181"/>
    </row>
    <row r="41" spans="1:24" x14ac:dyDescent="0.2">
      <c r="A41" s="142" t="s">
        <v>1205</v>
      </c>
      <c r="B41" s="143" t="s">
        <v>1206</v>
      </c>
      <c r="C41" s="143" t="s">
        <v>2802</v>
      </c>
      <c r="D41" s="143" t="s">
        <v>2803</v>
      </c>
      <c r="E41" s="143" t="s">
        <v>313</v>
      </c>
      <c r="F41" s="143" t="s">
        <v>2802</v>
      </c>
      <c r="G41" s="143" t="s">
        <v>2804</v>
      </c>
      <c r="H41" s="143" t="s">
        <v>321</v>
      </c>
      <c r="I41" s="143" t="s">
        <v>965</v>
      </c>
      <c r="J41" s="143" t="s">
        <v>205</v>
      </c>
      <c r="K41" s="143" t="s">
        <v>224</v>
      </c>
      <c r="L41" s="143" t="s">
        <v>344</v>
      </c>
      <c r="M41" s="143" t="s">
        <v>703</v>
      </c>
      <c r="N41" s="143" t="s">
        <v>339</v>
      </c>
      <c r="O41" s="143" t="s">
        <v>1211</v>
      </c>
      <c r="P41" s="144">
        <v>66</v>
      </c>
      <c r="Q41" s="143" t="s">
        <v>1212</v>
      </c>
      <c r="R41" s="143" t="s">
        <v>2805</v>
      </c>
      <c r="S41" s="144" t="s">
        <v>3878</v>
      </c>
      <c r="T41" s="144">
        <v>9.9758999999999993</v>
      </c>
      <c r="U41" s="146">
        <v>1.9922723979715045E-6</v>
      </c>
      <c r="V41" s="146">
        <v>5.6744289797221463E-4</v>
      </c>
      <c r="W41" s="147">
        <v>3.4698989042149806E-4</v>
      </c>
      <c r="X41" s="181"/>
    </row>
    <row r="42" spans="1:24" ht="15" x14ac:dyDescent="0.2">
      <c r="A42" s="142" t="s">
        <v>1205</v>
      </c>
      <c r="B42" s="143" t="s">
        <v>1206</v>
      </c>
      <c r="C42" s="143" t="s">
        <v>2637</v>
      </c>
      <c r="D42" s="143" t="s">
        <v>2638</v>
      </c>
      <c r="E42" s="143" t="s">
        <v>309</v>
      </c>
      <c r="F42" s="143" t="s">
        <v>2806</v>
      </c>
      <c r="G42" s="143" t="s">
        <v>2807</v>
      </c>
      <c r="H42" s="143" t="s">
        <v>321</v>
      </c>
      <c r="I42" s="143" t="s">
        <v>966</v>
      </c>
      <c r="J42" s="143" t="s">
        <v>204</v>
      </c>
      <c r="K42" s="143" t="s">
        <v>204</v>
      </c>
      <c r="L42" s="143" t="s">
        <v>340</v>
      </c>
      <c r="M42" s="143" t="s">
        <v>576</v>
      </c>
      <c r="N42" s="143" t="s">
        <v>339</v>
      </c>
      <c r="O42" s="143" t="s">
        <v>1210</v>
      </c>
      <c r="P42" s="144">
        <v>298275</v>
      </c>
      <c r="Q42" s="145" t="s">
        <v>3876</v>
      </c>
      <c r="R42" s="143" t="s">
        <v>2808</v>
      </c>
      <c r="S42" s="144" t="s">
        <v>3878</v>
      </c>
      <c r="T42" s="144">
        <v>1092.0146000000002</v>
      </c>
      <c r="U42" s="146">
        <v>2.337578369905956E-3</v>
      </c>
      <c r="V42" s="146">
        <v>6.2115541599482828E-2</v>
      </c>
      <c r="W42" s="147">
        <v>3.798349587262248E-2</v>
      </c>
      <c r="X42" s="181"/>
    </row>
    <row r="43" spans="1:24" ht="15" x14ac:dyDescent="0.2">
      <c r="A43" s="142" t="s">
        <v>1205</v>
      </c>
      <c r="B43" s="143" t="s">
        <v>1206</v>
      </c>
      <c r="C43" s="143" t="s">
        <v>2646</v>
      </c>
      <c r="D43" s="143" t="s">
        <v>2647</v>
      </c>
      <c r="E43" s="143" t="s">
        <v>309</v>
      </c>
      <c r="F43" s="143" t="s">
        <v>2809</v>
      </c>
      <c r="G43" s="143" t="s">
        <v>2810</v>
      </c>
      <c r="H43" s="143" t="s">
        <v>321</v>
      </c>
      <c r="I43" s="143" t="s">
        <v>966</v>
      </c>
      <c r="J43" s="143" t="s">
        <v>204</v>
      </c>
      <c r="K43" s="143" t="s">
        <v>204</v>
      </c>
      <c r="L43" s="143" t="s">
        <v>340</v>
      </c>
      <c r="M43" s="143" t="s">
        <v>576</v>
      </c>
      <c r="N43" s="143" t="s">
        <v>339</v>
      </c>
      <c r="O43" s="143" t="s">
        <v>1210</v>
      </c>
      <c r="P43" s="144">
        <v>187179</v>
      </c>
      <c r="Q43" s="145" t="s">
        <v>3876</v>
      </c>
      <c r="R43" s="143" t="s">
        <v>2811</v>
      </c>
      <c r="S43" s="144" t="s">
        <v>3878</v>
      </c>
      <c r="T43" s="144">
        <v>853.16190000000006</v>
      </c>
      <c r="U43" s="146">
        <v>4.6794749999999998E-3</v>
      </c>
      <c r="V43" s="146">
        <v>4.85292158650086E-2</v>
      </c>
      <c r="W43" s="147">
        <v>2.9675492204442228E-2</v>
      </c>
      <c r="X43" s="181"/>
    </row>
    <row r="44" spans="1:24" ht="15" x14ac:dyDescent="0.2">
      <c r="A44" s="142" t="s">
        <v>1205</v>
      </c>
      <c r="B44" s="143" t="s">
        <v>1206</v>
      </c>
      <c r="C44" s="143" t="s">
        <v>2632</v>
      </c>
      <c r="D44" s="143" t="s">
        <v>2633</v>
      </c>
      <c r="E44" s="143" t="s">
        <v>309</v>
      </c>
      <c r="F44" s="143" t="s">
        <v>2812</v>
      </c>
      <c r="G44" s="143" t="s">
        <v>2813</v>
      </c>
      <c r="H44" s="143" t="s">
        <v>321</v>
      </c>
      <c r="I44" s="143" t="s">
        <v>966</v>
      </c>
      <c r="J44" s="143" t="s">
        <v>204</v>
      </c>
      <c r="K44" s="143" t="s">
        <v>204</v>
      </c>
      <c r="L44" s="143" t="s">
        <v>340</v>
      </c>
      <c r="M44" s="143" t="s">
        <v>632</v>
      </c>
      <c r="N44" s="143" t="s">
        <v>339</v>
      </c>
      <c r="O44" s="143" t="s">
        <v>1210</v>
      </c>
      <c r="P44" s="144">
        <v>18353.22</v>
      </c>
      <c r="Q44" s="145" t="s">
        <v>3876</v>
      </c>
      <c r="R44" s="143" t="s">
        <v>2814</v>
      </c>
      <c r="S44" s="144" t="s">
        <v>3878</v>
      </c>
      <c r="T44" s="144">
        <v>701.57569999999998</v>
      </c>
      <c r="U44" s="146">
        <v>2.0869779391120996E-3</v>
      </c>
      <c r="V44" s="146">
        <v>3.9906750410270961E-2</v>
      </c>
      <c r="W44" s="147">
        <v>2.4402876485760578E-2</v>
      </c>
      <c r="X44" s="181"/>
    </row>
    <row r="45" spans="1:24" ht="15" x14ac:dyDescent="0.2">
      <c r="A45" s="142" t="s">
        <v>1205</v>
      </c>
      <c r="B45" s="143" t="s">
        <v>1206</v>
      </c>
      <c r="C45" s="143" t="s">
        <v>2646</v>
      </c>
      <c r="D45" s="143" t="s">
        <v>2647</v>
      </c>
      <c r="E45" s="143" t="s">
        <v>309</v>
      </c>
      <c r="F45" s="143" t="s">
        <v>2815</v>
      </c>
      <c r="G45" s="143" t="s">
        <v>2816</v>
      </c>
      <c r="H45" s="143" t="s">
        <v>321</v>
      </c>
      <c r="I45" s="143" t="s">
        <v>966</v>
      </c>
      <c r="J45" s="143" t="s">
        <v>204</v>
      </c>
      <c r="K45" s="143" t="s">
        <v>204</v>
      </c>
      <c r="L45" s="143" t="s">
        <v>340</v>
      </c>
      <c r="M45" s="143" t="s">
        <v>632</v>
      </c>
      <c r="N45" s="143" t="s">
        <v>339</v>
      </c>
      <c r="O45" s="143" t="s">
        <v>1210</v>
      </c>
      <c r="P45" s="144">
        <v>133058</v>
      </c>
      <c r="Q45" s="145" t="s">
        <v>3876</v>
      </c>
      <c r="R45" s="143" t="s">
        <v>2817</v>
      </c>
      <c r="S45" s="144" t="s">
        <v>3878</v>
      </c>
      <c r="T45" s="144">
        <v>593.452</v>
      </c>
      <c r="U45" s="146">
        <v>3.7622593009234867E-3</v>
      </c>
      <c r="V45" s="146">
        <v>3.3756500532927253E-2</v>
      </c>
      <c r="W45" s="147">
        <v>2.0642014311556715E-2</v>
      </c>
      <c r="X45" s="181"/>
    </row>
    <row r="46" spans="1:24" ht="15" x14ac:dyDescent="0.2">
      <c r="A46" s="142" t="s">
        <v>1205</v>
      </c>
      <c r="B46" s="143" t="s">
        <v>1206</v>
      </c>
      <c r="C46" s="143" t="s">
        <v>2632</v>
      </c>
      <c r="D46" s="143" t="s">
        <v>2633</v>
      </c>
      <c r="E46" s="143" t="s">
        <v>309</v>
      </c>
      <c r="F46" s="143" t="s">
        <v>2818</v>
      </c>
      <c r="G46" s="143" t="s">
        <v>2819</v>
      </c>
      <c r="H46" s="143" t="s">
        <v>321</v>
      </c>
      <c r="I46" s="143" t="s">
        <v>966</v>
      </c>
      <c r="J46" s="143" t="s">
        <v>204</v>
      </c>
      <c r="K46" s="143" t="s">
        <v>204</v>
      </c>
      <c r="L46" s="143" t="s">
        <v>340</v>
      </c>
      <c r="M46" s="143" t="s">
        <v>576</v>
      </c>
      <c r="N46" s="143" t="s">
        <v>339</v>
      </c>
      <c r="O46" s="143" t="s">
        <v>1210</v>
      </c>
      <c r="P46" s="144">
        <v>272868</v>
      </c>
      <c r="Q46" s="145" t="s">
        <v>3876</v>
      </c>
      <c r="R46" s="143" t="s">
        <v>2820</v>
      </c>
      <c r="S46" s="144" t="s">
        <v>3878</v>
      </c>
      <c r="T46" s="144">
        <v>298.40840000000003</v>
      </c>
      <c r="U46" s="146">
        <v>6.8216999999999996E-4</v>
      </c>
      <c r="V46" s="146">
        <v>1.6973950828291579E-2</v>
      </c>
      <c r="W46" s="147">
        <v>1.0379527806192036E-2</v>
      </c>
      <c r="X46" s="181"/>
    </row>
    <row r="47" spans="1:24" ht="15" x14ac:dyDescent="0.2">
      <c r="A47" s="142" t="s">
        <v>1205</v>
      </c>
      <c r="B47" s="143" t="s">
        <v>1206</v>
      </c>
      <c r="C47" s="143" t="s">
        <v>2637</v>
      </c>
      <c r="D47" s="143" t="s">
        <v>2638</v>
      </c>
      <c r="E47" s="143" t="s">
        <v>309</v>
      </c>
      <c r="F47" s="143" t="s">
        <v>2821</v>
      </c>
      <c r="G47" s="143" t="s">
        <v>2822</v>
      </c>
      <c r="H47" s="143" t="s">
        <v>321</v>
      </c>
      <c r="I47" s="143" t="s">
        <v>966</v>
      </c>
      <c r="J47" s="143" t="s">
        <v>204</v>
      </c>
      <c r="K47" s="143" t="s">
        <v>204</v>
      </c>
      <c r="L47" s="143" t="s">
        <v>340</v>
      </c>
      <c r="M47" s="143" t="s">
        <v>632</v>
      </c>
      <c r="N47" s="143" t="s">
        <v>339</v>
      </c>
      <c r="O47" s="143" t="s">
        <v>1210</v>
      </c>
      <c r="P47" s="144">
        <v>19714</v>
      </c>
      <c r="Q47" s="145" t="s">
        <v>3876</v>
      </c>
      <c r="R47" s="143" t="s">
        <v>2823</v>
      </c>
      <c r="S47" s="144" t="s">
        <v>3878</v>
      </c>
      <c r="T47" s="144">
        <v>75.508600000000001</v>
      </c>
      <c r="U47" s="146">
        <v>2.6285333333333333E-4</v>
      </c>
      <c r="V47" s="146">
        <v>4.2950481275460433E-3</v>
      </c>
      <c r="W47" s="147">
        <v>2.6264110176690203E-3</v>
      </c>
      <c r="X47" s="181"/>
    </row>
    <row r="48" spans="1:24" x14ac:dyDescent="0.2">
      <c r="A48" s="142" t="s">
        <v>1205</v>
      </c>
      <c r="B48" s="143" t="s">
        <v>1206</v>
      </c>
      <c r="C48" s="143" t="s">
        <v>2824</v>
      </c>
      <c r="D48" s="143" t="s">
        <v>2825</v>
      </c>
      <c r="E48" s="143" t="s">
        <v>313</v>
      </c>
      <c r="F48" s="143" t="s">
        <v>2824</v>
      </c>
      <c r="G48" s="143" t="s">
        <v>2826</v>
      </c>
      <c r="H48" s="143" t="s">
        <v>321</v>
      </c>
      <c r="I48" s="143" t="s">
        <v>967</v>
      </c>
      <c r="J48" s="143" t="s">
        <v>205</v>
      </c>
      <c r="K48" s="143" t="s">
        <v>224</v>
      </c>
      <c r="L48" s="143" t="s">
        <v>380</v>
      </c>
      <c r="M48" s="143" t="s">
        <v>592</v>
      </c>
      <c r="N48" s="143" t="s">
        <v>339</v>
      </c>
      <c r="O48" s="143" t="s">
        <v>1211</v>
      </c>
      <c r="P48" s="144">
        <v>21450</v>
      </c>
      <c r="Q48" s="143" t="s">
        <v>1212</v>
      </c>
      <c r="R48" s="143" t="s">
        <v>2827</v>
      </c>
      <c r="S48" s="144" t="s">
        <v>3878</v>
      </c>
      <c r="T48" s="144">
        <v>462.3356</v>
      </c>
      <c r="U48" s="146">
        <v>7.0628910108659865E-5</v>
      </c>
      <c r="V48" s="146">
        <v>2.6298388771850797E-2</v>
      </c>
      <c r="W48" s="147">
        <v>1.6081397918303476E-2</v>
      </c>
      <c r="X48" s="181"/>
    </row>
    <row r="49" spans="1:24" x14ac:dyDescent="0.2">
      <c r="A49" s="142" t="s">
        <v>1205</v>
      </c>
      <c r="B49" s="143" t="s">
        <v>1206</v>
      </c>
      <c r="C49" s="143" t="s">
        <v>2828</v>
      </c>
      <c r="D49" s="143" t="s">
        <v>2829</v>
      </c>
      <c r="E49" s="143" t="s">
        <v>313</v>
      </c>
      <c r="F49" s="143" t="s">
        <v>2828</v>
      </c>
      <c r="G49" s="143" t="s">
        <v>2830</v>
      </c>
      <c r="H49" s="143" t="s">
        <v>321</v>
      </c>
      <c r="I49" s="143" t="s">
        <v>967</v>
      </c>
      <c r="J49" s="143" t="s">
        <v>205</v>
      </c>
      <c r="K49" s="143" t="s">
        <v>224</v>
      </c>
      <c r="L49" s="143" t="s">
        <v>314</v>
      </c>
      <c r="M49" s="143" t="s">
        <v>677</v>
      </c>
      <c r="N49" s="143" t="s">
        <v>339</v>
      </c>
      <c r="O49" s="143" t="s">
        <v>1211</v>
      </c>
      <c r="P49" s="144">
        <v>327</v>
      </c>
      <c r="Q49" s="143" t="s">
        <v>1212</v>
      </c>
      <c r="R49" s="143" t="s">
        <v>2831</v>
      </c>
      <c r="S49" s="144" t="s">
        <v>3878</v>
      </c>
      <c r="T49" s="144">
        <v>114.7698</v>
      </c>
      <c r="U49" s="146">
        <v>2.162841457768371E-5</v>
      </c>
      <c r="V49" s="146">
        <v>6.5282874328181128E-3</v>
      </c>
      <c r="W49" s="147">
        <v>3.9920311789055467E-3</v>
      </c>
      <c r="X49" s="181"/>
    </row>
    <row r="50" spans="1:24" x14ac:dyDescent="0.2">
      <c r="A50" s="142" t="s">
        <v>1205</v>
      </c>
      <c r="B50" s="143" t="s">
        <v>1206</v>
      </c>
      <c r="C50" s="143" t="s">
        <v>2832</v>
      </c>
      <c r="D50" s="143" t="s">
        <v>2833</v>
      </c>
      <c r="E50" s="143" t="s">
        <v>313</v>
      </c>
      <c r="F50" s="143" t="s">
        <v>2832</v>
      </c>
      <c r="G50" s="143" t="s">
        <v>2834</v>
      </c>
      <c r="H50" s="143" t="s">
        <v>321</v>
      </c>
      <c r="I50" s="143" t="s">
        <v>967</v>
      </c>
      <c r="J50" s="143" t="s">
        <v>205</v>
      </c>
      <c r="K50" s="143" t="s">
        <v>224</v>
      </c>
      <c r="L50" s="143" t="s">
        <v>314</v>
      </c>
      <c r="M50" s="143" t="s">
        <v>677</v>
      </c>
      <c r="N50" s="143" t="s">
        <v>339</v>
      </c>
      <c r="O50" s="143" t="s">
        <v>1211</v>
      </c>
      <c r="P50" s="144">
        <v>657</v>
      </c>
      <c r="Q50" s="143" t="s">
        <v>1212</v>
      </c>
      <c r="R50" s="143" t="s">
        <v>2835</v>
      </c>
      <c r="S50" s="144" t="s">
        <v>3878</v>
      </c>
      <c r="T50" s="144">
        <v>51.936999999999998</v>
      </c>
      <c r="U50" s="146">
        <v>1.1732142857142857E-4</v>
      </c>
      <c r="V50" s="146">
        <v>2.9542605724648917E-3</v>
      </c>
      <c r="W50" s="147">
        <v>1.806522834243561E-3</v>
      </c>
      <c r="X50" s="181"/>
    </row>
    <row r="51" spans="1:24" x14ac:dyDescent="0.2">
      <c r="A51" s="142" t="s">
        <v>1205</v>
      </c>
      <c r="B51" s="143" t="s">
        <v>1206</v>
      </c>
      <c r="C51" s="143" t="s">
        <v>2836</v>
      </c>
      <c r="D51" s="143" t="s">
        <v>2837</v>
      </c>
      <c r="E51" s="143" t="s">
        <v>313</v>
      </c>
      <c r="F51" s="143" t="s">
        <v>2836</v>
      </c>
      <c r="G51" s="143" t="s">
        <v>2838</v>
      </c>
      <c r="H51" s="143" t="s">
        <v>321</v>
      </c>
      <c r="I51" s="143" t="s">
        <v>967</v>
      </c>
      <c r="J51" s="143" t="s">
        <v>205</v>
      </c>
      <c r="K51" s="143" t="s">
        <v>233</v>
      </c>
      <c r="L51" s="143" t="s">
        <v>380</v>
      </c>
      <c r="M51" s="143" t="s">
        <v>677</v>
      </c>
      <c r="N51" s="143" t="s">
        <v>339</v>
      </c>
      <c r="O51" s="143" t="s">
        <v>1211</v>
      </c>
      <c r="P51" s="144">
        <v>113</v>
      </c>
      <c r="Q51" s="143" t="s">
        <v>1212</v>
      </c>
      <c r="R51" s="143" t="s">
        <v>2839</v>
      </c>
      <c r="S51" s="144" t="s">
        <v>3878</v>
      </c>
      <c r="T51" s="144">
        <v>39.036099999999998</v>
      </c>
      <c r="U51" s="146">
        <v>3.5339004253189891E-6</v>
      </c>
      <c r="V51" s="146">
        <v>2.2204352386983703E-3</v>
      </c>
      <c r="W51" s="147">
        <v>1.3577905070576938E-3</v>
      </c>
      <c r="X51" s="181"/>
    </row>
    <row r="52" spans="1:24" ht="15" x14ac:dyDescent="0.2">
      <c r="A52" s="142" t="s">
        <v>1205</v>
      </c>
      <c r="B52" s="143" t="s">
        <v>1215</v>
      </c>
      <c r="C52" s="143" t="s">
        <v>2646</v>
      </c>
      <c r="D52" s="143" t="s">
        <v>2647</v>
      </c>
      <c r="E52" s="143" t="s">
        <v>309</v>
      </c>
      <c r="F52" s="143" t="s">
        <v>2840</v>
      </c>
      <c r="G52" s="143" t="s">
        <v>2841</v>
      </c>
      <c r="H52" s="143" t="s">
        <v>321</v>
      </c>
      <c r="I52" s="143" t="s">
        <v>966</v>
      </c>
      <c r="J52" s="143" t="s">
        <v>204</v>
      </c>
      <c r="K52" s="143" t="s">
        <v>204</v>
      </c>
      <c r="L52" s="143" t="s">
        <v>340</v>
      </c>
      <c r="M52" s="143" t="s">
        <v>576</v>
      </c>
      <c r="N52" s="143" t="s">
        <v>339</v>
      </c>
      <c r="O52" s="143" t="s">
        <v>1210</v>
      </c>
      <c r="P52" s="144">
        <v>25660</v>
      </c>
      <c r="Q52" s="145" t="s">
        <v>3876</v>
      </c>
      <c r="R52" s="143" t="s">
        <v>2842</v>
      </c>
      <c r="S52" s="144" t="s">
        <v>3878</v>
      </c>
      <c r="T52" s="144">
        <v>116.52719999999999</v>
      </c>
      <c r="U52" s="146">
        <v>1.7715795843362015E-4</v>
      </c>
      <c r="V52" s="146">
        <v>0.2364034523820866</v>
      </c>
      <c r="W52" s="147">
        <v>5.533179336737469E-2</v>
      </c>
      <c r="X52" s="181"/>
    </row>
    <row r="53" spans="1:24" ht="15" x14ac:dyDescent="0.2">
      <c r="A53" s="142" t="s">
        <v>1205</v>
      </c>
      <c r="B53" s="143" t="s">
        <v>1215</v>
      </c>
      <c r="C53" s="143" t="s">
        <v>2637</v>
      </c>
      <c r="D53" s="143" t="s">
        <v>2638</v>
      </c>
      <c r="E53" s="143" t="s">
        <v>309</v>
      </c>
      <c r="F53" s="143" t="s">
        <v>2843</v>
      </c>
      <c r="G53" s="143" t="s">
        <v>2844</v>
      </c>
      <c r="H53" s="143" t="s">
        <v>321</v>
      </c>
      <c r="I53" s="143" t="s">
        <v>966</v>
      </c>
      <c r="J53" s="143" t="s">
        <v>204</v>
      </c>
      <c r="K53" s="143" t="s">
        <v>204</v>
      </c>
      <c r="L53" s="143" t="s">
        <v>340</v>
      </c>
      <c r="M53" s="143" t="s">
        <v>632</v>
      </c>
      <c r="N53" s="143" t="s">
        <v>339</v>
      </c>
      <c r="O53" s="143" t="s">
        <v>1210</v>
      </c>
      <c r="P53" s="144">
        <v>23075</v>
      </c>
      <c r="Q53" s="145" t="s">
        <v>3876</v>
      </c>
      <c r="R53" s="143" t="s">
        <v>2845</v>
      </c>
      <c r="S53" s="144" t="s">
        <v>3878</v>
      </c>
      <c r="T53" s="144">
        <v>88.453399999999988</v>
      </c>
      <c r="U53" s="146">
        <v>8.4541569137173807E-5</v>
      </c>
      <c r="V53" s="146">
        <v>0.1794490040052199</v>
      </c>
      <c r="W53" s="147">
        <v>4.200122760284361E-2</v>
      </c>
      <c r="X53" s="181"/>
    </row>
    <row r="54" spans="1:24" ht="15" x14ac:dyDescent="0.2">
      <c r="A54" s="142" t="s">
        <v>1205</v>
      </c>
      <c r="B54" s="143" t="s">
        <v>1215</v>
      </c>
      <c r="C54" s="143" t="s">
        <v>2632</v>
      </c>
      <c r="D54" s="143" t="s">
        <v>2633</v>
      </c>
      <c r="E54" s="143" t="s">
        <v>309</v>
      </c>
      <c r="F54" s="143" t="s">
        <v>2846</v>
      </c>
      <c r="G54" s="143" t="s">
        <v>2847</v>
      </c>
      <c r="H54" s="143" t="s">
        <v>321</v>
      </c>
      <c r="I54" s="143" t="s">
        <v>966</v>
      </c>
      <c r="J54" s="143" t="s">
        <v>204</v>
      </c>
      <c r="K54" s="143" t="s">
        <v>204</v>
      </c>
      <c r="L54" s="143" t="s">
        <v>340</v>
      </c>
      <c r="M54" s="143" t="s">
        <v>632</v>
      </c>
      <c r="N54" s="143" t="s">
        <v>339</v>
      </c>
      <c r="O54" s="143" t="s">
        <v>1210</v>
      </c>
      <c r="P54" s="144">
        <v>1561.18</v>
      </c>
      <c r="Q54" s="145" t="s">
        <v>3876</v>
      </c>
      <c r="R54" s="143" t="s">
        <v>2848</v>
      </c>
      <c r="S54" s="144" t="s">
        <v>3878</v>
      </c>
      <c r="T54" s="144">
        <v>59.6706</v>
      </c>
      <c r="U54" s="146">
        <v>2.8909774940111261E-5</v>
      </c>
      <c r="V54" s="146">
        <v>0.12105625634333798</v>
      </c>
      <c r="W54" s="147">
        <v>2.8334018367005359E-2</v>
      </c>
      <c r="X54" s="181"/>
    </row>
    <row r="55" spans="1:24" ht="15" x14ac:dyDescent="0.2">
      <c r="A55" s="142" t="s">
        <v>1205</v>
      </c>
      <c r="B55" s="143" t="s">
        <v>1215</v>
      </c>
      <c r="C55" s="143" t="s">
        <v>2849</v>
      </c>
      <c r="D55" s="143" t="s">
        <v>2850</v>
      </c>
      <c r="E55" s="143" t="s">
        <v>309</v>
      </c>
      <c r="F55" s="143" t="s">
        <v>2851</v>
      </c>
      <c r="G55" s="143" t="s">
        <v>2852</v>
      </c>
      <c r="H55" s="143" t="s">
        <v>321</v>
      </c>
      <c r="I55" s="143" t="s">
        <v>966</v>
      </c>
      <c r="J55" s="143" t="s">
        <v>204</v>
      </c>
      <c r="K55" s="143" t="s">
        <v>204</v>
      </c>
      <c r="L55" s="143" t="s">
        <v>340</v>
      </c>
      <c r="M55" s="143" t="s">
        <v>576</v>
      </c>
      <c r="N55" s="143" t="s">
        <v>339</v>
      </c>
      <c r="O55" s="143" t="s">
        <v>1210</v>
      </c>
      <c r="P55" s="144">
        <v>1038</v>
      </c>
      <c r="Q55" s="145" t="s">
        <v>3876</v>
      </c>
      <c r="R55" s="143" t="s">
        <v>2853</v>
      </c>
      <c r="S55" s="144" t="s">
        <v>3878</v>
      </c>
      <c r="T55" s="144">
        <v>53.953099999999999</v>
      </c>
      <c r="U55" s="146">
        <v>1.73E-4</v>
      </c>
      <c r="V55" s="146">
        <v>0.10945676694808326</v>
      </c>
      <c r="W55" s="147">
        <v>2.5619081068425021E-2</v>
      </c>
      <c r="X55" s="181"/>
    </row>
    <row r="56" spans="1:24" ht="15" x14ac:dyDescent="0.2">
      <c r="A56" s="142" t="s">
        <v>1205</v>
      </c>
      <c r="B56" s="143" t="s">
        <v>1215</v>
      </c>
      <c r="C56" s="143" t="s">
        <v>2632</v>
      </c>
      <c r="D56" s="143" t="s">
        <v>2633</v>
      </c>
      <c r="E56" s="143" t="s">
        <v>309</v>
      </c>
      <c r="F56" s="143" t="s">
        <v>2854</v>
      </c>
      <c r="G56" s="143" t="s">
        <v>2855</v>
      </c>
      <c r="H56" s="143" t="s">
        <v>321</v>
      </c>
      <c r="I56" s="143" t="s">
        <v>966</v>
      </c>
      <c r="J56" s="143" t="s">
        <v>204</v>
      </c>
      <c r="K56" s="143" t="s">
        <v>204</v>
      </c>
      <c r="L56" s="143" t="s">
        <v>340</v>
      </c>
      <c r="M56" s="143" t="s">
        <v>634</v>
      </c>
      <c r="N56" s="143" t="s">
        <v>339</v>
      </c>
      <c r="O56" s="143" t="s">
        <v>1210</v>
      </c>
      <c r="P56" s="144">
        <v>1230</v>
      </c>
      <c r="Q56" s="145" t="s">
        <v>3876</v>
      </c>
      <c r="R56" s="143" t="s">
        <v>2856</v>
      </c>
      <c r="S56" s="144" t="s">
        <v>3878</v>
      </c>
      <c r="T56" s="144">
        <v>47.273300000000006</v>
      </c>
      <c r="U56" s="146">
        <v>3.1524927644524298E-5</v>
      </c>
      <c r="V56" s="146">
        <v>9.5905322637404339E-2</v>
      </c>
      <c r="W56" s="147">
        <v>2.2447275797087159E-2</v>
      </c>
      <c r="X56" s="181"/>
    </row>
    <row r="57" spans="1:24" ht="15" x14ac:dyDescent="0.2">
      <c r="A57" s="142" t="s">
        <v>1205</v>
      </c>
      <c r="B57" s="143" t="s">
        <v>1215</v>
      </c>
      <c r="C57" s="143" t="s">
        <v>2646</v>
      </c>
      <c r="D57" s="143" t="s">
        <v>2647</v>
      </c>
      <c r="E57" s="143" t="s">
        <v>309</v>
      </c>
      <c r="F57" s="143" t="s">
        <v>2857</v>
      </c>
      <c r="G57" s="143" t="s">
        <v>2858</v>
      </c>
      <c r="H57" s="143" t="s">
        <v>321</v>
      </c>
      <c r="I57" s="143" t="s">
        <v>966</v>
      </c>
      <c r="J57" s="143" t="s">
        <v>204</v>
      </c>
      <c r="K57" s="143" t="s">
        <v>204</v>
      </c>
      <c r="L57" s="143" t="s">
        <v>340</v>
      </c>
      <c r="M57" s="143" t="s">
        <v>632</v>
      </c>
      <c r="N57" s="143" t="s">
        <v>339</v>
      </c>
      <c r="O57" s="143" t="s">
        <v>1210</v>
      </c>
      <c r="P57" s="144">
        <v>9392</v>
      </c>
      <c r="Q57" s="145" t="s">
        <v>3876</v>
      </c>
      <c r="R57" s="143" t="s">
        <v>2859</v>
      </c>
      <c r="S57" s="144" t="s">
        <v>3878</v>
      </c>
      <c r="T57" s="144">
        <v>41.794400000000003</v>
      </c>
      <c r="U57" s="146">
        <v>3.8141477094245986E-5</v>
      </c>
      <c r="V57" s="146">
        <v>8.4789998631717489E-2</v>
      </c>
      <c r="W57" s="147">
        <v>1.9845660613819691E-2</v>
      </c>
      <c r="X57" s="181"/>
    </row>
    <row r="58" spans="1:24" ht="15" x14ac:dyDescent="0.2">
      <c r="A58" s="142" t="s">
        <v>1205</v>
      </c>
      <c r="B58" s="143" t="s">
        <v>1215</v>
      </c>
      <c r="C58" s="143" t="s">
        <v>2637</v>
      </c>
      <c r="D58" s="143" t="s">
        <v>2638</v>
      </c>
      <c r="E58" s="143" t="s">
        <v>309</v>
      </c>
      <c r="F58" s="143" t="s">
        <v>2860</v>
      </c>
      <c r="G58" s="143" t="s">
        <v>2861</v>
      </c>
      <c r="H58" s="143" t="s">
        <v>321</v>
      </c>
      <c r="I58" s="143" t="s">
        <v>966</v>
      </c>
      <c r="J58" s="143" t="s">
        <v>204</v>
      </c>
      <c r="K58" s="143" t="s">
        <v>204</v>
      </c>
      <c r="L58" s="143" t="s">
        <v>340</v>
      </c>
      <c r="M58" s="143" t="s">
        <v>576</v>
      </c>
      <c r="N58" s="143" t="s">
        <v>339</v>
      </c>
      <c r="O58" s="143" t="s">
        <v>1210</v>
      </c>
      <c r="P58" s="144">
        <v>5875</v>
      </c>
      <c r="Q58" s="145" t="s">
        <v>3876</v>
      </c>
      <c r="R58" s="143" t="s">
        <v>2862</v>
      </c>
      <c r="S58" s="144" t="s">
        <v>3878</v>
      </c>
      <c r="T58" s="144">
        <v>20.9056</v>
      </c>
      <c r="U58" s="146">
        <v>1.9015842838263466E-5</v>
      </c>
      <c r="V58" s="146">
        <v>4.2412040737401013E-2</v>
      </c>
      <c r="W58" s="147">
        <v>9.9268189644610028E-3</v>
      </c>
      <c r="X58" s="181"/>
    </row>
    <row r="59" spans="1:24" x14ac:dyDescent="0.2">
      <c r="A59" s="142" t="s">
        <v>1205</v>
      </c>
      <c r="B59" s="143" t="s">
        <v>1215</v>
      </c>
      <c r="C59" s="143" t="s">
        <v>2824</v>
      </c>
      <c r="D59" s="143" t="s">
        <v>2825</v>
      </c>
      <c r="E59" s="143" t="s">
        <v>313</v>
      </c>
      <c r="F59" s="143" t="s">
        <v>2824</v>
      </c>
      <c r="G59" s="143" t="s">
        <v>2826</v>
      </c>
      <c r="H59" s="143" t="s">
        <v>321</v>
      </c>
      <c r="I59" s="143" t="s">
        <v>967</v>
      </c>
      <c r="J59" s="143" t="s">
        <v>205</v>
      </c>
      <c r="K59" s="143" t="s">
        <v>224</v>
      </c>
      <c r="L59" s="143" t="s">
        <v>380</v>
      </c>
      <c r="M59" s="143" t="s">
        <v>592</v>
      </c>
      <c r="N59" s="143" t="s">
        <v>339</v>
      </c>
      <c r="O59" s="143" t="s">
        <v>1211</v>
      </c>
      <c r="P59" s="144">
        <v>2985</v>
      </c>
      <c r="Q59" s="143" t="s">
        <v>1212</v>
      </c>
      <c r="R59" s="143" t="s">
        <v>2827</v>
      </c>
      <c r="S59" s="144" t="s">
        <v>3878</v>
      </c>
      <c r="T59" s="144">
        <v>64.338999999999999</v>
      </c>
      <c r="U59" s="146">
        <v>9.8287783997365823E-6</v>
      </c>
      <c r="V59" s="146">
        <v>0.1305271583147494</v>
      </c>
      <c r="W59" s="147">
        <v>3.0550745684666595E-2</v>
      </c>
      <c r="X59" s="181"/>
    </row>
    <row r="60" spans="1:24" ht="15" x14ac:dyDescent="0.2">
      <c r="A60" s="142" t="s">
        <v>1205</v>
      </c>
      <c r="B60" s="143" t="s">
        <v>1205</v>
      </c>
      <c r="C60" s="143" t="s">
        <v>2632</v>
      </c>
      <c r="D60" s="143" t="s">
        <v>2633</v>
      </c>
      <c r="E60" s="143" t="s">
        <v>309</v>
      </c>
      <c r="F60" s="143" t="s">
        <v>2863</v>
      </c>
      <c r="G60" s="143" t="s">
        <v>2864</v>
      </c>
      <c r="H60" s="143" t="s">
        <v>321</v>
      </c>
      <c r="I60" s="143" t="s">
        <v>965</v>
      </c>
      <c r="J60" s="143" t="s">
        <v>204</v>
      </c>
      <c r="K60" s="143" t="s">
        <v>244</v>
      </c>
      <c r="L60" s="143" t="s">
        <v>340</v>
      </c>
      <c r="M60" s="143" t="s">
        <v>580</v>
      </c>
      <c r="N60" s="143" t="s">
        <v>339</v>
      </c>
      <c r="O60" s="143" t="s">
        <v>1210</v>
      </c>
      <c r="P60" s="144">
        <v>28000</v>
      </c>
      <c r="Q60" s="145" t="s">
        <v>3876</v>
      </c>
      <c r="R60" s="143" t="s">
        <v>2865</v>
      </c>
      <c r="S60" s="144" t="s">
        <v>3878</v>
      </c>
      <c r="T60" s="144">
        <v>3077.2</v>
      </c>
      <c r="U60" s="146">
        <v>2.5498293572235346E-3</v>
      </c>
      <c r="V60" s="146">
        <v>1.332873553148926E-2</v>
      </c>
      <c r="W60" s="147">
        <v>3.0948101097376824E-3</v>
      </c>
      <c r="X60" s="181"/>
    </row>
    <row r="61" spans="1:24" ht="15" x14ac:dyDescent="0.2">
      <c r="A61" s="142" t="s">
        <v>1205</v>
      </c>
      <c r="B61" s="143" t="s">
        <v>1205</v>
      </c>
      <c r="C61" s="143" t="s">
        <v>2632</v>
      </c>
      <c r="D61" s="143" t="s">
        <v>2633</v>
      </c>
      <c r="E61" s="143" t="s">
        <v>309</v>
      </c>
      <c r="F61" s="143" t="s">
        <v>2866</v>
      </c>
      <c r="G61" s="143" t="s">
        <v>2867</v>
      </c>
      <c r="H61" s="143" t="s">
        <v>321</v>
      </c>
      <c r="I61" s="143" t="s">
        <v>965</v>
      </c>
      <c r="J61" s="143" t="s">
        <v>204</v>
      </c>
      <c r="K61" s="143" t="s">
        <v>224</v>
      </c>
      <c r="L61" s="143" t="s">
        <v>340</v>
      </c>
      <c r="M61" s="143" t="s">
        <v>604</v>
      </c>
      <c r="N61" s="143" t="s">
        <v>339</v>
      </c>
      <c r="O61" s="143" t="s">
        <v>1210</v>
      </c>
      <c r="P61" s="144">
        <v>9225</v>
      </c>
      <c r="Q61" s="145" t="s">
        <v>3876</v>
      </c>
      <c r="R61" s="143" t="s">
        <v>2868</v>
      </c>
      <c r="S61" s="144" t="s">
        <v>3878</v>
      </c>
      <c r="T61" s="144">
        <v>2078.3924999999999</v>
      </c>
      <c r="U61" s="146">
        <v>3.3324663502178297E-4</v>
      </c>
      <c r="V61" s="146">
        <v>9.0024515673764426E-3</v>
      </c>
      <c r="W61" s="147">
        <v>2.0902866635262498E-3</v>
      </c>
      <c r="X61" s="181"/>
    </row>
    <row r="62" spans="1:24" ht="15" x14ac:dyDescent="0.2">
      <c r="A62" s="142" t="s">
        <v>1205</v>
      </c>
      <c r="B62" s="143" t="s">
        <v>1205</v>
      </c>
      <c r="C62" s="143" t="s">
        <v>2632</v>
      </c>
      <c r="D62" s="143" t="s">
        <v>2633</v>
      </c>
      <c r="E62" s="143" t="s">
        <v>309</v>
      </c>
      <c r="F62" s="143" t="s">
        <v>2869</v>
      </c>
      <c r="G62" s="143" t="s">
        <v>2870</v>
      </c>
      <c r="H62" s="143" t="s">
        <v>321</v>
      </c>
      <c r="I62" s="143" t="s">
        <v>965</v>
      </c>
      <c r="J62" s="143" t="s">
        <v>204</v>
      </c>
      <c r="K62" s="143" t="s">
        <v>224</v>
      </c>
      <c r="L62" s="143" t="s">
        <v>340</v>
      </c>
      <c r="M62" s="143" t="s">
        <v>698</v>
      </c>
      <c r="N62" s="143" t="s">
        <v>339</v>
      </c>
      <c r="O62" s="143" t="s">
        <v>1210</v>
      </c>
      <c r="P62" s="144">
        <v>4557</v>
      </c>
      <c r="Q62" s="145" t="s">
        <v>3876</v>
      </c>
      <c r="R62" s="143" t="s">
        <v>2871</v>
      </c>
      <c r="S62" s="144" t="s">
        <v>3878</v>
      </c>
      <c r="T62" s="144">
        <v>664.41059999999993</v>
      </c>
      <c r="U62" s="146">
        <v>4.5430528278185968E-4</v>
      </c>
      <c r="V62" s="146">
        <v>2.8778607733387813E-3</v>
      </c>
      <c r="W62" s="147">
        <v>6.6821286945823464E-4</v>
      </c>
      <c r="X62" s="181"/>
    </row>
    <row r="63" spans="1:24" ht="15" x14ac:dyDescent="0.2">
      <c r="A63" s="142" t="s">
        <v>1205</v>
      </c>
      <c r="B63" s="143" t="s">
        <v>1205</v>
      </c>
      <c r="C63" s="143" t="s">
        <v>2632</v>
      </c>
      <c r="D63" s="143" t="s">
        <v>2633</v>
      </c>
      <c r="E63" s="143" t="s">
        <v>309</v>
      </c>
      <c r="F63" s="143" t="s">
        <v>2872</v>
      </c>
      <c r="G63" s="143" t="s">
        <v>2873</v>
      </c>
      <c r="H63" s="143" t="s">
        <v>321</v>
      </c>
      <c r="I63" s="143" t="s">
        <v>965</v>
      </c>
      <c r="J63" s="143" t="s">
        <v>204</v>
      </c>
      <c r="K63" s="143" t="s">
        <v>224</v>
      </c>
      <c r="L63" s="143" t="s">
        <v>340</v>
      </c>
      <c r="M63" s="143" t="s">
        <v>708</v>
      </c>
      <c r="N63" s="143" t="s">
        <v>339</v>
      </c>
      <c r="O63" s="143" t="s">
        <v>1210</v>
      </c>
      <c r="P63" s="144">
        <v>3410</v>
      </c>
      <c r="Q63" s="145" t="s">
        <v>3876</v>
      </c>
      <c r="R63" s="143" t="s">
        <v>2874</v>
      </c>
      <c r="S63" s="144" t="s">
        <v>3878</v>
      </c>
      <c r="T63" s="144">
        <v>533.32399999999996</v>
      </c>
      <c r="U63" s="146">
        <v>5.144335573608503E-4</v>
      </c>
      <c r="V63" s="146">
        <v>2.3100658223696793E-3</v>
      </c>
      <c r="W63" s="147">
        <v>5.3637609091568305E-4</v>
      </c>
      <c r="X63" s="181"/>
    </row>
    <row r="64" spans="1:24" x14ac:dyDescent="0.2">
      <c r="A64" s="142" t="s">
        <v>1205</v>
      </c>
      <c r="B64" s="143" t="s">
        <v>1205</v>
      </c>
      <c r="C64" s="143" t="s">
        <v>2656</v>
      </c>
      <c r="D64" s="143" t="s">
        <v>2657</v>
      </c>
      <c r="E64" s="143" t="s">
        <v>313</v>
      </c>
      <c r="F64" s="143" t="s">
        <v>2658</v>
      </c>
      <c r="G64" s="143" t="s">
        <v>2659</v>
      </c>
      <c r="H64" s="143" t="s">
        <v>321</v>
      </c>
      <c r="I64" s="143" t="s">
        <v>965</v>
      </c>
      <c r="J64" s="143" t="s">
        <v>205</v>
      </c>
      <c r="K64" s="143" t="s">
        <v>224</v>
      </c>
      <c r="L64" s="143" t="s">
        <v>344</v>
      </c>
      <c r="M64" s="143" t="s">
        <v>597</v>
      </c>
      <c r="N64" s="143" t="s">
        <v>339</v>
      </c>
      <c r="O64" s="143" t="s">
        <v>1211</v>
      </c>
      <c r="P64" s="144">
        <v>13228</v>
      </c>
      <c r="Q64" s="143" t="s">
        <v>1212</v>
      </c>
      <c r="R64" s="143" t="s">
        <v>2660</v>
      </c>
      <c r="S64" s="144">
        <v>10.073120000000001</v>
      </c>
      <c r="T64" s="144">
        <v>23861.1554</v>
      </c>
      <c r="U64" s="146">
        <v>2.4480429351346349E-5</v>
      </c>
      <c r="V64" s="146">
        <v>0.10339701414016081</v>
      </c>
      <c r="W64" s="147">
        <v>2.4007838096995079E-2</v>
      </c>
      <c r="X64" s="181"/>
    </row>
    <row r="65" spans="1:24" x14ac:dyDescent="0.2">
      <c r="A65" s="142" t="s">
        <v>1205</v>
      </c>
      <c r="B65" s="143" t="s">
        <v>1205</v>
      </c>
      <c r="C65" s="143" t="s">
        <v>2651</v>
      </c>
      <c r="D65" s="143" t="s">
        <v>2652</v>
      </c>
      <c r="E65" s="143" t="s">
        <v>313</v>
      </c>
      <c r="F65" s="143" t="s">
        <v>2653</v>
      </c>
      <c r="G65" s="143" t="s">
        <v>2654</v>
      </c>
      <c r="H65" s="143" t="s">
        <v>321</v>
      </c>
      <c r="I65" s="143" t="s">
        <v>965</v>
      </c>
      <c r="J65" s="143" t="s">
        <v>205</v>
      </c>
      <c r="K65" s="143" t="s">
        <v>224</v>
      </c>
      <c r="L65" s="143" t="s">
        <v>344</v>
      </c>
      <c r="M65" s="143" t="s">
        <v>604</v>
      </c>
      <c r="N65" s="143" t="s">
        <v>339</v>
      </c>
      <c r="O65" s="143" t="s">
        <v>1211</v>
      </c>
      <c r="P65" s="144">
        <v>8483</v>
      </c>
      <c r="Q65" s="143" t="s">
        <v>1212</v>
      </c>
      <c r="R65" s="143" t="s">
        <v>2655</v>
      </c>
      <c r="S65" s="144">
        <v>14.92177</v>
      </c>
      <c r="T65" s="144">
        <v>17409.958999999999</v>
      </c>
      <c r="U65" s="146">
        <v>8.996406951932908E-6</v>
      </c>
      <c r="V65" s="146">
        <v>7.5474986054894527E-2</v>
      </c>
      <c r="W65" s="147">
        <v>1.7524599338261424E-2</v>
      </c>
      <c r="X65" s="181"/>
    </row>
    <row r="66" spans="1:24" x14ac:dyDescent="0.2">
      <c r="A66" s="142" t="s">
        <v>1205</v>
      </c>
      <c r="B66" s="143" t="s">
        <v>1205</v>
      </c>
      <c r="C66" s="143" t="s">
        <v>2674</v>
      </c>
      <c r="D66" s="143" t="s">
        <v>2675</v>
      </c>
      <c r="E66" s="143" t="s">
        <v>313</v>
      </c>
      <c r="F66" s="143" t="s">
        <v>2674</v>
      </c>
      <c r="G66" s="143" t="s">
        <v>2676</v>
      </c>
      <c r="H66" s="143" t="s">
        <v>321</v>
      </c>
      <c r="I66" s="143" t="s">
        <v>965</v>
      </c>
      <c r="J66" s="143" t="s">
        <v>205</v>
      </c>
      <c r="K66" s="143" t="s">
        <v>224</v>
      </c>
      <c r="L66" s="143" t="s">
        <v>344</v>
      </c>
      <c r="M66" s="143" t="s">
        <v>586</v>
      </c>
      <c r="N66" s="143" t="s">
        <v>339</v>
      </c>
      <c r="O66" s="143" t="s">
        <v>1211</v>
      </c>
      <c r="P66" s="144">
        <v>77482</v>
      </c>
      <c r="Q66" s="143" t="s">
        <v>1212</v>
      </c>
      <c r="R66" s="143" t="s">
        <v>2677</v>
      </c>
      <c r="S66" s="144" t="s">
        <v>3878</v>
      </c>
      <c r="T66" s="144">
        <v>11973.4864</v>
      </c>
      <c r="U66" s="146">
        <v>8.3597581041058643E-5</v>
      </c>
      <c r="V66" s="146">
        <v>5.1862548253150668E-2</v>
      </c>
      <c r="W66" s="147">
        <v>1.2042007906257512E-2</v>
      </c>
      <c r="X66" s="181"/>
    </row>
    <row r="67" spans="1:24" x14ac:dyDescent="0.2">
      <c r="A67" s="142" t="s">
        <v>1205</v>
      </c>
      <c r="B67" s="143" t="s">
        <v>1205</v>
      </c>
      <c r="C67" s="143" t="s">
        <v>2661</v>
      </c>
      <c r="D67" s="143" t="s">
        <v>2662</v>
      </c>
      <c r="E67" s="143" t="s">
        <v>313</v>
      </c>
      <c r="F67" s="143" t="s">
        <v>2661</v>
      </c>
      <c r="G67" s="143" t="s">
        <v>2663</v>
      </c>
      <c r="H67" s="143" t="s">
        <v>321</v>
      </c>
      <c r="I67" s="143" t="s">
        <v>965</v>
      </c>
      <c r="J67" s="143" t="s">
        <v>205</v>
      </c>
      <c r="K67" s="143" t="s">
        <v>224</v>
      </c>
      <c r="L67" s="143" t="s">
        <v>344</v>
      </c>
      <c r="M67" s="143" t="s">
        <v>604</v>
      </c>
      <c r="N67" s="143" t="s">
        <v>339</v>
      </c>
      <c r="O67" s="143" t="s">
        <v>1211</v>
      </c>
      <c r="P67" s="144">
        <v>5595</v>
      </c>
      <c r="Q67" s="143" t="s">
        <v>1212</v>
      </c>
      <c r="R67" s="143" t="s">
        <v>2664</v>
      </c>
      <c r="S67" s="144">
        <v>9.9786800000000007</v>
      </c>
      <c r="T67" s="144">
        <v>10556.0465</v>
      </c>
      <c r="U67" s="146">
        <v>7.4952376104191167E-6</v>
      </c>
      <c r="V67" s="146">
        <v>4.5766201351996071E-2</v>
      </c>
      <c r="W67" s="147">
        <v>1.0626492085001422E-2</v>
      </c>
      <c r="X67" s="181"/>
    </row>
    <row r="68" spans="1:24" x14ac:dyDescent="0.2">
      <c r="A68" s="142" t="s">
        <v>1205</v>
      </c>
      <c r="B68" s="143" t="s">
        <v>1205</v>
      </c>
      <c r="C68" s="143" t="s">
        <v>2690</v>
      </c>
      <c r="D68" s="143" t="s">
        <v>2691</v>
      </c>
      <c r="E68" s="143" t="s">
        <v>313</v>
      </c>
      <c r="F68" s="143" t="s">
        <v>2692</v>
      </c>
      <c r="G68" s="143" t="s">
        <v>2693</v>
      </c>
      <c r="H68" s="143" t="s">
        <v>321</v>
      </c>
      <c r="I68" s="143" t="s">
        <v>965</v>
      </c>
      <c r="J68" s="143" t="s">
        <v>205</v>
      </c>
      <c r="K68" s="143" t="s">
        <v>224</v>
      </c>
      <c r="L68" s="143" t="s">
        <v>344</v>
      </c>
      <c r="M68" s="143" t="s">
        <v>583</v>
      </c>
      <c r="N68" s="143" t="s">
        <v>339</v>
      </c>
      <c r="O68" s="143" t="s">
        <v>1211</v>
      </c>
      <c r="P68" s="144">
        <v>17180</v>
      </c>
      <c r="Q68" s="143" t="s">
        <v>1212</v>
      </c>
      <c r="R68" s="143" t="s">
        <v>2694</v>
      </c>
      <c r="S68" s="144" t="s">
        <v>3878</v>
      </c>
      <c r="T68" s="144">
        <v>7870.3182999999999</v>
      </c>
      <c r="U68" s="146">
        <v>1.2483106389781E-4</v>
      </c>
      <c r="V68" s="146">
        <v>3.4089883994558541E-2</v>
      </c>
      <c r="W68" s="147">
        <v>7.9153583156403567E-3</v>
      </c>
      <c r="X68" s="181"/>
    </row>
    <row r="69" spans="1:24" x14ac:dyDescent="0.2">
      <c r="A69" s="142" t="s">
        <v>1205</v>
      </c>
      <c r="B69" s="143" t="s">
        <v>1205</v>
      </c>
      <c r="C69" s="143" t="s">
        <v>2695</v>
      </c>
      <c r="D69" s="143" t="s">
        <v>2696</v>
      </c>
      <c r="E69" s="143" t="s">
        <v>313</v>
      </c>
      <c r="F69" s="143" t="s">
        <v>2697</v>
      </c>
      <c r="G69" s="143" t="s">
        <v>2698</v>
      </c>
      <c r="H69" s="143" t="s">
        <v>321</v>
      </c>
      <c r="I69" s="143" t="s">
        <v>965</v>
      </c>
      <c r="J69" s="143" t="s">
        <v>205</v>
      </c>
      <c r="K69" s="143" t="s">
        <v>224</v>
      </c>
      <c r="L69" s="143" t="s">
        <v>344</v>
      </c>
      <c r="M69" s="143" t="s">
        <v>597</v>
      </c>
      <c r="N69" s="143" t="s">
        <v>339</v>
      </c>
      <c r="O69" s="143" t="s">
        <v>1211</v>
      </c>
      <c r="P69" s="144">
        <v>9259</v>
      </c>
      <c r="Q69" s="143" t="s">
        <v>1212</v>
      </c>
      <c r="R69" s="143" t="s">
        <v>2699</v>
      </c>
      <c r="S69" s="144" t="s">
        <v>3878</v>
      </c>
      <c r="T69" s="144">
        <v>6872.5126</v>
      </c>
      <c r="U69" s="146">
        <v>6.9879245283018866E-4</v>
      </c>
      <c r="V69" s="146">
        <v>2.9767939167378989E-2</v>
      </c>
      <c r="W69" s="147">
        <v>6.911842377216656E-3</v>
      </c>
      <c r="X69" s="181"/>
    </row>
    <row r="70" spans="1:24" x14ac:dyDescent="0.2">
      <c r="A70" s="142" t="s">
        <v>1205</v>
      </c>
      <c r="B70" s="143" t="s">
        <v>1205</v>
      </c>
      <c r="C70" s="143" t="s">
        <v>2714</v>
      </c>
      <c r="D70" s="143" t="s">
        <v>2715</v>
      </c>
      <c r="E70" s="143" t="s">
        <v>313</v>
      </c>
      <c r="F70" s="143" t="s">
        <v>2714</v>
      </c>
      <c r="G70" s="143" t="s">
        <v>2716</v>
      </c>
      <c r="H70" s="143" t="s">
        <v>321</v>
      </c>
      <c r="I70" s="143" t="s">
        <v>965</v>
      </c>
      <c r="J70" s="143" t="s">
        <v>205</v>
      </c>
      <c r="K70" s="143" t="s">
        <v>224</v>
      </c>
      <c r="L70" s="143" t="s">
        <v>344</v>
      </c>
      <c r="M70" s="143" t="s">
        <v>589</v>
      </c>
      <c r="N70" s="143" t="s">
        <v>339</v>
      </c>
      <c r="O70" s="143" t="s">
        <v>1211</v>
      </c>
      <c r="P70" s="144">
        <v>12410</v>
      </c>
      <c r="Q70" s="143" t="s">
        <v>1212</v>
      </c>
      <c r="R70" s="143" t="s">
        <v>2717</v>
      </c>
      <c r="S70" s="144" t="s">
        <v>3878</v>
      </c>
      <c r="T70" s="144">
        <v>6799.1194000000005</v>
      </c>
      <c r="U70" s="146">
        <v>4.0069095781605668E-5</v>
      </c>
      <c r="V70" s="146">
        <v>2.9450040587576106E-2</v>
      </c>
      <c r="W70" s="147">
        <v>6.8380292434560754E-3</v>
      </c>
      <c r="X70" s="181"/>
    </row>
    <row r="71" spans="1:24" x14ac:dyDescent="0.2">
      <c r="A71" s="142" t="s">
        <v>1205</v>
      </c>
      <c r="B71" s="143" t="s">
        <v>1205</v>
      </c>
      <c r="C71" s="143" t="s">
        <v>2678</v>
      </c>
      <c r="D71" s="143" t="s">
        <v>2679</v>
      </c>
      <c r="E71" s="143" t="s">
        <v>313</v>
      </c>
      <c r="F71" s="143" t="s">
        <v>2678</v>
      </c>
      <c r="G71" s="143" t="s">
        <v>2680</v>
      </c>
      <c r="H71" s="143" t="s">
        <v>321</v>
      </c>
      <c r="I71" s="143" t="s">
        <v>965</v>
      </c>
      <c r="J71" s="143" t="s">
        <v>205</v>
      </c>
      <c r="K71" s="143" t="s">
        <v>253</v>
      </c>
      <c r="L71" s="143" t="s">
        <v>314</v>
      </c>
      <c r="M71" s="143" t="s">
        <v>610</v>
      </c>
      <c r="N71" s="143" t="s">
        <v>339</v>
      </c>
      <c r="O71" s="143" t="s">
        <v>1213</v>
      </c>
      <c r="P71" s="144">
        <v>6558</v>
      </c>
      <c r="Q71" s="143" t="s">
        <v>1214</v>
      </c>
      <c r="R71" s="143" t="s">
        <v>2681</v>
      </c>
      <c r="S71" s="144" t="s">
        <v>3878</v>
      </c>
      <c r="T71" s="144">
        <v>6254.9709000000003</v>
      </c>
      <c r="U71" s="146">
        <v>6.4988603706272921E-4</v>
      </c>
      <c r="V71" s="146">
        <v>2.7093088753191427E-2</v>
      </c>
      <c r="W71" s="147">
        <v>6.2907666506928249E-3</v>
      </c>
      <c r="X71" s="181"/>
    </row>
    <row r="72" spans="1:24" x14ac:dyDescent="0.2">
      <c r="A72" s="142" t="s">
        <v>1205</v>
      </c>
      <c r="B72" s="143" t="s">
        <v>1205</v>
      </c>
      <c r="C72" s="143" t="s">
        <v>2686</v>
      </c>
      <c r="D72" s="143" t="s">
        <v>2687</v>
      </c>
      <c r="E72" s="143" t="s">
        <v>313</v>
      </c>
      <c r="F72" s="143" t="s">
        <v>2686</v>
      </c>
      <c r="G72" s="143" t="s">
        <v>2688</v>
      </c>
      <c r="H72" s="143" t="s">
        <v>321</v>
      </c>
      <c r="I72" s="143" t="s">
        <v>965</v>
      </c>
      <c r="J72" s="143" t="s">
        <v>205</v>
      </c>
      <c r="K72" s="143" t="s">
        <v>268</v>
      </c>
      <c r="L72" s="143" t="s">
        <v>344</v>
      </c>
      <c r="M72" s="143" t="s">
        <v>707</v>
      </c>
      <c r="N72" s="143" t="s">
        <v>339</v>
      </c>
      <c r="O72" s="143" t="s">
        <v>1211</v>
      </c>
      <c r="P72" s="144">
        <v>22513</v>
      </c>
      <c r="Q72" s="143" t="s">
        <v>1212</v>
      </c>
      <c r="R72" s="143" t="s">
        <v>2689</v>
      </c>
      <c r="S72" s="144" t="s">
        <v>3878</v>
      </c>
      <c r="T72" s="144">
        <v>6091.4059000000007</v>
      </c>
      <c r="U72" s="146">
        <v>4.0491007194244606E-4</v>
      </c>
      <c r="V72" s="146">
        <v>2.6384615303371679E-2</v>
      </c>
      <c r="W72" s="147">
        <v>6.1262656153318277E-3</v>
      </c>
      <c r="X72" s="181"/>
    </row>
    <row r="73" spans="1:24" x14ac:dyDescent="0.2">
      <c r="A73" s="142" t="s">
        <v>1205</v>
      </c>
      <c r="B73" s="143" t="s">
        <v>1205</v>
      </c>
      <c r="C73" s="143" t="s">
        <v>2875</v>
      </c>
      <c r="D73" s="143" t="s">
        <v>2876</v>
      </c>
      <c r="E73" s="143" t="s">
        <v>313</v>
      </c>
      <c r="F73" s="143" t="s">
        <v>2877</v>
      </c>
      <c r="G73" s="143" t="s">
        <v>2878</v>
      </c>
      <c r="H73" s="143" t="s">
        <v>321</v>
      </c>
      <c r="I73" s="143" t="s">
        <v>965</v>
      </c>
      <c r="J73" s="143" t="s">
        <v>205</v>
      </c>
      <c r="K73" s="143" t="s">
        <v>224</v>
      </c>
      <c r="L73" s="143" t="s">
        <v>364</v>
      </c>
      <c r="M73" s="143" t="s">
        <v>604</v>
      </c>
      <c r="N73" s="143" t="s">
        <v>339</v>
      </c>
      <c r="O73" s="143" t="s">
        <v>1213</v>
      </c>
      <c r="P73" s="144">
        <v>3411</v>
      </c>
      <c r="Q73" s="143" t="s">
        <v>1214</v>
      </c>
      <c r="R73" s="143" t="s">
        <v>2879</v>
      </c>
      <c r="S73" s="144" t="s">
        <v>3878</v>
      </c>
      <c r="T73" s="144">
        <v>5002.9490999999998</v>
      </c>
      <c r="U73" s="146">
        <v>4.5742255598766262E-4</v>
      </c>
      <c r="V73" s="146">
        <v>2.1670019760896435E-2</v>
      </c>
      <c r="W73" s="147">
        <v>5.0315797830782164E-3</v>
      </c>
      <c r="X73" s="181"/>
    </row>
    <row r="74" spans="1:24" x14ac:dyDescent="0.2">
      <c r="A74" s="142" t="s">
        <v>1205</v>
      </c>
      <c r="B74" s="143" t="s">
        <v>1205</v>
      </c>
      <c r="C74" s="143" t="s">
        <v>2880</v>
      </c>
      <c r="D74" s="143" t="s">
        <v>2881</v>
      </c>
      <c r="E74" s="143" t="s">
        <v>313</v>
      </c>
      <c r="F74" s="143" t="s">
        <v>2882</v>
      </c>
      <c r="G74" s="143" t="s">
        <v>2883</v>
      </c>
      <c r="H74" s="143" t="s">
        <v>321</v>
      </c>
      <c r="I74" s="143" t="s">
        <v>965</v>
      </c>
      <c r="J74" s="143" t="s">
        <v>205</v>
      </c>
      <c r="K74" s="143" t="s">
        <v>224</v>
      </c>
      <c r="L74" s="143" t="s">
        <v>344</v>
      </c>
      <c r="M74" s="143" t="s">
        <v>611</v>
      </c>
      <c r="N74" s="143" t="s">
        <v>339</v>
      </c>
      <c r="O74" s="143" t="s">
        <v>1211</v>
      </c>
      <c r="P74" s="144">
        <v>4802</v>
      </c>
      <c r="Q74" s="143" t="s">
        <v>1212</v>
      </c>
      <c r="R74" s="143" t="s">
        <v>2884</v>
      </c>
      <c r="S74" s="144" t="s">
        <v>3878</v>
      </c>
      <c r="T74" s="144">
        <v>4705.8222000000005</v>
      </c>
      <c r="U74" s="146">
        <v>1.53315666805019E-4</v>
      </c>
      <c r="V74" s="146">
        <v>2.0383029809596699E-2</v>
      </c>
      <c r="W74" s="147">
        <v>4.7327525235078402E-3</v>
      </c>
      <c r="X74" s="181"/>
    </row>
    <row r="75" spans="1:24" x14ac:dyDescent="0.2">
      <c r="A75" s="142" t="s">
        <v>1205</v>
      </c>
      <c r="B75" s="143" t="s">
        <v>1205</v>
      </c>
      <c r="C75" s="143" t="s">
        <v>2671</v>
      </c>
      <c r="D75" s="143" t="s">
        <v>2885</v>
      </c>
      <c r="E75" s="143" t="s">
        <v>313</v>
      </c>
      <c r="F75" s="143" t="s">
        <v>2671</v>
      </c>
      <c r="G75" s="143" t="s">
        <v>2886</v>
      </c>
      <c r="H75" s="143" t="s">
        <v>321</v>
      </c>
      <c r="I75" s="143" t="s">
        <v>965</v>
      </c>
      <c r="J75" s="143" t="s">
        <v>205</v>
      </c>
      <c r="K75" s="143" t="s">
        <v>224</v>
      </c>
      <c r="L75" s="143" t="s">
        <v>344</v>
      </c>
      <c r="M75" s="143" t="s">
        <v>604</v>
      </c>
      <c r="N75" s="143" t="s">
        <v>339</v>
      </c>
      <c r="O75" s="143" t="s">
        <v>1211</v>
      </c>
      <c r="P75" s="144">
        <v>25244</v>
      </c>
      <c r="Q75" s="143" t="s">
        <v>1212</v>
      </c>
      <c r="R75" s="143" t="s">
        <v>2887</v>
      </c>
      <c r="S75" s="144">
        <v>2.7354400000000001</v>
      </c>
      <c r="T75" s="144">
        <v>4319.3370999999997</v>
      </c>
      <c r="U75" s="146">
        <v>1.2314146341463415E-2</v>
      </c>
      <c r="V75" s="146">
        <v>1.8720837890828648E-2</v>
      </c>
      <c r="W75" s="147">
        <v>4.3468068092745215E-3</v>
      </c>
      <c r="X75" s="181"/>
    </row>
    <row r="76" spans="1:24" x14ac:dyDescent="0.2">
      <c r="A76" s="142" t="s">
        <v>1205</v>
      </c>
      <c r="B76" s="143" t="s">
        <v>1205</v>
      </c>
      <c r="C76" s="143" t="s">
        <v>2745</v>
      </c>
      <c r="D76" s="143" t="s">
        <v>2746</v>
      </c>
      <c r="E76" s="143" t="s">
        <v>313</v>
      </c>
      <c r="F76" s="143" t="s">
        <v>2745</v>
      </c>
      <c r="G76" s="143" t="s">
        <v>2747</v>
      </c>
      <c r="H76" s="143" t="s">
        <v>321</v>
      </c>
      <c r="I76" s="143" t="s">
        <v>965</v>
      </c>
      <c r="J76" s="143" t="s">
        <v>205</v>
      </c>
      <c r="K76" s="143" t="s">
        <v>224</v>
      </c>
      <c r="L76" s="143" t="s">
        <v>344</v>
      </c>
      <c r="M76" s="143" t="s">
        <v>586</v>
      </c>
      <c r="N76" s="143" t="s">
        <v>339</v>
      </c>
      <c r="O76" s="143" t="s">
        <v>1211</v>
      </c>
      <c r="P76" s="144">
        <v>9801</v>
      </c>
      <c r="Q76" s="143" t="s">
        <v>1212</v>
      </c>
      <c r="R76" s="143" t="s">
        <v>2748</v>
      </c>
      <c r="S76" s="144" t="s">
        <v>3878</v>
      </c>
      <c r="T76" s="144">
        <v>4307.9303</v>
      </c>
      <c r="U76" s="146">
        <v>1.1396511627906976E-3</v>
      </c>
      <c r="V76" s="146">
        <v>1.8659581178304772E-2</v>
      </c>
      <c r="W76" s="147">
        <v>4.3325835626086759E-3</v>
      </c>
      <c r="X76" s="181"/>
    </row>
    <row r="77" spans="1:24" x14ac:dyDescent="0.2">
      <c r="A77" s="142" t="s">
        <v>1205</v>
      </c>
      <c r="B77" s="143" t="s">
        <v>1205</v>
      </c>
      <c r="C77" s="143" t="s">
        <v>2772</v>
      </c>
      <c r="D77" s="143" t="s">
        <v>2773</v>
      </c>
      <c r="E77" s="143" t="s">
        <v>313</v>
      </c>
      <c r="F77" s="143" t="s">
        <v>2772</v>
      </c>
      <c r="G77" s="143" t="s">
        <v>2774</v>
      </c>
      <c r="H77" s="143" t="s">
        <v>321</v>
      </c>
      <c r="I77" s="143" t="s">
        <v>965</v>
      </c>
      <c r="J77" s="143" t="s">
        <v>205</v>
      </c>
      <c r="K77" s="143" t="s">
        <v>224</v>
      </c>
      <c r="L77" s="143" t="s">
        <v>344</v>
      </c>
      <c r="M77" s="143" t="s">
        <v>708</v>
      </c>
      <c r="N77" s="143" t="s">
        <v>339</v>
      </c>
      <c r="O77" s="143" t="s">
        <v>1211</v>
      </c>
      <c r="P77" s="144">
        <v>13099</v>
      </c>
      <c r="Q77" s="143" t="s">
        <v>1212</v>
      </c>
      <c r="R77" s="143" t="s">
        <v>2775</v>
      </c>
      <c r="S77" s="144" t="s">
        <v>3878</v>
      </c>
      <c r="T77" s="144">
        <v>4217.8247999999994</v>
      </c>
      <c r="U77" s="146">
        <v>7.8767288033674087E-5</v>
      </c>
      <c r="V77" s="146">
        <v>1.8269294006913281E-2</v>
      </c>
      <c r="W77" s="147">
        <v>4.2419624619896628E-3</v>
      </c>
      <c r="X77" s="181"/>
    </row>
    <row r="78" spans="1:24" x14ac:dyDescent="0.2">
      <c r="A78" s="142" t="s">
        <v>1205</v>
      </c>
      <c r="B78" s="143" t="s">
        <v>1205</v>
      </c>
      <c r="C78" s="143" t="s">
        <v>2888</v>
      </c>
      <c r="D78" s="143" t="s">
        <v>2889</v>
      </c>
      <c r="E78" s="143" t="s">
        <v>313</v>
      </c>
      <c r="F78" s="143" t="s">
        <v>2890</v>
      </c>
      <c r="G78" s="143" t="s">
        <v>2891</v>
      </c>
      <c r="H78" s="143" t="s">
        <v>321</v>
      </c>
      <c r="I78" s="143" t="s">
        <v>965</v>
      </c>
      <c r="J78" s="143" t="s">
        <v>205</v>
      </c>
      <c r="K78" s="143" t="s">
        <v>233</v>
      </c>
      <c r="L78" s="143" t="s">
        <v>380</v>
      </c>
      <c r="M78" s="143" t="s">
        <v>587</v>
      </c>
      <c r="N78" s="143" t="s">
        <v>339</v>
      </c>
      <c r="O78" s="143" t="s">
        <v>1216</v>
      </c>
      <c r="P78" s="144">
        <v>108191</v>
      </c>
      <c r="Q78" s="143" t="s">
        <v>1217</v>
      </c>
      <c r="R78" s="143" t="s">
        <v>2892</v>
      </c>
      <c r="S78" s="144" t="s">
        <v>3878</v>
      </c>
      <c r="T78" s="144">
        <v>4080.3391000000001</v>
      </c>
      <c r="U78" s="146">
        <v>7.7921638305488314E-5</v>
      </c>
      <c r="V78" s="146">
        <v>1.7673781695996611E-2</v>
      </c>
      <c r="W78" s="147">
        <v>4.1036899667522813E-3</v>
      </c>
      <c r="X78" s="181"/>
    </row>
    <row r="79" spans="1:24" x14ac:dyDescent="0.2">
      <c r="A79" s="142" t="s">
        <v>1205</v>
      </c>
      <c r="B79" s="143" t="s">
        <v>1205</v>
      </c>
      <c r="C79" s="143" t="s">
        <v>2723</v>
      </c>
      <c r="D79" s="143" t="s">
        <v>2724</v>
      </c>
      <c r="E79" s="143" t="s">
        <v>313</v>
      </c>
      <c r="F79" s="143" t="s">
        <v>2725</v>
      </c>
      <c r="G79" s="143" t="s">
        <v>2726</v>
      </c>
      <c r="H79" s="143" t="s">
        <v>321</v>
      </c>
      <c r="I79" s="143" t="s">
        <v>965</v>
      </c>
      <c r="J79" s="143" t="s">
        <v>205</v>
      </c>
      <c r="K79" s="143" t="s">
        <v>224</v>
      </c>
      <c r="L79" s="143" t="s">
        <v>344</v>
      </c>
      <c r="M79" s="143" t="s">
        <v>612</v>
      </c>
      <c r="N79" s="143" t="s">
        <v>339</v>
      </c>
      <c r="O79" s="143" t="s">
        <v>1211</v>
      </c>
      <c r="P79" s="144">
        <v>12435</v>
      </c>
      <c r="Q79" s="143" t="s">
        <v>1212</v>
      </c>
      <c r="R79" s="143" t="s">
        <v>2727</v>
      </c>
      <c r="S79" s="144" t="s">
        <v>3878</v>
      </c>
      <c r="T79" s="144">
        <v>4061.9810000000002</v>
      </c>
      <c r="U79" s="146">
        <v>7.2507288629737609E-4</v>
      </c>
      <c r="V79" s="146">
        <v>1.759426458991635E-2</v>
      </c>
      <c r="W79" s="147">
        <v>4.085226824227405E-3</v>
      </c>
      <c r="X79" s="181"/>
    </row>
    <row r="80" spans="1:24" x14ac:dyDescent="0.2">
      <c r="A80" s="142" t="s">
        <v>1205</v>
      </c>
      <c r="B80" s="143" t="s">
        <v>1205</v>
      </c>
      <c r="C80" s="143" t="s">
        <v>2704</v>
      </c>
      <c r="D80" s="143" t="s">
        <v>2705</v>
      </c>
      <c r="E80" s="143" t="s">
        <v>313</v>
      </c>
      <c r="F80" s="143" t="s">
        <v>2706</v>
      </c>
      <c r="G80" s="143" t="s">
        <v>2707</v>
      </c>
      <c r="H80" s="143" t="s">
        <v>321</v>
      </c>
      <c r="I80" s="143" t="s">
        <v>965</v>
      </c>
      <c r="J80" s="143" t="s">
        <v>205</v>
      </c>
      <c r="K80" s="143" t="s">
        <v>224</v>
      </c>
      <c r="L80" s="143" t="s">
        <v>344</v>
      </c>
      <c r="M80" s="143" t="s">
        <v>580</v>
      </c>
      <c r="N80" s="143" t="s">
        <v>339</v>
      </c>
      <c r="O80" s="143" t="s">
        <v>1211</v>
      </c>
      <c r="P80" s="144">
        <v>21843</v>
      </c>
      <c r="Q80" s="143" t="s">
        <v>1212</v>
      </c>
      <c r="R80" s="143" t="s">
        <v>2708</v>
      </c>
      <c r="S80" s="144" t="s">
        <v>3878</v>
      </c>
      <c r="T80" s="144">
        <v>3964.1664000000001</v>
      </c>
      <c r="U80" s="146">
        <v>9.5802631578947373E-4</v>
      </c>
      <c r="V80" s="146">
        <v>1.7170585322160453E-2</v>
      </c>
      <c r="W80" s="147">
        <v>3.9868523851788193E-3</v>
      </c>
      <c r="X80" s="181"/>
    </row>
    <row r="81" spans="1:24" x14ac:dyDescent="0.2">
      <c r="A81" s="142" t="s">
        <v>1205</v>
      </c>
      <c r="B81" s="143" t="s">
        <v>1205</v>
      </c>
      <c r="C81" s="143" t="s">
        <v>2893</v>
      </c>
      <c r="D81" s="143" t="s">
        <v>2894</v>
      </c>
      <c r="E81" s="143" t="s">
        <v>313</v>
      </c>
      <c r="F81" s="143" t="s">
        <v>2893</v>
      </c>
      <c r="G81" s="143" t="s">
        <v>2895</v>
      </c>
      <c r="H81" s="143" t="s">
        <v>321</v>
      </c>
      <c r="I81" s="143" t="s">
        <v>965</v>
      </c>
      <c r="J81" s="143" t="s">
        <v>205</v>
      </c>
      <c r="K81" s="143" t="s">
        <v>293</v>
      </c>
      <c r="L81" s="143" t="s">
        <v>364</v>
      </c>
      <c r="M81" s="143" t="s">
        <v>584</v>
      </c>
      <c r="N81" s="143" t="s">
        <v>339</v>
      </c>
      <c r="O81" s="143" t="s">
        <v>1213</v>
      </c>
      <c r="P81" s="144">
        <v>63877</v>
      </c>
      <c r="Q81" s="143" t="s">
        <v>1214</v>
      </c>
      <c r="R81" s="143" t="s">
        <v>2896</v>
      </c>
      <c r="S81" s="144" t="s">
        <v>3878</v>
      </c>
      <c r="T81" s="144">
        <v>3920.2831000000001</v>
      </c>
      <c r="U81" s="146">
        <v>2.216104635026367E-3</v>
      </c>
      <c r="V81" s="146">
        <v>1.6980507091023497E-2</v>
      </c>
      <c r="W81" s="147">
        <v>3.9427179637272153E-3</v>
      </c>
      <c r="X81" s="181"/>
    </row>
    <row r="82" spans="1:24" x14ac:dyDescent="0.2">
      <c r="A82" s="142" t="s">
        <v>1205</v>
      </c>
      <c r="B82" s="143" t="s">
        <v>1205</v>
      </c>
      <c r="C82" s="143" t="s">
        <v>2897</v>
      </c>
      <c r="D82" s="143" t="s">
        <v>2898</v>
      </c>
      <c r="E82" s="143" t="s">
        <v>313</v>
      </c>
      <c r="F82" s="143" t="s">
        <v>2897</v>
      </c>
      <c r="G82" s="143" t="s">
        <v>2899</v>
      </c>
      <c r="H82" s="143" t="s">
        <v>321</v>
      </c>
      <c r="I82" s="143" t="s">
        <v>965</v>
      </c>
      <c r="J82" s="143" t="s">
        <v>205</v>
      </c>
      <c r="K82" s="143" t="s">
        <v>224</v>
      </c>
      <c r="L82" s="143" t="s">
        <v>344</v>
      </c>
      <c r="M82" s="143" t="s">
        <v>703</v>
      </c>
      <c r="N82" s="143" t="s">
        <v>339</v>
      </c>
      <c r="O82" s="143" t="s">
        <v>1211</v>
      </c>
      <c r="P82" s="144">
        <v>27847</v>
      </c>
      <c r="Q82" s="143" t="s">
        <v>1212</v>
      </c>
      <c r="R82" s="143" t="s">
        <v>2900</v>
      </c>
      <c r="S82" s="144">
        <v>2.2304299999999997</v>
      </c>
      <c r="T82" s="144">
        <v>3883.5214000000001</v>
      </c>
      <c r="U82" s="146">
        <v>2.0767395033186666E-4</v>
      </c>
      <c r="V82" s="146">
        <v>1.6830936130973563E-2</v>
      </c>
      <c r="W82" s="147">
        <v>3.9079889589996395E-3</v>
      </c>
      <c r="X82" s="181"/>
    </row>
    <row r="83" spans="1:24" x14ac:dyDescent="0.2">
      <c r="A83" s="142" t="s">
        <v>1205</v>
      </c>
      <c r="B83" s="143" t="s">
        <v>1205</v>
      </c>
      <c r="C83" s="143" t="s">
        <v>2732</v>
      </c>
      <c r="D83" s="143" t="s">
        <v>2733</v>
      </c>
      <c r="E83" s="143" t="s">
        <v>313</v>
      </c>
      <c r="F83" s="143" t="s">
        <v>2732</v>
      </c>
      <c r="G83" s="143" t="s">
        <v>2734</v>
      </c>
      <c r="H83" s="143" t="s">
        <v>321</v>
      </c>
      <c r="I83" s="143" t="s">
        <v>965</v>
      </c>
      <c r="J83" s="143" t="s">
        <v>205</v>
      </c>
      <c r="K83" s="143" t="s">
        <v>268</v>
      </c>
      <c r="L83" s="143" t="s">
        <v>344</v>
      </c>
      <c r="M83" s="143" t="s">
        <v>588</v>
      </c>
      <c r="N83" s="143" t="s">
        <v>339</v>
      </c>
      <c r="O83" s="143" t="s">
        <v>1211</v>
      </c>
      <c r="P83" s="144">
        <v>34387</v>
      </c>
      <c r="Q83" s="143" t="s">
        <v>1212</v>
      </c>
      <c r="R83" s="143" t="s">
        <v>2735</v>
      </c>
      <c r="S83" s="144" t="s">
        <v>3878</v>
      </c>
      <c r="T83" s="144">
        <v>3492.625</v>
      </c>
      <c r="U83" s="146">
        <v>1.6020032611227579E-4</v>
      </c>
      <c r="V83" s="146">
        <v>1.5128127847103963E-2</v>
      </c>
      <c r="W83" s="147">
        <v>3.5126124974129724E-3</v>
      </c>
      <c r="X83" s="181"/>
    </row>
    <row r="84" spans="1:24" x14ac:dyDescent="0.2">
      <c r="A84" s="142" t="s">
        <v>1205</v>
      </c>
      <c r="B84" s="143" t="s">
        <v>1205</v>
      </c>
      <c r="C84" s="143" t="s">
        <v>2741</v>
      </c>
      <c r="D84" s="143" t="s">
        <v>2742</v>
      </c>
      <c r="E84" s="143" t="s">
        <v>313</v>
      </c>
      <c r="F84" s="143" t="s">
        <v>2741</v>
      </c>
      <c r="G84" s="143" t="s">
        <v>2743</v>
      </c>
      <c r="H84" s="143" t="s">
        <v>321</v>
      </c>
      <c r="I84" s="143" t="s">
        <v>965</v>
      </c>
      <c r="J84" s="143" t="s">
        <v>205</v>
      </c>
      <c r="K84" s="143" t="s">
        <v>224</v>
      </c>
      <c r="L84" s="143" t="s">
        <v>344</v>
      </c>
      <c r="M84" s="143" t="s">
        <v>708</v>
      </c>
      <c r="N84" s="143" t="s">
        <v>339</v>
      </c>
      <c r="O84" s="143" t="s">
        <v>1211</v>
      </c>
      <c r="P84" s="144">
        <v>4709</v>
      </c>
      <c r="Q84" s="143" t="s">
        <v>1212</v>
      </c>
      <c r="R84" s="143" t="s">
        <v>2744</v>
      </c>
      <c r="S84" s="144" t="s">
        <v>3878</v>
      </c>
      <c r="T84" s="144">
        <v>3228.6862999999998</v>
      </c>
      <c r="U84" s="146">
        <v>4.7636389386260407E-5</v>
      </c>
      <c r="V84" s="146">
        <v>1.3984890722800491E-2</v>
      </c>
      <c r="W84" s="147">
        <v>3.2471633254519093E-3</v>
      </c>
      <c r="X84" s="181"/>
    </row>
    <row r="85" spans="1:24" x14ac:dyDescent="0.2">
      <c r="A85" s="142" t="s">
        <v>1205</v>
      </c>
      <c r="B85" s="143" t="s">
        <v>1205</v>
      </c>
      <c r="C85" s="143" t="s">
        <v>2665</v>
      </c>
      <c r="D85" s="143" t="s">
        <v>2666</v>
      </c>
      <c r="E85" s="143" t="s">
        <v>313</v>
      </c>
      <c r="F85" s="143" t="s">
        <v>2665</v>
      </c>
      <c r="G85" s="143" t="s">
        <v>2667</v>
      </c>
      <c r="H85" s="143" t="s">
        <v>321</v>
      </c>
      <c r="I85" s="143" t="s">
        <v>965</v>
      </c>
      <c r="J85" s="143" t="s">
        <v>205</v>
      </c>
      <c r="K85" s="143" t="s">
        <v>224</v>
      </c>
      <c r="L85" s="143" t="s">
        <v>344</v>
      </c>
      <c r="M85" s="143" t="s">
        <v>611</v>
      </c>
      <c r="N85" s="143" t="s">
        <v>339</v>
      </c>
      <c r="O85" s="143" t="s">
        <v>1211</v>
      </c>
      <c r="P85" s="144">
        <v>3672</v>
      </c>
      <c r="Q85" s="143" t="s">
        <v>1212</v>
      </c>
      <c r="R85" s="143" t="s">
        <v>2668</v>
      </c>
      <c r="S85" s="144" t="s">
        <v>3878</v>
      </c>
      <c r="T85" s="144">
        <v>3122.6635000000001</v>
      </c>
      <c r="U85" s="146">
        <v>1.2025308164896056E-5</v>
      </c>
      <c r="V85" s="146">
        <v>1.3525658585394449E-2</v>
      </c>
      <c r="W85" s="147">
        <v>3.1405338362402E-3</v>
      </c>
      <c r="X85" s="181"/>
    </row>
    <row r="86" spans="1:24" x14ac:dyDescent="0.2">
      <c r="A86" s="142" t="s">
        <v>1205</v>
      </c>
      <c r="B86" s="143" t="s">
        <v>1205</v>
      </c>
      <c r="C86" s="143" t="s">
        <v>2749</v>
      </c>
      <c r="D86" s="143" t="s">
        <v>2750</v>
      </c>
      <c r="E86" s="143" t="s">
        <v>313</v>
      </c>
      <c r="F86" s="143" t="s">
        <v>2751</v>
      </c>
      <c r="G86" s="143" t="s">
        <v>2752</v>
      </c>
      <c r="H86" s="143" t="s">
        <v>321</v>
      </c>
      <c r="I86" s="143" t="s">
        <v>965</v>
      </c>
      <c r="J86" s="143" t="s">
        <v>205</v>
      </c>
      <c r="K86" s="143" t="s">
        <v>243</v>
      </c>
      <c r="L86" s="143" t="s">
        <v>344</v>
      </c>
      <c r="M86" s="143" t="s">
        <v>707</v>
      </c>
      <c r="N86" s="143" t="s">
        <v>339</v>
      </c>
      <c r="O86" s="143" t="s">
        <v>1211</v>
      </c>
      <c r="P86" s="144">
        <v>12309</v>
      </c>
      <c r="Q86" s="143" t="s">
        <v>1212</v>
      </c>
      <c r="R86" s="143" t="s">
        <v>2753</v>
      </c>
      <c r="S86" s="144" t="s">
        <v>3878</v>
      </c>
      <c r="T86" s="144">
        <v>3057.9532999999997</v>
      </c>
      <c r="U86" s="146">
        <v>2.1651715039577835E-4</v>
      </c>
      <c r="V86" s="146">
        <v>1.3245369444254758E-2</v>
      </c>
      <c r="W86" s="147">
        <v>3.0754532691001685E-3</v>
      </c>
      <c r="X86" s="181"/>
    </row>
    <row r="87" spans="1:24" x14ac:dyDescent="0.2">
      <c r="A87" s="142" t="s">
        <v>1205</v>
      </c>
      <c r="B87" s="143" t="s">
        <v>1205</v>
      </c>
      <c r="C87" s="143" t="s">
        <v>2736</v>
      </c>
      <c r="D87" s="143" t="s">
        <v>2737</v>
      </c>
      <c r="E87" s="143" t="s">
        <v>313</v>
      </c>
      <c r="F87" s="143" t="s">
        <v>2738</v>
      </c>
      <c r="G87" s="143" t="s">
        <v>2739</v>
      </c>
      <c r="H87" s="143" t="s">
        <v>321</v>
      </c>
      <c r="I87" s="143" t="s">
        <v>965</v>
      </c>
      <c r="J87" s="143" t="s">
        <v>205</v>
      </c>
      <c r="K87" s="143" t="s">
        <v>268</v>
      </c>
      <c r="L87" s="143" t="s">
        <v>344</v>
      </c>
      <c r="M87" s="143" t="s">
        <v>588</v>
      </c>
      <c r="N87" s="143" t="s">
        <v>339</v>
      </c>
      <c r="O87" s="143" t="s">
        <v>1211</v>
      </c>
      <c r="P87" s="144">
        <v>19277</v>
      </c>
      <c r="Q87" s="143" t="s">
        <v>1212</v>
      </c>
      <c r="R87" s="143" t="s">
        <v>2740</v>
      </c>
      <c r="S87" s="144" t="s">
        <v>3878</v>
      </c>
      <c r="T87" s="144">
        <v>3055.7327999999998</v>
      </c>
      <c r="U87" s="146">
        <v>1.1973291925465838E-4</v>
      </c>
      <c r="V87" s="146">
        <v>1.3235751389885451E-2</v>
      </c>
      <c r="W87" s="147">
        <v>3.0732200451137059E-3</v>
      </c>
      <c r="X87" s="181"/>
    </row>
    <row r="88" spans="1:24" x14ac:dyDescent="0.2">
      <c r="A88" s="142" t="s">
        <v>1205</v>
      </c>
      <c r="B88" s="143" t="s">
        <v>1205</v>
      </c>
      <c r="C88" s="143" t="s">
        <v>2682</v>
      </c>
      <c r="D88" s="143" t="s">
        <v>2683</v>
      </c>
      <c r="E88" s="143" t="s">
        <v>313</v>
      </c>
      <c r="F88" s="143" t="s">
        <v>2682</v>
      </c>
      <c r="G88" s="143" t="s">
        <v>2684</v>
      </c>
      <c r="H88" s="143" t="s">
        <v>321</v>
      </c>
      <c r="I88" s="143" t="s">
        <v>965</v>
      </c>
      <c r="J88" s="143" t="s">
        <v>205</v>
      </c>
      <c r="K88" s="143" t="s">
        <v>224</v>
      </c>
      <c r="L88" s="143" t="s">
        <v>344</v>
      </c>
      <c r="M88" s="143" t="s">
        <v>596</v>
      </c>
      <c r="N88" s="143" t="s">
        <v>339</v>
      </c>
      <c r="O88" s="143" t="s">
        <v>1211</v>
      </c>
      <c r="P88" s="144">
        <v>26118</v>
      </c>
      <c r="Q88" s="143" t="s">
        <v>1212</v>
      </c>
      <c r="R88" s="143" t="s">
        <v>2685</v>
      </c>
      <c r="S88" s="144" t="s">
        <v>3878</v>
      </c>
      <c r="T88" s="144">
        <v>3007.1787000000004</v>
      </c>
      <c r="U88" s="146">
        <v>2.230401366353544E-4</v>
      </c>
      <c r="V88" s="146">
        <v>1.3025441930624288E-2</v>
      </c>
      <c r="W88" s="147">
        <v>3.0243881180972809E-3</v>
      </c>
      <c r="X88" s="181"/>
    </row>
    <row r="89" spans="1:24" x14ac:dyDescent="0.2">
      <c r="A89" s="142" t="s">
        <v>1205</v>
      </c>
      <c r="B89" s="143" t="s">
        <v>1205</v>
      </c>
      <c r="C89" s="143" t="s">
        <v>2709</v>
      </c>
      <c r="D89" s="143" t="s">
        <v>2710</v>
      </c>
      <c r="E89" s="143" t="s">
        <v>313</v>
      </c>
      <c r="F89" s="143" t="s">
        <v>2711</v>
      </c>
      <c r="G89" s="143" t="s">
        <v>2712</v>
      </c>
      <c r="H89" s="143" t="s">
        <v>321</v>
      </c>
      <c r="I89" s="143" t="s">
        <v>965</v>
      </c>
      <c r="J89" s="143" t="s">
        <v>205</v>
      </c>
      <c r="K89" s="143" t="s">
        <v>224</v>
      </c>
      <c r="L89" s="143" t="s">
        <v>344</v>
      </c>
      <c r="M89" s="143" t="s">
        <v>708</v>
      </c>
      <c r="N89" s="143" t="s">
        <v>339</v>
      </c>
      <c r="O89" s="143" t="s">
        <v>1211</v>
      </c>
      <c r="P89" s="144">
        <v>1891</v>
      </c>
      <c r="Q89" s="143" t="s">
        <v>1212</v>
      </c>
      <c r="R89" s="143" t="s">
        <v>2713</v>
      </c>
      <c r="S89" s="144">
        <v>1.6519000000000001</v>
      </c>
      <c r="T89" s="144">
        <v>2786.4667000000004</v>
      </c>
      <c r="U89" s="146">
        <v>2.1429461827000441E-5</v>
      </c>
      <c r="V89" s="146">
        <v>1.207659432727185E-2</v>
      </c>
      <c r="W89" s="147">
        <v>2.8040744095299544E-3</v>
      </c>
      <c r="X89" s="181"/>
    </row>
    <row r="90" spans="1:24" x14ac:dyDescent="0.2">
      <c r="A90" s="142" t="s">
        <v>1205</v>
      </c>
      <c r="B90" s="143" t="s">
        <v>1205</v>
      </c>
      <c r="C90" s="143" t="s">
        <v>2754</v>
      </c>
      <c r="D90" s="143" t="s">
        <v>2755</v>
      </c>
      <c r="E90" s="143" t="s">
        <v>313</v>
      </c>
      <c r="F90" s="143" t="s">
        <v>2756</v>
      </c>
      <c r="G90" s="143" t="s">
        <v>2757</v>
      </c>
      <c r="H90" s="143" t="s">
        <v>321</v>
      </c>
      <c r="I90" s="143" t="s">
        <v>965</v>
      </c>
      <c r="J90" s="143" t="s">
        <v>205</v>
      </c>
      <c r="K90" s="143" t="s">
        <v>224</v>
      </c>
      <c r="L90" s="143" t="s">
        <v>344</v>
      </c>
      <c r="M90" s="143" t="s">
        <v>703</v>
      </c>
      <c r="N90" s="143" t="s">
        <v>339</v>
      </c>
      <c r="O90" s="143" t="s">
        <v>1211</v>
      </c>
      <c r="P90" s="144">
        <v>7086</v>
      </c>
      <c r="Q90" s="143" t="s">
        <v>1212</v>
      </c>
      <c r="R90" s="143" t="s">
        <v>2758</v>
      </c>
      <c r="S90" s="144">
        <v>0.98700999999999994</v>
      </c>
      <c r="T90" s="144">
        <v>2739.7882</v>
      </c>
      <c r="U90" s="146">
        <v>3.1605709188224797E-4</v>
      </c>
      <c r="V90" s="146">
        <v>1.1871528793531028E-2</v>
      </c>
      <c r="W90" s="147">
        <v>2.7564600739104573E-3</v>
      </c>
      <c r="X90" s="181"/>
    </row>
    <row r="91" spans="1:24" x14ac:dyDescent="0.2">
      <c r="A91" s="142" t="s">
        <v>1205</v>
      </c>
      <c r="B91" s="143" t="s">
        <v>1205</v>
      </c>
      <c r="C91" s="143" t="s">
        <v>2901</v>
      </c>
      <c r="D91" s="143" t="s">
        <v>2902</v>
      </c>
      <c r="E91" s="143" t="s">
        <v>313</v>
      </c>
      <c r="F91" s="143" t="s">
        <v>2901</v>
      </c>
      <c r="G91" s="143" t="s">
        <v>2903</v>
      </c>
      <c r="H91" s="143" t="s">
        <v>321</v>
      </c>
      <c r="I91" s="143" t="s">
        <v>965</v>
      </c>
      <c r="J91" s="143" t="s">
        <v>205</v>
      </c>
      <c r="K91" s="143" t="s">
        <v>293</v>
      </c>
      <c r="L91" s="143" t="s">
        <v>368</v>
      </c>
      <c r="M91" s="143" t="s">
        <v>610</v>
      </c>
      <c r="N91" s="143" t="s">
        <v>339</v>
      </c>
      <c r="O91" s="143" t="s">
        <v>1213</v>
      </c>
      <c r="P91" s="144">
        <v>6891</v>
      </c>
      <c r="Q91" s="143" t="s">
        <v>1214</v>
      </c>
      <c r="R91" s="143" t="s">
        <v>2904</v>
      </c>
      <c r="S91" s="144" t="s">
        <v>3878</v>
      </c>
      <c r="T91" s="144">
        <v>2359.7583999999997</v>
      </c>
      <c r="U91" s="146">
        <v>2.516800584368152E-3</v>
      </c>
      <c r="V91" s="146">
        <v>1.0221173772927548E-2</v>
      </c>
      <c r="W91" s="147">
        <v>2.3732627788367127E-3</v>
      </c>
      <c r="X91" s="181"/>
    </row>
    <row r="92" spans="1:24" x14ac:dyDescent="0.2">
      <c r="A92" s="142" t="s">
        <v>1205</v>
      </c>
      <c r="B92" s="143" t="s">
        <v>1205</v>
      </c>
      <c r="C92" s="143" t="s">
        <v>2779</v>
      </c>
      <c r="D92" s="143" t="s">
        <v>2780</v>
      </c>
      <c r="E92" s="143" t="s">
        <v>313</v>
      </c>
      <c r="F92" s="143" t="s">
        <v>2779</v>
      </c>
      <c r="G92" s="143" t="s">
        <v>2781</v>
      </c>
      <c r="H92" s="143" t="s">
        <v>321</v>
      </c>
      <c r="I92" s="143" t="s">
        <v>965</v>
      </c>
      <c r="J92" s="143" t="s">
        <v>205</v>
      </c>
      <c r="K92" s="143" t="s">
        <v>246</v>
      </c>
      <c r="L92" s="143" t="s">
        <v>370</v>
      </c>
      <c r="M92" s="143" t="s">
        <v>707</v>
      </c>
      <c r="N92" s="143" t="s">
        <v>339</v>
      </c>
      <c r="O92" s="143" t="s">
        <v>2782</v>
      </c>
      <c r="P92" s="144">
        <v>646885</v>
      </c>
      <c r="Q92" s="143" t="s">
        <v>2783</v>
      </c>
      <c r="R92" s="143" t="s">
        <v>2784</v>
      </c>
      <c r="S92" s="144">
        <v>12.937700000000001</v>
      </c>
      <c r="T92" s="144">
        <v>2328.8662000000004</v>
      </c>
      <c r="U92" s="146">
        <v>4.4922569444444446E-3</v>
      </c>
      <c r="V92" s="146">
        <v>1.0143404729249626E-2</v>
      </c>
      <c r="W92" s="147">
        <v>2.35520552036456E-3</v>
      </c>
      <c r="X92" s="181"/>
    </row>
    <row r="93" spans="1:24" x14ac:dyDescent="0.2">
      <c r="A93" s="142" t="s">
        <v>1205</v>
      </c>
      <c r="B93" s="143" t="s">
        <v>1205</v>
      </c>
      <c r="C93" s="143" t="s">
        <v>2776</v>
      </c>
      <c r="D93" s="143" t="s">
        <v>2662</v>
      </c>
      <c r="E93" s="143" t="s">
        <v>313</v>
      </c>
      <c r="F93" s="143" t="s">
        <v>2776</v>
      </c>
      <c r="G93" s="143" t="s">
        <v>2777</v>
      </c>
      <c r="H93" s="143" t="s">
        <v>321</v>
      </c>
      <c r="I93" s="143" t="s">
        <v>965</v>
      </c>
      <c r="J93" s="143" t="s">
        <v>205</v>
      </c>
      <c r="K93" s="143" t="s">
        <v>301</v>
      </c>
      <c r="L93" s="143" t="s">
        <v>314</v>
      </c>
      <c r="M93" s="143" t="s">
        <v>596</v>
      </c>
      <c r="N93" s="143" t="s">
        <v>339</v>
      </c>
      <c r="O93" s="143" t="s">
        <v>1213</v>
      </c>
      <c r="P93" s="144">
        <v>12219</v>
      </c>
      <c r="Q93" s="143" t="s">
        <v>1214</v>
      </c>
      <c r="R93" s="143" t="s">
        <v>2778</v>
      </c>
      <c r="S93" s="144" t="s">
        <v>3878</v>
      </c>
      <c r="T93" s="144">
        <v>2212.0007999999998</v>
      </c>
      <c r="U93" s="146">
        <v>4.1989690721649486E-4</v>
      </c>
      <c r="V93" s="146">
        <v>9.581168942014261E-3</v>
      </c>
      <c r="W93" s="147">
        <v>2.2246595286400236E-3</v>
      </c>
      <c r="X93" s="181"/>
    </row>
    <row r="94" spans="1:24" x14ac:dyDescent="0.2">
      <c r="A94" s="142" t="s">
        <v>1205</v>
      </c>
      <c r="B94" s="143" t="s">
        <v>1205</v>
      </c>
      <c r="C94" s="143" t="s">
        <v>2718</v>
      </c>
      <c r="D94" s="143" t="s">
        <v>2719</v>
      </c>
      <c r="E94" s="143" t="s">
        <v>313</v>
      </c>
      <c r="F94" s="143" t="s">
        <v>2720</v>
      </c>
      <c r="G94" s="143" t="s">
        <v>2721</v>
      </c>
      <c r="H94" s="143" t="s">
        <v>321</v>
      </c>
      <c r="I94" s="143" t="s">
        <v>965</v>
      </c>
      <c r="J94" s="143" t="s">
        <v>205</v>
      </c>
      <c r="K94" s="143" t="s">
        <v>224</v>
      </c>
      <c r="L94" s="143" t="s">
        <v>344</v>
      </c>
      <c r="M94" s="143" t="s">
        <v>602</v>
      </c>
      <c r="N94" s="143" t="s">
        <v>339</v>
      </c>
      <c r="O94" s="143" t="s">
        <v>1211</v>
      </c>
      <c r="P94" s="144">
        <v>2778</v>
      </c>
      <c r="Q94" s="143" t="s">
        <v>1212</v>
      </c>
      <c r="R94" s="143" t="s">
        <v>2722</v>
      </c>
      <c r="S94" s="144" t="s">
        <v>3878</v>
      </c>
      <c r="T94" s="144">
        <v>2118.6792</v>
      </c>
      <c r="U94" s="146">
        <v>9.1321499013806709E-6</v>
      </c>
      <c r="V94" s="146">
        <v>9.1769514958812293E-3</v>
      </c>
      <c r="W94" s="147">
        <v>2.130803946025348E-3</v>
      </c>
      <c r="X94" s="181"/>
    </row>
    <row r="95" spans="1:24" x14ac:dyDescent="0.2">
      <c r="A95" s="142" t="s">
        <v>1205</v>
      </c>
      <c r="B95" s="143" t="s">
        <v>1205</v>
      </c>
      <c r="C95" s="143" t="s">
        <v>2762</v>
      </c>
      <c r="D95" s="143" t="s">
        <v>2763</v>
      </c>
      <c r="E95" s="143" t="s">
        <v>313</v>
      </c>
      <c r="F95" s="143" t="s">
        <v>2764</v>
      </c>
      <c r="G95" s="143" t="s">
        <v>2765</v>
      </c>
      <c r="H95" s="143" t="s">
        <v>321</v>
      </c>
      <c r="I95" s="143" t="s">
        <v>965</v>
      </c>
      <c r="J95" s="143" t="s">
        <v>205</v>
      </c>
      <c r="K95" s="143" t="s">
        <v>224</v>
      </c>
      <c r="L95" s="143" t="s">
        <v>344</v>
      </c>
      <c r="M95" s="143" t="s">
        <v>707</v>
      </c>
      <c r="N95" s="143" t="s">
        <v>339</v>
      </c>
      <c r="O95" s="143" t="s">
        <v>1211</v>
      </c>
      <c r="P95" s="144">
        <v>10097</v>
      </c>
      <c r="Q95" s="143" t="s">
        <v>1212</v>
      </c>
      <c r="R95" s="143" t="s">
        <v>2766</v>
      </c>
      <c r="S95" s="144" t="s">
        <v>3878</v>
      </c>
      <c r="T95" s="144">
        <v>2056.761</v>
      </c>
      <c r="U95" s="146">
        <v>1.2020238095238095E-4</v>
      </c>
      <c r="V95" s="146">
        <v>8.9087559118639428E-3</v>
      </c>
      <c r="W95" s="147">
        <v>2.0685313919002559E-3</v>
      </c>
      <c r="X95" s="181"/>
    </row>
    <row r="96" spans="1:24" x14ac:dyDescent="0.2">
      <c r="A96" s="142" t="s">
        <v>1205</v>
      </c>
      <c r="B96" s="143" t="s">
        <v>1205</v>
      </c>
      <c r="C96" s="143" t="s">
        <v>2905</v>
      </c>
      <c r="D96" s="143" t="s">
        <v>2906</v>
      </c>
      <c r="E96" s="143" t="s">
        <v>313</v>
      </c>
      <c r="F96" s="143" t="s">
        <v>2905</v>
      </c>
      <c r="G96" s="143" t="s">
        <v>2907</v>
      </c>
      <c r="H96" s="143" t="s">
        <v>321</v>
      </c>
      <c r="I96" s="143" t="s">
        <v>965</v>
      </c>
      <c r="J96" s="143" t="s">
        <v>205</v>
      </c>
      <c r="K96" s="143" t="s">
        <v>224</v>
      </c>
      <c r="L96" s="143" t="s">
        <v>344</v>
      </c>
      <c r="M96" s="143" t="s">
        <v>708</v>
      </c>
      <c r="N96" s="143" t="s">
        <v>339</v>
      </c>
      <c r="O96" s="143" t="s">
        <v>1211</v>
      </c>
      <c r="P96" s="144">
        <v>16725</v>
      </c>
      <c r="Q96" s="143" t="s">
        <v>1212</v>
      </c>
      <c r="R96" s="143" t="s">
        <v>2908</v>
      </c>
      <c r="S96" s="144" t="s">
        <v>3878</v>
      </c>
      <c r="T96" s="144">
        <v>1986.0403999999999</v>
      </c>
      <c r="U96" s="146">
        <v>9.3045897079276768E-4</v>
      </c>
      <c r="V96" s="146">
        <v>8.602433124203536E-3</v>
      </c>
      <c r="W96" s="147">
        <v>1.9974060508763628E-3</v>
      </c>
      <c r="X96" s="181"/>
    </row>
    <row r="97" spans="1:24" x14ac:dyDescent="0.2">
      <c r="A97" s="142" t="s">
        <v>1205</v>
      </c>
      <c r="B97" s="143" t="s">
        <v>1205</v>
      </c>
      <c r="C97" s="143" t="s">
        <v>2759</v>
      </c>
      <c r="D97" s="143" t="s">
        <v>2662</v>
      </c>
      <c r="E97" s="143" t="s">
        <v>313</v>
      </c>
      <c r="F97" s="143" t="s">
        <v>2759</v>
      </c>
      <c r="G97" s="143" t="s">
        <v>2760</v>
      </c>
      <c r="H97" s="143" t="s">
        <v>321</v>
      </c>
      <c r="I97" s="143" t="s">
        <v>965</v>
      </c>
      <c r="J97" s="143" t="s">
        <v>205</v>
      </c>
      <c r="K97" s="143" t="s">
        <v>224</v>
      </c>
      <c r="L97" s="143" t="s">
        <v>344</v>
      </c>
      <c r="M97" s="143" t="s">
        <v>708</v>
      </c>
      <c r="N97" s="143" t="s">
        <v>339</v>
      </c>
      <c r="O97" s="143" t="s">
        <v>1211</v>
      </c>
      <c r="P97" s="144">
        <v>4966</v>
      </c>
      <c r="Q97" s="143" t="s">
        <v>1212</v>
      </c>
      <c r="R97" s="143" t="s">
        <v>2761</v>
      </c>
      <c r="S97" s="144">
        <v>1.8438800000000002</v>
      </c>
      <c r="T97" s="144">
        <v>1857.0366999999999</v>
      </c>
      <c r="U97" s="146">
        <v>8.2766666666666665E-4</v>
      </c>
      <c r="V97" s="146">
        <v>8.051647016350489E-3</v>
      </c>
      <c r="W97" s="147">
        <v>1.86951856966259E-3</v>
      </c>
      <c r="X97" s="181"/>
    </row>
    <row r="98" spans="1:24" x14ac:dyDescent="0.2">
      <c r="A98" s="142" t="s">
        <v>1205</v>
      </c>
      <c r="B98" s="143" t="s">
        <v>1205</v>
      </c>
      <c r="C98" s="143" t="s">
        <v>2788</v>
      </c>
      <c r="D98" s="143" t="s">
        <v>2789</v>
      </c>
      <c r="E98" s="143" t="s">
        <v>313</v>
      </c>
      <c r="F98" s="143" t="s">
        <v>2790</v>
      </c>
      <c r="G98" s="143" t="s">
        <v>2791</v>
      </c>
      <c r="H98" s="143" t="s">
        <v>321</v>
      </c>
      <c r="I98" s="143" t="s">
        <v>965</v>
      </c>
      <c r="J98" s="143" t="s">
        <v>205</v>
      </c>
      <c r="K98" s="143" t="s">
        <v>224</v>
      </c>
      <c r="L98" s="143" t="s">
        <v>344</v>
      </c>
      <c r="M98" s="143" t="s">
        <v>708</v>
      </c>
      <c r="N98" s="143" t="s">
        <v>339</v>
      </c>
      <c r="O98" s="143" t="s">
        <v>1211</v>
      </c>
      <c r="P98" s="144">
        <v>12487</v>
      </c>
      <c r="Q98" s="143" t="s">
        <v>1212</v>
      </c>
      <c r="R98" s="143" t="s">
        <v>2792</v>
      </c>
      <c r="S98" s="144" t="s">
        <v>3878</v>
      </c>
      <c r="T98" s="144">
        <v>1802.9128999999998</v>
      </c>
      <c r="U98" s="146">
        <v>9.4849981010254462E-5</v>
      </c>
      <c r="V98" s="146">
        <v>7.8092256415486228E-3</v>
      </c>
      <c r="W98" s="147">
        <v>1.8132305504592039E-3</v>
      </c>
      <c r="X98" s="181"/>
    </row>
    <row r="99" spans="1:24" ht="15" x14ac:dyDescent="0.2">
      <c r="A99" s="142" t="s">
        <v>1205</v>
      </c>
      <c r="B99" s="143" t="s">
        <v>1205</v>
      </c>
      <c r="C99" s="143" t="s">
        <v>2646</v>
      </c>
      <c r="D99" s="143" t="s">
        <v>2647</v>
      </c>
      <c r="E99" s="143" t="s">
        <v>309</v>
      </c>
      <c r="F99" s="143" t="s">
        <v>2909</v>
      </c>
      <c r="G99" s="143" t="s">
        <v>2910</v>
      </c>
      <c r="H99" s="143" t="s">
        <v>321</v>
      </c>
      <c r="I99" s="143" t="s">
        <v>965</v>
      </c>
      <c r="J99" s="143" t="s">
        <v>205</v>
      </c>
      <c r="K99" s="143" t="s">
        <v>224</v>
      </c>
      <c r="L99" s="143" t="s">
        <v>340</v>
      </c>
      <c r="M99" s="143" t="s">
        <v>708</v>
      </c>
      <c r="N99" s="143" t="s">
        <v>339</v>
      </c>
      <c r="O99" s="143" t="s">
        <v>1210</v>
      </c>
      <c r="P99" s="144">
        <v>66443</v>
      </c>
      <c r="Q99" s="145" t="s">
        <v>3876</v>
      </c>
      <c r="R99" s="143" t="s">
        <v>2911</v>
      </c>
      <c r="S99" s="144" t="s">
        <v>3878</v>
      </c>
      <c r="T99" s="144">
        <v>1641.1421</v>
      </c>
      <c r="U99" s="146">
        <v>1.4765111111111111E-2</v>
      </c>
      <c r="V99" s="146">
        <v>7.108523664530385E-3</v>
      </c>
      <c r="W99" s="147">
        <v>1.6505339797855617E-3</v>
      </c>
      <c r="X99" s="181"/>
    </row>
    <row r="100" spans="1:24" x14ac:dyDescent="0.2">
      <c r="A100" s="142" t="s">
        <v>1205</v>
      </c>
      <c r="B100" s="143" t="s">
        <v>1205</v>
      </c>
      <c r="C100" s="143" t="s">
        <v>2912</v>
      </c>
      <c r="D100" s="143" t="s">
        <v>2913</v>
      </c>
      <c r="E100" s="143" t="s">
        <v>313</v>
      </c>
      <c r="F100" s="143" t="s">
        <v>2912</v>
      </c>
      <c r="G100" s="143" t="s">
        <v>2914</v>
      </c>
      <c r="H100" s="143" t="s">
        <v>321</v>
      </c>
      <c r="I100" s="143" t="s">
        <v>965</v>
      </c>
      <c r="J100" s="143" t="s">
        <v>205</v>
      </c>
      <c r="K100" s="143" t="s">
        <v>224</v>
      </c>
      <c r="L100" s="143" t="s">
        <v>314</v>
      </c>
      <c r="M100" s="143" t="s">
        <v>708</v>
      </c>
      <c r="N100" s="143" t="s">
        <v>339</v>
      </c>
      <c r="O100" s="143" t="s">
        <v>1211</v>
      </c>
      <c r="P100" s="144">
        <v>3773</v>
      </c>
      <c r="Q100" s="143" t="s">
        <v>1212</v>
      </c>
      <c r="R100" s="143" t="s">
        <v>2915</v>
      </c>
      <c r="S100" s="144" t="s">
        <v>3878</v>
      </c>
      <c r="T100" s="144">
        <v>1564.2108000000001</v>
      </c>
      <c r="U100" s="146">
        <v>1.3010344827586208E-3</v>
      </c>
      <c r="V100" s="146">
        <v>6.7752994505738996E-3</v>
      </c>
      <c r="W100" s="147">
        <v>1.5731623743751649E-3</v>
      </c>
      <c r="X100" s="181"/>
    </row>
    <row r="101" spans="1:24" x14ac:dyDescent="0.2">
      <c r="A101" s="142" t="s">
        <v>1205</v>
      </c>
      <c r="B101" s="143" t="s">
        <v>1205</v>
      </c>
      <c r="C101" s="143" t="s">
        <v>2916</v>
      </c>
      <c r="D101" s="143" t="s">
        <v>2917</v>
      </c>
      <c r="E101" s="143" t="s">
        <v>313</v>
      </c>
      <c r="F101" s="143" t="s">
        <v>2916</v>
      </c>
      <c r="G101" s="143" t="s">
        <v>2918</v>
      </c>
      <c r="H101" s="143" t="s">
        <v>321</v>
      </c>
      <c r="I101" s="143" t="s">
        <v>965</v>
      </c>
      <c r="J101" s="143" t="s">
        <v>205</v>
      </c>
      <c r="K101" s="143" t="s">
        <v>224</v>
      </c>
      <c r="L101" s="143" t="s">
        <v>344</v>
      </c>
      <c r="M101" s="143" t="s">
        <v>708</v>
      </c>
      <c r="N101" s="143" t="s">
        <v>339</v>
      </c>
      <c r="O101" s="143" t="s">
        <v>1211</v>
      </c>
      <c r="P101" s="144">
        <v>3961</v>
      </c>
      <c r="Q101" s="143" t="s">
        <v>1212</v>
      </c>
      <c r="R101" s="143" t="s">
        <v>2919</v>
      </c>
      <c r="S101" s="144" t="s">
        <v>3878</v>
      </c>
      <c r="T101" s="144">
        <v>1505.0205000000001</v>
      </c>
      <c r="U101" s="146">
        <v>2.8912408759124088E-4</v>
      </c>
      <c r="V101" s="146">
        <v>6.5189196541646276E-3</v>
      </c>
      <c r="W101" s="147">
        <v>1.5136333377320881E-3</v>
      </c>
      <c r="X101" s="181"/>
    </row>
    <row r="102" spans="1:24" x14ac:dyDescent="0.2">
      <c r="A102" s="142" t="s">
        <v>1205</v>
      </c>
      <c r="B102" s="143" t="s">
        <v>1205</v>
      </c>
      <c r="C102" s="143" t="s">
        <v>2793</v>
      </c>
      <c r="D102" s="143" t="s">
        <v>2794</v>
      </c>
      <c r="E102" s="143" t="s">
        <v>313</v>
      </c>
      <c r="F102" s="143" t="s">
        <v>2793</v>
      </c>
      <c r="G102" s="143" t="s">
        <v>2795</v>
      </c>
      <c r="H102" s="143" t="s">
        <v>321</v>
      </c>
      <c r="I102" s="143" t="s">
        <v>965</v>
      </c>
      <c r="J102" s="143" t="s">
        <v>205</v>
      </c>
      <c r="K102" s="143" t="s">
        <v>224</v>
      </c>
      <c r="L102" s="143" t="s">
        <v>344</v>
      </c>
      <c r="M102" s="143" t="s">
        <v>703</v>
      </c>
      <c r="N102" s="143" t="s">
        <v>339</v>
      </c>
      <c r="O102" s="143" t="s">
        <v>1211</v>
      </c>
      <c r="P102" s="144">
        <v>19096</v>
      </c>
      <c r="Q102" s="143" t="s">
        <v>1212</v>
      </c>
      <c r="R102" s="143" t="s">
        <v>2796</v>
      </c>
      <c r="S102" s="144" t="s">
        <v>3878</v>
      </c>
      <c r="T102" s="144">
        <v>1411.2313999999999</v>
      </c>
      <c r="U102" s="146">
        <v>4.1084337349397591E-4</v>
      </c>
      <c r="V102" s="146">
        <v>6.1126773432516775E-3</v>
      </c>
      <c r="W102" s="147">
        <v>1.4193076000920586E-3</v>
      </c>
      <c r="X102" s="181"/>
    </row>
    <row r="103" spans="1:24" x14ac:dyDescent="0.2">
      <c r="A103" s="142" t="s">
        <v>1205</v>
      </c>
      <c r="B103" s="143" t="s">
        <v>1205</v>
      </c>
      <c r="C103" s="143" t="s">
        <v>2802</v>
      </c>
      <c r="D103" s="143" t="s">
        <v>2803</v>
      </c>
      <c r="E103" s="143" t="s">
        <v>313</v>
      </c>
      <c r="F103" s="143" t="s">
        <v>2802</v>
      </c>
      <c r="G103" s="143" t="s">
        <v>2804</v>
      </c>
      <c r="H103" s="143" t="s">
        <v>321</v>
      </c>
      <c r="I103" s="143" t="s">
        <v>965</v>
      </c>
      <c r="J103" s="143" t="s">
        <v>205</v>
      </c>
      <c r="K103" s="143" t="s">
        <v>224</v>
      </c>
      <c r="L103" s="143" t="s">
        <v>344</v>
      </c>
      <c r="M103" s="143" t="s">
        <v>703</v>
      </c>
      <c r="N103" s="143" t="s">
        <v>339</v>
      </c>
      <c r="O103" s="143" t="s">
        <v>1211</v>
      </c>
      <c r="P103" s="144">
        <v>7814</v>
      </c>
      <c r="Q103" s="143" t="s">
        <v>1212</v>
      </c>
      <c r="R103" s="143" t="s">
        <v>2805</v>
      </c>
      <c r="S103" s="144" t="s">
        <v>3878</v>
      </c>
      <c r="T103" s="144">
        <v>1181.0813000000001</v>
      </c>
      <c r="U103" s="146">
        <v>2.358729775416566E-4</v>
      </c>
      <c r="V103" s="146">
        <v>5.1157938173882157E-3</v>
      </c>
      <c r="W103" s="147">
        <v>1.1878403910095122E-3</v>
      </c>
      <c r="X103" s="181"/>
    </row>
    <row r="104" spans="1:24" x14ac:dyDescent="0.2">
      <c r="A104" s="142" t="s">
        <v>1205</v>
      </c>
      <c r="B104" s="143" t="s">
        <v>1205</v>
      </c>
      <c r="C104" s="143" t="s">
        <v>2762</v>
      </c>
      <c r="D104" s="143" t="s">
        <v>2763</v>
      </c>
      <c r="E104" s="143" t="s">
        <v>313</v>
      </c>
      <c r="F104" s="143" t="s">
        <v>2785</v>
      </c>
      <c r="G104" s="143" t="s">
        <v>2786</v>
      </c>
      <c r="H104" s="143" t="s">
        <v>321</v>
      </c>
      <c r="I104" s="143" t="s">
        <v>965</v>
      </c>
      <c r="J104" s="143" t="s">
        <v>205</v>
      </c>
      <c r="K104" s="143" t="s">
        <v>224</v>
      </c>
      <c r="L104" s="143" t="s">
        <v>344</v>
      </c>
      <c r="M104" s="143" t="s">
        <v>708</v>
      </c>
      <c r="N104" s="143" t="s">
        <v>339</v>
      </c>
      <c r="O104" s="143" t="s">
        <v>1211</v>
      </c>
      <c r="P104" s="144">
        <v>4755</v>
      </c>
      <c r="Q104" s="143" t="s">
        <v>1212</v>
      </c>
      <c r="R104" s="143" t="s">
        <v>2787</v>
      </c>
      <c r="S104" s="144" t="s">
        <v>3878</v>
      </c>
      <c r="T104" s="144">
        <v>1001.6615</v>
      </c>
      <c r="U104" s="146">
        <v>3.9674593241551938E-5</v>
      </c>
      <c r="V104" s="146">
        <v>4.3386458413466273E-3</v>
      </c>
      <c r="W104" s="147">
        <v>1.0073937606946146E-3</v>
      </c>
      <c r="X104" s="181"/>
    </row>
    <row r="105" spans="1:24" x14ac:dyDescent="0.2">
      <c r="A105" s="142" t="s">
        <v>1205</v>
      </c>
      <c r="B105" s="143" t="s">
        <v>1205</v>
      </c>
      <c r="C105" s="143" t="s">
        <v>2920</v>
      </c>
      <c r="D105" s="143" t="s">
        <v>2921</v>
      </c>
      <c r="E105" s="143" t="s">
        <v>313</v>
      </c>
      <c r="F105" s="143" t="s">
        <v>2920</v>
      </c>
      <c r="G105" s="143" t="s">
        <v>2922</v>
      </c>
      <c r="H105" s="143" t="s">
        <v>321</v>
      </c>
      <c r="I105" s="143" t="s">
        <v>965</v>
      </c>
      <c r="J105" s="143" t="s">
        <v>205</v>
      </c>
      <c r="K105" s="143" t="s">
        <v>224</v>
      </c>
      <c r="L105" s="143" t="s">
        <v>344</v>
      </c>
      <c r="M105" s="143" t="s">
        <v>708</v>
      </c>
      <c r="N105" s="143" t="s">
        <v>339</v>
      </c>
      <c r="O105" s="143" t="s">
        <v>1211</v>
      </c>
      <c r="P105" s="144">
        <v>3895</v>
      </c>
      <c r="Q105" s="143" t="s">
        <v>1212</v>
      </c>
      <c r="R105" s="143" t="s">
        <v>2923</v>
      </c>
      <c r="S105" s="144" t="s">
        <v>3878</v>
      </c>
      <c r="T105" s="144">
        <v>997.6585</v>
      </c>
      <c r="U105" s="146">
        <v>1.6597492691989739E-5</v>
      </c>
      <c r="V105" s="146">
        <v>4.3213072272860311E-3</v>
      </c>
      <c r="W105" s="147">
        <v>1.0033678935779024E-3</v>
      </c>
      <c r="X105" s="181"/>
    </row>
    <row r="106" spans="1:24" x14ac:dyDescent="0.2">
      <c r="A106" s="142" t="s">
        <v>1205</v>
      </c>
      <c r="B106" s="143" t="s">
        <v>1205</v>
      </c>
      <c r="C106" s="143" t="s">
        <v>2924</v>
      </c>
      <c r="D106" s="143" t="s">
        <v>2925</v>
      </c>
      <c r="E106" s="143" t="s">
        <v>313</v>
      </c>
      <c r="F106" s="143" t="s">
        <v>2924</v>
      </c>
      <c r="G106" s="143" t="s">
        <v>2926</v>
      </c>
      <c r="H106" s="143" t="s">
        <v>321</v>
      </c>
      <c r="I106" s="143" t="s">
        <v>965</v>
      </c>
      <c r="J106" s="143" t="s">
        <v>205</v>
      </c>
      <c r="K106" s="143" t="s">
        <v>293</v>
      </c>
      <c r="L106" s="143" t="s">
        <v>364</v>
      </c>
      <c r="M106" s="143" t="s">
        <v>610</v>
      </c>
      <c r="N106" s="143" t="s">
        <v>339</v>
      </c>
      <c r="O106" s="143" t="s">
        <v>1213</v>
      </c>
      <c r="P106" s="144">
        <v>1365</v>
      </c>
      <c r="Q106" s="143" t="s">
        <v>1214</v>
      </c>
      <c r="R106" s="143" t="s">
        <v>2927</v>
      </c>
      <c r="S106" s="144" t="s">
        <v>3878</v>
      </c>
      <c r="T106" s="144">
        <v>859.82590000000005</v>
      </c>
      <c r="U106" s="146">
        <v>5.0593031875463307E-4</v>
      </c>
      <c r="V106" s="146">
        <v>3.724292061647328E-3</v>
      </c>
      <c r="W106" s="147">
        <v>8.647464492615764E-4</v>
      </c>
      <c r="X106" s="181"/>
    </row>
    <row r="107" spans="1:24" ht="15" x14ac:dyDescent="0.2">
      <c r="A107" s="142" t="s">
        <v>1205</v>
      </c>
      <c r="B107" s="143" t="s">
        <v>1205</v>
      </c>
      <c r="C107" s="143" t="s">
        <v>2632</v>
      </c>
      <c r="D107" s="143" t="s">
        <v>2633</v>
      </c>
      <c r="E107" s="143" t="s">
        <v>309</v>
      </c>
      <c r="F107" s="143" t="s">
        <v>2928</v>
      </c>
      <c r="G107" s="143" t="s">
        <v>2929</v>
      </c>
      <c r="H107" s="143" t="s">
        <v>321</v>
      </c>
      <c r="I107" s="143" t="s">
        <v>966</v>
      </c>
      <c r="J107" s="143" t="s">
        <v>204</v>
      </c>
      <c r="K107" s="143" t="s">
        <v>204</v>
      </c>
      <c r="L107" s="143" t="s">
        <v>340</v>
      </c>
      <c r="M107" s="143" t="s">
        <v>576</v>
      </c>
      <c r="N107" s="143" t="s">
        <v>339</v>
      </c>
      <c r="O107" s="143" t="s">
        <v>1210</v>
      </c>
      <c r="P107" s="144">
        <v>60025</v>
      </c>
      <c r="Q107" s="145" t="s">
        <v>3876</v>
      </c>
      <c r="R107" s="143" t="s">
        <v>2930</v>
      </c>
      <c r="S107" s="144" t="s">
        <v>3878</v>
      </c>
      <c r="T107" s="144">
        <v>2129.741</v>
      </c>
      <c r="U107" s="146">
        <v>4.2874999999999999E-4</v>
      </c>
      <c r="V107" s="146">
        <v>9.2248650849688085E-3</v>
      </c>
      <c r="W107" s="147">
        <v>2.1419290418419569E-3</v>
      </c>
      <c r="X107" s="181"/>
    </row>
    <row r="108" spans="1:24" ht="15" x14ac:dyDescent="0.2">
      <c r="A108" s="142" t="s">
        <v>1205</v>
      </c>
      <c r="B108" s="143" t="s">
        <v>1205</v>
      </c>
      <c r="C108" s="143" t="s">
        <v>2632</v>
      </c>
      <c r="D108" s="143" t="s">
        <v>2633</v>
      </c>
      <c r="E108" s="143" t="s">
        <v>309</v>
      </c>
      <c r="F108" s="143" t="s">
        <v>2931</v>
      </c>
      <c r="G108" s="143" t="s">
        <v>2932</v>
      </c>
      <c r="H108" s="143" t="s">
        <v>321</v>
      </c>
      <c r="I108" s="143" t="s">
        <v>966</v>
      </c>
      <c r="J108" s="143" t="s">
        <v>204</v>
      </c>
      <c r="K108" s="143" t="s">
        <v>204</v>
      </c>
      <c r="L108" s="143" t="s">
        <v>340</v>
      </c>
      <c r="M108" s="143" t="s">
        <v>573</v>
      </c>
      <c r="N108" s="143" t="s">
        <v>339</v>
      </c>
      <c r="O108" s="143" t="s">
        <v>1210</v>
      </c>
      <c r="P108" s="144">
        <v>33805.82</v>
      </c>
      <c r="Q108" s="145" t="s">
        <v>3876</v>
      </c>
      <c r="R108" s="143" t="s">
        <v>2933</v>
      </c>
      <c r="S108" s="144" t="s">
        <v>3878</v>
      </c>
      <c r="T108" s="144">
        <v>1218.8688</v>
      </c>
      <c r="U108" s="146">
        <v>4.2836322485554924E-4</v>
      </c>
      <c r="V108" s="146">
        <v>5.27946848344793E-3</v>
      </c>
      <c r="W108" s="147">
        <v>1.2258441468821406E-3</v>
      </c>
      <c r="X108" s="181"/>
    </row>
    <row r="109" spans="1:24" ht="15" x14ac:dyDescent="0.2">
      <c r="A109" s="142" t="s">
        <v>1205</v>
      </c>
      <c r="B109" s="143" t="s">
        <v>1205</v>
      </c>
      <c r="C109" s="143" t="s">
        <v>2637</v>
      </c>
      <c r="D109" s="143" t="s">
        <v>2638</v>
      </c>
      <c r="E109" s="143" t="s">
        <v>309</v>
      </c>
      <c r="F109" s="143" t="s">
        <v>2843</v>
      </c>
      <c r="G109" s="143" t="s">
        <v>2844</v>
      </c>
      <c r="H109" s="143" t="s">
        <v>321</v>
      </c>
      <c r="I109" s="143" t="s">
        <v>966</v>
      </c>
      <c r="J109" s="143" t="s">
        <v>204</v>
      </c>
      <c r="K109" s="143" t="s">
        <v>204</v>
      </c>
      <c r="L109" s="143" t="s">
        <v>340</v>
      </c>
      <c r="M109" s="143" t="s">
        <v>632</v>
      </c>
      <c r="N109" s="143" t="s">
        <v>339</v>
      </c>
      <c r="O109" s="143" t="s">
        <v>1210</v>
      </c>
      <c r="P109" s="144">
        <v>268473</v>
      </c>
      <c r="Q109" s="145" t="s">
        <v>3876</v>
      </c>
      <c r="R109" s="143" t="s">
        <v>2845</v>
      </c>
      <c r="S109" s="144" t="s">
        <v>3878</v>
      </c>
      <c r="T109" s="144">
        <v>1029.1376</v>
      </c>
      <c r="U109" s="146">
        <v>9.8362421195945671E-4</v>
      </c>
      <c r="V109" s="146">
        <v>4.4576570393444256E-3</v>
      </c>
      <c r="W109" s="147">
        <v>1.0350270690354865E-3</v>
      </c>
      <c r="X109" s="181"/>
    </row>
    <row r="110" spans="1:24" ht="15" x14ac:dyDescent="0.2">
      <c r="A110" s="142" t="s">
        <v>1205</v>
      </c>
      <c r="B110" s="143" t="s">
        <v>1205</v>
      </c>
      <c r="C110" s="143" t="s">
        <v>2637</v>
      </c>
      <c r="D110" s="143" t="s">
        <v>2638</v>
      </c>
      <c r="E110" s="143" t="s">
        <v>309</v>
      </c>
      <c r="F110" s="143" t="s">
        <v>2934</v>
      </c>
      <c r="G110" s="143" t="s">
        <v>2935</v>
      </c>
      <c r="H110" s="143" t="s">
        <v>321</v>
      </c>
      <c r="I110" s="143" t="s">
        <v>966</v>
      </c>
      <c r="J110" s="143" t="s">
        <v>204</v>
      </c>
      <c r="K110" s="143" t="s">
        <v>204</v>
      </c>
      <c r="L110" s="143" t="s">
        <v>340</v>
      </c>
      <c r="M110" s="143" t="s">
        <v>573</v>
      </c>
      <c r="N110" s="143" t="s">
        <v>339</v>
      </c>
      <c r="O110" s="143" t="s">
        <v>1210</v>
      </c>
      <c r="P110" s="144">
        <v>197150</v>
      </c>
      <c r="Q110" s="145" t="s">
        <v>3876</v>
      </c>
      <c r="R110" s="143" t="s">
        <v>2936</v>
      </c>
      <c r="S110" s="144" t="s">
        <v>3878</v>
      </c>
      <c r="T110" s="144">
        <v>718.76949999999999</v>
      </c>
      <c r="U110" s="146">
        <v>8.0864325490152757E-4</v>
      </c>
      <c r="V110" s="146">
        <v>3.1133134582538359E-3</v>
      </c>
      <c r="W110" s="147">
        <v>7.2288282280215648E-4</v>
      </c>
      <c r="X110" s="181"/>
    </row>
    <row r="111" spans="1:24" x14ac:dyDescent="0.2">
      <c r="A111" s="142" t="s">
        <v>1205</v>
      </c>
      <c r="B111" s="143" t="s">
        <v>1205</v>
      </c>
      <c r="C111" s="143" t="s">
        <v>2824</v>
      </c>
      <c r="D111" s="143" t="s">
        <v>2825</v>
      </c>
      <c r="E111" s="143" t="s">
        <v>313</v>
      </c>
      <c r="F111" s="143" t="s">
        <v>2824</v>
      </c>
      <c r="G111" s="143" t="s">
        <v>2826</v>
      </c>
      <c r="H111" s="143" t="s">
        <v>321</v>
      </c>
      <c r="I111" s="143" t="s">
        <v>967</v>
      </c>
      <c r="J111" s="143" t="s">
        <v>205</v>
      </c>
      <c r="K111" s="143" t="s">
        <v>224</v>
      </c>
      <c r="L111" s="143" t="s">
        <v>380</v>
      </c>
      <c r="M111" s="143" t="s">
        <v>592</v>
      </c>
      <c r="N111" s="143" t="s">
        <v>339</v>
      </c>
      <c r="O111" s="143" t="s">
        <v>1211</v>
      </c>
      <c r="P111" s="144">
        <v>800599</v>
      </c>
      <c r="Q111" s="143" t="s">
        <v>1212</v>
      </c>
      <c r="R111" s="143" t="s">
        <v>2827</v>
      </c>
      <c r="S111" s="144" t="s">
        <v>3878</v>
      </c>
      <c r="T111" s="144">
        <v>17256.1957</v>
      </c>
      <c r="U111" s="146">
        <v>2.6361508067171552E-3</v>
      </c>
      <c r="V111" s="146">
        <v>7.4744335399540229E-2</v>
      </c>
      <c r="W111" s="147">
        <v>1.7354948959233736E-2</v>
      </c>
      <c r="X111" s="181"/>
    </row>
    <row r="112" spans="1:24" x14ac:dyDescent="0.2">
      <c r="A112" s="142" t="s">
        <v>1205</v>
      </c>
      <c r="B112" s="143" t="s">
        <v>1205</v>
      </c>
      <c r="C112" s="143" t="s">
        <v>2836</v>
      </c>
      <c r="D112" s="143" t="s">
        <v>2837</v>
      </c>
      <c r="E112" s="143" t="s">
        <v>313</v>
      </c>
      <c r="F112" s="143" t="s">
        <v>2836</v>
      </c>
      <c r="G112" s="143" t="s">
        <v>2838</v>
      </c>
      <c r="H112" s="143" t="s">
        <v>321</v>
      </c>
      <c r="I112" s="143" t="s">
        <v>967</v>
      </c>
      <c r="J112" s="143" t="s">
        <v>205</v>
      </c>
      <c r="K112" s="143" t="s">
        <v>233</v>
      </c>
      <c r="L112" s="143" t="s">
        <v>380</v>
      </c>
      <c r="M112" s="143" t="s">
        <v>677</v>
      </c>
      <c r="N112" s="143" t="s">
        <v>339</v>
      </c>
      <c r="O112" s="143" t="s">
        <v>1211</v>
      </c>
      <c r="P112" s="144">
        <v>13915</v>
      </c>
      <c r="Q112" s="143" t="s">
        <v>1212</v>
      </c>
      <c r="R112" s="143" t="s">
        <v>2839</v>
      </c>
      <c r="S112" s="144" t="s">
        <v>3878</v>
      </c>
      <c r="T112" s="144">
        <v>4806.9660000000003</v>
      </c>
      <c r="U112" s="146">
        <v>4.3517012759569678E-4</v>
      </c>
      <c r="V112" s="146">
        <v>2.0821128994862808E-2</v>
      </c>
      <c r="W112" s="147">
        <v>4.8344751351108864E-3</v>
      </c>
      <c r="X112" s="181"/>
    </row>
    <row r="113" spans="1:24" x14ac:dyDescent="0.2">
      <c r="A113" s="142" t="s">
        <v>1205</v>
      </c>
      <c r="B113" s="143" t="s">
        <v>1205</v>
      </c>
      <c r="C113" s="143" t="s">
        <v>2828</v>
      </c>
      <c r="D113" s="143" t="s">
        <v>2829</v>
      </c>
      <c r="E113" s="143" t="s">
        <v>313</v>
      </c>
      <c r="F113" s="143" t="s">
        <v>2828</v>
      </c>
      <c r="G113" s="143" t="s">
        <v>2830</v>
      </c>
      <c r="H113" s="143" t="s">
        <v>321</v>
      </c>
      <c r="I113" s="143" t="s">
        <v>967</v>
      </c>
      <c r="J113" s="143" t="s">
        <v>205</v>
      </c>
      <c r="K113" s="143" t="s">
        <v>224</v>
      </c>
      <c r="L113" s="143" t="s">
        <v>314</v>
      </c>
      <c r="M113" s="143" t="s">
        <v>677</v>
      </c>
      <c r="N113" s="143" t="s">
        <v>339</v>
      </c>
      <c r="O113" s="143" t="s">
        <v>1211</v>
      </c>
      <c r="P113" s="144">
        <v>11411</v>
      </c>
      <c r="Q113" s="143" t="s">
        <v>1212</v>
      </c>
      <c r="R113" s="143" t="s">
        <v>2831</v>
      </c>
      <c r="S113" s="144" t="s">
        <v>3878</v>
      </c>
      <c r="T113" s="144">
        <v>4005.0079999999998</v>
      </c>
      <c r="U113" s="146">
        <v>7.5474568423837551E-4</v>
      </c>
      <c r="V113" s="146">
        <v>1.7347488845427243E-2</v>
      </c>
      <c r="W113" s="147">
        <v>4.0279277603305613E-3</v>
      </c>
      <c r="X113" s="181"/>
    </row>
    <row r="114" spans="1:24" x14ac:dyDescent="0.2">
      <c r="A114" s="142" t="s">
        <v>1205</v>
      </c>
      <c r="B114" s="143" t="s">
        <v>1205</v>
      </c>
      <c r="C114" s="143" t="s">
        <v>2832</v>
      </c>
      <c r="D114" s="143" t="s">
        <v>2833</v>
      </c>
      <c r="E114" s="143" t="s">
        <v>313</v>
      </c>
      <c r="F114" s="143" t="s">
        <v>2832</v>
      </c>
      <c r="G114" s="143" t="s">
        <v>2834</v>
      </c>
      <c r="H114" s="143" t="s">
        <v>321</v>
      </c>
      <c r="I114" s="143" t="s">
        <v>967</v>
      </c>
      <c r="J114" s="143" t="s">
        <v>205</v>
      </c>
      <c r="K114" s="143" t="s">
        <v>224</v>
      </c>
      <c r="L114" s="143" t="s">
        <v>314</v>
      </c>
      <c r="M114" s="143" t="s">
        <v>677</v>
      </c>
      <c r="N114" s="143" t="s">
        <v>339</v>
      </c>
      <c r="O114" s="143" t="s">
        <v>1211</v>
      </c>
      <c r="P114" s="144">
        <v>23067</v>
      </c>
      <c r="Q114" s="143" t="s">
        <v>1212</v>
      </c>
      <c r="R114" s="143" t="s">
        <v>2835</v>
      </c>
      <c r="S114" s="144" t="s">
        <v>3878</v>
      </c>
      <c r="T114" s="144">
        <v>1823.4872</v>
      </c>
      <c r="U114" s="146">
        <v>4.1191071428571431E-3</v>
      </c>
      <c r="V114" s="146">
        <v>7.8983421124683584E-3</v>
      </c>
      <c r="W114" s="147">
        <v>1.8339225774331779E-3</v>
      </c>
      <c r="X114" s="181"/>
    </row>
    <row r="115" spans="1:24" ht="15" x14ac:dyDescent="0.2">
      <c r="A115" s="142" t="s">
        <v>1220</v>
      </c>
      <c r="B115" s="143" t="s">
        <v>1221</v>
      </c>
      <c r="C115" s="143" t="s">
        <v>2632</v>
      </c>
      <c r="D115" s="143" t="s">
        <v>2633</v>
      </c>
      <c r="E115" s="143" t="s">
        <v>309</v>
      </c>
      <c r="F115" s="143" t="s">
        <v>2634</v>
      </c>
      <c r="G115" s="143" t="s">
        <v>2635</v>
      </c>
      <c r="H115" s="143" t="s">
        <v>321</v>
      </c>
      <c r="I115" s="143" t="s">
        <v>964</v>
      </c>
      <c r="J115" s="143" t="s">
        <v>204</v>
      </c>
      <c r="K115" s="143" t="s">
        <v>204</v>
      </c>
      <c r="L115" s="143" t="s">
        <v>340</v>
      </c>
      <c r="M115" s="143" t="s">
        <v>572</v>
      </c>
      <c r="N115" s="143" t="s">
        <v>339</v>
      </c>
      <c r="O115" s="143" t="s">
        <v>1210</v>
      </c>
      <c r="P115" s="144">
        <v>211423</v>
      </c>
      <c r="Q115" s="145" t="s">
        <v>3876</v>
      </c>
      <c r="R115" s="143" t="s">
        <v>2636</v>
      </c>
      <c r="S115" s="144" t="s">
        <v>3878</v>
      </c>
      <c r="T115" s="144">
        <v>40424.077600000004</v>
      </c>
      <c r="U115" s="146">
        <v>0.10067761904761904</v>
      </c>
      <c r="V115" s="146">
        <v>6.0259300617035258E-2</v>
      </c>
      <c r="W115" s="147">
        <v>3.6805165800718818E-2</v>
      </c>
      <c r="X115" s="181"/>
    </row>
    <row r="116" spans="1:24" ht="15" x14ac:dyDescent="0.2">
      <c r="A116" s="142" t="s">
        <v>1220</v>
      </c>
      <c r="B116" s="143" t="s">
        <v>1221</v>
      </c>
      <c r="C116" s="143" t="s">
        <v>2641</v>
      </c>
      <c r="D116" s="143" t="s">
        <v>2642</v>
      </c>
      <c r="E116" s="143" t="s">
        <v>309</v>
      </c>
      <c r="F116" s="143" t="s">
        <v>2643</v>
      </c>
      <c r="G116" s="143" t="s">
        <v>2644</v>
      </c>
      <c r="H116" s="143" t="s">
        <v>321</v>
      </c>
      <c r="I116" s="143" t="s">
        <v>964</v>
      </c>
      <c r="J116" s="143" t="s">
        <v>204</v>
      </c>
      <c r="K116" s="143" t="s">
        <v>204</v>
      </c>
      <c r="L116" s="143" t="s">
        <v>340</v>
      </c>
      <c r="M116" s="143" t="s">
        <v>572</v>
      </c>
      <c r="N116" s="143" t="s">
        <v>339</v>
      </c>
      <c r="O116" s="143" t="s">
        <v>1210</v>
      </c>
      <c r="P116" s="144">
        <v>2054221</v>
      </c>
      <c r="Q116" s="145" t="s">
        <v>3876</v>
      </c>
      <c r="R116" s="143" t="s">
        <v>2645</v>
      </c>
      <c r="S116" s="144" t="s">
        <v>3878</v>
      </c>
      <c r="T116" s="144">
        <v>39276.705499999996</v>
      </c>
      <c r="U116" s="146">
        <v>0.10069789763056965</v>
      </c>
      <c r="V116" s="146">
        <v>5.8548937803752088E-2</v>
      </c>
      <c r="W116" s="147">
        <v>3.5760510680634752E-2</v>
      </c>
      <c r="X116" s="181"/>
    </row>
    <row r="117" spans="1:24" ht="15" x14ac:dyDescent="0.2">
      <c r="A117" s="142" t="s">
        <v>1220</v>
      </c>
      <c r="B117" s="143" t="s">
        <v>1221</v>
      </c>
      <c r="C117" s="143" t="s">
        <v>2637</v>
      </c>
      <c r="D117" s="143" t="s">
        <v>2638</v>
      </c>
      <c r="E117" s="143" t="s">
        <v>309</v>
      </c>
      <c r="F117" s="143" t="s">
        <v>2639</v>
      </c>
      <c r="G117" s="143" t="s">
        <v>2640</v>
      </c>
      <c r="H117" s="143" t="s">
        <v>321</v>
      </c>
      <c r="I117" s="143" t="s">
        <v>964</v>
      </c>
      <c r="J117" s="143" t="s">
        <v>204</v>
      </c>
      <c r="K117" s="143" t="s">
        <v>204</v>
      </c>
      <c r="L117" s="143" t="s">
        <v>340</v>
      </c>
      <c r="M117" s="143" t="s">
        <v>572</v>
      </c>
      <c r="N117" s="143" t="s">
        <v>339</v>
      </c>
      <c r="O117" s="143" t="s">
        <v>1210</v>
      </c>
      <c r="P117" s="144">
        <v>1736278</v>
      </c>
      <c r="Q117" s="145" t="s">
        <v>3876</v>
      </c>
      <c r="R117" s="143" t="s">
        <v>2118</v>
      </c>
      <c r="S117" s="144" t="s">
        <v>3878</v>
      </c>
      <c r="T117" s="144">
        <v>33336.537600000003</v>
      </c>
      <c r="U117" s="146">
        <v>9.1383052631578948E-2</v>
      </c>
      <c r="V117" s="146">
        <v>4.9694057602182588E-2</v>
      </c>
      <c r="W117" s="147">
        <v>3.0352128395624716E-2</v>
      </c>
      <c r="X117" s="181"/>
    </row>
    <row r="118" spans="1:24" ht="15" x14ac:dyDescent="0.2">
      <c r="A118" s="142" t="s">
        <v>1220</v>
      </c>
      <c r="B118" s="143" t="s">
        <v>1221</v>
      </c>
      <c r="C118" s="143" t="s">
        <v>2646</v>
      </c>
      <c r="D118" s="143" t="s">
        <v>2647</v>
      </c>
      <c r="E118" s="143" t="s">
        <v>309</v>
      </c>
      <c r="F118" s="143" t="s">
        <v>2648</v>
      </c>
      <c r="G118" s="143" t="s">
        <v>2649</v>
      </c>
      <c r="H118" s="143" t="s">
        <v>321</v>
      </c>
      <c r="I118" s="143" t="s">
        <v>964</v>
      </c>
      <c r="J118" s="143" t="s">
        <v>204</v>
      </c>
      <c r="K118" s="143" t="s">
        <v>204</v>
      </c>
      <c r="L118" s="143" t="s">
        <v>340</v>
      </c>
      <c r="M118" s="143" t="s">
        <v>572</v>
      </c>
      <c r="N118" s="143" t="s">
        <v>339</v>
      </c>
      <c r="O118" s="143" t="s">
        <v>1210</v>
      </c>
      <c r="P118" s="144">
        <v>225791</v>
      </c>
      <c r="Q118" s="145" t="s">
        <v>3876</v>
      </c>
      <c r="R118" s="143" t="s">
        <v>2650</v>
      </c>
      <c r="S118" s="144" t="s">
        <v>3878</v>
      </c>
      <c r="T118" s="144">
        <v>6782.7615999999998</v>
      </c>
      <c r="U118" s="146">
        <v>2.5087888888888889E-2</v>
      </c>
      <c r="V118" s="146">
        <v>1.011091648702097E-2</v>
      </c>
      <c r="W118" s="147">
        <v>6.1755439225397559E-3</v>
      </c>
      <c r="X118" s="181"/>
    </row>
    <row r="119" spans="1:24" ht="15" x14ac:dyDescent="0.2">
      <c r="A119" s="142" t="s">
        <v>1220</v>
      </c>
      <c r="B119" s="143" t="s">
        <v>1221</v>
      </c>
      <c r="C119" s="143" t="s">
        <v>2632</v>
      </c>
      <c r="D119" s="143" t="s">
        <v>2633</v>
      </c>
      <c r="E119" s="143" t="s">
        <v>309</v>
      </c>
      <c r="F119" s="143" t="s">
        <v>2937</v>
      </c>
      <c r="G119" s="143" t="s">
        <v>2938</v>
      </c>
      <c r="H119" s="143" t="s">
        <v>321</v>
      </c>
      <c r="I119" s="143" t="s">
        <v>965</v>
      </c>
      <c r="J119" s="143" t="s">
        <v>204</v>
      </c>
      <c r="K119" s="143" t="s">
        <v>224</v>
      </c>
      <c r="L119" s="143" t="s">
        <v>340</v>
      </c>
      <c r="M119" s="143" t="s">
        <v>611</v>
      </c>
      <c r="N119" s="143" t="s">
        <v>339</v>
      </c>
      <c r="O119" s="143" t="s">
        <v>1210</v>
      </c>
      <c r="P119" s="144">
        <v>116274</v>
      </c>
      <c r="Q119" s="145" t="s">
        <v>3876</v>
      </c>
      <c r="R119" s="143" t="s">
        <v>2939</v>
      </c>
      <c r="S119" s="144" t="s">
        <v>3878</v>
      </c>
      <c r="T119" s="144">
        <v>10401.871999999999</v>
      </c>
      <c r="U119" s="146">
        <v>6.7674707886035221E-3</v>
      </c>
      <c r="V119" s="146">
        <v>1.5505846303795284E-2</v>
      </c>
      <c r="W119" s="147">
        <v>9.4706582759494142E-3</v>
      </c>
      <c r="X119" s="181"/>
    </row>
    <row r="120" spans="1:24" ht="15" x14ac:dyDescent="0.2">
      <c r="A120" s="142" t="s">
        <v>1220</v>
      </c>
      <c r="B120" s="143" t="s">
        <v>1221</v>
      </c>
      <c r="C120" s="143" t="s">
        <v>2637</v>
      </c>
      <c r="D120" s="143" t="s">
        <v>2638</v>
      </c>
      <c r="E120" s="143" t="s">
        <v>309</v>
      </c>
      <c r="F120" s="143" t="s">
        <v>2940</v>
      </c>
      <c r="G120" s="143" t="s">
        <v>2941</v>
      </c>
      <c r="H120" s="143" t="s">
        <v>321</v>
      </c>
      <c r="I120" s="143" t="s">
        <v>965</v>
      </c>
      <c r="J120" s="143" t="s">
        <v>204</v>
      </c>
      <c r="K120" s="143" t="s">
        <v>224</v>
      </c>
      <c r="L120" s="143" t="s">
        <v>340</v>
      </c>
      <c r="M120" s="143" t="s">
        <v>597</v>
      </c>
      <c r="N120" s="143" t="s">
        <v>339</v>
      </c>
      <c r="O120" s="143" t="s">
        <v>1210</v>
      </c>
      <c r="P120" s="144">
        <v>106189</v>
      </c>
      <c r="Q120" s="145" t="s">
        <v>3876</v>
      </c>
      <c r="R120" s="143" t="s">
        <v>2942</v>
      </c>
      <c r="S120" s="144" t="s">
        <v>3878</v>
      </c>
      <c r="T120" s="144">
        <v>8380.4359000000004</v>
      </c>
      <c r="U120" s="146">
        <v>1.0704847184120337E-3</v>
      </c>
      <c r="V120" s="146">
        <v>1.2492535018157308E-2</v>
      </c>
      <c r="W120" s="147">
        <v>7.6301885004716333E-3</v>
      </c>
      <c r="X120" s="181"/>
    </row>
    <row r="121" spans="1:24" ht="15" x14ac:dyDescent="0.2">
      <c r="A121" s="142" t="s">
        <v>1220</v>
      </c>
      <c r="B121" s="143" t="s">
        <v>1221</v>
      </c>
      <c r="C121" s="143" t="s">
        <v>2637</v>
      </c>
      <c r="D121" s="143" t="s">
        <v>2638</v>
      </c>
      <c r="E121" s="143" t="s">
        <v>309</v>
      </c>
      <c r="F121" s="143" t="s">
        <v>2943</v>
      </c>
      <c r="G121" s="143" t="s">
        <v>2944</v>
      </c>
      <c r="H121" s="143" t="s">
        <v>321</v>
      </c>
      <c r="I121" s="143" t="s">
        <v>965</v>
      </c>
      <c r="J121" s="143" t="s">
        <v>204</v>
      </c>
      <c r="K121" s="143" t="s">
        <v>224</v>
      </c>
      <c r="L121" s="143" t="s">
        <v>340</v>
      </c>
      <c r="M121" s="143" t="s">
        <v>604</v>
      </c>
      <c r="N121" s="143" t="s">
        <v>339</v>
      </c>
      <c r="O121" s="143" t="s">
        <v>1210</v>
      </c>
      <c r="P121" s="144">
        <v>48542</v>
      </c>
      <c r="Q121" s="145" t="s">
        <v>3876</v>
      </c>
      <c r="R121" s="143" t="s">
        <v>2945</v>
      </c>
      <c r="S121" s="144" t="s">
        <v>3878</v>
      </c>
      <c r="T121" s="144">
        <v>1157.7266999999999</v>
      </c>
      <c r="U121" s="146">
        <v>1.2815093067600403E-4</v>
      </c>
      <c r="V121" s="146">
        <v>1.7257982219900595E-3</v>
      </c>
      <c r="W121" s="147">
        <v>1.0540827564960705E-3</v>
      </c>
      <c r="X121" s="181"/>
    </row>
    <row r="122" spans="1:24" ht="15" x14ac:dyDescent="0.2">
      <c r="A122" s="142" t="s">
        <v>1220</v>
      </c>
      <c r="B122" s="143" t="s">
        <v>1221</v>
      </c>
      <c r="C122" s="143" t="s">
        <v>2632</v>
      </c>
      <c r="D122" s="143" t="s">
        <v>2633</v>
      </c>
      <c r="E122" s="143" t="s">
        <v>309</v>
      </c>
      <c r="F122" s="143" t="s">
        <v>2946</v>
      </c>
      <c r="G122" s="143" t="s">
        <v>2947</v>
      </c>
      <c r="H122" s="143" t="s">
        <v>321</v>
      </c>
      <c r="I122" s="143" t="s">
        <v>965</v>
      </c>
      <c r="J122" s="143" t="s">
        <v>204</v>
      </c>
      <c r="K122" s="143" t="s">
        <v>238</v>
      </c>
      <c r="L122" s="143" t="s">
        <v>340</v>
      </c>
      <c r="M122" s="143" t="s">
        <v>581</v>
      </c>
      <c r="N122" s="143" t="s">
        <v>339</v>
      </c>
      <c r="O122" s="143" t="s">
        <v>1210</v>
      </c>
      <c r="P122" s="144">
        <v>15393</v>
      </c>
      <c r="Q122" s="145" t="s">
        <v>3876</v>
      </c>
      <c r="R122" s="143" t="s">
        <v>2948</v>
      </c>
      <c r="S122" s="144" t="s">
        <v>3878</v>
      </c>
      <c r="T122" s="144">
        <v>984.38240000000008</v>
      </c>
      <c r="U122" s="146">
        <v>1.0901449213573716E-3</v>
      </c>
      <c r="V122" s="146">
        <v>1.4673975381136121E-3</v>
      </c>
      <c r="W122" s="147">
        <v>8.9625682895115024E-4</v>
      </c>
      <c r="X122" s="181"/>
    </row>
    <row r="123" spans="1:24" ht="15" x14ac:dyDescent="0.2">
      <c r="A123" s="142" t="s">
        <v>1220</v>
      </c>
      <c r="B123" s="143" t="s">
        <v>1221</v>
      </c>
      <c r="C123" s="143" t="s">
        <v>2632</v>
      </c>
      <c r="D123" s="143" t="s">
        <v>2633</v>
      </c>
      <c r="E123" s="143" t="s">
        <v>309</v>
      </c>
      <c r="F123" s="143" t="s">
        <v>2949</v>
      </c>
      <c r="G123" s="143" t="s">
        <v>2950</v>
      </c>
      <c r="H123" s="143" t="s">
        <v>321</v>
      </c>
      <c r="I123" s="143" t="s">
        <v>965</v>
      </c>
      <c r="J123" s="143" t="s">
        <v>204</v>
      </c>
      <c r="K123" s="143" t="s">
        <v>232</v>
      </c>
      <c r="L123" s="143" t="s">
        <v>340</v>
      </c>
      <c r="M123" s="143" t="s">
        <v>591</v>
      </c>
      <c r="N123" s="143" t="s">
        <v>339</v>
      </c>
      <c r="O123" s="143" t="s">
        <v>1210</v>
      </c>
      <c r="P123" s="144">
        <v>8141</v>
      </c>
      <c r="Q123" s="145" t="s">
        <v>3876</v>
      </c>
      <c r="R123" s="143" t="s">
        <v>2951</v>
      </c>
      <c r="S123" s="144" t="s">
        <v>3878</v>
      </c>
      <c r="T123" s="144">
        <v>581.18600000000004</v>
      </c>
      <c r="U123" s="146">
        <v>1.0743470316428919E-3</v>
      </c>
      <c r="V123" s="146">
        <v>8.6636142034863021E-4</v>
      </c>
      <c r="W123" s="147">
        <v>5.2915608699021768E-4</v>
      </c>
      <c r="X123" s="181"/>
    </row>
    <row r="124" spans="1:24" x14ac:dyDescent="0.2">
      <c r="A124" s="142" t="s">
        <v>1220</v>
      </c>
      <c r="B124" s="143" t="s">
        <v>1221</v>
      </c>
      <c r="C124" s="143" t="s">
        <v>2651</v>
      </c>
      <c r="D124" s="143" t="s">
        <v>2652</v>
      </c>
      <c r="E124" s="143" t="s">
        <v>313</v>
      </c>
      <c r="F124" s="143" t="s">
        <v>2653</v>
      </c>
      <c r="G124" s="143" t="s">
        <v>2654</v>
      </c>
      <c r="H124" s="143" t="s">
        <v>321</v>
      </c>
      <c r="I124" s="143" t="s">
        <v>965</v>
      </c>
      <c r="J124" s="143" t="s">
        <v>205</v>
      </c>
      <c r="K124" s="143" t="s">
        <v>224</v>
      </c>
      <c r="L124" s="143" t="s">
        <v>344</v>
      </c>
      <c r="M124" s="143" t="s">
        <v>604</v>
      </c>
      <c r="N124" s="143" t="s">
        <v>339</v>
      </c>
      <c r="O124" s="143" t="s">
        <v>1211</v>
      </c>
      <c r="P124" s="144">
        <v>41950</v>
      </c>
      <c r="Q124" s="143" t="s">
        <v>1212</v>
      </c>
      <c r="R124" s="143" t="s">
        <v>2655</v>
      </c>
      <c r="S124" s="144">
        <v>73.790890000000005</v>
      </c>
      <c r="T124" s="144">
        <v>86095.459000000003</v>
      </c>
      <c r="U124" s="146">
        <v>4.4488892094021624E-5</v>
      </c>
      <c r="V124" s="146">
        <v>0.12845064227384767</v>
      </c>
      <c r="W124" s="147">
        <v>7.8455062333751727E-2</v>
      </c>
      <c r="X124" s="181"/>
    </row>
    <row r="125" spans="1:24" x14ac:dyDescent="0.2">
      <c r="A125" s="142" t="s">
        <v>1220</v>
      </c>
      <c r="B125" s="143" t="s">
        <v>1221</v>
      </c>
      <c r="C125" s="143" t="s">
        <v>2661</v>
      </c>
      <c r="D125" s="143" t="s">
        <v>2662</v>
      </c>
      <c r="E125" s="143" t="s">
        <v>313</v>
      </c>
      <c r="F125" s="143" t="s">
        <v>2661</v>
      </c>
      <c r="G125" s="143" t="s">
        <v>2663</v>
      </c>
      <c r="H125" s="143" t="s">
        <v>321</v>
      </c>
      <c r="I125" s="143" t="s">
        <v>965</v>
      </c>
      <c r="J125" s="143" t="s">
        <v>205</v>
      </c>
      <c r="K125" s="143" t="s">
        <v>224</v>
      </c>
      <c r="L125" s="143" t="s">
        <v>344</v>
      </c>
      <c r="M125" s="143" t="s">
        <v>604</v>
      </c>
      <c r="N125" s="143" t="s">
        <v>339</v>
      </c>
      <c r="O125" s="143" t="s">
        <v>1211</v>
      </c>
      <c r="P125" s="144">
        <v>36744</v>
      </c>
      <c r="Q125" s="143" t="s">
        <v>1212</v>
      </c>
      <c r="R125" s="143" t="s">
        <v>2664</v>
      </c>
      <c r="S125" s="144">
        <v>65.532920000000004</v>
      </c>
      <c r="T125" s="144">
        <v>69324.641900000002</v>
      </c>
      <c r="U125" s="146">
        <v>4.922341568494013E-5</v>
      </c>
      <c r="V125" s="146">
        <v>0.10343843706064285</v>
      </c>
      <c r="W125" s="147">
        <v>6.317811171389405E-2</v>
      </c>
      <c r="X125" s="181"/>
    </row>
    <row r="126" spans="1:24" x14ac:dyDescent="0.2">
      <c r="A126" s="142" t="s">
        <v>1220</v>
      </c>
      <c r="B126" s="143" t="s">
        <v>1221</v>
      </c>
      <c r="C126" s="143" t="s">
        <v>2656</v>
      </c>
      <c r="D126" s="143" t="s">
        <v>2657</v>
      </c>
      <c r="E126" s="143" t="s">
        <v>313</v>
      </c>
      <c r="F126" s="143" t="s">
        <v>2658</v>
      </c>
      <c r="G126" s="143" t="s">
        <v>2659</v>
      </c>
      <c r="H126" s="143" t="s">
        <v>321</v>
      </c>
      <c r="I126" s="143" t="s">
        <v>965</v>
      </c>
      <c r="J126" s="143" t="s">
        <v>205</v>
      </c>
      <c r="K126" s="143" t="s">
        <v>224</v>
      </c>
      <c r="L126" s="143" t="s">
        <v>344</v>
      </c>
      <c r="M126" s="143" t="s">
        <v>597</v>
      </c>
      <c r="N126" s="143" t="s">
        <v>339</v>
      </c>
      <c r="O126" s="143" t="s">
        <v>1211</v>
      </c>
      <c r="P126" s="144">
        <v>32117</v>
      </c>
      <c r="Q126" s="143" t="s">
        <v>1212</v>
      </c>
      <c r="R126" s="143" t="s">
        <v>2660</v>
      </c>
      <c r="S126" s="144">
        <v>24.457099999999997</v>
      </c>
      <c r="T126" s="144">
        <v>57933.831899999997</v>
      </c>
      <c r="U126" s="146">
        <v>5.9437401684093641E-5</v>
      </c>
      <c r="V126" s="146">
        <v>8.6397171426434313E-2</v>
      </c>
      <c r="W126" s="147">
        <v>5.2769650269789178E-2</v>
      </c>
      <c r="X126" s="181"/>
    </row>
    <row r="127" spans="1:24" x14ac:dyDescent="0.2">
      <c r="A127" s="142" t="s">
        <v>1220</v>
      </c>
      <c r="B127" s="143" t="s">
        <v>1221</v>
      </c>
      <c r="C127" s="143" t="s">
        <v>2669</v>
      </c>
      <c r="D127" s="143" t="s">
        <v>2670</v>
      </c>
      <c r="E127" s="143" t="s">
        <v>313</v>
      </c>
      <c r="F127" s="143" t="s">
        <v>2671</v>
      </c>
      <c r="G127" s="143" t="s">
        <v>2672</v>
      </c>
      <c r="H127" s="143" t="s">
        <v>321</v>
      </c>
      <c r="I127" s="143" t="s">
        <v>965</v>
      </c>
      <c r="J127" s="143" t="s">
        <v>205</v>
      </c>
      <c r="K127" s="143" t="s">
        <v>224</v>
      </c>
      <c r="L127" s="143" t="s">
        <v>344</v>
      </c>
      <c r="M127" s="143" t="s">
        <v>604</v>
      </c>
      <c r="N127" s="143" t="s">
        <v>339</v>
      </c>
      <c r="O127" s="143" t="s">
        <v>1211</v>
      </c>
      <c r="P127" s="144">
        <v>19251</v>
      </c>
      <c r="Q127" s="143" t="s">
        <v>1212</v>
      </c>
      <c r="R127" s="143" t="s">
        <v>2673</v>
      </c>
      <c r="S127" s="144">
        <v>12.7715</v>
      </c>
      <c r="T127" s="144">
        <v>11936.0496</v>
      </c>
      <c r="U127" s="146">
        <v>8.3593509138358532E-5</v>
      </c>
      <c r="V127" s="146">
        <v>1.7811849913604315E-2</v>
      </c>
      <c r="W127" s="147">
        <v>1.0879118784568128E-2</v>
      </c>
      <c r="X127" s="181"/>
    </row>
    <row r="128" spans="1:24" x14ac:dyDescent="0.2">
      <c r="A128" s="142" t="s">
        <v>1220</v>
      </c>
      <c r="B128" s="143" t="s">
        <v>1221</v>
      </c>
      <c r="C128" s="143" t="s">
        <v>2674</v>
      </c>
      <c r="D128" s="143" t="s">
        <v>2675</v>
      </c>
      <c r="E128" s="143" t="s">
        <v>313</v>
      </c>
      <c r="F128" s="143" t="s">
        <v>2674</v>
      </c>
      <c r="G128" s="143" t="s">
        <v>2676</v>
      </c>
      <c r="H128" s="143" t="s">
        <v>321</v>
      </c>
      <c r="I128" s="143" t="s">
        <v>965</v>
      </c>
      <c r="J128" s="143" t="s">
        <v>205</v>
      </c>
      <c r="K128" s="143" t="s">
        <v>224</v>
      </c>
      <c r="L128" s="143" t="s">
        <v>344</v>
      </c>
      <c r="M128" s="143" t="s">
        <v>586</v>
      </c>
      <c r="N128" s="143" t="s">
        <v>339</v>
      </c>
      <c r="O128" s="143" t="s">
        <v>1211</v>
      </c>
      <c r="P128" s="144">
        <v>76454</v>
      </c>
      <c r="Q128" s="143" t="s">
        <v>1212</v>
      </c>
      <c r="R128" s="143" t="s">
        <v>2677</v>
      </c>
      <c r="S128" s="144" t="s">
        <v>3878</v>
      </c>
      <c r="T128" s="144">
        <v>11814.627</v>
      </c>
      <c r="U128" s="146">
        <v>8.2488441972498097E-5</v>
      </c>
      <c r="V128" s="146">
        <v>1.7611809638329697E-2</v>
      </c>
      <c r="W128" s="147">
        <v>1.0756938217868647E-2</v>
      </c>
      <c r="X128" s="181"/>
    </row>
    <row r="129" spans="1:24" x14ac:dyDescent="0.2">
      <c r="A129" s="142" t="s">
        <v>1220</v>
      </c>
      <c r="B129" s="143" t="s">
        <v>1221</v>
      </c>
      <c r="C129" s="143" t="s">
        <v>2682</v>
      </c>
      <c r="D129" s="143" t="s">
        <v>2683</v>
      </c>
      <c r="E129" s="143" t="s">
        <v>313</v>
      </c>
      <c r="F129" s="143" t="s">
        <v>2682</v>
      </c>
      <c r="G129" s="143" t="s">
        <v>2684</v>
      </c>
      <c r="H129" s="143" t="s">
        <v>321</v>
      </c>
      <c r="I129" s="143" t="s">
        <v>965</v>
      </c>
      <c r="J129" s="143" t="s">
        <v>205</v>
      </c>
      <c r="K129" s="143" t="s">
        <v>224</v>
      </c>
      <c r="L129" s="143" t="s">
        <v>344</v>
      </c>
      <c r="M129" s="143" t="s">
        <v>596</v>
      </c>
      <c r="N129" s="143" t="s">
        <v>339</v>
      </c>
      <c r="O129" s="143" t="s">
        <v>1211</v>
      </c>
      <c r="P129" s="144">
        <v>102099</v>
      </c>
      <c r="Q129" s="143" t="s">
        <v>1212</v>
      </c>
      <c r="R129" s="143" t="s">
        <v>2685</v>
      </c>
      <c r="S129" s="144" t="s">
        <v>3878</v>
      </c>
      <c r="T129" s="144">
        <v>11755.492</v>
      </c>
      <c r="U129" s="146">
        <v>8.7189581554227155E-4</v>
      </c>
      <c r="V129" s="146">
        <v>1.7523658411536289E-2</v>
      </c>
      <c r="W129" s="147">
        <v>1.0703097225947956E-2</v>
      </c>
      <c r="X129" s="181"/>
    </row>
    <row r="130" spans="1:24" x14ac:dyDescent="0.2">
      <c r="A130" s="142" t="s">
        <v>1220</v>
      </c>
      <c r="B130" s="143" t="s">
        <v>1221</v>
      </c>
      <c r="C130" s="143" t="s">
        <v>2690</v>
      </c>
      <c r="D130" s="143" t="s">
        <v>2691</v>
      </c>
      <c r="E130" s="143" t="s">
        <v>313</v>
      </c>
      <c r="F130" s="143" t="s">
        <v>2692</v>
      </c>
      <c r="G130" s="143" t="s">
        <v>2693</v>
      </c>
      <c r="H130" s="143" t="s">
        <v>321</v>
      </c>
      <c r="I130" s="143" t="s">
        <v>965</v>
      </c>
      <c r="J130" s="143" t="s">
        <v>205</v>
      </c>
      <c r="K130" s="143" t="s">
        <v>224</v>
      </c>
      <c r="L130" s="143" t="s">
        <v>344</v>
      </c>
      <c r="M130" s="143" t="s">
        <v>583</v>
      </c>
      <c r="N130" s="143" t="s">
        <v>339</v>
      </c>
      <c r="O130" s="143" t="s">
        <v>1211</v>
      </c>
      <c r="P130" s="144">
        <v>18114</v>
      </c>
      <c r="Q130" s="143" t="s">
        <v>1212</v>
      </c>
      <c r="R130" s="143" t="s">
        <v>2694</v>
      </c>
      <c r="S130" s="144" t="s">
        <v>3878</v>
      </c>
      <c r="T130" s="144">
        <v>8298.1923999999999</v>
      </c>
      <c r="U130" s="146">
        <v>1.3161757226105533E-4</v>
      </c>
      <c r="V130" s="146">
        <v>1.2369936441734317E-2</v>
      </c>
      <c r="W130" s="147">
        <v>7.5553077619636153E-3</v>
      </c>
      <c r="X130" s="181"/>
    </row>
    <row r="131" spans="1:24" x14ac:dyDescent="0.2">
      <c r="A131" s="142" t="s">
        <v>1220</v>
      </c>
      <c r="B131" s="143" t="s">
        <v>1221</v>
      </c>
      <c r="C131" s="143" t="s">
        <v>2665</v>
      </c>
      <c r="D131" s="143" t="s">
        <v>2666</v>
      </c>
      <c r="E131" s="143" t="s">
        <v>313</v>
      </c>
      <c r="F131" s="143" t="s">
        <v>2665</v>
      </c>
      <c r="G131" s="143" t="s">
        <v>2667</v>
      </c>
      <c r="H131" s="143" t="s">
        <v>321</v>
      </c>
      <c r="I131" s="143" t="s">
        <v>965</v>
      </c>
      <c r="J131" s="143" t="s">
        <v>205</v>
      </c>
      <c r="K131" s="143" t="s">
        <v>224</v>
      </c>
      <c r="L131" s="143" t="s">
        <v>344</v>
      </c>
      <c r="M131" s="143" t="s">
        <v>611</v>
      </c>
      <c r="N131" s="143" t="s">
        <v>339</v>
      </c>
      <c r="O131" s="143" t="s">
        <v>1211</v>
      </c>
      <c r="P131" s="144">
        <v>8873</v>
      </c>
      <c r="Q131" s="143" t="s">
        <v>1212</v>
      </c>
      <c r="R131" s="143" t="s">
        <v>2668</v>
      </c>
      <c r="S131" s="144" t="s">
        <v>3878</v>
      </c>
      <c r="T131" s="144">
        <v>7545.5865000000003</v>
      </c>
      <c r="U131" s="146">
        <v>2.9057886532440825E-5</v>
      </c>
      <c r="V131" s="146">
        <v>1.1248043070621688E-2</v>
      </c>
      <c r="W131" s="147">
        <v>6.8700779117709188E-3</v>
      </c>
      <c r="X131" s="181"/>
    </row>
    <row r="132" spans="1:24" x14ac:dyDescent="0.2">
      <c r="A132" s="142" t="s">
        <v>1220</v>
      </c>
      <c r="B132" s="143" t="s">
        <v>1221</v>
      </c>
      <c r="C132" s="143" t="s">
        <v>2686</v>
      </c>
      <c r="D132" s="143" t="s">
        <v>2687</v>
      </c>
      <c r="E132" s="143" t="s">
        <v>313</v>
      </c>
      <c r="F132" s="143" t="s">
        <v>2686</v>
      </c>
      <c r="G132" s="143" t="s">
        <v>2688</v>
      </c>
      <c r="H132" s="143" t="s">
        <v>321</v>
      </c>
      <c r="I132" s="143" t="s">
        <v>965</v>
      </c>
      <c r="J132" s="143" t="s">
        <v>205</v>
      </c>
      <c r="K132" s="143" t="s">
        <v>268</v>
      </c>
      <c r="L132" s="143" t="s">
        <v>344</v>
      </c>
      <c r="M132" s="143" t="s">
        <v>707</v>
      </c>
      <c r="N132" s="143" t="s">
        <v>339</v>
      </c>
      <c r="O132" s="143" t="s">
        <v>1211</v>
      </c>
      <c r="P132" s="144">
        <v>27415</v>
      </c>
      <c r="Q132" s="143" t="s">
        <v>1212</v>
      </c>
      <c r="R132" s="143" t="s">
        <v>2689</v>
      </c>
      <c r="S132" s="144" t="s">
        <v>3878</v>
      </c>
      <c r="T132" s="144">
        <v>7417.7539000000006</v>
      </c>
      <c r="U132" s="146">
        <v>4.9307553956834534E-4</v>
      </c>
      <c r="V132" s="146">
        <v>1.1057485694391984E-2</v>
      </c>
      <c r="W132" s="147">
        <v>6.7536893086031372E-3</v>
      </c>
      <c r="X132" s="181"/>
    </row>
    <row r="133" spans="1:24" x14ac:dyDescent="0.2">
      <c r="A133" s="142" t="s">
        <v>1220</v>
      </c>
      <c r="B133" s="143" t="s">
        <v>1221</v>
      </c>
      <c r="C133" s="143" t="s">
        <v>2709</v>
      </c>
      <c r="D133" s="143" t="s">
        <v>2710</v>
      </c>
      <c r="E133" s="143" t="s">
        <v>313</v>
      </c>
      <c r="F133" s="143" t="s">
        <v>2711</v>
      </c>
      <c r="G133" s="143" t="s">
        <v>2712</v>
      </c>
      <c r="H133" s="143" t="s">
        <v>321</v>
      </c>
      <c r="I133" s="143" t="s">
        <v>965</v>
      </c>
      <c r="J133" s="143" t="s">
        <v>205</v>
      </c>
      <c r="K133" s="143" t="s">
        <v>224</v>
      </c>
      <c r="L133" s="143" t="s">
        <v>344</v>
      </c>
      <c r="M133" s="143" t="s">
        <v>708</v>
      </c>
      <c r="N133" s="143" t="s">
        <v>339</v>
      </c>
      <c r="O133" s="143" t="s">
        <v>1211</v>
      </c>
      <c r="P133" s="144">
        <v>4817</v>
      </c>
      <c r="Q133" s="143" t="s">
        <v>1212</v>
      </c>
      <c r="R133" s="143" t="s">
        <v>2713</v>
      </c>
      <c r="S133" s="144">
        <v>4.2079399999999998</v>
      </c>
      <c r="T133" s="144">
        <v>7098.0487999999996</v>
      </c>
      <c r="U133" s="146">
        <v>5.4587899323459084E-5</v>
      </c>
      <c r="V133" s="146">
        <v>1.0587181005637488E-2</v>
      </c>
      <c r="W133" s="147">
        <v>6.4664366875268929E-3</v>
      </c>
      <c r="X133" s="181"/>
    </row>
    <row r="134" spans="1:24" x14ac:dyDescent="0.2">
      <c r="A134" s="142" t="s">
        <v>1220</v>
      </c>
      <c r="B134" s="143" t="s">
        <v>1221</v>
      </c>
      <c r="C134" s="143" t="s">
        <v>2678</v>
      </c>
      <c r="D134" s="143" t="s">
        <v>2679</v>
      </c>
      <c r="E134" s="143" t="s">
        <v>313</v>
      </c>
      <c r="F134" s="143" t="s">
        <v>2678</v>
      </c>
      <c r="G134" s="143" t="s">
        <v>2680</v>
      </c>
      <c r="H134" s="143" t="s">
        <v>321</v>
      </c>
      <c r="I134" s="143" t="s">
        <v>965</v>
      </c>
      <c r="J134" s="143" t="s">
        <v>205</v>
      </c>
      <c r="K134" s="143" t="s">
        <v>253</v>
      </c>
      <c r="L134" s="143" t="s">
        <v>314</v>
      </c>
      <c r="M134" s="143" t="s">
        <v>610</v>
      </c>
      <c r="N134" s="143" t="s">
        <v>339</v>
      </c>
      <c r="O134" s="143" t="s">
        <v>1213</v>
      </c>
      <c r="P134" s="144">
        <v>6653</v>
      </c>
      <c r="Q134" s="143" t="s">
        <v>1214</v>
      </c>
      <c r="R134" s="143" t="s">
        <v>2681</v>
      </c>
      <c r="S134" s="144" t="s">
        <v>3878</v>
      </c>
      <c r="T134" s="144">
        <v>6345.5812000000005</v>
      </c>
      <c r="U134" s="146">
        <v>6.5930036666336344E-4</v>
      </c>
      <c r="V134" s="146">
        <v>9.4592209892202812E-3</v>
      </c>
      <c r="W134" s="147">
        <v>5.7775014527047253E-3</v>
      </c>
      <c r="X134" s="181"/>
    </row>
    <row r="135" spans="1:24" x14ac:dyDescent="0.2">
      <c r="A135" s="142" t="s">
        <v>1220</v>
      </c>
      <c r="B135" s="143" t="s">
        <v>1221</v>
      </c>
      <c r="C135" s="143" t="s">
        <v>2700</v>
      </c>
      <c r="D135" s="143" t="s">
        <v>2701</v>
      </c>
      <c r="E135" s="143" t="s">
        <v>313</v>
      </c>
      <c r="F135" s="143" t="s">
        <v>2700</v>
      </c>
      <c r="G135" s="143" t="s">
        <v>2702</v>
      </c>
      <c r="H135" s="143" t="s">
        <v>321</v>
      </c>
      <c r="I135" s="143" t="s">
        <v>965</v>
      </c>
      <c r="J135" s="143" t="s">
        <v>205</v>
      </c>
      <c r="K135" s="143" t="s">
        <v>251</v>
      </c>
      <c r="L135" s="143" t="s">
        <v>344</v>
      </c>
      <c r="M135" s="143" t="s">
        <v>599</v>
      </c>
      <c r="N135" s="143" t="s">
        <v>339</v>
      </c>
      <c r="O135" s="143" t="s">
        <v>1211</v>
      </c>
      <c r="P135" s="144">
        <v>23277</v>
      </c>
      <c r="Q135" s="143" t="s">
        <v>1212</v>
      </c>
      <c r="R135" s="143" t="s">
        <v>2703</v>
      </c>
      <c r="S135" s="144" t="s">
        <v>3878</v>
      </c>
      <c r="T135" s="144">
        <v>5970.8800999999994</v>
      </c>
      <c r="U135" s="146">
        <v>1.3612280701754385E-4</v>
      </c>
      <c r="V135" s="146">
        <v>8.9006621893575402E-3</v>
      </c>
      <c r="W135" s="147">
        <v>5.4363450000427605E-3</v>
      </c>
      <c r="X135" s="181"/>
    </row>
    <row r="136" spans="1:24" x14ac:dyDescent="0.2">
      <c r="A136" s="142" t="s">
        <v>1220</v>
      </c>
      <c r="B136" s="143" t="s">
        <v>1221</v>
      </c>
      <c r="C136" s="143" t="s">
        <v>2704</v>
      </c>
      <c r="D136" s="143" t="s">
        <v>2705</v>
      </c>
      <c r="E136" s="143" t="s">
        <v>313</v>
      </c>
      <c r="F136" s="143" t="s">
        <v>2706</v>
      </c>
      <c r="G136" s="143" t="s">
        <v>2707</v>
      </c>
      <c r="H136" s="143" t="s">
        <v>321</v>
      </c>
      <c r="I136" s="143" t="s">
        <v>965</v>
      </c>
      <c r="J136" s="143" t="s">
        <v>205</v>
      </c>
      <c r="K136" s="143" t="s">
        <v>224</v>
      </c>
      <c r="L136" s="143" t="s">
        <v>344</v>
      </c>
      <c r="M136" s="143" t="s">
        <v>580</v>
      </c>
      <c r="N136" s="143" t="s">
        <v>339</v>
      </c>
      <c r="O136" s="143" t="s">
        <v>1211</v>
      </c>
      <c r="P136" s="144">
        <v>32661</v>
      </c>
      <c r="Q136" s="143" t="s">
        <v>1212</v>
      </c>
      <c r="R136" s="143" t="s">
        <v>2708</v>
      </c>
      <c r="S136" s="144" t="s">
        <v>3878</v>
      </c>
      <c r="T136" s="144">
        <v>5927.4659000000001</v>
      </c>
      <c r="U136" s="146">
        <v>1.4325E-3</v>
      </c>
      <c r="V136" s="146">
        <v>8.835945585819063E-3</v>
      </c>
      <c r="W136" s="147">
        <v>5.3968174034908067E-3</v>
      </c>
      <c r="X136" s="181"/>
    </row>
    <row r="137" spans="1:24" x14ac:dyDescent="0.2">
      <c r="A137" s="142" t="s">
        <v>1220</v>
      </c>
      <c r="B137" s="143" t="s">
        <v>1221</v>
      </c>
      <c r="C137" s="143" t="s">
        <v>2718</v>
      </c>
      <c r="D137" s="143" t="s">
        <v>2719</v>
      </c>
      <c r="E137" s="143" t="s">
        <v>313</v>
      </c>
      <c r="F137" s="143" t="s">
        <v>2720</v>
      </c>
      <c r="G137" s="143" t="s">
        <v>2721</v>
      </c>
      <c r="H137" s="143" t="s">
        <v>321</v>
      </c>
      <c r="I137" s="143" t="s">
        <v>965</v>
      </c>
      <c r="J137" s="143" t="s">
        <v>205</v>
      </c>
      <c r="K137" s="143" t="s">
        <v>224</v>
      </c>
      <c r="L137" s="143" t="s">
        <v>344</v>
      </c>
      <c r="M137" s="143" t="s">
        <v>602</v>
      </c>
      <c r="N137" s="143" t="s">
        <v>339</v>
      </c>
      <c r="O137" s="143" t="s">
        <v>1211</v>
      </c>
      <c r="P137" s="144">
        <v>6171</v>
      </c>
      <c r="Q137" s="143" t="s">
        <v>1212</v>
      </c>
      <c r="R137" s="143" t="s">
        <v>2722</v>
      </c>
      <c r="S137" s="144" t="s">
        <v>3878</v>
      </c>
      <c r="T137" s="144">
        <v>4706.3964999999998</v>
      </c>
      <c r="U137" s="146">
        <v>2.0285996055226824E-5</v>
      </c>
      <c r="V137" s="146">
        <v>7.0157237857247489E-3</v>
      </c>
      <c r="W137" s="147">
        <v>4.2850626293636238E-3</v>
      </c>
      <c r="X137" s="181"/>
    </row>
    <row r="138" spans="1:24" x14ac:dyDescent="0.2">
      <c r="A138" s="142" t="s">
        <v>1220</v>
      </c>
      <c r="B138" s="143" t="s">
        <v>1221</v>
      </c>
      <c r="C138" s="143" t="s">
        <v>2695</v>
      </c>
      <c r="D138" s="143" t="s">
        <v>2696</v>
      </c>
      <c r="E138" s="143" t="s">
        <v>313</v>
      </c>
      <c r="F138" s="143" t="s">
        <v>2697</v>
      </c>
      <c r="G138" s="143" t="s">
        <v>2698</v>
      </c>
      <c r="H138" s="143" t="s">
        <v>321</v>
      </c>
      <c r="I138" s="143" t="s">
        <v>965</v>
      </c>
      <c r="J138" s="143" t="s">
        <v>205</v>
      </c>
      <c r="K138" s="143" t="s">
        <v>224</v>
      </c>
      <c r="L138" s="143" t="s">
        <v>344</v>
      </c>
      <c r="M138" s="143" t="s">
        <v>597</v>
      </c>
      <c r="N138" s="143" t="s">
        <v>339</v>
      </c>
      <c r="O138" s="143" t="s">
        <v>1211</v>
      </c>
      <c r="P138" s="144">
        <v>6241</v>
      </c>
      <c r="Q138" s="143" t="s">
        <v>1212</v>
      </c>
      <c r="R138" s="143" t="s">
        <v>2699</v>
      </c>
      <c r="S138" s="144" t="s">
        <v>3878</v>
      </c>
      <c r="T138" s="144">
        <v>4632.3955999999998</v>
      </c>
      <c r="U138" s="146">
        <v>4.7101886792452828E-4</v>
      </c>
      <c r="V138" s="146">
        <v>6.9054122185664858E-3</v>
      </c>
      <c r="W138" s="147">
        <v>4.217686548369925E-3</v>
      </c>
      <c r="X138" s="181"/>
    </row>
    <row r="139" spans="1:24" x14ac:dyDescent="0.2">
      <c r="A139" s="142" t="s">
        <v>1220</v>
      </c>
      <c r="B139" s="143" t="s">
        <v>1221</v>
      </c>
      <c r="C139" s="143" t="s">
        <v>2714</v>
      </c>
      <c r="D139" s="143" t="s">
        <v>2715</v>
      </c>
      <c r="E139" s="143" t="s">
        <v>313</v>
      </c>
      <c r="F139" s="143" t="s">
        <v>2714</v>
      </c>
      <c r="G139" s="143" t="s">
        <v>2716</v>
      </c>
      <c r="H139" s="143" t="s">
        <v>321</v>
      </c>
      <c r="I139" s="143" t="s">
        <v>965</v>
      </c>
      <c r="J139" s="143" t="s">
        <v>205</v>
      </c>
      <c r="K139" s="143" t="s">
        <v>224</v>
      </c>
      <c r="L139" s="143" t="s">
        <v>344</v>
      </c>
      <c r="M139" s="143" t="s">
        <v>589</v>
      </c>
      <c r="N139" s="143" t="s">
        <v>339</v>
      </c>
      <c r="O139" s="143" t="s">
        <v>1211</v>
      </c>
      <c r="P139" s="144">
        <v>8026</v>
      </c>
      <c r="Q139" s="143" t="s">
        <v>1212</v>
      </c>
      <c r="R139" s="143" t="s">
        <v>2717</v>
      </c>
      <c r="S139" s="144" t="s">
        <v>3878</v>
      </c>
      <c r="T139" s="144">
        <v>4397.2386999999999</v>
      </c>
      <c r="U139" s="146">
        <v>2.5914146876967534E-5</v>
      </c>
      <c r="V139" s="146">
        <v>6.5548689364793317E-3</v>
      </c>
      <c r="W139" s="147">
        <v>4.0035817797211739E-3</v>
      </c>
      <c r="X139" s="181"/>
    </row>
    <row r="140" spans="1:24" x14ac:dyDescent="0.2">
      <c r="A140" s="142" t="s">
        <v>1220</v>
      </c>
      <c r="B140" s="143" t="s">
        <v>1221</v>
      </c>
      <c r="C140" s="143" t="s">
        <v>2732</v>
      </c>
      <c r="D140" s="143" t="s">
        <v>2733</v>
      </c>
      <c r="E140" s="143" t="s">
        <v>313</v>
      </c>
      <c r="F140" s="143" t="s">
        <v>2732</v>
      </c>
      <c r="G140" s="143" t="s">
        <v>2734</v>
      </c>
      <c r="H140" s="143" t="s">
        <v>321</v>
      </c>
      <c r="I140" s="143" t="s">
        <v>965</v>
      </c>
      <c r="J140" s="143" t="s">
        <v>205</v>
      </c>
      <c r="K140" s="143" t="s">
        <v>268</v>
      </c>
      <c r="L140" s="143" t="s">
        <v>344</v>
      </c>
      <c r="M140" s="143" t="s">
        <v>588</v>
      </c>
      <c r="N140" s="143" t="s">
        <v>339</v>
      </c>
      <c r="O140" s="143" t="s">
        <v>1211</v>
      </c>
      <c r="P140" s="144">
        <v>38696</v>
      </c>
      <c r="Q140" s="143" t="s">
        <v>1212</v>
      </c>
      <c r="R140" s="143" t="s">
        <v>2735</v>
      </c>
      <c r="S140" s="144" t="s">
        <v>3878</v>
      </c>
      <c r="T140" s="144">
        <v>3930.2822999999999</v>
      </c>
      <c r="U140" s="146">
        <v>1.8027486606102958E-4</v>
      </c>
      <c r="V140" s="146">
        <v>5.8587870467716064E-3</v>
      </c>
      <c r="W140" s="147">
        <v>3.5784289966779548E-3</v>
      </c>
      <c r="X140" s="181"/>
    </row>
    <row r="141" spans="1:24" x14ac:dyDescent="0.2">
      <c r="A141" s="142" t="s">
        <v>1220</v>
      </c>
      <c r="B141" s="143" t="s">
        <v>1221</v>
      </c>
      <c r="C141" s="143" t="s">
        <v>2723</v>
      </c>
      <c r="D141" s="143" t="s">
        <v>2724</v>
      </c>
      <c r="E141" s="143" t="s">
        <v>313</v>
      </c>
      <c r="F141" s="143" t="s">
        <v>2725</v>
      </c>
      <c r="G141" s="143" t="s">
        <v>2726</v>
      </c>
      <c r="H141" s="143" t="s">
        <v>321</v>
      </c>
      <c r="I141" s="143" t="s">
        <v>965</v>
      </c>
      <c r="J141" s="143" t="s">
        <v>205</v>
      </c>
      <c r="K141" s="143" t="s">
        <v>224</v>
      </c>
      <c r="L141" s="143" t="s">
        <v>344</v>
      </c>
      <c r="M141" s="143" t="s">
        <v>612</v>
      </c>
      <c r="N141" s="143" t="s">
        <v>339</v>
      </c>
      <c r="O141" s="143" t="s">
        <v>1211</v>
      </c>
      <c r="P141" s="144">
        <v>10980</v>
      </c>
      <c r="Q141" s="143" t="s">
        <v>1212</v>
      </c>
      <c r="R141" s="143" t="s">
        <v>2727</v>
      </c>
      <c r="S141" s="144" t="s">
        <v>3878</v>
      </c>
      <c r="T141" s="144">
        <v>3586.6950000000002</v>
      </c>
      <c r="U141" s="146">
        <v>6.4023323615160352E-4</v>
      </c>
      <c r="V141" s="146">
        <v>5.3466088165169817E-3</v>
      </c>
      <c r="W141" s="147">
        <v>3.2656008607551312E-3</v>
      </c>
      <c r="X141" s="181"/>
    </row>
    <row r="142" spans="1:24" x14ac:dyDescent="0.2">
      <c r="A142" s="142" t="s">
        <v>1220</v>
      </c>
      <c r="B142" s="143" t="s">
        <v>1221</v>
      </c>
      <c r="C142" s="143" t="s">
        <v>2741</v>
      </c>
      <c r="D142" s="143" t="s">
        <v>2742</v>
      </c>
      <c r="E142" s="143" t="s">
        <v>313</v>
      </c>
      <c r="F142" s="143" t="s">
        <v>2741</v>
      </c>
      <c r="G142" s="143" t="s">
        <v>2743</v>
      </c>
      <c r="H142" s="143" t="s">
        <v>321</v>
      </c>
      <c r="I142" s="143" t="s">
        <v>965</v>
      </c>
      <c r="J142" s="143" t="s">
        <v>205</v>
      </c>
      <c r="K142" s="143" t="s">
        <v>224</v>
      </c>
      <c r="L142" s="143" t="s">
        <v>344</v>
      </c>
      <c r="M142" s="143" t="s">
        <v>708</v>
      </c>
      <c r="N142" s="143" t="s">
        <v>339</v>
      </c>
      <c r="O142" s="143" t="s">
        <v>1211</v>
      </c>
      <c r="P142" s="144">
        <v>4664</v>
      </c>
      <c r="Q142" s="143" t="s">
        <v>1212</v>
      </c>
      <c r="R142" s="143" t="s">
        <v>2744</v>
      </c>
      <c r="S142" s="144" t="s">
        <v>3878</v>
      </c>
      <c r="T142" s="144">
        <v>3197.8323999999998</v>
      </c>
      <c r="U142" s="146">
        <v>4.7181167996924729E-5</v>
      </c>
      <c r="V142" s="146">
        <v>4.766939821635007E-3</v>
      </c>
      <c r="W142" s="147">
        <v>2.9115507266230436E-3</v>
      </c>
      <c r="X142" s="181"/>
    </row>
    <row r="143" spans="1:24" x14ac:dyDescent="0.2">
      <c r="A143" s="142" t="s">
        <v>1220</v>
      </c>
      <c r="B143" s="143" t="s">
        <v>1221</v>
      </c>
      <c r="C143" s="143" t="s">
        <v>2728</v>
      </c>
      <c r="D143" s="143" t="s">
        <v>2729</v>
      </c>
      <c r="E143" s="143" t="s">
        <v>313</v>
      </c>
      <c r="F143" s="143" t="s">
        <v>2728</v>
      </c>
      <c r="G143" s="143" t="s">
        <v>2730</v>
      </c>
      <c r="H143" s="143" t="s">
        <v>321</v>
      </c>
      <c r="I143" s="143" t="s">
        <v>965</v>
      </c>
      <c r="J143" s="143" t="s">
        <v>205</v>
      </c>
      <c r="K143" s="143" t="s">
        <v>244</v>
      </c>
      <c r="L143" s="143" t="s">
        <v>344</v>
      </c>
      <c r="M143" s="143" t="s">
        <v>580</v>
      </c>
      <c r="N143" s="143" t="s">
        <v>339</v>
      </c>
      <c r="O143" s="143" t="s">
        <v>1211</v>
      </c>
      <c r="P143" s="144">
        <v>14576</v>
      </c>
      <c r="Q143" s="143" t="s">
        <v>1212</v>
      </c>
      <c r="R143" s="143" t="s">
        <v>2731</v>
      </c>
      <c r="S143" s="144" t="s">
        <v>3878</v>
      </c>
      <c r="T143" s="144">
        <v>3056.2522000000004</v>
      </c>
      <c r="U143" s="146">
        <v>1.3421731123388581E-4</v>
      </c>
      <c r="V143" s="146">
        <v>4.555889302561603E-3</v>
      </c>
      <c r="W143" s="147">
        <v>2.7826453250122513E-3</v>
      </c>
      <c r="X143" s="181"/>
    </row>
    <row r="144" spans="1:24" x14ac:dyDescent="0.2">
      <c r="A144" s="142" t="s">
        <v>1220</v>
      </c>
      <c r="B144" s="143" t="s">
        <v>1221</v>
      </c>
      <c r="C144" s="143" t="s">
        <v>2736</v>
      </c>
      <c r="D144" s="143" t="s">
        <v>2737</v>
      </c>
      <c r="E144" s="143" t="s">
        <v>313</v>
      </c>
      <c r="F144" s="143" t="s">
        <v>2738</v>
      </c>
      <c r="G144" s="143" t="s">
        <v>2739</v>
      </c>
      <c r="H144" s="143" t="s">
        <v>321</v>
      </c>
      <c r="I144" s="143" t="s">
        <v>965</v>
      </c>
      <c r="J144" s="143" t="s">
        <v>205</v>
      </c>
      <c r="K144" s="143" t="s">
        <v>268</v>
      </c>
      <c r="L144" s="143" t="s">
        <v>344</v>
      </c>
      <c r="M144" s="143" t="s">
        <v>588</v>
      </c>
      <c r="N144" s="143" t="s">
        <v>339</v>
      </c>
      <c r="O144" s="143" t="s">
        <v>1211</v>
      </c>
      <c r="P144" s="144">
        <v>19118</v>
      </c>
      <c r="Q144" s="143" t="s">
        <v>1212</v>
      </c>
      <c r="R144" s="143" t="s">
        <v>2740</v>
      </c>
      <c r="S144" s="144" t="s">
        <v>3878</v>
      </c>
      <c r="T144" s="144">
        <v>3030.5286000000001</v>
      </c>
      <c r="U144" s="146">
        <v>1.1874534161490683E-4</v>
      </c>
      <c r="V144" s="146">
        <v>4.5175435914712797E-3</v>
      </c>
      <c r="W144" s="147">
        <v>2.7592245378478737E-3</v>
      </c>
      <c r="X144" s="181"/>
    </row>
    <row r="145" spans="1:24" x14ac:dyDescent="0.2">
      <c r="A145" s="142" t="s">
        <v>1220</v>
      </c>
      <c r="B145" s="143" t="s">
        <v>1221</v>
      </c>
      <c r="C145" s="143" t="s">
        <v>2749</v>
      </c>
      <c r="D145" s="143" t="s">
        <v>2750</v>
      </c>
      <c r="E145" s="143" t="s">
        <v>313</v>
      </c>
      <c r="F145" s="143" t="s">
        <v>2751</v>
      </c>
      <c r="G145" s="143" t="s">
        <v>2752</v>
      </c>
      <c r="H145" s="143" t="s">
        <v>321</v>
      </c>
      <c r="I145" s="143" t="s">
        <v>965</v>
      </c>
      <c r="J145" s="143" t="s">
        <v>205</v>
      </c>
      <c r="K145" s="143" t="s">
        <v>243</v>
      </c>
      <c r="L145" s="143" t="s">
        <v>344</v>
      </c>
      <c r="M145" s="143" t="s">
        <v>707</v>
      </c>
      <c r="N145" s="143" t="s">
        <v>339</v>
      </c>
      <c r="O145" s="143" t="s">
        <v>1211</v>
      </c>
      <c r="P145" s="144">
        <v>12180</v>
      </c>
      <c r="Q145" s="143" t="s">
        <v>1212</v>
      </c>
      <c r="R145" s="143" t="s">
        <v>2753</v>
      </c>
      <c r="S145" s="144" t="s">
        <v>3878</v>
      </c>
      <c r="T145" s="144">
        <v>3025.9054999999998</v>
      </c>
      <c r="U145" s="146">
        <v>2.1424802110817941E-4</v>
      </c>
      <c r="V145" s="146">
        <v>4.5106521198772717E-3</v>
      </c>
      <c r="W145" s="147">
        <v>2.7550153659518977E-3</v>
      </c>
      <c r="X145" s="181"/>
    </row>
    <row r="146" spans="1:24" x14ac:dyDescent="0.2">
      <c r="A146" s="142" t="s">
        <v>1220</v>
      </c>
      <c r="B146" s="143" t="s">
        <v>1221</v>
      </c>
      <c r="C146" s="143" t="s">
        <v>2745</v>
      </c>
      <c r="D146" s="143" t="s">
        <v>2746</v>
      </c>
      <c r="E146" s="143" t="s">
        <v>313</v>
      </c>
      <c r="F146" s="143" t="s">
        <v>2745</v>
      </c>
      <c r="G146" s="143" t="s">
        <v>2747</v>
      </c>
      <c r="H146" s="143" t="s">
        <v>321</v>
      </c>
      <c r="I146" s="143" t="s">
        <v>965</v>
      </c>
      <c r="J146" s="143" t="s">
        <v>205</v>
      </c>
      <c r="K146" s="143" t="s">
        <v>224</v>
      </c>
      <c r="L146" s="143" t="s">
        <v>344</v>
      </c>
      <c r="M146" s="143" t="s">
        <v>586</v>
      </c>
      <c r="N146" s="143" t="s">
        <v>339</v>
      </c>
      <c r="O146" s="143" t="s">
        <v>1211</v>
      </c>
      <c r="P146" s="144">
        <v>6659</v>
      </c>
      <c r="Q146" s="143" t="s">
        <v>1212</v>
      </c>
      <c r="R146" s="143" t="s">
        <v>2748</v>
      </c>
      <c r="S146" s="144" t="s">
        <v>3878</v>
      </c>
      <c r="T146" s="144">
        <v>2926.8960000000002</v>
      </c>
      <c r="U146" s="146">
        <v>7.7430232558139533E-4</v>
      </c>
      <c r="V146" s="146">
        <v>4.363060731832946E-3</v>
      </c>
      <c r="W146" s="147">
        <v>2.6648695220389002E-3</v>
      </c>
      <c r="X146" s="181"/>
    </row>
    <row r="147" spans="1:24" x14ac:dyDescent="0.2">
      <c r="A147" s="142" t="s">
        <v>1220</v>
      </c>
      <c r="B147" s="143" t="s">
        <v>1221</v>
      </c>
      <c r="C147" s="143" t="s">
        <v>2754</v>
      </c>
      <c r="D147" s="143" t="s">
        <v>2755</v>
      </c>
      <c r="E147" s="143" t="s">
        <v>313</v>
      </c>
      <c r="F147" s="143" t="s">
        <v>2756</v>
      </c>
      <c r="G147" s="143" t="s">
        <v>2757</v>
      </c>
      <c r="H147" s="143" t="s">
        <v>321</v>
      </c>
      <c r="I147" s="143" t="s">
        <v>965</v>
      </c>
      <c r="J147" s="143" t="s">
        <v>205</v>
      </c>
      <c r="K147" s="143" t="s">
        <v>224</v>
      </c>
      <c r="L147" s="143" t="s">
        <v>344</v>
      </c>
      <c r="M147" s="143" t="s">
        <v>703</v>
      </c>
      <c r="N147" s="143" t="s">
        <v>339</v>
      </c>
      <c r="O147" s="143" t="s">
        <v>1211</v>
      </c>
      <c r="P147" s="144">
        <v>5918</v>
      </c>
      <c r="Q147" s="143" t="s">
        <v>1212</v>
      </c>
      <c r="R147" s="143" t="s">
        <v>2758</v>
      </c>
      <c r="S147" s="144">
        <v>0.82432000000000005</v>
      </c>
      <c r="T147" s="144">
        <v>2288.1832999999997</v>
      </c>
      <c r="U147" s="146">
        <v>2.6396074933095453E-4</v>
      </c>
      <c r="V147" s="146">
        <v>3.4121742774723333E-3</v>
      </c>
      <c r="W147" s="147">
        <v>2.0840872485634893E-3</v>
      </c>
      <c r="X147" s="181"/>
    </row>
    <row r="148" spans="1:24" x14ac:dyDescent="0.2">
      <c r="A148" s="142" t="s">
        <v>1220</v>
      </c>
      <c r="B148" s="143" t="s">
        <v>1221</v>
      </c>
      <c r="C148" s="143" t="s">
        <v>2759</v>
      </c>
      <c r="D148" s="143" t="s">
        <v>2662</v>
      </c>
      <c r="E148" s="143" t="s">
        <v>313</v>
      </c>
      <c r="F148" s="143" t="s">
        <v>2759</v>
      </c>
      <c r="G148" s="143" t="s">
        <v>2760</v>
      </c>
      <c r="H148" s="143" t="s">
        <v>321</v>
      </c>
      <c r="I148" s="143" t="s">
        <v>965</v>
      </c>
      <c r="J148" s="143" t="s">
        <v>205</v>
      </c>
      <c r="K148" s="143" t="s">
        <v>224</v>
      </c>
      <c r="L148" s="143" t="s">
        <v>344</v>
      </c>
      <c r="M148" s="143" t="s">
        <v>708</v>
      </c>
      <c r="N148" s="143" t="s">
        <v>339</v>
      </c>
      <c r="O148" s="143" t="s">
        <v>1211</v>
      </c>
      <c r="P148" s="144">
        <v>5898</v>
      </c>
      <c r="Q148" s="143" t="s">
        <v>1212</v>
      </c>
      <c r="R148" s="143" t="s">
        <v>2761</v>
      </c>
      <c r="S148" s="144">
        <v>2.1899299999999999</v>
      </c>
      <c r="T148" s="144">
        <v>2205.5582999999997</v>
      </c>
      <c r="U148" s="146">
        <v>9.8299999999999993E-4</v>
      </c>
      <c r="V148" s="146">
        <v>3.2910427130980148E-3</v>
      </c>
      <c r="W148" s="147">
        <v>2.0101025314352441E-3</v>
      </c>
      <c r="X148" s="181"/>
    </row>
    <row r="149" spans="1:24" x14ac:dyDescent="0.2">
      <c r="A149" s="142" t="s">
        <v>1220</v>
      </c>
      <c r="B149" s="143" t="s">
        <v>1221</v>
      </c>
      <c r="C149" s="143" t="s">
        <v>2772</v>
      </c>
      <c r="D149" s="143" t="s">
        <v>2773</v>
      </c>
      <c r="E149" s="143" t="s">
        <v>313</v>
      </c>
      <c r="F149" s="143" t="s">
        <v>2772</v>
      </c>
      <c r="G149" s="143" t="s">
        <v>2774</v>
      </c>
      <c r="H149" s="143" t="s">
        <v>321</v>
      </c>
      <c r="I149" s="143" t="s">
        <v>965</v>
      </c>
      <c r="J149" s="143" t="s">
        <v>205</v>
      </c>
      <c r="K149" s="143" t="s">
        <v>224</v>
      </c>
      <c r="L149" s="143" t="s">
        <v>344</v>
      </c>
      <c r="M149" s="143" t="s">
        <v>708</v>
      </c>
      <c r="N149" s="143" t="s">
        <v>339</v>
      </c>
      <c r="O149" s="143" t="s">
        <v>1211</v>
      </c>
      <c r="P149" s="144">
        <v>5880</v>
      </c>
      <c r="Q149" s="143" t="s">
        <v>1212</v>
      </c>
      <c r="R149" s="143" t="s">
        <v>2775</v>
      </c>
      <c r="S149" s="144" t="s">
        <v>3878</v>
      </c>
      <c r="T149" s="144">
        <v>1893.3361</v>
      </c>
      <c r="U149" s="146">
        <v>3.5357787131689717E-5</v>
      </c>
      <c r="V149" s="146">
        <v>2.8223553295879805E-3</v>
      </c>
      <c r="W149" s="147">
        <v>1.7238377277923802E-3</v>
      </c>
      <c r="X149" s="181"/>
    </row>
    <row r="150" spans="1:24" x14ac:dyDescent="0.2">
      <c r="A150" s="142" t="s">
        <v>1220</v>
      </c>
      <c r="B150" s="143" t="s">
        <v>1221</v>
      </c>
      <c r="C150" s="143" t="s">
        <v>2762</v>
      </c>
      <c r="D150" s="143" t="s">
        <v>2763</v>
      </c>
      <c r="E150" s="143" t="s">
        <v>313</v>
      </c>
      <c r="F150" s="143" t="s">
        <v>2764</v>
      </c>
      <c r="G150" s="143" t="s">
        <v>2765</v>
      </c>
      <c r="H150" s="143" t="s">
        <v>321</v>
      </c>
      <c r="I150" s="143" t="s">
        <v>965</v>
      </c>
      <c r="J150" s="143" t="s">
        <v>205</v>
      </c>
      <c r="K150" s="143" t="s">
        <v>224</v>
      </c>
      <c r="L150" s="143" t="s">
        <v>344</v>
      </c>
      <c r="M150" s="143" t="s">
        <v>707</v>
      </c>
      <c r="N150" s="143" t="s">
        <v>339</v>
      </c>
      <c r="O150" s="143" t="s">
        <v>1211</v>
      </c>
      <c r="P150" s="144">
        <v>8909</v>
      </c>
      <c r="Q150" s="143" t="s">
        <v>1212</v>
      </c>
      <c r="R150" s="143" t="s">
        <v>2766</v>
      </c>
      <c r="S150" s="144" t="s">
        <v>3878</v>
      </c>
      <c r="T150" s="144">
        <v>1814.7652</v>
      </c>
      <c r="U150" s="146">
        <v>1.0605952380952381E-4</v>
      </c>
      <c r="V150" s="146">
        <v>2.7052312996249015E-3</v>
      </c>
      <c r="W150" s="147">
        <v>1.6523007318780794E-3</v>
      </c>
      <c r="X150" s="181"/>
    </row>
    <row r="151" spans="1:24" x14ac:dyDescent="0.2">
      <c r="A151" s="142" t="s">
        <v>1220</v>
      </c>
      <c r="B151" s="143" t="s">
        <v>1221</v>
      </c>
      <c r="C151" s="143" t="s">
        <v>2767</v>
      </c>
      <c r="D151" s="143" t="s">
        <v>2768</v>
      </c>
      <c r="E151" s="143" t="s">
        <v>313</v>
      </c>
      <c r="F151" s="143" t="s">
        <v>2769</v>
      </c>
      <c r="G151" s="143" t="s">
        <v>2770</v>
      </c>
      <c r="H151" s="143" t="s">
        <v>321</v>
      </c>
      <c r="I151" s="143" t="s">
        <v>965</v>
      </c>
      <c r="J151" s="143" t="s">
        <v>205</v>
      </c>
      <c r="K151" s="143" t="s">
        <v>238</v>
      </c>
      <c r="L151" s="143" t="s">
        <v>368</v>
      </c>
      <c r="M151" s="143" t="s">
        <v>581</v>
      </c>
      <c r="N151" s="143" t="s">
        <v>339</v>
      </c>
      <c r="O151" s="143" t="s">
        <v>1213</v>
      </c>
      <c r="P151" s="144">
        <v>2866</v>
      </c>
      <c r="Q151" s="143" t="s">
        <v>1214</v>
      </c>
      <c r="R151" s="143" t="s">
        <v>2771</v>
      </c>
      <c r="S151" s="144" t="s">
        <v>3878</v>
      </c>
      <c r="T151" s="144">
        <v>1751.0973000000001</v>
      </c>
      <c r="U151" s="146">
        <v>6.5299612668033723E-5</v>
      </c>
      <c r="V151" s="146">
        <v>2.6103230202075946E-3</v>
      </c>
      <c r="W151" s="147">
        <v>1.5943326684580497E-3</v>
      </c>
      <c r="X151" s="181"/>
    </row>
    <row r="152" spans="1:24" x14ac:dyDescent="0.2">
      <c r="A152" s="142" t="s">
        <v>1220</v>
      </c>
      <c r="B152" s="143" t="s">
        <v>1221</v>
      </c>
      <c r="C152" s="143" t="s">
        <v>2788</v>
      </c>
      <c r="D152" s="143" t="s">
        <v>2789</v>
      </c>
      <c r="E152" s="143" t="s">
        <v>313</v>
      </c>
      <c r="F152" s="143" t="s">
        <v>2790</v>
      </c>
      <c r="G152" s="143" t="s">
        <v>2791</v>
      </c>
      <c r="H152" s="143" t="s">
        <v>321</v>
      </c>
      <c r="I152" s="143" t="s">
        <v>965</v>
      </c>
      <c r="J152" s="143" t="s">
        <v>205</v>
      </c>
      <c r="K152" s="143" t="s">
        <v>224</v>
      </c>
      <c r="L152" s="143" t="s">
        <v>344</v>
      </c>
      <c r="M152" s="143" t="s">
        <v>708</v>
      </c>
      <c r="N152" s="143" t="s">
        <v>339</v>
      </c>
      <c r="O152" s="143" t="s">
        <v>1211</v>
      </c>
      <c r="P152" s="144">
        <v>11184</v>
      </c>
      <c r="Q152" s="143" t="s">
        <v>1212</v>
      </c>
      <c r="R152" s="143" t="s">
        <v>2792</v>
      </c>
      <c r="S152" s="144" t="s">
        <v>3878</v>
      </c>
      <c r="T152" s="144">
        <v>1614.7816</v>
      </c>
      <c r="U152" s="146">
        <v>8.4952525636156477E-5</v>
      </c>
      <c r="V152" s="146">
        <v>2.4071200991873445E-3</v>
      </c>
      <c r="W152" s="147">
        <v>1.4702204215059768E-3</v>
      </c>
      <c r="X152" s="181"/>
    </row>
    <row r="153" spans="1:24" x14ac:dyDescent="0.2">
      <c r="A153" s="142" t="s">
        <v>1220</v>
      </c>
      <c r="B153" s="143" t="s">
        <v>1221</v>
      </c>
      <c r="C153" s="143" t="s">
        <v>2776</v>
      </c>
      <c r="D153" s="143" t="s">
        <v>2662</v>
      </c>
      <c r="E153" s="143" t="s">
        <v>313</v>
      </c>
      <c r="F153" s="143" t="s">
        <v>2776</v>
      </c>
      <c r="G153" s="143" t="s">
        <v>2777</v>
      </c>
      <c r="H153" s="143" t="s">
        <v>321</v>
      </c>
      <c r="I153" s="143" t="s">
        <v>965</v>
      </c>
      <c r="J153" s="143" t="s">
        <v>205</v>
      </c>
      <c r="K153" s="143" t="s">
        <v>301</v>
      </c>
      <c r="L153" s="143" t="s">
        <v>314</v>
      </c>
      <c r="M153" s="143" t="s">
        <v>596</v>
      </c>
      <c r="N153" s="143" t="s">
        <v>339</v>
      </c>
      <c r="O153" s="143" t="s">
        <v>1213</v>
      </c>
      <c r="P153" s="144">
        <v>8224</v>
      </c>
      <c r="Q153" s="143" t="s">
        <v>1214</v>
      </c>
      <c r="R153" s="143" t="s">
        <v>2778</v>
      </c>
      <c r="S153" s="144" t="s">
        <v>3878</v>
      </c>
      <c r="T153" s="144">
        <v>1488.7874999999999</v>
      </c>
      <c r="U153" s="146">
        <v>2.8261168384879725E-4</v>
      </c>
      <c r="V153" s="146">
        <v>2.2193033860783006E-3</v>
      </c>
      <c r="W153" s="147">
        <v>1.3555057601119446E-3</v>
      </c>
      <c r="X153" s="181"/>
    </row>
    <row r="154" spans="1:24" x14ac:dyDescent="0.2">
      <c r="A154" s="142" t="s">
        <v>1220</v>
      </c>
      <c r="B154" s="143" t="s">
        <v>1221</v>
      </c>
      <c r="C154" s="143" t="s">
        <v>2779</v>
      </c>
      <c r="D154" s="143" t="s">
        <v>2780</v>
      </c>
      <c r="E154" s="143" t="s">
        <v>313</v>
      </c>
      <c r="F154" s="143" t="s">
        <v>2779</v>
      </c>
      <c r="G154" s="143" t="s">
        <v>2781</v>
      </c>
      <c r="H154" s="143" t="s">
        <v>321</v>
      </c>
      <c r="I154" s="143" t="s">
        <v>965</v>
      </c>
      <c r="J154" s="143" t="s">
        <v>205</v>
      </c>
      <c r="K154" s="143" t="s">
        <v>246</v>
      </c>
      <c r="L154" s="143" t="s">
        <v>370</v>
      </c>
      <c r="M154" s="143" t="s">
        <v>707</v>
      </c>
      <c r="N154" s="143" t="s">
        <v>339</v>
      </c>
      <c r="O154" s="143" t="s">
        <v>2782</v>
      </c>
      <c r="P154" s="144">
        <v>382065</v>
      </c>
      <c r="Q154" s="143" t="s">
        <v>2783</v>
      </c>
      <c r="R154" s="143" t="s">
        <v>2784</v>
      </c>
      <c r="S154" s="144">
        <v>7.6413000000000002</v>
      </c>
      <c r="T154" s="144">
        <v>1375.4813999999999</v>
      </c>
      <c r="U154" s="146">
        <v>2.6532291666666666E-3</v>
      </c>
      <c r="V154" s="146">
        <v>2.0617911421914005E-3</v>
      </c>
      <c r="W154" s="147">
        <v>1.259300457485818E-3</v>
      </c>
      <c r="X154" s="181"/>
    </row>
    <row r="155" spans="1:24" x14ac:dyDescent="0.2">
      <c r="A155" s="142" t="s">
        <v>1220</v>
      </c>
      <c r="B155" s="143" t="s">
        <v>1221</v>
      </c>
      <c r="C155" s="143" t="s">
        <v>2762</v>
      </c>
      <c r="D155" s="143" t="s">
        <v>2763</v>
      </c>
      <c r="E155" s="143" t="s">
        <v>313</v>
      </c>
      <c r="F155" s="143" t="s">
        <v>2785</v>
      </c>
      <c r="G155" s="143" t="s">
        <v>2786</v>
      </c>
      <c r="H155" s="143" t="s">
        <v>321</v>
      </c>
      <c r="I155" s="143" t="s">
        <v>965</v>
      </c>
      <c r="J155" s="143" t="s">
        <v>205</v>
      </c>
      <c r="K155" s="143" t="s">
        <v>224</v>
      </c>
      <c r="L155" s="143" t="s">
        <v>344</v>
      </c>
      <c r="M155" s="143" t="s">
        <v>708</v>
      </c>
      <c r="N155" s="143" t="s">
        <v>339</v>
      </c>
      <c r="O155" s="143" t="s">
        <v>1211</v>
      </c>
      <c r="P155" s="144">
        <v>5264</v>
      </c>
      <c r="Q155" s="143" t="s">
        <v>1212</v>
      </c>
      <c r="R155" s="143" t="s">
        <v>2787</v>
      </c>
      <c r="S155" s="144" t="s">
        <v>3878</v>
      </c>
      <c r="T155" s="144">
        <v>1108.8846000000001</v>
      </c>
      <c r="U155" s="146">
        <v>4.3921568627450981E-5</v>
      </c>
      <c r="V155" s="146">
        <v>1.6529902839565482E-3</v>
      </c>
      <c r="W155" s="147">
        <v>1.0096131359811869E-3</v>
      </c>
      <c r="X155" s="181"/>
    </row>
    <row r="156" spans="1:24" x14ac:dyDescent="0.2">
      <c r="A156" s="142" t="s">
        <v>1220</v>
      </c>
      <c r="B156" s="143" t="s">
        <v>1221</v>
      </c>
      <c r="C156" s="143" t="s">
        <v>2797</v>
      </c>
      <c r="D156" s="143" t="s">
        <v>2798</v>
      </c>
      <c r="E156" s="143" t="s">
        <v>313</v>
      </c>
      <c r="F156" s="143" t="s">
        <v>2799</v>
      </c>
      <c r="G156" s="143" t="s">
        <v>2800</v>
      </c>
      <c r="H156" s="143" t="s">
        <v>321</v>
      </c>
      <c r="I156" s="143" t="s">
        <v>965</v>
      </c>
      <c r="J156" s="143" t="s">
        <v>205</v>
      </c>
      <c r="K156" s="143" t="s">
        <v>268</v>
      </c>
      <c r="L156" s="143" t="s">
        <v>344</v>
      </c>
      <c r="M156" s="143" t="s">
        <v>588</v>
      </c>
      <c r="N156" s="143" t="s">
        <v>339</v>
      </c>
      <c r="O156" s="143" t="s">
        <v>1211</v>
      </c>
      <c r="P156" s="144">
        <v>5054</v>
      </c>
      <c r="Q156" s="143" t="s">
        <v>1212</v>
      </c>
      <c r="R156" s="143" t="s">
        <v>2801</v>
      </c>
      <c r="S156" s="144" t="s">
        <v>3878</v>
      </c>
      <c r="T156" s="144">
        <v>493.7577</v>
      </c>
      <c r="U156" s="146">
        <v>2.7370701326834552E-5</v>
      </c>
      <c r="V156" s="146">
        <v>7.3603388870654117E-4</v>
      </c>
      <c r="W156" s="147">
        <v>4.4955465847431014E-4</v>
      </c>
      <c r="X156" s="181"/>
    </row>
    <row r="157" spans="1:24" x14ac:dyDescent="0.2">
      <c r="A157" s="142" t="s">
        <v>1220</v>
      </c>
      <c r="B157" s="143" t="s">
        <v>1221</v>
      </c>
      <c r="C157" s="143" t="s">
        <v>2793</v>
      </c>
      <c r="D157" s="143" t="s">
        <v>2794</v>
      </c>
      <c r="E157" s="143" t="s">
        <v>313</v>
      </c>
      <c r="F157" s="143" t="s">
        <v>2793</v>
      </c>
      <c r="G157" s="143" t="s">
        <v>2795</v>
      </c>
      <c r="H157" s="143" t="s">
        <v>321</v>
      </c>
      <c r="I157" s="143" t="s">
        <v>965</v>
      </c>
      <c r="J157" s="143" t="s">
        <v>205</v>
      </c>
      <c r="K157" s="143" t="s">
        <v>224</v>
      </c>
      <c r="L157" s="143" t="s">
        <v>344</v>
      </c>
      <c r="M157" s="143" t="s">
        <v>703</v>
      </c>
      <c r="N157" s="143" t="s">
        <v>339</v>
      </c>
      <c r="O157" s="143" t="s">
        <v>1211</v>
      </c>
      <c r="P157" s="144">
        <v>6351</v>
      </c>
      <c r="Q157" s="143" t="s">
        <v>1212</v>
      </c>
      <c r="R157" s="143" t="s">
        <v>2796</v>
      </c>
      <c r="S157" s="144" t="s">
        <v>3878</v>
      </c>
      <c r="T157" s="144">
        <v>469.35120000000001</v>
      </c>
      <c r="U157" s="146">
        <v>1.3663941480206539E-4</v>
      </c>
      <c r="V157" s="146">
        <v>6.9965174214874342E-4</v>
      </c>
      <c r="W157" s="147">
        <v>4.2733317693479072E-4</v>
      </c>
      <c r="X157" s="181"/>
    </row>
    <row r="158" spans="1:24" x14ac:dyDescent="0.2">
      <c r="A158" s="142" t="s">
        <v>1220</v>
      </c>
      <c r="B158" s="143" t="s">
        <v>1221</v>
      </c>
      <c r="C158" s="143" t="s">
        <v>2802</v>
      </c>
      <c r="D158" s="143" t="s">
        <v>2803</v>
      </c>
      <c r="E158" s="143" t="s">
        <v>313</v>
      </c>
      <c r="F158" s="143" t="s">
        <v>2802</v>
      </c>
      <c r="G158" s="143" t="s">
        <v>2804</v>
      </c>
      <c r="H158" s="143" t="s">
        <v>321</v>
      </c>
      <c r="I158" s="143" t="s">
        <v>965</v>
      </c>
      <c r="J158" s="143" t="s">
        <v>205</v>
      </c>
      <c r="K158" s="143" t="s">
        <v>224</v>
      </c>
      <c r="L158" s="143" t="s">
        <v>344</v>
      </c>
      <c r="M158" s="143" t="s">
        <v>703</v>
      </c>
      <c r="N158" s="143" t="s">
        <v>339</v>
      </c>
      <c r="O158" s="143" t="s">
        <v>1211</v>
      </c>
      <c r="P158" s="144">
        <v>1948</v>
      </c>
      <c r="Q158" s="143" t="s">
        <v>1212</v>
      </c>
      <c r="R158" s="143" t="s">
        <v>2805</v>
      </c>
      <c r="S158" s="144" t="s">
        <v>3878</v>
      </c>
      <c r="T158" s="144">
        <v>294.43900000000002</v>
      </c>
      <c r="U158" s="146">
        <v>5.880222168558319E-5</v>
      </c>
      <c r="V158" s="146">
        <v>4.389138843484272E-4</v>
      </c>
      <c r="W158" s="147">
        <v>2.6807975068191518E-4</v>
      </c>
      <c r="X158" s="181"/>
    </row>
    <row r="159" spans="1:24" ht="15" x14ac:dyDescent="0.2">
      <c r="A159" s="142" t="s">
        <v>1220</v>
      </c>
      <c r="B159" s="143" t="s">
        <v>1221</v>
      </c>
      <c r="C159" s="143" t="s">
        <v>2646</v>
      </c>
      <c r="D159" s="143" t="s">
        <v>2647</v>
      </c>
      <c r="E159" s="143" t="s">
        <v>309</v>
      </c>
      <c r="F159" s="143" t="s">
        <v>2809</v>
      </c>
      <c r="G159" s="143" t="s">
        <v>2810</v>
      </c>
      <c r="H159" s="143" t="s">
        <v>321</v>
      </c>
      <c r="I159" s="143" t="s">
        <v>966</v>
      </c>
      <c r="J159" s="143" t="s">
        <v>204</v>
      </c>
      <c r="K159" s="143" t="s">
        <v>204</v>
      </c>
      <c r="L159" s="143" t="s">
        <v>340</v>
      </c>
      <c r="M159" s="143" t="s">
        <v>576</v>
      </c>
      <c r="N159" s="143" t="s">
        <v>339</v>
      </c>
      <c r="O159" s="143" t="s">
        <v>1210</v>
      </c>
      <c r="P159" s="144">
        <v>8350037</v>
      </c>
      <c r="Q159" s="145" t="s">
        <v>3876</v>
      </c>
      <c r="R159" s="143" t="s">
        <v>2811</v>
      </c>
      <c r="S159" s="144" t="s">
        <v>3878</v>
      </c>
      <c r="T159" s="144">
        <v>38059.4686</v>
      </c>
      <c r="U159" s="146">
        <v>0.208750925</v>
      </c>
      <c r="V159" s="146">
        <v>5.673442904888798E-2</v>
      </c>
      <c r="W159" s="147">
        <v>3.4652245319341295E-2</v>
      </c>
      <c r="X159" s="181"/>
    </row>
    <row r="160" spans="1:24" ht="15" x14ac:dyDescent="0.2">
      <c r="A160" s="142" t="s">
        <v>1220</v>
      </c>
      <c r="B160" s="143" t="s">
        <v>1221</v>
      </c>
      <c r="C160" s="143" t="s">
        <v>2632</v>
      </c>
      <c r="D160" s="143" t="s">
        <v>2633</v>
      </c>
      <c r="E160" s="143" t="s">
        <v>309</v>
      </c>
      <c r="F160" s="143" t="s">
        <v>2818</v>
      </c>
      <c r="G160" s="143" t="s">
        <v>2819</v>
      </c>
      <c r="H160" s="143" t="s">
        <v>321</v>
      </c>
      <c r="I160" s="143" t="s">
        <v>966</v>
      </c>
      <c r="J160" s="143" t="s">
        <v>204</v>
      </c>
      <c r="K160" s="143" t="s">
        <v>204</v>
      </c>
      <c r="L160" s="143" t="s">
        <v>340</v>
      </c>
      <c r="M160" s="143" t="s">
        <v>576</v>
      </c>
      <c r="N160" s="143" t="s">
        <v>339</v>
      </c>
      <c r="O160" s="143" t="s">
        <v>1210</v>
      </c>
      <c r="P160" s="144">
        <v>29716498</v>
      </c>
      <c r="Q160" s="145" t="s">
        <v>3876</v>
      </c>
      <c r="R160" s="143" t="s">
        <v>2820</v>
      </c>
      <c r="S160" s="144" t="s">
        <v>3878</v>
      </c>
      <c r="T160" s="144">
        <v>32497.962199999998</v>
      </c>
      <c r="U160" s="146">
        <v>7.4291245000000006E-2</v>
      </c>
      <c r="V160" s="146">
        <v>4.8444011358769197E-2</v>
      </c>
      <c r="W160" s="147">
        <v>2.9588625354993854E-2</v>
      </c>
      <c r="X160" s="181"/>
    </row>
    <row r="161" spans="1:24" ht="15" x14ac:dyDescent="0.2">
      <c r="A161" s="142" t="s">
        <v>1220</v>
      </c>
      <c r="B161" s="143" t="s">
        <v>1221</v>
      </c>
      <c r="C161" s="143" t="s">
        <v>2637</v>
      </c>
      <c r="D161" s="143" t="s">
        <v>2638</v>
      </c>
      <c r="E161" s="143" t="s">
        <v>309</v>
      </c>
      <c r="F161" s="143" t="s">
        <v>2806</v>
      </c>
      <c r="G161" s="143" t="s">
        <v>2807</v>
      </c>
      <c r="H161" s="143" t="s">
        <v>321</v>
      </c>
      <c r="I161" s="143" t="s">
        <v>966</v>
      </c>
      <c r="J161" s="143" t="s">
        <v>204</v>
      </c>
      <c r="K161" s="143" t="s">
        <v>204</v>
      </c>
      <c r="L161" s="143" t="s">
        <v>340</v>
      </c>
      <c r="M161" s="143" t="s">
        <v>576</v>
      </c>
      <c r="N161" s="143" t="s">
        <v>339</v>
      </c>
      <c r="O161" s="143" t="s">
        <v>1210</v>
      </c>
      <c r="P161" s="144">
        <v>6902534</v>
      </c>
      <c r="Q161" s="145" t="s">
        <v>3876</v>
      </c>
      <c r="R161" s="143" t="s">
        <v>2808</v>
      </c>
      <c r="S161" s="144" t="s">
        <v>3878</v>
      </c>
      <c r="T161" s="144">
        <v>25270.867200000001</v>
      </c>
      <c r="U161" s="146">
        <v>5.4095094043887147E-2</v>
      </c>
      <c r="V161" s="146">
        <v>3.7670736737084654E-2</v>
      </c>
      <c r="W161" s="147">
        <v>2.3008526439015357E-2</v>
      </c>
      <c r="X161" s="181"/>
    </row>
    <row r="162" spans="1:24" ht="15" x14ac:dyDescent="0.2">
      <c r="A162" s="142" t="s">
        <v>1220</v>
      </c>
      <c r="B162" s="143" t="s">
        <v>1221</v>
      </c>
      <c r="C162" s="143" t="s">
        <v>2646</v>
      </c>
      <c r="D162" s="143" t="s">
        <v>2647</v>
      </c>
      <c r="E162" s="143" t="s">
        <v>309</v>
      </c>
      <c r="F162" s="143" t="s">
        <v>2815</v>
      </c>
      <c r="G162" s="143" t="s">
        <v>2816</v>
      </c>
      <c r="H162" s="143" t="s">
        <v>321</v>
      </c>
      <c r="I162" s="143" t="s">
        <v>966</v>
      </c>
      <c r="J162" s="143" t="s">
        <v>204</v>
      </c>
      <c r="K162" s="143" t="s">
        <v>204</v>
      </c>
      <c r="L162" s="143" t="s">
        <v>340</v>
      </c>
      <c r="M162" s="143" t="s">
        <v>632</v>
      </c>
      <c r="N162" s="143" t="s">
        <v>339</v>
      </c>
      <c r="O162" s="143" t="s">
        <v>1210</v>
      </c>
      <c r="P162" s="144">
        <v>5338028</v>
      </c>
      <c r="Q162" s="145" t="s">
        <v>3876</v>
      </c>
      <c r="R162" s="143" t="s">
        <v>2817</v>
      </c>
      <c r="S162" s="144" t="s">
        <v>3878</v>
      </c>
      <c r="T162" s="144">
        <v>23808.1387</v>
      </c>
      <c r="U162" s="146">
        <v>0.15093452097273366</v>
      </c>
      <c r="V162" s="146">
        <v>3.5490278843589768E-2</v>
      </c>
      <c r="W162" s="147">
        <v>2.1676746722526612E-2</v>
      </c>
      <c r="X162" s="181"/>
    </row>
    <row r="163" spans="1:24" ht="15" x14ac:dyDescent="0.2">
      <c r="A163" s="142" t="s">
        <v>1220</v>
      </c>
      <c r="B163" s="143" t="s">
        <v>1221</v>
      </c>
      <c r="C163" s="143" t="s">
        <v>2637</v>
      </c>
      <c r="D163" s="143" t="s">
        <v>2638</v>
      </c>
      <c r="E163" s="143" t="s">
        <v>309</v>
      </c>
      <c r="F163" s="143" t="s">
        <v>2821</v>
      </c>
      <c r="G163" s="143" t="s">
        <v>2822</v>
      </c>
      <c r="H163" s="143" t="s">
        <v>321</v>
      </c>
      <c r="I163" s="143" t="s">
        <v>966</v>
      </c>
      <c r="J163" s="143" t="s">
        <v>204</v>
      </c>
      <c r="K163" s="143" t="s">
        <v>204</v>
      </c>
      <c r="L163" s="143" t="s">
        <v>340</v>
      </c>
      <c r="M163" s="143" t="s">
        <v>632</v>
      </c>
      <c r="N163" s="143" t="s">
        <v>339</v>
      </c>
      <c r="O163" s="143" t="s">
        <v>1210</v>
      </c>
      <c r="P163" s="144">
        <v>5348383</v>
      </c>
      <c r="Q163" s="145" t="s">
        <v>3876</v>
      </c>
      <c r="R163" s="143" t="s">
        <v>2823</v>
      </c>
      <c r="S163" s="144" t="s">
        <v>3878</v>
      </c>
      <c r="T163" s="144">
        <v>20485.376600000003</v>
      </c>
      <c r="U163" s="146">
        <v>7.1311773333333328E-2</v>
      </c>
      <c r="V163" s="146">
        <v>3.0537109021874599E-2</v>
      </c>
      <c r="W163" s="147">
        <v>1.8651450466834474E-2</v>
      </c>
      <c r="X163" s="181"/>
    </row>
    <row r="164" spans="1:24" ht="15" x14ac:dyDescent="0.2">
      <c r="A164" s="142" t="s">
        <v>1220</v>
      </c>
      <c r="B164" s="143" t="s">
        <v>1221</v>
      </c>
      <c r="C164" s="143" t="s">
        <v>2632</v>
      </c>
      <c r="D164" s="143" t="s">
        <v>2633</v>
      </c>
      <c r="E164" s="143" t="s">
        <v>309</v>
      </c>
      <c r="F164" s="143" t="s">
        <v>2812</v>
      </c>
      <c r="G164" s="143" t="s">
        <v>2813</v>
      </c>
      <c r="H164" s="143" t="s">
        <v>321</v>
      </c>
      <c r="I164" s="143" t="s">
        <v>966</v>
      </c>
      <c r="J164" s="143" t="s">
        <v>204</v>
      </c>
      <c r="K164" s="143" t="s">
        <v>204</v>
      </c>
      <c r="L164" s="143" t="s">
        <v>340</v>
      </c>
      <c r="M164" s="143" t="s">
        <v>632</v>
      </c>
      <c r="N164" s="143" t="s">
        <v>339</v>
      </c>
      <c r="O164" s="143" t="s">
        <v>1210</v>
      </c>
      <c r="P164" s="144">
        <v>400716.07</v>
      </c>
      <c r="Q164" s="145" t="s">
        <v>3876</v>
      </c>
      <c r="R164" s="143" t="s">
        <v>2814</v>
      </c>
      <c r="S164" s="144" t="s">
        <v>3878</v>
      </c>
      <c r="T164" s="144">
        <v>15317.892699999999</v>
      </c>
      <c r="U164" s="146">
        <v>4.5566151222384943E-2</v>
      </c>
      <c r="V164" s="146">
        <v>2.2834052283458209E-2</v>
      </c>
      <c r="W164" s="147">
        <v>1.3946578728751094E-2</v>
      </c>
      <c r="X164" s="181"/>
    </row>
    <row r="165" spans="1:24" x14ac:dyDescent="0.2">
      <c r="A165" s="142" t="s">
        <v>1220</v>
      </c>
      <c r="B165" s="143" t="s">
        <v>1221</v>
      </c>
      <c r="C165" s="143" t="s">
        <v>2824</v>
      </c>
      <c r="D165" s="143" t="s">
        <v>2825</v>
      </c>
      <c r="E165" s="143" t="s">
        <v>313</v>
      </c>
      <c r="F165" s="143" t="s">
        <v>2824</v>
      </c>
      <c r="G165" s="143" t="s">
        <v>2826</v>
      </c>
      <c r="H165" s="143" t="s">
        <v>321</v>
      </c>
      <c r="I165" s="143" t="s">
        <v>967</v>
      </c>
      <c r="J165" s="143" t="s">
        <v>205</v>
      </c>
      <c r="K165" s="143" t="s">
        <v>224</v>
      </c>
      <c r="L165" s="143" t="s">
        <v>380</v>
      </c>
      <c r="M165" s="143" t="s">
        <v>592</v>
      </c>
      <c r="N165" s="143" t="s">
        <v>339</v>
      </c>
      <c r="O165" s="143" t="s">
        <v>1211</v>
      </c>
      <c r="P165" s="144">
        <v>752969</v>
      </c>
      <c r="Q165" s="143" t="s">
        <v>1212</v>
      </c>
      <c r="R165" s="143" t="s">
        <v>2827</v>
      </c>
      <c r="S165" s="144" t="s">
        <v>3878</v>
      </c>
      <c r="T165" s="144">
        <v>16229.5736</v>
      </c>
      <c r="U165" s="146">
        <v>2.4793184063220284E-3</v>
      </c>
      <c r="V165" s="146">
        <v>2.4193075388864192E-2</v>
      </c>
      <c r="W165" s="147">
        <v>1.4776642639372296E-2</v>
      </c>
      <c r="X165" s="181"/>
    </row>
    <row r="166" spans="1:24" x14ac:dyDescent="0.2">
      <c r="A166" s="142" t="s">
        <v>1220</v>
      </c>
      <c r="B166" s="143" t="s">
        <v>1221</v>
      </c>
      <c r="C166" s="143" t="s">
        <v>2828</v>
      </c>
      <c r="D166" s="143" t="s">
        <v>2829</v>
      </c>
      <c r="E166" s="143" t="s">
        <v>313</v>
      </c>
      <c r="F166" s="143" t="s">
        <v>2828</v>
      </c>
      <c r="G166" s="143" t="s">
        <v>2830</v>
      </c>
      <c r="H166" s="143" t="s">
        <v>321</v>
      </c>
      <c r="I166" s="143" t="s">
        <v>967</v>
      </c>
      <c r="J166" s="143" t="s">
        <v>205</v>
      </c>
      <c r="K166" s="143" t="s">
        <v>224</v>
      </c>
      <c r="L166" s="143" t="s">
        <v>314</v>
      </c>
      <c r="M166" s="143" t="s">
        <v>677</v>
      </c>
      <c r="N166" s="143" t="s">
        <v>339</v>
      </c>
      <c r="O166" s="143" t="s">
        <v>1211</v>
      </c>
      <c r="P166" s="144">
        <v>11906</v>
      </c>
      <c r="Q166" s="143" t="s">
        <v>1212</v>
      </c>
      <c r="R166" s="143" t="s">
        <v>2831</v>
      </c>
      <c r="S166" s="144" t="s">
        <v>3878</v>
      </c>
      <c r="T166" s="144">
        <v>4178.7420000000002</v>
      </c>
      <c r="U166" s="146">
        <v>7.8748594483762154E-4</v>
      </c>
      <c r="V166" s="146">
        <v>6.2291606383922827E-3</v>
      </c>
      <c r="W166" s="147">
        <v>3.8046457185486539E-3</v>
      </c>
      <c r="X166" s="181"/>
    </row>
    <row r="167" spans="1:24" x14ac:dyDescent="0.2">
      <c r="A167" s="142" t="s">
        <v>1220</v>
      </c>
      <c r="B167" s="143" t="s">
        <v>1221</v>
      </c>
      <c r="C167" s="143" t="s">
        <v>2832</v>
      </c>
      <c r="D167" s="143" t="s">
        <v>2833</v>
      </c>
      <c r="E167" s="143" t="s">
        <v>313</v>
      </c>
      <c r="F167" s="143" t="s">
        <v>2832</v>
      </c>
      <c r="G167" s="143" t="s">
        <v>2834</v>
      </c>
      <c r="H167" s="143" t="s">
        <v>321</v>
      </c>
      <c r="I167" s="143" t="s">
        <v>967</v>
      </c>
      <c r="J167" s="143" t="s">
        <v>205</v>
      </c>
      <c r="K167" s="143" t="s">
        <v>224</v>
      </c>
      <c r="L167" s="143" t="s">
        <v>314</v>
      </c>
      <c r="M167" s="143" t="s">
        <v>677</v>
      </c>
      <c r="N167" s="143" t="s">
        <v>339</v>
      </c>
      <c r="O167" s="143" t="s">
        <v>1211</v>
      </c>
      <c r="P167" s="144">
        <v>22819</v>
      </c>
      <c r="Q167" s="143" t="s">
        <v>1212</v>
      </c>
      <c r="R167" s="143" t="s">
        <v>2835</v>
      </c>
      <c r="S167" s="144" t="s">
        <v>3878</v>
      </c>
      <c r="T167" s="144">
        <v>1803.8823</v>
      </c>
      <c r="U167" s="146">
        <v>4.0748214285714285E-3</v>
      </c>
      <c r="V167" s="146">
        <v>2.6890084977851184E-3</v>
      </c>
      <c r="W167" s="147">
        <v>1.642392171616817E-3</v>
      </c>
      <c r="X167" s="181"/>
    </row>
    <row r="168" spans="1:24" x14ac:dyDescent="0.2">
      <c r="A168" s="142" t="s">
        <v>1220</v>
      </c>
      <c r="B168" s="143" t="s">
        <v>1221</v>
      </c>
      <c r="C168" s="143" t="s">
        <v>2836</v>
      </c>
      <c r="D168" s="143" t="s">
        <v>2837</v>
      </c>
      <c r="E168" s="143" t="s">
        <v>313</v>
      </c>
      <c r="F168" s="143" t="s">
        <v>2836</v>
      </c>
      <c r="G168" s="143" t="s">
        <v>2838</v>
      </c>
      <c r="H168" s="143" t="s">
        <v>321</v>
      </c>
      <c r="I168" s="143" t="s">
        <v>967</v>
      </c>
      <c r="J168" s="143" t="s">
        <v>205</v>
      </c>
      <c r="K168" s="143" t="s">
        <v>233</v>
      </c>
      <c r="L168" s="143" t="s">
        <v>380</v>
      </c>
      <c r="M168" s="143" t="s">
        <v>677</v>
      </c>
      <c r="N168" s="143" t="s">
        <v>339</v>
      </c>
      <c r="O168" s="143" t="s">
        <v>1211</v>
      </c>
      <c r="P168" s="144">
        <v>3200</v>
      </c>
      <c r="Q168" s="143" t="s">
        <v>1212</v>
      </c>
      <c r="R168" s="143" t="s">
        <v>2839</v>
      </c>
      <c r="S168" s="144" t="s">
        <v>3878</v>
      </c>
      <c r="T168" s="144">
        <v>1105.4467</v>
      </c>
      <c r="U168" s="146">
        <v>1.0007505629221917E-4</v>
      </c>
      <c r="V168" s="146">
        <v>1.647865583371916E-3</v>
      </c>
      <c r="W168" s="147">
        <v>1.0064830721941023E-3</v>
      </c>
      <c r="X168" s="181"/>
    </row>
    <row r="169" spans="1:24" ht="15" x14ac:dyDescent="0.2">
      <c r="A169" s="142" t="s">
        <v>1220</v>
      </c>
      <c r="B169" s="143" t="s">
        <v>1222</v>
      </c>
      <c r="C169" s="143" t="s">
        <v>2637</v>
      </c>
      <c r="D169" s="143" t="s">
        <v>2638</v>
      </c>
      <c r="E169" s="143" t="s">
        <v>309</v>
      </c>
      <c r="F169" s="143" t="s">
        <v>2843</v>
      </c>
      <c r="G169" s="143" t="s">
        <v>2844</v>
      </c>
      <c r="H169" s="143" t="s">
        <v>321</v>
      </c>
      <c r="I169" s="143" t="s">
        <v>966</v>
      </c>
      <c r="J169" s="143" t="s">
        <v>204</v>
      </c>
      <c r="K169" s="143" t="s">
        <v>204</v>
      </c>
      <c r="L169" s="143" t="s">
        <v>340</v>
      </c>
      <c r="M169" s="143" t="s">
        <v>632</v>
      </c>
      <c r="N169" s="143" t="s">
        <v>339</v>
      </c>
      <c r="O169" s="143" t="s">
        <v>1210</v>
      </c>
      <c r="P169" s="144">
        <v>209000</v>
      </c>
      <c r="Q169" s="145" t="s">
        <v>3876</v>
      </c>
      <c r="R169" s="143" t="s">
        <v>2845</v>
      </c>
      <c r="S169" s="144" t="s">
        <v>3878</v>
      </c>
      <c r="T169" s="144">
        <v>801.15969999999993</v>
      </c>
      <c r="U169" s="146">
        <v>7.6572862187082667E-4</v>
      </c>
      <c r="V169" s="146">
        <v>0.31079622433382775</v>
      </c>
      <c r="W169" s="147">
        <v>6.5972767758176343E-2</v>
      </c>
      <c r="X169" s="181"/>
    </row>
    <row r="170" spans="1:24" ht="15" x14ac:dyDescent="0.2">
      <c r="A170" s="142" t="s">
        <v>1220</v>
      </c>
      <c r="B170" s="143" t="s">
        <v>1222</v>
      </c>
      <c r="C170" s="143" t="s">
        <v>2646</v>
      </c>
      <c r="D170" s="143" t="s">
        <v>2647</v>
      </c>
      <c r="E170" s="143" t="s">
        <v>309</v>
      </c>
      <c r="F170" s="143" t="s">
        <v>2840</v>
      </c>
      <c r="G170" s="143" t="s">
        <v>2841</v>
      </c>
      <c r="H170" s="143" t="s">
        <v>321</v>
      </c>
      <c r="I170" s="143" t="s">
        <v>966</v>
      </c>
      <c r="J170" s="143" t="s">
        <v>204</v>
      </c>
      <c r="K170" s="143" t="s">
        <v>204</v>
      </c>
      <c r="L170" s="143" t="s">
        <v>340</v>
      </c>
      <c r="M170" s="143" t="s">
        <v>576</v>
      </c>
      <c r="N170" s="143" t="s">
        <v>339</v>
      </c>
      <c r="O170" s="143" t="s">
        <v>1210</v>
      </c>
      <c r="P170" s="144">
        <v>128634</v>
      </c>
      <c r="Q170" s="145" t="s">
        <v>3876</v>
      </c>
      <c r="R170" s="143" t="s">
        <v>2842</v>
      </c>
      <c r="S170" s="144" t="s">
        <v>3878</v>
      </c>
      <c r="T170" s="144">
        <v>584.15269999999998</v>
      </c>
      <c r="U170" s="146">
        <v>8.8809574532931778E-4</v>
      </c>
      <c r="V170" s="146">
        <v>0.22661207254804833</v>
      </c>
      <c r="W170" s="147">
        <v>4.8102983443432348E-2</v>
      </c>
      <c r="X170" s="181"/>
    </row>
    <row r="171" spans="1:24" ht="15" x14ac:dyDescent="0.2">
      <c r="A171" s="142" t="s">
        <v>1220</v>
      </c>
      <c r="B171" s="143" t="s">
        <v>1222</v>
      </c>
      <c r="C171" s="143" t="s">
        <v>2632</v>
      </c>
      <c r="D171" s="143" t="s">
        <v>2633</v>
      </c>
      <c r="E171" s="143" t="s">
        <v>309</v>
      </c>
      <c r="F171" s="143" t="s">
        <v>2846</v>
      </c>
      <c r="G171" s="143" t="s">
        <v>2847</v>
      </c>
      <c r="H171" s="143" t="s">
        <v>321</v>
      </c>
      <c r="I171" s="143" t="s">
        <v>966</v>
      </c>
      <c r="J171" s="143" t="s">
        <v>204</v>
      </c>
      <c r="K171" s="143" t="s">
        <v>204</v>
      </c>
      <c r="L171" s="143" t="s">
        <v>340</v>
      </c>
      <c r="M171" s="143" t="s">
        <v>632</v>
      </c>
      <c r="N171" s="143" t="s">
        <v>339</v>
      </c>
      <c r="O171" s="143" t="s">
        <v>1210</v>
      </c>
      <c r="P171" s="144">
        <v>11163.74</v>
      </c>
      <c r="Q171" s="145" t="s">
        <v>3876</v>
      </c>
      <c r="R171" s="143" t="s">
        <v>2848</v>
      </c>
      <c r="S171" s="144" t="s">
        <v>3878</v>
      </c>
      <c r="T171" s="144">
        <v>426.69490000000002</v>
      </c>
      <c r="U171" s="146">
        <v>2.0672901964534371E-4</v>
      </c>
      <c r="V171" s="146">
        <v>0.16552899535557261</v>
      </c>
      <c r="W171" s="147">
        <v>3.5136868188294923E-2</v>
      </c>
      <c r="X171" s="181"/>
    </row>
    <row r="172" spans="1:24" ht="15" x14ac:dyDescent="0.2">
      <c r="A172" s="142" t="s">
        <v>1220</v>
      </c>
      <c r="B172" s="143" t="s">
        <v>1222</v>
      </c>
      <c r="C172" s="143" t="s">
        <v>2646</v>
      </c>
      <c r="D172" s="143" t="s">
        <v>2647</v>
      </c>
      <c r="E172" s="143" t="s">
        <v>309</v>
      </c>
      <c r="F172" s="143" t="s">
        <v>2857</v>
      </c>
      <c r="G172" s="143" t="s">
        <v>2858</v>
      </c>
      <c r="H172" s="143" t="s">
        <v>321</v>
      </c>
      <c r="I172" s="143" t="s">
        <v>966</v>
      </c>
      <c r="J172" s="143" t="s">
        <v>204</v>
      </c>
      <c r="K172" s="143" t="s">
        <v>204</v>
      </c>
      <c r="L172" s="143" t="s">
        <v>340</v>
      </c>
      <c r="M172" s="143" t="s">
        <v>632</v>
      </c>
      <c r="N172" s="143" t="s">
        <v>339</v>
      </c>
      <c r="O172" s="143" t="s">
        <v>1210</v>
      </c>
      <c r="P172" s="144">
        <v>94204</v>
      </c>
      <c r="Q172" s="145" t="s">
        <v>3876</v>
      </c>
      <c r="R172" s="143" t="s">
        <v>2859</v>
      </c>
      <c r="S172" s="144" t="s">
        <v>3878</v>
      </c>
      <c r="T172" s="144">
        <v>419.20779999999996</v>
      </c>
      <c r="U172" s="146">
        <v>3.825681120300627E-4</v>
      </c>
      <c r="V172" s="146">
        <v>0.16262450726277219</v>
      </c>
      <c r="W172" s="147">
        <v>3.4520332003489487E-2</v>
      </c>
      <c r="X172" s="181"/>
    </row>
    <row r="173" spans="1:24" ht="15" x14ac:dyDescent="0.2">
      <c r="A173" s="142" t="s">
        <v>1220</v>
      </c>
      <c r="B173" s="143" t="s">
        <v>1222</v>
      </c>
      <c r="C173" s="143" t="s">
        <v>2646</v>
      </c>
      <c r="D173" s="143" t="s">
        <v>2647</v>
      </c>
      <c r="E173" s="143" t="s">
        <v>309</v>
      </c>
      <c r="F173" s="143" t="s">
        <v>2952</v>
      </c>
      <c r="G173" s="143" t="s">
        <v>2953</v>
      </c>
      <c r="H173" s="143" t="s">
        <v>321</v>
      </c>
      <c r="I173" s="143" t="s">
        <v>966</v>
      </c>
      <c r="J173" s="143" t="s">
        <v>204</v>
      </c>
      <c r="K173" s="143" t="s">
        <v>204</v>
      </c>
      <c r="L173" s="143" t="s">
        <v>340</v>
      </c>
      <c r="M173" s="143" t="s">
        <v>634</v>
      </c>
      <c r="N173" s="143" t="s">
        <v>339</v>
      </c>
      <c r="O173" s="143" t="s">
        <v>1210</v>
      </c>
      <c r="P173" s="144">
        <v>3433</v>
      </c>
      <c r="Q173" s="145" t="s">
        <v>3876</v>
      </c>
      <c r="R173" s="143" t="s">
        <v>2954</v>
      </c>
      <c r="S173" s="144" t="s">
        <v>3878</v>
      </c>
      <c r="T173" s="144">
        <v>10.5647</v>
      </c>
      <c r="U173" s="146">
        <v>1.3732E-5</v>
      </c>
      <c r="V173" s="146">
        <v>4.098400461887905E-3</v>
      </c>
      <c r="W173" s="147">
        <v>8.6996816782984447E-4</v>
      </c>
      <c r="X173" s="181"/>
    </row>
    <row r="174" spans="1:24" x14ac:dyDescent="0.2">
      <c r="A174" s="142" t="s">
        <v>1220</v>
      </c>
      <c r="B174" s="143" t="s">
        <v>1222</v>
      </c>
      <c r="C174" s="143" t="s">
        <v>2824</v>
      </c>
      <c r="D174" s="143" t="s">
        <v>2825</v>
      </c>
      <c r="E174" s="143" t="s">
        <v>313</v>
      </c>
      <c r="F174" s="143" t="s">
        <v>2824</v>
      </c>
      <c r="G174" s="143" t="s">
        <v>2826</v>
      </c>
      <c r="H174" s="143" t="s">
        <v>321</v>
      </c>
      <c r="I174" s="143" t="s">
        <v>967</v>
      </c>
      <c r="J174" s="143" t="s">
        <v>205</v>
      </c>
      <c r="K174" s="143" t="s">
        <v>224</v>
      </c>
      <c r="L174" s="143" t="s">
        <v>380</v>
      </c>
      <c r="M174" s="143" t="s">
        <v>592</v>
      </c>
      <c r="N174" s="143" t="s">
        <v>339</v>
      </c>
      <c r="O174" s="143" t="s">
        <v>1211</v>
      </c>
      <c r="P174" s="144">
        <v>15588</v>
      </c>
      <c r="Q174" s="143" t="s">
        <v>1212</v>
      </c>
      <c r="R174" s="143" t="s">
        <v>2827</v>
      </c>
      <c r="S174" s="144" t="s">
        <v>3878</v>
      </c>
      <c r="T174" s="144">
        <v>335.98540000000003</v>
      </c>
      <c r="U174" s="146">
        <v>5.1326967402041486E-5</v>
      </c>
      <c r="V174" s="146">
        <v>0.1303398000378912</v>
      </c>
      <c r="W174" s="147">
        <v>2.7667251672629217E-2</v>
      </c>
      <c r="X174" s="181"/>
    </row>
    <row r="175" spans="1:24" ht="15" x14ac:dyDescent="0.2">
      <c r="A175" s="142" t="s">
        <v>1220</v>
      </c>
      <c r="B175" s="143" t="s">
        <v>1220</v>
      </c>
      <c r="C175" s="143" t="s">
        <v>2632</v>
      </c>
      <c r="D175" s="143" t="s">
        <v>2633</v>
      </c>
      <c r="E175" s="143" t="s">
        <v>309</v>
      </c>
      <c r="F175" s="143" t="s">
        <v>2863</v>
      </c>
      <c r="G175" s="143" t="s">
        <v>2864</v>
      </c>
      <c r="H175" s="143" t="s">
        <v>321</v>
      </c>
      <c r="I175" s="143" t="s">
        <v>965</v>
      </c>
      <c r="J175" s="143" t="s">
        <v>204</v>
      </c>
      <c r="K175" s="143" t="s">
        <v>244</v>
      </c>
      <c r="L175" s="143" t="s">
        <v>340</v>
      </c>
      <c r="M175" s="143" t="s">
        <v>580</v>
      </c>
      <c r="N175" s="143" t="s">
        <v>339</v>
      </c>
      <c r="O175" s="143" t="s">
        <v>1210</v>
      </c>
      <c r="P175" s="144">
        <v>488200</v>
      </c>
      <c r="Q175" s="145" t="s">
        <v>3876</v>
      </c>
      <c r="R175" s="143" t="s">
        <v>2865</v>
      </c>
      <c r="S175" s="144" t="s">
        <v>3878</v>
      </c>
      <c r="T175" s="144">
        <v>53653.18</v>
      </c>
      <c r="U175" s="146">
        <v>4.4458096149876059E-2</v>
      </c>
      <c r="V175" s="146">
        <v>1.0865691983902652E-2</v>
      </c>
      <c r="W175" s="147">
        <v>2.3775907093090388E-3</v>
      </c>
      <c r="X175" s="181"/>
    </row>
    <row r="176" spans="1:24" ht="15" x14ac:dyDescent="0.2">
      <c r="A176" s="142" t="s">
        <v>1220</v>
      </c>
      <c r="B176" s="143" t="s">
        <v>1220</v>
      </c>
      <c r="C176" s="143" t="s">
        <v>2632</v>
      </c>
      <c r="D176" s="143" t="s">
        <v>2633</v>
      </c>
      <c r="E176" s="143" t="s">
        <v>309</v>
      </c>
      <c r="F176" s="143" t="s">
        <v>2866</v>
      </c>
      <c r="G176" s="143" t="s">
        <v>2867</v>
      </c>
      <c r="H176" s="143" t="s">
        <v>321</v>
      </c>
      <c r="I176" s="143" t="s">
        <v>965</v>
      </c>
      <c r="J176" s="143" t="s">
        <v>204</v>
      </c>
      <c r="K176" s="143" t="s">
        <v>224</v>
      </c>
      <c r="L176" s="143" t="s">
        <v>340</v>
      </c>
      <c r="M176" s="143" t="s">
        <v>604</v>
      </c>
      <c r="N176" s="143" t="s">
        <v>339</v>
      </c>
      <c r="O176" s="143" t="s">
        <v>1210</v>
      </c>
      <c r="P176" s="144">
        <v>162230</v>
      </c>
      <c r="Q176" s="145" t="s">
        <v>3876</v>
      </c>
      <c r="R176" s="143" t="s">
        <v>2868</v>
      </c>
      <c r="S176" s="144" t="s">
        <v>3878</v>
      </c>
      <c r="T176" s="144">
        <v>36550.419000000002</v>
      </c>
      <c r="U176" s="146">
        <v>5.8604446178410676E-3</v>
      </c>
      <c r="V176" s="146">
        <v>7.402088650413325E-3</v>
      </c>
      <c r="W176" s="147">
        <v>1.6196977818603215E-3</v>
      </c>
      <c r="X176" s="181"/>
    </row>
    <row r="177" spans="1:24" ht="15" x14ac:dyDescent="0.2">
      <c r="A177" s="142" t="s">
        <v>1220</v>
      </c>
      <c r="B177" s="143" t="s">
        <v>1220</v>
      </c>
      <c r="C177" s="143" t="s">
        <v>2632</v>
      </c>
      <c r="D177" s="143" t="s">
        <v>2633</v>
      </c>
      <c r="E177" s="143" t="s">
        <v>309</v>
      </c>
      <c r="F177" s="143" t="s">
        <v>2872</v>
      </c>
      <c r="G177" s="143" t="s">
        <v>2873</v>
      </c>
      <c r="H177" s="143" t="s">
        <v>321</v>
      </c>
      <c r="I177" s="143" t="s">
        <v>965</v>
      </c>
      <c r="J177" s="143" t="s">
        <v>204</v>
      </c>
      <c r="K177" s="143" t="s">
        <v>224</v>
      </c>
      <c r="L177" s="143" t="s">
        <v>340</v>
      </c>
      <c r="M177" s="143" t="s">
        <v>708</v>
      </c>
      <c r="N177" s="143" t="s">
        <v>339</v>
      </c>
      <c r="O177" s="143" t="s">
        <v>1210</v>
      </c>
      <c r="P177" s="144">
        <v>137344</v>
      </c>
      <c r="Q177" s="145" t="s">
        <v>3876</v>
      </c>
      <c r="R177" s="143" t="s">
        <v>2874</v>
      </c>
      <c r="S177" s="144" t="s">
        <v>3878</v>
      </c>
      <c r="T177" s="144">
        <v>21480.601600000002</v>
      </c>
      <c r="U177" s="146">
        <v>2.0719754399462938E-2</v>
      </c>
      <c r="V177" s="146">
        <v>4.3501913701019489E-3</v>
      </c>
      <c r="W177" s="147">
        <v>9.5189285694769388E-4</v>
      </c>
      <c r="X177" s="181"/>
    </row>
    <row r="178" spans="1:24" ht="15" x14ac:dyDescent="0.2">
      <c r="A178" s="142" t="s">
        <v>1220</v>
      </c>
      <c r="B178" s="143" t="s">
        <v>1220</v>
      </c>
      <c r="C178" s="143" t="s">
        <v>2632</v>
      </c>
      <c r="D178" s="143" t="s">
        <v>2633</v>
      </c>
      <c r="E178" s="143" t="s">
        <v>309</v>
      </c>
      <c r="F178" s="143" t="s">
        <v>2869</v>
      </c>
      <c r="G178" s="143" t="s">
        <v>2870</v>
      </c>
      <c r="H178" s="143" t="s">
        <v>321</v>
      </c>
      <c r="I178" s="143" t="s">
        <v>965</v>
      </c>
      <c r="J178" s="143" t="s">
        <v>204</v>
      </c>
      <c r="K178" s="143" t="s">
        <v>224</v>
      </c>
      <c r="L178" s="143" t="s">
        <v>340</v>
      </c>
      <c r="M178" s="143" t="s">
        <v>698</v>
      </c>
      <c r="N178" s="143" t="s">
        <v>339</v>
      </c>
      <c r="O178" s="143" t="s">
        <v>1210</v>
      </c>
      <c r="P178" s="144">
        <v>100548</v>
      </c>
      <c r="Q178" s="145" t="s">
        <v>3876</v>
      </c>
      <c r="R178" s="143" t="s">
        <v>2871</v>
      </c>
      <c r="S178" s="144" t="s">
        <v>3878</v>
      </c>
      <c r="T178" s="144">
        <v>14659.8984</v>
      </c>
      <c r="U178" s="146">
        <v>1.0024026239444905E-2</v>
      </c>
      <c r="V178" s="146">
        <v>2.9688816306826051E-3</v>
      </c>
      <c r="W178" s="147">
        <v>6.4963974614840058E-4</v>
      </c>
      <c r="X178" s="181"/>
    </row>
    <row r="179" spans="1:24" x14ac:dyDescent="0.2">
      <c r="A179" s="142" t="s">
        <v>1220</v>
      </c>
      <c r="B179" s="143" t="s">
        <v>1220</v>
      </c>
      <c r="C179" s="143" t="s">
        <v>2656</v>
      </c>
      <c r="D179" s="143" t="s">
        <v>2657</v>
      </c>
      <c r="E179" s="143" t="s">
        <v>313</v>
      </c>
      <c r="F179" s="143" t="s">
        <v>2658</v>
      </c>
      <c r="G179" s="143" t="s">
        <v>2659</v>
      </c>
      <c r="H179" s="143" t="s">
        <v>321</v>
      </c>
      <c r="I179" s="143" t="s">
        <v>965</v>
      </c>
      <c r="J179" s="143" t="s">
        <v>205</v>
      </c>
      <c r="K179" s="143" t="s">
        <v>224</v>
      </c>
      <c r="L179" s="143" t="s">
        <v>344</v>
      </c>
      <c r="M179" s="143" t="s">
        <v>597</v>
      </c>
      <c r="N179" s="143" t="s">
        <v>339</v>
      </c>
      <c r="O179" s="143" t="s">
        <v>1211</v>
      </c>
      <c r="P179" s="144">
        <v>261643</v>
      </c>
      <c r="Q179" s="143" t="s">
        <v>1212</v>
      </c>
      <c r="R179" s="143" t="s">
        <v>2660</v>
      </c>
      <c r="S179" s="144">
        <v>199.24114</v>
      </c>
      <c r="T179" s="144">
        <v>471961.31589999999</v>
      </c>
      <c r="U179" s="146">
        <v>4.8421023410752292E-4</v>
      </c>
      <c r="V179" s="146">
        <v>9.562063572179369E-2</v>
      </c>
      <c r="W179" s="147">
        <v>2.092335540591167E-2</v>
      </c>
      <c r="X179" s="181"/>
    </row>
    <row r="180" spans="1:24" x14ac:dyDescent="0.2">
      <c r="A180" s="142" t="s">
        <v>1220</v>
      </c>
      <c r="B180" s="143" t="s">
        <v>1220</v>
      </c>
      <c r="C180" s="143" t="s">
        <v>2651</v>
      </c>
      <c r="D180" s="143" t="s">
        <v>2652</v>
      </c>
      <c r="E180" s="143" t="s">
        <v>313</v>
      </c>
      <c r="F180" s="143" t="s">
        <v>2653</v>
      </c>
      <c r="G180" s="143" t="s">
        <v>2654</v>
      </c>
      <c r="H180" s="143" t="s">
        <v>321</v>
      </c>
      <c r="I180" s="143" t="s">
        <v>965</v>
      </c>
      <c r="J180" s="143" t="s">
        <v>205</v>
      </c>
      <c r="K180" s="143" t="s">
        <v>224</v>
      </c>
      <c r="L180" s="143" t="s">
        <v>344</v>
      </c>
      <c r="M180" s="143" t="s">
        <v>604</v>
      </c>
      <c r="N180" s="143" t="s">
        <v>339</v>
      </c>
      <c r="O180" s="143" t="s">
        <v>1211</v>
      </c>
      <c r="P180" s="144">
        <v>204687</v>
      </c>
      <c r="Q180" s="143" t="s">
        <v>1212</v>
      </c>
      <c r="R180" s="143" t="s">
        <v>2655</v>
      </c>
      <c r="S180" s="144">
        <v>360.04853000000003</v>
      </c>
      <c r="T180" s="144">
        <v>420086.32199999999</v>
      </c>
      <c r="U180" s="146">
        <v>2.170750382848392E-4</v>
      </c>
      <c r="V180" s="146">
        <v>8.5147623277341267E-2</v>
      </c>
      <c r="W180" s="147">
        <v>1.8631689387465927E-2</v>
      </c>
      <c r="X180" s="181"/>
    </row>
    <row r="181" spans="1:24" x14ac:dyDescent="0.2">
      <c r="A181" s="142" t="s">
        <v>1220</v>
      </c>
      <c r="B181" s="143" t="s">
        <v>1220</v>
      </c>
      <c r="C181" s="143" t="s">
        <v>2674</v>
      </c>
      <c r="D181" s="143" t="s">
        <v>2675</v>
      </c>
      <c r="E181" s="143" t="s">
        <v>313</v>
      </c>
      <c r="F181" s="143" t="s">
        <v>2674</v>
      </c>
      <c r="G181" s="143" t="s">
        <v>2676</v>
      </c>
      <c r="H181" s="143" t="s">
        <v>321</v>
      </c>
      <c r="I181" s="143" t="s">
        <v>965</v>
      </c>
      <c r="J181" s="143" t="s">
        <v>205</v>
      </c>
      <c r="K181" s="143" t="s">
        <v>224</v>
      </c>
      <c r="L181" s="143" t="s">
        <v>344</v>
      </c>
      <c r="M181" s="143" t="s">
        <v>586</v>
      </c>
      <c r="N181" s="143" t="s">
        <v>339</v>
      </c>
      <c r="O181" s="143" t="s">
        <v>1211</v>
      </c>
      <c r="P181" s="144">
        <v>1610437</v>
      </c>
      <c r="Q181" s="143" t="s">
        <v>1212</v>
      </c>
      <c r="R181" s="143" t="s">
        <v>2677</v>
      </c>
      <c r="S181" s="144" t="s">
        <v>3878</v>
      </c>
      <c r="T181" s="144">
        <v>248864.83960000001</v>
      </c>
      <c r="U181" s="146">
        <v>1.737547270579223E-3</v>
      </c>
      <c r="V181" s="146">
        <v>5.0399411417862292E-2</v>
      </c>
      <c r="W181" s="147">
        <v>1.102821362130256E-2</v>
      </c>
      <c r="X181" s="181"/>
    </row>
    <row r="182" spans="1:24" x14ac:dyDescent="0.2">
      <c r="A182" s="142" t="s">
        <v>1220</v>
      </c>
      <c r="B182" s="143" t="s">
        <v>1220</v>
      </c>
      <c r="C182" s="143" t="s">
        <v>2661</v>
      </c>
      <c r="D182" s="143" t="s">
        <v>2662</v>
      </c>
      <c r="E182" s="143" t="s">
        <v>313</v>
      </c>
      <c r="F182" s="143" t="s">
        <v>2661</v>
      </c>
      <c r="G182" s="143" t="s">
        <v>2663</v>
      </c>
      <c r="H182" s="143" t="s">
        <v>321</v>
      </c>
      <c r="I182" s="143" t="s">
        <v>965</v>
      </c>
      <c r="J182" s="143" t="s">
        <v>205</v>
      </c>
      <c r="K182" s="143" t="s">
        <v>224</v>
      </c>
      <c r="L182" s="143" t="s">
        <v>344</v>
      </c>
      <c r="M182" s="143" t="s">
        <v>604</v>
      </c>
      <c r="N182" s="143" t="s">
        <v>339</v>
      </c>
      <c r="O182" s="143" t="s">
        <v>1211</v>
      </c>
      <c r="P182" s="144">
        <v>121722</v>
      </c>
      <c r="Q182" s="143" t="s">
        <v>1212</v>
      </c>
      <c r="R182" s="143" t="s">
        <v>2664</v>
      </c>
      <c r="S182" s="144">
        <v>217.09119000000001</v>
      </c>
      <c r="T182" s="144">
        <v>229652.02669999999</v>
      </c>
      <c r="U182" s="146">
        <v>1.6306261169176691E-4</v>
      </c>
      <c r="V182" s="146">
        <v>4.6552450969546071E-2</v>
      </c>
      <c r="W182" s="147">
        <v>1.0186435901618773E-2</v>
      </c>
      <c r="X182" s="181"/>
    </row>
    <row r="183" spans="1:24" x14ac:dyDescent="0.2">
      <c r="A183" s="142" t="s">
        <v>1220</v>
      </c>
      <c r="B183" s="143" t="s">
        <v>1220</v>
      </c>
      <c r="C183" s="143" t="s">
        <v>2690</v>
      </c>
      <c r="D183" s="143" t="s">
        <v>2691</v>
      </c>
      <c r="E183" s="143" t="s">
        <v>313</v>
      </c>
      <c r="F183" s="143" t="s">
        <v>2692</v>
      </c>
      <c r="G183" s="143" t="s">
        <v>2693</v>
      </c>
      <c r="H183" s="143" t="s">
        <v>321</v>
      </c>
      <c r="I183" s="143" t="s">
        <v>965</v>
      </c>
      <c r="J183" s="143" t="s">
        <v>205</v>
      </c>
      <c r="K183" s="143" t="s">
        <v>224</v>
      </c>
      <c r="L183" s="143" t="s">
        <v>344</v>
      </c>
      <c r="M183" s="143" t="s">
        <v>583</v>
      </c>
      <c r="N183" s="143" t="s">
        <v>339</v>
      </c>
      <c r="O183" s="143" t="s">
        <v>1211</v>
      </c>
      <c r="P183" s="144">
        <v>379193</v>
      </c>
      <c r="Q183" s="143" t="s">
        <v>1212</v>
      </c>
      <c r="R183" s="143" t="s">
        <v>2694</v>
      </c>
      <c r="S183" s="144" t="s">
        <v>3878</v>
      </c>
      <c r="T183" s="144">
        <v>173711.85119999998</v>
      </c>
      <c r="U183" s="146">
        <v>2.7552424687195733E-3</v>
      </c>
      <c r="V183" s="146">
        <v>3.5179638350872344E-2</v>
      </c>
      <c r="W183" s="147">
        <v>7.6978789223734181E-3</v>
      </c>
      <c r="X183" s="181"/>
    </row>
    <row r="184" spans="1:24" x14ac:dyDescent="0.2">
      <c r="A184" s="142" t="s">
        <v>1220</v>
      </c>
      <c r="B184" s="143" t="s">
        <v>1220</v>
      </c>
      <c r="C184" s="143" t="s">
        <v>2695</v>
      </c>
      <c r="D184" s="143" t="s">
        <v>2696</v>
      </c>
      <c r="E184" s="143" t="s">
        <v>313</v>
      </c>
      <c r="F184" s="143" t="s">
        <v>2697</v>
      </c>
      <c r="G184" s="143" t="s">
        <v>2698</v>
      </c>
      <c r="H184" s="143" t="s">
        <v>321</v>
      </c>
      <c r="I184" s="143" t="s">
        <v>965</v>
      </c>
      <c r="J184" s="143" t="s">
        <v>205</v>
      </c>
      <c r="K184" s="143" t="s">
        <v>224</v>
      </c>
      <c r="L184" s="143" t="s">
        <v>344</v>
      </c>
      <c r="M184" s="143" t="s">
        <v>597</v>
      </c>
      <c r="N184" s="143" t="s">
        <v>339</v>
      </c>
      <c r="O184" s="143" t="s">
        <v>1211</v>
      </c>
      <c r="P184" s="144">
        <v>206110</v>
      </c>
      <c r="Q184" s="143" t="s">
        <v>1212</v>
      </c>
      <c r="R184" s="143" t="s">
        <v>2699</v>
      </c>
      <c r="S184" s="144" t="s">
        <v>3878</v>
      </c>
      <c r="T184" s="144">
        <v>152985.58859999999</v>
      </c>
      <c r="U184" s="146">
        <v>1.5555471698113207E-2</v>
      </c>
      <c r="V184" s="146">
        <v>3.0982213606655803E-2</v>
      </c>
      <c r="W184" s="147">
        <v>6.7794138959712371E-3</v>
      </c>
      <c r="X184" s="181"/>
    </row>
    <row r="185" spans="1:24" x14ac:dyDescent="0.2">
      <c r="A185" s="142" t="s">
        <v>1220</v>
      </c>
      <c r="B185" s="143" t="s">
        <v>1220</v>
      </c>
      <c r="C185" s="143" t="s">
        <v>2714</v>
      </c>
      <c r="D185" s="143" t="s">
        <v>2715</v>
      </c>
      <c r="E185" s="143" t="s">
        <v>313</v>
      </c>
      <c r="F185" s="143" t="s">
        <v>2714</v>
      </c>
      <c r="G185" s="143" t="s">
        <v>2716</v>
      </c>
      <c r="H185" s="143" t="s">
        <v>321</v>
      </c>
      <c r="I185" s="143" t="s">
        <v>965</v>
      </c>
      <c r="J185" s="143" t="s">
        <v>205</v>
      </c>
      <c r="K185" s="143" t="s">
        <v>224</v>
      </c>
      <c r="L185" s="143" t="s">
        <v>344</v>
      </c>
      <c r="M185" s="143" t="s">
        <v>589</v>
      </c>
      <c r="N185" s="143" t="s">
        <v>339</v>
      </c>
      <c r="O185" s="143" t="s">
        <v>1211</v>
      </c>
      <c r="P185" s="144">
        <v>260667</v>
      </c>
      <c r="Q185" s="143" t="s">
        <v>1212</v>
      </c>
      <c r="R185" s="143" t="s">
        <v>2717</v>
      </c>
      <c r="S185" s="144" t="s">
        <v>3878</v>
      </c>
      <c r="T185" s="144">
        <v>142812.7371</v>
      </c>
      <c r="U185" s="146">
        <v>8.4163505157967811E-4</v>
      </c>
      <c r="V185" s="146">
        <v>2.8922036177083874E-2</v>
      </c>
      <c r="W185" s="147">
        <v>6.3286134569991871E-3</v>
      </c>
      <c r="X185" s="181"/>
    </row>
    <row r="186" spans="1:24" x14ac:dyDescent="0.2">
      <c r="A186" s="142" t="s">
        <v>1220</v>
      </c>
      <c r="B186" s="143" t="s">
        <v>1220</v>
      </c>
      <c r="C186" s="143" t="s">
        <v>2678</v>
      </c>
      <c r="D186" s="143" t="s">
        <v>2679</v>
      </c>
      <c r="E186" s="143" t="s">
        <v>313</v>
      </c>
      <c r="F186" s="143" t="s">
        <v>2678</v>
      </c>
      <c r="G186" s="143" t="s">
        <v>2680</v>
      </c>
      <c r="H186" s="143" t="s">
        <v>321</v>
      </c>
      <c r="I186" s="143" t="s">
        <v>965</v>
      </c>
      <c r="J186" s="143" t="s">
        <v>205</v>
      </c>
      <c r="K186" s="143" t="s">
        <v>253</v>
      </c>
      <c r="L186" s="143" t="s">
        <v>314</v>
      </c>
      <c r="M186" s="143" t="s">
        <v>610</v>
      </c>
      <c r="N186" s="143" t="s">
        <v>339</v>
      </c>
      <c r="O186" s="143" t="s">
        <v>1213</v>
      </c>
      <c r="P186" s="144">
        <v>146444</v>
      </c>
      <c r="Q186" s="143" t="s">
        <v>1214</v>
      </c>
      <c r="R186" s="143" t="s">
        <v>2681</v>
      </c>
      <c r="S186" s="144" t="s">
        <v>3878</v>
      </c>
      <c r="T186" s="144">
        <v>139677.18150000001</v>
      </c>
      <c r="U186" s="146">
        <v>1.4512337726687146E-2</v>
      </c>
      <c r="V186" s="146">
        <v>2.8287032229553699E-2</v>
      </c>
      <c r="W186" s="147">
        <v>6.1896642314681286E-3</v>
      </c>
      <c r="X186" s="181"/>
    </row>
    <row r="187" spans="1:24" x14ac:dyDescent="0.2">
      <c r="A187" s="142" t="s">
        <v>1220</v>
      </c>
      <c r="B187" s="143" t="s">
        <v>1220</v>
      </c>
      <c r="C187" s="143" t="s">
        <v>2686</v>
      </c>
      <c r="D187" s="143" t="s">
        <v>2687</v>
      </c>
      <c r="E187" s="143" t="s">
        <v>313</v>
      </c>
      <c r="F187" s="143" t="s">
        <v>2686</v>
      </c>
      <c r="G187" s="143" t="s">
        <v>2688</v>
      </c>
      <c r="H187" s="143" t="s">
        <v>321</v>
      </c>
      <c r="I187" s="143" t="s">
        <v>965</v>
      </c>
      <c r="J187" s="143" t="s">
        <v>205</v>
      </c>
      <c r="K187" s="143" t="s">
        <v>268</v>
      </c>
      <c r="L187" s="143" t="s">
        <v>344</v>
      </c>
      <c r="M187" s="143" t="s">
        <v>707</v>
      </c>
      <c r="N187" s="143" t="s">
        <v>339</v>
      </c>
      <c r="O187" s="143" t="s">
        <v>1211</v>
      </c>
      <c r="P187" s="144">
        <v>424976</v>
      </c>
      <c r="Q187" s="143" t="s">
        <v>1212</v>
      </c>
      <c r="R187" s="143" t="s">
        <v>2689</v>
      </c>
      <c r="S187" s="144" t="s">
        <v>3878</v>
      </c>
      <c r="T187" s="144">
        <v>114986.95479999999</v>
      </c>
      <c r="U187" s="146">
        <v>7.6434532374100722E-3</v>
      </c>
      <c r="V187" s="146">
        <v>2.3286836539896806E-2</v>
      </c>
      <c r="W187" s="147">
        <v>5.0955398228186071E-3</v>
      </c>
      <c r="X187" s="181"/>
    </row>
    <row r="188" spans="1:24" x14ac:dyDescent="0.2">
      <c r="A188" s="142" t="s">
        <v>1220</v>
      </c>
      <c r="B188" s="143" t="s">
        <v>1220</v>
      </c>
      <c r="C188" s="143" t="s">
        <v>2880</v>
      </c>
      <c r="D188" s="143" t="s">
        <v>2881</v>
      </c>
      <c r="E188" s="143" t="s">
        <v>313</v>
      </c>
      <c r="F188" s="143" t="s">
        <v>2882</v>
      </c>
      <c r="G188" s="143" t="s">
        <v>2883</v>
      </c>
      <c r="H188" s="143" t="s">
        <v>321</v>
      </c>
      <c r="I188" s="143" t="s">
        <v>965</v>
      </c>
      <c r="J188" s="143" t="s">
        <v>205</v>
      </c>
      <c r="K188" s="143" t="s">
        <v>224</v>
      </c>
      <c r="L188" s="143" t="s">
        <v>344</v>
      </c>
      <c r="M188" s="143" t="s">
        <v>611</v>
      </c>
      <c r="N188" s="143" t="s">
        <v>339</v>
      </c>
      <c r="O188" s="143" t="s">
        <v>1211</v>
      </c>
      <c r="P188" s="144">
        <v>106484</v>
      </c>
      <c r="Q188" s="143" t="s">
        <v>1212</v>
      </c>
      <c r="R188" s="143" t="s">
        <v>2884</v>
      </c>
      <c r="S188" s="144" t="s">
        <v>3878</v>
      </c>
      <c r="T188" s="144">
        <v>104351.26390000001</v>
      </c>
      <c r="U188" s="146">
        <v>3.3997637367900132E-3</v>
      </c>
      <c r="V188" s="146">
        <v>2.1132926170793691E-2</v>
      </c>
      <c r="W188" s="147">
        <v>4.6242290871700339E-3</v>
      </c>
      <c r="X188" s="181"/>
    </row>
    <row r="189" spans="1:24" x14ac:dyDescent="0.2">
      <c r="A189" s="142" t="s">
        <v>1220</v>
      </c>
      <c r="B189" s="143" t="s">
        <v>1220</v>
      </c>
      <c r="C189" s="143" t="s">
        <v>2671</v>
      </c>
      <c r="D189" s="143" t="s">
        <v>2885</v>
      </c>
      <c r="E189" s="143" t="s">
        <v>313</v>
      </c>
      <c r="F189" s="143" t="s">
        <v>2671</v>
      </c>
      <c r="G189" s="143" t="s">
        <v>2886</v>
      </c>
      <c r="H189" s="143" t="s">
        <v>321</v>
      </c>
      <c r="I189" s="143" t="s">
        <v>965</v>
      </c>
      <c r="J189" s="143" t="s">
        <v>205</v>
      </c>
      <c r="K189" s="143" t="s">
        <v>224</v>
      </c>
      <c r="L189" s="143" t="s">
        <v>344</v>
      </c>
      <c r="M189" s="143" t="s">
        <v>604</v>
      </c>
      <c r="N189" s="143" t="s">
        <v>339</v>
      </c>
      <c r="O189" s="143" t="s">
        <v>1211</v>
      </c>
      <c r="P189" s="144">
        <v>565882</v>
      </c>
      <c r="Q189" s="143" t="s">
        <v>1212</v>
      </c>
      <c r="R189" s="143" t="s">
        <v>2887</v>
      </c>
      <c r="S189" s="144">
        <v>61.31897</v>
      </c>
      <c r="T189" s="144">
        <v>96824.399400000009</v>
      </c>
      <c r="U189" s="146">
        <v>0.27604000000000001</v>
      </c>
      <c r="V189" s="146">
        <v>1.9621024763560393E-2</v>
      </c>
      <c r="W189" s="147">
        <v>4.2934003884958381E-3</v>
      </c>
      <c r="X189" s="181"/>
    </row>
    <row r="190" spans="1:24" x14ac:dyDescent="0.2">
      <c r="A190" s="142" t="s">
        <v>1220</v>
      </c>
      <c r="B190" s="143" t="s">
        <v>1220</v>
      </c>
      <c r="C190" s="143" t="s">
        <v>2772</v>
      </c>
      <c r="D190" s="143" t="s">
        <v>2773</v>
      </c>
      <c r="E190" s="143" t="s">
        <v>313</v>
      </c>
      <c r="F190" s="143" t="s">
        <v>2772</v>
      </c>
      <c r="G190" s="143" t="s">
        <v>2774</v>
      </c>
      <c r="H190" s="143" t="s">
        <v>321</v>
      </c>
      <c r="I190" s="143" t="s">
        <v>965</v>
      </c>
      <c r="J190" s="143" t="s">
        <v>205</v>
      </c>
      <c r="K190" s="143" t="s">
        <v>224</v>
      </c>
      <c r="L190" s="143" t="s">
        <v>344</v>
      </c>
      <c r="M190" s="143" t="s">
        <v>708</v>
      </c>
      <c r="N190" s="143" t="s">
        <v>339</v>
      </c>
      <c r="O190" s="143" t="s">
        <v>1211</v>
      </c>
      <c r="P190" s="144">
        <v>295924</v>
      </c>
      <c r="Q190" s="143" t="s">
        <v>1212</v>
      </c>
      <c r="R190" s="143" t="s">
        <v>2775</v>
      </c>
      <c r="S190" s="144" t="s">
        <v>3878</v>
      </c>
      <c r="T190" s="144">
        <v>95286.326499999996</v>
      </c>
      <c r="U190" s="146">
        <v>1.7794588093806374E-3</v>
      </c>
      <c r="V190" s="146">
        <v>1.9297120404684662E-2</v>
      </c>
      <c r="W190" s="147">
        <v>4.2225248293958247E-3</v>
      </c>
      <c r="X190" s="181"/>
    </row>
    <row r="191" spans="1:24" x14ac:dyDescent="0.2">
      <c r="A191" s="142" t="s">
        <v>1220</v>
      </c>
      <c r="B191" s="143" t="s">
        <v>1220</v>
      </c>
      <c r="C191" s="143" t="s">
        <v>2745</v>
      </c>
      <c r="D191" s="143" t="s">
        <v>2746</v>
      </c>
      <c r="E191" s="143" t="s">
        <v>313</v>
      </c>
      <c r="F191" s="143" t="s">
        <v>2745</v>
      </c>
      <c r="G191" s="143" t="s">
        <v>2747</v>
      </c>
      <c r="H191" s="143" t="s">
        <v>321</v>
      </c>
      <c r="I191" s="143" t="s">
        <v>965</v>
      </c>
      <c r="J191" s="143" t="s">
        <v>205</v>
      </c>
      <c r="K191" s="143" t="s">
        <v>224</v>
      </c>
      <c r="L191" s="143" t="s">
        <v>344</v>
      </c>
      <c r="M191" s="143" t="s">
        <v>586</v>
      </c>
      <c r="N191" s="143" t="s">
        <v>339</v>
      </c>
      <c r="O191" s="143" t="s">
        <v>1211</v>
      </c>
      <c r="P191" s="144">
        <v>213314</v>
      </c>
      <c r="Q191" s="143" t="s">
        <v>1212</v>
      </c>
      <c r="R191" s="143" t="s">
        <v>2748</v>
      </c>
      <c r="S191" s="144" t="s">
        <v>3878</v>
      </c>
      <c r="T191" s="144">
        <v>93760.007799999992</v>
      </c>
      <c r="U191" s="146">
        <v>2.4803953488372093E-2</v>
      </c>
      <c r="V191" s="146">
        <v>1.898801460566123E-2</v>
      </c>
      <c r="W191" s="147">
        <v>4.1548874366701301E-3</v>
      </c>
      <c r="X191" s="181"/>
    </row>
    <row r="192" spans="1:24" x14ac:dyDescent="0.2">
      <c r="A192" s="142" t="s">
        <v>1220</v>
      </c>
      <c r="B192" s="143" t="s">
        <v>1220</v>
      </c>
      <c r="C192" s="143" t="s">
        <v>2888</v>
      </c>
      <c r="D192" s="143" t="s">
        <v>2889</v>
      </c>
      <c r="E192" s="143" t="s">
        <v>313</v>
      </c>
      <c r="F192" s="143" t="s">
        <v>2890</v>
      </c>
      <c r="G192" s="143" t="s">
        <v>2891</v>
      </c>
      <c r="H192" s="143" t="s">
        <v>321</v>
      </c>
      <c r="I192" s="143" t="s">
        <v>965</v>
      </c>
      <c r="J192" s="143" t="s">
        <v>205</v>
      </c>
      <c r="K192" s="143" t="s">
        <v>233</v>
      </c>
      <c r="L192" s="143" t="s">
        <v>380</v>
      </c>
      <c r="M192" s="143" t="s">
        <v>587</v>
      </c>
      <c r="N192" s="143" t="s">
        <v>339</v>
      </c>
      <c r="O192" s="143" t="s">
        <v>1216</v>
      </c>
      <c r="P192" s="144">
        <v>2422854</v>
      </c>
      <c r="Q192" s="143" t="s">
        <v>1217</v>
      </c>
      <c r="R192" s="143" t="s">
        <v>2892</v>
      </c>
      <c r="S192" s="144" t="s">
        <v>3878</v>
      </c>
      <c r="T192" s="144">
        <v>91376.047599999991</v>
      </c>
      <c r="U192" s="146">
        <v>1.7449949908495677E-3</v>
      </c>
      <c r="V192" s="146">
        <v>1.8505221640706292E-2</v>
      </c>
      <c r="W192" s="147">
        <v>4.0492444578614914E-3</v>
      </c>
      <c r="X192" s="181"/>
    </row>
    <row r="193" spans="1:24" x14ac:dyDescent="0.2">
      <c r="A193" s="142" t="s">
        <v>1220</v>
      </c>
      <c r="B193" s="143" t="s">
        <v>1220</v>
      </c>
      <c r="C193" s="143" t="s">
        <v>2723</v>
      </c>
      <c r="D193" s="143" t="s">
        <v>2724</v>
      </c>
      <c r="E193" s="143" t="s">
        <v>313</v>
      </c>
      <c r="F193" s="143" t="s">
        <v>2725</v>
      </c>
      <c r="G193" s="143" t="s">
        <v>2726</v>
      </c>
      <c r="H193" s="143" t="s">
        <v>321</v>
      </c>
      <c r="I193" s="143" t="s">
        <v>965</v>
      </c>
      <c r="J193" s="143" t="s">
        <v>205</v>
      </c>
      <c r="K193" s="143" t="s">
        <v>224</v>
      </c>
      <c r="L193" s="143" t="s">
        <v>344</v>
      </c>
      <c r="M193" s="143" t="s">
        <v>612</v>
      </c>
      <c r="N193" s="143" t="s">
        <v>339</v>
      </c>
      <c r="O193" s="143" t="s">
        <v>1211</v>
      </c>
      <c r="P193" s="144">
        <v>279505</v>
      </c>
      <c r="Q193" s="143" t="s">
        <v>1212</v>
      </c>
      <c r="R193" s="143" t="s">
        <v>2727</v>
      </c>
      <c r="S193" s="144" t="s">
        <v>3878</v>
      </c>
      <c r="T193" s="144">
        <v>91302.292700000005</v>
      </c>
      <c r="U193" s="146">
        <v>1.6297667638483965E-2</v>
      </c>
      <c r="V193" s="146">
        <v>1.8490285017366274E-2</v>
      </c>
      <c r="W193" s="147">
        <v>4.045976080943179E-3</v>
      </c>
      <c r="X193" s="181"/>
    </row>
    <row r="194" spans="1:24" x14ac:dyDescent="0.2">
      <c r="A194" s="142" t="s">
        <v>1220</v>
      </c>
      <c r="B194" s="143" t="s">
        <v>1220</v>
      </c>
      <c r="C194" s="143" t="s">
        <v>2875</v>
      </c>
      <c r="D194" s="143" t="s">
        <v>2876</v>
      </c>
      <c r="E194" s="143" t="s">
        <v>313</v>
      </c>
      <c r="F194" s="143" t="s">
        <v>2877</v>
      </c>
      <c r="G194" s="143" t="s">
        <v>2878</v>
      </c>
      <c r="H194" s="143" t="s">
        <v>321</v>
      </c>
      <c r="I194" s="143" t="s">
        <v>965</v>
      </c>
      <c r="J194" s="143" t="s">
        <v>205</v>
      </c>
      <c r="K194" s="143" t="s">
        <v>224</v>
      </c>
      <c r="L194" s="143" t="s">
        <v>364</v>
      </c>
      <c r="M194" s="143" t="s">
        <v>604</v>
      </c>
      <c r="N194" s="143" t="s">
        <v>339</v>
      </c>
      <c r="O194" s="143" t="s">
        <v>1213</v>
      </c>
      <c r="P194" s="144">
        <v>61639</v>
      </c>
      <c r="Q194" s="143" t="s">
        <v>1214</v>
      </c>
      <c r="R194" s="143" t="s">
        <v>2879</v>
      </c>
      <c r="S194" s="144" t="s">
        <v>3878</v>
      </c>
      <c r="T194" s="144">
        <v>90401.446799999991</v>
      </c>
      <c r="U194" s="146">
        <v>8.2659246345715438E-3</v>
      </c>
      <c r="V194" s="146">
        <v>1.8307848217311164E-2</v>
      </c>
      <c r="W194" s="147">
        <v>4.0060559321399821E-3</v>
      </c>
      <c r="X194" s="181"/>
    </row>
    <row r="195" spans="1:24" x14ac:dyDescent="0.2">
      <c r="A195" s="142" t="s">
        <v>1220</v>
      </c>
      <c r="B195" s="143" t="s">
        <v>1220</v>
      </c>
      <c r="C195" s="143" t="s">
        <v>2704</v>
      </c>
      <c r="D195" s="143" t="s">
        <v>2705</v>
      </c>
      <c r="E195" s="143" t="s">
        <v>313</v>
      </c>
      <c r="F195" s="143" t="s">
        <v>2706</v>
      </c>
      <c r="G195" s="143" t="s">
        <v>2707</v>
      </c>
      <c r="H195" s="143" t="s">
        <v>321</v>
      </c>
      <c r="I195" s="143" t="s">
        <v>965</v>
      </c>
      <c r="J195" s="143" t="s">
        <v>205</v>
      </c>
      <c r="K195" s="143" t="s">
        <v>224</v>
      </c>
      <c r="L195" s="143" t="s">
        <v>344</v>
      </c>
      <c r="M195" s="143" t="s">
        <v>580</v>
      </c>
      <c r="N195" s="143" t="s">
        <v>339</v>
      </c>
      <c r="O195" s="143" t="s">
        <v>1211</v>
      </c>
      <c r="P195" s="144">
        <v>493377</v>
      </c>
      <c r="Q195" s="143" t="s">
        <v>1212</v>
      </c>
      <c r="R195" s="143" t="s">
        <v>2708</v>
      </c>
      <c r="S195" s="144" t="s">
        <v>3878</v>
      </c>
      <c r="T195" s="144">
        <v>89540.288</v>
      </c>
      <c r="U195" s="146">
        <v>2.1639342105263158E-2</v>
      </c>
      <c r="V195" s="146">
        <v>1.8133448750272511E-2</v>
      </c>
      <c r="W195" s="147">
        <v>3.9678944829516704E-3</v>
      </c>
      <c r="X195" s="181"/>
    </row>
    <row r="196" spans="1:24" x14ac:dyDescent="0.2">
      <c r="A196" s="142" t="s">
        <v>1220</v>
      </c>
      <c r="B196" s="143" t="s">
        <v>1220</v>
      </c>
      <c r="C196" s="143" t="s">
        <v>2893</v>
      </c>
      <c r="D196" s="143" t="s">
        <v>2894</v>
      </c>
      <c r="E196" s="143" t="s">
        <v>313</v>
      </c>
      <c r="F196" s="143" t="s">
        <v>2893</v>
      </c>
      <c r="G196" s="143" t="s">
        <v>2895</v>
      </c>
      <c r="H196" s="143" t="s">
        <v>321</v>
      </c>
      <c r="I196" s="143" t="s">
        <v>965</v>
      </c>
      <c r="J196" s="143" t="s">
        <v>205</v>
      </c>
      <c r="K196" s="143" t="s">
        <v>293</v>
      </c>
      <c r="L196" s="143" t="s">
        <v>364</v>
      </c>
      <c r="M196" s="143" t="s">
        <v>584</v>
      </c>
      <c r="N196" s="143" t="s">
        <v>339</v>
      </c>
      <c r="O196" s="143" t="s">
        <v>1213</v>
      </c>
      <c r="P196" s="144">
        <v>1444453</v>
      </c>
      <c r="Q196" s="143" t="s">
        <v>1214</v>
      </c>
      <c r="R196" s="143" t="s">
        <v>2896</v>
      </c>
      <c r="S196" s="144" t="s">
        <v>3878</v>
      </c>
      <c r="T196" s="144">
        <v>88649.508600000001</v>
      </c>
      <c r="U196" s="146">
        <v>5.0112857341104634E-2</v>
      </c>
      <c r="V196" s="146">
        <v>1.7953050589327307E-2</v>
      </c>
      <c r="W196" s="147">
        <v>3.9284204216516461E-3</v>
      </c>
      <c r="X196" s="181"/>
    </row>
    <row r="197" spans="1:24" x14ac:dyDescent="0.2">
      <c r="A197" s="142" t="s">
        <v>1220</v>
      </c>
      <c r="B197" s="143" t="s">
        <v>1220</v>
      </c>
      <c r="C197" s="143" t="s">
        <v>2897</v>
      </c>
      <c r="D197" s="143" t="s">
        <v>2898</v>
      </c>
      <c r="E197" s="143" t="s">
        <v>313</v>
      </c>
      <c r="F197" s="143" t="s">
        <v>2897</v>
      </c>
      <c r="G197" s="143" t="s">
        <v>2899</v>
      </c>
      <c r="H197" s="143" t="s">
        <v>321</v>
      </c>
      <c r="I197" s="143" t="s">
        <v>965</v>
      </c>
      <c r="J197" s="143" t="s">
        <v>205</v>
      </c>
      <c r="K197" s="143" t="s">
        <v>224</v>
      </c>
      <c r="L197" s="143" t="s">
        <v>344</v>
      </c>
      <c r="M197" s="143" t="s">
        <v>703</v>
      </c>
      <c r="N197" s="143" t="s">
        <v>339</v>
      </c>
      <c r="O197" s="143" t="s">
        <v>1211</v>
      </c>
      <c r="P197" s="144">
        <v>619923</v>
      </c>
      <c r="Q197" s="143" t="s">
        <v>1212</v>
      </c>
      <c r="R197" s="143" t="s">
        <v>2900</v>
      </c>
      <c r="S197" s="144">
        <v>49.653349999999996</v>
      </c>
      <c r="T197" s="144">
        <v>86453.989400000006</v>
      </c>
      <c r="U197" s="146">
        <v>4.6231859199045416E-3</v>
      </c>
      <c r="V197" s="146">
        <v>1.7518475083151987E-2</v>
      </c>
      <c r="W197" s="147">
        <v>3.8333282096225871E-3</v>
      </c>
      <c r="X197" s="181"/>
    </row>
    <row r="198" spans="1:24" x14ac:dyDescent="0.2">
      <c r="A198" s="142" t="s">
        <v>1220</v>
      </c>
      <c r="B198" s="143" t="s">
        <v>1220</v>
      </c>
      <c r="C198" s="143" t="s">
        <v>2736</v>
      </c>
      <c r="D198" s="143" t="s">
        <v>2737</v>
      </c>
      <c r="E198" s="143" t="s">
        <v>313</v>
      </c>
      <c r="F198" s="143" t="s">
        <v>2738</v>
      </c>
      <c r="G198" s="143" t="s">
        <v>2739</v>
      </c>
      <c r="H198" s="143" t="s">
        <v>321</v>
      </c>
      <c r="I198" s="143" t="s">
        <v>965</v>
      </c>
      <c r="J198" s="143" t="s">
        <v>205</v>
      </c>
      <c r="K198" s="143" t="s">
        <v>268</v>
      </c>
      <c r="L198" s="143" t="s">
        <v>344</v>
      </c>
      <c r="M198" s="143" t="s">
        <v>588</v>
      </c>
      <c r="N198" s="143" t="s">
        <v>339</v>
      </c>
      <c r="O198" s="143" t="s">
        <v>1211</v>
      </c>
      <c r="P198" s="144">
        <v>514895</v>
      </c>
      <c r="Q198" s="143" t="s">
        <v>1212</v>
      </c>
      <c r="R198" s="143" t="s">
        <v>2740</v>
      </c>
      <c r="S198" s="144" t="s">
        <v>3878</v>
      </c>
      <c r="T198" s="144">
        <v>81619.626199999999</v>
      </c>
      <c r="U198" s="146">
        <v>3.1981055900621117E-3</v>
      </c>
      <c r="V198" s="146">
        <v>1.6529378458386711E-2</v>
      </c>
      <c r="W198" s="147">
        <v>3.6168977283302039E-3</v>
      </c>
      <c r="X198" s="181"/>
    </row>
    <row r="199" spans="1:24" x14ac:dyDescent="0.2">
      <c r="A199" s="142" t="s">
        <v>1220</v>
      </c>
      <c r="B199" s="143" t="s">
        <v>1220</v>
      </c>
      <c r="C199" s="143" t="s">
        <v>2732</v>
      </c>
      <c r="D199" s="143" t="s">
        <v>2733</v>
      </c>
      <c r="E199" s="143" t="s">
        <v>313</v>
      </c>
      <c r="F199" s="143" t="s">
        <v>2732</v>
      </c>
      <c r="G199" s="143" t="s">
        <v>2734</v>
      </c>
      <c r="H199" s="143" t="s">
        <v>321</v>
      </c>
      <c r="I199" s="143" t="s">
        <v>965</v>
      </c>
      <c r="J199" s="143" t="s">
        <v>205</v>
      </c>
      <c r="K199" s="143" t="s">
        <v>268</v>
      </c>
      <c r="L199" s="143" t="s">
        <v>344</v>
      </c>
      <c r="M199" s="143" t="s">
        <v>588</v>
      </c>
      <c r="N199" s="143" t="s">
        <v>339</v>
      </c>
      <c r="O199" s="143" t="s">
        <v>1211</v>
      </c>
      <c r="P199" s="144">
        <v>799291</v>
      </c>
      <c r="Q199" s="143" t="s">
        <v>1212</v>
      </c>
      <c r="R199" s="143" t="s">
        <v>2735</v>
      </c>
      <c r="S199" s="144" t="s">
        <v>3878</v>
      </c>
      <c r="T199" s="144">
        <v>81182.532200000001</v>
      </c>
      <c r="U199" s="146">
        <v>3.7236943862101095E-3</v>
      </c>
      <c r="V199" s="146">
        <v>1.6440859403449345E-2</v>
      </c>
      <c r="W199" s="147">
        <v>3.5975283146814736E-3</v>
      </c>
      <c r="X199" s="181"/>
    </row>
    <row r="200" spans="1:24" x14ac:dyDescent="0.2">
      <c r="A200" s="142" t="s">
        <v>1220</v>
      </c>
      <c r="B200" s="143" t="s">
        <v>1220</v>
      </c>
      <c r="C200" s="143" t="s">
        <v>2741</v>
      </c>
      <c r="D200" s="143" t="s">
        <v>2742</v>
      </c>
      <c r="E200" s="143" t="s">
        <v>313</v>
      </c>
      <c r="F200" s="143" t="s">
        <v>2741</v>
      </c>
      <c r="G200" s="143" t="s">
        <v>2743</v>
      </c>
      <c r="H200" s="143" t="s">
        <v>321</v>
      </c>
      <c r="I200" s="143" t="s">
        <v>965</v>
      </c>
      <c r="J200" s="143" t="s">
        <v>205</v>
      </c>
      <c r="K200" s="143" t="s">
        <v>224</v>
      </c>
      <c r="L200" s="143" t="s">
        <v>344</v>
      </c>
      <c r="M200" s="143" t="s">
        <v>708</v>
      </c>
      <c r="N200" s="143" t="s">
        <v>339</v>
      </c>
      <c r="O200" s="143" t="s">
        <v>1211</v>
      </c>
      <c r="P200" s="144">
        <v>106030</v>
      </c>
      <c r="Q200" s="143" t="s">
        <v>1212</v>
      </c>
      <c r="R200" s="143" t="s">
        <v>2744</v>
      </c>
      <c r="S200" s="144" t="s">
        <v>3878</v>
      </c>
      <c r="T200" s="144">
        <v>72698.578800000003</v>
      </c>
      <c r="U200" s="146">
        <v>1.0726027535836039E-3</v>
      </c>
      <c r="V200" s="146">
        <v>1.4722712902195704E-2</v>
      </c>
      <c r="W200" s="147">
        <v>3.221569823987607E-3</v>
      </c>
      <c r="X200" s="181"/>
    </row>
    <row r="201" spans="1:24" x14ac:dyDescent="0.2">
      <c r="A201" s="142" t="s">
        <v>1220</v>
      </c>
      <c r="B201" s="143" t="s">
        <v>1220</v>
      </c>
      <c r="C201" s="143" t="s">
        <v>2749</v>
      </c>
      <c r="D201" s="143" t="s">
        <v>2750</v>
      </c>
      <c r="E201" s="143" t="s">
        <v>313</v>
      </c>
      <c r="F201" s="143" t="s">
        <v>2751</v>
      </c>
      <c r="G201" s="143" t="s">
        <v>2752</v>
      </c>
      <c r="H201" s="143" t="s">
        <v>321</v>
      </c>
      <c r="I201" s="143" t="s">
        <v>965</v>
      </c>
      <c r="J201" s="143" t="s">
        <v>205</v>
      </c>
      <c r="K201" s="143" t="s">
        <v>243</v>
      </c>
      <c r="L201" s="143" t="s">
        <v>344</v>
      </c>
      <c r="M201" s="143" t="s">
        <v>707</v>
      </c>
      <c r="N201" s="143" t="s">
        <v>339</v>
      </c>
      <c r="O201" s="143" t="s">
        <v>1211</v>
      </c>
      <c r="P201" s="144">
        <v>276736</v>
      </c>
      <c r="Q201" s="143" t="s">
        <v>1212</v>
      </c>
      <c r="R201" s="143" t="s">
        <v>2753</v>
      </c>
      <c r="S201" s="144" t="s">
        <v>3878</v>
      </c>
      <c r="T201" s="144">
        <v>68750.163700000005</v>
      </c>
      <c r="U201" s="146">
        <v>4.8678276165347407E-3</v>
      </c>
      <c r="V201" s="146">
        <v>1.3923090915458345E-2</v>
      </c>
      <c r="W201" s="147">
        <v>3.0465994852882823E-3</v>
      </c>
      <c r="X201" s="181"/>
    </row>
    <row r="202" spans="1:24" x14ac:dyDescent="0.2">
      <c r="A202" s="142" t="s">
        <v>1220</v>
      </c>
      <c r="B202" s="143" t="s">
        <v>1220</v>
      </c>
      <c r="C202" s="143" t="s">
        <v>2665</v>
      </c>
      <c r="D202" s="143" t="s">
        <v>2666</v>
      </c>
      <c r="E202" s="143" t="s">
        <v>313</v>
      </c>
      <c r="F202" s="143" t="s">
        <v>2665</v>
      </c>
      <c r="G202" s="143" t="s">
        <v>2667</v>
      </c>
      <c r="H202" s="143" t="s">
        <v>321</v>
      </c>
      <c r="I202" s="143" t="s">
        <v>965</v>
      </c>
      <c r="J202" s="143" t="s">
        <v>205</v>
      </c>
      <c r="K202" s="143" t="s">
        <v>224</v>
      </c>
      <c r="L202" s="143" t="s">
        <v>344</v>
      </c>
      <c r="M202" s="143" t="s">
        <v>611</v>
      </c>
      <c r="N202" s="143" t="s">
        <v>339</v>
      </c>
      <c r="O202" s="143" t="s">
        <v>1211</v>
      </c>
      <c r="P202" s="144">
        <v>80528</v>
      </c>
      <c r="Q202" s="143" t="s">
        <v>1212</v>
      </c>
      <c r="R202" s="143" t="s">
        <v>2668</v>
      </c>
      <c r="S202" s="144" t="s">
        <v>3878</v>
      </c>
      <c r="T202" s="144">
        <v>68480.895999999993</v>
      </c>
      <c r="U202" s="146">
        <v>2.637184139168708E-4</v>
      </c>
      <c r="V202" s="146">
        <v>1.3868559574776234E-2</v>
      </c>
      <c r="W202" s="147">
        <v>3.0346671381203312E-3</v>
      </c>
      <c r="X202" s="181"/>
    </row>
    <row r="203" spans="1:24" x14ac:dyDescent="0.2">
      <c r="A203" s="142" t="s">
        <v>1220</v>
      </c>
      <c r="B203" s="143" t="s">
        <v>1220</v>
      </c>
      <c r="C203" s="143" t="s">
        <v>2682</v>
      </c>
      <c r="D203" s="143" t="s">
        <v>2683</v>
      </c>
      <c r="E203" s="143" t="s">
        <v>313</v>
      </c>
      <c r="F203" s="143" t="s">
        <v>2682</v>
      </c>
      <c r="G203" s="143" t="s">
        <v>2684</v>
      </c>
      <c r="H203" s="143" t="s">
        <v>321</v>
      </c>
      <c r="I203" s="143" t="s">
        <v>965</v>
      </c>
      <c r="J203" s="143" t="s">
        <v>205</v>
      </c>
      <c r="K203" s="143" t="s">
        <v>224</v>
      </c>
      <c r="L203" s="143" t="s">
        <v>344</v>
      </c>
      <c r="M203" s="143" t="s">
        <v>596</v>
      </c>
      <c r="N203" s="143" t="s">
        <v>339</v>
      </c>
      <c r="O203" s="143" t="s">
        <v>1211</v>
      </c>
      <c r="P203" s="144">
        <v>582535</v>
      </c>
      <c r="Q203" s="143" t="s">
        <v>1212</v>
      </c>
      <c r="R203" s="143" t="s">
        <v>2685</v>
      </c>
      <c r="S203" s="144" t="s">
        <v>3878</v>
      </c>
      <c r="T203" s="144">
        <v>67072.013900000005</v>
      </c>
      <c r="U203" s="146">
        <v>4.9746797608881295E-3</v>
      </c>
      <c r="V203" s="146">
        <v>1.3583236694509664E-2</v>
      </c>
      <c r="W203" s="147">
        <v>2.9722338361014536E-3</v>
      </c>
      <c r="X203" s="181"/>
    </row>
    <row r="204" spans="1:24" x14ac:dyDescent="0.2">
      <c r="A204" s="142" t="s">
        <v>1220</v>
      </c>
      <c r="B204" s="143" t="s">
        <v>1220</v>
      </c>
      <c r="C204" s="143" t="s">
        <v>2709</v>
      </c>
      <c r="D204" s="143" t="s">
        <v>2710</v>
      </c>
      <c r="E204" s="143" t="s">
        <v>313</v>
      </c>
      <c r="F204" s="143" t="s">
        <v>2711</v>
      </c>
      <c r="G204" s="143" t="s">
        <v>2712</v>
      </c>
      <c r="H204" s="143" t="s">
        <v>321</v>
      </c>
      <c r="I204" s="143" t="s">
        <v>965</v>
      </c>
      <c r="J204" s="143" t="s">
        <v>205</v>
      </c>
      <c r="K204" s="143" t="s">
        <v>224</v>
      </c>
      <c r="L204" s="143" t="s">
        <v>344</v>
      </c>
      <c r="M204" s="143" t="s">
        <v>708</v>
      </c>
      <c r="N204" s="143" t="s">
        <v>339</v>
      </c>
      <c r="O204" s="143" t="s">
        <v>1211</v>
      </c>
      <c r="P204" s="144">
        <v>41616</v>
      </c>
      <c r="Q204" s="143" t="s">
        <v>1212</v>
      </c>
      <c r="R204" s="143" t="s">
        <v>2713</v>
      </c>
      <c r="S204" s="144">
        <v>36.35407</v>
      </c>
      <c r="T204" s="144">
        <v>61322.898099999999</v>
      </c>
      <c r="U204" s="146">
        <v>4.7160681300499759E-4</v>
      </c>
      <c r="V204" s="146">
        <v>1.2426304180260909E-2</v>
      </c>
      <c r="W204" s="147">
        <v>2.7190781234923975E-3</v>
      </c>
      <c r="X204" s="181"/>
    </row>
    <row r="205" spans="1:24" x14ac:dyDescent="0.2">
      <c r="A205" s="142" t="s">
        <v>1220</v>
      </c>
      <c r="B205" s="143" t="s">
        <v>1220</v>
      </c>
      <c r="C205" s="143" t="s">
        <v>2754</v>
      </c>
      <c r="D205" s="143" t="s">
        <v>2755</v>
      </c>
      <c r="E205" s="143" t="s">
        <v>313</v>
      </c>
      <c r="F205" s="143" t="s">
        <v>2756</v>
      </c>
      <c r="G205" s="143" t="s">
        <v>2757</v>
      </c>
      <c r="H205" s="143" t="s">
        <v>321</v>
      </c>
      <c r="I205" s="143" t="s">
        <v>965</v>
      </c>
      <c r="J205" s="143" t="s">
        <v>205</v>
      </c>
      <c r="K205" s="143" t="s">
        <v>224</v>
      </c>
      <c r="L205" s="143" t="s">
        <v>344</v>
      </c>
      <c r="M205" s="143" t="s">
        <v>703</v>
      </c>
      <c r="N205" s="143" t="s">
        <v>339</v>
      </c>
      <c r="O205" s="143" t="s">
        <v>1211</v>
      </c>
      <c r="P205" s="144">
        <v>152994</v>
      </c>
      <c r="Q205" s="143" t="s">
        <v>1212</v>
      </c>
      <c r="R205" s="143" t="s">
        <v>2758</v>
      </c>
      <c r="S205" s="144">
        <v>21.31053</v>
      </c>
      <c r="T205" s="144">
        <v>59154.834999999999</v>
      </c>
      <c r="U205" s="146">
        <v>6.8239964317573596E-3</v>
      </c>
      <c r="V205" s="146">
        <v>1.1984187514256809E-2</v>
      </c>
      <c r="W205" s="147">
        <v>2.6223357826383282E-3</v>
      </c>
      <c r="X205" s="181"/>
    </row>
    <row r="206" spans="1:24" x14ac:dyDescent="0.2">
      <c r="A206" s="142" t="s">
        <v>1220</v>
      </c>
      <c r="B206" s="143" t="s">
        <v>1220</v>
      </c>
      <c r="C206" s="143" t="s">
        <v>2901</v>
      </c>
      <c r="D206" s="143" t="s">
        <v>2902</v>
      </c>
      <c r="E206" s="143" t="s">
        <v>313</v>
      </c>
      <c r="F206" s="143" t="s">
        <v>2901</v>
      </c>
      <c r="G206" s="143" t="s">
        <v>2903</v>
      </c>
      <c r="H206" s="143" t="s">
        <v>321</v>
      </c>
      <c r="I206" s="143" t="s">
        <v>965</v>
      </c>
      <c r="J206" s="143" t="s">
        <v>205</v>
      </c>
      <c r="K206" s="143" t="s">
        <v>293</v>
      </c>
      <c r="L206" s="143" t="s">
        <v>368</v>
      </c>
      <c r="M206" s="143" t="s">
        <v>610</v>
      </c>
      <c r="N206" s="143" t="s">
        <v>339</v>
      </c>
      <c r="O206" s="143" t="s">
        <v>1213</v>
      </c>
      <c r="P206" s="144">
        <v>152709</v>
      </c>
      <c r="Q206" s="143" t="s">
        <v>1214</v>
      </c>
      <c r="R206" s="143" t="s">
        <v>2904</v>
      </c>
      <c r="S206" s="144" t="s">
        <v>3878</v>
      </c>
      <c r="T206" s="144">
        <v>52293.767100000005</v>
      </c>
      <c r="U206" s="146">
        <v>5.5773922571219867E-2</v>
      </c>
      <c r="V206" s="146">
        <v>1.0590387481245281E-2</v>
      </c>
      <c r="W206" s="147">
        <v>2.3173495917880533E-3</v>
      </c>
      <c r="X206" s="181"/>
    </row>
    <row r="207" spans="1:24" x14ac:dyDescent="0.2">
      <c r="A207" s="142" t="s">
        <v>1220</v>
      </c>
      <c r="B207" s="143" t="s">
        <v>1220</v>
      </c>
      <c r="C207" s="143" t="s">
        <v>2779</v>
      </c>
      <c r="D207" s="143" t="s">
        <v>2780</v>
      </c>
      <c r="E207" s="143" t="s">
        <v>313</v>
      </c>
      <c r="F207" s="143" t="s">
        <v>2779</v>
      </c>
      <c r="G207" s="143" t="s">
        <v>2781</v>
      </c>
      <c r="H207" s="143" t="s">
        <v>321</v>
      </c>
      <c r="I207" s="143" t="s">
        <v>965</v>
      </c>
      <c r="J207" s="143" t="s">
        <v>205</v>
      </c>
      <c r="K207" s="143" t="s">
        <v>246</v>
      </c>
      <c r="L207" s="143" t="s">
        <v>370</v>
      </c>
      <c r="M207" s="143" t="s">
        <v>707</v>
      </c>
      <c r="N207" s="143" t="s">
        <v>339</v>
      </c>
      <c r="O207" s="143" t="s">
        <v>2782</v>
      </c>
      <c r="P207" s="144">
        <v>14280420</v>
      </c>
      <c r="Q207" s="143" t="s">
        <v>2783</v>
      </c>
      <c r="R207" s="143" t="s">
        <v>2784</v>
      </c>
      <c r="S207" s="144">
        <v>285.60840000000002</v>
      </c>
      <c r="T207" s="144">
        <v>51411.282799999994</v>
      </c>
      <c r="U207" s="146">
        <v>9.9169583333333339E-2</v>
      </c>
      <c r="V207" s="146">
        <v>1.0469509840817589E-2</v>
      </c>
      <c r="W207" s="147">
        <v>2.2908995916159653E-3</v>
      </c>
      <c r="X207" s="181"/>
    </row>
    <row r="208" spans="1:24" x14ac:dyDescent="0.2">
      <c r="A208" s="142" t="s">
        <v>1220</v>
      </c>
      <c r="B208" s="143" t="s">
        <v>1220</v>
      </c>
      <c r="C208" s="143" t="s">
        <v>2776</v>
      </c>
      <c r="D208" s="143" t="s">
        <v>2662</v>
      </c>
      <c r="E208" s="143" t="s">
        <v>313</v>
      </c>
      <c r="F208" s="143" t="s">
        <v>2776</v>
      </c>
      <c r="G208" s="143" t="s">
        <v>2777</v>
      </c>
      <c r="H208" s="143" t="s">
        <v>321</v>
      </c>
      <c r="I208" s="143" t="s">
        <v>965</v>
      </c>
      <c r="J208" s="143" t="s">
        <v>205</v>
      </c>
      <c r="K208" s="143" t="s">
        <v>301</v>
      </c>
      <c r="L208" s="143" t="s">
        <v>314</v>
      </c>
      <c r="M208" s="143" t="s">
        <v>596</v>
      </c>
      <c r="N208" s="143" t="s">
        <v>339</v>
      </c>
      <c r="O208" s="143" t="s">
        <v>1213</v>
      </c>
      <c r="P208" s="144">
        <v>278032</v>
      </c>
      <c r="Q208" s="143" t="s">
        <v>1214</v>
      </c>
      <c r="R208" s="143" t="s">
        <v>2778</v>
      </c>
      <c r="S208" s="144" t="s">
        <v>3878</v>
      </c>
      <c r="T208" s="144">
        <v>50332.023399999998</v>
      </c>
      <c r="U208" s="146">
        <v>9.5543642611683847E-3</v>
      </c>
      <c r="V208" s="146">
        <v>1.0193100639295294E-2</v>
      </c>
      <c r="W208" s="147">
        <v>2.2304167479571765E-3</v>
      </c>
      <c r="X208" s="181"/>
    </row>
    <row r="209" spans="1:24" x14ac:dyDescent="0.2">
      <c r="A209" s="142" t="s">
        <v>1220</v>
      </c>
      <c r="B209" s="143" t="s">
        <v>1220</v>
      </c>
      <c r="C209" s="143" t="s">
        <v>2718</v>
      </c>
      <c r="D209" s="143" t="s">
        <v>2719</v>
      </c>
      <c r="E209" s="143" t="s">
        <v>313</v>
      </c>
      <c r="F209" s="143" t="s">
        <v>2720</v>
      </c>
      <c r="G209" s="143" t="s">
        <v>2721</v>
      </c>
      <c r="H209" s="143" t="s">
        <v>321</v>
      </c>
      <c r="I209" s="143" t="s">
        <v>965</v>
      </c>
      <c r="J209" s="143" t="s">
        <v>205</v>
      </c>
      <c r="K209" s="143" t="s">
        <v>224</v>
      </c>
      <c r="L209" s="143" t="s">
        <v>344</v>
      </c>
      <c r="M209" s="143" t="s">
        <v>602</v>
      </c>
      <c r="N209" s="143" t="s">
        <v>339</v>
      </c>
      <c r="O209" s="143" t="s">
        <v>1211</v>
      </c>
      <c r="P209" s="144">
        <v>62635</v>
      </c>
      <c r="Q209" s="143" t="s">
        <v>1212</v>
      </c>
      <c r="R209" s="143" t="s">
        <v>2722</v>
      </c>
      <c r="S209" s="144" t="s">
        <v>3878</v>
      </c>
      <c r="T209" s="144">
        <v>47769.428899999999</v>
      </c>
      <c r="U209" s="146">
        <v>2.0590072320841551E-4</v>
      </c>
      <c r="V209" s="146">
        <v>9.6741311736811639E-3</v>
      </c>
      <c r="W209" s="147">
        <v>2.1168577604865919E-3</v>
      </c>
      <c r="X209" s="181"/>
    </row>
    <row r="210" spans="1:24" x14ac:dyDescent="0.2">
      <c r="A210" s="142" t="s">
        <v>1220</v>
      </c>
      <c r="B210" s="143" t="s">
        <v>1220</v>
      </c>
      <c r="C210" s="143" t="s">
        <v>2762</v>
      </c>
      <c r="D210" s="143" t="s">
        <v>2763</v>
      </c>
      <c r="E210" s="143" t="s">
        <v>313</v>
      </c>
      <c r="F210" s="143" t="s">
        <v>2764</v>
      </c>
      <c r="G210" s="143" t="s">
        <v>2765</v>
      </c>
      <c r="H210" s="143" t="s">
        <v>321</v>
      </c>
      <c r="I210" s="143" t="s">
        <v>965</v>
      </c>
      <c r="J210" s="143" t="s">
        <v>205</v>
      </c>
      <c r="K210" s="143" t="s">
        <v>224</v>
      </c>
      <c r="L210" s="143" t="s">
        <v>344</v>
      </c>
      <c r="M210" s="143" t="s">
        <v>707</v>
      </c>
      <c r="N210" s="143" t="s">
        <v>339</v>
      </c>
      <c r="O210" s="143" t="s">
        <v>1211</v>
      </c>
      <c r="P210" s="144">
        <v>225697</v>
      </c>
      <c r="Q210" s="143" t="s">
        <v>1212</v>
      </c>
      <c r="R210" s="143" t="s">
        <v>2766</v>
      </c>
      <c r="S210" s="144" t="s">
        <v>3878</v>
      </c>
      <c r="T210" s="144">
        <v>45974.526299999998</v>
      </c>
      <c r="U210" s="146">
        <v>2.6868690476190477E-3</v>
      </c>
      <c r="V210" s="146">
        <v>9.3106325075641219E-3</v>
      </c>
      <c r="W210" s="147">
        <v>2.0373183208736816E-3</v>
      </c>
      <c r="X210" s="181"/>
    </row>
    <row r="211" spans="1:24" x14ac:dyDescent="0.2">
      <c r="A211" s="142" t="s">
        <v>1220</v>
      </c>
      <c r="B211" s="143" t="s">
        <v>1220</v>
      </c>
      <c r="C211" s="143" t="s">
        <v>2905</v>
      </c>
      <c r="D211" s="143" t="s">
        <v>2906</v>
      </c>
      <c r="E211" s="143" t="s">
        <v>313</v>
      </c>
      <c r="F211" s="143" t="s">
        <v>2905</v>
      </c>
      <c r="G211" s="143" t="s">
        <v>2907</v>
      </c>
      <c r="H211" s="143" t="s">
        <v>321</v>
      </c>
      <c r="I211" s="143" t="s">
        <v>965</v>
      </c>
      <c r="J211" s="143" t="s">
        <v>205</v>
      </c>
      <c r="K211" s="143" t="s">
        <v>224</v>
      </c>
      <c r="L211" s="143" t="s">
        <v>344</v>
      </c>
      <c r="M211" s="143" t="s">
        <v>708</v>
      </c>
      <c r="N211" s="143" t="s">
        <v>339</v>
      </c>
      <c r="O211" s="143" t="s">
        <v>1211</v>
      </c>
      <c r="P211" s="144">
        <v>368373</v>
      </c>
      <c r="Q211" s="143" t="s">
        <v>1212</v>
      </c>
      <c r="R211" s="143" t="s">
        <v>2908</v>
      </c>
      <c r="S211" s="144" t="s">
        <v>3878</v>
      </c>
      <c r="T211" s="144">
        <v>43743.118600000002</v>
      </c>
      <c r="U211" s="146">
        <v>2.0493630041724619E-2</v>
      </c>
      <c r="V211" s="146">
        <v>8.8587340686789341E-3</v>
      </c>
      <c r="W211" s="147">
        <v>1.9384355684970793E-3</v>
      </c>
      <c r="X211" s="181"/>
    </row>
    <row r="212" spans="1:24" x14ac:dyDescent="0.2">
      <c r="A212" s="142" t="s">
        <v>1220</v>
      </c>
      <c r="B212" s="143" t="s">
        <v>1220</v>
      </c>
      <c r="C212" s="143" t="s">
        <v>2788</v>
      </c>
      <c r="D212" s="143" t="s">
        <v>2789</v>
      </c>
      <c r="E212" s="143" t="s">
        <v>313</v>
      </c>
      <c r="F212" s="143" t="s">
        <v>2790</v>
      </c>
      <c r="G212" s="143" t="s">
        <v>2791</v>
      </c>
      <c r="H212" s="143" t="s">
        <v>321</v>
      </c>
      <c r="I212" s="143" t="s">
        <v>965</v>
      </c>
      <c r="J212" s="143" t="s">
        <v>205</v>
      </c>
      <c r="K212" s="143" t="s">
        <v>224</v>
      </c>
      <c r="L212" s="143" t="s">
        <v>344</v>
      </c>
      <c r="M212" s="143" t="s">
        <v>708</v>
      </c>
      <c r="N212" s="143" t="s">
        <v>339</v>
      </c>
      <c r="O212" s="143" t="s">
        <v>1211</v>
      </c>
      <c r="P212" s="144">
        <v>279279</v>
      </c>
      <c r="Q212" s="143" t="s">
        <v>1212</v>
      </c>
      <c r="R212" s="143" t="s">
        <v>2792</v>
      </c>
      <c r="S212" s="144" t="s">
        <v>3878</v>
      </c>
      <c r="T212" s="144">
        <v>40323.192900000002</v>
      </c>
      <c r="U212" s="146">
        <v>2.1213748575769084E-3</v>
      </c>
      <c r="V212" s="146">
        <v>8.1661402749345496E-3</v>
      </c>
      <c r="W212" s="147">
        <v>1.7868847448798335E-3</v>
      </c>
      <c r="X212" s="181"/>
    </row>
    <row r="213" spans="1:24" x14ac:dyDescent="0.2">
      <c r="A213" s="142" t="s">
        <v>1220</v>
      </c>
      <c r="B213" s="143" t="s">
        <v>1220</v>
      </c>
      <c r="C213" s="143" t="s">
        <v>2759</v>
      </c>
      <c r="D213" s="143" t="s">
        <v>2662</v>
      </c>
      <c r="E213" s="143" t="s">
        <v>313</v>
      </c>
      <c r="F213" s="143" t="s">
        <v>2759</v>
      </c>
      <c r="G213" s="143" t="s">
        <v>2760</v>
      </c>
      <c r="H213" s="143" t="s">
        <v>321</v>
      </c>
      <c r="I213" s="143" t="s">
        <v>965</v>
      </c>
      <c r="J213" s="143" t="s">
        <v>205</v>
      </c>
      <c r="K213" s="143" t="s">
        <v>224</v>
      </c>
      <c r="L213" s="143" t="s">
        <v>344</v>
      </c>
      <c r="M213" s="143" t="s">
        <v>708</v>
      </c>
      <c r="N213" s="143" t="s">
        <v>339</v>
      </c>
      <c r="O213" s="143" t="s">
        <v>1211</v>
      </c>
      <c r="P213" s="144">
        <v>106870</v>
      </c>
      <c r="Q213" s="143" t="s">
        <v>1212</v>
      </c>
      <c r="R213" s="143" t="s">
        <v>2761</v>
      </c>
      <c r="S213" s="144">
        <v>39.68083</v>
      </c>
      <c r="T213" s="144">
        <v>39964.058600000004</v>
      </c>
      <c r="U213" s="146">
        <v>1.7811666666666667E-2</v>
      </c>
      <c r="V213" s="146">
        <v>8.101445444640849E-3</v>
      </c>
      <c r="W213" s="147">
        <v>1.7727284603399713E-3</v>
      </c>
      <c r="X213" s="181"/>
    </row>
    <row r="214" spans="1:24" ht="15" x14ac:dyDescent="0.2">
      <c r="A214" s="142" t="s">
        <v>1220</v>
      </c>
      <c r="B214" s="143" t="s">
        <v>1220</v>
      </c>
      <c r="C214" s="143" t="s">
        <v>2646</v>
      </c>
      <c r="D214" s="143" t="s">
        <v>2647</v>
      </c>
      <c r="E214" s="143" t="s">
        <v>309</v>
      </c>
      <c r="F214" s="143" t="s">
        <v>2909</v>
      </c>
      <c r="G214" s="143" t="s">
        <v>2910</v>
      </c>
      <c r="H214" s="143" t="s">
        <v>321</v>
      </c>
      <c r="I214" s="143" t="s">
        <v>965</v>
      </c>
      <c r="J214" s="143" t="s">
        <v>205</v>
      </c>
      <c r="K214" s="143" t="s">
        <v>224</v>
      </c>
      <c r="L214" s="143" t="s">
        <v>340</v>
      </c>
      <c r="M214" s="143" t="s">
        <v>708</v>
      </c>
      <c r="N214" s="143" t="s">
        <v>339</v>
      </c>
      <c r="O214" s="143" t="s">
        <v>1210</v>
      </c>
      <c r="P214" s="144">
        <v>1503760</v>
      </c>
      <c r="Q214" s="145" t="s">
        <v>3876</v>
      </c>
      <c r="R214" s="143" t="s">
        <v>2911</v>
      </c>
      <c r="S214" s="144" t="s">
        <v>3878</v>
      </c>
      <c r="T214" s="144">
        <v>37142.872000000003</v>
      </c>
      <c r="U214" s="146">
        <v>0.3341688888888889</v>
      </c>
      <c r="V214" s="146">
        <v>7.5220705753046195E-3</v>
      </c>
      <c r="W214" s="147">
        <v>1.6459517848570176E-3</v>
      </c>
      <c r="X214" s="181"/>
    </row>
    <row r="215" spans="1:24" x14ac:dyDescent="0.2">
      <c r="A215" s="142" t="s">
        <v>1220</v>
      </c>
      <c r="B215" s="143" t="s">
        <v>1220</v>
      </c>
      <c r="C215" s="143" t="s">
        <v>2912</v>
      </c>
      <c r="D215" s="143" t="s">
        <v>2913</v>
      </c>
      <c r="E215" s="143" t="s">
        <v>313</v>
      </c>
      <c r="F215" s="143" t="s">
        <v>2912</v>
      </c>
      <c r="G215" s="143" t="s">
        <v>2914</v>
      </c>
      <c r="H215" s="143" t="s">
        <v>321</v>
      </c>
      <c r="I215" s="143" t="s">
        <v>965</v>
      </c>
      <c r="J215" s="143" t="s">
        <v>205</v>
      </c>
      <c r="K215" s="143" t="s">
        <v>224</v>
      </c>
      <c r="L215" s="143" t="s">
        <v>314</v>
      </c>
      <c r="M215" s="143" t="s">
        <v>708</v>
      </c>
      <c r="N215" s="143" t="s">
        <v>339</v>
      </c>
      <c r="O215" s="143" t="s">
        <v>1211</v>
      </c>
      <c r="P215" s="144">
        <v>85290</v>
      </c>
      <c r="Q215" s="143" t="s">
        <v>1212</v>
      </c>
      <c r="R215" s="143" t="s">
        <v>2915</v>
      </c>
      <c r="S215" s="144" t="s">
        <v>3878</v>
      </c>
      <c r="T215" s="144">
        <v>35359.537600000003</v>
      </c>
      <c r="U215" s="146">
        <v>2.9410344827586206E-2</v>
      </c>
      <c r="V215" s="146">
        <v>7.1609146756661099E-3</v>
      </c>
      <c r="W215" s="147">
        <v>1.5669249807781986E-3</v>
      </c>
      <c r="X215" s="181"/>
    </row>
    <row r="216" spans="1:24" x14ac:dyDescent="0.2">
      <c r="A216" s="142" t="s">
        <v>1220</v>
      </c>
      <c r="B216" s="143" t="s">
        <v>1220</v>
      </c>
      <c r="C216" s="143" t="s">
        <v>2916</v>
      </c>
      <c r="D216" s="143" t="s">
        <v>2917</v>
      </c>
      <c r="E216" s="143" t="s">
        <v>313</v>
      </c>
      <c r="F216" s="143" t="s">
        <v>2916</v>
      </c>
      <c r="G216" s="143" t="s">
        <v>2918</v>
      </c>
      <c r="H216" s="143" t="s">
        <v>321</v>
      </c>
      <c r="I216" s="143" t="s">
        <v>965</v>
      </c>
      <c r="J216" s="143" t="s">
        <v>205</v>
      </c>
      <c r="K216" s="143" t="s">
        <v>224</v>
      </c>
      <c r="L216" s="143" t="s">
        <v>344</v>
      </c>
      <c r="M216" s="143" t="s">
        <v>708</v>
      </c>
      <c r="N216" s="143" t="s">
        <v>339</v>
      </c>
      <c r="O216" s="143" t="s">
        <v>1211</v>
      </c>
      <c r="P216" s="144">
        <v>86704</v>
      </c>
      <c r="Q216" s="143" t="s">
        <v>1212</v>
      </c>
      <c r="R216" s="143" t="s">
        <v>2919</v>
      </c>
      <c r="S216" s="144" t="s">
        <v>3878</v>
      </c>
      <c r="T216" s="144">
        <v>32944.027600000001</v>
      </c>
      <c r="U216" s="146">
        <v>6.3287591240875915E-3</v>
      </c>
      <c r="V216" s="146">
        <v>6.6717323410737869E-3</v>
      </c>
      <c r="W216" s="147">
        <v>1.4598839036330071E-3</v>
      </c>
      <c r="X216" s="181"/>
    </row>
    <row r="217" spans="1:24" x14ac:dyDescent="0.2">
      <c r="A217" s="142" t="s">
        <v>1220</v>
      </c>
      <c r="B217" s="143" t="s">
        <v>1220</v>
      </c>
      <c r="C217" s="143" t="s">
        <v>2793</v>
      </c>
      <c r="D217" s="143" t="s">
        <v>2794</v>
      </c>
      <c r="E217" s="143" t="s">
        <v>313</v>
      </c>
      <c r="F217" s="143" t="s">
        <v>2793</v>
      </c>
      <c r="G217" s="143" t="s">
        <v>2795</v>
      </c>
      <c r="H217" s="143" t="s">
        <v>321</v>
      </c>
      <c r="I217" s="143" t="s">
        <v>965</v>
      </c>
      <c r="J217" s="143" t="s">
        <v>205</v>
      </c>
      <c r="K217" s="143" t="s">
        <v>224</v>
      </c>
      <c r="L217" s="143" t="s">
        <v>344</v>
      </c>
      <c r="M217" s="143" t="s">
        <v>703</v>
      </c>
      <c r="N217" s="143" t="s">
        <v>339</v>
      </c>
      <c r="O217" s="143" t="s">
        <v>1211</v>
      </c>
      <c r="P217" s="144">
        <v>420978</v>
      </c>
      <c r="Q217" s="143" t="s">
        <v>1212</v>
      </c>
      <c r="R217" s="143" t="s">
        <v>2796</v>
      </c>
      <c r="S217" s="144" t="s">
        <v>3878</v>
      </c>
      <c r="T217" s="144">
        <v>31111.090899999999</v>
      </c>
      <c r="U217" s="146">
        <v>9.0571858864027539E-3</v>
      </c>
      <c r="V217" s="146">
        <v>6.3005311329818051E-3</v>
      </c>
      <c r="W217" s="147">
        <v>1.3786590221481195E-3</v>
      </c>
      <c r="X217" s="181"/>
    </row>
    <row r="218" spans="1:24" x14ac:dyDescent="0.2">
      <c r="A218" s="142" t="s">
        <v>1220</v>
      </c>
      <c r="B218" s="143" t="s">
        <v>1220</v>
      </c>
      <c r="C218" s="143" t="s">
        <v>2802</v>
      </c>
      <c r="D218" s="143" t="s">
        <v>2803</v>
      </c>
      <c r="E218" s="143" t="s">
        <v>313</v>
      </c>
      <c r="F218" s="143" t="s">
        <v>2802</v>
      </c>
      <c r="G218" s="143" t="s">
        <v>2804</v>
      </c>
      <c r="H218" s="143" t="s">
        <v>321</v>
      </c>
      <c r="I218" s="143" t="s">
        <v>965</v>
      </c>
      <c r="J218" s="143" t="s">
        <v>205</v>
      </c>
      <c r="K218" s="143" t="s">
        <v>224</v>
      </c>
      <c r="L218" s="143" t="s">
        <v>344</v>
      </c>
      <c r="M218" s="143" t="s">
        <v>703</v>
      </c>
      <c r="N218" s="143" t="s">
        <v>339</v>
      </c>
      <c r="O218" s="143" t="s">
        <v>1211</v>
      </c>
      <c r="P218" s="144">
        <v>174901</v>
      </c>
      <c r="Q218" s="143" t="s">
        <v>1212</v>
      </c>
      <c r="R218" s="143" t="s">
        <v>2805</v>
      </c>
      <c r="S218" s="144" t="s">
        <v>3878</v>
      </c>
      <c r="T218" s="144">
        <v>26436.179499999998</v>
      </c>
      <c r="U218" s="146">
        <v>5.279552040569911E-3</v>
      </c>
      <c r="V218" s="146">
        <v>5.3537811411694808E-3</v>
      </c>
      <c r="W218" s="147">
        <v>1.171494675145997E-3</v>
      </c>
      <c r="X218" s="181"/>
    </row>
    <row r="219" spans="1:24" x14ac:dyDescent="0.2">
      <c r="A219" s="142" t="s">
        <v>1220</v>
      </c>
      <c r="B219" s="143" t="s">
        <v>1220</v>
      </c>
      <c r="C219" s="143" t="s">
        <v>2762</v>
      </c>
      <c r="D219" s="143" t="s">
        <v>2763</v>
      </c>
      <c r="E219" s="143" t="s">
        <v>313</v>
      </c>
      <c r="F219" s="143" t="s">
        <v>2785</v>
      </c>
      <c r="G219" s="143" t="s">
        <v>2786</v>
      </c>
      <c r="H219" s="143" t="s">
        <v>321</v>
      </c>
      <c r="I219" s="143" t="s">
        <v>965</v>
      </c>
      <c r="J219" s="143" t="s">
        <v>205</v>
      </c>
      <c r="K219" s="143" t="s">
        <v>224</v>
      </c>
      <c r="L219" s="143" t="s">
        <v>344</v>
      </c>
      <c r="M219" s="143" t="s">
        <v>708</v>
      </c>
      <c r="N219" s="143" t="s">
        <v>339</v>
      </c>
      <c r="O219" s="143" t="s">
        <v>1211</v>
      </c>
      <c r="P219" s="144">
        <v>115981</v>
      </c>
      <c r="Q219" s="143" t="s">
        <v>1212</v>
      </c>
      <c r="R219" s="143" t="s">
        <v>2787</v>
      </c>
      <c r="S219" s="144" t="s">
        <v>3878</v>
      </c>
      <c r="T219" s="144">
        <v>24431.903300000002</v>
      </c>
      <c r="U219" s="146">
        <v>9.6771798080934497E-4</v>
      </c>
      <c r="V219" s="146">
        <v>4.9478807431993215E-3</v>
      </c>
      <c r="W219" s="147">
        <v>1.0826770447043812E-3</v>
      </c>
      <c r="X219" s="181"/>
    </row>
    <row r="220" spans="1:24" x14ac:dyDescent="0.2">
      <c r="A220" s="142" t="s">
        <v>1220</v>
      </c>
      <c r="B220" s="143" t="s">
        <v>1220</v>
      </c>
      <c r="C220" s="143" t="s">
        <v>2920</v>
      </c>
      <c r="D220" s="143" t="s">
        <v>2921</v>
      </c>
      <c r="E220" s="143" t="s">
        <v>313</v>
      </c>
      <c r="F220" s="143" t="s">
        <v>2920</v>
      </c>
      <c r="G220" s="143" t="s">
        <v>2922</v>
      </c>
      <c r="H220" s="143" t="s">
        <v>321</v>
      </c>
      <c r="I220" s="143" t="s">
        <v>965</v>
      </c>
      <c r="J220" s="143" t="s">
        <v>205</v>
      </c>
      <c r="K220" s="143" t="s">
        <v>224</v>
      </c>
      <c r="L220" s="143" t="s">
        <v>344</v>
      </c>
      <c r="M220" s="143" t="s">
        <v>708</v>
      </c>
      <c r="N220" s="143" t="s">
        <v>339</v>
      </c>
      <c r="O220" s="143" t="s">
        <v>1211</v>
      </c>
      <c r="P220" s="144">
        <v>88419</v>
      </c>
      <c r="Q220" s="143" t="s">
        <v>1212</v>
      </c>
      <c r="R220" s="143" t="s">
        <v>2923</v>
      </c>
      <c r="S220" s="144" t="s">
        <v>3878</v>
      </c>
      <c r="T220" s="144">
        <v>22647.488799999999</v>
      </c>
      <c r="U220" s="146">
        <v>3.7677373718434938E-4</v>
      </c>
      <c r="V220" s="146">
        <v>4.5865061051098138E-3</v>
      </c>
      <c r="W220" s="147">
        <v>1.003602377083173E-3</v>
      </c>
      <c r="X220" s="181"/>
    </row>
    <row r="221" spans="1:24" x14ac:dyDescent="0.2">
      <c r="A221" s="142" t="s">
        <v>1220</v>
      </c>
      <c r="B221" s="143" t="s">
        <v>1220</v>
      </c>
      <c r="C221" s="143" t="s">
        <v>2924</v>
      </c>
      <c r="D221" s="143" t="s">
        <v>2925</v>
      </c>
      <c r="E221" s="143" t="s">
        <v>313</v>
      </c>
      <c r="F221" s="143" t="s">
        <v>2924</v>
      </c>
      <c r="G221" s="143" t="s">
        <v>2926</v>
      </c>
      <c r="H221" s="143" t="s">
        <v>321</v>
      </c>
      <c r="I221" s="143" t="s">
        <v>965</v>
      </c>
      <c r="J221" s="143" t="s">
        <v>205</v>
      </c>
      <c r="K221" s="143" t="s">
        <v>293</v>
      </c>
      <c r="L221" s="143" t="s">
        <v>364</v>
      </c>
      <c r="M221" s="143" t="s">
        <v>610</v>
      </c>
      <c r="N221" s="143" t="s">
        <v>339</v>
      </c>
      <c r="O221" s="143" t="s">
        <v>1213</v>
      </c>
      <c r="P221" s="144">
        <v>30197</v>
      </c>
      <c r="Q221" s="143" t="s">
        <v>1214</v>
      </c>
      <c r="R221" s="143" t="s">
        <v>2927</v>
      </c>
      <c r="S221" s="144" t="s">
        <v>3878</v>
      </c>
      <c r="T221" s="144">
        <v>19021.363799999999</v>
      </c>
      <c r="U221" s="146">
        <v>1.1192364714603409E-2</v>
      </c>
      <c r="V221" s="146">
        <v>3.8521534076353435E-3</v>
      </c>
      <c r="W221" s="147">
        <v>8.429140239200252E-4</v>
      </c>
      <c r="X221" s="181"/>
    </row>
    <row r="222" spans="1:24" x14ac:dyDescent="0.2">
      <c r="A222" s="142" t="s">
        <v>1220</v>
      </c>
      <c r="B222" s="143" t="s">
        <v>1220</v>
      </c>
      <c r="C222" s="143" t="s">
        <v>2824</v>
      </c>
      <c r="D222" s="143" t="s">
        <v>2825</v>
      </c>
      <c r="E222" s="143" t="s">
        <v>313</v>
      </c>
      <c r="F222" s="143" t="s">
        <v>2824</v>
      </c>
      <c r="G222" s="143" t="s">
        <v>2826</v>
      </c>
      <c r="H222" s="143" t="s">
        <v>321</v>
      </c>
      <c r="I222" s="143" t="s">
        <v>967</v>
      </c>
      <c r="J222" s="143" t="s">
        <v>205</v>
      </c>
      <c r="K222" s="143" t="s">
        <v>224</v>
      </c>
      <c r="L222" s="143" t="s">
        <v>380</v>
      </c>
      <c r="M222" s="143" t="s">
        <v>592</v>
      </c>
      <c r="N222" s="143" t="s">
        <v>339</v>
      </c>
      <c r="O222" s="143" t="s">
        <v>1211</v>
      </c>
      <c r="P222" s="144">
        <v>18052893</v>
      </c>
      <c r="Q222" s="143" t="s">
        <v>1212</v>
      </c>
      <c r="R222" s="143" t="s">
        <v>2827</v>
      </c>
      <c r="S222" s="144" t="s">
        <v>3878</v>
      </c>
      <c r="T222" s="144">
        <v>389113.9693</v>
      </c>
      <c r="U222" s="146">
        <v>5.9443177477774119E-2</v>
      </c>
      <c r="V222" s="146">
        <v>7.8802272994050709E-2</v>
      </c>
      <c r="W222" s="147">
        <v>1.7243223203884273E-2</v>
      </c>
      <c r="X222" s="181"/>
    </row>
    <row r="223" spans="1:24" x14ac:dyDescent="0.2">
      <c r="A223" s="142" t="s">
        <v>1220</v>
      </c>
      <c r="B223" s="143" t="s">
        <v>1220</v>
      </c>
      <c r="C223" s="143" t="s">
        <v>2836</v>
      </c>
      <c r="D223" s="143" t="s">
        <v>2837</v>
      </c>
      <c r="E223" s="143" t="s">
        <v>313</v>
      </c>
      <c r="F223" s="143" t="s">
        <v>2836</v>
      </c>
      <c r="G223" s="143" t="s">
        <v>2838</v>
      </c>
      <c r="H223" s="143" t="s">
        <v>321</v>
      </c>
      <c r="I223" s="143" t="s">
        <v>967</v>
      </c>
      <c r="J223" s="143" t="s">
        <v>205</v>
      </c>
      <c r="K223" s="143" t="s">
        <v>233</v>
      </c>
      <c r="L223" s="143" t="s">
        <v>380</v>
      </c>
      <c r="M223" s="143" t="s">
        <v>677</v>
      </c>
      <c r="N223" s="143" t="s">
        <v>339</v>
      </c>
      <c r="O223" s="143" t="s">
        <v>1211</v>
      </c>
      <c r="P223" s="144">
        <v>308003</v>
      </c>
      <c r="Q223" s="143" t="s">
        <v>1212</v>
      </c>
      <c r="R223" s="143" t="s">
        <v>2839</v>
      </c>
      <c r="S223" s="144" t="s">
        <v>3878</v>
      </c>
      <c r="T223" s="144">
        <v>106400.28320000001</v>
      </c>
      <c r="U223" s="146">
        <v>9.6323179884913682E-3</v>
      </c>
      <c r="V223" s="146">
        <v>2.1547887819070209E-2</v>
      </c>
      <c r="W223" s="147">
        <v>4.7150294670375527E-3</v>
      </c>
      <c r="X223" s="181"/>
    </row>
    <row r="224" spans="1:24" x14ac:dyDescent="0.2">
      <c r="A224" s="142" t="s">
        <v>1220</v>
      </c>
      <c r="B224" s="143" t="s">
        <v>1220</v>
      </c>
      <c r="C224" s="143" t="s">
        <v>2828</v>
      </c>
      <c r="D224" s="143" t="s">
        <v>2829</v>
      </c>
      <c r="E224" s="143" t="s">
        <v>313</v>
      </c>
      <c r="F224" s="143" t="s">
        <v>2828</v>
      </c>
      <c r="G224" s="143" t="s">
        <v>2830</v>
      </c>
      <c r="H224" s="143" t="s">
        <v>321</v>
      </c>
      <c r="I224" s="143" t="s">
        <v>967</v>
      </c>
      <c r="J224" s="143" t="s">
        <v>205</v>
      </c>
      <c r="K224" s="143" t="s">
        <v>224</v>
      </c>
      <c r="L224" s="143" t="s">
        <v>314</v>
      </c>
      <c r="M224" s="143" t="s">
        <v>677</v>
      </c>
      <c r="N224" s="143" t="s">
        <v>339</v>
      </c>
      <c r="O224" s="143" t="s">
        <v>1211</v>
      </c>
      <c r="P224" s="144">
        <v>259125</v>
      </c>
      <c r="Q224" s="143" t="s">
        <v>1212</v>
      </c>
      <c r="R224" s="143" t="s">
        <v>2831</v>
      </c>
      <c r="S224" s="144" t="s">
        <v>3878</v>
      </c>
      <c r="T224" s="144">
        <v>90947.1302</v>
      </c>
      <c r="U224" s="146">
        <v>1.7139030359150736E-2</v>
      </c>
      <c r="V224" s="146">
        <v>1.8418358493560098E-2</v>
      </c>
      <c r="W224" s="147">
        <v>4.0302373838580962E-3</v>
      </c>
      <c r="X224" s="181"/>
    </row>
    <row r="225" spans="1:24" x14ac:dyDescent="0.2">
      <c r="A225" s="148" t="s">
        <v>1220</v>
      </c>
      <c r="B225" s="149" t="s">
        <v>1220</v>
      </c>
      <c r="C225" s="149" t="s">
        <v>2832</v>
      </c>
      <c r="D225" s="149" t="s">
        <v>2833</v>
      </c>
      <c r="E225" s="149" t="s">
        <v>313</v>
      </c>
      <c r="F225" s="149" t="s">
        <v>2832</v>
      </c>
      <c r="G225" s="149" t="s">
        <v>2834</v>
      </c>
      <c r="H225" s="149" t="s">
        <v>321</v>
      </c>
      <c r="I225" s="149" t="s">
        <v>967</v>
      </c>
      <c r="J225" s="149" t="s">
        <v>205</v>
      </c>
      <c r="K225" s="149" t="s">
        <v>224</v>
      </c>
      <c r="L225" s="149" t="s">
        <v>314</v>
      </c>
      <c r="M225" s="149" t="s">
        <v>677</v>
      </c>
      <c r="N225" s="149" t="s">
        <v>339</v>
      </c>
      <c r="O225" s="149" t="s">
        <v>1211</v>
      </c>
      <c r="P225" s="150">
        <v>520859</v>
      </c>
      <c r="Q225" s="149" t="s">
        <v>1212</v>
      </c>
      <c r="R225" s="149" t="s">
        <v>2835</v>
      </c>
      <c r="S225" s="150" t="s">
        <v>3878</v>
      </c>
      <c r="T225" s="150">
        <v>41174.825899999996</v>
      </c>
      <c r="U225" s="152">
        <v>9.3010535714285719E-2</v>
      </c>
      <c r="V225" s="152">
        <v>8.3386105986433395E-3</v>
      </c>
      <c r="W225" s="153">
        <v>1.8246240660283663E-3</v>
      </c>
      <c r="X225" s="181"/>
    </row>
    <row r="226" spans="1:24" x14ac:dyDescent="0.2">
      <c r="A226" s="181" t="s">
        <v>3893</v>
      </c>
      <c r="B226" s="181"/>
      <c r="C226" s="181"/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</row>
    <row r="227" spans="1:24" x14ac:dyDescent="0.2">
      <c r="A227" s="2" t="s">
        <v>3892</v>
      </c>
    </row>
    <row r="228" spans="1:24" x14ac:dyDescent="0.2">
      <c r="A228" s="17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226:W226"/>
    <mergeCell ref="X2:X225"/>
  </mergeCells>
  <dataValidations count="8">
    <dataValidation type="list" allowBlank="1" showInputMessage="1" showErrorMessage="1" sqref="J3:J21">
      <formula1>israel_abroad</formula1>
    </dataValidation>
    <dataValidation type="list" allowBlank="1" showInputMessage="1" showErrorMessage="1" sqref="N3:N21">
      <formula1>Holding_interest</formula1>
    </dataValidation>
    <dataValidation type="list" allowBlank="1" showInputMessage="1" showErrorMessage="1" sqref="K4:K21">
      <formula1>Country_list</formula1>
    </dataValidation>
    <dataValidation type="list" allowBlank="1" showInputMessage="1" showErrorMessage="1" sqref="M3:M21">
      <formula1>Fund_type</formula1>
    </dataValidation>
    <dataValidation type="list" allowBlank="1" showInputMessage="1" showErrorMessage="1" sqref="E3:E21">
      <formula1>Issuer_Type_TFunds</formula1>
    </dataValidation>
    <dataValidation type="list" allowBlank="1" showInputMessage="1" showErrorMessage="1" sqref="H3:H21">
      <formula1>Security_ID_Number_Type</formula1>
    </dataValidation>
    <dataValidation type="list" allowBlank="1" showInputMessage="1" showErrorMessage="1" sqref="K3">
      <formula1>Country_list_funds</formula1>
    </dataValidation>
    <dataValidation type="list" allowBlank="1" showInputMessage="1" showErrorMessage="1" sqref="L3:L21">
      <formula1>Stock_Exchange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בחירה'!$C$891:$C$896</xm:f>
          </x14:formula1>
          <xm:sqref>I3:I21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1048575"/>
  <sheetViews>
    <sheetView rightToLeft="1" workbookViewId="0"/>
  </sheetViews>
  <sheetFormatPr defaultColWidth="9" defaultRowHeight="14.25" x14ac:dyDescent="0.2"/>
  <cols>
    <col min="1" max="1" width="29.375" style="4" customWidth="1"/>
    <col min="2" max="2" width="11.125" style="4" customWidth="1"/>
    <col min="3" max="3" width="35.375" style="4" bestFit="1" customWidth="1"/>
    <col min="4" max="4" width="24.125" style="4" bestFit="1" customWidth="1"/>
    <col min="5" max="5" width="18.125" style="4" customWidth="1"/>
    <col min="6" max="6" width="36.75" style="4" bestFit="1" customWidth="1"/>
    <col min="7" max="7" width="14.625" style="4" bestFit="1" customWidth="1"/>
    <col min="8" max="8" width="15.5" style="4" customWidth="1"/>
    <col min="9" max="9" width="11.5" style="4" customWidth="1"/>
    <col min="10" max="10" width="10.625" style="4" customWidth="1"/>
    <col min="11" max="11" width="19.875" style="4" customWidth="1"/>
    <col min="12" max="12" width="13.75" style="4" customWidth="1"/>
    <col min="13" max="13" width="10.25" style="2" customWidth="1"/>
    <col min="14" max="14" width="70.25" style="4" bestFit="1" customWidth="1"/>
    <col min="15" max="15" width="15.125" style="4" customWidth="1"/>
    <col min="16" max="16" width="11.75" style="4" customWidth="1"/>
    <col min="17" max="17" width="14.875" style="4" customWidth="1"/>
    <col min="18" max="18" width="10.5" style="4" customWidth="1"/>
    <col min="19" max="19" width="12.875" style="4" customWidth="1"/>
    <col min="20" max="20" width="17.875" style="4" customWidth="1"/>
    <col min="21" max="21" width="19" style="4" customWidth="1"/>
    <col min="22" max="22" width="21.75" style="4" customWidth="1"/>
    <col min="23" max="23" width="20.125" style="4" customWidth="1"/>
    <col min="24" max="24" width="11.625" style="4" customWidth="1"/>
    <col min="25" max="16384" width="9" style="4"/>
  </cols>
  <sheetData>
    <row r="1" spans="1:24" x14ac:dyDescent="0.2">
      <c r="A1" s="4" t="s">
        <v>3903</v>
      </c>
    </row>
    <row r="2" spans="1:24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91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89</v>
      </c>
      <c r="M2" s="140" t="s">
        <v>70</v>
      </c>
      <c r="N2" s="140" t="s">
        <v>90</v>
      </c>
      <c r="O2" s="140" t="s">
        <v>56</v>
      </c>
      <c r="P2" s="140" t="s">
        <v>59</v>
      </c>
      <c r="Q2" s="140" t="s">
        <v>76</v>
      </c>
      <c r="R2" s="140" t="s">
        <v>61</v>
      </c>
      <c r="S2" s="140" t="s">
        <v>77</v>
      </c>
      <c r="T2" s="140" t="s">
        <v>63</v>
      </c>
      <c r="U2" s="140" t="s">
        <v>79</v>
      </c>
      <c r="V2" s="140" t="s">
        <v>64</v>
      </c>
      <c r="W2" s="141" t="s">
        <v>65</v>
      </c>
      <c r="X2" s="183" t="s">
        <v>3894</v>
      </c>
    </row>
    <row r="3" spans="1:24" ht="15" x14ac:dyDescent="0.2">
      <c r="A3" s="142" t="s">
        <v>1205</v>
      </c>
      <c r="B3" s="143" t="s">
        <v>1206</v>
      </c>
      <c r="C3" s="143" t="s">
        <v>2955</v>
      </c>
      <c r="D3" s="143" t="s">
        <v>2956</v>
      </c>
      <c r="E3" s="143" t="s">
        <v>314</v>
      </c>
      <c r="F3" s="143" t="s">
        <v>2957</v>
      </c>
      <c r="G3" s="143" t="s">
        <v>2958</v>
      </c>
      <c r="H3" s="143" t="s">
        <v>321</v>
      </c>
      <c r="I3" s="143" t="s">
        <v>969</v>
      </c>
      <c r="J3" s="143" t="s">
        <v>205</v>
      </c>
      <c r="K3" s="143" t="s">
        <v>291</v>
      </c>
      <c r="L3" s="143" t="s">
        <v>325</v>
      </c>
      <c r="M3" s="143" t="s">
        <v>314</v>
      </c>
      <c r="N3" s="143" t="s">
        <v>678</v>
      </c>
      <c r="O3" s="143" t="s">
        <v>339</v>
      </c>
      <c r="P3" s="143" t="s">
        <v>1211</v>
      </c>
      <c r="Q3" s="144">
        <v>27.05</v>
      </c>
      <c r="R3" s="143" t="s">
        <v>1212</v>
      </c>
      <c r="S3" s="143" t="s">
        <v>2959</v>
      </c>
      <c r="T3" s="144">
        <v>134.91329999999999</v>
      </c>
      <c r="U3" s="145" t="s">
        <v>3876</v>
      </c>
      <c r="V3" s="146">
        <v>0.5357130181375328</v>
      </c>
      <c r="W3" s="147">
        <v>4.6926845915497492E-3</v>
      </c>
      <c r="X3" s="183"/>
    </row>
    <row r="4" spans="1:24" x14ac:dyDescent="0.2">
      <c r="A4" s="142" t="s">
        <v>1205</v>
      </c>
      <c r="B4" s="143" t="s">
        <v>1206</v>
      </c>
      <c r="C4" s="143" t="s">
        <v>2960</v>
      </c>
      <c r="D4" s="143" t="s">
        <v>2961</v>
      </c>
      <c r="E4" s="143" t="s">
        <v>313</v>
      </c>
      <c r="F4" s="143" t="s">
        <v>2960</v>
      </c>
      <c r="G4" s="143" t="s">
        <v>2962</v>
      </c>
      <c r="H4" s="143" t="s">
        <v>321</v>
      </c>
      <c r="I4" s="143" t="s">
        <v>917</v>
      </c>
      <c r="J4" s="143" t="s">
        <v>205</v>
      </c>
      <c r="K4" s="143" t="s">
        <v>238</v>
      </c>
      <c r="L4" s="143" t="s">
        <v>325</v>
      </c>
      <c r="M4" s="143" t="s">
        <v>314</v>
      </c>
      <c r="N4" s="143" t="s">
        <v>706</v>
      </c>
      <c r="O4" s="143" t="s">
        <v>339</v>
      </c>
      <c r="P4" s="143" t="s">
        <v>1213</v>
      </c>
      <c r="Q4" s="144">
        <v>57.75</v>
      </c>
      <c r="R4" s="143" t="s">
        <v>1214</v>
      </c>
      <c r="S4" s="143" t="s">
        <v>2963</v>
      </c>
      <c r="T4" s="144">
        <v>46.173300000000005</v>
      </c>
      <c r="U4" s="146">
        <v>1.0499999999999999E-3</v>
      </c>
      <c r="V4" s="146">
        <v>0.18334458237402695</v>
      </c>
      <c r="W4" s="147">
        <v>1.606043287209863E-3</v>
      </c>
      <c r="X4" s="183"/>
    </row>
    <row r="5" spans="1:24" ht="15" x14ac:dyDescent="0.2">
      <c r="A5" s="142" t="s">
        <v>1205</v>
      </c>
      <c r="B5" s="143" t="s">
        <v>1206</v>
      </c>
      <c r="C5" s="143" t="s">
        <v>2964</v>
      </c>
      <c r="D5" s="143" t="s">
        <v>2965</v>
      </c>
      <c r="E5" s="143" t="s">
        <v>313</v>
      </c>
      <c r="F5" s="143" t="s">
        <v>2964</v>
      </c>
      <c r="G5" s="143" t="s">
        <v>2966</v>
      </c>
      <c r="H5" s="143" t="s">
        <v>321</v>
      </c>
      <c r="I5" s="143" t="s">
        <v>917</v>
      </c>
      <c r="J5" s="143" t="s">
        <v>205</v>
      </c>
      <c r="K5" s="143" t="s">
        <v>244</v>
      </c>
      <c r="L5" s="143" t="s">
        <v>325</v>
      </c>
      <c r="M5" s="143" t="s">
        <v>314</v>
      </c>
      <c r="N5" s="143" t="s">
        <v>580</v>
      </c>
      <c r="O5" s="143" t="s">
        <v>339</v>
      </c>
      <c r="P5" s="143" t="s">
        <v>1211</v>
      </c>
      <c r="Q5" s="144">
        <v>765.72</v>
      </c>
      <c r="R5" s="143" t="s">
        <v>1212</v>
      </c>
      <c r="S5" s="143" t="s">
        <v>2967</v>
      </c>
      <c r="T5" s="144">
        <v>43.383499999999998</v>
      </c>
      <c r="U5" s="145" t="s">
        <v>3876</v>
      </c>
      <c r="V5" s="146">
        <v>0.17226698389402209</v>
      </c>
      <c r="W5" s="147">
        <v>1.5090068629705921E-3</v>
      </c>
      <c r="X5" s="183"/>
    </row>
    <row r="6" spans="1:24" ht="15" x14ac:dyDescent="0.2">
      <c r="A6" s="142" t="s">
        <v>1205</v>
      </c>
      <c r="B6" s="143" t="s">
        <v>1206</v>
      </c>
      <c r="C6" s="143" t="s">
        <v>2968</v>
      </c>
      <c r="D6" s="143" t="s">
        <v>2969</v>
      </c>
      <c r="E6" s="143" t="s">
        <v>313</v>
      </c>
      <c r="F6" s="143" t="s">
        <v>2968</v>
      </c>
      <c r="G6" s="143" t="s">
        <v>2970</v>
      </c>
      <c r="H6" s="143" t="s">
        <v>321</v>
      </c>
      <c r="I6" s="143" t="s">
        <v>917</v>
      </c>
      <c r="J6" s="143" t="s">
        <v>205</v>
      </c>
      <c r="K6" s="143" t="s">
        <v>220</v>
      </c>
      <c r="L6" s="143" t="s">
        <v>325</v>
      </c>
      <c r="M6" s="143" t="s">
        <v>314</v>
      </c>
      <c r="N6" s="143" t="s">
        <v>599</v>
      </c>
      <c r="O6" s="143" t="s">
        <v>339</v>
      </c>
      <c r="P6" s="143" t="s">
        <v>1211</v>
      </c>
      <c r="Q6" s="144">
        <v>32.46</v>
      </c>
      <c r="R6" s="143" t="s">
        <v>1212</v>
      </c>
      <c r="S6" s="143" t="s">
        <v>2971</v>
      </c>
      <c r="T6" s="144">
        <v>27.3687</v>
      </c>
      <c r="U6" s="145" t="s">
        <v>3876</v>
      </c>
      <c r="V6" s="146">
        <v>0.10867541559441816</v>
      </c>
      <c r="W6" s="147">
        <v>9.5196388919797578E-4</v>
      </c>
      <c r="X6" s="183"/>
    </row>
    <row r="7" spans="1:24" ht="15" x14ac:dyDescent="0.2">
      <c r="A7" s="142" t="s">
        <v>1205</v>
      </c>
      <c r="B7" s="143" t="s">
        <v>1215</v>
      </c>
      <c r="C7" s="143" t="s">
        <v>2955</v>
      </c>
      <c r="D7" s="143" t="s">
        <v>2956</v>
      </c>
      <c r="E7" s="143" t="s">
        <v>314</v>
      </c>
      <c r="F7" s="143" t="s">
        <v>2957</v>
      </c>
      <c r="G7" s="143" t="s">
        <v>2958</v>
      </c>
      <c r="H7" s="143" t="s">
        <v>321</v>
      </c>
      <c r="I7" s="143" t="s">
        <v>969</v>
      </c>
      <c r="J7" s="143" t="s">
        <v>205</v>
      </c>
      <c r="K7" s="143" t="s">
        <v>291</v>
      </c>
      <c r="L7" s="143" t="s">
        <v>325</v>
      </c>
      <c r="M7" s="143" t="s">
        <v>314</v>
      </c>
      <c r="N7" s="143" t="s">
        <v>678</v>
      </c>
      <c r="O7" s="143" t="s">
        <v>339</v>
      </c>
      <c r="P7" s="143" t="s">
        <v>1211</v>
      </c>
      <c r="Q7" s="144">
        <v>4.57</v>
      </c>
      <c r="R7" s="143" t="s">
        <v>1212</v>
      </c>
      <c r="S7" s="143" t="s">
        <v>2959</v>
      </c>
      <c r="T7" s="144">
        <v>22.793099999999999</v>
      </c>
      <c r="U7" s="145" t="s">
        <v>3876</v>
      </c>
      <c r="V7" s="146">
        <v>1</v>
      </c>
      <c r="W7" s="147">
        <v>1.0823090089928355E-2</v>
      </c>
      <c r="X7" s="183"/>
    </row>
    <row r="8" spans="1:24" ht="15" x14ac:dyDescent="0.2">
      <c r="A8" s="142" t="s">
        <v>1205</v>
      </c>
      <c r="B8" s="143" t="s">
        <v>1205</v>
      </c>
      <c r="C8" s="143" t="s">
        <v>2955</v>
      </c>
      <c r="D8" s="143" t="s">
        <v>2956</v>
      </c>
      <c r="E8" s="143" t="s">
        <v>314</v>
      </c>
      <c r="F8" s="143" t="s">
        <v>2957</v>
      </c>
      <c r="G8" s="143" t="s">
        <v>2958</v>
      </c>
      <c r="H8" s="143" t="s">
        <v>321</v>
      </c>
      <c r="I8" s="143" t="s">
        <v>969</v>
      </c>
      <c r="J8" s="143" t="s">
        <v>205</v>
      </c>
      <c r="K8" s="143" t="s">
        <v>291</v>
      </c>
      <c r="L8" s="143" t="s">
        <v>325</v>
      </c>
      <c r="M8" s="143" t="s">
        <v>314</v>
      </c>
      <c r="N8" s="143" t="s">
        <v>678</v>
      </c>
      <c r="O8" s="143" t="s">
        <v>339</v>
      </c>
      <c r="P8" s="143" t="s">
        <v>1211</v>
      </c>
      <c r="Q8" s="144">
        <v>1459.7</v>
      </c>
      <c r="R8" s="143" t="s">
        <v>1212</v>
      </c>
      <c r="S8" s="143" t="s">
        <v>2959</v>
      </c>
      <c r="T8" s="144">
        <v>7280.3325000000004</v>
      </c>
      <c r="U8" s="145" t="s">
        <v>3876</v>
      </c>
      <c r="V8" s="146">
        <v>0.25773901086607026</v>
      </c>
      <c r="W8" s="147">
        <v>7.3219962030820138E-3</v>
      </c>
      <c r="X8" s="183"/>
    </row>
    <row r="9" spans="1:24" ht="15" x14ac:dyDescent="0.2">
      <c r="A9" s="142" t="s">
        <v>1205</v>
      </c>
      <c r="B9" s="143" t="s">
        <v>1205</v>
      </c>
      <c r="C9" s="143" t="s">
        <v>2972</v>
      </c>
      <c r="D9" s="143" t="s">
        <v>2973</v>
      </c>
      <c r="E9" s="143" t="s">
        <v>309</v>
      </c>
      <c r="F9" s="143" t="s">
        <v>2974</v>
      </c>
      <c r="G9" s="143" t="s">
        <v>2975</v>
      </c>
      <c r="H9" s="143" t="s">
        <v>321</v>
      </c>
      <c r="I9" s="143" t="s">
        <v>917</v>
      </c>
      <c r="J9" s="143" t="s">
        <v>204</v>
      </c>
      <c r="K9" s="143" t="s">
        <v>291</v>
      </c>
      <c r="L9" s="143" t="s">
        <v>325</v>
      </c>
      <c r="M9" s="143" t="s">
        <v>340</v>
      </c>
      <c r="N9" s="143" t="s">
        <v>698</v>
      </c>
      <c r="O9" s="143" t="s">
        <v>339</v>
      </c>
      <c r="P9" s="143" t="s">
        <v>1210</v>
      </c>
      <c r="Q9" s="144">
        <v>1252539.67</v>
      </c>
      <c r="R9" s="145" t="s">
        <v>3876</v>
      </c>
      <c r="S9" s="143" t="s">
        <v>2976</v>
      </c>
      <c r="T9" s="144">
        <v>807.88810000000001</v>
      </c>
      <c r="U9" s="146">
        <v>3.4200583979480453E-3</v>
      </c>
      <c r="V9" s="146">
        <v>2.8600929368849195E-2</v>
      </c>
      <c r="W9" s="147">
        <v>8.1251144535566687E-4</v>
      </c>
      <c r="X9" s="183"/>
    </row>
    <row r="10" spans="1:24" ht="15" x14ac:dyDescent="0.2">
      <c r="A10" s="142" t="s">
        <v>1205</v>
      </c>
      <c r="B10" s="143" t="s">
        <v>1205</v>
      </c>
      <c r="C10" s="143" t="s">
        <v>2964</v>
      </c>
      <c r="D10" s="143" t="s">
        <v>2965</v>
      </c>
      <c r="E10" s="143" t="s">
        <v>313</v>
      </c>
      <c r="F10" s="143" t="s">
        <v>2964</v>
      </c>
      <c r="G10" s="143" t="s">
        <v>2966</v>
      </c>
      <c r="H10" s="143" t="s">
        <v>321</v>
      </c>
      <c r="I10" s="143" t="s">
        <v>917</v>
      </c>
      <c r="J10" s="143" t="s">
        <v>205</v>
      </c>
      <c r="K10" s="143" t="s">
        <v>244</v>
      </c>
      <c r="L10" s="143" t="s">
        <v>325</v>
      </c>
      <c r="M10" s="143" t="s">
        <v>314</v>
      </c>
      <c r="N10" s="143" t="s">
        <v>580</v>
      </c>
      <c r="O10" s="143" t="s">
        <v>339</v>
      </c>
      <c r="P10" s="143" t="s">
        <v>1211</v>
      </c>
      <c r="Q10" s="144">
        <v>97187.25</v>
      </c>
      <c r="R10" s="143" t="s">
        <v>1212</v>
      </c>
      <c r="S10" s="143" t="s">
        <v>2967</v>
      </c>
      <c r="T10" s="144">
        <v>5506.3527999999997</v>
      </c>
      <c r="U10" s="145" t="s">
        <v>3876</v>
      </c>
      <c r="V10" s="146">
        <v>0.19493641357410618</v>
      </c>
      <c r="W10" s="147">
        <v>5.537864350591907E-3</v>
      </c>
      <c r="X10" s="183"/>
    </row>
    <row r="11" spans="1:24" x14ac:dyDescent="0.2">
      <c r="A11" s="142" t="s">
        <v>1205</v>
      </c>
      <c r="B11" s="143" t="s">
        <v>1205</v>
      </c>
      <c r="C11" s="143" t="s">
        <v>2977</v>
      </c>
      <c r="D11" s="143" t="s">
        <v>2978</v>
      </c>
      <c r="E11" s="143" t="s">
        <v>313</v>
      </c>
      <c r="F11" s="143" t="s">
        <v>2977</v>
      </c>
      <c r="G11" s="143" t="s">
        <v>2979</v>
      </c>
      <c r="H11" s="143" t="s">
        <v>321</v>
      </c>
      <c r="I11" s="143" t="s">
        <v>917</v>
      </c>
      <c r="J11" s="143" t="s">
        <v>205</v>
      </c>
      <c r="K11" s="143" t="s">
        <v>220</v>
      </c>
      <c r="L11" s="143" t="s">
        <v>325</v>
      </c>
      <c r="M11" s="143" t="s">
        <v>314</v>
      </c>
      <c r="N11" s="143" t="s">
        <v>706</v>
      </c>
      <c r="O11" s="143" t="s">
        <v>339</v>
      </c>
      <c r="P11" s="143" t="s">
        <v>1213</v>
      </c>
      <c r="Q11" s="144">
        <v>16812.87</v>
      </c>
      <c r="R11" s="143" t="s">
        <v>1214</v>
      </c>
      <c r="S11" s="143" t="s">
        <v>2980</v>
      </c>
      <c r="T11" s="144">
        <v>3320.0747999999999</v>
      </c>
      <c r="U11" s="146">
        <v>4.0522704266088213E-4</v>
      </c>
      <c r="V11" s="146">
        <v>0.11753759863916448</v>
      </c>
      <c r="W11" s="147">
        <v>3.3390748574050415E-3</v>
      </c>
      <c r="X11" s="183"/>
    </row>
    <row r="12" spans="1:24" x14ac:dyDescent="0.2">
      <c r="A12" s="142" t="s">
        <v>1205</v>
      </c>
      <c r="B12" s="143" t="s">
        <v>1205</v>
      </c>
      <c r="C12" s="143" t="s">
        <v>2981</v>
      </c>
      <c r="D12" s="143" t="s">
        <v>2982</v>
      </c>
      <c r="E12" s="143" t="s">
        <v>313</v>
      </c>
      <c r="F12" s="143" t="s">
        <v>2981</v>
      </c>
      <c r="G12" s="143" t="s">
        <v>2983</v>
      </c>
      <c r="H12" s="143" t="s">
        <v>321</v>
      </c>
      <c r="I12" s="143" t="s">
        <v>917</v>
      </c>
      <c r="J12" s="143" t="s">
        <v>205</v>
      </c>
      <c r="K12" s="143" t="s">
        <v>281</v>
      </c>
      <c r="L12" s="143" t="s">
        <v>325</v>
      </c>
      <c r="M12" s="143" t="s">
        <v>314</v>
      </c>
      <c r="N12" s="143" t="s">
        <v>708</v>
      </c>
      <c r="O12" s="143" t="s">
        <v>339</v>
      </c>
      <c r="P12" s="143" t="s">
        <v>1211</v>
      </c>
      <c r="Q12" s="144">
        <v>77164.47</v>
      </c>
      <c r="R12" s="143" t="s">
        <v>1212</v>
      </c>
      <c r="S12" s="143" t="s">
        <v>2984</v>
      </c>
      <c r="T12" s="144">
        <v>2890.4602999999997</v>
      </c>
      <c r="U12" s="146">
        <v>1.8926777041942604E-2</v>
      </c>
      <c r="V12" s="146">
        <v>0.10232834440249101</v>
      </c>
      <c r="W12" s="147">
        <v>2.907001724981562E-3</v>
      </c>
      <c r="X12" s="183"/>
    </row>
    <row r="13" spans="1:24" x14ac:dyDescent="0.2">
      <c r="A13" s="142" t="s">
        <v>1205</v>
      </c>
      <c r="B13" s="143" t="s">
        <v>1205</v>
      </c>
      <c r="C13" s="143" t="s">
        <v>2960</v>
      </c>
      <c r="D13" s="143" t="s">
        <v>2961</v>
      </c>
      <c r="E13" s="143" t="s">
        <v>313</v>
      </c>
      <c r="F13" s="143" t="s">
        <v>2960</v>
      </c>
      <c r="G13" s="143" t="s">
        <v>2962</v>
      </c>
      <c r="H13" s="143" t="s">
        <v>321</v>
      </c>
      <c r="I13" s="143" t="s">
        <v>917</v>
      </c>
      <c r="J13" s="143" t="s">
        <v>205</v>
      </c>
      <c r="K13" s="143" t="s">
        <v>238</v>
      </c>
      <c r="L13" s="143" t="s">
        <v>325</v>
      </c>
      <c r="M13" s="143" t="s">
        <v>314</v>
      </c>
      <c r="N13" s="143" t="s">
        <v>706</v>
      </c>
      <c r="O13" s="143" t="s">
        <v>339</v>
      </c>
      <c r="P13" s="143" t="s">
        <v>1213</v>
      </c>
      <c r="Q13" s="144">
        <v>3449.26</v>
      </c>
      <c r="R13" s="143" t="s">
        <v>1214</v>
      </c>
      <c r="S13" s="143" t="s">
        <v>2963</v>
      </c>
      <c r="T13" s="144">
        <v>2757.8122999999996</v>
      </c>
      <c r="U13" s="146">
        <v>6.2713818181818176E-2</v>
      </c>
      <c r="V13" s="146">
        <v>9.763232774477501E-2</v>
      </c>
      <c r="W13" s="147">
        <v>2.7735946166751149E-3</v>
      </c>
      <c r="X13" s="183"/>
    </row>
    <row r="14" spans="1:24" ht="15" x14ac:dyDescent="0.2">
      <c r="A14" s="142" t="s">
        <v>1205</v>
      </c>
      <c r="B14" s="143" t="s">
        <v>1205</v>
      </c>
      <c r="C14" s="143" t="s">
        <v>2985</v>
      </c>
      <c r="D14" s="143" t="s">
        <v>2986</v>
      </c>
      <c r="E14" s="143" t="s">
        <v>313</v>
      </c>
      <c r="F14" s="143" t="s">
        <v>2985</v>
      </c>
      <c r="G14" s="143" t="s">
        <v>2987</v>
      </c>
      <c r="H14" s="143" t="s">
        <v>321</v>
      </c>
      <c r="I14" s="143" t="s">
        <v>917</v>
      </c>
      <c r="J14" s="143" t="s">
        <v>205</v>
      </c>
      <c r="K14" s="145" t="s">
        <v>3876</v>
      </c>
      <c r="L14" s="143" t="s">
        <v>325</v>
      </c>
      <c r="M14" s="143" t="s">
        <v>380</v>
      </c>
      <c r="N14" s="143" t="s">
        <v>587</v>
      </c>
      <c r="O14" s="143" t="s">
        <v>339</v>
      </c>
      <c r="P14" s="143" t="s">
        <v>1216</v>
      </c>
      <c r="Q14" s="144">
        <v>42891.9</v>
      </c>
      <c r="R14" s="143" t="s">
        <v>1217</v>
      </c>
      <c r="S14" s="143" t="s">
        <v>2988</v>
      </c>
      <c r="T14" s="144">
        <v>1996.5225</v>
      </c>
      <c r="U14" s="146">
        <v>3.0829314223694896E-4</v>
      </c>
      <c r="V14" s="146">
        <v>7.0681074885200437E-2</v>
      </c>
      <c r="W14" s="147">
        <v>2.0079481185256705E-3</v>
      </c>
      <c r="X14" s="183"/>
    </row>
    <row r="15" spans="1:24" ht="15" x14ac:dyDescent="0.2">
      <c r="A15" s="142" t="s">
        <v>1205</v>
      </c>
      <c r="B15" s="143" t="s">
        <v>1205</v>
      </c>
      <c r="C15" s="143" t="s">
        <v>2968</v>
      </c>
      <c r="D15" s="143" t="s">
        <v>2969</v>
      </c>
      <c r="E15" s="143" t="s">
        <v>313</v>
      </c>
      <c r="F15" s="143" t="s">
        <v>2968</v>
      </c>
      <c r="G15" s="143" t="s">
        <v>2970</v>
      </c>
      <c r="H15" s="143" t="s">
        <v>321</v>
      </c>
      <c r="I15" s="143" t="s">
        <v>917</v>
      </c>
      <c r="J15" s="143" t="s">
        <v>205</v>
      </c>
      <c r="K15" s="143" t="s">
        <v>220</v>
      </c>
      <c r="L15" s="143" t="s">
        <v>325</v>
      </c>
      <c r="M15" s="143" t="s">
        <v>314</v>
      </c>
      <c r="N15" s="143" t="s">
        <v>599</v>
      </c>
      <c r="O15" s="143" t="s">
        <v>339</v>
      </c>
      <c r="P15" s="143" t="s">
        <v>1211</v>
      </c>
      <c r="Q15" s="144">
        <v>1686.01</v>
      </c>
      <c r="R15" s="143" t="s">
        <v>1212</v>
      </c>
      <c r="S15" s="143" t="s">
        <v>2971</v>
      </c>
      <c r="T15" s="144">
        <v>1421.5613999999998</v>
      </c>
      <c r="U15" s="145" t="s">
        <v>3876</v>
      </c>
      <c r="V15" s="146">
        <v>5.0326248665232151E-2</v>
      </c>
      <c r="W15" s="147">
        <v>1.4296966547825776E-3</v>
      </c>
      <c r="X15" s="183"/>
    </row>
    <row r="16" spans="1:24" x14ac:dyDescent="0.2">
      <c r="A16" s="142" t="s">
        <v>1205</v>
      </c>
      <c r="B16" s="143" t="s">
        <v>1205</v>
      </c>
      <c r="C16" s="143" t="s">
        <v>2989</v>
      </c>
      <c r="D16" s="143" t="s">
        <v>2990</v>
      </c>
      <c r="E16" s="143" t="s">
        <v>313</v>
      </c>
      <c r="F16" s="143" t="s">
        <v>2989</v>
      </c>
      <c r="G16" s="143" t="s">
        <v>2991</v>
      </c>
      <c r="H16" s="143" t="s">
        <v>321</v>
      </c>
      <c r="I16" s="143" t="s">
        <v>917</v>
      </c>
      <c r="J16" s="143" t="s">
        <v>205</v>
      </c>
      <c r="K16" s="143" t="s">
        <v>268</v>
      </c>
      <c r="L16" s="143" t="s">
        <v>325</v>
      </c>
      <c r="M16" s="143" t="s">
        <v>314</v>
      </c>
      <c r="N16" s="143" t="s">
        <v>588</v>
      </c>
      <c r="O16" s="143" t="s">
        <v>339</v>
      </c>
      <c r="P16" s="143" t="s">
        <v>1211</v>
      </c>
      <c r="Q16" s="144">
        <v>3424</v>
      </c>
      <c r="R16" s="143" t="s">
        <v>1212</v>
      </c>
      <c r="S16" s="143" t="s">
        <v>2992</v>
      </c>
      <c r="T16" s="144">
        <v>1232.288</v>
      </c>
      <c r="U16" s="146">
        <v>1.3924359495729971E-3</v>
      </c>
      <c r="V16" s="146">
        <v>4.3625573303286848E-2</v>
      </c>
      <c r="W16" s="147">
        <v>1.2393400634641484E-3</v>
      </c>
      <c r="X16" s="183"/>
    </row>
    <row r="17" spans="1:24" x14ac:dyDescent="0.2">
      <c r="A17" s="142" t="s">
        <v>1205</v>
      </c>
      <c r="B17" s="143" t="s">
        <v>1205</v>
      </c>
      <c r="C17" s="143" t="s">
        <v>2993</v>
      </c>
      <c r="D17" s="143" t="s">
        <v>2994</v>
      </c>
      <c r="E17" s="143" t="s">
        <v>313</v>
      </c>
      <c r="F17" s="143" t="s">
        <v>2993</v>
      </c>
      <c r="G17" s="143" t="s">
        <v>2995</v>
      </c>
      <c r="H17" s="143" t="s">
        <v>321</v>
      </c>
      <c r="I17" s="143" t="s">
        <v>917</v>
      </c>
      <c r="J17" s="143" t="s">
        <v>205</v>
      </c>
      <c r="K17" s="143" t="s">
        <v>296</v>
      </c>
      <c r="L17" s="143" t="s">
        <v>325</v>
      </c>
      <c r="M17" s="143" t="s">
        <v>380</v>
      </c>
      <c r="N17" s="143" t="s">
        <v>595</v>
      </c>
      <c r="O17" s="143" t="s">
        <v>339</v>
      </c>
      <c r="P17" s="143" t="s">
        <v>1216</v>
      </c>
      <c r="Q17" s="144">
        <v>8809</v>
      </c>
      <c r="R17" s="143" t="s">
        <v>1217</v>
      </c>
      <c r="S17" s="143" t="s">
        <v>2911</v>
      </c>
      <c r="T17" s="144">
        <v>1033.6246999999998</v>
      </c>
      <c r="U17" s="146">
        <v>1.1215084154508186E-4</v>
      </c>
      <c r="V17" s="146">
        <v>3.6592478550824425E-2</v>
      </c>
      <c r="W17" s="147">
        <v>1.0395399133029256E-3</v>
      </c>
      <c r="X17" s="183"/>
    </row>
    <row r="18" spans="1:24" ht="15" x14ac:dyDescent="0.2">
      <c r="A18" s="142" t="s">
        <v>1220</v>
      </c>
      <c r="B18" s="143" t="s">
        <v>1221</v>
      </c>
      <c r="C18" s="143" t="s">
        <v>2955</v>
      </c>
      <c r="D18" s="143" t="s">
        <v>2956</v>
      </c>
      <c r="E18" s="143" t="s">
        <v>314</v>
      </c>
      <c r="F18" s="143" t="s">
        <v>2957</v>
      </c>
      <c r="G18" s="143" t="s">
        <v>2958</v>
      </c>
      <c r="H18" s="143" t="s">
        <v>321</v>
      </c>
      <c r="I18" s="143" t="s">
        <v>969</v>
      </c>
      <c r="J18" s="143" t="s">
        <v>205</v>
      </c>
      <c r="K18" s="143" t="s">
        <v>291</v>
      </c>
      <c r="L18" s="143" t="s">
        <v>325</v>
      </c>
      <c r="M18" s="143" t="s">
        <v>314</v>
      </c>
      <c r="N18" s="143" t="s">
        <v>678</v>
      </c>
      <c r="O18" s="143" t="s">
        <v>339</v>
      </c>
      <c r="P18" s="143" t="s">
        <v>1211</v>
      </c>
      <c r="Q18" s="144">
        <v>856.51</v>
      </c>
      <c r="R18" s="143" t="s">
        <v>1212</v>
      </c>
      <c r="S18" s="143" t="s">
        <v>2959</v>
      </c>
      <c r="T18" s="144">
        <v>4271.8899000000001</v>
      </c>
      <c r="U18" s="145" t="s">
        <v>3876</v>
      </c>
      <c r="V18" s="146">
        <v>0.54703413705218285</v>
      </c>
      <c r="W18" s="147">
        <v>3.8894545918531278E-3</v>
      </c>
      <c r="X18" s="183"/>
    </row>
    <row r="19" spans="1:24" x14ac:dyDescent="0.2">
      <c r="A19" s="142" t="s">
        <v>1220</v>
      </c>
      <c r="B19" s="143" t="s">
        <v>1221</v>
      </c>
      <c r="C19" s="143" t="s">
        <v>2960</v>
      </c>
      <c r="D19" s="143" t="s">
        <v>2961</v>
      </c>
      <c r="E19" s="143" t="s">
        <v>313</v>
      </c>
      <c r="F19" s="143" t="s">
        <v>2960</v>
      </c>
      <c r="G19" s="143" t="s">
        <v>2962</v>
      </c>
      <c r="H19" s="143" t="s">
        <v>321</v>
      </c>
      <c r="I19" s="143" t="s">
        <v>917</v>
      </c>
      <c r="J19" s="143" t="s">
        <v>205</v>
      </c>
      <c r="K19" s="143" t="s">
        <v>238</v>
      </c>
      <c r="L19" s="143" t="s">
        <v>325</v>
      </c>
      <c r="M19" s="143" t="s">
        <v>314</v>
      </c>
      <c r="N19" s="143" t="s">
        <v>706</v>
      </c>
      <c r="O19" s="143" t="s">
        <v>339</v>
      </c>
      <c r="P19" s="143" t="s">
        <v>1213</v>
      </c>
      <c r="Q19" s="144">
        <v>1727.73</v>
      </c>
      <c r="R19" s="143" t="s">
        <v>1214</v>
      </c>
      <c r="S19" s="143" t="s">
        <v>2963</v>
      </c>
      <c r="T19" s="144">
        <v>1381.3847000000001</v>
      </c>
      <c r="U19" s="146">
        <v>3.1413272727272727E-2</v>
      </c>
      <c r="V19" s="146">
        <v>0.17689234027667758</v>
      </c>
      <c r="W19" s="147">
        <v>1.2577180811060395E-3</v>
      </c>
      <c r="X19" s="183"/>
    </row>
    <row r="20" spans="1:24" ht="15" x14ac:dyDescent="0.2">
      <c r="A20" s="142" t="s">
        <v>1220</v>
      </c>
      <c r="B20" s="143" t="s">
        <v>1221</v>
      </c>
      <c r="C20" s="143" t="s">
        <v>2964</v>
      </c>
      <c r="D20" s="143" t="s">
        <v>2965</v>
      </c>
      <c r="E20" s="143" t="s">
        <v>313</v>
      </c>
      <c r="F20" s="143" t="s">
        <v>2964</v>
      </c>
      <c r="G20" s="143" t="s">
        <v>2966</v>
      </c>
      <c r="H20" s="143" t="s">
        <v>321</v>
      </c>
      <c r="I20" s="143" t="s">
        <v>917</v>
      </c>
      <c r="J20" s="143" t="s">
        <v>205</v>
      </c>
      <c r="K20" s="143" t="s">
        <v>244</v>
      </c>
      <c r="L20" s="143" t="s">
        <v>325</v>
      </c>
      <c r="M20" s="143" t="s">
        <v>314</v>
      </c>
      <c r="N20" s="143" t="s">
        <v>580</v>
      </c>
      <c r="O20" s="143" t="s">
        <v>339</v>
      </c>
      <c r="P20" s="143" t="s">
        <v>1211</v>
      </c>
      <c r="Q20" s="144">
        <v>22971.53</v>
      </c>
      <c r="R20" s="143" t="s">
        <v>1212</v>
      </c>
      <c r="S20" s="143" t="s">
        <v>2967</v>
      </c>
      <c r="T20" s="144">
        <v>1301.5015000000001</v>
      </c>
      <c r="U20" s="145" t="s">
        <v>3876</v>
      </c>
      <c r="V20" s="146">
        <v>0.16666294114324781</v>
      </c>
      <c r="W20" s="147">
        <v>1.1849862701704061E-3</v>
      </c>
      <c r="X20" s="183"/>
    </row>
    <row r="21" spans="1:24" ht="15" x14ac:dyDescent="0.2">
      <c r="A21" s="142" t="s">
        <v>1220</v>
      </c>
      <c r="B21" s="143" t="s">
        <v>1221</v>
      </c>
      <c r="C21" s="143" t="s">
        <v>2968</v>
      </c>
      <c r="D21" s="143" t="s">
        <v>2969</v>
      </c>
      <c r="E21" s="143" t="s">
        <v>313</v>
      </c>
      <c r="F21" s="143" t="s">
        <v>2968</v>
      </c>
      <c r="G21" s="143" t="s">
        <v>2970</v>
      </c>
      <c r="H21" s="143" t="s">
        <v>321</v>
      </c>
      <c r="I21" s="143" t="s">
        <v>917</v>
      </c>
      <c r="J21" s="143" t="s">
        <v>205</v>
      </c>
      <c r="K21" s="143" t="s">
        <v>220</v>
      </c>
      <c r="L21" s="143" t="s">
        <v>325</v>
      </c>
      <c r="M21" s="143" t="s">
        <v>314</v>
      </c>
      <c r="N21" s="143" t="s">
        <v>599</v>
      </c>
      <c r="O21" s="143" t="s">
        <v>339</v>
      </c>
      <c r="P21" s="143" t="s">
        <v>1211</v>
      </c>
      <c r="Q21" s="144">
        <v>1013.35</v>
      </c>
      <c r="R21" s="143" t="s">
        <v>1212</v>
      </c>
      <c r="S21" s="143" t="s">
        <v>2971</v>
      </c>
      <c r="T21" s="144">
        <v>854.40730000000008</v>
      </c>
      <c r="U21" s="145" t="s">
        <v>3876</v>
      </c>
      <c r="V21" s="146">
        <v>0.10941058152789181</v>
      </c>
      <c r="W21" s="147">
        <v>7.7791761043312347E-4</v>
      </c>
      <c r="X21" s="183"/>
    </row>
    <row r="22" spans="1:24" ht="15" x14ac:dyDescent="0.2">
      <c r="A22" s="142" t="s">
        <v>1220</v>
      </c>
      <c r="B22" s="143" t="s">
        <v>1222</v>
      </c>
      <c r="C22" s="143" t="s">
        <v>2955</v>
      </c>
      <c r="D22" s="143" t="s">
        <v>2956</v>
      </c>
      <c r="E22" s="143" t="s">
        <v>314</v>
      </c>
      <c r="F22" s="143" t="s">
        <v>2957</v>
      </c>
      <c r="G22" s="143" t="s">
        <v>2958</v>
      </c>
      <c r="H22" s="143" t="s">
        <v>321</v>
      </c>
      <c r="I22" s="143" t="s">
        <v>969</v>
      </c>
      <c r="J22" s="143" t="s">
        <v>205</v>
      </c>
      <c r="K22" s="143" t="s">
        <v>291</v>
      </c>
      <c r="L22" s="143" t="s">
        <v>325</v>
      </c>
      <c r="M22" s="143" t="s">
        <v>314</v>
      </c>
      <c r="N22" s="143" t="s">
        <v>678</v>
      </c>
      <c r="O22" s="143" t="s">
        <v>339</v>
      </c>
      <c r="P22" s="143" t="s">
        <v>1211</v>
      </c>
      <c r="Q22" s="144">
        <v>28.31</v>
      </c>
      <c r="R22" s="143" t="s">
        <v>1212</v>
      </c>
      <c r="S22" s="143" t="s">
        <v>2959</v>
      </c>
      <c r="T22" s="144">
        <v>141.1977</v>
      </c>
      <c r="U22" s="145" t="s">
        <v>3876</v>
      </c>
      <c r="V22" s="146">
        <v>1</v>
      </c>
      <c r="W22" s="147">
        <v>1.1627144952695134E-2</v>
      </c>
      <c r="X22" s="183"/>
    </row>
    <row r="23" spans="1:24" ht="15" x14ac:dyDescent="0.2">
      <c r="A23" s="142" t="s">
        <v>1220</v>
      </c>
      <c r="B23" s="143" t="s">
        <v>1220</v>
      </c>
      <c r="C23" s="143" t="s">
        <v>2955</v>
      </c>
      <c r="D23" s="143" t="s">
        <v>2956</v>
      </c>
      <c r="E23" s="143" t="s">
        <v>314</v>
      </c>
      <c r="F23" s="143" t="s">
        <v>2957</v>
      </c>
      <c r="G23" s="143" t="s">
        <v>2958</v>
      </c>
      <c r="H23" s="143" t="s">
        <v>321</v>
      </c>
      <c r="I23" s="143" t="s">
        <v>969</v>
      </c>
      <c r="J23" s="143" t="s">
        <v>205</v>
      </c>
      <c r="K23" s="143" t="s">
        <v>291</v>
      </c>
      <c r="L23" s="143" t="s">
        <v>325</v>
      </c>
      <c r="M23" s="143" t="s">
        <v>314</v>
      </c>
      <c r="N23" s="143" t="s">
        <v>678</v>
      </c>
      <c r="O23" s="143" t="s">
        <v>339</v>
      </c>
      <c r="P23" s="143" t="s">
        <v>1211</v>
      </c>
      <c r="Q23" s="144">
        <v>33385.51</v>
      </c>
      <c r="R23" s="143" t="s">
        <v>1212</v>
      </c>
      <c r="S23" s="143" t="s">
        <v>2959</v>
      </c>
      <c r="T23" s="144">
        <v>166512.03290000002</v>
      </c>
      <c r="U23" s="145" t="s">
        <v>3876</v>
      </c>
      <c r="V23" s="146">
        <v>0.2589043456290096</v>
      </c>
      <c r="W23" s="147">
        <v>7.3788256820681046E-3</v>
      </c>
      <c r="X23" s="183"/>
    </row>
    <row r="24" spans="1:24" ht="15" x14ac:dyDescent="0.2">
      <c r="A24" s="142" t="s">
        <v>1220</v>
      </c>
      <c r="B24" s="143" t="s">
        <v>1220</v>
      </c>
      <c r="C24" s="143" t="s">
        <v>2972</v>
      </c>
      <c r="D24" s="143" t="s">
        <v>2973</v>
      </c>
      <c r="E24" s="143" t="s">
        <v>309</v>
      </c>
      <c r="F24" s="143" t="s">
        <v>2974</v>
      </c>
      <c r="G24" s="143" t="s">
        <v>2975</v>
      </c>
      <c r="H24" s="143" t="s">
        <v>321</v>
      </c>
      <c r="I24" s="143" t="s">
        <v>917</v>
      </c>
      <c r="J24" s="143" t="s">
        <v>204</v>
      </c>
      <c r="K24" s="143" t="s">
        <v>291</v>
      </c>
      <c r="L24" s="143" t="s">
        <v>325</v>
      </c>
      <c r="M24" s="143" t="s">
        <v>340</v>
      </c>
      <c r="N24" s="143" t="s">
        <v>698</v>
      </c>
      <c r="O24" s="143" t="s">
        <v>339</v>
      </c>
      <c r="P24" s="143" t="s">
        <v>1210</v>
      </c>
      <c r="Q24" s="144">
        <v>29566742.77</v>
      </c>
      <c r="R24" s="145" t="s">
        <v>3876</v>
      </c>
      <c r="S24" s="143" t="s">
        <v>2976</v>
      </c>
      <c r="T24" s="144">
        <v>19070.5491</v>
      </c>
      <c r="U24" s="146">
        <v>8.0731963491829484E-2</v>
      </c>
      <c r="V24" s="146">
        <v>2.9652199572959666E-2</v>
      </c>
      <c r="W24" s="147">
        <v>8.450936240841832E-4</v>
      </c>
      <c r="X24" s="183"/>
    </row>
    <row r="25" spans="1:24" ht="15" x14ac:dyDescent="0.2">
      <c r="A25" s="142" t="s">
        <v>1220</v>
      </c>
      <c r="B25" s="143" t="s">
        <v>1220</v>
      </c>
      <c r="C25" s="143" t="s">
        <v>2964</v>
      </c>
      <c r="D25" s="143" t="s">
        <v>2965</v>
      </c>
      <c r="E25" s="143" t="s">
        <v>313</v>
      </c>
      <c r="F25" s="143" t="s">
        <v>2964</v>
      </c>
      <c r="G25" s="143" t="s">
        <v>2966</v>
      </c>
      <c r="H25" s="143" t="s">
        <v>321</v>
      </c>
      <c r="I25" s="143" t="s">
        <v>917</v>
      </c>
      <c r="J25" s="143" t="s">
        <v>205</v>
      </c>
      <c r="K25" s="143" t="s">
        <v>244</v>
      </c>
      <c r="L25" s="143" t="s">
        <v>325</v>
      </c>
      <c r="M25" s="143" t="s">
        <v>314</v>
      </c>
      <c r="N25" s="143" t="s">
        <v>580</v>
      </c>
      <c r="O25" s="143" t="s">
        <v>339</v>
      </c>
      <c r="P25" s="143" t="s">
        <v>1211</v>
      </c>
      <c r="Q25" s="144">
        <v>2238251.84</v>
      </c>
      <c r="R25" s="143" t="s">
        <v>1212</v>
      </c>
      <c r="S25" s="143" t="s">
        <v>2967</v>
      </c>
      <c r="T25" s="144">
        <v>126812.97379999999</v>
      </c>
      <c r="U25" s="145" t="s">
        <v>3876</v>
      </c>
      <c r="V25" s="146">
        <v>0.19717752179039166</v>
      </c>
      <c r="W25" s="147">
        <v>5.6195988451978422E-3</v>
      </c>
      <c r="X25" s="183"/>
    </row>
    <row r="26" spans="1:24" x14ac:dyDescent="0.2">
      <c r="A26" s="142" t="s">
        <v>1220</v>
      </c>
      <c r="B26" s="143" t="s">
        <v>1220</v>
      </c>
      <c r="C26" s="143" t="s">
        <v>2977</v>
      </c>
      <c r="D26" s="143" t="s">
        <v>2978</v>
      </c>
      <c r="E26" s="143" t="s">
        <v>313</v>
      </c>
      <c r="F26" s="143" t="s">
        <v>2977</v>
      </c>
      <c r="G26" s="143" t="s">
        <v>2979</v>
      </c>
      <c r="H26" s="143" t="s">
        <v>321</v>
      </c>
      <c r="I26" s="143" t="s">
        <v>917</v>
      </c>
      <c r="J26" s="143" t="s">
        <v>205</v>
      </c>
      <c r="K26" s="143" t="s">
        <v>220</v>
      </c>
      <c r="L26" s="143" t="s">
        <v>325</v>
      </c>
      <c r="M26" s="143" t="s">
        <v>314</v>
      </c>
      <c r="N26" s="143" t="s">
        <v>706</v>
      </c>
      <c r="O26" s="143" t="s">
        <v>339</v>
      </c>
      <c r="P26" s="143" t="s">
        <v>1213</v>
      </c>
      <c r="Q26" s="144">
        <v>370333.36</v>
      </c>
      <c r="R26" s="143" t="s">
        <v>1214</v>
      </c>
      <c r="S26" s="143" t="s">
        <v>2980</v>
      </c>
      <c r="T26" s="144">
        <v>73130.552200000006</v>
      </c>
      <c r="U26" s="146">
        <v>8.9258462280067483E-3</v>
      </c>
      <c r="V26" s="146">
        <v>0.11370840553530615</v>
      </c>
      <c r="W26" s="147">
        <v>3.2407123217360174E-3</v>
      </c>
      <c r="X26" s="183"/>
    </row>
    <row r="27" spans="1:24" x14ac:dyDescent="0.2">
      <c r="A27" s="142" t="s">
        <v>1220</v>
      </c>
      <c r="B27" s="143" t="s">
        <v>1220</v>
      </c>
      <c r="C27" s="143" t="s">
        <v>2981</v>
      </c>
      <c r="D27" s="143" t="s">
        <v>2982</v>
      </c>
      <c r="E27" s="143" t="s">
        <v>313</v>
      </c>
      <c r="F27" s="143" t="s">
        <v>2981</v>
      </c>
      <c r="G27" s="143" t="s">
        <v>2983</v>
      </c>
      <c r="H27" s="143" t="s">
        <v>321</v>
      </c>
      <c r="I27" s="143" t="s">
        <v>917</v>
      </c>
      <c r="J27" s="143" t="s">
        <v>205</v>
      </c>
      <c r="K27" s="143" t="s">
        <v>281</v>
      </c>
      <c r="L27" s="143" t="s">
        <v>325</v>
      </c>
      <c r="M27" s="143" t="s">
        <v>314</v>
      </c>
      <c r="N27" s="143" t="s">
        <v>708</v>
      </c>
      <c r="O27" s="143" t="s">
        <v>339</v>
      </c>
      <c r="P27" s="143" t="s">
        <v>1211</v>
      </c>
      <c r="Q27" s="144">
        <v>1737968.54</v>
      </c>
      <c r="R27" s="143" t="s">
        <v>1212</v>
      </c>
      <c r="S27" s="143" t="s">
        <v>2984</v>
      </c>
      <c r="T27" s="144">
        <v>65101.581600000005</v>
      </c>
      <c r="U27" s="146">
        <v>0.42628612705420654</v>
      </c>
      <c r="V27" s="146">
        <v>0.10122441052854698</v>
      </c>
      <c r="W27" s="147">
        <v>2.8849159647962174E-3</v>
      </c>
      <c r="X27" s="183"/>
    </row>
    <row r="28" spans="1:24" x14ac:dyDescent="0.2">
      <c r="A28" s="142" t="s">
        <v>1220</v>
      </c>
      <c r="B28" s="143" t="s">
        <v>1220</v>
      </c>
      <c r="C28" s="143" t="s">
        <v>2960</v>
      </c>
      <c r="D28" s="143" t="s">
        <v>2961</v>
      </c>
      <c r="E28" s="143" t="s">
        <v>313</v>
      </c>
      <c r="F28" s="143" t="s">
        <v>2960</v>
      </c>
      <c r="G28" s="143" t="s">
        <v>2962</v>
      </c>
      <c r="H28" s="143" t="s">
        <v>321</v>
      </c>
      <c r="I28" s="143" t="s">
        <v>917</v>
      </c>
      <c r="J28" s="143" t="s">
        <v>205</v>
      </c>
      <c r="K28" s="143" t="s">
        <v>238</v>
      </c>
      <c r="L28" s="143" t="s">
        <v>325</v>
      </c>
      <c r="M28" s="143" t="s">
        <v>314</v>
      </c>
      <c r="N28" s="143" t="s">
        <v>706</v>
      </c>
      <c r="O28" s="143" t="s">
        <v>339</v>
      </c>
      <c r="P28" s="143" t="s">
        <v>1213</v>
      </c>
      <c r="Q28" s="144">
        <v>79049.22</v>
      </c>
      <c r="R28" s="143" t="s">
        <v>1214</v>
      </c>
      <c r="S28" s="143" t="s">
        <v>2963</v>
      </c>
      <c r="T28" s="144">
        <v>63202.805899999999</v>
      </c>
      <c r="U28" s="146">
        <v>1.4372585454545455</v>
      </c>
      <c r="V28" s="146">
        <v>9.8272063725079808E-2</v>
      </c>
      <c r="W28" s="147">
        <v>2.8007734898490748E-3</v>
      </c>
      <c r="X28" s="183"/>
    </row>
    <row r="29" spans="1:24" ht="15" x14ac:dyDescent="0.2">
      <c r="A29" s="142" t="s">
        <v>1220</v>
      </c>
      <c r="B29" s="143" t="s">
        <v>1220</v>
      </c>
      <c r="C29" s="143" t="s">
        <v>2985</v>
      </c>
      <c r="D29" s="143" t="s">
        <v>2986</v>
      </c>
      <c r="E29" s="143" t="s">
        <v>313</v>
      </c>
      <c r="F29" s="143" t="s">
        <v>2985</v>
      </c>
      <c r="G29" s="143" t="s">
        <v>2987</v>
      </c>
      <c r="H29" s="143" t="s">
        <v>321</v>
      </c>
      <c r="I29" s="143" t="s">
        <v>917</v>
      </c>
      <c r="J29" s="143" t="s">
        <v>205</v>
      </c>
      <c r="K29" s="145" t="s">
        <v>3876</v>
      </c>
      <c r="L29" s="143" t="s">
        <v>325</v>
      </c>
      <c r="M29" s="143" t="s">
        <v>380</v>
      </c>
      <c r="N29" s="143" t="s">
        <v>587</v>
      </c>
      <c r="O29" s="143" t="s">
        <v>339</v>
      </c>
      <c r="P29" s="143" t="s">
        <v>1216</v>
      </c>
      <c r="Q29" s="144">
        <v>969917.36</v>
      </c>
      <c r="R29" s="143" t="s">
        <v>1217</v>
      </c>
      <c r="S29" s="143" t="s">
        <v>2988</v>
      </c>
      <c r="T29" s="144">
        <v>45147.494299999998</v>
      </c>
      <c r="U29" s="146">
        <v>6.9714531327492151E-3</v>
      </c>
      <c r="V29" s="146">
        <v>7.0198425097674141E-2</v>
      </c>
      <c r="W29" s="147">
        <v>2.0006691687349319E-3</v>
      </c>
      <c r="X29" s="183"/>
    </row>
    <row r="30" spans="1:24" ht="15" x14ac:dyDescent="0.2">
      <c r="A30" s="142" t="s">
        <v>1220</v>
      </c>
      <c r="B30" s="143" t="s">
        <v>1220</v>
      </c>
      <c r="C30" s="143" t="s">
        <v>2968</v>
      </c>
      <c r="D30" s="143" t="s">
        <v>2969</v>
      </c>
      <c r="E30" s="143" t="s">
        <v>313</v>
      </c>
      <c r="F30" s="143" t="s">
        <v>2968</v>
      </c>
      <c r="G30" s="143" t="s">
        <v>2970</v>
      </c>
      <c r="H30" s="143" t="s">
        <v>321</v>
      </c>
      <c r="I30" s="143" t="s">
        <v>917</v>
      </c>
      <c r="J30" s="143" t="s">
        <v>205</v>
      </c>
      <c r="K30" s="143" t="s">
        <v>220</v>
      </c>
      <c r="L30" s="143" t="s">
        <v>325</v>
      </c>
      <c r="M30" s="143" t="s">
        <v>314</v>
      </c>
      <c r="N30" s="143" t="s">
        <v>599</v>
      </c>
      <c r="O30" s="143" t="s">
        <v>339</v>
      </c>
      <c r="P30" s="143" t="s">
        <v>1211</v>
      </c>
      <c r="Q30" s="144">
        <v>39679.07</v>
      </c>
      <c r="R30" s="143" t="s">
        <v>1212</v>
      </c>
      <c r="S30" s="143" t="s">
        <v>2971</v>
      </c>
      <c r="T30" s="144">
        <v>33455.456200000001</v>
      </c>
      <c r="U30" s="145" t="s">
        <v>3876</v>
      </c>
      <c r="V30" s="146">
        <v>5.2018841173777107E-2</v>
      </c>
      <c r="W30" s="147">
        <v>1.4825473874219906E-3</v>
      </c>
      <c r="X30" s="183"/>
    </row>
    <row r="31" spans="1:24" x14ac:dyDescent="0.2">
      <c r="A31" s="142" t="s">
        <v>1220</v>
      </c>
      <c r="B31" s="143" t="s">
        <v>1220</v>
      </c>
      <c r="C31" s="143" t="s">
        <v>2989</v>
      </c>
      <c r="D31" s="143" t="s">
        <v>2990</v>
      </c>
      <c r="E31" s="143" t="s">
        <v>313</v>
      </c>
      <c r="F31" s="143" t="s">
        <v>2989</v>
      </c>
      <c r="G31" s="143" t="s">
        <v>2991</v>
      </c>
      <c r="H31" s="143" t="s">
        <v>321</v>
      </c>
      <c r="I31" s="143" t="s">
        <v>917</v>
      </c>
      <c r="J31" s="143" t="s">
        <v>205</v>
      </c>
      <c r="K31" s="143" t="s">
        <v>268</v>
      </c>
      <c r="L31" s="143" t="s">
        <v>325</v>
      </c>
      <c r="M31" s="143" t="s">
        <v>314</v>
      </c>
      <c r="N31" s="143" t="s">
        <v>588</v>
      </c>
      <c r="O31" s="143" t="s">
        <v>339</v>
      </c>
      <c r="P31" s="143" t="s">
        <v>1211</v>
      </c>
      <c r="Q31" s="144">
        <v>76204</v>
      </c>
      <c r="R31" s="143" t="s">
        <v>1212</v>
      </c>
      <c r="S31" s="143" t="s">
        <v>2992</v>
      </c>
      <c r="T31" s="144">
        <v>27425.605100000001</v>
      </c>
      <c r="U31" s="146">
        <v>3.0989833265555104E-2</v>
      </c>
      <c r="V31" s="146">
        <v>4.2643214527721712E-2</v>
      </c>
      <c r="W31" s="147">
        <v>1.2153401510454839E-3</v>
      </c>
      <c r="X31" s="183"/>
    </row>
    <row r="32" spans="1:24" x14ac:dyDescent="0.2">
      <c r="A32" s="148" t="s">
        <v>1220</v>
      </c>
      <c r="B32" s="149" t="s">
        <v>1220</v>
      </c>
      <c r="C32" s="149" t="s">
        <v>2993</v>
      </c>
      <c r="D32" s="149" t="s">
        <v>2994</v>
      </c>
      <c r="E32" s="149" t="s">
        <v>313</v>
      </c>
      <c r="F32" s="149" t="s">
        <v>2993</v>
      </c>
      <c r="G32" s="149" t="s">
        <v>2995</v>
      </c>
      <c r="H32" s="149" t="s">
        <v>321</v>
      </c>
      <c r="I32" s="149" t="s">
        <v>917</v>
      </c>
      <c r="J32" s="149" t="s">
        <v>205</v>
      </c>
      <c r="K32" s="149" t="s">
        <v>296</v>
      </c>
      <c r="L32" s="149" t="s">
        <v>325</v>
      </c>
      <c r="M32" s="149" t="s">
        <v>380</v>
      </c>
      <c r="N32" s="149" t="s">
        <v>595</v>
      </c>
      <c r="O32" s="149" t="s">
        <v>339</v>
      </c>
      <c r="P32" s="149" t="s">
        <v>1216</v>
      </c>
      <c r="Q32" s="150">
        <v>198420</v>
      </c>
      <c r="R32" s="149" t="s">
        <v>1217</v>
      </c>
      <c r="S32" s="149" t="s">
        <v>2911</v>
      </c>
      <c r="T32" s="150">
        <v>23282.077000000001</v>
      </c>
      <c r="U32" s="152">
        <v>2.526163012756856E-3</v>
      </c>
      <c r="V32" s="152">
        <v>3.6200572419533172E-2</v>
      </c>
      <c r="W32" s="153">
        <v>1.0317235611702602E-3</v>
      </c>
      <c r="X32" s="183"/>
    </row>
    <row r="33" spans="1:23" x14ac:dyDescent="0.2">
      <c r="A33" s="183" t="s">
        <v>3893</v>
      </c>
      <c r="B33" s="183"/>
      <c r="C33" s="183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3"/>
      <c r="O33" s="183"/>
      <c r="P33" s="183"/>
      <c r="Q33" s="183"/>
      <c r="R33" s="183"/>
      <c r="S33" s="183"/>
      <c r="T33" s="183"/>
      <c r="U33" s="183"/>
      <c r="V33" s="183"/>
      <c r="W33" s="183"/>
    </row>
    <row r="34" spans="1:23" x14ac:dyDescent="0.2">
      <c r="A34" s="4" t="s">
        <v>3892</v>
      </c>
    </row>
    <row r="35" spans="1:23" x14ac:dyDescent="0.2">
      <c r="A35" s="177"/>
    </row>
    <row r="1048575" spans="14:14" x14ac:dyDescent="0.2">
      <c r="N1048575" s="100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33:W33"/>
    <mergeCell ref="X2:X32"/>
  </mergeCells>
  <dataValidations count="8">
    <dataValidation type="list" allowBlank="1" showInputMessage="1" showErrorMessage="1" sqref="J3:J21">
      <formula1>israel_abroad</formula1>
    </dataValidation>
    <dataValidation type="list" allowBlank="1" showInputMessage="1" showErrorMessage="1" sqref="O3:O21">
      <formula1>Holding_interest</formula1>
    </dataValidation>
    <dataValidation type="list" allowBlank="1" showInputMessage="1" showErrorMessage="1" sqref="N3:N21">
      <formula1>Fund_type</formula1>
    </dataValidation>
    <dataValidation type="list" allowBlank="1" showInputMessage="1" showErrorMessage="1" sqref="E3:E21">
      <formula1>Issuer_Type_TFunds</formula1>
    </dataValidation>
    <dataValidation type="list" allowBlank="1" showInputMessage="1" showErrorMessage="1" sqref="H3:H21">
      <formula1>Security_ID_Number_Type</formula1>
    </dataValidation>
    <dataValidation type="list" allowBlank="1" showInputMessage="1" showErrorMessage="1" sqref="L3:L21">
      <formula1>tradeable_status_funds</formula1>
    </dataValidation>
    <dataValidation type="list" allowBlank="1" showInputMessage="1" showErrorMessage="1" sqref="K3:K13 K15:K21">
      <formula1>Country_list_funds</formula1>
    </dataValidation>
    <dataValidation type="list" allowBlank="1" showInputMessage="1" showErrorMessage="1" sqref="M3:M21">
      <formula1>Stock_Exchange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בחירה'!$C$897:$C$900</xm:f>
          </x14:formula1>
          <xm:sqref>I3:I21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Z23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21.625" style="2" bestFit="1" customWidth="1"/>
    <col min="4" max="4" width="11.25" style="2" customWidth="1"/>
    <col min="5" max="5" width="18.125" style="4" customWidth="1"/>
    <col min="6" max="6" width="14" style="2" bestFit="1" customWidth="1"/>
    <col min="7" max="7" width="12.75" style="2" customWidth="1"/>
    <col min="8" max="8" width="15.5" style="2" customWidth="1"/>
    <col min="9" max="9" width="10.625" style="2" customWidth="1"/>
    <col min="10" max="10" width="19.875" style="2" customWidth="1"/>
    <col min="11" max="11" width="13.75" style="2" customWidth="1"/>
    <col min="12" max="12" width="10.25" style="2" customWidth="1"/>
    <col min="13" max="13" width="18.625" style="2" customWidth="1"/>
    <col min="14" max="14" width="16.375" style="2" bestFit="1" customWidth="1"/>
    <col min="15" max="15" width="12" style="2" customWidth="1"/>
    <col min="16" max="16" width="15.125" style="2" customWidth="1"/>
    <col min="17" max="17" width="11.75" style="2" customWidth="1"/>
    <col min="18" max="18" width="10.5" style="2" customWidth="1"/>
    <col min="19" max="19" width="9.625" style="2" customWidth="1"/>
    <col min="20" max="20" width="14.875" style="2" customWidth="1"/>
    <col min="21" max="21" width="10.5" style="2" customWidth="1"/>
    <col min="22" max="22" width="12.875" style="2" customWidth="1"/>
    <col min="23" max="23" width="17.875" style="2" customWidth="1"/>
    <col min="24" max="24" width="21.75" style="2" customWidth="1"/>
    <col min="25" max="25" width="20.125" style="2" customWidth="1"/>
    <col min="26" max="27" width="11.625" style="2" customWidth="1"/>
    <col min="28" max="16384" width="9" style="2"/>
  </cols>
  <sheetData>
    <row r="1" spans="1:26" x14ac:dyDescent="0.2">
      <c r="A1" s="2" t="s">
        <v>3904</v>
      </c>
    </row>
    <row r="2" spans="1:26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55</v>
      </c>
      <c r="J2" s="140" t="s">
        <v>69</v>
      </c>
      <c r="K2" s="140" t="s">
        <v>89</v>
      </c>
      <c r="L2" s="140" t="s">
        <v>70</v>
      </c>
      <c r="M2" s="140" t="s">
        <v>92</v>
      </c>
      <c r="N2" s="140" t="s">
        <v>83</v>
      </c>
      <c r="O2" s="140" t="s">
        <v>93</v>
      </c>
      <c r="P2" s="140" t="s">
        <v>56</v>
      </c>
      <c r="Q2" s="140" t="s">
        <v>59</v>
      </c>
      <c r="R2" s="140" t="s">
        <v>94</v>
      </c>
      <c r="S2" s="140" t="s">
        <v>95</v>
      </c>
      <c r="T2" s="140" t="s">
        <v>76</v>
      </c>
      <c r="U2" s="140" t="s">
        <v>61</v>
      </c>
      <c r="V2" s="140" t="s">
        <v>77</v>
      </c>
      <c r="W2" s="140" t="s">
        <v>63</v>
      </c>
      <c r="X2" s="140" t="s">
        <v>64</v>
      </c>
      <c r="Y2" s="141" t="s">
        <v>65</v>
      </c>
      <c r="Z2" s="181" t="s">
        <v>3894</v>
      </c>
    </row>
    <row r="3" spans="1:26" ht="15" x14ac:dyDescent="0.2">
      <c r="A3" s="142" t="s">
        <v>1205</v>
      </c>
      <c r="B3" s="143" t="s">
        <v>1205</v>
      </c>
      <c r="C3" s="143" t="s">
        <v>2386</v>
      </c>
      <c r="D3" s="143" t="s">
        <v>2387</v>
      </c>
      <c r="E3" s="143" t="s">
        <v>309</v>
      </c>
      <c r="F3" s="143" t="s">
        <v>2996</v>
      </c>
      <c r="G3" s="143" t="s">
        <v>2997</v>
      </c>
      <c r="H3" s="143" t="s">
        <v>321</v>
      </c>
      <c r="I3" s="143" t="s">
        <v>204</v>
      </c>
      <c r="J3" s="143" t="s">
        <v>204</v>
      </c>
      <c r="K3" s="143" t="s">
        <v>325</v>
      </c>
      <c r="L3" s="143" t="s">
        <v>340</v>
      </c>
      <c r="M3" s="143" t="s">
        <v>2389</v>
      </c>
      <c r="N3" s="143" t="s">
        <v>473</v>
      </c>
      <c r="O3" s="143" t="s">
        <v>2998</v>
      </c>
      <c r="P3" s="143" t="s">
        <v>339</v>
      </c>
      <c r="Q3" s="143" t="s">
        <v>1210</v>
      </c>
      <c r="R3" s="143" t="s">
        <v>2999</v>
      </c>
      <c r="S3" s="143" t="s">
        <v>3000</v>
      </c>
      <c r="T3" s="144">
        <v>117950</v>
      </c>
      <c r="U3" s="145" t="s">
        <v>3876</v>
      </c>
      <c r="V3" s="143" t="s">
        <v>3001</v>
      </c>
      <c r="W3" s="144">
        <v>61.451999999999998</v>
      </c>
      <c r="X3" s="146">
        <v>0.82089510143136046</v>
      </c>
      <c r="Y3" s="147">
        <v>6.1803625413718499E-5</v>
      </c>
      <c r="Z3" s="181"/>
    </row>
    <row r="4" spans="1:26" ht="15" x14ac:dyDescent="0.2">
      <c r="A4" s="142" t="s">
        <v>1205</v>
      </c>
      <c r="B4" s="143" t="s">
        <v>1205</v>
      </c>
      <c r="C4" s="143" t="s">
        <v>2391</v>
      </c>
      <c r="D4" s="143" t="s">
        <v>2392</v>
      </c>
      <c r="E4" s="143" t="s">
        <v>309</v>
      </c>
      <c r="F4" s="143" t="s">
        <v>3002</v>
      </c>
      <c r="G4" s="143" t="s">
        <v>3003</v>
      </c>
      <c r="H4" s="143" t="s">
        <v>321</v>
      </c>
      <c r="I4" s="143" t="s">
        <v>204</v>
      </c>
      <c r="J4" s="143" t="s">
        <v>204</v>
      </c>
      <c r="K4" s="143" t="s">
        <v>325</v>
      </c>
      <c r="L4" s="143" t="s">
        <v>340</v>
      </c>
      <c r="M4" s="143" t="s">
        <v>2394</v>
      </c>
      <c r="N4" s="143" t="s">
        <v>480</v>
      </c>
      <c r="O4" s="143" t="s">
        <v>3004</v>
      </c>
      <c r="P4" s="143" t="s">
        <v>339</v>
      </c>
      <c r="Q4" s="143" t="s">
        <v>1210</v>
      </c>
      <c r="R4" s="143" t="s">
        <v>3005</v>
      </c>
      <c r="S4" s="143" t="s">
        <v>3000</v>
      </c>
      <c r="T4" s="144">
        <v>54000</v>
      </c>
      <c r="U4" s="145" t="s">
        <v>3876</v>
      </c>
      <c r="V4" s="143" t="s">
        <v>3006</v>
      </c>
      <c r="W4" s="144">
        <v>6.6959999999999997</v>
      </c>
      <c r="X4" s="146">
        <v>8.9447342178472597E-2</v>
      </c>
      <c r="Y4" s="147">
        <v>6.7343196720406612E-6</v>
      </c>
      <c r="Z4" s="181"/>
    </row>
    <row r="5" spans="1:26" ht="15" x14ac:dyDescent="0.2">
      <c r="A5" s="142" t="s">
        <v>1205</v>
      </c>
      <c r="B5" s="143" t="s">
        <v>1205</v>
      </c>
      <c r="C5" s="143" t="s">
        <v>3007</v>
      </c>
      <c r="D5" s="143" t="s">
        <v>3008</v>
      </c>
      <c r="E5" s="143" t="s">
        <v>309</v>
      </c>
      <c r="F5" s="143" t="s">
        <v>3009</v>
      </c>
      <c r="G5" s="143" t="s">
        <v>3010</v>
      </c>
      <c r="H5" s="143" t="s">
        <v>321</v>
      </c>
      <c r="I5" s="143" t="s">
        <v>204</v>
      </c>
      <c r="J5" s="143" t="s">
        <v>204</v>
      </c>
      <c r="K5" s="143" t="s">
        <v>325</v>
      </c>
      <c r="L5" s="143" t="s">
        <v>340</v>
      </c>
      <c r="M5" s="143" t="s">
        <v>3011</v>
      </c>
      <c r="N5" s="143" t="s">
        <v>480</v>
      </c>
      <c r="O5" s="143" t="s">
        <v>3012</v>
      </c>
      <c r="P5" s="143" t="s">
        <v>339</v>
      </c>
      <c r="Q5" s="143" t="s">
        <v>1210</v>
      </c>
      <c r="R5" s="143" t="s">
        <v>3013</v>
      </c>
      <c r="S5" s="143" t="s">
        <v>3000</v>
      </c>
      <c r="T5" s="144">
        <v>10220</v>
      </c>
      <c r="U5" s="145" t="s">
        <v>3876</v>
      </c>
      <c r="V5" s="143" t="s">
        <v>3014</v>
      </c>
      <c r="W5" s="144">
        <v>4.2208999999999994</v>
      </c>
      <c r="X5" s="146">
        <v>5.6383618385219214E-2</v>
      </c>
      <c r="Y5" s="147">
        <v>4.2450150135796816E-6</v>
      </c>
      <c r="Z5" s="181"/>
    </row>
    <row r="6" spans="1:26" ht="15" x14ac:dyDescent="0.2">
      <c r="A6" s="142" t="s">
        <v>1205</v>
      </c>
      <c r="B6" s="143" t="s">
        <v>1205</v>
      </c>
      <c r="C6" s="143" t="s">
        <v>2361</v>
      </c>
      <c r="D6" s="143" t="s">
        <v>2362</v>
      </c>
      <c r="E6" s="143" t="s">
        <v>309</v>
      </c>
      <c r="F6" s="143" t="s">
        <v>3015</v>
      </c>
      <c r="G6" s="143" t="s">
        <v>3016</v>
      </c>
      <c r="H6" s="143" t="s">
        <v>321</v>
      </c>
      <c r="I6" s="143" t="s">
        <v>204</v>
      </c>
      <c r="J6" s="143" t="s">
        <v>204</v>
      </c>
      <c r="K6" s="143" t="s">
        <v>325</v>
      </c>
      <c r="L6" s="143" t="s">
        <v>340</v>
      </c>
      <c r="M6" s="143" t="s">
        <v>2364</v>
      </c>
      <c r="N6" s="143" t="s">
        <v>464</v>
      </c>
      <c r="O6" s="143" t="s">
        <v>3017</v>
      </c>
      <c r="P6" s="143" t="s">
        <v>339</v>
      </c>
      <c r="Q6" s="143" t="s">
        <v>1210</v>
      </c>
      <c r="R6" s="143" t="s">
        <v>3018</v>
      </c>
      <c r="S6" s="143" t="s">
        <v>3000</v>
      </c>
      <c r="T6" s="144">
        <v>9960.23</v>
      </c>
      <c r="U6" s="145" t="s">
        <v>3876</v>
      </c>
      <c r="V6" s="143" t="s">
        <v>3019</v>
      </c>
      <c r="W6" s="144">
        <v>1.5837000000000001</v>
      </c>
      <c r="X6" s="146">
        <v>2.1155265838832111E-2</v>
      </c>
      <c r="Y6" s="147">
        <v>1.59273958773908E-6</v>
      </c>
      <c r="Z6" s="181"/>
    </row>
    <row r="7" spans="1:26" ht="15" x14ac:dyDescent="0.2">
      <c r="A7" s="142" t="s">
        <v>1205</v>
      </c>
      <c r="B7" s="143" t="s">
        <v>1205</v>
      </c>
      <c r="C7" s="143" t="s">
        <v>3020</v>
      </c>
      <c r="D7" s="143" t="s">
        <v>3021</v>
      </c>
      <c r="E7" s="143" t="s">
        <v>309</v>
      </c>
      <c r="F7" s="143" t="s">
        <v>3022</v>
      </c>
      <c r="G7" s="143" t="s">
        <v>3023</v>
      </c>
      <c r="H7" s="143" t="s">
        <v>321</v>
      </c>
      <c r="I7" s="143" t="s">
        <v>204</v>
      </c>
      <c r="J7" s="143" t="s">
        <v>204</v>
      </c>
      <c r="K7" s="143" t="s">
        <v>325</v>
      </c>
      <c r="L7" s="143" t="s">
        <v>340</v>
      </c>
      <c r="M7" s="143" t="s">
        <v>3024</v>
      </c>
      <c r="N7" s="143" t="s">
        <v>439</v>
      </c>
      <c r="O7" s="143" t="s">
        <v>3025</v>
      </c>
      <c r="P7" s="143" t="s">
        <v>339</v>
      </c>
      <c r="Q7" s="143" t="s">
        <v>1210</v>
      </c>
      <c r="R7" s="143" t="s">
        <v>3026</v>
      </c>
      <c r="S7" s="143" t="s">
        <v>3000</v>
      </c>
      <c r="T7" s="144">
        <v>20160</v>
      </c>
      <c r="U7" s="145" t="s">
        <v>3876</v>
      </c>
      <c r="V7" s="143" t="s">
        <v>3027</v>
      </c>
      <c r="W7" s="144">
        <v>0.90720000000000001</v>
      </c>
      <c r="X7" s="146">
        <v>1.2118672166115643E-2</v>
      </c>
      <c r="Y7" s="147">
        <v>9.1239169750228312E-7</v>
      </c>
      <c r="Z7" s="181"/>
    </row>
    <row r="8" spans="1:26" ht="15" x14ac:dyDescent="0.2">
      <c r="A8" s="142" t="s">
        <v>1220</v>
      </c>
      <c r="B8" s="143" t="s">
        <v>1220</v>
      </c>
      <c r="C8" s="143" t="s">
        <v>2386</v>
      </c>
      <c r="D8" s="143" t="s">
        <v>2387</v>
      </c>
      <c r="E8" s="143" t="s">
        <v>309</v>
      </c>
      <c r="F8" s="143" t="s">
        <v>2996</v>
      </c>
      <c r="G8" s="143" t="s">
        <v>2997</v>
      </c>
      <c r="H8" s="143" t="s">
        <v>321</v>
      </c>
      <c r="I8" s="143" t="s">
        <v>204</v>
      </c>
      <c r="J8" s="143" t="s">
        <v>204</v>
      </c>
      <c r="K8" s="143" t="s">
        <v>325</v>
      </c>
      <c r="L8" s="143" t="s">
        <v>340</v>
      </c>
      <c r="M8" s="143" t="s">
        <v>2389</v>
      </c>
      <c r="N8" s="143" t="s">
        <v>473</v>
      </c>
      <c r="O8" s="143" t="s">
        <v>2998</v>
      </c>
      <c r="P8" s="143" t="s">
        <v>339</v>
      </c>
      <c r="Q8" s="143" t="s">
        <v>1210</v>
      </c>
      <c r="R8" s="143" t="s">
        <v>2999</v>
      </c>
      <c r="S8" s="143" t="s">
        <v>3000</v>
      </c>
      <c r="T8" s="144">
        <v>2593500</v>
      </c>
      <c r="U8" s="145" t="s">
        <v>3876</v>
      </c>
      <c r="V8" s="143" t="s">
        <v>3001</v>
      </c>
      <c r="W8" s="144">
        <v>1351.2135000000001</v>
      </c>
      <c r="X8" s="146">
        <v>0.8126426271878272</v>
      </c>
      <c r="Y8" s="147">
        <v>5.9877767988643894E-5</v>
      </c>
      <c r="Z8" s="181"/>
    </row>
    <row r="9" spans="1:26" ht="15" x14ac:dyDescent="0.2">
      <c r="A9" s="142" t="s">
        <v>1220</v>
      </c>
      <c r="B9" s="143" t="s">
        <v>1220</v>
      </c>
      <c r="C9" s="143" t="s">
        <v>2391</v>
      </c>
      <c r="D9" s="143" t="s">
        <v>2392</v>
      </c>
      <c r="E9" s="143" t="s">
        <v>309</v>
      </c>
      <c r="F9" s="143" t="s">
        <v>3002</v>
      </c>
      <c r="G9" s="143" t="s">
        <v>3003</v>
      </c>
      <c r="H9" s="143" t="s">
        <v>321</v>
      </c>
      <c r="I9" s="143" t="s">
        <v>204</v>
      </c>
      <c r="J9" s="143" t="s">
        <v>204</v>
      </c>
      <c r="K9" s="143" t="s">
        <v>325</v>
      </c>
      <c r="L9" s="143" t="s">
        <v>340</v>
      </c>
      <c r="M9" s="143" t="s">
        <v>2394</v>
      </c>
      <c r="N9" s="143" t="s">
        <v>480</v>
      </c>
      <c r="O9" s="143" t="s">
        <v>3004</v>
      </c>
      <c r="P9" s="143" t="s">
        <v>339</v>
      </c>
      <c r="Q9" s="143" t="s">
        <v>1210</v>
      </c>
      <c r="R9" s="143" t="s">
        <v>3005</v>
      </c>
      <c r="S9" s="143" t="s">
        <v>3000</v>
      </c>
      <c r="T9" s="144">
        <v>1261500</v>
      </c>
      <c r="U9" s="145" t="s">
        <v>3876</v>
      </c>
      <c r="V9" s="143" t="s">
        <v>3006</v>
      </c>
      <c r="W9" s="144">
        <v>156.42599999999999</v>
      </c>
      <c r="X9" s="146">
        <v>9.4077239163524534E-2</v>
      </c>
      <c r="Y9" s="147">
        <v>6.9318725245060161E-6</v>
      </c>
      <c r="Z9" s="181"/>
    </row>
    <row r="10" spans="1:26" ht="15" x14ac:dyDescent="0.2">
      <c r="A10" s="142" t="s">
        <v>1220</v>
      </c>
      <c r="B10" s="143" t="s">
        <v>1220</v>
      </c>
      <c r="C10" s="143" t="s">
        <v>3007</v>
      </c>
      <c r="D10" s="143" t="s">
        <v>3008</v>
      </c>
      <c r="E10" s="143" t="s">
        <v>309</v>
      </c>
      <c r="F10" s="143" t="s">
        <v>3009</v>
      </c>
      <c r="G10" s="143" t="s">
        <v>3010</v>
      </c>
      <c r="H10" s="143" t="s">
        <v>321</v>
      </c>
      <c r="I10" s="143" t="s">
        <v>204</v>
      </c>
      <c r="J10" s="143" t="s">
        <v>204</v>
      </c>
      <c r="K10" s="143" t="s">
        <v>325</v>
      </c>
      <c r="L10" s="143" t="s">
        <v>340</v>
      </c>
      <c r="M10" s="143" t="s">
        <v>3011</v>
      </c>
      <c r="N10" s="143" t="s">
        <v>480</v>
      </c>
      <c r="O10" s="143" t="s">
        <v>3012</v>
      </c>
      <c r="P10" s="143" t="s">
        <v>339</v>
      </c>
      <c r="Q10" s="143" t="s">
        <v>1210</v>
      </c>
      <c r="R10" s="143" t="s">
        <v>3013</v>
      </c>
      <c r="S10" s="143" t="s">
        <v>3000</v>
      </c>
      <c r="T10" s="144">
        <v>225497</v>
      </c>
      <c r="U10" s="145" t="s">
        <v>3876</v>
      </c>
      <c r="V10" s="143" t="s">
        <v>3014</v>
      </c>
      <c r="W10" s="144">
        <v>93.130300000000005</v>
      </c>
      <c r="X10" s="146">
        <v>5.6010112369161529E-2</v>
      </c>
      <c r="Y10" s="147">
        <v>4.1269807923617189E-6</v>
      </c>
      <c r="Z10" s="181"/>
    </row>
    <row r="11" spans="1:26" ht="15" x14ac:dyDescent="0.2">
      <c r="A11" s="142" t="s">
        <v>1220</v>
      </c>
      <c r="B11" s="143" t="s">
        <v>1220</v>
      </c>
      <c r="C11" s="143" t="s">
        <v>2361</v>
      </c>
      <c r="D11" s="143" t="s">
        <v>2362</v>
      </c>
      <c r="E11" s="143" t="s">
        <v>309</v>
      </c>
      <c r="F11" s="143" t="s">
        <v>3015</v>
      </c>
      <c r="G11" s="143" t="s">
        <v>3016</v>
      </c>
      <c r="H11" s="143" t="s">
        <v>321</v>
      </c>
      <c r="I11" s="143" t="s">
        <v>204</v>
      </c>
      <c r="J11" s="143" t="s">
        <v>204</v>
      </c>
      <c r="K11" s="143" t="s">
        <v>325</v>
      </c>
      <c r="L11" s="143" t="s">
        <v>340</v>
      </c>
      <c r="M11" s="143" t="s">
        <v>2364</v>
      </c>
      <c r="N11" s="143" t="s">
        <v>464</v>
      </c>
      <c r="O11" s="143" t="s">
        <v>3017</v>
      </c>
      <c r="P11" s="143" t="s">
        <v>339</v>
      </c>
      <c r="Q11" s="143" t="s">
        <v>1210</v>
      </c>
      <c r="R11" s="143" t="s">
        <v>3018</v>
      </c>
      <c r="S11" s="143" t="s">
        <v>3000</v>
      </c>
      <c r="T11" s="144">
        <v>255803.51999999999</v>
      </c>
      <c r="U11" s="145" t="s">
        <v>3876</v>
      </c>
      <c r="V11" s="143" t="s">
        <v>3019</v>
      </c>
      <c r="W11" s="144">
        <v>40.672800000000002</v>
      </c>
      <c r="X11" s="146">
        <v>2.4461284823852285E-2</v>
      </c>
      <c r="Y11" s="147">
        <v>1.8023754703286416E-6</v>
      </c>
      <c r="Z11" s="181"/>
    </row>
    <row r="12" spans="1:26" ht="15" x14ac:dyDescent="0.2">
      <c r="A12" s="142" t="s">
        <v>1220</v>
      </c>
      <c r="B12" s="143" t="s">
        <v>1220</v>
      </c>
      <c r="C12" s="143" t="s">
        <v>3020</v>
      </c>
      <c r="D12" s="143" t="s">
        <v>3021</v>
      </c>
      <c r="E12" s="143" t="s">
        <v>309</v>
      </c>
      <c r="F12" s="143" t="s">
        <v>3022</v>
      </c>
      <c r="G12" s="143" t="s">
        <v>3023</v>
      </c>
      <c r="H12" s="143" t="s">
        <v>321</v>
      </c>
      <c r="I12" s="143" t="s">
        <v>204</v>
      </c>
      <c r="J12" s="143" t="s">
        <v>204</v>
      </c>
      <c r="K12" s="143" t="s">
        <v>325</v>
      </c>
      <c r="L12" s="143" t="s">
        <v>340</v>
      </c>
      <c r="M12" s="143" t="s">
        <v>3024</v>
      </c>
      <c r="N12" s="143" t="s">
        <v>439</v>
      </c>
      <c r="O12" s="143" t="s">
        <v>3025</v>
      </c>
      <c r="P12" s="143" t="s">
        <v>339</v>
      </c>
      <c r="Q12" s="143" t="s">
        <v>1210</v>
      </c>
      <c r="R12" s="143" t="s">
        <v>3026</v>
      </c>
      <c r="S12" s="143" t="s">
        <v>3000</v>
      </c>
      <c r="T12" s="144">
        <v>473280</v>
      </c>
      <c r="U12" s="145" t="s">
        <v>3876</v>
      </c>
      <c r="V12" s="143" t="s">
        <v>3027</v>
      </c>
      <c r="W12" s="144">
        <v>21.297599999999999</v>
      </c>
      <c r="X12" s="146">
        <v>1.2808736455634486E-2</v>
      </c>
      <c r="Y12" s="147">
        <v>9.4378331145665896E-7</v>
      </c>
      <c r="Z12" s="181"/>
    </row>
    <row r="13" spans="1:26" ht="15" x14ac:dyDescent="0.2">
      <c r="A13" s="154" t="s">
        <v>1205</v>
      </c>
      <c r="B13" s="155" t="s">
        <v>1206</v>
      </c>
      <c r="C13" s="145" t="s">
        <v>3876</v>
      </c>
      <c r="D13" s="145" t="s">
        <v>3876</v>
      </c>
      <c r="E13" s="145" t="s">
        <v>3876</v>
      </c>
      <c r="F13" s="145" t="s">
        <v>3876</v>
      </c>
      <c r="G13" s="145" t="s">
        <v>3876</v>
      </c>
      <c r="H13" s="145" t="s">
        <v>3876</v>
      </c>
      <c r="I13" s="145" t="s">
        <v>3876</v>
      </c>
      <c r="J13" s="145" t="s">
        <v>3876</v>
      </c>
      <c r="K13" s="145" t="s">
        <v>3876</v>
      </c>
      <c r="L13" s="145" t="s">
        <v>3876</v>
      </c>
      <c r="M13" s="145" t="s">
        <v>3876</v>
      </c>
      <c r="N13" s="145" t="s">
        <v>3876</v>
      </c>
      <c r="O13" s="145" t="s">
        <v>3876</v>
      </c>
      <c r="P13" s="145" t="s">
        <v>3876</v>
      </c>
      <c r="Q13" s="145" t="s">
        <v>3876</v>
      </c>
      <c r="R13" s="145" t="s">
        <v>3876</v>
      </c>
      <c r="S13" s="145" t="s">
        <v>3876</v>
      </c>
      <c r="T13" s="145" t="s">
        <v>3876</v>
      </c>
      <c r="U13" s="145" t="s">
        <v>3876</v>
      </c>
      <c r="V13" s="145" t="s">
        <v>3876</v>
      </c>
      <c r="W13" s="145" t="s">
        <v>3876</v>
      </c>
      <c r="X13" s="145" t="s">
        <v>3876</v>
      </c>
      <c r="Y13" s="156" t="s">
        <v>3876</v>
      </c>
      <c r="Z13" s="181"/>
    </row>
    <row r="14" spans="1:26" ht="15" x14ac:dyDescent="0.2">
      <c r="A14" s="154" t="s">
        <v>1205</v>
      </c>
      <c r="B14" s="155" t="s">
        <v>1215</v>
      </c>
      <c r="C14" s="145" t="s">
        <v>3876</v>
      </c>
      <c r="D14" s="145" t="s">
        <v>3876</v>
      </c>
      <c r="E14" s="145" t="s">
        <v>3876</v>
      </c>
      <c r="F14" s="145" t="s">
        <v>3876</v>
      </c>
      <c r="G14" s="145" t="s">
        <v>3876</v>
      </c>
      <c r="H14" s="145" t="s">
        <v>3876</v>
      </c>
      <c r="I14" s="145" t="s">
        <v>3876</v>
      </c>
      <c r="J14" s="145" t="s">
        <v>3876</v>
      </c>
      <c r="K14" s="145" t="s">
        <v>3876</v>
      </c>
      <c r="L14" s="145" t="s">
        <v>3876</v>
      </c>
      <c r="M14" s="145" t="s">
        <v>3876</v>
      </c>
      <c r="N14" s="145" t="s">
        <v>3876</v>
      </c>
      <c r="O14" s="145" t="s">
        <v>3876</v>
      </c>
      <c r="P14" s="145" t="s">
        <v>3876</v>
      </c>
      <c r="Q14" s="145" t="s">
        <v>3876</v>
      </c>
      <c r="R14" s="145" t="s">
        <v>3876</v>
      </c>
      <c r="S14" s="145" t="s">
        <v>3876</v>
      </c>
      <c r="T14" s="145" t="s">
        <v>3876</v>
      </c>
      <c r="U14" s="145" t="s">
        <v>3876</v>
      </c>
      <c r="V14" s="145" t="s">
        <v>3876</v>
      </c>
      <c r="W14" s="145" t="s">
        <v>3876</v>
      </c>
      <c r="X14" s="145" t="s">
        <v>3876</v>
      </c>
      <c r="Y14" s="156" t="s">
        <v>3876</v>
      </c>
      <c r="Z14" s="181"/>
    </row>
    <row r="15" spans="1:26" ht="15" x14ac:dyDescent="0.2">
      <c r="A15" s="154" t="s">
        <v>1220</v>
      </c>
      <c r="B15" s="155" t="s">
        <v>1221</v>
      </c>
      <c r="C15" s="145" t="s">
        <v>3876</v>
      </c>
      <c r="D15" s="145" t="s">
        <v>3876</v>
      </c>
      <c r="E15" s="145" t="s">
        <v>3876</v>
      </c>
      <c r="F15" s="145" t="s">
        <v>3876</v>
      </c>
      <c r="G15" s="145" t="s">
        <v>3876</v>
      </c>
      <c r="H15" s="145" t="s">
        <v>3876</v>
      </c>
      <c r="I15" s="145" t="s">
        <v>3876</v>
      </c>
      <c r="J15" s="145" t="s">
        <v>3876</v>
      </c>
      <c r="K15" s="145" t="s">
        <v>3876</v>
      </c>
      <c r="L15" s="145" t="s">
        <v>3876</v>
      </c>
      <c r="M15" s="145" t="s">
        <v>3876</v>
      </c>
      <c r="N15" s="145" t="s">
        <v>3876</v>
      </c>
      <c r="O15" s="145" t="s">
        <v>3876</v>
      </c>
      <c r="P15" s="145" t="s">
        <v>3876</v>
      </c>
      <c r="Q15" s="145" t="s">
        <v>3876</v>
      </c>
      <c r="R15" s="145" t="s">
        <v>3876</v>
      </c>
      <c r="S15" s="145" t="s">
        <v>3876</v>
      </c>
      <c r="T15" s="145" t="s">
        <v>3876</v>
      </c>
      <c r="U15" s="145" t="s">
        <v>3876</v>
      </c>
      <c r="V15" s="145" t="s">
        <v>3876</v>
      </c>
      <c r="W15" s="145" t="s">
        <v>3876</v>
      </c>
      <c r="X15" s="145" t="s">
        <v>3876</v>
      </c>
      <c r="Y15" s="156" t="s">
        <v>3876</v>
      </c>
      <c r="Z15" s="181"/>
    </row>
    <row r="16" spans="1:26" ht="15" x14ac:dyDescent="0.2">
      <c r="A16" s="157" t="s">
        <v>1220</v>
      </c>
      <c r="B16" s="158" t="s">
        <v>1222</v>
      </c>
      <c r="C16" s="151" t="s">
        <v>3876</v>
      </c>
      <c r="D16" s="151" t="s">
        <v>3876</v>
      </c>
      <c r="E16" s="151" t="s">
        <v>3876</v>
      </c>
      <c r="F16" s="151" t="s">
        <v>3876</v>
      </c>
      <c r="G16" s="151" t="s">
        <v>3876</v>
      </c>
      <c r="H16" s="151" t="s">
        <v>3876</v>
      </c>
      <c r="I16" s="151" t="s">
        <v>3876</v>
      </c>
      <c r="J16" s="151" t="s">
        <v>3876</v>
      </c>
      <c r="K16" s="151" t="s">
        <v>3876</v>
      </c>
      <c r="L16" s="151" t="s">
        <v>3876</v>
      </c>
      <c r="M16" s="151" t="s">
        <v>3876</v>
      </c>
      <c r="N16" s="151" t="s">
        <v>3876</v>
      </c>
      <c r="O16" s="151" t="s">
        <v>3876</v>
      </c>
      <c r="P16" s="151" t="s">
        <v>3876</v>
      </c>
      <c r="Q16" s="151" t="s">
        <v>3876</v>
      </c>
      <c r="R16" s="151" t="s">
        <v>3876</v>
      </c>
      <c r="S16" s="151" t="s">
        <v>3876</v>
      </c>
      <c r="T16" s="151" t="s">
        <v>3876</v>
      </c>
      <c r="U16" s="151" t="s">
        <v>3876</v>
      </c>
      <c r="V16" s="151" t="s">
        <v>3876</v>
      </c>
      <c r="W16" s="151" t="s">
        <v>3876</v>
      </c>
      <c r="X16" s="151" t="s">
        <v>3876</v>
      </c>
      <c r="Y16" s="159" t="s">
        <v>3876</v>
      </c>
      <c r="Z16" s="181"/>
    </row>
    <row r="17" spans="1:25" x14ac:dyDescent="0.2">
      <c r="A17" s="185" t="s">
        <v>3893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</row>
    <row r="18" spans="1:25" x14ac:dyDescent="0.2">
      <c r="A18" s="99" t="s">
        <v>3892</v>
      </c>
      <c r="B18" s="99"/>
      <c r="C18" s="99"/>
      <c r="D18" s="99"/>
      <c r="E18" s="16"/>
      <c r="F18" s="99"/>
      <c r="G18" s="99"/>
      <c r="H18" s="16"/>
      <c r="I18" s="16"/>
      <c r="J18" s="16"/>
      <c r="K18" s="99"/>
      <c r="L18" s="16"/>
      <c r="M18" s="99"/>
      <c r="N18" s="99"/>
      <c r="O18" s="99"/>
      <c r="P18" s="99"/>
      <c r="Q18" s="16"/>
      <c r="R18" s="16"/>
      <c r="S18" s="16"/>
      <c r="T18" s="99"/>
      <c r="U18" s="99"/>
      <c r="V18" s="99"/>
      <c r="W18" s="99"/>
      <c r="X18" s="99"/>
      <c r="Y18" s="99"/>
    </row>
    <row r="19" spans="1:25" x14ac:dyDescent="0.2">
      <c r="A19" s="179"/>
      <c r="B19" s="99"/>
      <c r="C19" s="99"/>
      <c r="D19" s="99"/>
      <c r="E19" s="16"/>
      <c r="F19" s="99"/>
      <c r="G19" s="99"/>
      <c r="H19" s="16"/>
      <c r="I19" s="16"/>
      <c r="J19" s="16"/>
      <c r="K19" s="99"/>
      <c r="L19" s="16"/>
      <c r="M19" s="99"/>
      <c r="N19" s="99"/>
      <c r="O19" s="99"/>
      <c r="P19" s="99"/>
      <c r="Q19" s="16"/>
      <c r="R19" s="16"/>
      <c r="S19" s="16"/>
      <c r="T19" s="99"/>
      <c r="U19" s="99"/>
      <c r="V19" s="99"/>
      <c r="W19" s="99"/>
      <c r="X19" s="99"/>
      <c r="Y19" s="99"/>
    </row>
    <row r="20" spans="1:25" x14ac:dyDescent="0.2">
      <c r="A20" s="99"/>
      <c r="B20" s="99"/>
      <c r="C20" s="99"/>
      <c r="D20" s="99"/>
      <c r="E20" s="16"/>
      <c r="F20" s="99"/>
      <c r="G20" s="99"/>
      <c r="H20" s="16"/>
      <c r="I20" s="16"/>
      <c r="J20" s="16"/>
      <c r="K20" s="99"/>
      <c r="L20" s="16"/>
      <c r="M20" s="99"/>
      <c r="N20" s="99"/>
      <c r="O20" s="99"/>
      <c r="P20" s="99"/>
      <c r="Q20" s="16"/>
      <c r="R20" s="16"/>
      <c r="S20" s="16"/>
      <c r="T20" s="99"/>
      <c r="U20" s="99"/>
      <c r="V20" s="99"/>
      <c r="W20" s="99"/>
      <c r="X20" s="99"/>
      <c r="Y20" s="99"/>
    </row>
    <row r="21" spans="1:25" x14ac:dyDescent="0.2">
      <c r="A21" s="98"/>
      <c r="B21" s="98"/>
      <c r="C21" s="98"/>
      <c r="D21" s="98"/>
      <c r="E21" s="16"/>
      <c r="F21" s="98"/>
      <c r="G21" s="98"/>
      <c r="H21" s="16"/>
      <c r="I21" s="16"/>
      <c r="J21" s="16"/>
      <c r="K21" s="99"/>
      <c r="L21" s="16"/>
      <c r="M21" s="98"/>
      <c r="N21" s="99"/>
      <c r="O21" s="98"/>
      <c r="P21" s="99"/>
      <c r="Q21" s="98"/>
      <c r="R21" s="98"/>
      <c r="S21" s="98"/>
      <c r="T21" s="98"/>
      <c r="U21" s="98"/>
      <c r="V21" s="98"/>
      <c r="W21" s="98"/>
      <c r="X21" s="98"/>
      <c r="Y21" s="98"/>
    </row>
    <row r="22" spans="1:25" customFormat="1" x14ac:dyDescent="0.2">
      <c r="H22" s="4"/>
      <c r="L22" s="4"/>
    </row>
    <row r="23" spans="1:25" x14ac:dyDescent="0.2">
      <c r="A23" s="98"/>
      <c r="B23" s="98"/>
      <c r="C23" s="98"/>
      <c r="D23" s="98"/>
      <c r="F23" s="98"/>
      <c r="G23" s="98"/>
      <c r="H23" s="98"/>
      <c r="I23" s="98"/>
      <c r="J23" s="98"/>
      <c r="K23" s="98"/>
      <c r="L23" s="4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</row>
  </sheetData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7:Y17"/>
    <mergeCell ref="Z2:Z16"/>
  </mergeCells>
  <dataValidations count="8">
    <dataValidation type="list" allowBlank="1" showInputMessage="1" showErrorMessage="1" sqref="I3:I12 I18:I21">
      <formula1>israel_abroad</formula1>
    </dataValidation>
    <dataValidation type="list" allowBlank="1" showInputMessage="1" showErrorMessage="1" sqref="N3:N12 N18:N21">
      <formula1>Industry_sectors</formula1>
    </dataValidation>
    <dataValidation type="list" allowBlank="1" showInputMessage="1" showErrorMessage="1" sqref="P3:P12 P18:P21">
      <formula1>Holding_interest</formula1>
    </dataValidation>
    <dataValidation type="list" allowBlank="1" showInputMessage="1" showErrorMessage="1" sqref="J3:J12 J18:J21">
      <formula1>Country_list</formula1>
    </dataValidation>
    <dataValidation type="list" allowBlank="1" showInputMessage="1" showErrorMessage="1" sqref="E3:E12 E18:E21">
      <formula1>Issuer_Type_TFunds</formula1>
    </dataValidation>
    <dataValidation type="list" allowBlank="1" showInputMessage="1" showErrorMessage="1" sqref="H3:H12 H18:H21">
      <formula1>Security_ID_Number_Type</formula1>
    </dataValidation>
    <dataValidation type="list" allowBlank="1" showInputMessage="1" showErrorMessage="1" sqref="K3:K12 K18:K21">
      <formula1>tradeable_status_warrants</formula1>
    </dataValidation>
    <dataValidation type="list" allowBlank="1" showInputMessage="1" showErrorMessage="1" sqref="L3:L12 L18:L21">
      <formula1>Stock_Exchange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31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27.75" style="2" bestFit="1" customWidth="1"/>
    <col min="4" max="4" width="11.25" style="2" customWidth="1"/>
    <col min="5" max="5" width="18.125" style="4" customWidth="1"/>
    <col min="6" max="6" width="11.125" style="2" customWidth="1"/>
    <col min="7" max="7" width="12.75" style="2" customWidth="1"/>
    <col min="8" max="8" width="15.5" style="2" customWidth="1"/>
    <col min="9" max="9" width="11.5" style="2" customWidth="1"/>
    <col min="10" max="10" width="10.625" style="2" customWidth="1"/>
    <col min="11" max="11" width="19.875" style="2" customWidth="1"/>
    <col min="12" max="12" width="10.25" style="2" customWidth="1"/>
    <col min="13" max="13" width="9.625" style="2" customWidth="1"/>
    <col min="14" max="14" width="18.125" style="2" bestFit="1" customWidth="1"/>
    <col min="15" max="15" width="12" style="2" customWidth="1"/>
    <col min="16" max="16" width="15.125" style="2" customWidth="1"/>
    <col min="17" max="17" width="11.75" style="2" customWidth="1"/>
    <col min="18" max="18" width="10.5" style="2" customWidth="1"/>
    <col min="19" max="19" width="14.875" style="2" customWidth="1"/>
    <col min="20" max="20" width="10.5" style="2" customWidth="1"/>
    <col min="21" max="21" width="12.875" style="2" customWidth="1"/>
    <col min="22" max="22" width="17.875" style="2" customWidth="1"/>
    <col min="23" max="23" width="21.75" style="2" customWidth="1"/>
    <col min="24" max="24" width="20.125" style="2" customWidth="1"/>
    <col min="25" max="25" width="11.625" style="2" customWidth="1"/>
    <col min="26" max="16384" width="9" style="2"/>
  </cols>
  <sheetData>
    <row r="1" spans="1:25" x14ac:dyDescent="0.2">
      <c r="A1" s="2" t="s">
        <v>3905</v>
      </c>
    </row>
    <row r="2" spans="1:25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70</v>
      </c>
      <c r="M2" s="140" t="s">
        <v>83</v>
      </c>
      <c r="N2" s="140" t="s">
        <v>96</v>
      </c>
      <c r="O2" s="140" t="s">
        <v>93</v>
      </c>
      <c r="P2" s="140" t="s">
        <v>56</v>
      </c>
      <c r="Q2" s="140" t="s">
        <v>59</v>
      </c>
      <c r="R2" s="140" t="s">
        <v>94</v>
      </c>
      <c r="S2" s="140" t="s">
        <v>76</v>
      </c>
      <c r="T2" s="140" t="s">
        <v>61</v>
      </c>
      <c r="U2" s="140" t="s">
        <v>77</v>
      </c>
      <c r="V2" s="140" t="s">
        <v>63</v>
      </c>
      <c r="W2" s="140" t="s">
        <v>64</v>
      </c>
      <c r="X2" s="141" t="s">
        <v>65</v>
      </c>
      <c r="Y2" s="181" t="s">
        <v>3894</v>
      </c>
    </row>
    <row r="3" spans="1:25" ht="15" x14ac:dyDescent="0.2">
      <c r="A3" s="142" t="s">
        <v>1205</v>
      </c>
      <c r="B3" s="143" t="s">
        <v>1205</v>
      </c>
      <c r="C3" s="143" t="s">
        <v>3028</v>
      </c>
      <c r="D3" s="143" t="s">
        <v>3029</v>
      </c>
      <c r="E3" s="143" t="s">
        <v>309</v>
      </c>
      <c r="F3" s="143" t="s">
        <v>3030</v>
      </c>
      <c r="G3" s="143" t="s">
        <v>3031</v>
      </c>
      <c r="H3" s="143" t="s">
        <v>312</v>
      </c>
      <c r="I3" s="143" t="s">
        <v>971</v>
      </c>
      <c r="J3" s="143" t="s">
        <v>204</v>
      </c>
      <c r="K3" s="143" t="s">
        <v>204</v>
      </c>
      <c r="L3" s="143" t="s">
        <v>340</v>
      </c>
      <c r="M3" s="143" t="s">
        <v>314</v>
      </c>
      <c r="N3" s="143" t="s">
        <v>747</v>
      </c>
      <c r="O3" s="143" t="s">
        <v>3032</v>
      </c>
      <c r="P3" s="143" t="s">
        <v>339</v>
      </c>
      <c r="Q3" s="143" t="s">
        <v>1210</v>
      </c>
      <c r="R3" s="143" t="s">
        <v>3033</v>
      </c>
      <c r="S3" s="144">
        <v>105</v>
      </c>
      <c r="T3" s="145" t="s">
        <v>3876</v>
      </c>
      <c r="U3" s="143" t="s">
        <v>3034</v>
      </c>
      <c r="V3" s="144">
        <v>157.5</v>
      </c>
      <c r="W3" s="146">
        <v>-1.5957446808510638</v>
      </c>
      <c r="X3" s="147">
        <v>1.5840133637192415E-4</v>
      </c>
      <c r="Y3" s="181"/>
    </row>
    <row r="4" spans="1:25" ht="15" x14ac:dyDescent="0.2">
      <c r="A4" s="142" t="s">
        <v>1205</v>
      </c>
      <c r="B4" s="143" t="s">
        <v>1205</v>
      </c>
      <c r="C4" s="143" t="s">
        <v>3028</v>
      </c>
      <c r="D4" s="143" t="s">
        <v>3029</v>
      </c>
      <c r="E4" s="143" t="s">
        <v>309</v>
      </c>
      <c r="F4" s="143" t="s">
        <v>3035</v>
      </c>
      <c r="G4" s="143" t="s">
        <v>3036</v>
      </c>
      <c r="H4" s="143" t="s">
        <v>312</v>
      </c>
      <c r="I4" s="143" t="s">
        <v>971</v>
      </c>
      <c r="J4" s="143" t="s">
        <v>204</v>
      </c>
      <c r="K4" s="143" t="s">
        <v>204</v>
      </c>
      <c r="L4" s="143" t="s">
        <v>340</v>
      </c>
      <c r="M4" s="143" t="s">
        <v>314</v>
      </c>
      <c r="N4" s="143" t="s">
        <v>747</v>
      </c>
      <c r="O4" s="143" t="s">
        <v>3032</v>
      </c>
      <c r="P4" s="143" t="s">
        <v>339</v>
      </c>
      <c r="Q4" s="143" t="s">
        <v>1210</v>
      </c>
      <c r="R4" s="143" t="s">
        <v>3033</v>
      </c>
      <c r="S4" s="144">
        <v>-105</v>
      </c>
      <c r="T4" s="145" t="s">
        <v>3876</v>
      </c>
      <c r="U4" s="143" t="s">
        <v>3037</v>
      </c>
      <c r="V4" s="144">
        <v>-256.2</v>
      </c>
      <c r="W4" s="146">
        <v>2.5957446808510638</v>
      </c>
      <c r="X4" s="147">
        <v>-2.5766617383166329E-4</v>
      </c>
      <c r="Y4" s="181"/>
    </row>
    <row r="5" spans="1:25" ht="15" x14ac:dyDescent="0.2">
      <c r="A5" s="142" t="s">
        <v>1220</v>
      </c>
      <c r="B5" s="143" t="s">
        <v>1220</v>
      </c>
      <c r="C5" s="143" t="s">
        <v>3028</v>
      </c>
      <c r="D5" s="143" t="s">
        <v>3029</v>
      </c>
      <c r="E5" s="143" t="s">
        <v>309</v>
      </c>
      <c r="F5" s="143" t="s">
        <v>3030</v>
      </c>
      <c r="G5" s="143" t="s">
        <v>3031</v>
      </c>
      <c r="H5" s="143" t="s">
        <v>312</v>
      </c>
      <c r="I5" s="143" t="s">
        <v>971</v>
      </c>
      <c r="J5" s="143" t="s">
        <v>204</v>
      </c>
      <c r="K5" s="143" t="s">
        <v>204</v>
      </c>
      <c r="L5" s="143" t="s">
        <v>340</v>
      </c>
      <c r="M5" s="143" t="s">
        <v>314</v>
      </c>
      <c r="N5" s="143" t="s">
        <v>747</v>
      </c>
      <c r="O5" s="143" t="s">
        <v>3032</v>
      </c>
      <c r="P5" s="143" t="s">
        <v>339</v>
      </c>
      <c r="Q5" s="143" t="s">
        <v>1210</v>
      </c>
      <c r="R5" s="143" t="s">
        <v>3033</v>
      </c>
      <c r="S5" s="144">
        <v>2427</v>
      </c>
      <c r="T5" s="145" t="s">
        <v>3876</v>
      </c>
      <c r="U5" s="143" t="s">
        <v>3034</v>
      </c>
      <c r="V5" s="144">
        <v>3640.5</v>
      </c>
      <c r="W5" s="146">
        <v>-1.5957446808510638</v>
      </c>
      <c r="X5" s="147">
        <v>1.6132536742909844E-4</v>
      </c>
      <c r="Y5" s="181"/>
    </row>
    <row r="6" spans="1:25" ht="15" x14ac:dyDescent="0.2">
      <c r="A6" s="142" t="s">
        <v>1220</v>
      </c>
      <c r="B6" s="143" t="s">
        <v>1220</v>
      </c>
      <c r="C6" s="143" t="s">
        <v>3028</v>
      </c>
      <c r="D6" s="143" t="s">
        <v>3029</v>
      </c>
      <c r="E6" s="143" t="s">
        <v>309</v>
      </c>
      <c r="F6" s="143" t="s">
        <v>3035</v>
      </c>
      <c r="G6" s="143" t="s">
        <v>3036</v>
      </c>
      <c r="H6" s="143" t="s">
        <v>312</v>
      </c>
      <c r="I6" s="143" t="s">
        <v>971</v>
      </c>
      <c r="J6" s="143" t="s">
        <v>204</v>
      </c>
      <c r="K6" s="143" t="s">
        <v>204</v>
      </c>
      <c r="L6" s="143" t="s">
        <v>340</v>
      </c>
      <c r="M6" s="143" t="s">
        <v>314</v>
      </c>
      <c r="N6" s="143" t="s">
        <v>747</v>
      </c>
      <c r="O6" s="143" t="s">
        <v>3032</v>
      </c>
      <c r="P6" s="143" t="s">
        <v>339</v>
      </c>
      <c r="Q6" s="143" t="s">
        <v>1210</v>
      </c>
      <c r="R6" s="143" t="s">
        <v>3033</v>
      </c>
      <c r="S6" s="144">
        <v>-2427</v>
      </c>
      <c r="T6" s="145" t="s">
        <v>3876</v>
      </c>
      <c r="U6" s="143" t="s">
        <v>3037</v>
      </c>
      <c r="V6" s="144">
        <v>-5921.88</v>
      </c>
      <c r="W6" s="146">
        <v>2.5957446808510638</v>
      </c>
      <c r="X6" s="147">
        <v>-2.6242259768466679E-4</v>
      </c>
      <c r="Y6" s="181"/>
    </row>
    <row r="7" spans="1:25" ht="15" x14ac:dyDescent="0.2">
      <c r="A7" s="154" t="s">
        <v>1205</v>
      </c>
      <c r="B7" s="155" t="s">
        <v>1206</v>
      </c>
      <c r="C7" s="145" t="s">
        <v>3876</v>
      </c>
      <c r="D7" s="145" t="s">
        <v>3876</v>
      </c>
      <c r="E7" s="145" t="s">
        <v>3876</v>
      </c>
      <c r="F7" s="145" t="s">
        <v>3876</v>
      </c>
      <c r="G7" s="145" t="s">
        <v>3876</v>
      </c>
      <c r="H7" s="145" t="s">
        <v>3876</v>
      </c>
      <c r="I7" s="145" t="s">
        <v>3876</v>
      </c>
      <c r="J7" s="145" t="s">
        <v>3876</v>
      </c>
      <c r="K7" s="145" t="s">
        <v>3876</v>
      </c>
      <c r="L7" s="145" t="s">
        <v>3876</v>
      </c>
      <c r="M7" s="145" t="s">
        <v>3876</v>
      </c>
      <c r="N7" s="145" t="s">
        <v>3876</v>
      </c>
      <c r="O7" s="145" t="s">
        <v>3876</v>
      </c>
      <c r="P7" s="145" t="s">
        <v>3876</v>
      </c>
      <c r="Q7" s="145" t="s">
        <v>3876</v>
      </c>
      <c r="R7" s="145" t="s">
        <v>3876</v>
      </c>
      <c r="S7" s="145" t="s">
        <v>3876</v>
      </c>
      <c r="T7" s="145" t="s">
        <v>3876</v>
      </c>
      <c r="U7" s="145" t="s">
        <v>3876</v>
      </c>
      <c r="V7" s="145" t="s">
        <v>3876</v>
      </c>
      <c r="W7" s="145" t="s">
        <v>3876</v>
      </c>
      <c r="X7" s="156" t="s">
        <v>3876</v>
      </c>
      <c r="Y7" s="181"/>
    </row>
    <row r="8" spans="1:25" ht="15" x14ac:dyDescent="0.2">
      <c r="A8" s="154" t="s">
        <v>1205</v>
      </c>
      <c r="B8" s="155" t="s">
        <v>1215</v>
      </c>
      <c r="C8" s="145" t="s">
        <v>3876</v>
      </c>
      <c r="D8" s="145" t="s">
        <v>3876</v>
      </c>
      <c r="E8" s="145" t="s">
        <v>3876</v>
      </c>
      <c r="F8" s="145" t="s">
        <v>3876</v>
      </c>
      <c r="G8" s="145" t="s">
        <v>3876</v>
      </c>
      <c r="H8" s="145" t="s">
        <v>3876</v>
      </c>
      <c r="I8" s="145" t="s">
        <v>3876</v>
      </c>
      <c r="J8" s="145" t="s">
        <v>3876</v>
      </c>
      <c r="K8" s="145" t="s">
        <v>3876</v>
      </c>
      <c r="L8" s="145" t="s">
        <v>3876</v>
      </c>
      <c r="M8" s="145" t="s">
        <v>3876</v>
      </c>
      <c r="N8" s="145" t="s">
        <v>3876</v>
      </c>
      <c r="O8" s="145" t="s">
        <v>3876</v>
      </c>
      <c r="P8" s="145" t="s">
        <v>3876</v>
      </c>
      <c r="Q8" s="145" t="s">
        <v>3876</v>
      </c>
      <c r="R8" s="145" t="s">
        <v>3876</v>
      </c>
      <c r="S8" s="145" t="s">
        <v>3876</v>
      </c>
      <c r="T8" s="145" t="s">
        <v>3876</v>
      </c>
      <c r="U8" s="145" t="s">
        <v>3876</v>
      </c>
      <c r="V8" s="145" t="s">
        <v>3876</v>
      </c>
      <c r="W8" s="145" t="s">
        <v>3876</v>
      </c>
      <c r="X8" s="156" t="s">
        <v>3876</v>
      </c>
      <c r="Y8" s="181"/>
    </row>
    <row r="9" spans="1:25" ht="15" x14ac:dyDescent="0.2">
      <c r="A9" s="154" t="s">
        <v>1220</v>
      </c>
      <c r="B9" s="155" t="s">
        <v>1221</v>
      </c>
      <c r="C9" s="145" t="s">
        <v>3876</v>
      </c>
      <c r="D9" s="145" t="s">
        <v>3876</v>
      </c>
      <c r="E9" s="145" t="s">
        <v>3876</v>
      </c>
      <c r="F9" s="145" t="s">
        <v>3876</v>
      </c>
      <c r="G9" s="145" t="s">
        <v>3876</v>
      </c>
      <c r="H9" s="145" t="s">
        <v>3876</v>
      </c>
      <c r="I9" s="145" t="s">
        <v>3876</v>
      </c>
      <c r="J9" s="145" t="s">
        <v>3876</v>
      </c>
      <c r="K9" s="145" t="s">
        <v>3876</v>
      </c>
      <c r="L9" s="145" t="s">
        <v>3876</v>
      </c>
      <c r="M9" s="145" t="s">
        <v>3876</v>
      </c>
      <c r="N9" s="145" t="s">
        <v>3876</v>
      </c>
      <c r="O9" s="145" t="s">
        <v>3876</v>
      </c>
      <c r="P9" s="145" t="s">
        <v>3876</v>
      </c>
      <c r="Q9" s="145" t="s">
        <v>3876</v>
      </c>
      <c r="R9" s="145" t="s">
        <v>3876</v>
      </c>
      <c r="S9" s="145" t="s">
        <v>3876</v>
      </c>
      <c r="T9" s="145" t="s">
        <v>3876</v>
      </c>
      <c r="U9" s="145" t="s">
        <v>3876</v>
      </c>
      <c r="V9" s="145" t="s">
        <v>3876</v>
      </c>
      <c r="W9" s="145" t="s">
        <v>3876</v>
      </c>
      <c r="X9" s="156" t="s">
        <v>3876</v>
      </c>
      <c r="Y9" s="181"/>
    </row>
    <row r="10" spans="1:25" ht="15" x14ac:dyDescent="0.2">
      <c r="A10" s="157" t="s">
        <v>1220</v>
      </c>
      <c r="B10" s="158" t="s">
        <v>1222</v>
      </c>
      <c r="C10" s="151" t="s">
        <v>3876</v>
      </c>
      <c r="D10" s="151" t="s">
        <v>3876</v>
      </c>
      <c r="E10" s="151" t="s">
        <v>3876</v>
      </c>
      <c r="F10" s="151" t="s">
        <v>3876</v>
      </c>
      <c r="G10" s="151" t="s">
        <v>3876</v>
      </c>
      <c r="H10" s="151" t="s">
        <v>3876</v>
      </c>
      <c r="I10" s="151" t="s">
        <v>3876</v>
      </c>
      <c r="J10" s="151" t="s">
        <v>3876</v>
      </c>
      <c r="K10" s="151" t="s">
        <v>3876</v>
      </c>
      <c r="L10" s="151" t="s">
        <v>3876</v>
      </c>
      <c r="M10" s="151" t="s">
        <v>3876</v>
      </c>
      <c r="N10" s="151" t="s">
        <v>3876</v>
      </c>
      <c r="O10" s="151" t="s">
        <v>3876</v>
      </c>
      <c r="P10" s="151" t="s">
        <v>3876</v>
      </c>
      <c r="Q10" s="151" t="s">
        <v>3876</v>
      </c>
      <c r="R10" s="151" t="s">
        <v>3876</v>
      </c>
      <c r="S10" s="151" t="s">
        <v>3876</v>
      </c>
      <c r="T10" s="151" t="s">
        <v>3876</v>
      </c>
      <c r="U10" s="151" t="s">
        <v>3876</v>
      </c>
      <c r="V10" s="151" t="s">
        <v>3876</v>
      </c>
      <c r="W10" s="151" t="s">
        <v>3876</v>
      </c>
      <c r="X10" s="159" t="s">
        <v>3876</v>
      </c>
      <c r="Y10" s="181"/>
    </row>
    <row r="11" spans="1:25" x14ac:dyDescent="0.2">
      <c r="A11" s="185" t="s">
        <v>3893</v>
      </c>
      <c r="B11" s="185"/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5"/>
      <c r="R11" s="185"/>
      <c r="S11" s="185"/>
      <c r="T11" s="185"/>
      <c r="U11" s="185"/>
      <c r="V11" s="185"/>
      <c r="W11" s="185"/>
      <c r="X11" s="185"/>
    </row>
    <row r="12" spans="1:25" x14ac:dyDescent="0.2">
      <c r="A12" s="99" t="s">
        <v>3892</v>
      </c>
      <c r="B12" s="99"/>
      <c r="C12" s="99"/>
      <c r="D12" s="99"/>
      <c r="E12" s="16"/>
      <c r="F12" s="99"/>
      <c r="G12" s="99"/>
      <c r="H12" s="16"/>
      <c r="I12" s="99"/>
      <c r="J12" s="16"/>
      <c r="K12" s="16"/>
      <c r="L12" s="16"/>
      <c r="M12" s="99"/>
      <c r="N12" s="99"/>
      <c r="O12" s="99"/>
      <c r="P12" s="99"/>
      <c r="Q12" s="16"/>
      <c r="R12" s="16"/>
      <c r="S12" s="99"/>
      <c r="T12" s="99"/>
      <c r="U12" s="99"/>
      <c r="V12" s="99"/>
      <c r="W12" s="99"/>
      <c r="X12" s="99"/>
    </row>
    <row r="13" spans="1:25" x14ac:dyDescent="0.2">
      <c r="A13" s="179"/>
      <c r="B13" s="99"/>
      <c r="C13" s="99"/>
      <c r="D13" s="99"/>
      <c r="E13" s="16"/>
      <c r="F13" s="99"/>
      <c r="G13" s="99"/>
      <c r="H13" s="16"/>
      <c r="I13" s="99"/>
      <c r="J13" s="16"/>
      <c r="K13" s="16"/>
      <c r="L13" s="16"/>
      <c r="M13" s="99"/>
      <c r="N13" s="99"/>
      <c r="O13" s="99"/>
      <c r="P13" s="99"/>
      <c r="Q13" s="16"/>
      <c r="R13" s="16"/>
      <c r="S13" s="99"/>
      <c r="T13" s="99"/>
      <c r="U13" s="99"/>
      <c r="V13" s="99"/>
      <c r="W13" s="99"/>
      <c r="X13" s="99"/>
    </row>
    <row r="14" spans="1:25" x14ac:dyDescent="0.2">
      <c r="A14" s="99"/>
      <c r="B14" s="99"/>
      <c r="C14" s="99"/>
      <c r="D14" s="99"/>
      <c r="E14" s="16"/>
      <c r="F14" s="99"/>
      <c r="G14" s="99"/>
      <c r="H14" s="16"/>
      <c r="I14" s="99"/>
      <c r="J14" s="16"/>
      <c r="K14" s="16"/>
      <c r="L14" s="16"/>
      <c r="M14" s="99"/>
      <c r="N14" s="99"/>
      <c r="O14" s="99"/>
      <c r="P14" s="99"/>
      <c r="Q14" s="16"/>
      <c r="R14" s="16"/>
      <c r="S14" s="99"/>
      <c r="T14" s="99"/>
      <c r="U14" s="99"/>
      <c r="V14" s="99"/>
      <c r="W14" s="99"/>
      <c r="X14" s="99"/>
    </row>
    <row r="15" spans="1:25" x14ac:dyDescent="0.2">
      <c r="A15" s="99"/>
      <c r="B15" s="99"/>
      <c r="C15" s="99"/>
      <c r="D15" s="99"/>
      <c r="E15" s="16"/>
      <c r="F15" s="99"/>
      <c r="G15" s="99"/>
      <c r="H15" s="16"/>
      <c r="I15" s="99"/>
      <c r="J15" s="16"/>
      <c r="K15" s="16"/>
      <c r="L15" s="16"/>
      <c r="M15" s="99"/>
      <c r="N15" s="99"/>
      <c r="O15" s="99"/>
      <c r="P15" s="99"/>
      <c r="Q15" s="16"/>
      <c r="R15" s="16"/>
      <c r="S15" s="99"/>
      <c r="T15" s="99"/>
      <c r="U15" s="99"/>
      <c r="V15" s="99"/>
      <c r="W15" s="99"/>
      <c r="X15" s="99"/>
    </row>
    <row r="16" spans="1:25" x14ac:dyDescent="0.2">
      <c r="A16" s="99"/>
      <c r="B16" s="99"/>
      <c r="C16" s="99"/>
      <c r="D16" s="99"/>
      <c r="E16" s="16"/>
      <c r="F16" s="99"/>
      <c r="G16" s="99"/>
      <c r="H16" s="16"/>
      <c r="I16" s="99"/>
      <c r="J16" s="16"/>
      <c r="K16" s="16"/>
      <c r="L16" s="16"/>
      <c r="M16" s="99"/>
      <c r="N16" s="99"/>
      <c r="O16" s="99"/>
      <c r="P16" s="99"/>
      <c r="Q16" s="16"/>
      <c r="R16" s="16"/>
      <c r="S16" s="99"/>
      <c r="T16" s="99"/>
      <c r="U16" s="99"/>
      <c r="V16" s="99"/>
      <c r="W16" s="99"/>
      <c r="X16" s="99"/>
    </row>
    <row r="17" spans="1:24" x14ac:dyDescent="0.2">
      <c r="A17" s="99"/>
      <c r="B17" s="99"/>
      <c r="C17" s="99"/>
      <c r="D17" s="99"/>
      <c r="E17" s="16"/>
      <c r="F17" s="99"/>
      <c r="G17" s="99"/>
      <c r="H17" s="16"/>
      <c r="I17" s="99"/>
      <c r="J17" s="16"/>
      <c r="K17" s="16"/>
      <c r="L17" s="16"/>
      <c r="M17" s="99"/>
      <c r="N17" s="99"/>
      <c r="O17" s="99"/>
      <c r="P17" s="99"/>
      <c r="Q17" s="16"/>
      <c r="R17" s="16"/>
      <c r="S17" s="99"/>
      <c r="T17" s="99"/>
      <c r="U17" s="99"/>
      <c r="V17" s="99"/>
      <c r="W17" s="99"/>
      <c r="X17" s="99"/>
    </row>
    <row r="18" spans="1:24" x14ac:dyDescent="0.2">
      <c r="A18" s="99"/>
      <c r="B18" s="99"/>
      <c r="C18" s="99"/>
      <c r="D18" s="99"/>
      <c r="E18" s="16"/>
      <c r="F18" s="99"/>
      <c r="G18" s="99"/>
      <c r="H18" s="16"/>
      <c r="I18" s="99"/>
      <c r="J18" s="16"/>
      <c r="K18" s="16"/>
      <c r="L18" s="16"/>
      <c r="M18" s="99"/>
      <c r="N18" s="99"/>
      <c r="O18" s="99"/>
      <c r="P18" s="99"/>
      <c r="Q18" s="16"/>
      <c r="R18" s="16"/>
      <c r="S18" s="99"/>
      <c r="T18" s="99"/>
      <c r="U18" s="99"/>
      <c r="V18" s="99"/>
      <c r="W18" s="99"/>
      <c r="X18" s="99"/>
    </row>
    <row r="19" spans="1:24" x14ac:dyDescent="0.2">
      <c r="A19" s="99"/>
      <c r="B19" s="99"/>
      <c r="C19" s="99"/>
      <c r="D19" s="99"/>
      <c r="E19" s="16"/>
      <c r="F19" s="99"/>
      <c r="G19" s="99"/>
      <c r="H19" s="16"/>
      <c r="I19" s="99"/>
      <c r="J19" s="16"/>
      <c r="K19" s="16"/>
      <c r="L19" s="16"/>
      <c r="M19" s="99"/>
      <c r="N19" s="99"/>
      <c r="O19" s="99"/>
      <c r="P19" s="99"/>
      <c r="Q19" s="16"/>
      <c r="R19" s="16"/>
      <c r="S19" s="99"/>
      <c r="T19" s="99"/>
      <c r="U19" s="99"/>
      <c r="V19" s="99"/>
      <c r="W19" s="99"/>
      <c r="X19" s="99"/>
    </row>
    <row r="20" spans="1:24" x14ac:dyDescent="0.2">
      <c r="A20" s="99"/>
      <c r="B20" s="99"/>
      <c r="C20" s="99"/>
      <c r="D20" s="99"/>
      <c r="E20" s="16"/>
      <c r="F20" s="99"/>
      <c r="G20" s="99"/>
      <c r="H20" s="16"/>
      <c r="I20" s="99"/>
      <c r="J20" s="16"/>
      <c r="K20" s="16"/>
      <c r="L20" s="16"/>
      <c r="M20" s="99"/>
      <c r="N20" s="99"/>
      <c r="O20" s="99"/>
      <c r="P20" s="99"/>
      <c r="Q20" s="16"/>
      <c r="R20" s="16"/>
      <c r="S20" s="99"/>
      <c r="T20" s="99"/>
      <c r="U20" s="99"/>
      <c r="V20" s="99"/>
      <c r="W20" s="99"/>
      <c r="X20" s="99"/>
    </row>
    <row r="21" spans="1:24" x14ac:dyDescent="0.2">
      <c r="A21" s="98"/>
      <c r="B21" s="98"/>
      <c r="C21" s="98"/>
      <c r="D21" s="98"/>
      <c r="E21" s="16"/>
      <c r="F21" s="98"/>
      <c r="G21" s="98"/>
      <c r="H21" s="16"/>
      <c r="I21" s="99"/>
      <c r="J21" s="16"/>
      <c r="K21" s="16"/>
      <c r="L21" s="16"/>
      <c r="M21" s="99"/>
      <c r="N21" s="98"/>
      <c r="O21" s="98"/>
      <c r="P21" s="99"/>
      <c r="Q21" s="98"/>
      <c r="R21" s="98"/>
      <c r="S21" s="98"/>
      <c r="T21" s="98"/>
      <c r="U21" s="98"/>
      <c r="V21" s="98"/>
      <c r="W21" s="98"/>
      <c r="X21" s="98"/>
    </row>
    <row r="22" spans="1:24" x14ac:dyDescent="0.2">
      <c r="A22" s="98"/>
      <c r="B22" s="98"/>
      <c r="C22" s="98"/>
      <c r="D22" s="98"/>
      <c r="E22"/>
      <c r="F22" s="98"/>
      <c r="G22" s="98"/>
      <c r="H22" s="4"/>
      <c r="I22" s="98"/>
      <c r="J22" s="98"/>
      <c r="K22" s="98"/>
      <c r="L22" s="4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</row>
    <row r="23" spans="1:24" x14ac:dyDescent="0.2">
      <c r="A23" s="98"/>
      <c r="B23" s="98"/>
      <c r="C23" s="98"/>
      <c r="D23" s="98"/>
      <c r="F23" s="98"/>
      <c r="G23" s="98"/>
      <c r="H23" s="98"/>
      <c r="I23" s="98"/>
      <c r="J23" s="98"/>
      <c r="K23" s="98"/>
      <c r="L23" s="4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</row>
    <row r="31" spans="1:24" x14ac:dyDescent="0.2">
      <c r="A31" s="98"/>
      <c r="B31" s="98"/>
      <c r="C31" s="98"/>
      <c r="D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1:X11"/>
    <mergeCell ref="Y2:Y10"/>
  </mergeCells>
  <dataValidations count="8">
    <dataValidation type="list" allowBlank="1" showInputMessage="1" showErrorMessage="1" sqref="J3:J6 J12:J21">
      <formula1>israel_abroad</formula1>
    </dataValidation>
    <dataValidation type="list" allowBlank="1" showInputMessage="1" showErrorMessage="1" sqref="P3:P6 P12:P21">
      <formula1>Holding_interest</formula1>
    </dataValidation>
    <dataValidation type="list" allowBlank="1" showInputMessage="1" showErrorMessage="1" sqref="N3:N6 N12:N20">
      <formula1>Underlying_Asset</formula1>
    </dataValidation>
    <dataValidation type="list" allowBlank="1" showInputMessage="1" showErrorMessage="1" sqref="K3:K6 K12:K21">
      <formula1>Country_list</formula1>
    </dataValidation>
    <dataValidation type="list" allowBlank="1" showInputMessage="1" showErrorMessage="1" sqref="E3:E6 E12:E21">
      <formula1>Issuer_Type_TFunds</formula1>
    </dataValidation>
    <dataValidation type="list" allowBlank="1" showInputMessage="1" showErrorMessage="1" sqref="H3:H6 H12:H21">
      <formula1>Security_ID_Number_Type</formula1>
    </dataValidation>
    <dataValidation type="list" allowBlank="1" showInputMessage="1" showErrorMessage="1" sqref="M3:M6 M12:M21">
      <formula1>Industry_Sector</formula1>
    </dataValidation>
    <dataValidation type="list" allowBlank="1" showInputMessage="1" showErrorMessage="1" sqref="L3:L6 L12:L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בחירה'!$C$901:$C$905</xm:f>
          </x14:formula1>
          <xm:sqref>I3:I6 I12:I21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U23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28.25" style="2" bestFit="1" customWidth="1"/>
    <col min="4" max="4" width="11.25" style="2" customWidth="1"/>
    <col min="5" max="5" width="18.125" style="4" customWidth="1"/>
    <col min="6" max="6" width="23.875" style="2" bestFit="1" customWidth="1"/>
    <col min="7" max="7" width="12.75" style="2" customWidth="1"/>
    <col min="8" max="8" width="15.5" style="2" customWidth="1"/>
    <col min="9" max="9" width="10.625" style="2" customWidth="1"/>
    <col min="10" max="10" width="19.875" style="2" customWidth="1"/>
    <col min="11" max="11" width="10.25" style="2" customWidth="1"/>
    <col min="12" max="12" width="18.125" style="2" bestFit="1" customWidth="1"/>
    <col min="13" max="13" width="15.125" style="2" customWidth="1"/>
    <col min="14" max="14" width="11.75" style="2" customWidth="1"/>
    <col min="15" max="15" width="14.875" style="2" customWidth="1"/>
    <col min="16" max="16" width="10.5" style="2" customWidth="1"/>
    <col min="17" max="17" width="12.875" style="2" customWidth="1"/>
    <col min="18" max="18" width="17.875" style="2" customWidth="1"/>
    <col min="19" max="19" width="21.75" style="2" customWidth="1"/>
    <col min="20" max="20" width="20.125" style="2" customWidth="1"/>
    <col min="21" max="16384" width="9" style="2"/>
  </cols>
  <sheetData>
    <row r="1" spans="1:21" x14ac:dyDescent="0.2">
      <c r="A1" s="2" t="s">
        <v>3906</v>
      </c>
    </row>
    <row r="2" spans="1:21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55</v>
      </c>
      <c r="J2" s="140" t="s">
        <v>69</v>
      </c>
      <c r="K2" s="140" t="s">
        <v>70</v>
      </c>
      <c r="L2" s="140" t="s">
        <v>96</v>
      </c>
      <c r="M2" s="140" t="s">
        <v>56</v>
      </c>
      <c r="N2" s="140" t="s">
        <v>59</v>
      </c>
      <c r="O2" s="140" t="s">
        <v>76</v>
      </c>
      <c r="P2" s="140" t="s">
        <v>61</v>
      </c>
      <c r="Q2" s="140" t="s">
        <v>77</v>
      </c>
      <c r="R2" s="140" t="s">
        <v>63</v>
      </c>
      <c r="S2" s="140" t="s">
        <v>64</v>
      </c>
      <c r="T2" s="141" t="s">
        <v>65</v>
      </c>
      <c r="U2" s="181" t="s">
        <v>3894</v>
      </c>
    </row>
    <row r="3" spans="1:21" x14ac:dyDescent="0.2">
      <c r="A3" s="142" t="s">
        <v>1205</v>
      </c>
      <c r="B3" s="143" t="s">
        <v>1205</v>
      </c>
      <c r="C3" s="143" t="s">
        <v>2066</v>
      </c>
      <c r="D3" s="143" t="s">
        <v>2067</v>
      </c>
      <c r="E3" s="143" t="s">
        <v>309</v>
      </c>
      <c r="F3" s="143" t="s">
        <v>3038</v>
      </c>
      <c r="G3" s="143" t="s">
        <v>3039</v>
      </c>
      <c r="H3" s="143" t="s">
        <v>312</v>
      </c>
      <c r="I3" s="143" t="s">
        <v>204</v>
      </c>
      <c r="J3" s="143" t="s">
        <v>204</v>
      </c>
      <c r="K3" s="143" t="s">
        <v>344</v>
      </c>
      <c r="L3" s="143" t="s">
        <v>314</v>
      </c>
      <c r="M3" s="143" t="s">
        <v>339</v>
      </c>
      <c r="N3" s="143" t="s">
        <v>1211</v>
      </c>
      <c r="O3" s="144">
        <v>-7153380</v>
      </c>
      <c r="P3" s="143" t="s">
        <v>1212</v>
      </c>
      <c r="Q3" s="143" t="s">
        <v>1504</v>
      </c>
      <c r="R3" s="144">
        <v>-26889.555399999997</v>
      </c>
      <c r="S3" s="146">
        <v>-439.74795598450851</v>
      </c>
      <c r="T3" s="147">
        <v>-2.7043438177618517E-2</v>
      </c>
      <c r="U3" s="181"/>
    </row>
    <row r="4" spans="1:21" x14ac:dyDescent="0.2">
      <c r="A4" s="142" t="s">
        <v>1205</v>
      </c>
      <c r="B4" s="143" t="s">
        <v>1205</v>
      </c>
      <c r="C4" s="143" t="s">
        <v>2066</v>
      </c>
      <c r="D4" s="143" t="s">
        <v>2067</v>
      </c>
      <c r="E4" s="143" t="s">
        <v>309</v>
      </c>
      <c r="F4" s="143" t="s">
        <v>3040</v>
      </c>
      <c r="G4" s="143" t="s">
        <v>3041</v>
      </c>
      <c r="H4" s="143" t="s">
        <v>312</v>
      </c>
      <c r="I4" s="143" t="s">
        <v>204</v>
      </c>
      <c r="J4" s="143" t="s">
        <v>204</v>
      </c>
      <c r="K4" s="143" t="s">
        <v>344</v>
      </c>
      <c r="L4" s="143" t="s">
        <v>314</v>
      </c>
      <c r="M4" s="143" t="s">
        <v>339</v>
      </c>
      <c r="N4" s="143" t="s">
        <v>1211</v>
      </c>
      <c r="O4" s="144">
        <v>-7580658</v>
      </c>
      <c r="P4" s="143" t="s">
        <v>1212</v>
      </c>
      <c r="Q4" s="143" t="s">
        <v>1504</v>
      </c>
      <c r="R4" s="144">
        <v>-28495.6934</v>
      </c>
      <c r="S4" s="146">
        <v>-466.01450789942828</v>
      </c>
      <c r="T4" s="147">
        <v>-2.8658767738980625E-2</v>
      </c>
      <c r="U4" s="181"/>
    </row>
    <row r="5" spans="1:21" x14ac:dyDescent="0.2">
      <c r="A5" s="142" t="s">
        <v>1205</v>
      </c>
      <c r="B5" s="143" t="s">
        <v>1205</v>
      </c>
      <c r="C5" s="143" t="s">
        <v>3042</v>
      </c>
      <c r="D5" s="143" t="s">
        <v>3043</v>
      </c>
      <c r="E5" s="143" t="s">
        <v>314</v>
      </c>
      <c r="F5" s="143" t="s">
        <v>3044</v>
      </c>
      <c r="G5" s="143" t="s">
        <v>3045</v>
      </c>
      <c r="H5" s="143" t="s">
        <v>312</v>
      </c>
      <c r="I5" s="143" t="s">
        <v>205</v>
      </c>
      <c r="J5" s="143" t="s">
        <v>224</v>
      </c>
      <c r="K5" s="143" t="s">
        <v>344</v>
      </c>
      <c r="L5" s="143" t="s">
        <v>747</v>
      </c>
      <c r="M5" s="143" t="s">
        <v>339</v>
      </c>
      <c r="N5" s="143" t="s">
        <v>1211</v>
      </c>
      <c r="O5" s="144">
        <v>19</v>
      </c>
      <c r="P5" s="143" t="s">
        <v>1212</v>
      </c>
      <c r="Q5" s="143" t="s">
        <v>3046</v>
      </c>
      <c r="R5" s="144">
        <v>28464.482399999997</v>
      </c>
      <c r="S5" s="146">
        <v>465.50408803098298</v>
      </c>
      <c r="T5" s="147">
        <v>2.8627378148718571E-2</v>
      </c>
      <c r="U5" s="181"/>
    </row>
    <row r="6" spans="1:21" x14ac:dyDescent="0.2">
      <c r="A6" s="142" t="s">
        <v>1205</v>
      </c>
      <c r="B6" s="143" t="s">
        <v>1205</v>
      </c>
      <c r="C6" s="143" t="s">
        <v>3047</v>
      </c>
      <c r="D6" s="143" t="s">
        <v>3048</v>
      </c>
      <c r="E6" s="143" t="s">
        <v>314</v>
      </c>
      <c r="F6" s="143" t="s">
        <v>3049</v>
      </c>
      <c r="G6" s="143" t="s">
        <v>3050</v>
      </c>
      <c r="H6" s="143" t="s">
        <v>312</v>
      </c>
      <c r="I6" s="143" t="s">
        <v>205</v>
      </c>
      <c r="J6" s="143" t="s">
        <v>224</v>
      </c>
      <c r="K6" s="143" t="s">
        <v>344</v>
      </c>
      <c r="L6" s="143" t="s">
        <v>747</v>
      </c>
      <c r="M6" s="143" t="s">
        <v>339</v>
      </c>
      <c r="N6" s="143" t="s">
        <v>1211</v>
      </c>
      <c r="O6" s="144">
        <v>26</v>
      </c>
      <c r="P6" s="143" t="s">
        <v>1212</v>
      </c>
      <c r="Q6" s="143" t="s">
        <v>3051</v>
      </c>
      <c r="R6" s="144">
        <v>26981.914100000002</v>
      </c>
      <c r="S6" s="146">
        <v>441.2583758529538</v>
      </c>
      <c r="T6" s="147">
        <v>2.7136325354872357E-2</v>
      </c>
      <c r="U6" s="181"/>
    </row>
    <row r="7" spans="1:21" x14ac:dyDescent="0.2">
      <c r="A7" s="142" t="s">
        <v>1220</v>
      </c>
      <c r="B7" s="143" t="s">
        <v>1220</v>
      </c>
      <c r="C7" s="143" t="s">
        <v>2066</v>
      </c>
      <c r="D7" s="143" t="s">
        <v>2067</v>
      </c>
      <c r="E7" s="143" t="s">
        <v>309</v>
      </c>
      <c r="F7" s="143" t="s">
        <v>3040</v>
      </c>
      <c r="G7" s="143" t="s">
        <v>3041</v>
      </c>
      <c r="H7" s="143" t="s">
        <v>312</v>
      </c>
      <c r="I7" s="143" t="s">
        <v>204</v>
      </c>
      <c r="J7" s="143" t="s">
        <v>204</v>
      </c>
      <c r="K7" s="143" t="s">
        <v>344</v>
      </c>
      <c r="L7" s="143" t="s">
        <v>314</v>
      </c>
      <c r="M7" s="143" t="s">
        <v>339</v>
      </c>
      <c r="N7" s="143" t="s">
        <v>1211</v>
      </c>
      <c r="O7" s="144">
        <v>-175153263</v>
      </c>
      <c r="P7" s="143" t="s">
        <v>1212</v>
      </c>
      <c r="Q7" s="143" t="s">
        <v>1504</v>
      </c>
      <c r="R7" s="144">
        <v>-658401.11560000002</v>
      </c>
      <c r="S7" s="146">
        <v>-358.63253902602827</v>
      </c>
      <c r="T7" s="147">
        <v>-2.9176432328702335E-2</v>
      </c>
      <c r="U7" s="181"/>
    </row>
    <row r="8" spans="1:21" x14ac:dyDescent="0.2">
      <c r="A8" s="142" t="s">
        <v>1220</v>
      </c>
      <c r="B8" s="143" t="s">
        <v>1220</v>
      </c>
      <c r="C8" s="143" t="s">
        <v>2066</v>
      </c>
      <c r="D8" s="143" t="s">
        <v>2067</v>
      </c>
      <c r="E8" s="143" t="s">
        <v>309</v>
      </c>
      <c r="F8" s="143" t="s">
        <v>3038</v>
      </c>
      <c r="G8" s="143" t="s">
        <v>3039</v>
      </c>
      <c r="H8" s="143" t="s">
        <v>312</v>
      </c>
      <c r="I8" s="143" t="s">
        <v>204</v>
      </c>
      <c r="J8" s="143" t="s">
        <v>204</v>
      </c>
      <c r="K8" s="143" t="s">
        <v>344</v>
      </c>
      <c r="L8" s="143" t="s">
        <v>314</v>
      </c>
      <c r="M8" s="143" t="s">
        <v>339</v>
      </c>
      <c r="N8" s="143" t="s">
        <v>1211</v>
      </c>
      <c r="O8" s="144">
        <v>-198093600</v>
      </c>
      <c r="P8" s="143" t="s">
        <v>1212</v>
      </c>
      <c r="Q8" s="143" t="s">
        <v>1504</v>
      </c>
      <c r="R8" s="144">
        <v>-744633.84239999996</v>
      </c>
      <c r="S8" s="146">
        <v>-405.60369539222592</v>
      </c>
      <c r="T8" s="147">
        <v>-3.2997755315292233E-2</v>
      </c>
      <c r="U8" s="181"/>
    </row>
    <row r="9" spans="1:21" x14ac:dyDescent="0.2">
      <c r="A9" s="142" t="s">
        <v>1220</v>
      </c>
      <c r="B9" s="143" t="s">
        <v>1220</v>
      </c>
      <c r="C9" s="143" t="s">
        <v>3047</v>
      </c>
      <c r="D9" s="143" t="s">
        <v>3048</v>
      </c>
      <c r="E9" s="143" t="s">
        <v>314</v>
      </c>
      <c r="F9" s="143" t="s">
        <v>3049</v>
      </c>
      <c r="G9" s="143" t="s">
        <v>3050</v>
      </c>
      <c r="H9" s="143" t="s">
        <v>312</v>
      </c>
      <c r="I9" s="143" t="s">
        <v>205</v>
      </c>
      <c r="J9" s="143" t="s">
        <v>224</v>
      </c>
      <c r="K9" s="143" t="s">
        <v>344</v>
      </c>
      <c r="L9" s="143" t="s">
        <v>747</v>
      </c>
      <c r="M9" s="143" t="s">
        <v>339</v>
      </c>
      <c r="N9" s="143" t="s">
        <v>1211</v>
      </c>
      <c r="O9" s="144">
        <v>720</v>
      </c>
      <c r="P9" s="143" t="s">
        <v>1212</v>
      </c>
      <c r="Q9" s="143" t="s">
        <v>3051</v>
      </c>
      <c r="R9" s="144">
        <v>747191.46600000001</v>
      </c>
      <c r="S9" s="146">
        <v>406.99683860505496</v>
      </c>
      <c r="T9" s="147">
        <v>3.311109402344093E-2</v>
      </c>
      <c r="U9" s="181"/>
    </row>
    <row r="10" spans="1:21" x14ac:dyDescent="0.2">
      <c r="A10" s="142" t="s">
        <v>1220</v>
      </c>
      <c r="B10" s="143" t="s">
        <v>1220</v>
      </c>
      <c r="C10" s="143" t="s">
        <v>3042</v>
      </c>
      <c r="D10" s="143" t="s">
        <v>3043</v>
      </c>
      <c r="E10" s="143" t="s">
        <v>314</v>
      </c>
      <c r="F10" s="143" t="s">
        <v>3044</v>
      </c>
      <c r="G10" s="143" t="s">
        <v>3045</v>
      </c>
      <c r="H10" s="143" t="s">
        <v>312</v>
      </c>
      <c r="I10" s="143" t="s">
        <v>205</v>
      </c>
      <c r="J10" s="143" t="s">
        <v>224</v>
      </c>
      <c r="K10" s="143" t="s">
        <v>344</v>
      </c>
      <c r="L10" s="143" t="s">
        <v>747</v>
      </c>
      <c r="M10" s="143" t="s">
        <v>339</v>
      </c>
      <c r="N10" s="143" t="s">
        <v>1211</v>
      </c>
      <c r="O10" s="144">
        <v>439</v>
      </c>
      <c r="P10" s="143" t="s">
        <v>1212</v>
      </c>
      <c r="Q10" s="143" t="s">
        <v>3046</v>
      </c>
      <c r="R10" s="144">
        <v>657679.35750000004</v>
      </c>
      <c r="S10" s="146">
        <v>358.23939581319922</v>
      </c>
      <c r="T10" s="147">
        <v>2.9144448291850165E-2</v>
      </c>
      <c r="U10" s="181"/>
    </row>
    <row r="11" spans="1:21" ht="15" x14ac:dyDescent="0.2">
      <c r="A11" s="154" t="s">
        <v>1205</v>
      </c>
      <c r="B11" s="155" t="s">
        <v>1206</v>
      </c>
      <c r="C11" s="145" t="s">
        <v>3876</v>
      </c>
      <c r="D11" s="145" t="s">
        <v>3876</v>
      </c>
      <c r="E11" s="145" t="s">
        <v>3876</v>
      </c>
      <c r="F11" s="145" t="s">
        <v>3876</v>
      </c>
      <c r="G11" s="145" t="s">
        <v>3876</v>
      </c>
      <c r="H11" s="145" t="s">
        <v>3876</v>
      </c>
      <c r="I11" s="145" t="s">
        <v>3876</v>
      </c>
      <c r="J11" s="145" t="s">
        <v>3876</v>
      </c>
      <c r="K11" s="145" t="s">
        <v>3876</v>
      </c>
      <c r="L11" s="145" t="s">
        <v>3876</v>
      </c>
      <c r="M11" s="145" t="s">
        <v>3876</v>
      </c>
      <c r="N11" s="145" t="s">
        <v>3876</v>
      </c>
      <c r="O11" s="145" t="s">
        <v>3876</v>
      </c>
      <c r="P11" s="145" t="s">
        <v>3876</v>
      </c>
      <c r="Q11" s="145" t="s">
        <v>3876</v>
      </c>
      <c r="R11" s="145" t="s">
        <v>3876</v>
      </c>
      <c r="S11" s="145" t="s">
        <v>3876</v>
      </c>
      <c r="T11" s="156" t="s">
        <v>3876</v>
      </c>
      <c r="U11" s="181"/>
    </row>
    <row r="12" spans="1:21" ht="15" x14ac:dyDescent="0.2">
      <c r="A12" s="154" t="s">
        <v>1205</v>
      </c>
      <c r="B12" s="155" t="s">
        <v>1215</v>
      </c>
      <c r="C12" s="145" t="s">
        <v>3876</v>
      </c>
      <c r="D12" s="145" t="s">
        <v>3876</v>
      </c>
      <c r="E12" s="145" t="s">
        <v>3876</v>
      </c>
      <c r="F12" s="145" t="s">
        <v>3876</v>
      </c>
      <c r="G12" s="145" t="s">
        <v>3876</v>
      </c>
      <c r="H12" s="145" t="s">
        <v>3876</v>
      </c>
      <c r="I12" s="145" t="s">
        <v>3876</v>
      </c>
      <c r="J12" s="145" t="s">
        <v>3876</v>
      </c>
      <c r="K12" s="145" t="s">
        <v>3876</v>
      </c>
      <c r="L12" s="145" t="s">
        <v>3876</v>
      </c>
      <c r="M12" s="145" t="s">
        <v>3876</v>
      </c>
      <c r="N12" s="145" t="s">
        <v>3876</v>
      </c>
      <c r="O12" s="145" t="s">
        <v>3876</v>
      </c>
      <c r="P12" s="145" t="s">
        <v>3876</v>
      </c>
      <c r="Q12" s="145" t="s">
        <v>3876</v>
      </c>
      <c r="R12" s="145" t="s">
        <v>3876</v>
      </c>
      <c r="S12" s="145" t="s">
        <v>3876</v>
      </c>
      <c r="T12" s="156" t="s">
        <v>3876</v>
      </c>
      <c r="U12" s="181"/>
    </row>
    <row r="13" spans="1:21" ht="15" x14ac:dyDescent="0.2">
      <c r="A13" s="154" t="s">
        <v>1220</v>
      </c>
      <c r="B13" s="155" t="s">
        <v>1221</v>
      </c>
      <c r="C13" s="145" t="s">
        <v>3876</v>
      </c>
      <c r="D13" s="145" t="s">
        <v>3876</v>
      </c>
      <c r="E13" s="145" t="s">
        <v>3876</v>
      </c>
      <c r="F13" s="145" t="s">
        <v>3876</v>
      </c>
      <c r="G13" s="145" t="s">
        <v>3876</v>
      </c>
      <c r="H13" s="145" t="s">
        <v>3876</v>
      </c>
      <c r="I13" s="145" t="s">
        <v>3876</v>
      </c>
      <c r="J13" s="145" t="s">
        <v>3876</v>
      </c>
      <c r="K13" s="145" t="s">
        <v>3876</v>
      </c>
      <c r="L13" s="145" t="s">
        <v>3876</v>
      </c>
      <c r="M13" s="145" t="s">
        <v>3876</v>
      </c>
      <c r="N13" s="145" t="s">
        <v>3876</v>
      </c>
      <c r="O13" s="145" t="s">
        <v>3876</v>
      </c>
      <c r="P13" s="145" t="s">
        <v>3876</v>
      </c>
      <c r="Q13" s="145" t="s">
        <v>3876</v>
      </c>
      <c r="R13" s="145" t="s">
        <v>3876</v>
      </c>
      <c r="S13" s="145" t="s">
        <v>3876</v>
      </c>
      <c r="T13" s="156" t="s">
        <v>3876</v>
      </c>
      <c r="U13" s="181"/>
    </row>
    <row r="14" spans="1:21" ht="15" x14ac:dyDescent="0.2">
      <c r="A14" s="157" t="s">
        <v>1220</v>
      </c>
      <c r="B14" s="158" t="s">
        <v>1222</v>
      </c>
      <c r="C14" s="151" t="s">
        <v>3876</v>
      </c>
      <c r="D14" s="151" t="s">
        <v>3876</v>
      </c>
      <c r="E14" s="151" t="s">
        <v>3876</v>
      </c>
      <c r="F14" s="151" t="s">
        <v>3876</v>
      </c>
      <c r="G14" s="151" t="s">
        <v>3876</v>
      </c>
      <c r="H14" s="151" t="s">
        <v>3876</v>
      </c>
      <c r="I14" s="151" t="s">
        <v>3876</v>
      </c>
      <c r="J14" s="151" t="s">
        <v>3876</v>
      </c>
      <c r="K14" s="151" t="s">
        <v>3876</v>
      </c>
      <c r="L14" s="151" t="s">
        <v>3876</v>
      </c>
      <c r="M14" s="151" t="s">
        <v>3876</v>
      </c>
      <c r="N14" s="151" t="s">
        <v>3876</v>
      </c>
      <c r="O14" s="151" t="s">
        <v>3876</v>
      </c>
      <c r="P14" s="151" t="s">
        <v>3876</v>
      </c>
      <c r="Q14" s="151" t="s">
        <v>3876</v>
      </c>
      <c r="R14" s="151" t="s">
        <v>3876</v>
      </c>
      <c r="S14" s="151" t="s">
        <v>3876</v>
      </c>
      <c r="T14" s="159" t="s">
        <v>3876</v>
      </c>
      <c r="U14" s="181"/>
    </row>
    <row r="15" spans="1:21" x14ac:dyDescent="0.2">
      <c r="A15" s="185" t="s">
        <v>3893</v>
      </c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5"/>
      <c r="R15" s="185"/>
      <c r="S15" s="185"/>
      <c r="T15" s="185"/>
    </row>
    <row r="16" spans="1:21" x14ac:dyDescent="0.2">
      <c r="A16" s="99" t="s">
        <v>3892</v>
      </c>
      <c r="B16" s="99"/>
      <c r="C16" s="98"/>
      <c r="D16" s="98"/>
      <c r="E16" s="16"/>
      <c r="F16" s="99"/>
      <c r="G16" s="99"/>
      <c r="H16" s="16"/>
      <c r="I16" s="16"/>
      <c r="J16" s="16"/>
      <c r="K16" s="16"/>
      <c r="L16" s="99"/>
      <c r="M16" s="99"/>
      <c r="N16" s="16"/>
      <c r="O16" s="99"/>
      <c r="P16" s="99"/>
      <c r="Q16" s="99"/>
      <c r="R16" s="99"/>
      <c r="S16" s="99"/>
      <c r="T16" s="99"/>
    </row>
    <row r="17" spans="1:20" x14ac:dyDescent="0.2">
      <c r="A17" s="179"/>
      <c r="B17" s="99"/>
      <c r="C17" s="98"/>
      <c r="D17" s="98"/>
      <c r="E17" s="16"/>
      <c r="F17" s="99"/>
      <c r="G17" s="99"/>
      <c r="H17" s="16"/>
      <c r="I17" s="16"/>
      <c r="J17" s="16"/>
      <c r="K17" s="16"/>
      <c r="L17" s="99"/>
      <c r="M17" s="99"/>
      <c r="N17" s="16"/>
      <c r="O17" s="99"/>
      <c r="P17" s="99"/>
      <c r="Q17" s="99"/>
      <c r="R17" s="99"/>
      <c r="S17" s="99"/>
      <c r="T17" s="99"/>
    </row>
    <row r="18" spans="1:20" x14ac:dyDescent="0.2">
      <c r="A18" s="99"/>
      <c r="B18" s="99"/>
      <c r="C18" s="98"/>
      <c r="D18" s="98"/>
      <c r="E18" s="16"/>
      <c r="F18" s="99"/>
      <c r="G18" s="99"/>
      <c r="H18" s="16"/>
      <c r="I18" s="16"/>
      <c r="J18" s="16"/>
      <c r="K18" s="16"/>
      <c r="L18" s="99"/>
      <c r="M18" s="99"/>
      <c r="N18" s="16"/>
      <c r="O18" s="99"/>
      <c r="P18" s="99"/>
      <c r="Q18" s="99"/>
      <c r="R18" s="99"/>
      <c r="S18" s="99"/>
      <c r="T18" s="99"/>
    </row>
    <row r="19" spans="1:20" x14ac:dyDescent="0.2">
      <c r="A19" s="99"/>
      <c r="B19" s="99"/>
      <c r="C19" s="98"/>
      <c r="D19" s="98"/>
      <c r="E19" s="16"/>
      <c r="F19" s="99"/>
      <c r="G19" s="99"/>
      <c r="H19" s="16"/>
      <c r="I19" s="16"/>
      <c r="J19" s="16"/>
      <c r="K19" s="16"/>
      <c r="L19" s="99"/>
      <c r="M19" s="99"/>
      <c r="N19" s="16"/>
      <c r="O19" s="99"/>
      <c r="P19" s="99"/>
      <c r="Q19" s="99"/>
      <c r="R19" s="99"/>
      <c r="S19" s="99"/>
      <c r="T19" s="99"/>
    </row>
    <row r="20" spans="1:20" x14ac:dyDescent="0.2">
      <c r="A20" s="99"/>
      <c r="B20" s="99"/>
      <c r="C20" s="98"/>
      <c r="D20" s="98"/>
      <c r="E20" s="16"/>
      <c r="F20" s="99"/>
      <c r="G20" s="99"/>
      <c r="H20" s="16"/>
      <c r="I20" s="16"/>
      <c r="J20" s="16"/>
      <c r="K20" s="16"/>
      <c r="L20" s="99"/>
      <c r="M20" s="99"/>
      <c r="N20" s="16"/>
      <c r="O20" s="99"/>
      <c r="P20" s="99"/>
      <c r="Q20" s="99"/>
      <c r="R20" s="99"/>
      <c r="S20" s="99"/>
      <c r="T20" s="99"/>
    </row>
    <row r="21" spans="1:20" x14ac:dyDescent="0.2">
      <c r="A21" s="98"/>
      <c r="B21" s="98"/>
      <c r="C21" s="98"/>
      <c r="D21" s="98"/>
      <c r="E21" s="16"/>
      <c r="F21" s="98"/>
      <c r="G21" s="98"/>
      <c r="H21" s="16"/>
      <c r="I21" s="98"/>
      <c r="J21" s="16"/>
      <c r="K21" s="16"/>
      <c r="L21" s="99"/>
      <c r="M21" s="99"/>
      <c r="N21" s="98"/>
      <c r="O21" s="98"/>
      <c r="P21" s="98"/>
      <c r="Q21" s="98"/>
      <c r="R21" s="98"/>
      <c r="S21" s="98"/>
      <c r="T21" s="98"/>
    </row>
    <row r="22" spans="1:20" x14ac:dyDescent="0.2">
      <c r="A22" s="98"/>
      <c r="B22" s="98"/>
      <c r="C22" s="98"/>
      <c r="D22" s="98"/>
      <c r="E22"/>
      <c r="F22" s="98"/>
      <c r="G22" s="98"/>
      <c r="H22" s="4"/>
      <c r="I22" s="98"/>
      <c r="J22" s="98"/>
      <c r="K22" s="4"/>
      <c r="L22" s="98"/>
      <c r="M22" s="98"/>
      <c r="N22" s="98"/>
      <c r="O22" s="98"/>
      <c r="P22" s="98"/>
      <c r="Q22" s="98"/>
      <c r="R22" s="98"/>
      <c r="S22" s="98"/>
      <c r="T22" s="98"/>
    </row>
    <row r="23" spans="1:20" x14ac:dyDescent="0.2">
      <c r="A23" s="98"/>
      <c r="B23" s="98"/>
      <c r="C23" s="98"/>
      <c r="D23" s="98"/>
      <c r="F23" s="98"/>
      <c r="G23" s="98"/>
      <c r="H23" s="98"/>
      <c r="I23" s="98"/>
      <c r="J23" s="98"/>
      <c r="K23" s="4"/>
      <c r="L23" s="98"/>
      <c r="M23" s="98"/>
      <c r="N23" s="98"/>
      <c r="O23" s="98"/>
      <c r="P23" s="98"/>
      <c r="Q23" s="98"/>
      <c r="R23" s="98"/>
      <c r="S23" s="98"/>
      <c r="T23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5:T15"/>
    <mergeCell ref="U2:U14"/>
  </mergeCells>
  <dataValidations count="7">
    <dataValidation type="list" allowBlank="1" showInputMessage="1" showErrorMessage="1" sqref="I3:I10 I16:I20">
      <formula1>israel_abroad</formula1>
    </dataValidation>
    <dataValidation type="list" allowBlank="1" showInputMessage="1" showErrorMessage="1" sqref="M3:M10 M16:M21">
      <formula1>Holding_interest</formula1>
    </dataValidation>
    <dataValidation type="list" allowBlank="1" showInputMessage="1" showErrorMessage="1" sqref="L3:L10 L16:L21">
      <formula1>Underlying_Asset</formula1>
    </dataValidation>
    <dataValidation type="list" allowBlank="1" showInputMessage="1" showErrorMessage="1" sqref="J3:J10 J16:J21">
      <formula1>Country_list</formula1>
    </dataValidation>
    <dataValidation type="list" allowBlank="1" showInputMessage="1" showErrorMessage="1" sqref="E3:E10 E16:E21">
      <formula1>Issuer_Type_TFunds</formula1>
    </dataValidation>
    <dataValidation type="list" allowBlank="1" showInputMessage="1" showErrorMessage="1" sqref="H3:H10 H16:H21">
      <formula1>Security_ID_Number_Type</formula1>
    </dataValidation>
    <dataValidation type="list" allowBlank="1" showInputMessage="1" showErrorMessage="1" sqref="K3:K10 K16:K21">
      <formula1>Stock_Exchange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C23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14.375" style="2" bestFit="1" customWidth="1"/>
    <col min="4" max="4" width="11.25" style="2" customWidth="1"/>
    <col min="5" max="5" width="18.125" style="4" customWidth="1"/>
    <col min="6" max="6" width="13.25" style="2" bestFit="1" customWidth="1"/>
    <col min="7" max="7" width="12.75" style="2" customWidth="1"/>
    <col min="8" max="8" width="15.5" style="2" customWidth="1"/>
    <col min="9" max="9" width="11.5" style="2" customWidth="1"/>
    <col min="10" max="10" width="10.625" style="2" customWidth="1"/>
    <col min="11" max="11" width="19.875" style="2" customWidth="1"/>
    <col min="12" max="12" width="13.75" style="2" customWidth="1"/>
    <col min="13" max="13" width="10.25" style="2" customWidth="1"/>
    <col min="14" max="14" width="9" style="2" customWidth="1"/>
    <col min="15" max="15" width="15.125" style="2" customWidth="1"/>
    <col min="16" max="16" width="6.5" style="2" customWidth="1"/>
    <col min="17" max="17" width="11.125" style="2" customWidth="1"/>
    <col min="18" max="18" width="12.25" style="2" customWidth="1"/>
    <col min="19" max="19" width="6.25" style="2" customWidth="1"/>
    <col min="20" max="20" width="9.75" style="2" bestFit="1" customWidth="1"/>
    <col min="21" max="21" width="19" style="2" customWidth="1"/>
    <col min="22" max="22" width="11.75" style="2" customWidth="1"/>
    <col min="23" max="23" width="14.875" style="2" customWidth="1"/>
    <col min="24" max="24" width="10.5" style="2" customWidth="1"/>
    <col min="25" max="25" width="12.875" style="2" customWidth="1"/>
    <col min="26" max="26" width="17.875" style="2" customWidth="1"/>
    <col min="27" max="27" width="21.75" style="2" customWidth="1"/>
    <col min="28" max="28" width="20.125" style="2" customWidth="1"/>
    <col min="29" max="16384" width="9" style="2"/>
  </cols>
  <sheetData>
    <row r="1" spans="1:29" x14ac:dyDescent="0.2">
      <c r="A1" s="2" t="s">
        <v>3907</v>
      </c>
    </row>
    <row r="2" spans="1:29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89</v>
      </c>
      <c r="M2" s="140" t="s">
        <v>70</v>
      </c>
      <c r="N2" s="140" t="s">
        <v>96</v>
      </c>
      <c r="O2" s="140" t="s">
        <v>56</v>
      </c>
      <c r="P2" s="140" t="s">
        <v>72</v>
      </c>
      <c r="Q2" s="140" t="s">
        <v>62</v>
      </c>
      <c r="R2" s="140" t="s">
        <v>74</v>
      </c>
      <c r="S2" s="140" t="s">
        <v>71</v>
      </c>
      <c r="T2" s="140" t="s">
        <v>58</v>
      </c>
      <c r="U2" s="140" t="s">
        <v>84</v>
      </c>
      <c r="V2" s="140" t="s">
        <v>59</v>
      </c>
      <c r="W2" s="140" t="s">
        <v>76</v>
      </c>
      <c r="X2" s="140" t="s">
        <v>61</v>
      </c>
      <c r="Y2" s="140" t="s">
        <v>77</v>
      </c>
      <c r="Z2" s="140" t="s">
        <v>63</v>
      </c>
      <c r="AA2" s="140" t="s">
        <v>64</v>
      </c>
      <c r="AB2" s="141" t="s">
        <v>65</v>
      </c>
      <c r="AC2" s="181" t="s">
        <v>3894</v>
      </c>
    </row>
    <row r="3" spans="1:29" ht="15" x14ac:dyDescent="0.2">
      <c r="A3" s="142" t="s">
        <v>1205</v>
      </c>
      <c r="B3" s="143" t="s">
        <v>1206</v>
      </c>
      <c r="C3" s="143" t="s">
        <v>3052</v>
      </c>
      <c r="D3" s="143" t="s">
        <v>3053</v>
      </c>
      <c r="E3" s="143" t="s">
        <v>309</v>
      </c>
      <c r="F3" s="143" t="s">
        <v>3054</v>
      </c>
      <c r="G3" s="143" t="s">
        <v>3055</v>
      </c>
      <c r="H3" s="143" t="s">
        <v>321</v>
      </c>
      <c r="I3" s="143" t="s">
        <v>975</v>
      </c>
      <c r="J3" s="143" t="s">
        <v>204</v>
      </c>
      <c r="K3" s="143" t="s">
        <v>204</v>
      </c>
      <c r="L3" s="143" t="s">
        <v>325</v>
      </c>
      <c r="M3" s="143" t="s">
        <v>340</v>
      </c>
      <c r="N3" s="143" t="s">
        <v>314</v>
      </c>
      <c r="O3" s="143" t="s">
        <v>339</v>
      </c>
      <c r="P3" s="144">
        <v>3.51</v>
      </c>
      <c r="Q3" s="146">
        <v>5.0000000000000001E-4</v>
      </c>
      <c r="R3" s="146">
        <v>2.6027999999999999E-2</v>
      </c>
      <c r="S3" s="143" t="s">
        <v>1224</v>
      </c>
      <c r="T3" s="143" t="s">
        <v>413</v>
      </c>
      <c r="U3" s="143" t="s">
        <v>407</v>
      </c>
      <c r="V3" s="143" t="s">
        <v>1210</v>
      </c>
      <c r="W3" s="144">
        <v>83633.11</v>
      </c>
      <c r="X3" s="145" t="s">
        <v>3876</v>
      </c>
      <c r="Y3" s="143" t="s">
        <v>3056</v>
      </c>
      <c r="Z3" s="144">
        <v>86.309399999999997</v>
      </c>
      <c r="AA3" s="146">
        <v>1</v>
      </c>
      <c r="AB3" s="147">
        <v>3.0020950026000853E-3</v>
      </c>
      <c r="AC3" s="181"/>
    </row>
    <row r="4" spans="1:29" ht="15" x14ac:dyDescent="0.2">
      <c r="A4" s="142" t="s">
        <v>1205</v>
      </c>
      <c r="B4" s="143" t="s">
        <v>1215</v>
      </c>
      <c r="C4" s="143" t="s">
        <v>3052</v>
      </c>
      <c r="D4" s="143" t="s">
        <v>3053</v>
      </c>
      <c r="E4" s="143" t="s">
        <v>309</v>
      </c>
      <c r="F4" s="143" t="s">
        <v>3054</v>
      </c>
      <c r="G4" s="143" t="s">
        <v>3055</v>
      </c>
      <c r="H4" s="143" t="s">
        <v>321</v>
      </c>
      <c r="I4" s="143" t="s">
        <v>975</v>
      </c>
      <c r="J4" s="143" t="s">
        <v>204</v>
      </c>
      <c r="K4" s="143" t="s">
        <v>204</v>
      </c>
      <c r="L4" s="143" t="s">
        <v>325</v>
      </c>
      <c r="M4" s="143" t="s">
        <v>340</v>
      </c>
      <c r="N4" s="143" t="s">
        <v>314</v>
      </c>
      <c r="O4" s="143" t="s">
        <v>339</v>
      </c>
      <c r="P4" s="144">
        <v>3.51</v>
      </c>
      <c r="Q4" s="146">
        <v>5.0000000000000001E-4</v>
      </c>
      <c r="R4" s="146">
        <v>2.6027999999999999E-2</v>
      </c>
      <c r="S4" s="143" t="s">
        <v>1224</v>
      </c>
      <c r="T4" s="143" t="s">
        <v>413</v>
      </c>
      <c r="U4" s="143" t="s">
        <v>407</v>
      </c>
      <c r="V4" s="143" t="s">
        <v>1210</v>
      </c>
      <c r="W4" s="144">
        <v>13271.4</v>
      </c>
      <c r="X4" s="145" t="s">
        <v>3876</v>
      </c>
      <c r="Y4" s="143" t="s">
        <v>3056</v>
      </c>
      <c r="Z4" s="144">
        <v>13.696099999999999</v>
      </c>
      <c r="AA4" s="146">
        <v>1</v>
      </c>
      <c r="AB4" s="147">
        <v>6.5034514355725775E-3</v>
      </c>
      <c r="AC4" s="181"/>
    </row>
    <row r="5" spans="1:29" ht="15" x14ac:dyDescent="0.2">
      <c r="A5" s="142" t="s">
        <v>1205</v>
      </c>
      <c r="B5" s="143" t="s">
        <v>1205</v>
      </c>
      <c r="C5" s="143" t="s">
        <v>3052</v>
      </c>
      <c r="D5" s="143" t="s">
        <v>3053</v>
      </c>
      <c r="E5" s="143" t="s">
        <v>309</v>
      </c>
      <c r="F5" s="143" t="s">
        <v>3054</v>
      </c>
      <c r="G5" s="143" t="s">
        <v>3055</v>
      </c>
      <c r="H5" s="143" t="s">
        <v>321</v>
      </c>
      <c r="I5" s="143" t="s">
        <v>975</v>
      </c>
      <c r="J5" s="143" t="s">
        <v>204</v>
      </c>
      <c r="K5" s="143" t="s">
        <v>204</v>
      </c>
      <c r="L5" s="143" t="s">
        <v>325</v>
      </c>
      <c r="M5" s="143" t="s">
        <v>340</v>
      </c>
      <c r="N5" s="143" t="s">
        <v>314</v>
      </c>
      <c r="O5" s="143" t="s">
        <v>339</v>
      </c>
      <c r="P5" s="144">
        <v>3.51</v>
      </c>
      <c r="Q5" s="146">
        <v>5.0000000000000001E-4</v>
      </c>
      <c r="R5" s="146">
        <v>2.6027999999999999E-2</v>
      </c>
      <c r="S5" s="143" t="s">
        <v>1224</v>
      </c>
      <c r="T5" s="143" t="s">
        <v>413</v>
      </c>
      <c r="U5" s="143" t="s">
        <v>407</v>
      </c>
      <c r="V5" s="143" t="s">
        <v>1210</v>
      </c>
      <c r="W5" s="144">
        <v>4927250.62</v>
      </c>
      <c r="X5" s="145" t="s">
        <v>3876</v>
      </c>
      <c r="Y5" s="143" t="s">
        <v>3056</v>
      </c>
      <c r="Z5" s="144">
        <v>5084.9225999999999</v>
      </c>
      <c r="AA5" s="146">
        <v>0.94306281342541465</v>
      </c>
      <c r="AB5" s="147">
        <v>5.1140224857048151E-3</v>
      </c>
      <c r="AC5" s="181"/>
    </row>
    <row r="6" spans="1:29" ht="15" x14ac:dyDescent="0.2">
      <c r="A6" s="142" t="s">
        <v>1205</v>
      </c>
      <c r="B6" s="143" t="s">
        <v>1205</v>
      </c>
      <c r="C6" s="143" t="s">
        <v>3052</v>
      </c>
      <c r="D6" s="143" t="s">
        <v>3053</v>
      </c>
      <c r="E6" s="143" t="s">
        <v>309</v>
      </c>
      <c r="F6" s="143" t="s">
        <v>3057</v>
      </c>
      <c r="G6" s="143" t="s">
        <v>3058</v>
      </c>
      <c r="H6" s="143" t="s">
        <v>321</v>
      </c>
      <c r="I6" s="143" t="s">
        <v>975</v>
      </c>
      <c r="J6" s="143" t="s">
        <v>204</v>
      </c>
      <c r="K6" s="143" t="s">
        <v>204</v>
      </c>
      <c r="L6" s="143" t="s">
        <v>325</v>
      </c>
      <c r="M6" s="143" t="s">
        <v>340</v>
      </c>
      <c r="N6" s="143" t="s">
        <v>314</v>
      </c>
      <c r="O6" s="143" t="s">
        <v>339</v>
      </c>
      <c r="P6" s="144">
        <v>1.68</v>
      </c>
      <c r="Q6" s="146">
        <v>6.2262100000000001E-2</v>
      </c>
      <c r="R6" s="146">
        <v>5.6474999999999997E-2</v>
      </c>
      <c r="S6" s="143" t="s">
        <v>1224</v>
      </c>
      <c r="T6" s="143" t="s">
        <v>413</v>
      </c>
      <c r="U6" s="143" t="s">
        <v>407</v>
      </c>
      <c r="V6" s="143" t="s">
        <v>1210</v>
      </c>
      <c r="W6" s="144">
        <v>274108</v>
      </c>
      <c r="X6" s="145" t="s">
        <v>3876</v>
      </c>
      <c r="Y6" s="143" t="s">
        <v>3059</v>
      </c>
      <c r="Z6" s="144">
        <v>307.00099999999998</v>
      </c>
      <c r="AA6" s="146">
        <v>5.6937186574585359E-2</v>
      </c>
      <c r="AB6" s="147">
        <v>3.0875785607278498E-4</v>
      </c>
      <c r="AC6" s="181"/>
    </row>
    <row r="7" spans="1:29" ht="15" x14ac:dyDescent="0.2">
      <c r="A7" s="142" t="s">
        <v>1220</v>
      </c>
      <c r="B7" s="143" t="s">
        <v>1221</v>
      </c>
      <c r="C7" s="143" t="s">
        <v>3052</v>
      </c>
      <c r="D7" s="143" t="s">
        <v>3053</v>
      </c>
      <c r="E7" s="143" t="s">
        <v>309</v>
      </c>
      <c r="F7" s="143" t="s">
        <v>3054</v>
      </c>
      <c r="G7" s="143" t="s">
        <v>3055</v>
      </c>
      <c r="H7" s="143" t="s">
        <v>321</v>
      </c>
      <c r="I7" s="143" t="s">
        <v>975</v>
      </c>
      <c r="J7" s="143" t="s">
        <v>204</v>
      </c>
      <c r="K7" s="143" t="s">
        <v>204</v>
      </c>
      <c r="L7" s="143" t="s">
        <v>325</v>
      </c>
      <c r="M7" s="143" t="s">
        <v>340</v>
      </c>
      <c r="N7" s="143" t="s">
        <v>314</v>
      </c>
      <c r="O7" s="143" t="s">
        <v>339</v>
      </c>
      <c r="P7" s="144">
        <v>3.51</v>
      </c>
      <c r="Q7" s="146">
        <v>5.0000000000000001E-4</v>
      </c>
      <c r="R7" s="146">
        <v>2.6027999999999999E-2</v>
      </c>
      <c r="S7" s="143" t="s">
        <v>1224</v>
      </c>
      <c r="T7" s="143" t="s">
        <v>413</v>
      </c>
      <c r="U7" s="143" t="s">
        <v>407</v>
      </c>
      <c r="V7" s="143" t="s">
        <v>1210</v>
      </c>
      <c r="W7" s="144">
        <v>3669816.64</v>
      </c>
      <c r="X7" s="145" t="s">
        <v>3876</v>
      </c>
      <c r="Y7" s="143" t="s">
        <v>3056</v>
      </c>
      <c r="Z7" s="144">
        <v>3787.2507999999998</v>
      </c>
      <c r="AA7" s="146">
        <v>1</v>
      </c>
      <c r="AB7" s="147">
        <v>3.4482021826028461E-3</v>
      </c>
      <c r="AC7" s="181"/>
    </row>
    <row r="8" spans="1:29" ht="15" x14ac:dyDescent="0.2">
      <c r="A8" s="142" t="s">
        <v>1220</v>
      </c>
      <c r="B8" s="143" t="s">
        <v>1222</v>
      </c>
      <c r="C8" s="143" t="s">
        <v>3052</v>
      </c>
      <c r="D8" s="143" t="s">
        <v>3053</v>
      </c>
      <c r="E8" s="143" t="s">
        <v>309</v>
      </c>
      <c r="F8" s="143" t="s">
        <v>3054</v>
      </c>
      <c r="G8" s="143" t="s">
        <v>3055</v>
      </c>
      <c r="H8" s="143" t="s">
        <v>321</v>
      </c>
      <c r="I8" s="143" t="s">
        <v>975</v>
      </c>
      <c r="J8" s="143" t="s">
        <v>204</v>
      </c>
      <c r="K8" s="143" t="s">
        <v>204</v>
      </c>
      <c r="L8" s="143" t="s">
        <v>325</v>
      </c>
      <c r="M8" s="143" t="s">
        <v>340</v>
      </c>
      <c r="N8" s="143" t="s">
        <v>314</v>
      </c>
      <c r="O8" s="143" t="s">
        <v>339</v>
      </c>
      <c r="P8" s="144">
        <v>3.51</v>
      </c>
      <c r="Q8" s="146">
        <v>5.0000000000000001E-4</v>
      </c>
      <c r="R8" s="146">
        <v>2.6027999999999999E-2</v>
      </c>
      <c r="S8" s="143" t="s">
        <v>1224</v>
      </c>
      <c r="T8" s="143" t="s">
        <v>413</v>
      </c>
      <c r="U8" s="143" t="s">
        <v>407</v>
      </c>
      <c r="V8" s="143" t="s">
        <v>1210</v>
      </c>
      <c r="W8" s="144">
        <v>119324.88</v>
      </c>
      <c r="X8" s="145" t="s">
        <v>3876</v>
      </c>
      <c r="Y8" s="143" t="s">
        <v>3056</v>
      </c>
      <c r="Z8" s="144">
        <v>123.1433</v>
      </c>
      <c r="AA8" s="146">
        <v>1</v>
      </c>
      <c r="AB8" s="147">
        <v>1.014042863000305E-2</v>
      </c>
      <c r="AC8" s="181"/>
    </row>
    <row r="9" spans="1:29" ht="15" x14ac:dyDescent="0.2">
      <c r="A9" s="142" t="s">
        <v>1220</v>
      </c>
      <c r="B9" s="143" t="s">
        <v>1220</v>
      </c>
      <c r="C9" s="143" t="s">
        <v>3052</v>
      </c>
      <c r="D9" s="143" t="s">
        <v>3053</v>
      </c>
      <c r="E9" s="143" t="s">
        <v>309</v>
      </c>
      <c r="F9" s="143" t="s">
        <v>3054</v>
      </c>
      <c r="G9" s="143" t="s">
        <v>3055</v>
      </c>
      <c r="H9" s="143" t="s">
        <v>321</v>
      </c>
      <c r="I9" s="143" t="s">
        <v>975</v>
      </c>
      <c r="J9" s="143" t="s">
        <v>204</v>
      </c>
      <c r="K9" s="143" t="s">
        <v>204</v>
      </c>
      <c r="L9" s="143" t="s">
        <v>325</v>
      </c>
      <c r="M9" s="143" t="s">
        <v>340</v>
      </c>
      <c r="N9" s="143" t="s">
        <v>314</v>
      </c>
      <c r="O9" s="143" t="s">
        <v>339</v>
      </c>
      <c r="P9" s="144">
        <v>3.51</v>
      </c>
      <c r="Q9" s="146">
        <v>5.0000000000000001E-4</v>
      </c>
      <c r="R9" s="146">
        <v>2.6027999999999999E-2</v>
      </c>
      <c r="S9" s="143" t="s">
        <v>1224</v>
      </c>
      <c r="T9" s="143" t="s">
        <v>413</v>
      </c>
      <c r="U9" s="143" t="s">
        <v>407</v>
      </c>
      <c r="V9" s="143" t="s">
        <v>1210</v>
      </c>
      <c r="W9" s="144">
        <v>113915038.68000001</v>
      </c>
      <c r="X9" s="145" t="s">
        <v>3876</v>
      </c>
      <c r="Y9" s="143" t="s">
        <v>3056</v>
      </c>
      <c r="Z9" s="144">
        <v>117560.3199</v>
      </c>
      <c r="AA9" s="146">
        <v>0.9454165512926348</v>
      </c>
      <c r="AB9" s="147">
        <v>5.2095761037810719E-3</v>
      </c>
      <c r="AC9" s="181"/>
    </row>
    <row r="10" spans="1:29" ht="15" x14ac:dyDescent="0.2">
      <c r="A10" s="148" t="s">
        <v>1220</v>
      </c>
      <c r="B10" s="149" t="s">
        <v>1220</v>
      </c>
      <c r="C10" s="149" t="s">
        <v>3052</v>
      </c>
      <c r="D10" s="149" t="s">
        <v>3053</v>
      </c>
      <c r="E10" s="149" t="s">
        <v>309</v>
      </c>
      <c r="F10" s="149" t="s">
        <v>3057</v>
      </c>
      <c r="G10" s="149" t="s">
        <v>3058</v>
      </c>
      <c r="H10" s="149" t="s">
        <v>321</v>
      </c>
      <c r="I10" s="149" t="s">
        <v>975</v>
      </c>
      <c r="J10" s="149" t="s">
        <v>204</v>
      </c>
      <c r="K10" s="149" t="s">
        <v>204</v>
      </c>
      <c r="L10" s="149" t="s">
        <v>325</v>
      </c>
      <c r="M10" s="149" t="s">
        <v>340</v>
      </c>
      <c r="N10" s="149" t="s">
        <v>314</v>
      </c>
      <c r="O10" s="149" t="s">
        <v>339</v>
      </c>
      <c r="P10" s="150">
        <v>1.68</v>
      </c>
      <c r="Q10" s="152">
        <v>6.2262100000000001E-2</v>
      </c>
      <c r="R10" s="152">
        <v>5.6474999999999997E-2</v>
      </c>
      <c r="S10" s="149" t="s">
        <v>1224</v>
      </c>
      <c r="T10" s="149" t="s">
        <v>413</v>
      </c>
      <c r="U10" s="149" t="s">
        <v>407</v>
      </c>
      <c r="V10" s="149" t="s">
        <v>1210</v>
      </c>
      <c r="W10" s="150">
        <v>6060110</v>
      </c>
      <c r="X10" s="151" t="s">
        <v>3876</v>
      </c>
      <c r="Y10" s="149" t="s">
        <v>3059</v>
      </c>
      <c r="Z10" s="150">
        <v>6787.3231999999998</v>
      </c>
      <c r="AA10" s="152">
        <v>5.4583448707365152E-2</v>
      </c>
      <c r="AB10" s="153">
        <v>3.007739071830914E-4</v>
      </c>
      <c r="AC10" s="181"/>
    </row>
    <row r="11" spans="1:29" x14ac:dyDescent="0.2">
      <c r="A11" s="185" t="s">
        <v>3893</v>
      </c>
      <c r="B11" s="185"/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5"/>
      <c r="R11" s="185"/>
      <c r="S11" s="185"/>
      <c r="T11" s="185"/>
      <c r="U11" s="185"/>
      <c r="V11" s="185"/>
      <c r="W11" s="185"/>
      <c r="X11" s="185"/>
      <c r="Y11" s="185"/>
      <c r="Z11" s="185"/>
      <c r="AA11" s="185"/>
      <c r="AB11" s="185"/>
    </row>
    <row r="12" spans="1:29" x14ac:dyDescent="0.2">
      <c r="A12" s="99" t="s">
        <v>3892</v>
      </c>
      <c r="B12" s="99"/>
      <c r="C12" s="99"/>
      <c r="D12" s="99"/>
      <c r="E12" s="16"/>
      <c r="F12" s="99"/>
      <c r="G12" s="99"/>
      <c r="H12" s="16"/>
      <c r="I12" s="99"/>
      <c r="J12" s="16"/>
      <c r="K12" s="16"/>
      <c r="L12" s="99"/>
      <c r="M12" s="16"/>
      <c r="N12" s="99"/>
      <c r="O12" s="99"/>
      <c r="P12" s="99"/>
      <c r="Q12" s="99"/>
      <c r="R12" s="99"/>
      <c r="S12" s="99"/>
      <c r="T12" s="99"/>
      <c r="U12" s="99"/>
      <c r="V12" s="16"/>
      <c r="W12" s="99"/>
      <c r="X12" s="99"/>
      <c r="Y12" s="99"/>
      <c r="Z12" s="99"/>
      <c r="AA12" s="99"/>
      <c r="AB12" s="99"/>
    </row>
    <row r="13" spans="1:29" x14ac:dyDescent="0.2">
      <c r="A13" s="179"/>
      <c r="B13" s="99"/>
      <c r="C13" s="99"/>
      <c r="D13" s="99"/>
      <c r="E13" s="16"/>
      <c r="F13" s="99"/>
      <c r="G13" s="99"/>
      <c r="H13" s="16"/>
      <c r="I13" s="99"/>
      <c r="J13" s="16"/>
      <c r="K13" s="16"/>
      <c r="L13" s="99"/>
      <c r="M13" s="16"/>
      <c r="N13" s="99"/>
      <c r="O13" s="99"/>
      <c r="P13" s="99"/>
      <c r="Q13" s="99"/>
      <c r="R13" s="99"/>
      <c r="S13" s="99"/>
      <c r="T13" s="99"/>
      <c r="U13" s="99"/>
      <c r="V13" s="16"/>
      <c r="W13" s="99"/>
      <c r="X13" s="99"/>
      <c r="Y13" s="99"/>
      <c r="Z13" s="99"/>
      <c r="AA13" s="99"/>
      <c r="AB13" s="99"/>
    </row>
    <row r="14" spans="1:29" x14ac:dyDescent="0.2">
      <c r="A14" s="99"/>
      <c r="B14" s="99"/>
      <c r="C14" s="99"/>
      <c r="D14" s="99"/>
      <c r="E14" s="16"/>
      <c r="F14" s="99"/>
      <c r="G14" s="99"/>
      <c r="H14" s="16"/>
      <c r="I14" s="99"/>
      <c r="J14" s="16"/>
      <c r="K14" s="16"/>
      <c r="L14" s="99"/>
      <c r="M14" s="16"/>
      <c r="N14" s="99"/>
      <c r="O14" s="99"/>
      <c r="P14" s="99"/>
      <c r="Q14" s="99"/>
      <c r="R14" s="99"/>
      <c r="S14" s="99"/>
      <c r="T14" s="99"/>
      <c r="U14" s="99"/>
      <c r="V14" s="16"/>
      <c r="W14" s="99"/>
      <c r="X14" s="99"/>
      <c r="Y14" s="99"/>
      <c r="Z14" s="99"/>
      <c r="AA14" s="99"/>
      <c r="AB14" s="99"/>
    </row>
    <row r="15" spans="1:29" x14ac:dyDescent="0.2">
      <c r="A15" s="99"/>
      <c r="B15" s="99"/>
      <c r="C15" s="99"/>
      <c r="D15" s="99"/>
      <c r="E15" s="16"/>
      <c r="F15" s="99"/>
      <c r="G15" s="99"/>
      <c r="H15" s="16"/>
      <c r="I15" s="99"/>
      <c r="J15" s="16"/>
      <c r="K15" s="16"/>
      <c r="L15" s="99"/>
      <c r="M15" s="16"/>
      <c r="N15" s="99"/>
      <c r="O15" s="99"/>
      <c r="P15" s="99"/>
      <c r="Q15" s="99"/>
      <c r="R15" s="99"/>
      <c r="S15" s="99"/>
      <c r="T15" s="99"/>
      <c r="U15" s="99"/>
      <c r="V15" s="16"/>
      <c r="W15" s="99"/>
      <c r="X15" s="99"/>
      <c r="Y15" s="99"/>
      <c r="Z15" s="99"/>
      <c r="AA15" s="99"/>
      <c r="AB15" s="99"/>
    </row>
    <row r="16" spans="1:29" x14ac:dyDescent="0.2">
      <c r="A16" s="99"/>
      <c r="B16" s="99"/>
      <c r="C16" s="99"/>
      <c r="D16" s="99"/>
      <c r="E16" s="16"/>
      <c r="F16" s="99"/>
      <c r="G16" s="99"/>
      <c r="H16" s="16"/>
      <c r="I16" s="99"/>
      <c r="J16" s="16"/>
      <c r="K16" s="16"/>
      <c r="L16" s="99"/>
      <c r="M16" s="16"/>
      <c r="N16" s="99"/>
      <c r="O16" s="99"/>
      <c r="P16" s="99"/>
      <c r="Q16" s="99"/>
      <c r="R16" s="99"/>
      <c r="S16" s="99"/>
      <c r="T16" s="99"/>
      <c r="U16" s="99"/>
      <c r="V16" s="16"/>
      <c r="W16" s="99"/>
      <c r="X16" s="99"/>
      <c r="Y16" s="99"/>
      <c r="Z16" s="99"/>
      <c r="AA16" s="99"/>
      <c r="AB16" s="99"/>
    </row>
    <row r="17" spans="1:28" x14ac:dyDescent="0.2">
      <c r="A17" s="99"/>
      <c r="B17" s="99"/>
      <c r="C17" s="99"/>
      <c r="D17" s="99"/>
      <c r="E17" s="16"/>
      <c r="F17" s="99"/>
      <c r="G17" s="99"/>
      <c r="H17" s="16"/>
      <c r="I17" s="99"/>
      <c r="J17" s="16"/>
      <c r="K17" s="16"/>
      <c r="L17" s="99"/>
      <c r="M17" s="16"/>
      <c r="N17" s="99"/>
      <c r="O17" s="99"/>
      <c r="P17" s="99"/>
      <c r="Q17" s="99"/>
      <c r="R17" s="99"/>
      <c r="S17" s="99"/>
      <c r="T17" s="99"/>
      <c r="U17" s="99"/>
      <c r="V17" s="16"/>
      <c r="W17" s="99"/>
      <c r="X17" s="99"/>
      <c r="Y17" s="99"/>
      <c r="Z17" s="99"/>
      <c r="AA17" s="99"/>
      <c r="AB17" s="99"/>
    </row>
    <row r="18" spans="1:28" x14ac:dyDescent="0.2">
      <c r="A18" s="99"/>
      <c r="B18" s="99"/>
      <c r="C18" s="99"/>
      <c r="D18" s="99"/>
      <c r="E18" s="16"/>
      <c r="F18" s="99"/>
      <c r="G18" s="99"/>
      <c r="H18" s="16"/>
      <c r="I18" s="99"/>
      <c r="J18" s="16"/>
      <c r="K18" s="16"/>
      <c r="L18" s="99"/>
      <c r="M18" s="16"/>
      <c r="N18" s="99"/>
      <c r="O18" s="99"/>
      <c r="P18" s="99"/>
      <c r="Q18" s="99"/>
      <c r="R18" s="99"/>
      <c r="S18" s="99"/>
      <c r="T18" s="99"/>
      <c r="U18" s="99"/>
      <c r="V18" s="16"/>
      <c r="W18" s="99"/>
      <c r="X18" s="99"/>
      <c r="Y18" s="99"/>
      <c r="Z18" s="99"/>
      <c r="AA18" s="99"/>
      <c r="AB18" s="99"/>
    </row>
    <row r="19" spans="1:28" x14ac:dyDescent="0.2">
      <c r="A19" s="99"/>
      <c r="B19" s="99"/>
      <c r="C19" s="99"/>
      <c r="D19" s="99"/>
      <c r="E19" s="16"/>
      <c r="F19" s="99"/>
      <c r="G19" s="99"/>
      <c r="H19" s="16"/>
      <c r="I19" s="99"/>
      <c r="J19" s="16"/>
      <c r="K19" s="16"/>
      <c r="L19" s="99"/>
      <c r="M19" s="16"/>
      <c r="N19" s="99"/>
      <c r="O19" s="99"/>
      <c r="P19" s="99"/>
      <c r="Q19" s="99"/>
      <c r="R19" s="99"/>
      <c r="S19" s="99"/>
      <c r="T19" s="99"/>
      <c r="U19" s="99"/>
      <c r="V19" s="16"/>
      <c r="W19" s="99"/>
      <c r="X19" s="99"/>
      <c r="Y19" s="99"/>
      <c r="Z19" s="99"/>
      <c r="AA19" s="99"/>
      <c r="AB19" s="99"/>
    </row>
    <row r="20" spans="1:28" x14ac:dyDescent="0.2">
      <c r="A20" s="99"/>
      <c r="B20" s="99"/>
      <c r="C20" s="99"/>
      <c r="D20" s="99"/>
      <c r="E20" s="16"/>
      <c r="F20" s="99"/>
      <c r="G20" s="99"/>
      <c r="H20" s="16"/>
      <c r="I20" s="99"/>
      <c r="J20" s="16"/>
      <c r="K20" s="16"/>
      <c r="L20" s="99"/>
      <c r="M20" s="16"/>
      <c r="N20" s="99"/>
      <c r="O20" s="99"/>
      <c r="P20" s="99"/>
      <c r="Q20" s="99"/>
      <c r="R20" s="99"/>
      <c r="S20" s="99"/>
      <c r="T20" s="99"/>
      <c r="U20" s="99"/>
      <c r="V20" s="16"/>
      <c r="W20" s="99"/>
      <c r="X20" s="99"/>
      <c r="Y20" s="99"/>
      <c r="Z20" s="99"/>
      <c r="AA20" s="99"/>
      <c r="AB20" s="99"/>
    </row>
    <row r="21" spans="1:28" x14ac:dyDescent="0.2">
      <c r="A21" s="98"/>
      <c r="B21" s="98"/>
      <c r="C21" s="98"/>
      <c r="D21" s="98"/>
      <c r="E21" s="16"/>
      <c r="F21" s="98"/>
      <c r="G21" s="98"/>
      <c r="H21" s="16"/>
      <c r="I21" s="99"/>
      <c r="J21" s="16"/>
      <c r="K21" s="16"/>
      <c r="L21" s="99"/>
      <c r="M21" s="16"/>
      <c r="N21" s="99"/>
      <c r="O21" s="99"/>
      <c r="P21" s="98"/>
      <c r="Q21" s="98"/>
      <c r="R21" s="98"/>
      <c r="S21" s="98"/>
      <c r="T21" s="99"/>
      <c r="U21" s="99"/>
      <c r="V21" s="98"/>
      <c r="W21" s="98"/>
      <c r="X21" s="98"/>
      <c r="Y21" s="98"/>
      <c r="Z21" s="98"/>
      <c r="AA21" s="98"/>
      <c r="AB21" s="98"/>
    </row>
    <row r="22" spans="1:28" x14ac:dyDescent="0.2">
      <c r="A22" s="98"/>
      <c r="B22" s="98"/>
      <c r="C22" s="98"/>
      <c r="D22" s="98"/>
      <c r="E22"/>
      <c r="F22" s="98"/>
      <c r="G22" s="98"/>
      <c r="H22" s="4"/>
      <c r="I22" s="98"/>
      <c r="J22" s="98"/>
      <c r="K22" s="98"/>
      <c r="L22" s="98"/>
      <c r="M22" s="4"/>
      <c r="N22" s="99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</row>
    <row r="23" spans="1:28" x14ac:dyDescent="0.2">
      <c r="A23" s="98"/>
      <c r="B23" s="98"/>
      <c r="C23" s="98"/>
      <c r="D23" s="98"/>
      <c r="F23" s="98"/>
      <c r="G23" s="98"/>
      <c r="H23" s="98"/>
      <c r="I23" s="98"/>
      <c r="J23" s="98"/>
      <c r="K23" s="98"/>
      <c r="L23" s="98"/>
      <c r="M23" s="4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1:AB11"/>
    <mergeCell ref="AC2:AC10"/>
  </mergeCells>
  <dataValidations count="10">
    <dataValidation type="list" allowBlank="1" showInputMessage="1" showErrorMessage="1" sqref="J3:J10 J12:J21">
      <formula1>israel_abroad</formula1>
    </dataValidation>
    <dataValidation type="list" allowBlank="1" showInputMessage="1" showErrorMessage="1" sqref="O3:O10 O12:O21">
      <formula1>Holding_interest</formula1>
    </dataValidation>
    <dataValidation type="list" allowBlank="1" showInputMessage="1" showErrorMessage="1" sqref="U3:U10 U12:U21">
      <formula1>What_is_rated</formula1>
    </dataValidation>
    <dataValidation type="list" allowBlank="1" showInputMessage="1" showErrorMessage="1" sqref="T3:T10 T12:T21">
      <formula1>Rating_Agency</formula1>
    </dataValidation>
    <dataValidation type="list" allowBlank="1" showInputMessage="1" showErrorMessage="1" sqref="K3:K10 K12:K21">
      <formula1>Country_list</formula1>
    </dataValidation>
    <dataValidation type="list" allowBlank="1" showInputMessage="1" showErrorMessage="1" sqref="E3:E10 E12:E21">
      <formula1>Issuer_Type_TFunds</formula1>
    </dataValidation>
    <dataValidation type="list" allowBlank="1" showInputMessage="1" showErrorMessage="1" sqref="N3:N10 N12:N22">
      <formula1>Underlying_Asset_Structured</formula1>
    </dataValidation>
    <dataValidation type="list" allowBlank="1" showInputMessage="1" showErrorMessage="1" sqref="H3:H10 H12:H21">
      <formula1>Security_ID_Number_Type</formula1>
    </dataValidation>
    <dataValidation type="list" allowBlank="1" showInputMessage="1" showErrorMessage="1" sqref="L3:L10 L12:L21">
      <formula1>Tradeable_Status</formula1>
    </dataValidation>
    <dataValidation type="list" allowBlank="1" showInputMessage="1" showErrorMessage="1" sqref="M3:M10 M12:M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בחירה'!$C$906:$C$911</xm:f>
          </x14:formula1>
          <xm:sqref>I3:I10 I12:I21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A22"/>
  <sheetViews>
    <sheetView rightToLeft="1" workbookViewId="0"/>
  </sheetViews>
  <sheetFormatPr defaultRowHeight="14.25" x14ac:dyDescent="0.2"/>
  <cols>
    <col min="1" max="1" width="29.375" customWidth="1"/>
    <col min="2" max="2" width="11.125" customWidth="1"/>
    <col min="3" max="3" width="9.625" customWidth="1"/>
    <col min="4" max="4" width="11.125" customWidth="1"/>
    <col min="5" max="5" width="12.75" customWidth="1"/>
    <col min="6" max="6" width="15.5" customWidth="1"/>
    <col min="7" max="7" width="11.5" customWidth="1"/>
    <col min="8" max="8" width="10.625" customWidth="1"/>
    <col min="9" max="9" width="19.875" style="2" customWidth="1"/>
    <col min="10" max="10" width="12" customWidth="1"/>
    <col min="11" max="11" width="6.25" customWidth="1"/>
    <col min="12" max="12" width="9" customWidth="1"/>
    <col min="13" max="13" width="11.75" customWidth="1"/>
    <col min="14" max="14" width="6.5" customWidth="1"/>
    <col min="15" max="15" width="9.875" customWidth="1"/>
    <col min="16" max="16" width="11.125" customWidth="1"/>
    <col min="17" max="17" width="12.25" customWidth="1"/>
    <col min="18" max="18" width="14.875" customWidth="1"/>
    <col min="19" max="19" width="10.5" customWidth="1"/>
    <col min="20" max="20" width="12.875" customWidth="1"/>
    <col min="21" max="21" width="17.875" customWidth="1"/>
    <col min="22" max="22" width="21.375" customWidth="1"/>
    <col min="23" max="23" width="22" customWidth="1"/>
    <col min="24" max="24" width="21.75" style="2" customWidth="1"/>
    <col min="25" max="25" width="20.125" customWidth="1"/>
  </cols>
  <sheetData>
    <row r="1" spans="1:27" x14ac:dyDescent="0.2">
      <c r="A1" t="s">
        <v>3908</v>
      </c>
    </row>
    <row r="2" spans="1:27" ht="66.75" customHeight="1" x14ac:dyDescent="0.2">
      <c r="A2" s="139" t="s">
        <v>49</v>
      </c>
      <c r="B2" s="140" t="s">
        <v>50</v>
      </c>
      <c r="C2" s="140" t="s">
        <v>66</v>
      </c>
      <c r="D2" s="140" t="s">
        <v>67</v>
      </c>
      <c r="E2" s="140" t="s">
        <v>68</v>
      </c>
      <c r="F2" s="140" t="s">
        <v>82</v>
      </c>
      <c r="G2" s="140" t="s">
        <v>54</v>
      </c>
      <c r="H2" s="140" t="s">
        <v>55</v>
      </c>
      <c r="I2" s="140" t="s">
        <v>69</v>
      </c>
      <c r="J2" s="140" t="s">
        <v>97</v>
      </c>
      <c r="K2" s="140" t="s">
        <v>71</v>
      </c>
      <c r="L2" s="140" t="s">
        <v>58</v>
      </c>
      <c r="M2" s="140" t="s">
        <v>59</v>
      </c>
      <c r="N2" s="140" t="s">
        <v>72</v>
      </c>
      <c r="O2" s="140" t="s">
        <v>73</v>
      </c>
      <c r="P2" s="140" t="s">
        <v>62</v>
      </c>
      <c r="Q2" s="140" t="s">
        <v>74</v>
      </c>
      <c r="R2" s="140" t="s">
        <v>76</v>
      </c>
      <c r="S2" s="140" t="s">
        <v>61</v>
      </c>
      <c r="T2" s="140" t="s">
        <v>77</v>
      </c>
      <c r="U2" s="140" t="s">
        <v>63</v>
      </c>
      <c r="V2" s="140" t="s">
        <v>78</v>
      </c>
      <c r="W2" s="140" t="s">
        <v>17</v>
      </c>
      <c r="X2" s="140" t="s">
        <v>64</v>
      </c>
      <c r="Y2" s="141" t="s">
        <v>65</v>
      </c>
      <c r="Z2" s="186" t="s">
        <v>3894</v>
      </c>
    </row>
    <row r="3" spans="1:27" ht="15" x14ac:dyDescent="0.2">
      <c r="A3" s="154" t="s">
        <v>1205</v>
      </c>
      <c r="B3" s="155" t="s">
        <v>1206</v>
      </c>
      <c r="C3" s="145" t="s">
        <v>3876</v>
      </c>
      <c r="D3" s="145" t="s">
        <v>3876</v>
      </c>
      <c r="E3" s="145" t="s">
        <v>3876</v>
      </c>
      <c r="F3" s="145" t="s">
        <v>3876</v>
      </c>
      <c r="G3" s="145" t="s">
        <v>3876</v>
      </c>
      <c r="H3" s="145" t="s">
        <v>3876</v>
      </c>
      <c r="I3" s="145" t="s">
        <v>3876</v>
      </c>
      <c r="J3" s="145" t="s">
        <v>3876</v>
      </c>
      <c r="K3" s="145" t="s">
        <v>3876</v>
      </c>
      <c r="L3" s="145" t="s">
        <v>3876</v>
      </c>
      <c r="M3" s="145" t="s">
        <v>3876</v>
      </c>
      <c r="N3" s="145" t="s">
        <v>3876</v>
      </c>
      <c r="O3" s="145" t="s">
        <v>3876</v>
      </c>
      <c r="P3" s="145" t="s">
        <v>3876</v>
      </c>
      <c r="Q3" s="145" t="s">
        <v>3876</v>
      </c>
      <c r="R3" s="145" t="s">
        <v>3876</v>
      </c>
      <c r="S3" s="145" t="s">
        <v>3876</v>
      </c>
      <c r="T3" s="145" t="s">
        <v>3876</v>
      </c>
      <c r="U3" s="145" t="s">
        <v>3876</v>
      </c>
      <c r="V3" s="145" t="s">
        <v>3876</v>
      </c>
      <c r="W3" s="145" t="s">
        <v>3876</v>
      </c>
      <c r="X3" s="145" t="s">
        <v>3876</v>
      </c>
      <c r="Y3" s="156" t="s">
        <v>3876</v>
      </c>
      <c r="Z3" s="186"/>
    </row>
    <row r="4" spans="1:27" ht="15" x14ac:dyDescent="0.2">
      <c r="A4" s="154" t="s">
        <v>1205</v>
      </c>
      <c r="B4" s="155" t="s">
        <v>1215</v>
      </c>
      <c r="C4" s="145" t="s">
        <v>3876</v>
      </c>
      <c r="D4" s="145" t="s">
        <v>3876</v>
      </c>
      <c r="E4" s="145" t="s">
        <v>3876</v>
      </c>
      <c r="F4" s="145" t="s">
        <v>3876</v>
      </c>
      <c r="G4" s="145" t="s">
        <v>3876</v>
      </c>
      <c r="H4" s="145" t="s">
        <v>3876</v>
      </c>
      <c r="I4" s="145" t="s">
        <v>3876</v>
      </c>
      <c r="J4" s="145" t="s">
        <v>3876</v>
      </c>
      <c r="K4" s="145" t="s">
        <v>3876</v>
      </c>
      <c r="L4" s="145" t="s">
        <v>3876</v>
      </c>
      <c r="M4" s="145" t="s">
        <v>3876</v>
      </c>
      <c r="N4" s="145" t="s">
        <v>3876</v>
      </c>
      <c r="O4" s="145" t="s">
        <v>3876</v>
      </c>
      <c r="P4" s="145" t="s">
        <v>3876</v>
      </c>
      <c r="Q4" s="145" t="s">
        <v>3876</v>
      </c>
      <c r="R4" s="145" t="s">
        <v>3876</v>
      </c>
      <c r="S4" s="145" t="s">
        <v>3876</v>
      </c>
      <c r="T4" s="145" t="s">
        <v>3876</v>
      </c>
      <c r="U4" s="145" t="s">
        <v>3876</v>
      </c>
      <c r="V4" s="145" t="s">
        <v>3876</v>
      </c>
      <c r="W4" s="145" t="s">
        <v>3876</v>
      </c>
      <c r="X4" s="145" t="s">
        <v>3876</v>
      </c>
      <c r="Y4" s="156" t="s">
        <v>3876</v>
      </c>
      <c r="Z4" s="186"/>
    </row>
    <row r="5" spans="1:27" ht="15" x14ac:dyDescent="0.2">
      <c r="A5" s="154" t="s">
        <v>1205</v>
      </c>
      <c r="B5" s="155" t="s">
        <v>1205</v>
      </c>
      <c r="C5" s="145" t="s">
        <v>3876</v>
      </c>
      <c r="D5" s="145" t="s">
        <v>3876</v>
      </c>
      <c r="E5" s="145" t="s">
        <v>3876</v>
      </c>
      <c r="F5" s="145" t="s">
        <v>3876</v>
      </c>
      <c r="G5" s="145" t="s">
        <v>3876</v>
      </c>
      <c r="H5" s="145" t="s">
        <v>3876</v>
      </c>
      <c r="I5" s="145" t="s">
        <v>3876</v>
      </c>
      <c r="J5" s="145" t="s">
        <v>3876</v>
      </c>
      <c r="K5" s="145" t="s">
        <v>3876</v>
      </c>
      <c r="L5" s="145" t="s">
        <v>3876</v>
      </c>
      <c r="M5" s="145" t="s">
        <v>3876</v>
      </c>
      <c r="N5" s="145" t="s">
        <v>3876</v>
      </c>
      <c r="O5" s="145" t="s">
        <v>3876</v>
      </c>
      <c r="P5" s="145" t="s">
        <v>3876</v>
      </c>
      <c r="Q5" s="145" t="s">
        <v>3876</v>
      </c>
      <c r="R5" s="145" t="s">
        <v>3876</v>
      </c>
      <c r="S5" s="145" t="s">
        <v>3876</v>
      </c>
      <c r="T5" s="145" t="s">
        <v>3876</v>
      </c>
      <c r="U5" s="145" t="s">
        <v>3876</v>
      </c>
      <c r="V5" s="145" t="s">
        <v>3876</v>
      </c>
      <c r="W5" s="145" t="s">
        <v>3876</v>
      </c>
      <c r="X5" s="145" t="s">
        <v>3876</v>
      </c>
      <c r="Y5" s="156" t="s">
        <v>3876</v>
      </c>
      <c r="Z5" s="186"/>
    </row>
    <row r="6" spans="1:27" ht="15" x14ac:dyDescent="0.2">
      <c r="A6" s="154" t="s">
        <v>1220</v>
      </c>
      <c r="B6" s="155" t="s">
        <v>1221</v>
      </c>
      <c r="C6" s="145" t="s">
        <v>3876</v>
      </c>
      <c r="D6" s="145" t="s">
        <v>3876</v>
      </c>
      <c r="E6" s="145" t="s">
        <v>3876</v>
      </c>
      <c r="F6" s="145" t="s">
        <v>3876</v>
      </c>
      <c r="G6" s="145" t="s">
        <v>3876</v>
      </c>
      <c r="H6" s="145" t="s">
        <v>3876</v>
      </c>
      <c r="I6" s="145" t="s">
        <v>3876</v>
      </c>
      <c r="J6" s="145" t="s">
        <v>3876</v>
      </c>
      <c r="K6" s="145" t="s">
        <v>3876</v>
      </c>
      <c r="L6" s="145" t="s">
        <v>3876</v>
      </c>
      <c r="M6" s="145" t="s">
        <v>3876</v>
      </c>
      <c r="N6" s="145" t="s">
        <v>3876</v>
      </c>
      <c r="O6" s="145" t="s">
        <v>3876</v>
      </c>
      <c r="P6" s="145" t="s">
        <v>3876</v>
      </c>
      <c r="Q6" s="145" t="s">
        <v>3876</v>
      </c>
      <c r="R6" s="145" t="s">
        <v>3876</v>
      </c>
      <c r="S6" s="145" t="s">
        <v>3876</v>
      </c>
      <c r="T6" s="145" t="s">
        <v>3876</v>
      </c>
      <c r="U6" s="145" t="s">
        <v>3876</v>
      </c>
      <c r="V6" s="145" t="s">
        <v>3876</v>
      </c>
      <c r="W6" s="145" t="s">
        <v>3876</v>
      </c>
      <c r="X6" s="145" t="s">
        <v>3876</v>
      </c>
      <c r="Y6" s="156" t="s">
        <v>3876</v>
      </c>
      <c r="Z6" s="186"/>
      <c r="AA6" s="99"/>
    </row>
    <row r="7" spans="1:27" ht="15" x14ac:dyDescent="0.2">
      <c r="A7" s="154" t="s">
        <v>1220</v>
      </c>
      <c r="B7" s="155" t="s">
        <v>1222</v>
      </c>
      <c r="C7" s="145" t="s">
        <v>3876</v>
      </c>
      <c r="D7" s="145" t="s">
        <v>3876</v>
      </c>
      <c r="E7" s="145" t="s">
        <v>3876</v>
      </c>
      <c r="F7" s="145" t="s">
        <v>3876</v>
      </c>
      <c r="G7" s="145" t="s">
        <v>3876</v>
      </c>
      <c r="H7" s="145" t="s">
        <v>3876</v>
      </c>
      <c r="I7" s="145" t="s">
        <v>3876</v>
      </c>
      <c r="J7" s="145" t="s">
        <v>3876</v>
      </c>
      <c r="K7" s="145" t="s">
        <v>3876</v>
      </c>
      <c r="L7" s="145" t="s">
        <v>3876</v>
      </c>
      <c r="M7" s="145" t="s">
        <v>3876</v>
      </c>
      <c r="N7" s="145" t="s">
        <v>3876</v>
      </c>
      <c r="O7" s="145" t="s">
        <v>3876</v>
      </c>
      <c r="P7" s="145" t="s">
        <v>3876</v>
      </c>
      <c r="Q7" s="145" t="s">
        <v>3876</v>
      </c>
      <c r="R7" s="145" t="s">
        <v>3876</v>
      </c>
      <c r="S7" s="145" t="s">
        <v>3876</v>
      </c>
      <c r="T7" s="145" t="s">
        <v>3876</v>
      </c>
      <c r="U7" s="145" t="s">
        <v>3876</v>
      </c>
      <c r="V7" s="145" t="s">
        <v>3876</v>
      </c>
      <c r="W7" s="145" t="s">
        <v>3876</v>
      </c>
      <c r="X7" s="145" t="s">
        <v>3876</v>
      </c>
      <c r="Y7" s="156" t="s">
        <v>3876</v>
      </c>
      <c r="Z7" s="186"/>
    </row>
    <row r="8" spans="1:27" ht="15" x14ac:dyDescent="0.2">
      <c r="A8" s="157" t="s">
        <v>1220</v>
      </c>
      <c r="B8" s="158" t="s">
        <v>1220</v>
      </c>
      <c r="C8" s="151" t="s">
        <v>3876</v>
      </c>
      <c r="D8" s="151" t="s">
        <v>3876</v>
      </c>
      <c r="E8" s="151" t="s">
        <v>3876</v>
      </c>
      <c r="F8" s="151" t="s">
        <v>3876</v>
      </c>
      <c r="G8" s="151" t="s">
        <v>3876</v>
      </c>
      <c r="H8" s="151" t="s">
        <v>3876</v>
      </c>
      <c r="I8" s="151" t="s">
        <v>3876</v>
      </c>
      <c r="J8" s="151" t="s">
        <v>3876</v>
      </c>
      <c r="K8" s="151" t="s">
        <v>3876</v>
      </c>
      <c r="L8" s="151" t="s">
        <v>3876</v>
      </c>
      <c r="M8" s="151" t="s">
        <v>3876</v>
      </c>
      <c r="N8" s="151" t="s">
        <v>3876</v>
      </c>
      <c r="O8" s="151" t="s">
        <v>3876</v>
      </c>
      <c r="P8" s="151" t="s">
        <v>3876</v>
      </c>
      <c r="Q8" s="151" t="s">
        <v>3876</v>
      </c>
      <c r="R8" s="151" t="s">
        <v>3876</v>
      </c>
      <c r="S8" s="151" t="s">
        <v>3876</v>
      </c>
      <c r="T8" s="151" t="s">
        <v>3876</v>
      </c>
      <c r="U8" s="151" t="s">
        <v>3876</v>
      </c>
      <c r="V8" s="151" t="s">
        <v>3876</v>
      </c>
      <c r="W8" s="151" t="s">
        <v>3876</v>
      </c>
      <c r="X8" s="151" t="s">
        <v>3876</v>
      </c>
      <c r="Y8" s="159" t="s">
        <v>3876</v>
      </c>
      <c r="Z8" s="186"/>
    </row>
    <row r="9" spans="1:27" x14ac:dyDescent="0.2">
      <c r="A9" s="185" t="s">
        <v>3893</v>
      </c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</row>
    <row r="10" spans="1:27" x14ac:dyDescent="0.2">
      <c r="A10" s="99" t="s">
        <v>3892</v>
      </c>
      <c r="B10" s="99"/>
      <c r="C10" s="99"/>
      <c r="D10" s="99"/>
      <c r="E10" s="99"/>
      <c r="F10" s="99"/>
      <c r="G10" s="99"/>
      <c r="H10" s="16"/>
      <c r="I10" s="16"/>
      <c r="J10" s="99"/>
      <c r="K10" s="99"/>
      <c r="L10" s="99"/>
      <c r="M10" s="16"/>
      <c r="N10" s="99"/>
      <c r="O10" s="99"/>
      <c r="P10" s="99"/>
      <c r="Q10" s="99"/>
      <c r="R10" s="99"/>
      <c r="S10" s="99"/>
      <c r="T10" s="99"/>
      <c r="U10" s="99"/>
      <c r="V10" s="99"/>
      <c r="W10" s="16"/>
      <c r="X10" s="99"/>
      <c r="Y10" s="99"/>
    </row>
    <row r="11" spans="1:27" x14ac:dyDescent="0.2">
      <c r="A11" s="179"/>
      <c r="B11" s="99"/>
      <c r="C11" s="99"/>
      <c r="D11" s="99"/>
      <c r="E11" s="99"/>
      <c r="F11" s="99"/>
      <c r="G11" s="99"/>
      <c r="H11" s="16"/>
      <c r="I11" s="16"/>
      <c r="J11" s="99"/>
      <c r="K11" s="99"/>
      <c r="L11" s="99"/>
      <c r="M11" s="16"/>
      <c r="N11" s="99"/>
      <c r="O11" s="99"/>
      <c r="P11" s="99"/>
      <c r="Q11" s="99"/>
      <c r="R11" s="99"/>
      <c r="S11" s="99"/>
      <c r="T11" s="99"/>
      <c r="U11" s="99"/>
      <c r="V11" s="99"/>
      <c r="W11" s="16"/>
      <c r="X11" s="99"/>
      <c r="Y11" s="99"/>
    </row>
    <row r="12" spans="1:27" x14ac:dyDescent="0.2">
      <c r="A12" s="99"/>
      <c r="B12" s="99"/>
      <c r="C12" s="99"/>
      <c r="D12" s="99"/>
      <c r="E12" s="99"/>
      <c r="F12" s="99"/>
      <c r="G12" s="99"/>
      <c r="H12" s="16"/>
      <c r="I12" s="16"/>
      <c r="J12" s="99"/>
      <c r="K12" s="99"/>
      <c r="L12" s="99"/>
      <c r="M12" s="16"/>
      <c r="N12" s="99"/>
      <c r="O12" s="99"/>
      <c r="P12" s="99"/>
      <c r="Q12" s="99"/>
      <c r="R12" s="99"/>
      <c r="S12" s="99"/>
      <c r="T12" s="99"/>
      <c r="U12" s="99"/>
      <c r="V12" s="99"/>
      <c r="W12" s="16"/>
      <c r="X12" s="99"/>
      <c r="Y12" s="99"/>
    </row>
    <row r="13" spans="1:27" x14ac:dyDescent="0.2">
      <c r="A13" s="99"/>
      <c r="B13" s="99"/>
      <c r="C13" s="99"/>
      <c r="D13" s="99"/>
      <c r="E13" s="99"/>
      <c r="F13" s="99"/>
      <c r="G13" s="99"/>
      <c r="H13" s="16"/>
      <c r="I13" s="16"/>
      <c r="J13" s="99"/>
      <c r="K13" s="99"/>
      <c r="L13" s="99"/>
      <c r="M13" s="16"/>
      <c r="N13" s="99"/>
      <c r="O13" s="99"/>
      <c r="P13" s="99"/>
      <c r="Q13" s="99"/>
      <c r="R13" s="99"/>
      <c r="S13" s="99"/>
      <c r="T13" s="99"/>
      <c r="U13" s="99"/>
      <c r="V13" s="99"/>
      <c r="W13" s="16"/>
      <c r="X13" s="99"/>
      <c r="Y13" s="99"/>
    </row>
    <row r="14" spans="1:27" x14ac:dyDescent="0.2">
      <c r="A14" s="99"/>
      <c r="B14" s="99"/>
      <c r="C14" s="99"/>
      <c r="D14" s="99"/>
      <c r="E14" s="99"/>
      <c r="F14" s="99"/>
      <c r="G14" s="99"/>
      <c r="H14" s="16"/>
      <c r="I14" s="16"/>
      <c r="J14" s="99"/>
      <c r="K14" s="99"/>
      <c r="L14" s="99"/>
      <c r="M14" s="16"/>
      <c r="N14" s="99"/>
      <c r="O14" s="99"/>
      <c r="P14" s="99"/>
      <c r="Q14" s="99"/>
      <c r="R14" s="99"/>
      <c r="S14" s="99"/>
      <c r="T14" s="99"/>
      <c r="U14" s="99"/>
      <c r="V14" s="99"/>
      <c r="W14" s="16"/>
      <c r="X14" s="99"/>
      <c r="Y14" s="99"/>
    </row>
    <row r="15" spans="1:27" x14ac:dyDescent="0.2">
      <c r="A15" s="99"/>
      <c r="B15" s="99"/>
      <c r="C15" s="99"/>
      <c r="D15" s="99"/>
      <c r="E15" s="99"/>
      <c r="F15" s="99"/>
      <c r="G15" s="99"/>
      <c r="H15" s="16"/>
      <c r="I15" s="16"/>
      <c r="J15" s="99"/>
      <c r="K15" s="99"/>
      <c r="L15" s="99"/>
      <c r="M15" s="16"/>
      <c r="N15" s="99"/>
      <c r="O15" s="99"/>
      <c r="P15" s="99"/>
      <c r="Q15" s="99"/>
      <c r="R15" s="99"/>
      <c r="S15" s="99"/>
      <c r="T15" s="99"/>
      <c r="U15" s="99"/>
      <c r="V15" s="99"/>
      <c r="W15" s="16"/>
      <c r="X15" s="99"/>
      <c r="Y15" s="99"/>
    </row>
    <row r="16" spans="1:27" x14ac:dyDescent="0.2">
      <c r="A16" s="99"/>
      <c r="B16" s="99"/>
      <c r="C16" s="99"/>
      <c r="D16" s="99"/>
      <c r="E16" s="99"/>
      <c r="F16" s="99"/>
      <c r="G16" s="99"/>
      <c r="H16" s="16"/>
      <c r="I16" s="16"/>
      <c r="J16" s="99"/>
      <c r="K16" s="99"/>
      <c r="L16" s="99"/>
      <c r="M16" s="16"/>
      <c r="N16" s="99"/>
      <c r="O16" s="99"/>
      <c r="P16" s="99"/>
      <c r="Q16" s="99"/>
      <c r="R16" s="99"/>
      <c r="S16" s="99"/>
      <c r="T16" s="99"/>
      <c r="U16" s="99"/>
      <c r="V16" s="99"/>
      <c r="W16" s="16"/>
      <c r="X16" s="99"/>
      <c r="Y16" s="99"/>
    </row>
    <row r="17" spans="1:25" x14ac:dyDescent="0.2">
      <c r="A17" s="99"/>
      <c r="B17" s="99"/>
      <c r="C17" s="99"/>
      <c r="D17" s="99"/>
      <c r="E17" s="99"/>
      <c r="F17" s="99"/>
      <c r="G17" s="99"/>
      <c r="H17" s="16"/>
      <c r="I17" s="16"/>
      <c r="J17" s="99"/>
      <c r="K17" s="99"/>
      <c r="L17" s="99"/>
      <c r="M17" s="16"/>
      <c r="N17" s="99"/>
      <c r="O17" s="99"/>
      <c r="P17" s="99"/>
      <c r="Q17" s="99"/>
      <c r="R17" s="99"/>
      <c r="S17" s="99"/>
      <c r="T17" s="99"/>
      <c r="U17" s="99"/>
      <c r="V17" s="99"/>
      <c r="W17" s="16"/>
      <c r="X17" s="99"/>
      <c r="Y17" s="99"/>
    </row>
    <row r="18" spans="1:25" x14ac:dyDescent="0.2">
      <c r="A18" s="99"/>
      <c r="B18" s="99"/>
      <c r="C18" s="99"/>
      <c r="D18" s="99"/>
      <c r="E18" s="99"/>
      <c r="F18" s="99"/>
      <c r="G18" s="99"/>
      <c r="H18" s="16"/>
      <c r="I18" s="16"/>
      <c r="J18" s="99"/>
      <c r="K18" s="99"/>
      <c r="L18" s="99"/>
      <c r="M18" s="16"/>
      <c r="N18" s="99"/>
      <c r="O18" s="99"/>
      <c r="P18" s="99"/>
      <c r="Q18" s="99"/>
      <c r="R18" s="99"/>
      <c r="S18" s="99"/>
      <c r="T18" s="99"/>
      <c r="U18" s="99"/>
      <c r="V18" s="99"/>
      <c r="W18" s="16"/>
      <c r="X18" s="99"/>
      <c r="Y18" s="99"/>
    </row>
    <row r="19" spans="1:25" x14ac:dyDescent="0.2">
      <c r="A19" s="99"/>
      <c r="B19" s="99"/>
      <c r="C19" s="99"/>
      <c r="D19" s="99"/>
      <c r="E19" s="99"/>
      <c r="F19" s="99"/>
      <c r="G19" s="99"/>
      <c r="H19" s="16"/>
      <c r="I19" s="16"/>
      <c r="J19" s="99"/>
      <c r="K19" s="99"/>
      <c r="L19" s="99"/>
      <c r="M19" s="16"/>
      <c r="N19" s="99"/>
      <c r="O19" s="99"/>
      <c r="P19" s="99"/>
      <c r="Q19" s="99"/>
      <c r="R19" s="99"/>
      <c r="S19" s="99"/>
      <c r="T19" s="99"/>
      <c r="U19" s="99"/>
      <c r="V19" s="99"/>
      <c r="W19" s="16"/>
      <c r="X19" s="99"/>
      <c r="Y19" s="99"/>
    </row>
    <row r="20" spans="1:25" x14ac:dyDescent="0.2">
      <c r="A20" s="99"/>
      <c r="B20" s="99"/>
      <c r="C20" s="99"/>
      <c r="D20" s="99"/>
      <c r="E20" s="99"/>
      <c r="F20" s="99"/>
      <c r="G20" s="99"/>
      <c r="H20" s="16"/>
      <c r="I20" s="16"/>
      <c r="J20" s="99"/>
      <c r="K20" s="99"/>
      <c r="L20" s="99"/>
      <c r="M20" s="16"/>
      <c r="N20" s="99"/>
      <c r="O20" s="99"/>
      <c r="P20" s="99"/>
      <c r="Q20" s="99"/>
      <c r="R20" s="99"/>
      <c r="S20" s="99"/>
      <c r="T20" s="99"/>
      <c r="U20" s="99"/>
      <c r="V20" s="99"/>
      <c r="W20" s="16"/>
      <c r="X20" s="99"/>
      <c r="Y20" s="99"/>
    </row>
    <row r="21" spans="1:25" x14ac:dyDescent="0.2">
      <c r="F21" s="99"/>
      <c r="G21" s="99"/>
      <c r="H21" s="16"/>
      <c r="I21" s="16"/>
      <c r="L21" s="99"/>
      <c r="W21" s="16"/>
      <c r="X21" s="98"/>
    </row>
    <row r="22" spans="1:25" x14ac:dyDescent="0.2">
      <c r="I22"/>
      <c r="X22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Y9"/>
    <mergeCell ref="Z2:Z8"/>
  </mergeCells>
  <dataValidations count="5">
    <dataValidation type="list" allowBlank="1" showInputMessage="1" showErrorMessage="1" sqref="W10:W21">
      <formula1>In_the_books</formula1>
    </dataValidation>
    <dataValidation type="list" allowBlank="1" showInputMessage="1" showErrorMessage="1" sqref="H10:H21">
      <formula1>israel_abroad</formula1>
    </dataValidation>
    <dataValidation type="list" allowBlank="1" showInputMessage="1" showErrorMessage="1" sqref="L10:L21">
      <formula1>Rating_Agency</formula1>
    </dataValidation>
    <dataValidation type="list" allowBlank="1" showInputMessage="1" showErrorMessage="1" sqref="I10:I21">
      <formula1>Country_list</formula1>
    </dataValidation>
    <dataValidation type="list" allowBlank="1" showInputMessage="1" showErrorMessage="1" sqref="F10:F21">
      <formula1>Type_of_Security_ID_Fund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בחירה'!$C$912:$C$919</xm:f>
          </x14:formula1>
          <xm:sqref>G10:G21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S28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11.5" style="2" customWidth="1"/>
    <col min="4" max="4" width="11.125" style="2" customWidth="1"/>
    <col min="5" max="5" width="12.75" style="2" customWidth="1"/>
    <col min="6" max="6" width="12" style="2" customWidth="1"/>
    <col min="7" max="7" width="6.5" style="2" customWidth="1"/>
    <col min="8" max="8" width="10.25" customWidth="1"/>
    <col min="9" max="9" width="9.875" style="2" customWidth="1"/>
    <col min="10" max="10" width="11.125" style="2" customWidth="1"/>
    <col min="11" max="11" width="12.25" style="2" customWidth="1"/>
    <col min="12" max="12" width="14.875" style="2" customWidth="1"/>
    <col min="13" max="13" width="12.875" style="2" customWidth="1"/>
    <col min="14" max="14" width="17.875" style="2" customWidth="1"/>
    <col min="15" max="15" width="21.375" style="2" customWidth="1"/>
    <col min="16" max="16" width="22" customWidth="1"/>
    <col min="17" max="17" width="21.75" style="2" customWidth="1"/>
    <col min="18" max="18" width="20.125" style="2" customWidth="1"/>
    <col min="19" max="19" width="11.625" style="2" customWidth="1"/>
    <col min="20" max="16384" width="9" style="2"/>
  </cols>
  <sheetData>
    <row r="1" spans="1:19" x14ac:dyDescent="0.2">
      <c r="A1" s="2" t="s">
        <v>3909</v>
      </c>
    </row>
    <row r="2" spans="1:19" ht="66.75" customHeight="1" x14ac:dyDescent="0.2">
      <c r="A2" s="139" t="s">
        <v>49</v>
      </c>
      <c r="B2" s="140" t="s">
        <v>50</v>
      </c>
      <c r="C2" s="140" t="s">
        <v>54</v>
      </c>
      <c r="D2" s="140" t="s">
        <v>67</v>
      </c>
      <c r="E2" s="140" t="s">
        <v>68</v>
      </c>
      <c r="F2" s="140" t="s">
        <v>97</v>
      </c>
      <c r="G2" s="140" t="s">
        <v>72</v>
      </c>
      <c r="H2" s="140" t="s">
        <v>98</v>
      </c>
      <c r="I2" s="140" t="s">
        <v>73</v>
      </c>
      <c r="J2" s="140" t="s">
        <v>62</v>
      </c>
      <c r="K2" s="140" t="s">
        <v>74</v>
      </c>
      <c r="L2" s="140" t="s">
        <v>76</v>
      </c>
      <c r="M2" s="140" t="s">
        <v>77</v>
      </c>
      <c r="N2" s="140" t="s">
        <v>63</v>
      </c>
      <c r="O2" s="140" t="s">
        <v>78</v>
      </c>
      <c r="P2" s="140" t="s">
        <v>17</v>
      </c>
      <c r="Q2" s="140" t="s">
        <v>64</v>
      </c>
      <c r="R2" s="141" t="s">
        <v>65</v>
      </c>
      <c r="S2" s="181" t="s">
        <v>3894</v>
      </c>
    </row>
    <row r="3" spans="1:19" ht="15" x14ac:dyDescent="0.2">
      <c r="A3" s="154" t="s">
        <v>1205</v>
      </c>
      <c r="B3" s="155" t="s">
        <v>1206</v>
      </c>
      <c r="C3" s="145" t="s">
        <v>3876</v>
      </c>
      <c r="D3" s="145" t="s">
        <v>3876</v>
      </c>
      <c r="E3" s="145" t="s">
        <v>3876</v>
      </c>
      <c r="F3" s="145" t="s">
        <v>3876</v>
      </c>
      <c r="G3" s="145" t="s">
        <v>3876</v>
      </c>
      <c r="H3" s="145" t="s">
        <v>3876</v>
      </c>
      <c r="I3" s="145" t="s">
        <v>3876</v>
      </c>
      <c r="J3" s="145" t="s">
        <v>3876</v>
      </c>
      <c r="K3" s="145" t="s">
        <v>3876</v>
      </c>
      <c r="L3" s="145" t="s">
        <v>3876</v>
      </c>
      <c r="M3" s="145" t="s">
        <v>3876</v>
      </c>
      <c r="N3" s="145" t="s">
        <v>3876</v>
      </c>
      <c r="O3" s="145" t="s">
        <v>3876</v>
      </c>
      <c r="P3" s="145" t="s">
        <v>3876</v>
      </c>
      <c r="Q3" s="145" t="s">
        <v>3876</v>
      </c>
      <c r="R3" s="156" t="s">
        <v>3876</v>
      </c>
      <c r="S3" s="181"/>
    </row>
    <row r="4" spans="1:19" ht="15" x14ac:dyDescent="0.2">
      <c r="A4" s="154" t="s">
        <v>1205</v>
      </c>
      <c r="B4" s="155" t="s">
        <v>1215</v>
      </c>
      <c r="C4" s="145" t="s">
        <v>3876</v>
      </c>
      <c r="D4" s="145" t="s">
        <v>3876</v>
      </c>
      <c r="E4" s="145" t="s">
        <v>3876</v>
      </c>
      <c r="F4" s="145" t="s">
        <v>3876</v>
      </c>
      <c r="G4" s="145" t="s">
        <v>3876</v>
      </c>
      <c r="H4" s="145" t="s">
        <v>3876</v>
      </c>
      <c r="I4" s="145" t="s">
        <v>3876</v>
      </c>
      <c r="J4" s="145" t="s">
        <v>3876</v>
      </c>
      <c r="K4" s="145" t="s">
        <v>3876</v>
      </c>
      <c r="L4" s="145" t="s">
        <v>3876</v>
      </c>
      <c r="M4" s="145" t="s">
        <v>3876</v>
      </c>
      <c r="N4" s="145" t="s">
        <v>3876</v>
      </c>
      <c r="O4" s="145" t="s">
        <v>3876</v>
      </c>
      <c r="P4" s="145" t="s">
        <v>3876</v>
      </c>
      <c r="Q4" s="145" t="s">
        <v>3876</v>
      </c>
      <c r="R4" s="156" t="s">
        <v>3876</v>
      </c>
      <c r="S4" s="181"/>
    </row>
    <row r="5" spans="1:19" ht="15" x14ac:dyDescent="0.2">
      <c r="A5" s="154" t="s">
        <v>1205</v>
      </c>
      <c r="B5" s="155" t="s">
        <v>1205</v>
      </c>
      <c r="C5" s="145" t="s">
        <v>3876</v>
      </c>
      <c r="D5" s="145" t="s">
        <v>3876</v>
      </c>
      <c r="E5" s="145" t="s">
        <v>3876</v>
      </c>
      <c r="F5" s="145" t="s">
        <v>3876</v>
      </c>
      <c r="G5" s="145" t="s">
        <v>3876</v>
      </c>
      <c r="H5" s="145" t="s">
        <v>3876</v>
      </c>
      <c r="I5" s="145" t="s">
        <v>3876</v>
      </c>
      <c r="J5" s="145" t="s">
        <v>3876</v>
      </c>
      <c r="K5" s="145" t="s">
        <v>3876</v>
      </c>
      <c r="L5" s="145" t="s">
        <v>3876</v>
      </c>
      <c r="M5" s="145" t="s">
        <v>3876</v>
      </c>
      <c r="N5" s="145" t="s">
        <v>3876</v>
      </c>
      <c r="O5" s="145" t="s">
        <v>3876</v>
      </c>
      <c r="P5" s="145" t="s">
        <v>3876</v>
      </c>
      <c r="Q5" s="145" t="s">
        <v>3876</v>
      </c>
      <c r="R5" s="156" t="s">
        <v>3876</v>
      </c>
      <c r="S5" s="181"/>
    </row>
    <row r="6" spans="1:19" ht="15" x14ac:dyDescent="0.2">
      <c r="A6" s="154" t="s">
        <v>1220</v>
      </c>
      <c r="B6" s="155" t="s">
        <v>1221</v>
      </c>
      <c r="C6" s="145" t="s">
        <v>3876</v>
      </c>
      <c r="D6" s="145" t="s">
        <v>3876</v>
      </c>
      <c r="E6" s="145" t="s">
        <v>3876</v>
      </c>
      <c r="F6" s="145" t="s">
        <v>3876</v>
      </c>
      <c r="G6" s="145" t="s">
        <v>3876</v>
      </c>
      <c r="H6" s="145" t="s">
        <v>3876</v>
      </c>
      <c r="I6" s="145" t="s">
        <v>3876</v>
      </c>
      <c r="J6" s="145" t="s">
        <v>3876</v>
      </c>
      <c r="K6" s="145" t="s">
        <v>3876</v>
      </c>
      <c r="L6" s="145" t="s">
        <v>3876</v>
      </c>
      <c r="M6" s="145" t="s">
        <v>3876</v>
      </c>
      <c r="N6" s="145" t="s">
        <v>3876</v>
      </c>
      <c r="O6" s="145" t="s">
        <v>3876</v>
      </c>
      <c r="P6" s="145" t="s">
        <v>3876</v>
      </c>
      <c r="Q6" s="145" t="s">
        <v>3876</v>
      </c>
      <c r="R6" s="156" t="s">
        <v>3876</v>
      </c>
      <c r="S6" s="181"/>
    </row>
    <row r="7" spans="1:19" ht="15" x14ac:dyDescent="0.2">
      <c r="A7" s="154" t="s">
        <v>1220</v>
      </c>
      <c r="B7" s="155" t="s">
        <v>1222</v>
      </c>
      <c r="C7" s="145" t="s">
        <v>3876</v>
      </c>
      <c r="D7" s="145" t="s">
        <v>3876</v>
      </c>
      <c r="E7" s="145" t="s">
        <v>3876</v>
      </c>
      <c r="F7" s="145" t="s">
        <v>3876</v>
      </c>
      <c r="G7" s="145" t="s">
        <v>3876</v>
      </c>
      <c r="H7" s="145" t="s">
        <v>3876</v>
      </c>
      <c r="I7" s="145" t="s">
        <v>3876</v>
      </c>
      <c r="J7" s="145" t="s">
        <v>3876</v>
      </c>
      <c r="K7" s="145" t="s">
        <v>3876</v>
      </c>
      <c r="L7" s="145" t="s">
        <v>3876</v>
      </c>
      <c r="M7" s="145" t="s">
        <v>3876</v>
      </c>
      <c r="N7" s="145" t="s">
        <v>3876</v>
      </c>
      <c r="O7" s="145" t="s">
        <v>3876</v>
      </c>
      <c r="P7" s="145" t="s">
        <v>3876</v>
      </c>
      <c r="Q7" s="145" t="s">
        <v>3876</v>
      </c>
      <c r="R7" s="156" t="s">
        <v>3876</v>
      </c>
      <c r="S7" s="181"/>
    </row>
    <row r="8" spans="1:19" ht="15" x14ac:dyDescent="0.2">
      <c r="A8" s="157" t="s">
        <v>1220</v>
      </c>
      <c r="B8" s="158" t="s">
        <v>1220</v>
      </c>
      <c r="C8" s="151" t="s">
        <v>3876</v>
      </c>
      <c r="D8" s="151" t="s">
        <v>3876</v>
      </c>
      <c r="E8" s="151" t="s">
        <v>3876</v>
      </c>
      <c r="F8" s="151" t="s">
        <v>3876</v>
      </c>
      <c r="G8" s="151" t="s">
        <v>3876</v>
      </c>
      <c r="H8" s="151" t="s">
        <v>3876</v>
      </c>
      <c r="I8" s="151" t="s">
        <v>3876</v>
      </c>
      <c r="J8" s="151" t="s">
        <v>3876</v>
      </c>
      <c r="K8" s="151" t="s">
        <v>3876</v>
      </c>
      <c r="L8" s="151" t="s">
        <v>3876</v>
      </c>
      <c r="M8" s="151" t="s">
        <v>3876</v>
      </c>
      <c r="N8" s="151" t="s">
        <v>3876</v>
      </c>
      <c r="O8" s="151" t="s">
        <v>3876</v>
      </c>
      <c r="P8" s="151" t="s">
        <v>3876</v>
      </c>
      <c r="Q8" s="151" t="s">
        <v>3876</v>
      </c>
      <c r="R8" s="159" t="s">
        <v>3876</v>
      </c>
      <c r="S8" s="181"/>
    </row>
    <row r="9" spans="1:19" x14ac:dyDescent="0.2">
      <c r="A9" s="185" t="s">
        <v>3893</v>
      </c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98"/>
    </row>
    <row r="10" spans="1:19" x14ac:dyDescent="0.2">
      <c r="A10" s="99" t="s">
        <v>3892</v>
      </c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16"/>
      <c r="Q10" s="99"/>
      <c r="R10" s="99"/>
      <c r="S10" s="98"/>
    </row>
    <row r="11" spans="1:19" x14ac:dyDescent="0.2">
      <c r="A11" s="179"/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16"/>
      <c r="Q11" s="99"/>
      <c r="R11" s="99"/>
      <c r="S11" s="98"/>
    </row>
    <row r="12" spans="1:19" x14ac:dyDescent="0.2">
      <c r="A12" s="99"/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16"/>
      <c r="Q12" s="99"/>
      <c r="R12" s="99"/>
      <c r="S12" s="98"/>
    </row>
    <row r="13" spans="1:19" x14ac:dyDescent="0.2">
      <c r="A13" s="99"/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16"/>
      <c r="Q13" s="99"/>
      <c r="R13" s="99"/>
      <c r="S13" s="98"/>
    </row>
    <row r="14" spans="1:19" x14ac:dyDescent="0.2">
      <c r="A14" s="99"/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16"/>
      <c r="Q14" s="99"/>
      <c r="R14" s="99"/>
      <c r="S14" s="98"/>
    </row>
    <row r="15" spans="1:19" x14ac:dyDescent="0.2">
      <c r="A15" s="99"/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16"/>
      <c r="Q15" s="99"/>
      <c r="R15" s="99"/>
      <c r="S15" s="98"/>
    </row>
    <row r="16" spans="1:19" x14ac:dyDescent="0.2">
      <c r="A16" s="99"/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16"/>
      <c r="Q16" s="99"/>
      <c r="R16" s="99"/>
      <c r="S16" s="98"/>
    </row>
    <row r="17" spans="1:19" x14ac:dyDescent="0.2">
      <c r="A17" s="99"/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16"/>
      <c r="Q17" s="99"/>
      <c r="R17" s="99"/>
      <c r="S17" s="98"/>
    </row>
    <row r="18" spans="1:19" x14ac:dyDescent="0.2">
      <c r="A18" s="99"/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16"/>
      <c r="Q18" s="99"/>
      <c r="R18" s="99"/>
    </row>
    <row r="19" spans="1:19" x14ac:dyDescent="0.2">
      <c r="A19" s="99"/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16"/>
      <c r="Q19" s="99"/>
      <c r="R19" s="99"/>
    </row>
    <row r="20" spans="1:19" x14ac:dyDescent="0.2">
      <c r="A20" s="99"/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16"/>
      <c r="Q20" s="99"/>
      <c r="R20" s="99"/>
    </row>
    <row r="21" spans="1:19" x14ac:dyDescent="0.2">
      <c r="A21" s="98"/>
      <c r="B21" s="98"/>
      <c r="C21" s="99"/>
      <c r="D21" s="98"/>
      <c r="E21" s="98"/>
      <c r="F21" s="98"/>
      <c r="G21" s="98"/>
      <c r="H21" s="99"/>
      <c r="I21" s="98"/>
      <c r="J21" s="98"/>
      <c r="K21" s="98"/>
      <c r="L21" s="98"/>
      <c r="M21" s="98"/>
      <c r="N21" s="98"/>
      <c r="O21" s="98"/>
      <c r="P21" s="16"/>
      <c r="Q21" s="98"/>
      <c r="R21" s="98"/>
    </row>
    <row r="22" spans="1:19" x14ac:dyDescent="0.2">
      <c r="A22" s="98"/>
      <c r="B22" s="98"/>
      <c r="C22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Q22" s="98"/>
      <c r="R22" s="98"/>
    </row>
    <row r="23" spans="1:19" x14ac:dyDescent="0.2">
      <c r="A23" s="98"/>
      <c r="B23" s="98"/>
      <c r="C23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Q23" s="98"/>
      <c r="R23" s="98"/>
    </row>
    <row r="24" spans="1:19" x14ac:dyDescent="0.2">
      <c r="A24" s="98"/>
      <c r="B24" s="98"/>
      <c r="C24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Q24" s="98"/>
      <c r="R24" s="98"/>
    </row>
    <row r="25" spans="1:19" x14ac:dyDescent="0.2">
      <c r="A25" s="98"/>
      <c r="B25" s="98"/>
      <c r="C25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Q25" s="98"/>
      <c r="R25" s="98"/>
    </row>
    <row r="26" spans="1:19" x14ac:dyDescent="0.2">
      <c r="A26" s="98"/>
      <c r="B26" s="98"/>
      <c r="C26"/>
      <c r="D26" s="98"/>
      <c r="E26" s="98"/>
      <c r="F26" s="98"/>
      <c r="G26" s="98"/>
      <c r="I26" s="98"/>
      <c r="J26" s="98"/>
      <c r="K26" s="98"/>
      <c r="L26" s="98"/>
      <c r="M26" s="98"/>
      <c r="N26" s="98"/>
      <c r="O26" s="98"/>
      <c r="Q26" s="98"/>
      <c r="R26" s="98"/>
    </row>
    <row r="27" spans="1:19" x14ac:dyDescent="0.2">
      <c r="A27" s="98"/>
      <c r="B27" s="98"/>
      <c r="C27"/>
      <c r="D27" s="98"/>
      <c r="E27" s="98"/>
      <c r="F27" s="98"/>
      <c r="G27" s="98"/>
      <c r="I27" s="98"/>
      <c r="J27" s="98"/>
      <c r="K27" s="98"/>
      <c r="L27" s="98"/>
      <c r="M27" s="98"/>
      <c r="N27" s="98"/>
      <c r="O27" s="98"/>
      <c r="Q27" s="98"/>
      <c r="R27" s="98"/>
    </row>
    <row r="28" spans="1:19" x14ac:dyDescent="0.2">
      <c r="A28" s="98"/>
      <c r="B28" s="98"/>
      <c r="C28"/>
      <c r="D28" s="98"/>
      <c r="E28" s="98"/>
      <c r="F28" s="98"/>
      <c r="G28" s="98"/>
      <c r="I28" s="98"/>
      <c r="J28" s="98"/>
      <c r="K28" s="98"/>
      <c r="L28" s="98"/>
      <c r="M28" s="98"/>
      <c r="N28" s="98"/>
      <c r="O28" s="98"/>
      <c r="Q28" s="98"/>
      <c r="R28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orientation="portrait" r:id="rId1"/>
    </customSheetView>
  </customSheetViews>
  <mergeCells count="2">
    <mergeCell ref="A9:R9"/>
    <mergeCell ref="S2:S8"/>
  </mergeCells>
  <dataValidations count="2">
    <dataValidation type="list" allowBlank="1" showInputMessage="1" showErrorMessage="1" sqref="P10:P21">
      <formula1>In_the_books</formula1>
    </dataValidation>
    <dataValidation type="list" allowBlank="1" showInputMessage="1" showErrorMessage="1" sqref="H10:H21">
      <formula1>Linked_Type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בחירה'!$C$920:$C$925</xm:f>
          </x14:formula1>
          <xm:sqref>C10:C21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8"/>
  <sheetViews>
    <sheetView rightToLeft="1" workbookViewId="0"/>
  </sheetViews>
  <sheetFormatPr defaultColWidth="9" defaultRowHeight="14.25" x14ac:dyDescent="0.2"/>
  <cols>
    <col min="1" max="1" width="9.5" style="2" customWidth="1"/>
    <col min="2" max="2" width="11.125" style="2" customWidth="1"/>
    <col min="3" max="3" width="11.5" style="2" customWidth="1"/>
    <col min="4" max="4" width="16" customWidth="1"/>
    <col min="5" max="5" width="12.125" customWidth="1"/>
    <col min="6" max="6" width="24.875" customWidth="1"/>
    <col min="7" max="7" width="20.125" style="2" customWidth="1"/>
    <col min="8" max="8" width="11.625" style="2" customWidth="1"/>
    <col min="9" max="16384" width="9" style="2"/>
  </cols>
  <sheetData>
    <row r="1" spans="1:8" x14ac:dyDescent="0.2">
      <c r="A1" s="2" t="s">
        <v>3910</v>
      </c>
    </row>
    <row r="2" spans="1:8" ht="66.75" customHeight="1" x14ac:dyDescent="0.2">
      <c r="A2" s="139" t="s">
        <v>99</v>
      </c>
      <c r="B2" s="140" t="s">
        <v>50</v>
      </c>
      <c r="C2" s="140" t="s">
        <v>54</v>
      </c>
      <c r="D2" s="140" t="s">
        <v>100</v>
      </c>
      <c r="E2" s="140" t="s">
        <v>101</v>
      </c>
      <c r="F2" s="140" t="s">
        <v>102</v>
      </c>
      <c r="G2" s="141" t="s">
        <v>65</v>
      </c>
      <c r="H2" s="181" t="s">
        <v>3894</v>
      </c>
    </row>
    <row r="3" spans="1:8" ht="15" x14ac:dyDescent="0.2">
      <c r="A3" s="154" t="s">
        <v>1205</v>
      </c>
      <c r="B3" s="155" t="s">
        <v>1206</v>
      </c>
      <c r="C3" s="145" t="s">
        <v>3876</v>
      </c>
      <c r="D3" s="145" t="s">
        <v>3876</v>
      </c>
      <c r="E3" s="145" t="s">
        <v>3876</v>
      </c>
      <c r="F3" s="145" t="s">
        <v>3876</v>
      </c>
      <c r="G3" s="156" t="s">
        <v>3876</v>
      </c>
      <c r="H3" s="181"/>
    </row>
    <row r="4" spans="1:8" ht="15" x14ac:dyDescent="0.2">
      <c r="A4" s="154" t="s">
        <v>1205</v>
      </c>
      <c r="B4" s="155" t="s">
        <v>1215</v>
      </c>
      <c r="C4" s="145" t="s">
        <v>3876</v>
      </c>
      <c r="D4" s="145" t="s">
        <v>3876</v>
      </c>
      <c r="E4" s="145" t="s">
        <v>3876</v>
      </c>
      <c r="F4" s="145" t="s">
        <v>3876</v>
      </c>
      <c r="G4" s="156" t="s">
        <v>3876</v>
      </c>
      <c r="H4" s="181"/>
    </row>
    <row r="5" spans="1:8" ht="15" x14ac:dyDescent="0.2">
      <c r="A5" s="154" t="s">
        <v>1205</v>
      </c>
      <c r="B5" s="155" t="s">
        <v>1205</v>
      </c>
      <c r="C5" s="145" t="s">
        <v>3876</v>
      </c>
      <c r="D5" s="145" t="s">
        <v>3876</v>
      </c>
      <c r="E5" s="145" t="s">
        <v>3876</v>
      </c>
      <c r="F5" s="145" t="s">
        <v>3876</v>
      </c>
      <c r="G5" s="156" t="s">
        <v>3876</v>
      </c>
      <c r="H5" s="181"/>
    </row>
    <row r="6" spans="1:8" ht="15" x14ac:dyDescent="0.2">
      <c r="A6" s="154" t="s">
        <v>1220</v>
      </c>
      <c r="B6" s="155" t="s">
        <v>1221</v>
      </c>
      <c r="C6" s="145" t="s">
        <v>3876</v>
      </c>
      <c r="D6" s="145" t="s">
        <v>3876</v>
      </c>
      <c r="E6" s="145" t="s">
        <v>3876</v>
      </c>
      <c r="F6" s="145" t="s">
        <v>3876</v>
      </c>
      <c r="G6" s="156" t="s">
        <v>3876</v>
      </c>
      <c r="H6" s="181"/>
    </row>
    <row r="7" spans="1:8" ht="15" x14ac:dyDescent="0.2">
      <c r="A7" s="154" t="s">
        <v>1220</v>
      </c>
      <c r="B7" s="155" t="s">
        <v>1222</v>
      </c>
      <c r="C7" s="145" t="s">
        <v>3876</v>
      </c>
      <c r="D7" s="145" t="s">
        <v>3876</v>
      </c>
      <c r="E7" s="145" t="s">
        <v>3876</v>
      </c>
      <c r="F7" s="145" t="s">
        <v>3876</v>
      </c>
      <c r="G7" s="156" t="s">
        <v>3876</v>
      </c>
      <c r="H7" s="181"/>
    </row>
    <row r="8" spans="1:8" ht="15" x14ac:dyDescent="0.2">
      <c r="A8" s="157" t="s">
        <v>1220</v>
      </c>
      <c r="B8" s="158" t="s">
        <v>1220</v>
      </c>
      <c r="C8" s="151" t="s">
        <v>3876</v>
      </c>
      <c r="D8" s="151" t="s">
        <v>3876</v>
      </c>
      <c r="E8" s="151" t="s">
        <v>3876</v>
      </c>
      <c r="F8" s="151" t="s">
        <v>3876</v>
      </c>
      <c r="G8" s="159" t="s">
        <v>3876</v>
      </c>
      <c r="H8" s="181"/>
    </row>
    <row r="9" spans="1:8" x14ac:dyDescent="0.2">
      <c r="A9" s="185" t="s">
        <v>3893</v>
      </c>
      <c r="B9" s="185"/>
      <c r="C9" s="185"/>
      <c r="D9" s="185"/>
      <c r="E9" s="185"/>
      <c r="F9" s="185"/>
      <c r="G9" s="185"/>
      <c r="H9" s="98"/>
    </row>
    <row r="10" spans="1:8" x14ac:dyDescent="0.2">
      <c r="A10" s="99" t="s">
        <v>3892</v>
      </c>
      <c r="B10" s="99"/>
      <c r="C10" s="99"/>
      <c r="G10" s="99"/>
      <c r="H10" s="98"/>
    </row>
    <row r="11" spans="1:8" x14ac:dyDescent="0.2">
      <c r="A11" s="179"/>
      <c r="B11" s="99"/>
      <c r="C11" s="99"/>
      <c r="G11" s="99"/>
      <c r="H11" s="98"/>
    </row>
    <row r="12" spans="1:8" x14ac:dyDescent="0.2">
      <c r="A12" s="99"/>
      <c r="B12" s="99"/>
      <c r="C12" s="99"/>
      <c r="G12" s="99"/>
      <c r="H12" s="98"/>
    </row>
    <row r="13" spans="1:8" x14ac:dyDescent="0.2">
      <c r="A13" s="99"/>
      <c r="B13" s="99"/>
      <c r="C13" s="99"/>
      <c r="G13" s="99"/>
      <c r="H13" s="98"/>
    </row>
    <row r="14" spans="1:8" x14ac:dyDescent="0.2">
      <c r="A14" s="99"/>
      <c r="B14" s="99"/>
      <c r="C14" s="99"/>
      <c r="G14" s="99"/>
      <c r="H14" s="98"/>
    </row>
    <row r="15" spans="1:8" x14ac:dyDescent="0.2">
      <c r="A15" s="99"/>
      <c r="B15" s="99"/>
      <c r="C15" s="99"/>
      <c r="G15" s="99"/>
      <c r="H15" s="98"/>
    </row>
    <row r="16" spans="1:8" x14ac:dyDescent="0.2">
      <c r="A16" s="99"/>
      <c r="B16" s="99"/>
      <c r="C16" s="99"/>
      <c r="G16" s="99"/>
      <c r="H16" s="98"/>
    </row>
    <row r="17" spans="1:8" x14ac:dyDescent="0.2">
      <c r="A17" s="99"/>
      <c r="B17" s="99"/>
      <c r="C17" s="99"/>
      <c r="G17" s="99"/>
      <c r="H17" s="98"/>
    </row>
    <row r="18" spans="1:8" x14ac:dyDescent="0.2">
      <c r="A18" s="99"/>
      <c r="B18" s="99"/>
      <c r="C18" s="99"/>
      <c r="G18" s="99"/>
    </row>
    <row r="19" spans="1:8" x14ac:dyDescent="0.2">
      <c r="A19" s="99"/>
      <c r="B19" s="99"/>
      <c r="C19" s="99"/>
      <c r="G19" s="99"/>
    </row>
    <row r="20" spans="1:8" x14ac:dyDescent="0.2">
      <c r="A20" s="99"/>
      <c r="B20" s="99"/>
      <c r="C20" s="99"/>
      <c r="G20" s="99"/>
    </row>
    <row r="21" spans="1:8" x14ac:dyDescent="0.2">
      <c r="A21" s="98"/>
      <c r="B21" s="98"/>
      <c r="C21" s="99"/>
      <c r="G21" s="98"/>
    </row>
    <row r="22" spans="1:8" x14ac:dyDescent="0.2">
      <c r="A22" s="98"/>
      <c r="B22" s="98"/>
      <c r="C22"/>
      <c r="G22" s="98"/>
    </row>
    <row r="23" spans="1:8" x14ac:dyDescent="0.2">
      <c r="A23" s="98"/>
      <c r="B23" s="98"/>
      <c r="C23"/>
      <c r="G23" s="98"/>
    </row>
    <row r="24" spans="1:8" x14ac:dyDescent="0.2">
      <c r="A24" s="98"/>
      <c r="B24" s="98"/>
      <c r="C24"/>
      <c r="G24" s="98"/>
    </row>
    <row r="25" spans="1:8" x14ac:dyDescent="0.2">
      <c r="A25" s="98"/>
      <c r="B25" s="98"/>
      <c r="C25"/>
      <c r="G25" s="98"/>
    </row>
    <row r="26" spans="1:8" x14ac:dyDescent="0.2">
      <c r="A26" s="98"/>
      <c r="B26" s="98"/>
      <c r="C26"/>
      <c r="G26" s="98"/>
    </row>
    <row r="27" spans="1:8" x14ac:dyDescent="0.2">
      <c r="A27" s="98"/>
      <c r="B27" s="98"/>
      <c r="C27"/>
      <c r="G27" s="98"/>
    </row>
    <row r="28" spans="1:8" x14ac:dyDescent="0.2">
      <c r="A28" s="98"/>
      <c r="B28" s="98"/>
      <c r="C28"/>
      <c r="G28" s="98"/>
    </row>
  </sheetData>
  <sheetProtection formatColumns="0"/>
  <mergeCells count="2">
    <mergeCell ref="A9:G9"/>
    <mergeCell ref="H2:H8"/>
  </mergeCells>
  <dataValidations count="1">
    <dataValidation type="list" allowBlank="1" showInputMessage="1" showErrorMessage="1" sqref="C10:C21">
      <formula1>Capsule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O25"/>
  <sheetViews>
    <sheetView rightToLeft="1" workbookViewId="0"/>
  </sheetViews>
  <sheetFormatPr defaultRowHeight="14.25" x14ac:dyDescent="0.2"/>
  <cols>
    <col min="1" max="1" width="29.375" customWidth="1"/>
    <col min="2" max="2" width="11.125" customWidth="1"/>
    <col min="3" max="3" width="9.625" customWidth="1"/>
    <col min="4" max="4" width="11.25" customWidth="1"/>
    <col min="5" max="5" width="18.125" style="4" customWidth="1"/>
    <col min="6" max="6" width="11.125" customWidth="1"/>
    <col min="7" max="7" width="12.75" customWidth="1"/>
    <col min="8" max="8" width="15.5" customWidth="1"/>
    <col min="9" max="9" width="11.5" customWidth="1"/>
    <col min="10" max="10" width="10.625" customWidth="1"/>
    <col min="11" max="11" width="19.875" customWidth="1"/>
    <col min="12" max="12" width="9.625" style="2" customWidth="1"/>
    <col min="13" max="13" width="15.125" customWidth="1"/>
    <col min="14" max="14" width="12" customWidth="1"/>
    <col min="15" max="15" width="6.25" customWidth="1"/>
    <col min="16" max="16" width="9" customWidth="1"/>
    <col min="17" max="17" width="19" customWidth="1"/>
    <col min="18" max="18" width="11.75" customWidth="1"/>
    <col min="19" max="19" width="6.5" customWidth="1"/>
    <col min="20" max="20" width="10.25" customWidth="1"/>
    <col min="21" max="21" width="9.75" customWidth="1"/>
    <col min="22" max="22" width="9.875" customWidth="1"/>
    <col min="23" max="23" width="11.125" customWidth="1"/>
    <col min="24" max="24" width="12.25" customWidth="1"/>
    <col min="25" max="25" width="11.875" style="4" customWidth="1"/>
    <col min="26" max="26" width="17.5" style="4" customWidth="1"/>
    <col min="27" max="27" width="14" customWidth="1"/>
    <col min="28" max="28" width="18.625" customWidth="1"/>
    <col min="29" max="29" width="14" customWidth="1"/>
    <col min="30" max="30" width="16.375" customWidth="1"/>
    <col min="31" max="31" width="30" customWidth="1"/>
    <col min="32" max="32" width="14.875" customWidth="1"/>
    <col min="33" max="33" width="10.5" customWidth="1"/>
    <col min="34" max="34" width="12.875" customWidth="1"/>
    <col min="35" max="35" width="17.875" customWidth="1"/>
    <col min="36" max="36" width="21.375" customWidth="1"/>
    <col min="37" max="37" width="24.625" customWidth="1"/>
    <col min="38" max="38" width="22" customWidth="1"/>
    <col min="39" max="39" width="21.75" customWidth="1"/>
    <col min="40" max="40" width="20.125" customWidth="1"/>
  </cols>
  <sheetData>
    <row r="1" spans="1:41" x14ac:dyDescent="0.2">
      <c r="A1" t="s">
        <v>3911</v>
      </c>
    </row>
    <row r="2" spans="1:41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83</v>
      </c>
      <c r="M2" s="140" t="s">
        <v>56</v>
      </c>
      <c r="N2" s="140" t="s">
        <v>97</v>
      </c>
      <c r="O2" s="140" t="s">
        <v>71</v>
      </c>
      <c r="P2" s="140" t="s">
        <v>58</v>
      </c>
      <c r="Q2" s="140" t="s">
        <v>84</v>
      </c>
      <c r="R2" s="140" t="s">
        <v>59</v>
      </c>
      <c r="S2" s="140" t="s">
        <v>72</v>
      </c>
      <c r="T2" s="140" t="s">
        <v>98</v>
      </c>
      <c r="U2" s="140" t="s">
        <v>85</v>
      </c>
      <c r="V2" s="140" t="s">
        <v>73</v>
      </c>
      <c r="W2" s="140" t="s">
        <v>62</v>
      </c>
      <c r="X2" s="140" t="s">
        <v>74</v>
      </c>
      <c r="Y2" s="140" t="s">
        <v>86</v>
      </c>
      <c r="Z2" s="140" t="s">
        <v>87</v>
      </c>
      <c r="AA2" s="140" t="s">
        <v>103</v>
      </c>
      <c r="AB2" s="140" t="s">
        <v>104</v>
      </c>
      <c r="AC2" s="140" t="s">
        <v>105</v>
      </c>
      <c r="AD2" s="140" t="s">
        <v>106</v>
      </c>
      <c r="AE2" s="140" t="s">
        <v>107</v>
      </c>
      <c r="AF2" s="140" t="s">
        <v>76</v>
      </c>
      <c r="AG2" s="140" t="s">
        <v>61</v>
      </c>
      <c r="AH2" s="140" t="s">
        <v>77</v>
      </c>
      <c r="AI2" s="140" t="s">
        <v>63</v>
      </c>
      <c r="AJ2" s="140" t="s">
        <v>78</v>
      </c>
      <c r="AK2" s="140" t="s">
        <v>88</v>
      </c>
      <c r="AL2" s="140" t="s">
        <v>17</v>
      </c>
      <c r="AM2" s="140" t="s">
        <v>64</v>
      </c>
      <c r="AN2" s="141" t="s">
        <v>65</v>
      </c>
      <c r="AO2" s="186" t="s">
        <v>3894</v>
      </c>
    </row>
    <row r="3" spans="1:41" ht="15" x14ac:dyDescent="0.2">
      <c r="A3" s="154" t="s">
        <v>1205</v>
      </c>
      <c r="B3" s="155" t="s">
        <v>1206</v>
      </c>
      <c r="C3" s="145" t="s">
        <v>3876</v>
      </c>
      <c r="D3" s="145" t="s">
        <v>3876</v>
      </c>
      <c r="E3" s="145" t="s">
        <v>3876</v>
      </c>
      <c r="F3" s="145" t="s">
        <v>3876</v>
      </c>
      <c r="G3" s="145" t="s">
        <v>3876</v>
      </c>
      <c r="H3" s="145" t="s">
        <v>3876</v>
      </c>
      <c r="I3" s="145" t="s">
        <v>3876</v>
      </c>
      <c r="J3" s="145" t="s">
        <v>3876</v>
      </c>
      <c r="K3" s="145" t="s">
        <v>3876</v>
      </c>
      <c r="L3" s="145" t="s">
        <v>3876</v>
      </c>
      <c r="M3" s="145" t="s">
        <v>3876</v>
      </c>
      <c r="N3" s="145" t="s">
        <v>3876</v>
      </c>
      <c r="O3" s="145" t="s">
        <v>3876</v>
      </c>
      <c r="P3" s="145" t="s">
        <v>3876</v>
      </c>
      <c r="Q3" s="145" t="s">
        <v>3876</v>
      </c>
      <c r="R3" s="145" t="s">
        <v>3876</v>
      </c>
      <c r="S3" s="145" t="s">
        <v>3876</v>
      </c>
      <c r="T3" s="145" t="s">
        <v>3876</v>
      </c>
      <c r="U3" s="145" t="s">
        <v>3876</v>
      </c>
      <c r="V3" s="145" t="s">
        <v>3876</v>
      </c>
      <c r="W3" s="145" t="s">
        <v>3876</v>
      </c>
      <c r="X3" s="145" t="s">
        <v>3876</v>
      </c>
      <c r="Y3" s="145" t="s">
        <v>3876</v>
      </c>
      <c r="Z3" s="145" t="s">
        <v>3876</v>
      </c>
      <c r="AA3" s="145" t="s">
        <v>3876</v>
      </c>
      <c r="AB3" s="145" t="s">
        <v>3876</v>
      </c>
      <c r="AC3" s="145" t="s">
        <v>3876</v>
      </c>
      <c r="AD3" s="145" t="s">
        <v>3876</v>
      </c>
      <c r="AE3" s="145" t="s">
        <v>3876</v>
      </c>
      <c r="AF3" s="145" t="s">
        <v>3876</v>
      </c>
      <c r="AG3" s="145" t="s">
        <v>3876</v>
      </c>
      <c r="AH3" s="145" t="s">
        <v>3876</v>
      </c>
      <c r="AI3" s="145" t="s">
        <v>3876</v>
      </c>
      <c r="AJ3" s="145" t="s">
        <v>3876</v>
      </c>
      <c r="AK3" s="145" t="s">
        <v>3876</v>
      </c>
      <c r="AL3" s="145" t="s">
        <v>3876</v>
      </c>
      <c r="AM3" s="145" t="s">
        <v>3876</v>
      </c>
      <c r="AN3" s="156" t="s">
        <v>3876</v>
      </c>
      <c r="AO3" s="186"/>
    </row>
    <row r="4" spans="1:41" ht="15" x14ac:dyDescent="0.2">
      <c r="A4" s="154" t="s">
        <v>1205</v>
      </c>
      <c r="B4" s="155" t="s">
        <v>1215</v>
      </c>
      <c r="C4" s="145" t="s">
        <v>3876</v>
      </c>
      <c r="D4" s="145" t="s">
        <v>3876</v>
      </c>
      <c r="E4" s="145" t="s">
        <v>3876</v>
      </c>
      <c r="F4" s="145" t="s">
        <v>3876</v>
      </c>
      <c r="G4" s="145" t="s">
        <v>3876</v>
      </c>
      <c r="H4" s="145" t="s">
        <v>3876</v>
      </c>
      <c r="I4" s="145" t="s">
        <v>3876</v>
      </c>
      <c r="J4" s="145" t="s">
        <v>3876</v>
      </c>
      <c r="K4" s="145" t="s">
        <v>3876</v>
      </c>
      <c r="L4" s="145" t="s">
        <v>3876</v>
      </c>
      <c r="M4" s="145" t="s">
        <v>3876</v>
      </c>
      <c r="N4" s="145" t="s">
        <v>3876</v>
      </c>
      <c r="O4" s="145" t="s">
        <v>3876</v>
      </c>
      <c r="P4" s="145" t="s">
        <v>3876</v>
      </c>
      <c r="Q4" s="145" t="s">
        <v>3876</v>
      </c>
      <c r="R4" s="145" t="s">
        <v>3876</v>
      </c>
      <c r="S4" s="145" t="s">
        <v>3876</v>
      </c>
      <c r="T4" s="145" t="s">
        <v>3876</v>
      </c>
      <c r="U4" s="145" t="s">
        <v>3876</v>
      </c>
      <c r="V4" s="145" t="s">
        <v>3876</v>
      </c>
      <c r="W4" s="145" t="s">
        <v>3876</v>
      </c>
      <c r="X4" s="145" t="s">
        <v>3876</v>
      </c>
      <c r="Y4" s="145" t="s">
        <v>3876</v>
      </c>
      <c r="Z4" s="145" t="s">
        <v>3876</v>
      </c>
      <c r="AA4" s="145" t="s">
        <v>3876</v>
      </c>
      <c r="AB4" s="145" t="s">
        <v>3876</v>
      </c>
      <c r="AC4" s="145" t="s">
        <v>3876</v>
      </c>
      <c r="AD4" s="145" t="s">
        <v>3876</v>
      </c>
      <c r="AE4" s="145" t="s">
        <v>3876</v>
      </c>
      <c r="AF4" s="145" t="s">
        <v>3876</v>
      </c>
      <c r="AG4" s="145" t="s">
        <v>3876</v>
      </c>
      <c r="AH4" s="145" t="s">
        <v>3876</v>
      </c>
      <c r="AI4" s="145" t="s">
        <v>3876</v>
      </c>
      <c r="AJ4" s="145" t="s">
        <v>3876</v>
      </c>
      <c r="AK4" s="145" t="s">
        <v>3876</v>
      </c>
      <c r="AL4" s="145" t="s">
        <v>3876</v>
      </c>
      <c r="AM4" s="145" t="s">
        <v>3876</v>
      </c>
      <c r="AN4" s="156" t="s">
        <v>3876</v>
      </c>
      <c r="AO4" s="186"/>
    </row>
    <row r="5" spans="1:41" ht="15" x14ac:dyDescent="0.2">
      <c r="A5" s="154" t="s">
        <v>1205</v>
      </c>
      <c r="B5" s="155" t="s">
        <v>1205</v>
      </c>
      <c r="C5" s="145" t="s">
        <v>3876</v>
      </c>
      <c r="D5" s="145" t="s">
        <v>3876</v>
      </c>
      <c r="E5" s="145" t="s">
        <v>3876</v>
      </c>
      <c r="F5" s="145" t="s">
        <v>3876</v>
      </c>
      <c r="G5" s="145" t="s">
        <v>3876</v>
      </c>
      <c r="H5" s="145" t="s">
        <v>3876</v>
      </c>
      <c r="I5" s="145" t="s">
        <v>3876</v>
      </c>
      <c r="J5" s="145" t="s">
        <v>3876</v>
      </c>
      <c r="K5" s="145" t="s">
        <v>3876</v>
      </c>
      <c r="L5" s="145" t="s">
        <v>3876</v>
      </c>
      <c r="M5" s="145" t="s">
        <v>3876</v>
      </c>
      <c r="N5" s="145" t="s">
        <v>3876</v>
      </c>
      <c r="O5" s="145" t="s">
        <v>3876</v>
      </c>
      <c r="P5" s="145" t="s">
        <v>3876</v>
      </c>
      <c r="Q5" s="145" t="s">
        <v>3876</v>
      </c>
      <c r="R5" s="145" t="s">
        <v>3876</v>
      </c>
      <c r="S5" s="145" t="s">
        <v>3876</v>
      </c>
      <c r="T5" s="145" t="s">
        <v>3876</v>
      </c>
      <c r="U5" s="145" t="s">
        <v>3876</v>
      </c>
      <c r="V5" s="145" t="s">
        <v>3876</v>
      </c>
      <c r="W5" s="145" t="s">
        <v>3876</v>
      </c>
      <c r="X5" s="145" t="s">
        <v>3876</v>
      </c>
      <c r="Y5" s="145" t="s">
        <v>3876</v>
      </c>
      <c r="Z5" s="145" t="s">
        <v>3876</v>
      </c>
      <c r="AA5" s="145" t="s">
        <v>3876</v>
      </c>
      <c r="AB5" s="145" t="s">
        <v>3876</v>
      </c>
      <c r="AC5" s="145" t="s">
        <v>3876</v>
      </c>
      <c r="AD5" s="145" t="s">
        <v>3876</v>
      </c>
      <c r="AE5" s="145" t="s">
        <v>3876</v>
      </c>
      <c r="AF5" s="145" t="s">
        <v>3876</v>
      </c>
      <c r="AG5" s="145" t="s">
        <v>3876</v>
      </c>
      <c r="AH5" s="145" t="s">
        <v>3876</v>
      </c>
      <c r="AI5" s="145" t="s">
        <v>3876</v>
      </c>
      <c r="AJ5" s="145" t="s">
        <v>3876</v>
      </c>
      <c r="AK5" s="145" t="s">
        <v>3876</v>
      </c>
      <c r="AL5" s="145" t="s">
        <v>3876</v>
      </c>
      <c r="AM5" s="145" t="s">
        <v>3876</v>
      </c>
      <c r="AN5" s="156" t="s">
        <v>3876</v>
      </c>
      <c r="AO5" s="186"/>
    </row>
    <row r="6" spans="1:41" ht="15" x14ac:dyDescent="0.2">
      <c r="A6" s="154" t="s">
        <v>1220</v>
      </c>
      <c r="B6" s="155" t="s">
        <v>1221</v>
      </c>
      <c r="C6" s="145" t="s">
        <v>3876</v>
      </c>
      <c r="D6" s="145" t="s">
        <v>3876</v>
      </c>
      <c r="E6" s="145" t="s">
        <v>3876</v>
      </c>
      <c r="F6" s="145" t="s">
        <v>3876</v>
      </c>
      <c r="G6" s="145" t="s">
        <v>3876</v>
      </c>
      <c r="H6" s="145" t="s">
        <v>3876</v>
      </c>
      <c r="I6" s="145" t="s">
        <v>3876</v>
      </c>
      <c r="J6" s="145" t="s">
        <v>3876</v>
      </c>
      <c r="K6" s="145" t="s">
        <v>3876</v>
      </c>
      <c r="L6" s="145" t="s">
        <v>3876</v>
      </c>
      <c r="M6" s="145" t="s">
        <v>3876</v>
      </c>
      <c r="N6" s="145" t="s">
        <v>3876</v>
      </c>
      <c r="O6" s="145" t="s">
        <v>3876</v>
      </c>
      <c r="P6" s="145" t="s">
        <v>3876</v>
      </c>
      <c r="Q6" s="145" t="s">
        <v>3876</v>
      </c>
      <c r="R6" s="145" t="s">
        <v>3876</v>
      </c>
      <c r="S6" s="145" t="s">
        <v>3876</v>
      </c>
      <c r="T6" s="145" t="s">
        <v>3876</v>
      </c>
      <c r="U6" s="145" t="s">
        <v>3876</v>
      </c>
      <c r="V6" s="145" t="s">
        <v>3876</v>
      </c>
      <c r="W6" s="145" t="s">
        <v>3876</v>
      </c>
      <c r="X6" s="145" t="s">
        <v>3876</v>
      </c>
      <c r="Y6" s="145" t="s">
        <v>3876</v>
      </c>
      <c r="Z6" s="145" t="s">
        <v>3876</v>
      </c>
      <c r="AA6" s="145" t="s">
        <v>3876</v>
      </c>
      <c r="AB6" s="145" t="s">
        <v>3876</v>
      </c>
      <c r="AC6" s="145" t="s">
        <v>3876</v>
      </c>
      <c r="AD6" s="145" t="s">
        <v>3876</v>
      </c>
      <c r="AE6" s="145" t="s">
        <v>3876</v>
      </c>
      <c r="AF6" s="145" t="s">
        <v>3876</v>
      </c>
      <c r="AG6" s="145" t="s">
        <v>3876</v>
      </c>
      <c r="AH6" s="145" t="s">
        <v>3876</v>
      </c>
      <c r="AI6" s="145" t="s">
        <v>3876</v>
      </c>
      <c r="AJ6" s="145" t="s">
        <v>3876</v>
      </c>
      <c r="AK6" s="145" t="s">
        <v>3876</v>
      </c>
      <c r="AL6" s="145" t="s">
        <v>3876</v>
      </c>
      <c r="AM6" s="145" t="s">
        <v>3876</v>
      </c>
      <c r="AN6" s="156" t="s">
        <v>3876</v>
      </c>
      <c r="AO6" s="186"/>
    </row>
    <row r="7" spans="1:41" ht="15" x14ac:dyDescent="0.2">
      <c r="A7" s="154" t="s">
        <v>1220</v>
      </c>
      <c r="B7" s="155" t="s">
        <v>1222</v>
      </c>
      <c r="C7" s="145" t="s">
        <v>3876</v>
      </c>
      <c r="D7" s="145" t="s">
        <v>3876</v>
      </c>
      <c r="E7" s="145" t="s">
        <v>3876</v>
      </c>
      <c r="F7" s="145" t="s">
        <v>3876</v>
      </c>
      <c r="G7" s="145" t="s">
        <v>3876</v>
      </c>
      <c r="H7" s="145" t="s">
        <v>3876</v>
      </c>
      <c r="I7" s="145" t="s">
        <v>3876</v>
      </c>
      <c r="J7" s="145" t="s">
        <v>3876</v>
      </c>
      <c r="K7" s="145" t="s">
        <v>3876</v>
      </c>
      <c r="L7" s="145" t="s">
        <v>3876</v>
      </c>
      <c r="M7" s="145" t="s">
        <v>3876</v>
      </c>
      <c r="N7" s="145" t="s">
        <v>3876</v>
      </c>
      <c r="O7" s="145" t="s">
        <v>3876</v>
      </c>
      <c r="P7" s="145" t="s">
        <v>3876</v>
      </c>
      <c r="Q7" s="145" t="s">
        <v>3876</v>
      </c>
      <c r="R7" s="145" t="s">
        <v>3876</v>
      </c>
      <c r="S7" s="145" t="s">
        <v>3876</v>
      </c>
      <c r="T7" s="145" t="s">
        <v>3876</v>
      </c>
      <c r="U7" s="145" t="s">
        <v>3876</v>
      </c>
      <c r="V7" s="145" t="s">
        <v>3876</v>
      </c>
      <c r="W7" s="145" t="s">
        <v>3876</v>
      </c>
      <c r="X7" s="145" t="s">
        <v>3876</v>
      </c>
      <c r="Y7" s="145" t="s">
        <v>3876</v>
      </c>
      <c r="Z7" s="145" t="s">
        <v>3876</v>
      </c>
      <c r="AA7" s="145" t="s">
        <v>3876</v>
      </c>
      <c r="AB7" s="145" t="s">
        <v>3876</v>
      </c>
      <c r="AC7" s="145" t="s">
        <v>3876</v>
      </c>
      <c r="AD7" s="145" t="s">
        <v>3876</v>
      </c>
      <c r="AE7" s="145" t="s">
        <v>3876</v>
      </c>
      <c r="AF7" s="145" t="s">
        <v>3876</v>
      </c>
      <c r="AG7" s="145" t="s">
        <v>3876</v>
      </c>
      <c r="AH7" s="145" t="s">
        <v>3876</v>
      </c>
      <c r="AI7" s="145" t="s">
        <v>3876</v>
      </c>
      <c r="AJ7" s="145" t="s">
        <v>3876</v>
      </c>
      <c r="AK7" s="145" t="s">
        <v>3876</v>
      </c>
      <c r="AL7" s="145" t="s">
        <v>3876</v>
      </c>
      <c r="AM7" s="145" t="s">
        <v>3876</v>
      </c>
      <c r="AN7" s="156" t="s">
        <v>3876</v>
      </c>
      <c r="AO7" s="186"/>
    </row>
    <row r="8" spans="1:41" ht="15" x14ac:dyDescent="0.2">
      <c r="A8" s="157" t="s">
        <v>1220</v>
      </c>
      <c r="B8" s="158" t="s">
        <v>1220</v>
      </c>
      <c r="C8" s="151" t="s">
        <v>3876</v>
      </c>
      <c r="D8" s="151" t="s">
        <v>3876</v>
      </c>
      <c r="E8" s="151" t="s">
        <v>3876</v>
      </c>
      <c r="F8" s="151" t="s">
        <v>3876</v>
      </c>
      <c r="G8" s="151" t="s">
        <v>3876</v>
      </c>
      <c r="H8" s="151" t="s">
        <v>3876</v>
      </c>
      <c r="I8" s="151" t="s">
        <v>3876</v>
      </c>
      <c r="J8" s="151" t="s">
        <v>3876</v>
      </c>
      <c r="K8" s="151" t="s">
        <v>3876</v>
      </c>
      <c r="L8" s="151" t="s">
        <v>3876</v>
      </c>
      <c r="M8" s="151" t="s">
        <v>3876</v>
      </c>
      <c r="N8" s="151" t="s">
        <v>3876</v>
      </c>
      <c r="O8" s="151" t="s">
        <v>3876</v>
      </c>
      <c r="P8" s="151" t="s">
        <v>3876</v>
      </c>
      <c r="Q8" s="151" t="s">
        <v>3876</v>
      </c>
      <c r="R8" s="151" t="s">
        <v>3876</v>
      </c>
      <c r="S8" s="151" t="s">
        <v>3876</v>
      </c>
      <c r="T8" s="151" t="s">
        <v>3876</v>
      </c>
      <c r="U8" s="151" t="s">
        <v>3876</v>
      </c>
      <c r="V8" s="151" t="s">
        <v>3876</v>
      </c>
      <c r="W8" s="151" t="s">
        <v>3876</v>
      </c>
      <c r="X8" s="151" t="s">
        <v>3876</v>
      </c>
      <c r="Y8" s="151" t="s">
        <v>3876</v>
      </c>
      <c r="Z8" s="151" t="s">
        <v>3876</v>
      </c>
      <c r="AA8" s="151" t="s">
        <v>3876</v>
      </c>
      <c r="AB8" s="151" t="s">
        <v>3876</v>
      </c>
      <c r="AC8" s="151" t="s">
        <v>3876</v>
      </c>
      <c r="AD8" s="151" t="s">
        <v>3876</v>
      </c>
      <c r="AE8" s="151" t="s">
        <v>3876</v>
      </c>
      <c r="AF8" s="151" t="s">
        <v>3876</v>
      </c>
      <c r="AG8" s="151" t="s">
        <v>3876</v>
      </c>
      <c r="AH8" s="151" t="s">
        <v>3876</v>
      </c>
      <c r="AI8" s="151" t="s">
        <v>3876</v>
      </c>
      <c r="AJ8" s="151" t="s">
        <v>3876</v>
      </c>
      <c r="AK8" s="151" t="s">
        <v>3876</v>
      </c>
      <c r="AL8" s="151" t="s">
        <v>3876</v>
      </c>
      <c r="AM8" s="151" t="s">
        <v>3876</v>
      </c>
      <c r="AN8" s="159" t="s">
        <v>3876</v>
      </c>
      <c r="AO8" s="186"/>
    </row>
    <row r="9" spans="1:41" x14ac:dyDescent="0.2">
      <c r="A9" s="185" t="s">
        <v>3893</v>
      </c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</row>
    <row r="10" spans="1:41" x14ac:dyDescent="0.2">
      <c r="A10" s="99" t="s">
        <v>3892</v>
      </c>
      <c r="B10" s="99"/>
      <c r="C10" s="99"/>
      <c r="D10" s="99"/>
      <c r="E10" s="16"/>
      <c r="F10" s="99"/>
      <c r="G10" s="99"/>
      <c r="H10" s="16"/>
      <c r="I10" s="99"/>
      <c r="J10" s="16"/>
      <c r="K10" s="16"/>
      <c r="L10" s="99"/>
      <c r="M10" s="99"/>
      <c r="N10" s="99"/>
      <c r="O10" s="99"/>
      <c r="P10" s="99"/>
      <c r="Q10" s="99"/>
      <c r="R10" s="16"/>
      <c r="S10" s="99"/>
      <c r="T10" s="99"/>
      <c r="U10" s="99"/>
      <c r="V10" s="99"/>
      <c r="W10" s="99"/>
      <c r="X10" s="99"/>
      <c r="Y10" s="16"/>
      <c r="Z10" s="16"/>
      <c r="AA10" s="99"/>
      <c r="AB10" s="99"/>
      <c r="AD10" s="99"/>
      <c r="AE10" s="99"/>
      <c r="AF10" s="99"/>
      <c r="AG10" s="99"/>
      <c r="AH10" s="99"/>
      <c r="AL10" s="99"/>
    </row>
    <row r="11" spans="1:41" x14ac:dyDescent="0.2">
      <c r="A11" s="179"/>
      <c r="B11" s="99"/>
      <c r="C11" s="99"/>
      <c r="D11" s="99"/>
      <c r="E11" s="16"/>
      <c r="F11" s="99"/>
      <c r="G11" s="99"/>
      <c r="H11" s="16"/>
      <c r="I11" s="99"/>
      <c r="J11" s="16"/>
      <c r="K11" s="16"/>
      <c r="L11" s="99"/>
      <c r="M11" s="99"/>
      <c r="N11" s="99"/>
      <c r="O11" s="99"/>
      <c r="P11" s="99"/>
      <c r="Q11" s="99"/>
      <c r="R11" s="16"/>
      <c r="S11" s="99"/>
      <c r="T11" s="99"/>
      <c r="U11" s="99"/>
      <c r="V11" s="99"/>
      <c r="W11" s="99"/>
      <c r="X11" s="99"/>
      <c r="Y11" s="16"/>
      <c r="Z11" s="16"/>
      <c r="AA11" s="99"/>
      <c r="AB11" s="99"/>
      <c r="AD11" s="99"/>
      <c r="AE11" s="99"/>
      <c r="AF11" s="99"/>
      <c r="AG11" s="99"/>
      <c r="AH11" s="99"/>
      <c r="AL11" s="99"/>
    </row>
    <row r="12" spans="1:41" x14ac:dyDescent="0.2">
      <c r="A12" s="99"/>
      <c r="B12" s="99"/>
      <c r="C12" s="99"/>
      <c r="D12" s="99"/>
      <c r="E12" s="16"/>
      <c r="F12" s="99"/>
      <c r="G12" s="99"/>
      <c r="H12" s="16"/>
      <c r="I12" s="99"/>
      <c r="J12" s="16"/>
      <c r="K12" s="16"/>
      <c r="L12" s="99"/>
      <c r="M12" s="99"/>
      <c r="N12" s="99"/>
      <c r="O12" s="99"/>
      <c r="P12" s="99"/>
      <c r="Q12" s="99"/>
      <c r="R12" s="16"/>
      <c r="S12" s="99"/>
      <c r="T12" s="99"/>
      <c r="U12" s="99"/>
      <c r="V12" s="99"/>
      <c r="W12" s="99"/>
      <c r="X12" s="99"/>
      <c r="Y12" s="16"/>
      <c r="Z12" s="16"/>
      <c r="AA12" s="99"/>
      <c r="AB12" s="99"/>
      <c r="AD12" s="99"/>
      <c r="AE12" s="99"/>
      <c r="AF12" s="99"/>
      <c r="AG12" s="99"/>
      <c r="AH12" s="99"/>
      <c r="AI12" s="99"/>
      <c r="AK12" s="99"/>
      <c r="AL12" s="99"/>
    </row>
    <row r="13" spans="1:41" x14ac:dyDescent="0.2">
      <c r="A13" s="99"/>
      <c r="B13" s="99"/>
      <c r="C13" s="99"/>
      <c r="D13" s="99"/>
      <c r="E13" s="16"/>
      <c r="F13" s="99"/>
      <c r="G13" s="99"/>
      <c r="H13" s="16"/>
      <c r="I13" s="99"/>
      <c r="J13" s="16"/>
      <c r="K13" s="16"/>
      <c r="L13" s="99"/>
      <c r="M13" s="99"/>
      <c r="N13" s="99"/>
      <c r="O13" s="99"/>
      <c r="P13" s="99"/>
      <c r="Q13" s="99"/>
      <c r="R13" s="16"/>
      <c r="S13" s="99"/>
      <c r="T13" s="99"/>
      <c r="U13" s="99"/>
      <c r="V13" s="99"/>
      <c r="W13" s="99"/>
      <c r="X13" s="99"/>
      <c r="Y13" s="16"/>
      <c r="Z13" s="16"/>
      <c r="AA13" s="99"/>
      <c r="AB13" s="99"/>
      <c r="AD13" s="99"/>
      <c r="AE13" s="99"/>
      <c r="AF13" s="99"/>
      <c r="AG13" s="99"/>
      <c r="AH13" s="99"/>
      <c r="AI13" s="99"/>
      <c r="AK13" s="99"/>
      <c r="AL13" s="99"/>
    </row>
    <row r="14" spans="1:41" x14ac:dyDescent="0.2">
      <c r="A14" s="99"/>
      <c r="B14" s="99"/>
      <c r="C14" s="99"/>
      <c r="D14" s="99"/>
      <c r="E14" s="16"/>
      <c r="F14" s="99"/>
      <c r="G14" s="99"/>
      <c r="H14" s="16"/>
      <c r="I14" s="99"/>
      <c r="J14" s="16"/>
      <c r="K14" s="16"/>
      <c r="L14" s="99"/>
      <c r="M14" s="99"/>
      <c r="N14" s="99"/>
      <c r="O14" s="99"/>
      <c r="P14" s="99"/>
      <c r="Q14" s="99"/>
      <c r="R14" s="16"/>
      <c r="S14" s="99"/>
      <c r="T14" s="99"/>
      <c r="U14" s="99"/>
      <c r="V14" s="99"/>
      <c r="W14" s="99"/>
      <c r="X14" s="99"/>
      <c r="Y14" s="16"/>
      <c r="Z14" s="16"/>
      <c r="AA14" s="99"/>
      <c r="AB14" s="99"/>
      <c r="AD14" s="99"/>
      <c r="AE14" s="99"/>
      <c r="AF14" s="99"/>
      <c r="AG14" s="99"/>
      <c r="AH14" s="99"/>
      <c r="AI14" s="99"/>
      <c r="AK14" s="99"/>
      <c r="AL14" s="99"/>
    </row>
    <row r="15" spans="1:41" x14ac:dyDescent="0.2">
      <c r="A15" s="99"/>
      <c r="B15" s="99"/>
      <c r="C15" s="99"/>
      <c r="D15" s="99"/>
      <c r="E15" s="16"/>
      <c r="F15" s="99"/>
      <c r="G15" s="99"/>
      <c r="H15" s="16"/>
      <c r="I15" s="99"/>
      <c r="J15" s="16"/>
      <c r="K15" s="16"/>
      <c r="L15" s="99"/>
      <c r="M15" s="99"/>
      <c r="N15" s="99"/>
      <c r="O15" s="99"/>
      <c r="P15" s="99"/>
      <c r="Q15" s="99"/>
      <c r="R15" s="16"/>
      <c r="S15" s="99"/>
      <c r="T15" s="99"/>
      <c r="U15" s="99"/>
      <c r="V15" s="99"/>
      <c r="W15" s="99"/>
      <c r="X15" s="99"/>
      <c r="Y15" s="16"/>
      <c r="Z15" s="16"/>
      <c r="AA15" s="99"/>
      <c r="AB15" s="99"/>
      <c r="AD15" s="99"/>
      <c r="AE15" s="99"/>
      <c r="AF15" s="99"/>
      <c r="AG15" s="99"/>
      <c r="AH15" s="99"/>
      <c r="AI15" s="99"/>
      <c r="AK15" s="99"/>
      <c r="AL15" s="99"/>
    </row>
    <row r="16" spans="1:41" x14ac:dyDescent="0.2">
      <c r="A16" s="99"/>
      <c r="B16" s="99"/>
      <c r="C16" s="99"/>
      <c r="D16" s="99"/>
      <c r="E16" s="16"/>
      <c r="F16" s="99"/>
      <c r="G16" s="99"/>
      <c r="H16" s="16"/>
      <c r="I16" s="99"/>
      <c r="J16" s="16"/>
      <c r="K16" s="16"/>
      <c r="L16" s="99"/>
      <c r="M16" s="99"/>
      <c r="N16" s="99"/>
      <c r="O16" s="99"/>
      <c r="P16" s="99"/>
      <c r="Q16" s="99"/>
      <c r="R16" s="16"/>
      <c r="S16" s="99"/>
      <c r="T16" s="99"/>
      <c r="U16" s="99"/>
      <c r="V16" s="99"/>
      <c r="W16" s="99"/>
      <c r="X16" s="99"/>
      <c r="Y16" s="16"/>
      <c r="Z16" s="16"/>
      <c r="AA16" s="99"/>
      <c r="AB16" s="99"/>
      <c r="AD16" s="99"/>
      <c r="AE16" s="99"/>
      <c r="AF16" s="99"/>
      <c r="AG16" s="99"/>
      <c r="AH16" s="99"/>
      <c r="AI16" s="99"/>
      <c r="AK16" s="99"/>
      <c r="AL16" s="99"/>
    </row>
    <row r="17" spans="1:38" x14ac:dyDescent="0.2">
      <c r="A17" s="99"/>
      <c r="B17" s="99"/>
      <c r="C17" s="99"/>
      <c r="D17" s="99"/>
      <c r="E17" s="16"/>
      <c r="F17" s="99"/>
      <c r="G17" s="99"/>
      <c r="H17" s="16"/>
      <c r="I17" s="99"/>
      <c r="J17" s="16"/>
      <c r="K17" s="16"/>
      <c r="L17" s="99"/>
      <c r="M17" s="99"/>
      <c r="N17" s="99"/>
      <c r="O17" s="99"/>
      <c r="P17" s="99"/>
      <c r="Q17" s="99"/>
      <c r="R17" s="16"/>
      <c r="S17" s="99"/>
      <c r="T17" s="99"/>
      <c r="U17" s="99"/>
      <c r="V17" s="99"/>
      <c r="W17" s="99"/>
      <c r="X17" s="99"/>
      <c r="Y17" s="16"/>
      <c r="Z17" s="16"/>
      <c r="AA17" s="99"/>
      <c r="AB17" s="99"/>
      <c r="AD17" s="99"/>
      <c r="AE17" s="99"/>
      <c r="AF17" s="99"/>
      <c r="AG17" s="99"/>
      <c r="AH17" s="99"/>
      <c r="AI17" s="99"/>
      <c r="AK17" s="99"/>
      <c r="AL17" s="99"/>
    </row>
    <row r="18" spans="1:38" x14ac:dyDescent="0.2">
      <c r="A18" s="99"/>
      <c r="B18" s="99"/>
      <c r="C18" s="99"/>
      <c r="D18" s="99"/>
      <c r="E18" s="16"/>
      <c r="F18" s="99"/>
      <c r="G18" s="99"/>
      <c r="H18" s="16"/>
      <c r="I18" s="99"/>
      <c r="J18" s="16"/>
      <c r="K18" s="16"/>
      <c r="L18" s="99"/>
      <c r="M18" s="99"/>
      <c r="N18" s="99"/>
      <c r="O18" s="99"/>
      <c r="P18" s="99"/>
      <c r="Q18" s="99"/>
      <c r="R18" s="16"/>
      <c r="S18" s="99"/>
      <c r="T18" s="99"/>
      <c r="U18" s="99"/>
      <c r="V18" s="99"/>
      <c r="W18" s="99"/>
      <c r="X18" s="99"/>
      <c r="Y18" s="16"/>
      <c r="Z18" s="16"/>
      <c r="AA18" s="99"/>
      <c r="AB18" s="99"/>
      <c r="AD18" s="99"/>
      <c r="AE18" s="99"/>
      <c r="AF18" s="99"/>
      <c r="AG18" s="99"/>
      <c r="AH18" s="99"/>
      <c r="AI18" s="99"/>
      <c r="AK18" s="99"/>
      <c r="AL18" s="99"/>
    </row>
    <row r="19" spans="1:38" x14ac:dyDescent="0.2">
      <c r="A19" s="99"/>
      <c r="B19" s="99"/>
      <c r="C19" s="99"/>
      <c r="D19" s="99"/>
      <c r="E19" s="16"/>
      <c r="F19" s="99"/>
      <c r="G19" s="99"/>
      <c r="H19" s="16"/>
      <c r="I19" s="99"/>
      <c r="J19" s="16"/>
      <c r="K19" s="16"/>
      <c r="L19" s="99"/>
      <c r="M19" s="99"/>
      <c r="N19" s="99"/>
      <c r="O19" s="99"/>
      <c r="P19" s="99"/>
      <c r="Q19" s="99"/>
      <c r="R19" s="16"/>
      <c r="S19" s="99"/>
      <c r="T19" s="99"/>
      <c r="U19" s="99"/>
      <c r="V19" s="99"/>
      <c r="W19" s="99"/>
      <c r="X19" s="99"/>
      <c r="Y19" s="16"/>
      <c r="Z19" s="16"/>
      <c r="AA19" s="99"/>
      <c r="AB19" s="99"/>
      <c r="AD19" s="99"/>
      <c r="AE19" s="99"/>
      <c r="AF19" s="99"/>
      <c r="AG19" s="99"/>
      <c r="AH19" s="99"/>
      <c r="AI19" s="99"/>
      <c r="AK19" s="99"/>
      <c r="AL19" s="99"/>
    </row>
    <row r="20" spans="1:38" x14ac:dyDescent="0.2">
      <c r="A20" s="99"/>
      <c r="B20" s="99"/>
      <c r="C20" s="99"/>
      <c r="D20" s="99"/>
      <c r="E20" s="16"/>
      <c r="F20" s="99"/>
      <c r="G20" s="99"/>
      <c r="H20" s="16"/>
      <c r="I20" s="99"/>
      <c r="J20" s="16"/>
      <c r="K20" s="16"/>
      <c r="L20" s="99"/>
      <c r="M20" s="99"/>
      <c r="N20" s="99"/>
      <c r="O20" s="99"/>
      <c r="P20" s="99"/>
      <c r="Q20" s="99"/>
      <c r="R20" s="16"/>
      <c r="S20" s="99"/>
      <c r="T20" s="99"/>
      <c r="U20" s="99"/>
      <c r="V20" s="99"/>
      <c r="W20" s="99"/>
      <c r="X20" s="99"/>
      <c r="Y20" s="16"/>
      <c r="Z20" s="16"/>
      <c r="AA20" s="99"/>
      <c r="AB20" s="99"/>
      <c r="AD20" s="99"/>
      <c r="AE20" s="99"/>
      <c r="AF20" s="99"/>
      <c r="AG20" s="99"/>
      <c r="AH20" s="99"/>
      <c r="AI20" s="99"/>
      <c r="AK20" s="99"/>
      <c r="AL20" s="99"/>
    </row>
    <row r="21" spans="1:38" x14ac:dyDescent="0.2">
      <c r="E21" s="16"/>
      <c r="H21" s="16"/>
      <c r="I21" s="99"/>
      <c r="J21" s="16"/>
      <c r="K21" s="16"/>
      <c r="L21" s="99"/>
      <c r="M21" s="99"/>
      <c r="P21" s="99"/>
      <c r="Q21" s="99"/>
      <c r="T21" s="99"/>
      <c r="U21" s="99"/>
      <c r="Y21" s="16"/>
      <c r="Z21" s="16"/>
      <c r="AA21" s="99"/>
      <c r="AB21" s="99"/>
      <c r="AL21" s="99"/>
    </row>
    <row r="22" spans="1:38" x14ac:dyDescent="0.2">
      <c r="E22"/>
      <c r="L22"/>
      <c r="Z22"/>
      <c r="AL22" s="98"/>
    </row>
    <row r="23" spans="1:38" x14ac:dyDescent="0.2">
      <c r="L23" s="98"/>
      <c r="T23" s="98"/>
      <c r="U23" s="98"/>
      <c r="AL23" s="98"/>
    </row>
    <row r="24" spans="1:38" x14ac:dyDescent="0.2">
      <c r="L24" s="98"/>
      <c r="T24" s="98"/>
      <c r="U24" s="98"/>
    </row>
    <row r="25" spans="1:38" x14ac:dyDescent="0.2">
      <c r="L25" s="98"/>
      <c r="T25" s="98"/>
      <c r="U25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AN9"/>
    <mergeCell ref="AO2:AO8"/>
  </mergeCells>
  <dataValidations count="15">
    <dataValidation type="list" allowBlank="1" showInputMessage="1" showErrorMessage="1" sqref="J10:J21">
      <formula1>israel_abroad</formula1>
    </dataValidation>
    <dataValidation type="list" allowBlank="1" showInputMessage="1" showErrorMessage="1" sqref="Q10:Q21">
      <formula1>What_is_rated</formula1>
    </dataValidation>
    <dataValidation type="list" allowBlank="1" showInputMessage="1" showErrorMessage="1" sqref="P10:P21">
      <formula1>Rating_Agency</formula1>
    </dataValidation>
    <dataValidation type="list" allowBlank="1" showInputMessage="1" showErrorMessage="1" sqref="M10:M21">
      <formula1>Holding_interest</formula1>
    </dataValidation>
    <dataValidation type="list" allowBlank="1" showInputMessage="1" showErrorMessage="1" sqref="K10:K21">
      <formula1>Country_list</formula1>
    </dataValidation>
    <dataValidation type="list" allowBlank="1" showInputMessage="1" showErrorMessage="1" sqref="AA10:AA21">
      <formula1>Valuation</formula1>
    </dataValidation>
    <dataValidation type="list" allowBlank="1" showInputMessage="1" showErrorMessage="1" sqref="AB10:AB21">
      <formula1>Dependence_Independence</formula1>
    </dataValidation>
    <dataValidation type="list" allowBlank="1" showInputMessage="1" showErrorMessage="1" sqref="U10:U21">
      <formula1>Underlying_Interest_Rates</formula1>
    </dataValidation>
    <dataValidation type="list" allowBlank="1" showInputMessage="1" showErrorMessage="1" sqref="T10:T21">
      <formula1>Linked_Type</formula1>
    </dataValidation>
    <dataValidation type="list" allowBlank="1" showInputMessage="1" showErrorMessage="1" sqref="Z10:Z21">
      <formula1>Yes_No_Bad_Debt</formula1>
    </dataValidation>
    <dataValidation type="list" allowBlank="1" showInputMessage="1" showErrorMessage="1" sqref="E10:E21">
      <formula1>Issuer_Number_Type_2</formula1>
    </dataValidation>
    <dataValidation type="list" allowBlank="1" showInputMessage="1" showErrorMessage="1" sqref="H10:H21">
      <formula1>Type_of_Security_ID_Fund</formula1>
    </dataValidation>
    <dataValidation type="list" allowBlank="1" showInputMessage="1" showErrorMessage="1" sqref="Y10:Y21">
      <formula1>Subordination_Risk</formula1>
    </dataValidation>
    <dataValidation type="list" allowBlank="1" showInputMessage="1" showErrorMessage="1" sqref="AL10:AL21">
      <formula1>In_the_books</formula1>
    </dataValidation>
    <dataValidation type="list" allowBlank="1" showInputMessage="1" showErrorMessage="1" sqref="L10:L21">
      <formula1>Industry_Sector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I10:I21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M26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29.5" style="2" bestFit="1" customWidth="1"/>
    <col min="4" max="4" width="22.25" style="2" bestFit="1" customWidth="1"/>
    <col min="5" max="5" width="18.125" style="4" customWidth="1"/>
    <col min="6" max="6" width="20.25" style="2" bestFit="1" customWidth="1"/>
    <col min="7" max="7" width="14.25" style="2" bestFit="1" customWidth="1"/>
    <col min="8" max="8" width="15.5" style="2" customWidth="1"/>
    <col min="9" max="9" width="22.75" style="2" bestFit="1" customWidth="1"/>
    <col min="10" max="10" width="10.625" style="2" customWidth="1"/>
    <col min="11" max="11" width="19.875" style="2" customWidth="1"/>
    <col min="12" max="12" width="13.75" style="4" customWidth="1"/>
    <col min="13" max="13" width="16.625" style="2" bestFit="1" customWidth="1"/>
    <col min="14" max="14" width="15.125" style="2" customWidth="1"/>
    <col min="15" max="15" width="12" style="2" customWidth="1"/>
    <col min="16" max="16" width="6.5" style="2" bestFit="1" customWidth="1"/>
    <col min="17" max="17" width="12.25" style="2" bestFit="1" customWidth="1"/>
    <col min="18" max="18" width="19" style="2" customWidth="1"/>
    <col min="19" max="19" width="11.75" style="2" customWidth="1"/>
    <col min="20" max="20" width="6.5" style="2" customWidth="1"/>
    <col min="21" max="21" width="9.875" style="2" bestFit="1" customWidth="1"/>
    <col min="22" max="22" width="12.25" style="2" customWidth="1"/>
    <col min="23" max="23" width="11.125" style="2" customWidth="1"/>
    <col min="24" max="24" width="11.875" style="4" customWidth="1"/>
    <col min="25" max="25" width="17.5" style="4" customWidth="1"/>
    <col min="26" max="26" width="14" style="2" customWidth="1"/>
    <col min="27" max="27" width="18.625" style="2" customWidth="1"/>
    <col min="28" max="28" width="16.375" style="2" customWidth="1"/>
    <col min="29" max="29" width="30" style="2" customWidth="1"/>
    <col min="30" max="30" width="14.875" style="2" customWidth="1"/>
    <col min="31" max="31" width="10.5" style="2" customWidth="1"/>
    <col min="32" max="32" width="12.875" style="2" customWidth="1"/>
    <col min="33" max="33" width="17.875" style="2" customWidth="1"/>
    <col min="34" max="34" width="21.375" style="2" customWidth="1"/>
    <col min="35" max="35" width="24.625" style="2" customWidth="1"/>
    <col min="36" max="36" width="22" style="2" customWidth="1"/>
    <col min="37" max="37" width="21.75" style="2" customWidth="1"/>
    <col min="38" max="38" width="20.125" style="2" customWidth="1"/>
    <col min="39" max="16384" width="9" style="2"/>
  </cols>
  <sheetData>
    <row r="1" spans="1:39" x14ac:dyDescent="0.2">
      <c r="A1" s="2" t="s">
        <v>3912</v>
      </c>
    </row>
    <row r="2" spans="1:39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89</v>
      </c>
      <c r="M2" s="140" t="s">
        <v>83</v>
      </c>
      <c r="N2" s="140" t="s">
        <v>56</v>
      </c>
      <c r="O2" s="140" t="s">
        <v>97</v>
      </c>
      <c r="P2" s="140" t="s">
        <v>71</v>
      </c>
      <c r="Q2" s="140" t="s">
        <v>58</v>
      </c>
      <c r="R2" s="140" t="s">
        <v>84</v>
      </c>
      <c r="S2" s="140" t="s">
        <v>59</v>
      </c>
      <c r="T2" s="140" t="s">
        <v>72</v>
      </c>
      <c r="U2" s="140" t="s">
        <v>73</v>
      </c>
      <c r="V2" s="140" t="s">
        <v>74</v>
      </c>
      <c r="W2" s="140" t="s">
        <v>62</v>
      </c>
      <c r="X2" s="140" t="s">
        <v>86</v>
      </c>
      <c r="Y2" s="140" t="s">
        <v>87</v>
      </c>
      <c r="Z2" s="140" t="s">
        <v>103</v>
      </c>
      <c r="AA2" s="140" t="s">
        <v>104</v>
      </c>
      <c r="AB2" s="140" t="s">
        <v>106</v>
      </c>
      <c r="AC2" s="140" t="s">
        <v>107</v>
      </c>
      <c r="AD2" s="140" t="s">
        <v>76</v>
      </c>
      <c r="AE2" s="140" t="s">
        <v>61</v>
      </c>
      <c r="AF2" s="140" t="s">
        <v>77</v>
      </c>
      <c r="AG2" s="140" t="s">
        <v>63</v>
      </c>
      <c r="AH2" s="140" t="s">
        <v>78</v>
      </c>
      <c r="AI2" s="140" t="s">
        <v>88</v>
      </c>
      <c r="AJ2" s="140" t="s">
        <v>17</v>
      </c>
      <c r="AK2" s="140" t="s">
        <v>64</v>
      </c>
      <c r="AL2" s="141" t="s">
        <v>65</v>
      </c>
      <c r="AM2" s="181" t="s">
        <v>3894</v>
      </c>
    </row>
    <row r="3" spans="1:39" ht="15" x14ac:dyDescent="0.2">
      <c r="A3" s="142" t="s">
        <v>1205</v>
      </c>
      <c r="B3" s="143" t="s">
        <v>1215</v>
      </c>
      <c r="C3" s="143" t="s">
        <v>3060</v>
      </c>
      <c r="D3" s="143" t="s">
        <v>3061</v>
      </c>
      <c r="E3" s="143" t="s">
        <v>309</v>
      </c>
      <c r="F3" s="143" t="s">
        <v>3062</v>
      </c>
      <c r="G3" s="143" t="s">
        <v>3063</v>
      </c>
      <c r="H3" s="143" t="s">
        <v>321</v>
      </c>
      <c r="I3" s="143" t="s">
        <v>951</v>
      </c>
      <c r="J3" s="143" t="s">
        <v>204</v>
      </c>
      <c r="K3" s="143" t="s">
        <v>204</v>
      </c>
      <c r="L3" s="143" t="s">
        <v>314</v>
      </c>
      <c r="M3" s="143" t="s">
        <v>465</v>
      </c>
      <c r="N3" s="143" t="s">
        <v>339</v>
      </c>
      <c r="O3" s="143" t="s">
        <v>3064</v>
      </c>
      <c r="P3" s="143" t="s">
        <v>3065</v>
      </c>
      <c r="Q3" s="143" t="s">
        <v>415</v>
      </c>
      <c r="R3" s="143" t="s">
        <v>407</v>
      </c>
      <c r="S3" s="143" t="s">
        <v>1210</v>
      </c>
      <c r="T3" s="144">
        <v>0.08</v>
      </c>
      <c r="U3" s="143" t="s">
        <v>3066</v>
      </c>
      <c r="V3" s="146">
        <v>0.46870000000000001</v>
      </c>
      <c r="W3" s="146">
        <v>0.23910000000000001</v>
      </c>
      <c r="X3" s="143" t="s">
        <v>412</v>
      </c>
      <c r="Y3" s="145" t="s">
        <v>3876</v>
      </c>
      <c r="Z3" s="143" t="s">
        <v>884</v>
      </c>
      <c r="AA3" s="143" t="s">
        <v>888</v>
      </c>
      <c r="AB3" s="160">
        <v>45473</v>
      </c>
      <c r="AC3" s="161">
        <v>45473</v>
      </c>
      <c r="AD3" s="144">
        <v>264.3</v>
      </c>
      <c r="AE3" s="145" t="s">
        <v>3876</v>
      </c>
      <c r="AF3" s="143" t="s">
        <v>3067</v>
      </c>
      <c r="AG3" s="144">
        <v>0</v>
      </c>
      <c r="AH3" s="145" t="s">
        <v>3876</v>
      </c>
      <c r="AI3" s="145" t="s">
        <v>3876</v>
      </c>
      <c r="AJ3" s="145" t="s">
        <v>3876</v>
      </c>
      <c r="AK3" s="146">
        <v>1</v>
      </c>
      <c r="AL3" s="147">
        <v>1.2550026080605402E-8</v>
      </c>
      <c r="AM3" s="181"/>
    </row>
    <row r="4" spans="1:39" ht="15" x14ac:dyDescent="0.2">
      <c r="A4" s="142" t="s">
        <v>1205</v>
      </c>
      <c r="B4" s="143" t="s">
        <v>1205</v>
      </c>
      <c r="C4" s="143" t="s">
        <v>3068</v>
      </c>
      <c r="D4" s="143" t="s">
        <v>3069</v>
      </c>
      <c r="E4" s="143" t="s">
        <v>309</v>
      </c>
      <c r="F4" s="143" t="s">
        <v>3070</v>
      </c>
      <c r="G4" s="143" t="s">
        <v>3071</v>
      </c>
      <c r="H4" s="143" t="s">
        <v>321</v>
      </c>
      <c r="I4" s="143" t="s">
        <v>951</v>
      </c>
      <c r="J4" s="143" t="s">
        <v>204</v>
      </c>
      <c r="K4" s="143" t="s">
        <v>204</v>
      </c>
      <c r="L4" s="143" t="s">
        <v>314</v>
      </c>
      <c r="M4" s="143" t="s">
        <v>464</v>
      </c>
      <c r="N4" s="143" t="s">
        <v>339</v>
      </c>
      <c r="O4" s="143" t="s">
        <v>3072</v>
      </c>
      <c r="P4" s="143" t="s">
        <v>1396</v>
      </c>
      <c r="Q4" s="143" t="s">
        <v>415</v>
      </c>
      <c r="R4" s="143" t="s">
        <v>407</v>
      </c>
      <c r="S4" s="143" t="s">
        <v>1210</v>
      </c>
      <c r="T4" s="144">
        <v>1.92</v>
      </c>
      <c r="U4" s="143" t="s">
        <v>1523</v>
      </c>
      <c r="V4" s="146">
        <v>5.3100000000000001E-2</v>
      </c>
      <c r="W4" s="146">
        <v>3.1E-2</v>
      </c>
      <c r="X4" s="143" t="s">
        <v>412</v>
      </c>
      <c r="Y4" s="145" t="s">
        <v>3876</v>
      </c>
      <c r="Z4" s="143" t="s">
        <v>886</v>
      </c>
      <c r="AA4" s="143" t="s">
        <v>889</v>
      </c>
      <c r="AB4" s="160">
        <v>45473</v>
      </c>
      <c r="AC4" s="161">
        <v>45473</v>
      </c>
      <c r="AD4" s="144">
        <v>506078.83</v>
      </c>
      <c r="AE4" s="145" t="s">
        <v>3876</v>
      </c>
      <c r="AF4" s="143" t="s">
        <v>3073</v>
      </c>
      <c r="AG4" s="144">
        <v>486.08870000000002</v>
      </c>
      <c r="AH4" s="145" t="s">
        <v>3876</v>
      </c>
      <c r="AI4" s="145" t="s">
        <v>3876</v>
      </c>
      <c r="AJ4" s="145" t="s">
        <v>3876</v>
      </c>
      <c r="AK4" s="146">
        <v>0.50027757601231959</v>
      </c>
      <c r="AL4" s="147">
        <v>4.8887049043662856E-4</v>
      </c>
      <c r="AM4" s="181"/>
    </row>
    <row r="5" spans="1:39" ht="15" x14ac:dyDescent="0.2">
      <c r="A5" s="142" t="s">
        <v>1205</v>
      </c>
      <c r="B5" s="143" t="s">
        <v>1205</v>
      </c>
      <c r="C5" s="143" t="s">
        <v>3060</v>
      </c>
      <c r="D5" s="143" t="s">
        <v>3061</v>
      </c>
      <c r="E5" s="143" t="s">
        <v>309</v>
      </c>
      <c r="F5" s="143" t="s">
        <v>3062</v>
      </c>
      <c r="G5" s="143" t="s">
        <v>3063</v>
      </c>
      <c r="H5" s="143" t="s">
        <v>321</v>
      </c>
      <c r="I5" s="143" t="s">
        <v>951</v>
      </c>
      <c r="J5" s="143" t="s">
        <v>204</v>
      </c>
      <c r="K5" s="143" t="s">
        <v>204</v>
      </c>
      <c r="L5" s="143" t="s">
        <v>314</v>
      </c>
      <c r="M5" s="143" t="s">
        <v>465</v>
      </c>
      <c r="N5" s="143" t="s">
        <v>339</v>
      </c>
      <c r="O5" s="143" t="s">
        <v>3064</v>
      </c>
      <c r="P5" s="143" t="s">
        <v>3065</v>
      </c>
      <c r="Q5" s="143" t="s">
        <v>415</v>
      </c>
      <c r="R5" s="143" t="s">
        <v>407</v>
      </c>
      <c r="S5" s="143" t="s">
        <v>1210</v>
      </c>
      <c r="T5" s="144">
        <v>0.08</v>
      </c>
      <c r="U5" s="143" t="s">
        <v>3066</v>
      </c>
      <c r="V5" s="146">
        <v>0.46870000000000001</v>
      </c>
      <c r="W5" s="146">
        <v>0.23910000000000001</v>
      </c>
      <c r="X5" s="143" t="s">
        <v>412</v>
      </c>
      <c r="Y5" s="145" t="s">
        <v>3876</v>
      </c>
      <c r="Z5" s="143" t="s">
        <v>884</v>
      </c>
      <c r="AA5" s="143" t="s">
        <v>888</v>
      </c>
      <c r="AB5" s="160">
        <v>45473</v>
      </c>
      <c r="AC5" s="160">
        <v>45473</v>
      </c>
      <c r="AD5" s="144">
        <v>68679</v>
      </c>
      <c r="AE5" s="145" t="s">
        <v>3876</v>
      </c>
      <c r="AF5" s="143" t="s">
        <v>3067</v>
      </c>
      <c r="AG5" s="144">
        <v>6.9000000000000008E-3</v>
      </c>
      <c r="AH5" s="145" t="s">
        <v>3876</v>
      </c>
      <c r="AI5" s="145" t="s">
        <v>3876</v>
      </c>
      <c r="AJ5" s="145" t="s">
        <v>3876</v>
      </c>
      <c r="AK5" s="146">
        <v>7.0683730143929315E-6</v>
      </c>
      <c r="AL5" s="147">
        <v>6.9072034163094471E-9</v>
      </c>
      <c r="AM5" s="181"/>
    </row>
    <row r="6" spans="1:39" ht="15" x14ac:dyDescent="0.2">
      <c r="A6" s="142" t="s">
        <v>1205</v>
      </c>
      <c r="B6" s="143" t="s">
        <v>1205</v>
      </c>
      <c r="C6" s="143" t="s">
        <v>1936</v>
      </c>
      <c r="D6" s="143" t="s">
        <v>1937</v>
      </c>
      <c r="E6" s="143" t="s">
        <v>309</v>
      </c>
      <c r="F6" s="143" t="s">
        <v>3074</v>
      </c>
      <c r="G6" s="143" t="s">
        <v>3075</v>
      </c>
      <c r="H6" s="143" t="s">
        <v>321</v>
      </c>
      <c r="I6" s="143" t="s">
        <v>754</v>
      </c>
      <c r="J6" s="143" t="s">
        <v>204</v>
      </c>
      <c r="K6" s="143" t="s">
        <v>204</v>
      </c>
      <c r="L6" s="143" t="s">
        <v>314</v>
      </c>
      <c r="M6" s="143" t="s">
        <v>477</v>
      </c>
      <c r="N6" s="143" t="s">
        <v>339</v>
      </c>
      <c r="O6" s="143" t="s">
        <v>3076</v>
      </c>
      <c r="P6" s="143" t="s">
        <v>1224</v>
      </c>
      <c r="Q6" s="143" t="s">
        <v>413</v>
      </c>
      <c r="R6" s="143" t="s">
        <v>407</v>
      </c>
      <c r="S6" s="143" t="s">
        <v>1210</v>
      </c>
      <c r="T6" s="144">
        <v>9.0299999999999994</v>
      </c>
      <c r="U6" s="143" t="s">
        <v>3077</v>
      </c>
      <c r="V6" s="146">
        <v>3.4099999999999998E-2</v>
      </c>
      <c r="W6" s="146">
        <v>4.1000000000000002E-2</v>
      </c>
      <c r="X6" s="143" t="s">
        <v>412</v>
      </c>
      <c r="Y6" s="145" t="s">
        <v>3876</v>
      </c>
      <c r="Z6" s="143" t="s">
        <v>886</v>
      </c>
      <c r="AA6" s="143" t="s">
        <v>889</v>
      </c>
      <c r="AB6" s="160">
        <v>45473</v>
      </c>
      <c r="AC6" s="161">
        <v>45473</v>
      </c>
      <c r="AD6" s="144">
        <v>374242.67</v>
      </c>
      <c r="AE6" s="145" t="s">
        <v>3876</v>
      </c>
      <c r="AF6" s="143" t="s">
        <v>3078</v>
      </c>
      <c r="AG6" s="144">
        <v>485.54240000000004</v>
      </c>
      <c r="AH6" s="145" t="s">
        <v>3876</v>
      </c>
      <c r="AI6" s="145" t="s">
        <v>3876</v>
      </c>
      <c r="AJ6" s="145" t="s">
        <v>3876</v>
      </c>
      <c r="AK6" s="146">
        <v>0.49971535413277196</v>
      </c>
      <c r="AL6" s="147">
        <v>4.8832108806648943E-4</v>
      </c>
      <c r="AM6" s="181"/>
    </row>
    <row r="7" spans="1:39" ht="15" x14ac:dyDescent="0.2">
      <c r="A7" s="142" t="s">
        <v>1205</v>
      </c>
      <c r="B7" s="143" t="s">
        <v>1205</v>
      </c>
      <c r="C7" s="143" t="s">
        <v>3079</v>
      </c>
      <c r="D7" s="143" t="s">
        <v>3080</v>
      </c>
      <c r="E7" s="143" t="s">
        <v>309</v>
      </c>
      <c r="F7" s="143" t="s">
        <v>3081</v>
      </c>
      <c r="G7" s="143" t="s">
        <v>3082</v>
      </c>
      <c r="H7" s="143" t="s">
        <v>321</v>
      </c>
      <c r="I7" s="143" t="s">
        <v>754</v>
      </c>
      <c r="J7" s="143" t="s">
        <v>204</v>
      </c>
      <c r="K7" s="143" t="s">
        <v>204</v>
      </c>
      <c r="L7" s="143" t="s">
        <v>314</v>
      </c>
      <c r="M7" s="143" t="s">
        <v>451</v>
      </c>
      <c r="N7" s="143" t="s">
        <v>339</v>
      </c>
      <c r="O7" s="143" t="s">
        <v>3083</v>
      </c>
      <c r="P7" s="145" t="s">
        <v>3876</v>
      </c>
      <c r="Q7" s="143" t="s">
        <v>410</v>
      </c>
      <c r="R7" s="143" t="s">
        <v>410</v>
      </c>
      <c r="S7" s="143" t="s">
        <v>1210</v>
      </c>
      <c r="T7" s="144">
        <v>0.25</v>
      </c>
      <c r="U7" s="143" t="s">
        <v>3084</v>
      </c>
      <c r="V7" s="146">
        <v>1E-4</v>
      </c>
      <c r="W7" s="146">
        <v>5.1473999999999999E-2</v>
      </c>
      <c r="X7" s="143" t="s">
        <v>412</v>
      </c>
      <c r="Y7" s="145" t="s">
        <v>3876</v>
      </c>
      <c r="Z7" s="143" t="s">
        <v>884</v>
      </c>
      <c r="AA7" s="143" t="s">
        <v>888</v>
      </c>
      <c r="AB7" s="160">
        <v>45382</v>
      </c>
      <c r="AC7" s="161">
        <v>45382</v>
      </c>
      <c r="AD7" s="144">
        <v>93803.81</v>
      </c>
      <c r="AE7" s="145" t="s">
        <v>3876</v>
      </c>
      <c r="AF7" s="145" t="s">
        <v>3876</v>
      </c>
      <c r="AG7" s="144">
        <v>0</v>
      </c>
      <c r="AH7" s="145" t="s">
        <v>3876</v>
      </c>
      <c r="AI7" s="145" t="s">
        <v>3876</v>
      </c>
      <c r="AJ7" s="145" t="s">
        <v>3876</v>
      </c>
      <c r="AK7" s="146">
        <v>9.6541929738528782E-10</v>
      </c>
      <c r="AL7" s="147">
        <v>9.4340627687479757E-13</v>
      </c>
      <c r="AM7" s="181"/>
    </row>
    <row r="8" spans="1:39" ht="15" x14ac:dyDescent="0.2">
      <c r="A8" s="142" t="s">
        <v>1205</v>
      </c>
      <c r="B8" s="143" t="s">
        <v>1205</v>
      </c>
      <c r="C8" s="143" t="s">
        <v>3085</v>
      </c>
      <c r="D8" s="143" t="s">
        <v>3086</v>
      </c>
      <c r="E8" s="143" t="s">
        <v>309</v>
      </c>
      <c r="F8" s="143" t="s">
        <v>3087</v>
      </c>
      <c r="G8" s="143" t="s">
        <v>3088</v>
      </c>
      <c r="H8" s="143" t="s">
        <v>321</v>
      </c>
      <c r="I8" s="143" t="s">
        <v>754</v>
      </c>
      <c r="J8" s="143" t="s">
        <v>204</v>
      </c>
      <c r="K8" s="143" t="s">
        <v>204</v>
      </c>
      <c r="L8" s="143" t="s">
        <v>314</v>
      </c>
      <c r="M8" s="145" t="s">
        <v>3876</v>
      </c>
      <c r="N8" s="143" t="s">
        <v>339</v>
      </c>
      <c r="O8" s="143" t="s">
        <v>3089</v>
      </c>
      <c r="P8" s="145" t="s">
        <v>3876</v>
      </c>
      <c r="Q8" s="143" t="s">
        <v>410</v>
      </c>
      <c r="R8" s="143" t="s">
        <v>410</v>
      </c>
      <c r="S8" s="143" t="s">
        <v>1210</v>
      </c>
      <c r="T8" s="144">
        <v>0.01</v>
      </c>
      <c r="U8" s="143" t="s">
        <v>3090</v>
      </c>
      <c r="V8" s="146">
        <v>1E-4</v>
      </c>
      <c r="W8" s="146">
        <v>0.03</v>
      </c>
      <c r="X8" s="143" t="s">
        <v>412</v>
      </c>
      <c r="Y8" s="145" t="s">
        <v>3876</v>
      </c>
      <c r="Z8" s="143" t="s">
        <v>884</v>
      </c>
      <c r="AA8" s="143" t="s">
        <v>888</v>
      </c>
      <c r="AB8" s="160">
        <v>42915</v>
      </c>
      <c r="AC8" s="161">
        <v>42915</v>
      </c>
      <c r="AD8" s="144">
        <v>6646.11</v>
      </c>
      <c r="AE8" s="145" t="s">
        <v>3876</v>
      </c>
      <c r="AF8" s="145" t="s">
        <v>3876</v>
      </c>
      <c r="AG8" s="144">
        <v>0</v>
      </c>
      <c r="AH8" s="145" t="s">
        <v>3876</v>
      </c>
      <c r="AI8" s="145" t="s">
        <v>3876</v>
      </c>
      <c r="AJ8" s="145" t="s">
        <v>3876</v>
      </c>
      <c r="AK8" s="145" t="s">
        <v>3876</v>
      </c>
      <c r="AL8" s="156" t="s">
        <v>3876</v>
      </c>
      <c r="AM8" s="181"/>
    </row>
    <row r="9" spans="1:39" ht="15" x14ac:dyDescent="0.2">
      <c r="A9" s="142" t="s">
        <v>1205</v>
      </c>
      <c r="B9" s="143" t="s">
        <v>1205</v>
      </c>
      <c r="C9" s="143" t="s">
        <v>3085</v>
      </c>
      <c r="D9" s="143" t="s">
        <v>3086</v>
      </c>
      <c r="E9" s="143" t="s">
        <v>309</v>
      </c>
      <c r="F9" s="143" t="s">
        <v>3091</v>
      </c>
      <c r="G9" s="143" t="s">
        <v>3092</v>
      </c>
      <c r="H9" s="143" t="s">
        <v>312</v>
      </c>
      <c r="I9" s="143" t="s">
        <v>754</v>
      </c>
      <c r="J9" s="143" t="s">
        <v>204</v>
      </c>
      <c r="K9" s="143" t="s">
        <v>204</v>
      </c>
      <c r="L9" s="143" t="s">
        <v>314</v>
      </c>
      <c r="M9" s="145" t="s">
        <v>3876</v>
      </c>
      <c r="N9" s="143" t="s">
        <v>339</v>
      </c>
      <c r="O9" s="143" t="s">
        <v>3093</v>
      </c>
      <c r="P9" s="145" t="s">
        <v>3876</v>
      </c>
      <c r="Q9" s="143" t="s">
        <v>410</v>
      </c>
      <c r="R9" s="143" t="s">
        <v>410</v>
      </c>
      <c r="S9" s="143" t="s">
        <v>1210</v>
      </c>
      <c r="T9" s="144">
        <v>0.01</v>
      </c>
      <c r="U9" s="143" t="s">
        <v>3090</v>
      </c>
      <c r="V9" s="146">
        <v>1E-4</v>
      </c>
      <c r="W9" s="146">
        <v>0.03</v>
      </c>
      <c r="X9" s="143" t="s">
        <v>412</v>
      </c>
      <c r="Y9" s="145" t="s">
        <v>3876</v>
      </c>
      <c r="Z9" s="143" t="s">
        <v>884</v>
      </c>
      <c r="AA9" s="143" t="s">
        <v>888</v>
      </c>
      <c r="AB9" s="160">
        <v>42915</v>
      </c>
      <c r="AC9" s="161">
        <v>42915</v>
      </c>
      <c r="AD9" s="144">
        <v>6687.23</v>
      </c>
      <c r="AE9" s="145" t="s">
        <v>3876</v>
      </c>
      <c r="AF9" s="145" t="s">
        <v>3876</v>
      </c>
      <c r="AG9" s="144">
        <v>0</v>
      </c>
      <c r="AH9" s="145" t="s">
        <v>3876</v>
      </c>
      <c r="AI9" s="145" t="s">
        <v>3876</v>
      </c>
      <c r="AJ9" s="145" t="s">
        <v>3876</v>
      </c>
      <c r="AK9" s="145" t="s">
        <v>3876</v>
      </c>
      <c r="AL9" s="156" t="s">
        <v>3876</v>
      </c>
      <c r="AM9" s="181"/>
    </row>
    <row r="10" spans="1:39" ht="15" x14ac:dyDescent="0.2">
      <c r="A10" s="142" t="s">
        <v>1205</v>
      </c>
      <c r="B10" s="143" t="s">
        <v>1205</v>
      </c>
      <c r="C10" s="143" t="s">
        <v>3094</v>
      </c>
      <c r="D10" s="143" t="s">
        <v>3095</v>
      </c>
      <c r="E10" s="143" t="s">
        <v>313</v>
      </c>
      <c r="F10" s="143" t="s">
        <v>3096</v>
      </c>
      <c r="G10" s="143" t="s">
        <v>3097</v>
      </c>
      <c r="H10" s="143" t="s">
        <v>321</v>
      </c>
      <c r="I10" s="143" t="s">
        <v>755</v>
      </c>
      <c r="J10" s="143" t="s">
        <v>205</v>
      </c>
      <c r="K10" s="143" t="s">
        <v>224</v>
      </c>
      <c r="L10" s="143" t="s">
        <v>314</v>
      </c>
      <c r="M10" s="143" t="s">
        <v>539</v>
      </c>
      <c r="N10" s="143" t="s">
        <v>339</v>
      </c>
      <c r="O10" s="143" t="s">
        <v>3098</v>
      </c>
      <c r="P10" s="145" t="s">
        <v>3876</v>
      </c>
      <c r="Q10" s="143" t="s">
        <v>410</v>
      </c>
      <c r="R10" s="143" t="s">
        <v>410</v>
      </c>
      <c r="S10" s="143" t="s">
        <v>1211</v>
      </c>
      <c r="T10" s="144">
        <v>1.1349</v>
      </c>
      <c r="U10" s="143" t="s">
        <v>3099</v>
      </c>
      <c r="V10" s="146">
        <v>0.78749999999999998</v>
      </c>
      <c r="W10" s="143" t="s">
        <v>1266</v>
      </c>
      <c r="X10" s="143" t="s">
        <v>412</v>
      </c>
      <c r="Y10" s="145" t="s">
        <v>3876</v>
      </c>
      <c r="Z10" s="143" t="s">
        <v>884</v>
      </c>
      <c r="AA10" s="143" t="s">
        <v>888</v>
      </c>
      <c r="AB10" s="160">
        <v>45463</v>
      </c>
      <c r="AC10" s="161">
        <v>45463</v>
      </c>
      <c r="AD10" s="144">
        <v>133500</v>
      </c>
      <c r="AE10" s="143" t="s">
        <v>1212</v>
      </c>
      <c r="AF10" s="145" t="s">
        <v>3876</v>
      </c>
      <c r="AG10" s="144">
        <v>0</v>
      </c>
      <c r="AH10" s="145" t="s">
        <v>3876</v>
      </c>
      <c r="AI10" s="145" t="s">
        <v>3876</v>
      </c>
      <c r="AJ10" s="145" t="s">
        <v>3876</v>
      </c>
      <c r="AK10" s="146">
        <v>5.1647474344519494E-10</v>
      </c>
      <c r="AL10" s="147">
        <v>5.0469833794822467E-13</v>
      </c>
      <c r="AM10" s="181"/>
    </row>
    <row r="11" spans="1:39" ht="15" x14ac:dyDescent="0.2">
      <c r="A11" s="142" t="s">
        <v>1220</v>
      </c>
      <c r="B11" s="143" t="s">
        <v>1222</v>
      </c>
      <c r="C11" s="143" t="s">
        <v>3060</v>
      </c>
      <c r="D11" s="143" t="s">
        <v>3061</v>
      </c>
      <c r="E11" s="143" t="s">
        <v>309</v>
      </c>
      <c r="F11" s="143" t="s">
        <v>3062</v>
      </c>
      <c r="G11" s="143" t="s">
        <v>3063</v>
      </c>
      <c r="H11" s="143" t="s">
        <v>321</v>
      </c>
      <c r="I11" s="143" t="s">
        <v>951</v>
      </c>
      <c r="J11" s="143" t="s">
        <v>204</v>
      </c>
      <c r="K11" s="143" t="s">
        <v>204</v>
      </c>
      <c r="L11" s="143" t="s">
        <v>314</v>
      </c>
      <c r="M11" s="143" t="s">
        <v>465</v>
      </c>
      <c r="N11" s="143" t="s">
        <v>339</v>
      </c>
      <c r="O11" s="143" t="s">
        <v>3064</v>
      </c>
      <c r="P11" s="143" t="s">
        <v>3065</v>
      </c>
      <c r="Q11" s="143" t="s">
        <v>415</v>
      </c>
      <c r="R11" s="143" t="s">
        <v>407</v>
      </c>
      <c r="S11" s="143" t="s">
        <v>1210</v>
      </c>
      <c r="T11" s="144">
        <v>0.08</v>
      </c>
      <c r="U11" s="143" t="s">
        <v>3066</v>
      </c>
      <c r="V11" s="146">
        <v>0.46870000000000001</v>
      </c>
      <c r="W11" s="146">
        <v>0.23910000000000001</v>
      </c>
      <c r="X11" s="143" t="s">
        <v>412</v>
      </c>
      <c r="Y11" s="145" t="s">
        <v>3876</v>
      </c>
      <c r="Z11" s="143" t="s">
        <v>884</v>
      </c>
      <c r="AA11" s="143" t="s">
        <v>888</v>
      </c>
      <c r="AB11" s="160">
        <v>45473</v>
      </c>
      <c r="AC11" s="161">
        <v>45473</v>
      </c>
      <c r="AD11" s="144">
        <v>1704.6</v>
      </c>
      <c r="AE11" s="145" t="s">
        <v>3876</v>
      </c>
      <c r="AF11" s="143" t="s">
        <v>3067</v>
      </c>
      <c r="AG11" s="144">
        <v>2.0000000000000001E-4</v>
      </c>
      <c r="AH11" s="145" t="s">
        <v>3876</v>
      </c>
      <c r="AI11" s="145" t="s">
        <v>3876</v>
      </c>
      <c r="AJ11" s="145" t="s">
        <v>3876</v>
      </c>
      <c r="AK11" s="146">
        <v>1</v>
      </c>
      <c r="AL11" s="147">
        <v>1.4036799394750809E-8</v>
      </c>
      <c r="AM11" s="181"/>
    </row>
    <row r="12" spans="1:39" ht="15" x14ac:dyDescent="0.2">
      <c r="A12" s="142" t="s">
        <v>1220</v>
      </c>
      <c r="B12" s="143" t="s">
        <v>1220</v>
      </c>
      <c r="C12" s="143" t="s">
        <v>3068</v>
      </c>
      <c r="D12" s="143" t="s">
        <v>3069</v>
      </c>
      <c r="E12" s="143" t="s">
        <v>309</v>
      </c>
      <c r="F12" s="143" t="s">
        <v>3070</v>
      </c>
      <c r="G12" s="143" t="s">
        <v>3071</v>
      </c>
      <c r="H12" s="143" t="s">
        <v>321</v>
      </c>
      <c r="I12" s="143" t="s">
        <v>951</v>
      </c>
      <c r="J12" s="143" t="s">
        <v>204</v>
      </c>
      <c r="K12" s="143" t="s">
        <v>204</v>
      </c>
      <c r="L12" s="143" t="s">
        <v>314</v>
      </c>
      <c r="M12" s="143" t="s">
        <v>464</v>
      </c>
      <c r="N12" s="143" t="s">
        <v>339</v>
      </c>
      <c r="O12" s="143" t="s">
        <v>3072</v>
      </c>
      <c r="P12" s="143" t="s">
        <v>1396</v>
      </c>
      <c r="Q12" s="143" t="s">
        <v>415</v>
      </c>
      <c r="R12" s="143" t="s">
        <v>407</v>
      </c>
      <c r="S12" s="143" t="s">
        <v>1210</v>
      </c>
      <c r="T12" s="144">
        <v>1.92</v>
      </c>
      <c r="U12" s="143" t="s">
        <v>1523</v>
      </c>
      <c r="V12" s="146">
        <v>5.3100000000000001E-2</v>
      </c>
      <c r="W12" s="146">
        <v>3.1E-2</v>
      </c>
      <c r="X12" s="143" t="s">
        <v>412</v>
      </c>
      <c r="Y12" s="145" t="s">
        <v>3876</v>
      </c>
      <c r="Z12" s="143" t="s">
        <v>886</v>
      </c>
      <c r="AA12" s="143" t="s">
        <v>889</v>
      </c>
      <c r="AB12" s="160">
        <v>45473</v>
      </c>
      <c r="AC12" s="161">
        <v>45473</v>
      </c>
      <c r="AD12" s="144">
        <v>11618269.73</v>
      </c>
      <c r="AE12" s="145" t="s">
        <v>3876</v>
      </c>
      <c r="AF12" s="143" t="s">
        <v>3073</v>
      </c>
      <c r="AG12" s="144">
        <v>11159.348099999999</v>
      </c>
      <c r="AH12" s="145" t="s">
        <v>3876</v>
      </c>
      <c r="AI12" s="145" t="s">
        <v>3876</v>
      </c>
      <c r="AJ12" s="145" t="s">
        <v>3876</v>
      </c>
      <c r="AK12" s="146">
        <v>0.4442227623035746</v>
      </c>
      <c r="AL12" s="147">
        <v>4.9451611827382462E-4</v>
      </c>
      <c r="AM12" s="181"/>
    </row>
    <row r="13" spans="1:39" ht="15" x14ac:dyDescent="0.2">
      <c r="A13" s="142" t="s">
        <v>1220</v>
      </c>
      <c r="B13" s="143" t="s">
        <v>1220</v>
      </c>
      <c r="C13" s="143" t="s">
        <v>3060</v>
      </c>
      <c r="D13" s="143" t="s">
        <v>3061</v>
      </c>
      <c r="E13" s="143" t="s">
        <v>309</v>
      </c>
      <c r="F13" s="143" t="s">
        <v>3062</v>
      </c>
      <c r="G13" s="143" t="s">
        <v>3063</v>
      </c>
      <c r="H13" s="143" t="s">
        <v>321</v>
      </c>
      <c r="I13" s="143" t="s">
        <v>951</v>
      </c>
      <c r="J13" s="143" t="s">
        <v>204</v>
      </c>
      <c r="K13" s="143" t="s">
        <v>204</v>
      </c>
      <c r="L13" s="143" t="s">
        <v>314</v>
      </c>
      <c r="M13" s="143" t="s">
        <v>465</v>
      </c>
      <c r="N13" s="143" t="s">
        <v>339</v>
      </c>
      <c r="O13" s="143" t="s">
        <v>3064</v>
      </c>
      <c r="P13" s="143" t="s">
        <v>3065</v>
      </c>
      <c r="Q13" s="143" t="s">
        <v>415</v>
      </c>
      <c r="R13" s="143" t="s">
        <v>407</v>
      </c>
      <c r="S13" s="143" t="s">
        <v>1210</v>
      </c>
      <c r="T13" s="144">
        <v>0.08</v>
      </c>
      <c r="U13" s="143" t="s">
        <v>3066</v>
      </c>
      <c r="V13" s="146">
        <v>0.46870000000000001</v>
      </c>
      <c r="W13" s="146">
        <v>0.23910000000000001</v>
      </c>
      <c r="X13" s="143" t="s">
        <v>412</v>
      </c>
      <c r="Y13" s="145" t="s">
        <v>3876</v>
      </c>
      <c r="Z13" s="143" t="s">
        <v>884</v>
      </c>
      <c r="AA13" s="143" t="s">
        <v>888</v>
      </c>
      <c r="AB13" s="160">
        <v>45473</v>
      </c>
      <c r="AC13" s="161">
        <v>45473</v>
      </c>
      <c r="AD13" s="144">
        <v>2364431.6</v>
      </c>
      <c r="AE13" s="145" t="s">
        <v>3876</v>
      </c>
      <c r="AF13" s="143" t="s">
        <v>3067</v>
      </c>
      <c r="AG13" s="144">
        <v>0.2364</v>
      </c>
      <c r="AH13" s="145" t="s">
        <v>3876</v>
      </c>
      <c r="AI13" s="145" t="s">
        <v>3876</v>
      </c>
      <c r="AJ13" s="145" t="s">
        <v>3876</v>
      </c>
      <c r="AK13" s="146">
        <v>9.412147819999509E-6</v>
      </c>
      <c r="AL13" s="147">
        <v>1.0477758457106747E-8</v>
      </c>
      <c r="AM13" s="181"/>
    </row>
    <row r="14" spans="1:39" ht="15" x14ac:dyDescent="0.2">
      <c r="A14" s="142" t="s">
        <v>1220</v>
      </c>
      <c r="B14" s="143" t="s">
        <v>1220</v>
      </c>
      <c r="C14" s="143" t="s">
        <v>1936</v>
      </c>
      <c r="D14" s="143" t="s">
        <v>1937</v>
      </c>
      <c r="E14" s="143" t="s">
        <v>309</v>
      </c>
      <c r="F14" s="143" t="s">
        <v>3074</v>
      </c>
      <c r="G14" s="143" t="s">
        <v>3075</v>
      </c>
      <c r="H14" s="143" t="s">
        <v>321</v>
      </c>
      <c r="I14" s="143" t="s">
        <v>754</v>
      </c>
      <c r="J14" s="143" t="s">
        <v>204</v>
      </c>
      <c r="K14" s="143" t="s">
        <v>204</v>
      </c>
      <c r="L14" s="143" t="s">
        <v>314</v>
      </c>
      <c r="M14" s="143" t="s">
        <v>477</v>
      </c>
      <c r="N14" s="143" t="s">
        <v>339</v>
      </c>
      <c r="O14" s="143" t="s">
        <v>3076</v>
      </c>
      <c r="P14" s="143" t="s">
        <v>1224</v>
      </c>
      <c r="Q14" s="143" t="s">
        <v>413</v>
      </c>
      <c r="R14" s="143" t="s">
        <v>407</v>
      </c>
      <c r="S14" s="143" t="s">
        <v>1210</v>
      </c>
      <c r="T14" s="144">
        <v>9.0299999999999994</v>
      </c>
      <c r="U14" s="143" t="s">
        <v>3077</v>
      </c>
      <c r="V14" s="146">
        <v>3.4099999999999998E-2</v>
      </c>
      <c r="W14" s="146">
        <v>4.1000000000000002E-2</v>
      </c>
      <c r="X14" s="143" t="s">
        <v>412</v>
      </c>
      <c r="Y14" s="145" t="s">
        <v>3876</v>
      </c>
      <c r="Z14" s="143" t="s">
        <v>886</v>
      </c>
      <c r="AA14" s="143" t="s">
        <v>889</v>
      </c>
      <c r="AB14" s="160">
        <v>45473</v>
      </c>
      <c r="AC14" s="161">
        <v>45473</v>
      </c>
      <c r="AD14" s="144">
        <v>10090915.869999999</v>
      </c>
      <c r="AE14" s="145" t="s">
        <v>3876</v>
      </c>
      <c r="AF14" s="143" t="s">
        <v>3078</v>
      </c>
      <c r="AG14" s="144">
        <v>13091.9542</v>
      </c>
      <c r="AH14" s="145" t="s">
        <v>3876</v>
      </c>
      <c r="AI14" s="145" t="s">
        <v>3876</v>
      </c>
      <c r="AJ14" s="145" t="s">
        <v>3876</v>
      </c>
      <c r="AK14" s="146">
        <v>0.52115446541657129</v>
      </c>
      <c r="AL14" s="147">
        <v>5.8015776121519839E-4</v>
      </c>
      <c r="AM14" s="181"/>
    </row>
    <row r="15" spans="1:39" ht="15" x14ac:dyDescent="0.2">
      <c r="A15" s="142" t="s">
        <v>1220</v>
      </c>
      <c r="B15" s="143" t="s">
        <v>1220</v>
      </c>
      <c r="C15" s="143" t="s">
        <v>3079</v>
      </c>
      <c r="D15" s="143" t="s">
        <v>3080</v>
      </c>
      <c r="E15" s="143" t="s">
        <v>309</v>
      </c>
      <c r="F15" s="143" t="s">
        <v>3081</v>
      </c>
      <c r="G15" s="143" t="s">
        <v>3082</v>
      </c>
      <c r="H15" s="143" t="s">
        <v>321</v>
      </c>
      <c r="I15" s="143" t="s">
        <v>754</v>
      </c>
      <c r="J15" s="143" t="s">
        <v>204</v>
      </c>
      <c r="K15" s="143" t="s">
        <v>204</v>
      </c>
      <c r="L15" s="143" t="s">
        <v>314</v>
      </c>
      <c r="M15" s="143" t="s">
        <v>451</v>
      </c>
      <c r="N15" s="143" t="s">
        <v>339</v>
      </c>
      <c r="O15" s="143" t="s">
        <v>3083</v>
      </c>
      <c r="P15" s="145" t="s">
        <v>3876</v>
      </c>
      <c r="Q15" s="143" t="s">
        <v>410</v>
      </c>
      <c r="R15" s="143" t="s">
        <v>410</v>
      </c>
      <c r="S15" s="143" t="s">
        <v>1210</v>
      </c>
      <c r="T15" s="144">
        <v>0.25</v>
      </c>
      <c r="U15" s="143" t="s">
        <v>3084</v>
      </c>
      <c r="V15" s="146">
        <v>1E-4</v>
      </c>
      <c r="W15" s="146">
        <v>5.1473999999999999E-2</v>
      </c>
      <c r="X15" s="143" t="s">
        <v>412</v>
      </c>
      <c r="Y15" s="145" t="s">
        <v>3876</v>
      </c>
      <c r="Z15" s="143" t="s">
        <v>884</v>
      </c>
      <c r="AA15" s="143" t="s">
        <v>888</v>
      </c>
      <c r="AB15" s="160">
        <v>45382</v>
      </c>
      <c r="AC15" s="161">
        <v>45382</v>
      </c>
      <c r="AD15" s="144">
        <v>4577619.5999999996</v>
      </c>
      <c r="AE15" s="145" t="s">
        <v>3876</v>
      </c>
      <c r="AF15" s="145" t="s">
        <v>3876</v>
      </c>
      <c r="AG15" s="144">
        <v>0</v>
      </c>
      <c r="AH15" s="145" t="s">
        <v>3876</v>
      </c>
      <c r="AI15" s="145" t="s">
        <v>3876</v>
      </c>
      <c r="AJ15" s="145" t="s">
        <v>3876</v>
      </c>
      <c r="AK15" s="146">
        <v>1.8222236726546467E-9</v>
      </c>
      <c r="AL15" s="147">
        <v>2.0285294984772491E-12</v>
      </c>
      <c r="AM15" s="181"/>
    </row>
    <row r="16" spans="1:39" ht="15" x14ac:dyDescent="0.2">
      <c r="A16" s="142" t="s">
        <v>1220</v>
      </c>
      <c r="B16" s="143" t="s">
        <v>1220</v>
      </c>
      <c r="C16" s="143" t="s">
        <v>3100</v>
      </c>
      <c r="D16" s="143" t="s">
        <v>3101</v>
      </c>
      <c r="E16" s="143" t="s">
        <v>309</v>
      </c>
      <c r="F16" s="143" t="s">
        <v>3102</v>
      </c>
      <c r="G16" s="143" t="s">
        <v>3103</v>
      </c>
      <c r="H16" s="143" t="s">
        <v>321</v>
      </c>
      <c r="I16" s="143" t="s">
        <v>755</v>
      </c>
      <c r="J16" s="143" t="s">
        <v>204</v>
      </c>
      <c r="K16" s="143" t="s">
        <v>204</v>
      </c>
      <c r="L16" s="143" t="s">
        <v>314</v>
      </c>
      <c r="M16" s="143" t="s">
        <v>451</v>
      </c>
      <c r="N16" s="143" t="s">
        <v>339</v>
      </c>
      <c r="O16" s="143" t="s">
        <v>3104</v>
      </c>
      <c r="P16" s="143" t="s">
        <v>1502</v>
      </c>
      <c r="Q16" s="143" t="s">
        <v>415</v>
      </c>
      <c r="R16" s="143" t="s">
        <v>407</v>
      </c>
      <c r="S16" s="143" t="s">
        <v>1211</v>
      </c>
      <c r="T16" s="144">
        <v>1.45</v>
      </c>
      <c r="U16" s="143" t="s">
        <v>3105</v>
      </c>
      <c r="V16" s="146">
        <v>6.4600000000000005E-2</v>
      </c>
      <c r="W16" s="146">
        <v>7.9699999999999993E-2</v>
      </c>
      <c r="X16" s="143" t="s">
        <v>412</v>
      </c>
      <c r="Y16" s="145" t="s">
        <v>3876</v>
      </c>
      <c r="Z16" s="143" t="s">
        <v>886</v>
      </c>
      <c r="AA16" s="143" t="s">
        <v>889</v>
      </c>
      <c r="AB16" s="160">
        <v>45473</v>
      </c>
      <c r="AC16" s="161">
        <v>45473</v>
      </c>
      <c r="AD16" s="144">
        <v>217690.57</v>
      </c>
      <c r="AE16" s="143" t="s">
        <v>1212</v>
      </c>
      <c r="AF16" s="143" t="s">
        <v>3106</v>
      </c>
      <c r="AG16" s="144">
        <v>869.52440000000001</v>
      </c>
      <c r="AH16" s="145" t="s">
        <v>3876</v>
      </c>
      <c r="AI16" s="145" t="s">
        <v>3876</v>
      </c>
      <c r="AJ16" s="145" t="s">
        <v>3876</v>
      </c>
      <c r="AK16" s="146">
        <v>3.4613358309810445E-2</v>
      </c>
      <c r="AL16" s="147">
        <v>3.8532162339063365E-5</v>
      </c>
      <c r="AM16" s="181"/>
    </row>
    <row r="17" spans="1:39" ht="15" x14ac:dyDescent="0.2">
      <c r="A17" s="154" t="s">
        <v>1205</v>
      </c>
      <c r="B17" s="155" t="s">
        <v>1206</v>
      </c>
      <c r="C17" s="145" t="s">
        <v>3876</v>
      </c>
      <c r="D17" s="145" t="s">
        <v>3876</v>
      </c>
      <c r="E17" s="145" t="s">
        <v>3876</v>
      </c>
      <c r="F17" s="145" t="s">
        <v>3876</v>
      </c>
      <c r="G17" s="145" t="s">
        <v>3876</v>
      </c>
      <c r="H17" s="145" t="s">
        <v>3876</v>
      </c>
      <c r="I17" s="145" t="s">
        <v>3876</v>
      </c>
      <c r="J17" s="145" t="s">
        <v>3876</v>
      </c>
      <c r="K17" s="145" t="s">
        <v>3876</v>
      </c>
      <c r="L17" s="145" t="s">
        <v>3876</v>
      </c>
      <c r="M17" s="145" t="s">
        <v>3876</v>
      </c>
      <c r="N17" s="145" t="s">
        <v>3876</v>
      </c>
      <c r="O17" s="145" t="s">
        <v>3876</v>
      </c>
      <c r="P17" s="145" t="s">
        <v>3876</v>
      </c>
      <c r="Q17" s="145" t="s">
        <v>3876</v>
      </c>
      <c r="R17" s="145" t="s">
        <v>3876</v>
      </c>
      <c r="S17" s="145" t="s">
        <v>3876</v>
      </c>
      <c r="T17" s="145" t="s">
        <v>3876</v>
      </c>
      <c r="U17" s="145" t="s">
        <v>3876</v>
      </c>
      <c r="V17" s="145" t="s">
        <v>3876</v>
      </c>
      <c r="W17" s="145" t="s">
        <v>3876</v>
      </c>
      <c r="X17" s="145" t="s">
        <v>3876</v>
      </c>
      <c r="Y17" s="145" t="s">
        <v>3876</v>
      </c>
      <c r="Z17" s="145" t="s">
        <v>3876</v>
      </c>
      <c r="AA17" s="145" t="s">
        <v>3876</v>
      </c>
      <c r="AB17" s="145" t="s">
        <v>3876</v>
      </c>
      <c r="AC17" s="145" t="s">
        <v>3876</v>
      </c>
      <c r="AD17" s="145" t="s">
        <v>3876</v>
      </c>
      <c r="AE17" s="145" t="s">
        <v>3876</v>
      </c>
      <c r="AF17" s="145" t="s">
        <v>3876</v>
      </c>
      <c r="AG17" s="145" t="s">
        <v>3876</v>
      </c>
      <c r="AH17" s="145" t="s">
        <v>3876</v>
      </c>
      <c r="AI17" s="145" t="s">
        <v>3876</v>
      </c>
      <c r="AJ17" s="145" t="s">
        <v>3876</v>
      </c>
      <c r="AK17" s="145" t="s">
        <v>3876</v>
      </c>
      <c r="AL17" s="156" t="s">
        <v>3876</v>
      </c>
      <c r="AM17" s="181"/>
    </row>
    <row r="18" spans="1:39" ht="15" x14ac:dyDescent="0.2">
      <c r="A18" s="157" t="s">
        <v>1220</v>
      </c>
      <c r="B18" s="158" t="s">
        <v>1221</v>
      </c>
      <c r="C18" s="151" t="s">
        <v>3876</v>
      </c>
      <c r="D18" s="151" t="s">
        <v>3876</v>
      </c>
      <c r="E18" s="151" t="s">
        <v>3876</v>
      </c>
      <c r="F18" s="151" t="s">
        <v>3876</v>
      </c>
      <c r="G18" s="151" t="s">
        <v>3876</v>
      </c>
      <c r="H18" s="151" t="s">
        <v>3876</v>
      </c>
      <c r="I18" s="151" t="s">
        <v>3876</v>
      </c>
      <c r="J18" s="151" t="s">
        <v>3876</v>
      </c>
      <c r="K18" s="151" t="s">
        <v>3876</v>
      </c>
      <c r="L18" s="151" t="s">
        <v>3876</v>
      </c>
      <c r="M18" s="151" t="s">
        <v>3876</v>
      </c>
      <c r="N18" s="151" t="s">
        <v>3876</v>
      </c>
      <c r="O18" s="151" t="s">
        <v>3876</v>
      </c>
      <c r="P18" s="151" t="s">
        <v>3876</v>
      </c>
      <c r="Q18" s="151" t="s">
        <v>3876</v>
      </c>
      <c r="R18" s="151" t="s">
        <v>3876</v>
      </c>
      <c r="S18" s="151" t="s">
        <v>3876</v>
      </c>
      <c r="T18" s="151" t="s">
        <v>3876</v>
      </c>
      <c r="U18" s="151" t="s">
        <v>3876</v>
      </c>
      <c r="V18" s="151" t="s">
        <v>3876</v>
      </c>
      <c r="W18" s="151" t="s">
        <v>3876</v>
      </c>
      <c r="X18" s="151" t="s">
        <v>3876</v>
      </c>
      <c r="Y18" s="151" t="s">
        <v>3876</v>
      </c>
      <c r="Z18" s="151" t="s">
        <v>3876</v>
      </c>
      <c r="AA18" s="151" t="s">
        <v>3876</v>
      </c>
      <c r="AB18" s="151" t="s">
        <v>3876</v>
      </c>
      <c r="AC18" s="151" t="s">
        <v>3876</v>
      </c>
      <c r="AD18" s="151" t="s">
        <v>3876</v>
      </c>
      <c r="AE18" s="151" t="s">
        <v>3876</v>
      </c>
      <c r="AF18" s="151" t="s">
        <v>3876</v>
      </c>
      <c r="AG18" s="151" t="s">
        <v>3876</v>
      </c>
      <c r="AH18" s="151" t="s">
        <v>3876</v>
      </c>
      <c r="AI18" s="151" t="s">
        <v>3876</v>
      </c>
      <c r="AJ18" s="151" t="s">
        <v>3876</v>
      </c>
      <c r="AK18" s="151" t="s">
        <v>3876</v>
      </c>
      <c r="AL18" s="159" t="s">
        <v>3876</v>
      </c>
      <c r="AM18" s="181"/>
    </row>
    <row r="19" spans="1:39" x14ac:dyDescent="0.2">
      <c r="A19" s="185" t="s">
        <v>3893</v>
      </c>
      <c r="B19" s="185"/>
      <c r="C19" s="185"/>
      <c r="D19" s="185"/>
      <c r="E19" s="185"/>
      <c r="F19" s="185"/>
      <c r="G19" s="185"/>
      <c r="H19" s="185"/>
      <c r="I19" s="185"/>
      <c r="J19" s="185"/>
      <c r="K19" s="185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  <c r="AA19" s="185"/>
      <c r="AB19" s="185"/>
      <c r="AC19" s="185"/>
      <c r="AD19" s="185"/>
      <c r="AE19" s="185"/>
      <c r="AF19" s="185"/>
      <c r="AG19" s="185"/>
      <c r="AH19" s="185"/>
      <c r="AI19" s="185"/>
      <c r="AJ19" s="185"/>
      <c r="AK19" s="185"/>
      <c r="AL19" s="185"/>
    </row>
    <row r="20" spans="1:39" x14ac:dyDescent="0.2">
      <c r="A20" s="99" t="s">
        <v>3892</v>
      </c>
      <c r="B20" s="99"/>
      <c r="C20" s="99"/>
      <c r="D20" s="99"/>
      <c r="E20" s="16"/>
      <c r="F20" s="99"/>
      <c r="G20" s="99"/>
      <c r="H20" s="99"/>
      <c r="I20" s="99"/>
      <c r="J20" s="16"/>
      <c r="K20" s="16"/>
      <c r="L20" s="99"/>
      <c r="M20" s="99"/>
      <c r="N20" s="99"/>
      <c r="O20" s="99"/>
      <c r="P20" s="99"/>
      <c r="Q20" s="99"/>
      <c r="R20" s="99"/>
      <c r="S20" s="16"/>
      <c r="T20" s="99"/>
      <c r="U20" s="99"/>
      <c r="V20" s="99"/>
      <c r="W20"/>
      <c r="X20" s="16"/>
      <c r="Y20" s="16"/>
      <c r="Z20" s="99"/>
      <c r="AA20" s="99"/>
      <c r="AB20" s="98"/>
      <c r="AC20" s="99"/>
      <c r="AD20" s="99"/>
      <c r="AE20" s="99"/>
      <c r="AF20" s="99"/>
      <c r="AG20" s="99"/>
      <c r="AH20" s="99"/>
      <c r="AI20" s="99"/>
      <c r="AJ20" s="99"/>
    </row>
    <row r="21" spans="1:39" x14ac:dyDescent="0.2">
      <c r="A21" s="101"/>
      <c r="B21" s="98"/>
      <c r="C21" s="98"/>
      <c r="D21" s="98"/>
      <c r="E21" s="16"/>
      <c r="F21" s="98"/>
      <c r="G21" s="98"/>
      <c r="H21" s="99"/>
      <c r="I21" s="99"/>
      <c r="J21" s="16"/>
      <c r="K21" s="16"/>
      <c r="L21" s="99"/>
      <c r="M21" s="99"/>
      <c r="N21" s="99"/>
      <c r="O21" s="98"/>
      <c r="P21" s="98"/>
      <c r="Q21" s="99"/>
      <c r="R21" s="99"/>
      <c r="S21" s="98"/>
      <c r="T21" s="98"/>
      <c r="U21" s="98"/>
      <c r="V21" s="98"/>
      <c r="W21"/>
      <c r="X21" s="16"/>
      <c r="Y21" s="16"/>
      <c r="Z21" s="98"/>
      <c r="AA21" s="99"/>
      <c r="AB21" s="98"/>
      <c r="AC21" s="98"/>
      <c r="AD21" s="98"/>
      <c r="AE21" s="98"/>
      <c r="AF21" s="98"/>
      <c r="AG21" s="98"/>
      <c r="AH21" s="98"/>
      <c r="AI21" s="98"/>
      <c r="AJ21" s="99"/>
    </row>
    <row r="22" spans="1:39" customFormat="1" x14ac:dyDescent="0.2">
      <c r="L22" s="98"/>
      <c r="X22" s="4"/>
    </row>
    <row r="23" spans="1:39" x14ac:dyDescent="0.2">
      <c r="A23" s="98"/>
      <c r="B23" s="98"/>
      <c r="C23" s="98"/>
      <c r="D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</row>
    <row r="24" spans="1:39" x14ac:dyDescent="0.2">
      <c r="A24" s="98"/>
      <c r="B24" s="98"/>
      <c r="C24" s="98"/>
      <c r="D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</row>
    <row r="25" spans="1:39" x14ac:dyDescent="0.2">
      <c r="A25" s="98"/>
      <c r="B25" s="98"/>
      <c r="C25" s="98"/>
      <c r="D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</row>
    <row r="26" spans="1:39" x14ac:dyDescent="0.2">
      <c r="A26" s="98"/>
      <c r="B26" s="98"/>
      <c r="C26" s="98"/>
      <c r="D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9:AL19"/>
    <mergeCell ref="AM2:AM18"/>
  </mergeCells>
  <dataValidations count="15">
    <dataValidation type="list" allowBlank="1" showInputMessage="1" showErrorMessage="1" sqref="J3:J16 J20:J21">
      <formula1>israel_abroad</formula1>
    </dataValidation>
    <dataValidation type="list" allowBlank="1" showInputMessage="1" showErrorMessage="1" sqref="N3:N16 N20:N21">
      <formula1>Holding_interest</formula1>
    </dataValidation>
    <dataValidation type="list" allowBlank="1" showInputMessage="1" showErrorMessage="1" sqref="K3:K16 K20:K21">
      <formula1>Country_list</formula1>
    </dataValidation>
    <dataValidation type="list" allowBlank="1" showInputMessage="1" showErrorMessage="1" sqref="E4:E16 E20:E21">
      <formula1>Issuer_Number_Type_2</formula1>
    </dataValidation>
    <dataValidation type="list" allowBlank="1" showInputMessage="1" showErrorMessage="1" sqref="Q3:Q16 Q20:Q21">
      <formula1>Rating_Agency</formula1>
    </dataValidation>
    <dataValidation type="list" allowBlank="1" showInputMessage="1" showErrorMessage="1" sqref="P5 R3:R16 R20:R21">
      <formula1>What_is_rated</formula1>
    </dataValidation>
    <dataValidation type="list" allowBlank="1" showInputMessage="1" showErrorMessage="1" sqref="V5 X3:X16 X20:X21">
      <formula1>Subordination_Risk</formula1>
    </dataValidation>
    <dataValidation type="list" allowBlank="1" showInputMessage="1" showErrorMessage="1" sqref="Z3:Z16 Z20">
      <formula1>Valuation</formula1>
    </dataValidation>
    <dataValidation type="list" allowBlank="1" showInputMessage="1" showErrorMessage="1" sqref="AA3:AA16 AA20:AA21">
      <formula1>Dependence_Independence</formula1>
    </dataValidation>
    <dataValidation type="list" allowBlank="1" showInputMessage="1" showErrorMessage="1" sqref="Y20:Y21">
      <formula1>Yes_No_Bad_Debt</formula1>
    </dataValidation>
    <dataValidation type="list" allowBlank="1" showInputMessage="1" showErrorMessage="1" sqref="H3:H16 H20:H21">
      <formula1>Type_of_Security_ID_Fund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AJ20:AJ21">
      <formula1>In_the_books</formula1>
    </dataValidation>
    <dataValidation type="list" allowBlank="1" showInputMessage="1" showErrorMessage="1" sqref="M3:M7 M10:M16 M20:M21">
      <formula1>Industry_Sector</formula1>
    </dataValidation>
    <dataValidation type="list" allowBlank="1" showInputMessage="1" showErrorMessage="1" sqref="L3:L16 L20:L21">
      <formula1>tradeable_status_bonds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בחירה'!$C$934:$C$945</xm:f>
          </x14:formula1>
          <xm:sqref>I3:I16 I20:I21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A55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23.625" style="2" bestFit="1" customWidth="1"/>
    <col min="4" max="4" width="23" style="2" bestFit="1" customWidth="1"/>
    <col min="5" max="5" width="18.125" style="4" customWidth="1"/>
    <col min="6" max="6" width="47.125" style="2" bestFit="1" customWidth="1"/>
    <col min="7" max="7" width="12.75" style="2" customWidth="1"/>
    <col min="8" max="8" width="15.5" style="2" customWidth="1"/>
    <col min="9" max="9" width="12.75" style="2" bestFit="1" customWidth="1"/>
    <col min="10" max="10" width="10.625" style="2" customWidth="1"/>
    <col min="11" max="11" width="19.875" style="2" customWidth="1"/>
    <col min="12" max="12" width="13.75" style="4" customWidth="1"/>
    <col min="13" max="13" width="38.375" style="2" bestFit="1" customWidth="1"/>
    <col min="14" max="14" width="15.125" style="2" customWidth="1"/>
    <col min="15" max="15" width="12" style="2" customWidth="1"/>
    <col min="16" max="16" width="11.75" style="2" customWidth="1"/>
    <col min="17" max="17" width="14" style="2" customWidth="1"/>
    <col min="18" max="18" width="18.625" style="2" customWidth="1"/>
    <col min="19" max="19" width="16.375" style="2" customWidth="1"/>
    <col min="20" max="20" width="30" style="2" customWidth="1"/>
    <col min="21" max="21" width="14.875" style="2" customWidth="1"/>
    <col min="22" max="22" width="10.5" style="2" customWidth="1"/>
    <col min="23" max="23" width="12.875" style="2" customWidth="1"/>
    <col min="24" max="24" width="17.875" style="2" customWidth="1"/>
    <col min="25" max="25" width="21.75" style="2" customWidth="1"/>
    <col min="26" max="26" width="20.125" style="2" customWidth="1"/>
    <col min="27" max="16384" width="9" style="2"/>
  </cols>
  <sheetData>
    <row r="1" spans="1:27" x14ac:dyDescent="0.2">
      <c r="A1" s="2" t="s">
        <v>3913</v>
      </c>
    </row>
    <row r="2" spans="1:27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89</v>
      </c>
      <c r="M2" s="140" t="s">
        <v>83</v>
      </c>
      <c r="N2" s="140" t="s">
        <v>56</v>
      </c>
      <c r="O2" s="140" t="s">
        <v>97</v>
      </c>
      <c r="P2" s="140" t="s">
        <v>59</v>
      </c>
      <c r="Q2" s="140" t="s">
        <v>103</v>
      </c>
      <c r="R2" s="140" t="s">
        <v>104</v>
      </c>
      <c r="S2" s="140" t="s">
        <v>106</v>
      </c>
      <c r="T2" s="140" t="s">
        <v>107</v>
      </c>
      <c r="U2" s="140" t="s">
        <v>76</v>
      </c>
      <c r="V2" s="140" t="s">
        <v>61</v>
      </c>
      <c r="W2" s="140" t="s">
        <v>77</v>
      </c>
      <c r="X2" s="140" t="s">
        <v>63</v>
      </c>
      <c r="Y2" s="140" t="s">
        <v>64</v>
      </c>
      <c r="Z2" s="141" t="s">
        <v>65</v>
      </c>
      <c r="AA2" s="181" t="s">
        <v>3894</v>
      </c>
    </row>
    <row r="3" spans="1:27" ht="15" x14ac:dyDescent="0.2">
      <c r="A3" s="142" t="s">
        <v>1205</v>
      </c>
      <c r="B3" s="143" t="s">
        <v>1205</v>
      </c>
      <c r="C3" s="143" t="s">
        <v>3107</v>
      </c>
      <c r="D3" s="143" t="s">
        <v>3108</v>
      </c>
      <c r="E3" s="143" t="s">
        <v>309</v>
      </c>
      <c r="F3" s="143" t="s">
        <v>3109</v>
      </c>
      <c r="G3" s="143" t="s">
        <v>3110</v>
      </c>
      <c r="H3" s="143" t="s">
        <v>321</v>
      </c>
      <c r="I3" s="143" t="s">
        <v>765</v>
      </c>
      <c r="J3" s="143" t="s">
        <v>204</v>
      </c>
      <c r="K3" s="143" t="s">
        <v>204</v>
      </c>
      <c r="L3" s="143" t="s">
        <v>314</v>
      </c>
      <c r="M3" s="143" t="s">
        <v>483</v>
      </c>
      <c r="N3" s="143" t="s">
        <v>339</v>
      </c>
      <c r="O3" s="143" t="s">
        <v>3089</v>
      </c>
      <c r="P3" s="143" t="s">
        <v>1210</v>
      </c>
      <c r="Q3" s="143" t="s">
        <v>887</v>
      </c>
      <c r="R3" s="143" t="s">
        <v>889</v>
      </c>
      <c r="S3" s="161">
        <v>40291</v>
      </c>
      <c r="T3" s="161">
        <v>40291</v>
      </c>
      <c r="U3" s="144">
        <v>400</v>
      </c>
      <c r="V3" s="145" t="s">
        <v>3876</v>
      </c>
      <c r="W3" s="145" t="s">
        <v>3876</v>
      </c>
      <c r="X3" s="144">
        <v>0</v>
      </c>
      <c r="Y3" s="145" t="s">
        <v>3876</v>
      </c>
      <c r="Z3" s="156" t="s">
        <v>3876</v>
      </c>
      <c r="AA3" s="181"/>
    </row>
    <row r="4" spans="1:27" ht="15" x14ac:dyDescent="0.2">
      <c r="A4" s="142" t="s">
        <v>1205</v>
      </c>
      <c r="B4" s="143" t="s">
        <v>1205</v>
      </c>
      <c r="C4" s="143" t="s">
        <v>3111</v>
      </c>
      <c r="D4" s="143" t="s">
        <v>3112</v>
      </c>
      <c r="E4" s="143" t="s">
        <v>309</v>
      </c>
      <c r="F4" s="143" t="s">
        <v>3111</v>
      </c>
      <c r="G4" s="143" t="s">
        <v>3113</v>
      </c>
      <c r="H4" s="143" t="s">
        <v>312</v>
      </c>
      <c r="I4" s="143" t="s">
        <v>765</v>
      </c>
      <c r="J4" s="143" t="s">
        <v>204</v>
      </c>
      <c r="K4" s="143" t="s">
        <v>204</v>
      </c>
      <c r="L4" s="143" t="s">
        <v>314</v>
      </c>
      <c r="M4" s="143" t="s">
        <v>485</v>
      </c>
      <c r="N4" s="143" t="s">
        <v>339</v>
      </c>
      <c r="O4" s="143" t="s">
        <v>3114</v>
      </c>
      <c r="P4" s="143" t="s">
        <v>1210</v>
      </c>
      <c r="Q4" s="143" t="s">
        <v>885</v>
      </c>
      <c r="R4" s="143" t="s">
        <v>889</v>
      </c>
      <c r="S4" s="161">
        <v>45473</v>
      </c>
      <c r="T4" s="161">
        <v>45473</v>
      </c>
      <c r="U4" s="144">
        <v>7681913</v>
      </c>
      <c r="V4" s="145" t="s">
        <v>3876</v>
      </c>
      <c r="W4" s="143" t="s">
        <v>3115</v>
      </c>
      <c r="X4" s="144">
        <v>9378.6631999999991</v>
      </c>
      <c r="Y4" s="146">
        <v>0.29422492992791155</v>
      </c>
      <c r="Z4" s="147">
        <v>9.4323351540509647E-3</v>
      </c>
      <c r="AA4" s="181"/>
    </row>
    <row r="5" spans="1:27" ht="15" x14ac:dyDescent="0.2">
      <c r="A5" s="142" t="s">
        <v>1205</v>
      </c>
      <c r="B5" s="143" t="s">
        <v>1205</v>
      </c>
      <c r="C5" s="143" t="s">
        <v>3116</v>
      </c>
      <c r="D5" s="143" t="s">
        <v>3117</v>
      </c>
      <c r="E5" s="143" t="s">
        <v>309</v>
      </c>
      <c r="F5" s="143" t="s">
        <v>3118</v>
      </c>
      <c r="G5" s="143" t="s">
        <v>3119</v>
      </c>
      <c r="H5" s="143" t="s">
        <v>312</v>
      </c>
      <c r="I5" s="143" t="s">
        <v>765</v>
      </c>
      <c r="J5" s="143" t="s">
        <v>204</v>
      </c>
      <c r="K5" s="143" t="s">
        <v>204</v>
      </c>
      <c r="L5" s="143" t="s">
        <v>314</v>
      </c>
      <c r="M5" s="143" t="s">
        <v>463</v>
      </c>
      <c r="N5" s="143" t="s">
        <v>339</v>
      </c>
      <c r="O5" s="143" t="s">
        <v>3120</v>
      </c>
      <c r="P5" s="143" t="s">
        <v>1210</v>
      </c>
      <c r="Q5" s="143" t="s">
        <v>885</v>
      </c>
      <c r="R5" s="143" t="s">
        <v>889</v>
      </c>
      <c r="S5" s="161">
        <v>45382</v>
      </c>
      <c r="T5" s="161">
        <v>45382</v>
      </c>
      <c r="U5" s="144">
        <v>2963823</v>
      </c>
      <c r="V5" s="145" t="s">
        <v>3876</v>
      </c>
      <c r="W5" s="143" t="s">
        <v>3121</v>
      </c>
      <c r="X5" s="144">
        <v>9293.769400000001</v>
      </c>
      <c r="Y5" s="146">
        <v>0.29156166503532804</v>
      </c>
      <c r="Z5" s="147">
        <v>9.3469555532230547E-3</v>
      </c>
      <c r="AA5" s="181"/>
    </row>
    <row r="6" spans="1:27" x14ac:dyDescent="0.2">
      <c r="A6" s="142" t="s">
        <v>1205</v>
      </c>
      <c r="B6" s="143" t="s">
        <v>1205</v>
      </c>
      <c r="C6" s="143" t="s">
        <v>3122</v>
      </c>
      <c r="D6" s="143" t="s">
        <v>3123</v>
      </c>
      <c r="E6" s="143" t="s">
        <v>309</v>
      </c>
      <c r="F6" s="143" t="s">
        <v>3124</v>
      </c>
      <c r="G6" s="143" t="s">
        <v>3125</v>
      </c>
      <c r="H6" s="143" t="s">
        <v>312</v>
      </c>
      <c r="I6" s="143" t="s">
        <v>765</v>
      </c>
      <c r="J6" s="143" t="s">
        <v>204</v>
      </c>
      <c r="K6" s="143" t="s">
        <v>204</v>
      </c>
      <c r="L6" s="143" t="s">
        <v>314</v>
      </c>
      <c r="M6" s="143" t="s">
        <v>455</v>
      </c>
      <c r="N6" s="143" t="s">
        <v>339</v>
      </c>
      <c r="O6" s="143" t="s">
        <v>3126</v>
      </c>
      <c r="P6" s="143" t="s">
        <v>1211</v>
      </c>
      <c r="Q6" s="143" t="s">
        <v>887</v>
      </c>
      <c r="R6" s="143" t="s">
        <v>889</v>
      </c>
      <c r="S6" s="161">
        <v>45439</v>
      </c>
      <c r="T6" s="161">
        <v>45439</v>
      </c>
      <c r="U6" s="144">
        <v>66817</v>
      </c>
      <c r="V6" s="143" t="s">
        <v>1212</v>
      </c>
      <c r="W6" s="143" t="s">
        <v>3127</v>
      </c>
      <c r="X6" s="144">
        <v>2037.1498999999999</v>
      </c>
      <c r="Y6" s="146">
        <v>6.3908925815175877E-2</v>
      </c>
      <c r="Z6" s="147">
        <v>2.0488080590989146E-3</v>
      </c>
      <c r="AA6" s="181"/>
    </row>
    <row r="7" spans="1:27" x14ac:dyDescent="0.2">
      <c r="A7" s="142" t="s">
        <v>1205</v>
      </c>
      <c r="B7" s="143" t="s">
        <v>1205</v>
      </c>
      <c r="C7" s="143" t="s">
        <v>3128</v>
      </c>
      <c r="D7" s="143" t="s">
        <v>3129</v>
      </c>
      <c r="E7" s="143" t="s">
        <v>309</v>
      </c>
      <c r="F7" s="143" t="s">
        <v>3130</v>
      </c>
      <c r="G7" s="143" t="s">
        <v>3131</v>
      </c>
      <c r="H7" s="143" t="s">
        <v>312</v>
      </c>
      <c r="I7" s="143" t="s">
        <v>765</v>
      </c>
      <c r="J7" s="143" t="s">
        <v>204</v>
      </c>
      <c r="K7" s="143" t="s">
        <v>224</v>
      </c>
      <c r="L7" s="143" t="s">
        <v>314</v>
      </c>
      <c r="M7" s="143" t="s">
        <v>444</v>
      </c>
      <c r="N7" s="143" t="s">
        <v>339</v>
      </c>
      <c r="O7" s="143" t="s">
        <v>3132</v>
      </c>
      <c r="P7" s="143" t="s">
        <v>1211</v>
      </c>
      <c r="Q7" s="143" t="s">
        <v>887</v>
      </c>
      <c r="R7" s="143" t="s">
        <v>889</v>
      </c>
      <c r="S7" s="161">
        <v>45351</v>
      </c>
      <c r="T7" s="161">
        <v>45351</v>
      </c>
      <c r="U7" s="144">
        <v>287997.34000000003</v>
      </c>
      <c r="V7" s="143" t="s">
        <v>1212</v>
      </c>
      <c r="W7" s="143" t="s">
        <v>1504</v>
      </c>
      <c r="X7" s="144">
        <v>1082.5820000000001</v>
      </c>
      <c r="Y7" s="146">
        <v>3.3962474829770752E-2</v>
      </c>
      <c r="Z7" s="147">
        <v>1.0887773695244178E-3</v>
      </c>
      <c r="AA7" s="181"/>
    </row>
    <row r="8" spans="1:27" x14ac:dyDescent="0.2">
      <c r="A8" s="142" t="s">
        <v>1205</v>
      </c>
      <c r="B8" s="143" t="s">
        <v>1205</v>
      </c>
      <c r="C8" s="143" t="s">
        <v>3133</v>
      </c>
      <c r="D8" s="143" t="s">
        <v>3134</v>
      </c>
      <c r="E8" s="143" t="s">
        <v>309</v>
      </c>
      <c r="F8" s="143" t="s">
        <v>3135</v>
      </c>
      <c r="G8" s="143" t="s">
        <v>3136</v>
      </c>
      <c r="H8" s="143" t="s">
        <v>312</v>
      </c>
      <c r="I8" s="143" t="s">
        <v>765</v>
      </c>
      <c r="J8" s="143" t="s">
        <v>204</v>
      </c>
      <c r="K8" s="143" t="s">
        <v>296</v>
      </c>
      <c r="L8" s="143" t="s">
        <v>314</v>
      </c>
      <c r="M8" s="143" t="s">
        <v>449</v>
      </c>
      <c r="N8" s="143" t="s">
        <v>339</v>
      </c>
      <c r="O8" s="143" t="s">
        <v>3137</v>
      </c>
      <c r="P8" s="143" t="s">
        <v>1211</v>
      </c>
      <c r="Q8" s="143" t="s">
        <v>885</v>
      </c>
      <c r="R8" s="143" t="s">
        <v>889</v>
      </c>
      <c r="S8" s="161">
        <v>45351</v>
      </c>
      <c r="T8" s="161">
        <v>45351</v>
      </c>
      <c r="U8" s="144">
        <v>161600</v>
      </c>
      <c r="V8" s="143" t="s">
        <v>1212</v>
      </c>
      <c r="W8" s="143" t="s">
        <v>3138</v>
      </c>
      <c r="X8" s="144">
        <v>1060.1561000000002</v>
      </c>
      <c r="Y8" s="146">
        <v>3.3258936892140191E-2</v>
      </c>
      <c r="Z8" s="147">
        <v>1.0662231773186548E-3</v>
      </c>
      <c r="AA8" s="181"/>
    </row>
    <row r="9" spans="1:27" ht="15" x14ac:dyDescent="0.2">
      <c r="A9" s="142" t="s">
        <v>1205</v>
      </c>
      <c r="B9" s="143" t="s">
        <v>1205</v>
      </c>
      <c r="C9" s="143" t="s">
        <v>3116</v>
      </c>
      <c r="D9" s="143" t="s">
        <v>3117</v>
      </c>
      <c r="E9" s="143" t="s">
        <v>309</v>
      </c>
      <c r="F9" s="143" t="s">
        <v>3139</v>
      </c>
      <c r="G9" s="143" t="s">
        <v>3140</v>
      </c>
      <c r="H9" s="143" t="s">
        <v>312</v>
      </c>
      <c r="I9" s="143" t="s">
        <v>765</v>
      </c>
      <c r="J9" s="143" t="s">
        <v>204</v>
      </c>
      <c r="K9" s="143" t="s">
        <v>204</v>
      </c>
      <c r="L9" s="143" t="s">
        <v>314</v>
      </c>
      <c r="M9" s="143" t="s">
        <v>463</v>
      </c>
      <c r="N9" s="143" t="s">
        <v>339</v>
      </c>
      <c r="O9" s="143" t="s">
        <v>3141</v>
      </c>
      <c r="P9" s="143" t="s">
        <v>1210</v>
      </c>
      <c r="Q9" s="143" t="s">
        <v>885</v>
      </c>
      <c r="R9" s="143" t="s">
        <v>889</v>
      </c>
      <c r="S9" s="161">
        <v>45382</v>
      </c>
      <c r="T9" s="161">
        <v>45382</v>
      </c>
      <c r="U9" s="144">
        <v>658822.34</v>
      </c>
      <c r="V9" s="145" t="s">
        <v>3876</v>
      </c>
      <c r="W9" s="143" t="s">
        <v>3142</v>
      </c>
      <c r="X9" s="144">
        <v>873.3356</v>
      </c>
      <c r="Y9" s="146">
        <v>2.7398050862078173E-2</v>
      </c>
      <c r="Z9" s="147">
        <v>8.7833345176485894E-4</v>
      </c>
      <c r="AA9" s="181"/>
    </row>
    <row r="10" spans="1:27" x14ac:dyDescent="0.2">
      <c r="A10" s="142" t="s">
        <v>1205</v>
      </c>
      <c r="B10" s="143" t="s">
        <v>1205</v>
      </c>
      <c r="C10" s="143" t="s">
        <v>3143</v>
      </c>
      <c r="D10" s="143" t="s">
        <v>3144</v>
      </c>
      <c r="E10" s="143" t="s">
        <v>314</v>
      </c>
      <c r="F10" s="143" t="s">
        <v>3145</v>
      </c>
      <c r="G10" s="143" t="s">
        <v>3146</v>
      </c>
      <c r="H10" s="143" t="s">
        <v>312</v>
      </c>
      <c r="I10" s="143" t="s">
        <v>765</v>
      </c>
      <c r="J10" s="143" t="s">
        <v>204</v>
      </c>
      <c r="K10" s="143" t="s">
        <v>204</v>
      </c>
      <c r="L10" s="143" t="s">
        <v>314</v>
      </c>
      <c r="M10" s="143" t="s">
        <v>444</v>
      </c>
      <c r="N10" s="143" t="s">
        <v>339</v>
      </c>
      <c r="O10" s="143" t="s">
        <v>3147</v>
      </c>
      <c r="P10" s="143" t="s">
        <v>1211</v>
      </c>
      <c r="Q10" s="143" t="s">
        <v>887</v>
      </c>
      <c r="R10" s="143" t="s">
        <v>889</v>
      </c>
      <c r="S10" s="161">
        <v>45250</v>
      </c>
      <c r="T10" s="161">
        <v>45250</v>
      </c>
      <c r="U10" s="144">
        <v>274.20999999999998</v>
      </c>
      <c r="V10" s="143" t="s">
        <v>1212</v>
      </c>
      <c r="W10" s="143" t="s">
        <v>3148</v>
      </c>
      <c r="X10" s="144">
        <v>370.5566</v>
      </c>
      <c r="Y10" s="146">
        <v>1.1625002005901101E-2</v>
      </c>
      <c r="Z10" s="147">
        <v>3.7267717291338865E-4</v>
      </c>
      <c r="AA10" s="181"/>
    </row>
    <row r="11" spans="1:27" x14ac:dyDescent="0.2">
      <c r="A11" s="142" t="s">
        <v>1205</v>
      </c>
      <c r="B11" s="143" t="s">
        <v>1205</v>
      </c>
      <c r="C11" s="143" t="s">
        <v>3143</v>
      </c>
      <c r="D11" s="143" t="s">
        <v>3144</v>
      </c>
      <c r="E11" s="143" t="s">
        <v>314</v>
      </c>
      <c r="F11" s="143" t="s">
        <v>3149</v>
      </c>
      <c r="G11" s="143" t="s">
        <v>3150</v>
      </c>
      <c r="H11" s="143" t="s">
        <v>312</v>
      </c>
      <c r="I11" s="143" t="s">
        <v>765</v>
      </c>
      <c r="J11" s="143" t="s">
        <v>204</v>
      </c>
      <c r="K11" s="143" t="s">
        <v>204</v>
      </c>
      <c r="L11" s="143" t="s">
        <v>314</v>
      </c>
      <c r="M11" s="143" t="s">
        <v>444</v>
      </c>
      <c r="N11" s="143" t="s">
        <v>339</v>
      </c>
      <c r="O11" s="143" t="s">
        <v>3151</v>
      </c>
      <c r="P11" s="143" t="s">
        <v>1211</v>
      </c>
      <c r="Q11" s="143" t="s">
        <v>887</v>
      </c>
      <c r="R11" s="143" t="s">
        <v>889</v>
      </c>
      <c r="S11" s="161">
        <v>45250</v>
      </c>
      <c r="T11" s="161">
        <v>45250</v>
      </c>
      <c r="U11" s="144">
        <v>217.35</v>
      </c>
      <c r="V11" s="143" t="s">
        <v>1212</v>
      </c>
      <c r="W11" s="143" t="s">
        <v>3152</v>
      </c>
      <c r="X11" s="144">
        <v>315.77770000000004</v>
      </c>
      <c r="Y11" s="146">
        <v>9.9064943412077514E-3</v>
      </c>
      <c r="Z11" s="147">
        <v>3.1758483161462567E-4</v>
      </c>
      <c r="AA11" s="181"/>
    </row>
    <row r="12" spans="1:27" x14ac:dyDescent="0.2">
      <c r="A12" s="142" t="s">
        <v>1205</v>
      </c>
      <c r="B12" s="143" t="s">
        <v>1205</v>
      </c>
      <c r="C12" s="143" t="s">
        <v>3133</v>
      </c>
      <c r="D12" s="143" t="s">
        <v>3134</v>
      </c>
      <c r="E12" s="143" t="s">
        <v>309</v>
      </c>
      <c r="F12" s="143" t="s">
        <v>3133</v>
      </c>
      <c r="G12" s="143" t="s">
        <v>3153</v>
      </c>
      <c r="H12" s="143" t="s">
        <v>312</v>
      </c>
      <c r="I12" s="143" t="s">
        <v>765</v>
      </c>
      <c r="J12" s="143" t="s">
        <v>204</v>
      </c>
      <c r="K12" s="143" t="s">
        <v>296</v>
      </c>
      <c r="L12" s="143" t="s">
        <v>314</v>
      </c>
      <c r="M12" s="143" t="s">
        <v>449</v>
      </c>
      <c r="N12" s="143" t="s">
        <v>339</v>
      </c>
      <c r="O12" s="143" t="s">
        <v>3137</v>
      </c>
      <c r="P12" s="143" t="s">
        <v>1211</v>
      </c>
      <c r="Q12" s="143" t="s">
        <v>887</v>
      </c>
      <c r="R12" s="143" t="s">
        <v>889</v>
      </c>
      <c r="S12" s="161">
        <v>45302</v>
      </c>
      <c r="T12" s="161">
        <v>45302</v>
      </c>
      <c r="U12" s="144">
        <v>94800</v>
      </c>
      <c r="V12" s="143" t="s">
        <v>1212</v>
      </c>
      <c r="W12" s="143" t="s">
        <v>3154</v>
      </c>
      <c r="X12" s="144">
        <v>238.75659999999999</v>
      </c>
      <c r="Y12" s="146">
        <v>7.4902099834940105E-3</v>
      </c>
      <c r="Z12" s="147">
        <v>2.4012299350651268E-4</v>
      </c>
      <c r="AA12" s="181"/>
    </row>
    <row r="13" spans="1:27" ht="15" x14ac:dyDescent="0.2">
      <c r="A13" s="142" t="s">
        <v>1205</v>
      </c>
      <c r="B13" s="143" t="s">
        <v>1205</v>
      </c>
      <c r="C13" s="143" t="s">
        <v>2230</v>
      </c>
      <c r="D13" s="143" t="s">
        <v>2231</v>
      </c>
      <c r="E13" s="143" t="s">
        <v>309</v>
      </c>
      <c r="F13" s="143" t="s">
        <v>3155</v>
      </c>
      <c r="G13" s="143" t="s">
        <v>3156</v>
      </c>
      <c r="H13" s="143" t="s">
        <v>312</v>
      </c>
      <c r="I13" s="143" t="s">
        <v>765</v>
      </c>
      <c r="J13" s="143" t="s">
        <v>204</v>
      </c>
      <c r="K13" s="143" t="s">
        <v>204</v>
      </c>
      <c r="L13" s="143" t="s">
        <v>314</v>
      </c>
      <c r="M13" s="143" t="s">
        <v>451</v>
      </c>
      <c r="N13" s="143" t="s">
        <v>339</v>
      </c>
      <c r="O13" s="143" t="s">
        <v>3157</v>
      </c>
      <c r="P13" s="143" t="s">
        <v>1210</v>
      </c>
      <c r="Q13" s="143" t="s">
        <v>885</v>
      </c>
      <c r="R13" s="143" t="s">
        <v>889</v>
      </c>
      <c r="S13" s="161">
        <v>45259</v>
      </c>
      <c r="T13" s="161">
        <v>45259</v>
      </c>
      <c r="U13" s="144">
        <v>3798</v>
      </c>
      <c r="V13" s="145" t="s">
        <v>3876</v>
      </c>
      <c r="W13" s="143" t="s">
        <v>3158</v>
      </c>
      <c r="X13" s="144">
        <v>133.6874</v>
      </c>
      <c r="Y13" s="146">
        <v>4.1940069246783809E-3</v>
      </c>
      <c r="Z13" s="147">
        <v>1.344525053049364E-4</v>
      </c>
      <c r="AA13" s="181"/>
    </row>
    <row r="14" spans="1:27" x14ac:dyDescent="0.2">
      <c r="A14" s="142" t="s">
        <v>1205</v>
      </c>
      <c r="B14" s="143" t="s">
        <v>1205</v>
      </c>
      <c r="C14" s="143" t="s">
        <v>3143</v>
      </c>
      <c r="D14" s="143" t="s">
        <v>3144</v>
      </c>
      <c r="E14" s="143" t="s">
        <v>314</v>
      </c>
      <c r="F14" s="143" t="s">
        <v>3159</v>
      </c>
      <c r="G14" s="143" t="s">
        <v>3160</v>
      </c>
      <c r="H14" s="143" t="s">
        <v>312</v>
      </c>
      <c r="I14" s="143" t="s">
        <v>765</v>
      </c>
      <c r="J14" s="143" t="s">
        <v>204</v>
      </c>
      <c r="K14" s="143" t="s">
        <v>204</v>
      </c>
      <c r="L14" s="143" t="s">
        <v>314</v>
      </c>
      <c r="M14" s="143" t="s">
        <v>444</v>
      </c>
      <c r="N14" s="143" t="s">
        <v>339</v>
      </c>
      <c r="O14" s="143" t="s">
        <v>3161</v>
      </c>
      <c r="P14" s="143" t="s">
        <v>1211</v>
      </c>
      <c r="Q14" s="143" t="s">
        <v>887</v>
      </c>
      <c r="R14" s="143" t="s">
        <v>889</v>
      </c>
      <c r="S14" s="161">
        <v>45250</v>
      </c>
      <c r="T14" s="161">
        <v>45250</v>
      </c>
      <c r="U14" s="144">
        <v>70</v>
      </c>
      <c r="V14" s="143" t="s">
        <v>1212</v>
      </c>
      <c r="W14" s="143" t="s">
        <v>3162</v>
      </c>
      <c r="X14" s="144">
        <v>95.516199999999998</v>
      </c>
      <c r="Y14" s="146">
        <v>2.9965085282540275E-3</v>
      </c>
      <c r="Z14" s="147">
        <v>9.6062807245426147E-5</v>
      </c>
      <c r="AA14" s="181"/>
    </row>
    <row r="15" spans="1:27" ht="15" x14ac:dyDescent="0.2">
      <c r="A15" s="142" t="s">
        <v>1205</v>
      </c>
      <c r="B15" s="143" t="s">
        <v>1205</v>
      </c>
      <c r="C15" s="143" t="s">
        <v>3163</v>
      </c>
      <c r="D15" s="143" t="s">
        <v>3164</v>
      </c>
      <c r="E15" s="143" t="s">
        <v>309</v>
      </c>
      <c r="F15" s="143" t="s">
        <v>3163</v>
      </c>
      <c r="G15" s="143" t="s">
        <v>3165</v>
      </c>
      <c r="H15" s="143" t="s">
        <v>312</v>
      </c>
      <c r="I15" s="143" t="s">
        <v>765</v>
      </c>
      <c r="J15" s="143" t="s">
        <v>204</v>
      </c>
      <c r="K15" s="143" t="s">
        <v>204</v>
      </c>
      <c r="L15" s="143" t="s">
        <v>314</v>
      </c>
      <c r="M15" s="143" t="s">
        <v>447</v>
      </c>
      <c r="N15" s="143" t="s">
        <v>339</v>
      </c>
      <c r="O15" s="143" t="s">
        <v>3166</v>
      </c>
      <c r="P15" s="143" t="s">
        <v>1210</v>
      </c>
      <c r="Q15" s="143" t="s">
        <v>887</v>
      </c>
      <c r="R15" s="143" t="s">
        <v>889</v>
      </c>
      <c r="S15" s="161">
        <v>45473</v>
      </c>
      <c r="T15" s="161">
        <v>45473</v>
      </c>
      <c r="U15" s="144">
        <v>640000</v>
      </c>
      <c r="V15" s="145" t="s">
        <v>3876</v>
      </c>
      <c r="W15" s="143" t="s">
        <v>3167</v>
      </c>
      <c r="X15" s="144">
        <v>32</v>
      </c>
      <c r="Y15" s="146">
        <v>1.0038954956654875E-3</v>
      </c>
      <c r="Z15" s="147">
        <v>3.2183128659692526E-5</v>
      </c>
      <c r="AA15" s="181"/>
    </row>
    <row r="16" spans="1:27" x14ac:dyDescent="0.2">
      <c r="A16" s="142" t="s">
        <v>1205</v>
      </c>
      <c r="B16" s="143" t="s">
        <v>1205</v>
      </c>
      <c r="C16" s="143" t="s">
        <v>3168</v>
      </c>
      <c r="D16" s="143" t="s">
        <v>3169</v>
      </c>
      <c r="E16" s="143" t="s">
        <v>309</v>
      </c>
      <c r="F16" s="143" t="s">
        <v>3170</v>
      </c>
      <c r="G16" s="143" t="s">
        <v>3171</v>
      </c>
      <c r="H16" s="143" t="s">
        <v>312</v>
      </c>
      <c r="I16" s="143" t="s">
        <v>765</v>
      </c>
      <c r="J16" s="143" t="s">
        <v>204</v>
      </c>
      <c r="K16" s="143" t="s">
        <v>204</v>
      </c>
      <c r="L16" s="143" t="s">
        <v>314</v>
      </c>
      <c r="M16" s="143" t="s">
        <v>449</v>
      </c>
      <c r="N16" s="143" t="s">
        <v>339</v>
      </c>
      <c r="O16" s="143" t="s">
        <v>3172</v>
      </c>
      <c r="P16" s="143" t="s">
        <v>1211</v>
      </c>
      <c r="Q16" s="143" t="s">
        <v>887</v>
      </c>
      <c r="R16" s="143" t="s">
        <v>889</v>
      </c>
      <c r="S16" s="161">
        <v>45396</v>
      </c>
      <c r="T16" s="161">
        <v>45396</v>
      </c>
      <c r="U16" s="144">
        <v>130304</v>
      </c>
      <c r="V16" s="143" t="s">
        <v>1212</v>
      </c>
      <c r="W16" s="143" t="s">
        <v>3173</v>
      </c>
      <c r="X16" s="144">
        <v>21.551299999999998</v>
      </c>
      <c r="Y16" s="146">
        <v>6.7610073288625332E-4</v>
      </c>
      <c r="Z16" s="147">
        <v>2.167460354921358E-5</v>
      </c>
      <c r="AA16" s="181"/>
    </row>
    <row r="17" spans="1:27" ht="15" x14ac:dyDescent="0.2">
      <c r="A17" s="142" t="s">
        <v>1205</v>
      </c>
      <c r="B17" s="143" t="s">
        <v>1205</v>
      </c>
      <c r="C17" s="143" t="s">
        <v>3122</v>
      </c>
      <c r="D17" s="143" t="s">
        <v>3123</v>
      </c>
      <c r="E17" s="143" t="s">
        <v>309</v>
      </c>
      <c r="F17" s="143" t="s">
        <v>3174</v>
      </c>
      <c r="G17" s="143" t="s">
        <v>3175</v>
      </c>
      <c r="H17" s="143" t="s">
        <v>312</v>
      </c>
      <c r="I17" s="143" t="s">
        <v>765</v>
      </c>
      <c r="J17" s="143" t="s">
        <v>204</v>
      </c>
      <c r="K17" s="143" t="s">
        <v>204</v>
      </c>
      <c r="L17" s="143" t="s">
        <v>314</v>
      </c>
      <c r="M17" s="143" t="s">
        <v>455</v>
      </c>
      <c r="N17" s="143" t="s">
        <v>339</v>
      </c>
      <c r="O17" s="143" t="s">
        <v>3176</v>
      </c>
      <c r="P17" s="143" t="s">
        <v>1211</v>
      </c>
      <c r="Q17" s="143" t="s">
        <v>887</v>
      </c>
      <c r="R17" s="143" t="s">
        <v>889</v>
      </c>
      <c r="S17" s="161">
        <v>45137</v>
      </c>
      <c r="T17" s="161">
        <v>45137</v>
      </c>
      <c r="U17" s="144">
        <v>66817</v>
      </c>
      <c r="V17" s="143" t="s">
        <v>1212</v>
      </c>
      <c r="W17" s="145" t="s">
        <v>3876</v>
      </c>
      <c r="X17" s="144">
        <v>2.9999999999999997E-4</v>
      </c>
      <c r="Y17" s="146">
        <v>7.8794848615643196E-9</v>
      </c>
      <c r="Z17" s="147">
        <v>2.5260246327106018E-10</v>
      </c>
      <c r="AA17" s="181"/>
    </row>
    <row r="18" spans="1:27" ht="15" x14ac:dyDescent="0.2">
      <c r="A18" s="142" t="s">
        <v>1205</v>
      </c>
      <c r="B18" s="143" t="s">
        <v>1205</v>
      </c>
      <c r="C18" s="143" t="s">
        <v>3177</v>
      </c>
      <c r="D18" s="143" t="s">
        <v>3178</v>
      </c>
      <c r="E18" s="143" t="s">
        <v>309</v>
      </c>
      <c r="F18" s="143" t="s">
        <v>3179</v>
      </c>
      <c r="G18" s="143" t="s">
        <v>3180</v>
      </c>
      <c r="H18" s="143" t="s">
        <v>312</v>
      </c>
      <c r="I18" s="143" t="s">
        <v>765</v>
      </c>
      <c r="J18" s="143" t="s">
        <v>204</v>
      </c>
      <c r="K18" s="143" t="s">
        <v>204</v>
      </c>
      <c r="L18" s="143" t="s">
        <v>314</v>
      </c>
      <c r="M18" s="143" t="s">
        <v>455</v>
      </c>
      <c r="N18" s="143" t="s">
        <v>339</v>
      </c>
      <c r="O18" s="143" t="s">
        <v>3181</v>
      </c>
      <c r="P18" s="143" t="s">
        <v>1210</v>
      </c>
      <c r="Q18" s="143" t="s">
        <v>885</v>
      </c>
      <c r="R18" s="143" t="s">
        <v>889</v>
      </c>
      <c r="S18" s="161">
        <v>45123</v>
      </c>
      <c r="T18" s="161">
        <v>45123</v>
      </c>
      <c r="U18" s="144">
        <v>416769.5</v>
      </c>
      <c r="V18" s="145" t="s">
        <v>3876</v>
      </c>
      <c r="W18" s="145" t="s">
        <v>3876</v>
      </c>
      <c r="X18" s="144">
        <v>0</v>
      </c>
      <c r="Y18" s="146">
        <v>1.3074781993148667E-9</v>
      </c>
      <c r="Z18" s="147">
        <v>4.1915457624799137E-11</v>
      </c>
      <c r="AA18" s="181"/>
    </row>
    <row r="19" spans="1:27" ht="15" x14ac:dyDescent="0.2">
      <c r="A19" s="142" t="s">
        <v>1205</v>
      </c>
      <c r="B19" s="143" t="s">
        <v>1205</v>
      </c>
      <c r="C19" s="143" t="s">
        <v>3182</v>
      </c>
      <c r="D19" s="143" t="s">
        <v>3183</v>
      </c>
      <c r="E19" s="143" t="s">
        <v>314</v>
      </c>
      <c r="F19" s="143" t="s">
        <v>3184</v>
      </c>
      <c r="G19" s="143" t="s">
        <v>3185</v>
      </c>
      <c r="H19" s="143" t="s">
        <v>312</v>
      </c>
      <c r="I19" s="143" t="s">
        <v>765</v>
      </c>
      <c r="J19" s="143" t="s">
        <v>204</v>
      </c>
      <c r="K19" s="143" t="s">
        <v>204</v>
      </c>
      <c r="L19" s="143" t="s">
        <v>314</v>
      </c>
      <c r="M19" s="143" t="s">
        <v>455</v>
      </c>
      <c r="N19" s="143" t="s">
        <v>339</v>
      </c>
      <c r="O19" s="143" t="s">
        <v>3089</v>
      </c>
      <c r="P19" s="143" t="s">
        <v>1210</v>
      </c>
      <c r="Q19" s="143" t="s">
        <v>887</v>
      </c>
      <c r="R19" s="143" t="s">
        <v>889</v>
      </c>
      <c r="S19" s="161">
        <v>40069</v>
      </c>
      <c r="T19" s="161">
        <v>40069</v>
      </c>
      <c r="U19" s="144">
        <v>1797.76</v>
      </c>
      <c r="V19" s="145" t="s">
        <v>3876</v>
      </c>
      <c r="W19" s="143" t="s">
        <v>3186</v>
      </c>
      <c r="X19" s="144">
        <v>0</v>
      </c>
      <c r="Y19" s="146">
        <v>5.6398848946487083E-10</v>
      </c>
      <c r="Z19" s="147">
        <v>1.8080481681015262E-11</v>
      </c>
      <c r="AA19" s="181"/>
    </row>
    <row r="20" spans="1:27" ht="15" x14ac:dyDescent="0.2">
      <c r="A20" s="142" t="s">
        <v>1205</v>
      </c>
      <c r="B20" s="143" t="s">
        <v>1205</v>
      </c>
      <c r="C20" s="143" t="s">
        <v>3079</v>
      </c>
      <c r="D20" s="143" t="s">
        <v>3080</v>
      </c>
      <c r="E20" s="143" t="s">
        <v>309</v>
      </c>
      <c r="F20" s="143" t="s">
        <v>3187</v>
      </c>
      <c r="G20" s="143" t="s">
        <v>3188</v>
      </c>
      <c r="H20" s="143" t="s">
        <v>312</v>
      </c>
      <c r="I20" s="143" t="s">
        <v>765</v>
      </c>
      <c r="J20" s="143" t="s">
        <v>204</v>
      </c>
      <c r="K20" s="143" t="s">
        <v>204</v>
      </c>
      <c r="L20" s="143" t="s">
        <v>314</v>
      </c>
      <c r="M20" s="143" t="s">
        <v>451</v>
      </c>
      <c r="N20" s="143" t="s">
        <v>339</v>
      </c>
      <c r="O20" s="143" t="s">
        <v>3189</v>
      </c>
      <c r="P20" s="143" t="s">
        <v>1210</v>
      </c>
      <c r="Q20" s="143" t="s">
        <v>887</v>
      </c>
      <c r="R20" s="143" t="s">
        <v>889</v>
      </c>
      <c r="S20" s="161" t="s">
        <v>3878</v>
      </c>
      <c r="T20" s="161" t="s">
        <v>3878</v>
      </c>
      <c r="U20" s="144">
        <v>7585.61</v>
      </c>
      <c r="V20" s="145" t="s">
        <v>3876</v>
      </c>
      <c r="W20" s="145" t="s">
        <v>3876</v>
      </c>
      <c r="X20" s="144">
        <v>0</v>
      </c>
      <c r="Y20" s="145" t="s">
        <v>3876</v>
      </c>
      <c r="Z20" s="156" t="s">
        <v>3876</v>
      </c>
      <c r="AA20" s="181"/>
    </row>
    <row r="21" spans="1:27" x14ac:dyDescent="0.2">
      <c r="A21" s="142" t="s">
        <v>1205</v>
      </c>
      <c r="B21" s="143" t="s">
        <v>1205</v>
      </c>
      <c r="C21" s="143" t="s">
        <v>3190</v>
      </c>
      <c r="D21" s="143" t="s">
        <v>3191</v>
      </c>
      <c r="E21" s="143" t="s">
        <v>314</v>
      </c>
      <c r="F21" s="143" t="s">
        <v>3192</v>
      </c>
      <c r="G21" s="143" t="s">
        <v>3193</v>
      </c>
      <c r="H21" s="143" t="s">
        <v>312</v>
      </c>
      <c r="I21" s="143" t="s">
        <v>765</v>
      </c>
      <c r="J21" s="143" t="s">
        <v>205</v>
      </c>
      <c r="K21" s="143" t="s">
        <v>238</v>
      </c>
      <c r="L21" s="143" t="s">
        <v>314</v>
      </c>
      <c r="M21" s="143" t="s">
        <v>568</v>
      </c>
      <c r="N21" s="143" t="s">
        <v>339</v>
      </c>
      <c r="O21" s="143" t="s">
        <v>3194</v>
      </c>
      <c r="P21" s="143" t="s">
        <v>1213</v>
      </c>
      <c r="Q21" s="143" t="s">
        <v>887</v>
      </c>
      <c r="R21" s="143" t="s">
        <v>889</v>
      </c>
      <c r="S21" s="160">
        <v>45168</v>
      </c>
      <c r="T21" s="160">
        <v>45168</v>
      </c>
      <c r="U21" s="144">
        <v>923621.42</v>
      </c>
      <c r="V21" s="143" t="s">
        <v>1214</v>
      </c>
      <c r="W21" s="143" t="s">
        <v>3195</v>
      </c>
      <c r="X21" s="144">
        <v>5558.8904000000002</v>
      </c>
      <c r="Y21" s="146">
        <v>0.17439203347729965</v>
      </c>
      <c r="Z21" s="147">
        <v>5.590702692519601E-3</v>
      </c>
      <c r="AA21" s="181"/>
    </row>
    <row r="22" spans="1:27" customFormat="1" x14ac:dyDescent="0.2">
      <c r="A22" s="142" t="s">
        <v>1205</v>
      </c>
      <c r="B22" s="143" t="s">
        <v>1205</v>
      </c>
      <c r="C22" s="143" t="s">
        <v>3196</v>
      </c>
      <c r="D22" s="143" t="s">
        <v>3197</v>
      </c>
      <c r="E22" s="143" t="s">
        <v>314</v>
      </c>
      <c r="F22" s="143" t="s">
        <v>3196</v>
      </c>
      <c r="G22" s="143" t="s">
        <v>3198</v>
      </c>
      <c r="H22" s="143" t="s">
        <v>312</v>
      </c>
      <c r="I22" s="143" t="s">
        <v>765</v>
      </c>
      <c r="J22" s="143" t="s">
        <v>205</v>
      </c>
      <c r="K22" s="143" t="s">
        <v>224</v>
      </c>
      <c r="L22" s="143" t="s">
        <v>314</v>
      </c>
      <c r="M22" s="143" t="s">
        <v>533</v>
      </c>
      <c r="N22" s="143" t="s">
        <v>339</v>
      </c>
      <c r="O22" s="143" t="s">
        <v>3199</v>
      </c>
      <c r="P22" s="143" t="s">
        <v>1211</v>
      </c>
      <c r="Q22" s="143" t="s">
        <v>887</v>
      </c>
      <c r="R22" s="143" t="s">
        <v>889</v>
      </c>
      <c r="S22" s="162">
        <v>45291</v>
      </c>
      <c r="T22" s="162">
        <v>45291</v>
      </c>
      <c r="U22" s="144">
        <v>6036.56</v>
      </c>
      <c r="V22" s="143" t="s">
        <v>1212</v>
      </c>
      <c r="W22" s="143" t="s">
        <v>3200</v>
      </c>
      <c r="X22" s="144">
        <v>613.72370000000001</v>
      </c>
      <c r="Y22" s="146">
        <v>1.9253577927560165E-2</v>
      </c>
      <c r="Z22" s="147">
        <v>6.1723593569002139E-4</v>
      </c>
      <c r="AA22" s="181"/>
    </row>
    <row r="23" spans="1:27" x14ac:dyDescent="0.2">
      <c r="A23" s="142" t="s">
        <v>1205</v>
      </c>
      <c r="B23" s="143" t="s">
        <v>1205</v>
      </c>
      <c r="C23" s="143" t="s">
        <v>3201</v>
      </c>
      <c r="D23" s="143" t="s">
        <v>3202</v>
      </c>
      <c r="E23" s="143" t="s">
        <v>314</v>
      </c>
      <c r="F23" s="143" t="s">
        <v>3203</v>
      </c>
      <c r="G23" s="143" t="s">
        <v>3204</v>
      </c>
      <c r="H23" s="143" t="s">
        <v>312</v>
      </c>
      <c r="I23" s="143" t="s">
        <v>765</v>
      </c>
      <c r="J23" s="143" t="s">
        <v>205</v>
      </c>
      <c r="K23" s="143" t="s">
        <v>296</v>
      </c>
      <c r="L23" s="143" t="s">
        <v>314</v>
      </c>
      <c r="M23" s="143" t="s">
        <v>546</v>
      </c>
      <c r="N23" s="143" t="s">
        <v>339</v>
      </c>
      <c r="O23" s="143" t="s">
        <v>3205</v>
      </c>
      <c r="P23" s="143" t="s">
        <v>1211</v>
      </c>
      <c r="Q23" s="143" t="s">
        <v>887</v>
      </c>
      <c r="R23" s="143" t="s">
        <v>889</v>
      </c>
      <c r="S23" s="163">
        <v>44782</v>
      </c>
      <c r="T23" s="163">
        <v>44782</v>
      </c>
      <c r="U23" s="144">
        <v>20837</v>
      </c>
      <c r="V23" s="143" t="s">
        <v>1212</v>
      </c>
      <c r="W23" s="143" t="s">
        <v>3206</v>
      </c>
      <c r="X23" s="144">
        <v>478.14909999999998</v>
      </c>
      <c r="Y23" s="146">
        <v>1.5000365258420651E-2</v>
      </c>
      <c r="Z23" s="147">
        <v>4.8088539807035442E-4</v>
      </c>
      <c r="AA23" s="181"/>
    </row>
    <row r="24" spans="1:27" x14ac:dyDescent="0.2">
      <c r="A24" s="142" t="s">
        <v>1205</v>
      </c>
      <c r="B24" s="143" t="s">
        <v>1205</v>
      </c>
      <c r="C24" s="143" t="s">
        <v>3207</v>
      </c>
      <c r="D24" s="143" t="s">
        <v>3208</v>
      </c>
      <c r="E24" s="143" t="s">
        <v>314</v>
      </c>
      <c r="F24" s="143" t="s">
        <v>3209</v>
      </c>
      <c r="G24" s="143" t="s">
        <v>3210</v>
      </c>
      <c r="H24" s="143" t="s">
        <v>312</v>
      </c>
      <c r="I24" s="143" t="s">
        <v>765</v>
      </c>
      <c r="J24" s="143" t="s">
        <v>205</v>
      </c>
      <c r="K24" s="143" t="s">
        <v>224</v>
      </c>
      <c r="L24" s="143" t="s">
        <v>314</v>
      </c>
      <c r="M24" s="143" t="s">
        <v>546</v>
      </c>
      <c r="N24" s="143" t="s">
        <v>339</v>
      </c>
      <c r="O24" s="143" t="s">
        <v>3211</v>
      </c>
      <c r="P24" s="143" t="s">
        <v>1211</v>
      </c>
      <c r="Q24" s="143" t="s">
        <v>887</v>
      </c>
      <c r="R24" s="143" t="s">
        <v>889</v>
      </c>
      <c r="S24" s="163">
        <v>45439</v>
      </c>
      <c r="T24" s="163">
        <v>45439</v>
      </c>
      <c r="U24" s="144">
        <v>16191</v>
      </c>
      <c r="V24" s="143" t="s">
        <v>1212</v>
      </c>
      <c r="W24" s="143" t="s">
        <v>3212</v>
      </c>
      <c r="X24" s="144">
        <v>255.62029999999999</v>
      </c>
      <c r="Y24" s="146">
        <v>8.0192511704067701E-3</v>
      </c>
      <c r="Z24" s="147">
        <v>2.5708312596870987E-4</v>
      </c>
      <c r="AA24" s="181"/>
    </row>
    <row r="25" spans="1:27" x14ac:dyDescent="0.2">
      <c r="A25" s="142" t="s">
        <v>1205</v>
      </c>
      <c r="B25" s="143" t="s">
        <v>1205</v>
      </c>
      <c r="C25" s="143" t="s">
        <v>2607</v>
      </c>
      <c r="D25" s="143" t="s">
        <v>2608</v>
      </c>
      <c r="E25" s="143" t="s">
        <v>313</v>
      </c>
      <c r="F25" s="143" t="s">
        <v>3213</v>
      </c>
      <c r="G25" s="143" t="s">
        <v>3214</v>
      </c>
      <c r="H25" s="143" t="s">
        <v>312</v>
      </c>
      <c r="I25" s="143" t="s">
        <v>765</v>
      </c>
      <c r="J25" s="143" t="s">
        <v>205</v>
      </c>
      <c r="K25" s="143" t="s">
        <v>224</v>
      </c>
      <c r="L25" s="143" t="s">
        <v>314</v>
      </c>
      <c r="M25" s="143" t="s">
        <v>489</v>
      </c>
      <c r="N25" s="143" t="s">
        <v>339</v>
      </c>
      <c r="O25" s="143" t="s">
        <v>3215</v>
      </c>
      <c r="P25" s="143" t="s">
        <v>1211</v>
      </c>
      <c r="Q25" s="143" t="s">
        <v>887</v>
      </c>
      <c r="R25" s="143" t="s">
        <v>889</v>
      </c>
      <c r="S25" s="163">
        <v>45473</v>
      </c>
      <c r="T25" s="163">
        <v>45473</v>
      </c>
      <c r="U25" s="144">
        <v>13467</v>
      </c>
      <c r="V25" s="143" t="s">
        <v>1212</v>
      </c>
      <c r="W25" s="143" t="s">
        <v>3216</v>
      </c>
      <c r="X25" s="144">
        <v>35.941900000000004</v>
      </c>
      <c r="Y25" s="146">
        <v>1.1275610408696521E-3</v>
      </c>
      <c r="Z25" s="147">
        <v>3.614762911742028E-5</v>
      </c>
      <c r="AA25" s="181"/>
    </row>
    <row r="26" spans="1:27" ht="15" x14ac:dyDescent="0.2">
      <c r="A26" s="142" t="s">
        <v>1220</v>
      </c>
      <c r="B26" s="143" t="s">
        <v>1220</v>
      </c>
      <c r="C26" s="143" t="s">
        <v>3116</v>
      </c>
      <c r="D26" s="143" t="s">
        <v>3117</v>
      </c>
      <c r="E26" s="143" t="s">
        <v>309</v>
      </c>
      <c r="F26" s="143" t="s">
        <v>3118</v>
      </c>
      <c r="G26" s="143" t="s">
        <v>3119</v>
      </c>
      <c r="H26" s="143" t="s">
        <v>312</v>
      </c>
      <c r="I26" s="143" t="s">
        <v>765</v>
      </c>
      <c r="J26" s="143" t="s">
        <v>204</v>
      </c>
      <c r="K26" s="143" t="s">
        <v>204</v>
      </c>
      <c r="L26" s="143" t="s">
        <v>314</v>
      </c>
      <c r="M26" s="143" t="s">
        <v>463</v>
      </c>
      <c r="N26" s="143" t="s">
        <v>339</v>
      </c>
      <c r="O26" s="143" t="s">
        <v>3120</v>
      </c>
      <c r="P26" s="143" t="s">
        <v>1210</v>
      </c>
      <c r="Q26" s="143" t="s">
        <v>885</v>
      </c>
      <c r="R26" s="143" t="s">
        <v>889</v>
      </c>
      <c r="S26" s="163">
        <v>45382</v>
      </c>
      <c r="T26" s="163">
        <v>45382</v>
      </c>
      <c r="U26" s="144">
        <v>71974415</v>
      </c>
      <c r="V26" s="145" t="s">
        <v>3876</v>
      </c>
      <c r="W26" s="143" t="s">
        <v>3121</v>
      </c>
      <c r="X26" s="144">
        <v>225692.83619999999</v>
      </c>
      <c r="Y26" s="146">
        <v>0.29712314162171777</v>
      </c>
      <c r="Z26" s="147">
        <v>1.0001367867341258E-2</v>
      </c>
      <c r="AA26" s="181"/>
    </row>
    <row r="27" spans="1:27" ht="15" x14ac:dyDescent="0.2">
      <c r="A27" s="142" t="s">
        <v>1220</v>
      </c>
      <c r="B27" s="143" t="s">
        <v>1220</v>
      </c>
      <c r="C27" s="143" t="s">
        <v>3111</v>
      </c>
      <c r="D27" s="143" t="s">
        <v>3112</v>
      </c>
      <c r="E27" s="143" t="s">
        <v>309</v>
      </c>
      <c r="F27" s="143" t="s">
        <v>3111</v>
      </c>
      <c r="G27" s="143" t="s">
        <v>3113</v>
      </c>
      <c r="H27" s="143" t="s">
        <v>312</v>
      </c>
      <c r="I27" s="143" t="s">
        <v>765</v>
      </c>
      <c r="J27" s="143" t="s">
        <v>204</v>
      </c>
      <c r="K27" s="143" t="s">
        <v>204</v>
      </c>
      <c r="L27" s="143" t="s">
        <v>314</v>
      </c>
      <c r="M27" s="143" t="s">
        <v>485</v>
      </c>
      <c r="N27" s="143" t="s">
        <v>339</v>
      </c>
      <c r="O27" s="143" t="s">
        <v>3114</v>
      </c>
      <c r="P27" s="143" t="s">
        <v>1210</v>
      </c>
      <c r="Q27" s="143" t="s">
        <v>885</v>
      </c>
      <c r="R27" s="143" t="s">
        <v>889</v>
      </c>
      <c r="S27" s="163">
        <v>45473</v>
      </c>
      <c r="T27" s="163">
        <v>45473</v>
      </c>
      <c r="U27" s="144">
        <v>183101803</v>
      </c>
      <c r="V27" s="145" t="s">
        <v>3876</v>
      </c>
      <c r="W27" s="143" t="s">
        <v>3115</v>
      </c>
      <c r="X27" s="144">
        <v>223544.5968</v>
      </c>
      <c r="Y27" s="146">
        <v>0.2942949986050864</v>
      </c>
      <c r="Z27" s="147">
        <v>9.9061706419201756E-3</v>
      </c>
      <c r="AA27" s="181"/>
    </row>
    <row r="28" spans="1:27" x14ac:dyDescent="0.2">
      <c r="A28" s="142" t="s">
        <v>1220</v>
      </c>
      <c r="B28" s="143" t="s">
        <v>1220</v>
      </c>
      <c r="C28" s="143" t="s">
        <v>3122</v>
      </c>
      <c r="D28" s="143" t="s">
        <v>3123</v>
      </c>
      <c r="E28" s="143" t="s">
        <v>309</v>
      </c>
      <c r="F28" s="143" t="s">
        <v>3124</v>
      </c>
      <c r="G28" s="143" t="s">
        <v>3125</v>
      </c>
      <c r="H28" s="143" t="s">
        <v>312</v>
      </c>
      <c r="I28" s="143" t="s">
        <v>765</v>
      </c>
      <c r="J28" s="143" t="s">
        <v>204</v>
      </c>
      <c r="K28" s="143" t="s">
        <v>204</v>
      </c>
      <c r="L28" s="143" t="s">
        <v>314</v>
      </c>
      <c r="M28" s="143" t="s">
        <v>455</v>
      </c>
      <c r="N28" s="143" t="s">
        <v>339</v>
      </c>
      <c r="O28" s="143" t="s">
        <v>3126</v>
      </c>
      <c r="P28" s="143" t="s">
        <v>1211</v>
      </c>
      <c r="Q28" s="143" t="s">
        <v>887</v>
      </c>
      <c r="R28" s="143" t="s">
        <v>889</v>
      </c>
      <c r="S28" s="163">
        <v>45439</v>
      </c>
      <c r="T28" s="163">
        <v>45439</v>
      </c>
      <c r="U28" s="144">
        <v>1594386</v>
      </c>
      <c r="V28" s="143" t="s">
        <v>1212</v>
      </c>
      <c r="W28" s="143" t="s">
        <v>3127</v>
      </c>
      <c r="X28" s="144">
        <v>48610.433100000002</v>
      </c>
      <c r="Y28" s="146">
        <v>6.3995317009014882E-2</v>
      </c>
      <c r="Z28" s="147">
        <v>2.1541260761477358E-3</v>
      </c>
      <c r="AA28" s="181"/>
    </row>
    <row r="29" spans="1:27" x14ac:dyDescent="0.2">
      <c r="A29" s="142" t="s">
        <v>1220</v>
      </c>
      <c r="B29" s="143" t="s">
        <v>1220</v>
      </c>
      <c r="C29" s="143" t="s">
        <v>3128</v>
      </c>
      <c r="D29" s="143" t="s">
        <v>3129</v>
      </c>
      <c r="E29" s="143" t="s">
        <v>309</v>
      </c>
      <c r="F29" s="143" t="s">
        <v>3130</v>
      </c>
      <c r="G29" s="143" t="s">
        <v>3131</v>
      </c>
      <c r="H29" s="143" t="s">
        <v>312</v>
      </c>
      <c r="I29" s="143" t="s">
        <v>765</v>
      </c>
      <c r="J29" s="143" t="s">
        <v>204</v>
      </c>
      <c r="K29" s="143" t="s">
        <v>224</v>
      </c>
      <c r="L29" s="143" t="s">
        <v>314</v>
      </c>
      <c r="M29" s="143" t="s">
        <v>444</v>
      </c>
      <c r="N29" s="143" t="s">
        <v>339</v>
      </c>
      <c r="O29" s="143" t="s">
        <v>3132</v>
      </c>
      <c r="P29" s="143" t="s">
        <v>1211</v>
      </c>
      <c r="Q29" s="143" t="s">
        <v>887</v>
      </c>
      <c r="R29" s="143" t="s">
        <v>889</v>
      </c>
      <c r="S29" s="163">
        <v>45351</v>
      </c>
      <c r="T29" s="163">
        <v>45351</v>
      </c>
      <c r="U29" s="144">
        <v>6310793.9900000002</v>
      </c>
      <c r="V29" s="143" t="s">
        <v>1212</v>
      </c>
      <c r="W29" s="143" t="s">
        <v>1504</v>
      </c>
      <c r="X29" s="144">
        <v>23722.274600000001</v>
      </c>
      <c r="Y29" s="146">
        <v>3.1230219256009106E-2</v>
      </c>
      <c r="Z29" s="147">
        <v>1.0512305088465088E-3</v>
      </c>
      <c r="AA29" s="181"/>
    </row>
    <row r="30" spans="1:27" x14ac:dyDescent="0.2">
      <c r="A30" s="142" t="s">
        <v>1220</v>
      </c>
      <c r="B30" s="143" t="s">
        <v>1220</v>
      </c>
      <c r="C30" s="143" t="s">
        <v>3133</v>
      </c>
      <c r="D30" s="143" t="s">
        <v>3134</v>
      </c>
      <c r="E30" s="143" t="s">
        <v>309</v>
      </c>
      <c r="F30" s="143" t="s">
        <v>3135</v>
      </c>
      <c r="G30" s="143" t="s">
        <v>3136</v>
      </c>
      <c r="H30" s="143" t="s">
        <v>312</v>
      </c>
      <c r="I30" s="143" t="s">
        <v>765</v>
      </c>
      <c r="J30" s="143" t="s">
        <v>204</v>
      </c>
      <c r="K30" s="143" t="s">
        <v>296</v>
      </c>
      <c r="L30" s="143" t="s">
        <v>314</v>
      </c>
      <c r="M30" s="143" t="s">
        <v>449</v>
      </c>
      <c r="N30" s="143" t="s">
        <v>339</v>
      </c>
      <c r="O30" s="143" t="s">
        <v>3137</v>
      </c>
      <c r="P30" s="143" t="s">
        <v>1211</v>
      </c>
      <c r="Q30" s="143" t="s">
        <v>885</v>
      </c>
      <c r="R30" s="143" t="s">
        <v>889</v>
      </c>
      <c r="S30" s="163">
        <v>45351</v>
      </c>
      <c r="T30" s="163">
        <v>45351</v>
      </c>
      <c r="U30" s="144">
        <v>3545100</v>
      </c>
      <c r="V30" s="143" t="s">
        <v>1212</v>
      </c>
      <c r="W30" s="143" t="s">
        <v>3138</v>
      </c>
      <c r="X30" s="144">
        <v>23257.175500000001</v>
      </c>
      <c r="Y30" s="146">
        <v>3.0617919287123381E-2</v>
      </c>
      <c r="Z30" s="147">
        <v>1.0306200737233359E-3</v>
      </c>
      <c r="AA30" s="181"/>
    </row>
    <row r="31" spans="1:27" ht="15" x14ac:dyDescent="0.2">
      <c r="A31" s="142" t="s">
        <v>1220</v>
      </c>
      <c r="B31" s="143" t="s">
        <v>1220</v>
      </c>
      <c r="C31" s="143" t="s">
        <v>3116</v>
      </c>
      <c r="D31" s="143" t="s">
        <v>3117</v>
      </c>
      <c r="E31" s="143" t="s">
        <v>309</v>
      </c>
      <c r="F31" s="143" t="s">
        <v>3139</v>
      </c>
      <c r="G31" s="143" t="s">
        <v>3140</v>
      </c>
      <c r="H31" s="143" t="s">
        <v>312</v>
      </c>
      <c r="I31" s="143" t="s">
        <v>765</v>
      </c>
      <c r="J31" s="143" t="s">
        <v>204</v>
      </c>
      <c r="K31" s="143" t="s">
        <v>204</v>
      </c>
      <c r="L31" s="143" t="s">
        <v>314</v>
      </c>
      <c r="M31" s="143" t="s">
        <v>463</v>
      </c>
      <c r="N31" s="143" t="s">
        <v>339</v>
      </c>
      <c r="O31" s="143" t="s">
        <v>3141</v>
      </c>
      <c r="P31" s="143" t="s">
        <v>1210</v>
      </c>
      <c r="Q31" s="143" t="s">
        <v>885</v>
      </c>
      <c r="R31" s="143" t="s">
        <v>889</v>
      </c>
      <c r="S31" s="163">
        <v>45382</v>
      </c>
      <c r="T31" s="163">
        <v>45382</v>
      </c>
      <c r="U31" s="144">
        <v>15999048.359999999</v>
      </c>
      <c r="V31" s="145" t="s">
        <v>3876</v>
      </c>
      <c r="W31" s="143" t="s">
        <v>3142</v>
      </c>
      <c r="X31" s="144">
        <v>21208.354500000001</v>
      </c>
      <c r="Y31" s="146">
        <v>2.7920659893951188E-2</v>
      </c>
      <c r="Z31" s="147">
        <v>9.3982848045490717E-4</v>
      </c>
      <c r="AA31" s="181"/>
    </row>
    <row r="32" spans="1:27" x14ac:dyDescent="0.2">
      <c r="A32" s="142" t="s">
        <v>1220</v>
      </c>
      <c r="B32" s="143" t="s">
        <v>1220</v>
      </c>
      <c r="C32" s="143" t="s">
        <v>3143</v>
      </c>
      <c r="D32" s="143" t="s">
        <v>3144</v>
      </c>
      <c r="E32" s="143" t="s">
        <v>314</v>
      </c>
      <c r="F32" s="143" t="s">
        <v>3145</v>
      </c>
      <c r="G32" s="143" t="s">
        <v>3146</v>
      </c>
      <c r="H32" s="143" t="s">
        <v>312</v>
      </c>
      <c r="I32" s="143" t="s">
        <v>765</v>
      </c>
      <c r="J32" s="143" t="s">
        <v>204</v>
      </c>
      <c r="K32" s="143" t="s">
        <v>204</v>
      </c>
      <c r="L32" s="143" t="s">
        <v>314</v>
      </c>
      <c r="M32" s="143" t="s">
        <v>444</v>
      </c>
      <c r="N32" s="143" t="s">
        <v>339</v>
      </c>
      <c r="O32" s="143" t="s">
        <v>3147</v>
      </c>
      <c r="P32" s="143" t="s">
        <v>1211</v>
      </c>
      <c r="Q32" s="143" t="s">
        <v>887</v>
      </c>
      <c r="R32" s="143" t="s">
        <v>889</v>
      </c>
      <c r="S32" s="163">
        <v>45250</v>
      </c>
      <c r="T32" s="163">
        <v>45250</v>
      </c>
      <c r="U32" s="144">
        <v>6791.77</v>
      </c>
      <c r="V32" s="143" t="s">
        <v>1212</v>
      </c>
      <c r="W32" s="143" t="s">
        <v>3148</v>
      </c>
      <c r="X32" s="144">
        <v>9178.1296999999995</v>
      </c>
      <c r="Y32" s="146">
        <v>1.2082947681830507E-2</v>
      </c>
      <c r="Z32" s="147">
        <v>4.067202710237906E-4</v>
      </c>
      <c r="AA32" s="181"/>
    </row>
    <row r="33" spans="1:27" x14ac:dyDescent="0.2">
      <c r="A33" s="142" t="s">
        <v>1220</v>
      </c>
      <c r="B33" s="143" t="s">
        <v>1220</v>
      </c>
      <c r="C33" s="143" t="s">
        <v>3143</v>
      </c>
      <c r="D33" s="143" t="s">
        <v>3144</v>
      </c>
      <c r="E33" s="143" t="s">
        <v>314</v>
      </c>
      <c r="F33" s="143" t="s">
        <v>3149</v>
      </c>
      <c r="G33" s="143" t="s">
        <v>3150</v>
      </c>
      <c r="H33" s="143" t="s">
        <v>312</v>
      </c>
      <c r="I33" s="143" t="s">
        <v>765</v>
      </c>
      <c r="J33" s="143" t="s">
        <v>204</v>
      </c>
      <c r="K33" s="143" t="s">
        <v>204</v>
      </c>
      <c r="L33" s="143" t="s">
        <v>314</v>
      </c>
      <c r="M33" s="143" t="s">
        <v>444</v>
      </c>
      <c r="N33" s="143" t="s">
        <v>339</v>
      </c>
      <c r="O33" s="143" t="s">
        <v>3151</v>
      </c>
      <c r="P33" s="143" t="s">
        <v>1211</v>
      </c>
      <c r="Q33" s="143" t="s">
        <v>887</v>
      </c>
      <c r="R33" s="143" t="s">
        <v>889</v>
      </c>
      <c r="S33" s="163">
        <v>45250</v>
      </c>
      <c r="T33" s="163">
        <v>45250</v>
      </c>
      <c r="U33" s="144">
        <v>5396.59</v>
      </c>
      <c r="V33" s="143" t="s">
        <v>1212</v>
      </c>
      <c r="W33" s="143" t="s">
        <v>3152</v>
      </c>
      <c r="X33" s="144">
        <v>7840.4547000000002</v>
      </c>
      <c r="Y33" s="146">
        <v>1.032190725549177E-2</v>
      </c>
      <c r="Z33" s="147">
        <v>3.4744244757004922E-4</v>
      </c>
      <c r="AA33" s="181"/>
    </row>
    <row r="34" spans="1:27" x14ac:dyDescent="0.2">
      <c r="A34" s="142" t="s">
        <v>1220</v>
      </c>
      <c r="B34" s="143" t="s">
        <v>1220</v>
      </c>
      <c r="C34" s="143" t="s">
        <v>3133</v>
      </c>
      <c r="D34" s="143" t="s">
        <v>3134</v>
      </c>
      <c r="E34" s="143" t="s">
        <v>309</v>
      </c>
      <c r="F34" s="143" t="s">
        <v>3133</v>
      </c>
      <c r="G34" s="143" t="s">
        <v>3153</v>
      </c>
      <c r="H34" s="143" t="s">
        <v>312</v>
      </c>
      <c r="I34" s="143" t="s">
        <v>765</v>
      </c>
      <c r="J34" s="143" t="s">
        <v>204</v>
      </c>
      <c r="K34" s="143" t="s">
        <v>296</v>
      </c>
      <c r="L34" s="143" t="s">
        <v>314</v>
      </c>
      <c r="M34" s="143" t="s">
        <v>449</v>
      </c>
      <c r="N34" s="143" t="s">
        <v>339</v>
      </c>
      <c r="O34" s="143" t="s">
        <v>3137</v>
      </c>
      <c r="P34" s="143" t="s">
        <v>1211</v>
      </c>
      <c r="Q34" s="143" t="s">
        <v>887</v>
      </c>
      <c r="R34" s="143" t="s">
        <v>889</v>
      </c>
      <c r="S34" s="163">
        <v>45302</v>
      </c>
      <c r="T34" s="163">
        <v>45302</v>
      </c>
      <c r="U34" s="144">
        <v>2259600</v>
      </c>
      <c r="V34" s="143" t="s">
        <v>1212</v>
      </c>
      <c r="W34" s="143" t="s">
        <v>3154</v>
      </c>
      <c r="X34" s="144">
        <v>5690.8704000000007</v>
      </c>
      <c r="Y34" s="146">
        <v>7.491993618173611E-3</v>
      </c>
      <c r="Z34" s="147">
        <v>2.5218562184740445E-4</v>
      </c>
      <c r="AA34" s="181"/>
    </row>
    <row r="35" spans="1:27" ht="15" x14ac:dyDescent="0.2">
      <c r="A35" s="142" t="s">
        <v>1220</v>
      </c>
      <c r="B35" s="143" t="s">
        <v>1220</v>
      </c>
      <c r="C35" s="143" t="s">
        <v>2230</v>
      </c>
      <c r="D35" s="143" t="s">
        <v>2231</v>
      </c>
      <c r="E35" s="143" t="s">
        <v>309</v>
      </c>
      <c r="F35" s="143" t="s">
        <v>3155</v>
      </c>
      <c r="G35" s="143" t="s">
        <v>3156</v>
      </c>
      <c r="H35" s="143" t="s">
        <v>312</v>
      </c>
      <c r="I35" s="143" t="s">
        <v>765</v>
      </c>
      <c r="J35" s="143" t="s">
        <v>204</v>
      </c>
      <c r="K35" s="143" t="s">
        <v>204</v>
      </c>
      <c r="L35" s="143" t="s">
        <v>314</v>
      </c>
      <c r="M35" s="143" t="s">
        <v>451</v>
      </c>
      <c r="N35" s="143" t="s">
        <v>339</v>
      </c>
      <c r="O35" s="143" t="s">
        <v>3157</v>
      </c>
      <c r="P35" s="143" t="s">
        <v>1210</v>
      </c>
      <c r="Q35" s="143" t="s">
        <v>885</v>
      </c>
      <c r="R35" s="143" t="s">
        <v>889</v>
      </c>
      <c r="S35" s="163">
        <v>45259</v>
      </c>
      <c r="T35" s="163">
        <v>45259</v>
      </c>
      <c r="U35" s="144">
        <v>89873</v>
      </c>
      <c r="V35" s="145" t="s">
        <v>3876</v>
      </c>
      <c r="W35" s="143" t="s">
        <v>3158</v>
      </c>
      <c r="X35" s="144">
        <v>3163.4785999999999</v>
      </c>
      <c r="Y35" s="146">
        <v>4.164698808429795E-3</v>
      </c>
      <c r="Z35" s="147">
        <v>1.4018660617426523E-4</v>
      </c>
      <c r="AA35" s="181"/>
    </row>
    <row r="36" spans="1:27" x14ac:dyDescent="0.2">
      <c r="A36" s="142" t="s">
        <v>1220</v>
      </c>
      <c r="B36" s="143" t="s">
        <v>1220</v>
      </c>
      <c r="C36" s="143" t="s">
        <v>3143</v>
      </c>
      <c r="D36" s="143" t="s">
        <v>3144</v>
      </c>
      <c r="E36" s="143" t="s">
        <v>314</v>
      </c>
      <c r="F36" s="143" t="s">
        <v>3159</v>
      </c>
      <c r="G36" s="143" t="s">
        <v>3160</v>
      </c>
      <c r="H36" s="143" t="s">
        <v>312</v>
      </c>
      <c r="I36" s="143" t="s">
        <v>765</v>
      </c>
      <c r="J36" s="143" t="s">
        <v>204</v>
      </c>
      <c r="K36" s="143" t="s">
        <v>204</v>
      </c>
      <c r="L36" s="143" t="s">
        <v>314</v>
      </c>
      <c r="M36" s="143" t="s">
        <v>444</v>
      </c>
      <c r="N36" s="143" t="s">
        <v>339</v>
      </c>
      <c r="O36" s="143" t="s">
        <v>3161</v>
      </c>
      <c r="P36" s="143" t="s">
        <v>1211</v>
      </c>
      <c r="Q36" s="143" t="s">
        <v>887</v>
      </c>
      <c r="R36" s="143" t="s">
        <v>889</v>
      </c>
      <c r="S36" s="163">
        <v>45250</v>
      </c>
      <c r="T36" s="163">
        <v>45250</v>
      </c>
      <c r="U36" s="144">
        <v>1547</v>
      </c>
      <c r="V36" s="143" t="s">
        <v>1212</v>
      </c>
      <c r="W36" s="143" t="s">
        <v>3162</v>
      </c>
      <c r="X36" s="144">
        <v>2110.9078</v>
      </c>
      <c r="Y36" s="146">
        <v>2.7789963011649078E-3</v>
      </c>
      <c r="Z36" s="147">
        <v>9.3542913413713623E-5</v>
      </c>
      <c r="AA36" s="181"/>
    </row>
    <row r="37" spans="1:27" ht="15" x14ac:dyDescent="0.2">
      <c r="A37" s="142" t="s">
        <v>1220</v>
      </c>
      <c r="B37" s="143" t="s">
        <v>1220</v>
      </c>
      <c r="C37" s="143" t="s">
        <v>3163</v>
      </c>
      <c r="D37" s="143" t="s">
        <v>3164</v>
      </c>
      <c r="E37" s="143" t="s">
        <v>309</v>
      </c>
      <c r="F37" s="143" t="s">
        <v>3163</v>
      </c>
      <c r="G37" s="143" t="s">
        <v>3165</v>
      </c>
      <c r="H37" s="143" t="s">
        <v>312</v>
      </c>
      <c r="I37" s="143" t="s">
        <v>765</v>
      </c>
      <c r="J37" s="143" t="s">
        <v>204</v>
      </c>
      <c r="K37" s="143" t="s">
        <v>204</v>
      </c>
      <c r="L37" s="143" t="s">
        <v>314</v>
      </c>
      <c r="M37" s="143" t="s">
        <v>447</v>
      </c>
      <c r="N37" s="143" t="s">
        <v>339</v>
      </c>
      <c r="O37" s="143" t="s">
        <v>3166</v>
      </c>
      <c r="P37" s="143" t="s">
        <v>1210</v>
      </c>
      <c r="Q37" s="143" t="s">
        <v>887</v>
      </c>
      <c r="R37" s="143" t="s">
        <v>889</v>
      </c>
      <c r="S37" s="163">
        <v>45473</v>
      </c>
      <c r="T37" s="163">
        <v>45473</v>
      </c>
      <c r="U37" s="144">
        <v>14017000</v>
      </c>
      <c r="V37" s="145" t="s">
        <v>3876</v>
      </c>
      <c r="W37" s="143" t="s">
        <v>3167</v>
      </c>
      <c r="X37" s="144">
        <v>700.85</v>
      </c>
      <c r="Y37" s="146">
        <v>9.2266443782816577E-4</v>
      </c>
      <c r="Z37" s="147">
        <v>3.1057515111298896E-5</v>
      </c>
      <c r="AA37" s="181"/>
    </row>
    <row r="38" spans="1:27" x14ac:dyDescent="0.2">
      <c r="A38" s="142" t="s">
        <v>1220</v>
      </c>
      <c r="B38" s="143" t="s">
        <v>1220</v>
      </c>
      <c r="C38" s="143" t="s">
        <v>3168</v>
      </c>
      <c r="D38" s="143" t="s">
        <v>3169</v>
      </c>
      <c r="E38" s="143" t="s">
        <v>309</v>
      </c>
      <c r="F38" s="143" t="s">
        <v>3170</v>
      </c>
      <c r="G38" s="143" t="s">
        <v>3171</v>
      </c>
      <c r="H38" s="143" t="s">
        <v>312</v>
      </c>
      <c r="I38" s="143" t="s">
        <v>765</v>
      </c>
      <c r="J38" s="143" t="s">
        <v>204</v>
      </c>
      <c r="K38" s="143" t="s">
        <v>204</v>
      </c>
      <c r="L38" s="143" t="s">
        <v>314</v>
      </c>
      <c r="M38" s="143" t="s">
        <v>449</v>
      </c>
      <c r="N38" s="143" t="s">
        <v>339</v>
      </c>
      <c r="O38" s="143" t="s">
        <v>3172</v>
      </c>
      <c r="P38" s="143" t="s">
        <v>1211</v>
      </c>
      <c r="Q38" s="143" t="s">
        <v>887</v>
      </c>
      <c r="R38" s="143" t="s">
        <v>889</v>
      </c>
      <c r="S38" s="163">
        <v>45396</v>
      </c>
      <c r="T38" s="163">
        <v>45396</v>
      </c>
      <c r="U38" s="144">
        <v>2906786</v>
      </c>
      <c r="V38" s="143" t="s">
        <v>1212</v>
      </c>
      <c r="W38" s="143" t="s">
        <v>3173</v>
      </c>
      <c r="X38" s="144">
        <v>480.75990000000002</v>
      </c>
      <c r="Y38" s="146">
        <v>6.3291719672962867E-4</v>
      </c>
      <c r="Z38" s="147">
        <v>2.1304425092941761E-5</v>
      </c>
      <c r="AA38" s="181"/>
    </row>
    <row r="39" spans="1:27" ht="15" x14ac:dyDescent="0.2">
      <c r="A39" s="142" t="s">
        <v>1220</v>
      </c>
      <c r="B39" s="143" t="s">
        <v>1220</v>
      </c>
      <c r="C39" s="143" t="s">
        <v>3122</v>
      </c>
      <c r="D39" s="143" t="s">
        <v>3123</v>
      </c>
      <c r="E39" s="143" t="s">
        <v>309</v>
      </c>
      <c r="F39" s="143" t="s">
        <v>3174</v>
      </c>
      <c r="G39" s="143" t="s">
        <v>3175</v>
      </c>
      <c r="H39" s="143" t="s">
        <v>312</v>
      </c>
      <c r="I39" s="143" t="s">
        <v>765</v>
      </c>
      <c r="J39" s="143" t="s">
        <v>204</v>
      </c>
      <c r="K39" s="143" t="s">
        <v>204</v>
      </c>
      <c r="L39" s="143" t="s">
        <v>314</v>
      </c>
      <c r="M39" s="143" t="s">
        <v>455</v>
      </c>
      <c r="N39" s="143" t="s">
        <v>339</v>
      </c>
      <c r="O39" s="143" t="s">
        <v>3176</v>
      </c>
      <c r="P39" s="143" t="s">
        <v>1211</v>
      </c>
      <c r="Q39" s="143" t="s">
        <v>887</v>
      </c>
      <c r="R39" s="143" t="s">
        <v>889</v>
      </c>
      <c r="S39" s="163">
        <v>45137</v>
      </c>
      <c r="T39" s="163">
        <v>45137</v>
      </c>
      <c r="U39" s="144">
        <v>1594386</v>
      </c>
      <c r="V39" s="143" t="s">
        <v>1212</v>
      </c>
      <c r="W39" s="145" t="s">
        <v>3876</v>
      </c>
      <c r="X39" s="144">
        <v>6.0000000000000001E-3</v>
      </c>
      <c r="Y39" s="146">
        <v>7.8901362392137495E-9</v>
      </c>
      <c r="Z39" s="147">
        <v>2.6558737438325884E-10</v>
      </c>
      <c r="AA39" s="181"/>
    </row>
    <row r="40" spans="1:27" ht="15" x14ac:dyDescent="0.2">
      <c r="A40" s="142" t="s">
        <v>1220</v>
      </c>
      <c r="B40" s="143" t="s">
        <v>1220</v>
      </c>
      <c r="C40" s="143" t="s">
        <v>3177</v>
      </c>
      <c r="D40" s="143" t="s">
        <v>3178</v>
      </c>
      <c r="E40" s="143" t="s">
        <v>309</v>
      </c>
      <c r="F40" s="143" t="s">
        <v>3179</v>
      </c>
      <c r="G40" s="143" t="s">
        <v>3180</v>
      </c>
      <c r="H40" s="143" t="s">
        <v>312</v>
      </c>
      <c r="I40" s="143" t="s">
        <v>765</v>
      </c>
      <c r="J40" s="143" t="s">
        <v>204</v>
      </c>
      <c r="K40" s="143" t="s">
        <v>204</v>
      </c>
      <c r="L40" s="143" t="s">
        <v>314</v>
      </c>
      <c r="M40" s="143" t="s">
        <v>455</v>
      </c>
      <c r="N40" s="143" t="s">
        <v>339</v>
      </c>
      <c r="O40" s="143" t="s">
        <v>3181</v>
      </c>
      <c r="P40" s="143" t="s">
        <v>1210</v>
      </c>
      <c r="Q40" s="143" t="s">
        <v>885</v>
      </c>
      <c r="R40" s="143" t="s">
        <v>889</v>
      </c>
      <c r="S40" s="163">
        <v>45123</v>
      </c>
      <c r="T40" s="163">
        <v>45123</v>
      </c>
      <c r="U40" s="144">
        <v>10301776.810000001</v>
      </c>
      <c r="V40" s="145" t="s">
        <v>3876</v>
      </c>
      <c r="W40" s="145" t="s">
        <v>3876</v>
      </c>
      <c r="X40" s="144">
        <v>1E-3</v>
      </c>
      <c r="Y40" s="146">
        <v>1.35622217436397E-9</v>
      </c>
      <c r="Z40" s="147">
        <v>4.5651364621502972E-11</v>
      </c>
      <c r="AA40" s="181"/>
    </row>
    <row r="41" spans="1:27" ht="15" x14ac:dyDescent="0.2">
      <c r="A41" s="142" t="s">
        <v>1220</v>
      </c>
      <c r="B41" s="143" t="s">
        <v>1220</v>
      </c>
      <c r="C41" s="143" t="s">
        <v>3182</v>
      </c>
      <c r="D41" s="143" t="s">
        <v>3183</v>
      </c>
      <c r="E41" s="143" t="s">
        <v>314</v>
      </c>
      <c r="F41" s="143" t="s">
        <v>3184</v>
      </c>
      <c r="G41" s="143" t="s">
        <v>3185</v>
      </c>
      <c r="H41" s="143" t="s">
        <v>312</v>
      </c>
      <c r="I41" s="143" t="s">
        <v>765</v>
      </c>
      <c r="J41" s="143" t="s">
        <v>204</v>
      </c>
      <c r="K41" s="143" t="s">
        <v>204</v>
      </c>
      <c r="L41" s="143" t="s">
        <v>314</v>
      </c>
      <c r="M41" s="143" t="s">
        <v>455</v>
      </c>
      <c r="N41" s="143" t="s">
        <v>339</v>
      </c>
      <c r="O41" s="145" t="s">
        <v>3876</v>
      </c>
      <c r="P41" s="143" t="s">
        <v>1210</v>
      </c>
      <c r="Q41" s="143" t="s">
        <v>887</v>
      </c>
      <c r="R41" s="143" t="s">
        <v>889</v>
      </c>
      <c r="S41" s="163">
        <v>40069</v>
      </c>
      <c r="T41" s="163">
        <v>40069</v>
      </c>
      <c r="U41" s="144">
        <v>28850</v>
      </c>
      <c r="V41" s="145" t="s">
        <v>3876</v>
      </c>
      <c r="W41" s="143" t="s">
        <v>3186</v>
      </c>
      <c r="X41" s="144">
        <v>2.9999999999999997E-4</v>
      </c>
      <c r="Y41" s="146">
        <v>3.7980836172280203E-10</v>
      </c>
      <c r="Z41" s="147">
        <v>1.278460884584395E-11</v>
      </c>
      <c r="AA41" s="181"/>
    </row>
    <row r="42" spans="1:27" ht="15" x14ac:dyDescent="0.2">
      <c r="A42" s="142" t="s">
        <v>1220</v>
      </c>
      <c r="B42" s="143" t="s">
        <v>1220</v>
      </c>
      <c r="C42" s="143" t="s">
        <v>3217</v>
      </c>
      <c r="D42" s="143" t="s">
        <v>3218</v>
      </c>
      <c r="E42" s="143" t="s">
        <v>314</v>
      </c>
      <c r="F42" s="143" t="s">
        <v>3219</v>
      </c>
      <c r="G42" s="143" t="s">
        <v>3220</v>
      </c>
      <c r="H42" s="143" t="s">
        <v>312</v>
      </c>
      <c r="I42" s="143" t="s">
        <v>765</v>
      </c>
      <c r="J42" s="143" t="s">
        <v>204</v>
      </c>
      <c r="K42" s="143" t="s">
        <v>204</v>
      </c>
      <c r="L42" s="143" t="s">
        <v>314</v>
      </c>
      <c r="M42" s="143" t="s">
        <v>455</v>
      </c>
      <c r="N42" s="143" t="s">
        <v>339</v>
      </c>
      <c r="O42" s="143" t="s">
        <v>3221</v>
      </c>
      <c r="P42" s="143" t="s">
        <v>1210</v>
      </c>
      <c r="Q42" s="143" t="s">
        <v>887</v>
      </c>
      <c r="R42" s="143" t="s">
        <v>889</v>
      </c>
      <c r="S42" s="163">
        <v>43132</v>
      </c>
      <c r="T42" s="163">
        <v>43132</v>
      </c>
      <c r="U42" s="144">
        <v>58700</v>
      </c>
      <c r="V42" s="145" t="s">
        <v>3876</v>
      </c>
      <c r="W42" s="145" t="s">
        <v>3876</v>
      </c>
      <c r="X42" s="144">
        <v>0</v>
      </c>
      <c r="Y42" s="146">
        <v>7.727816579940548E-13</v>
      </c>
      <c r="Z42" s="147">
        <v>2.6012358379585399E-14</v>
      </c>
      <c r="AA42" s="181"/>
    </row>
    <row r="43" spans="1:27" ht="15" x14ac:dyDescent="0.2">
      <c r="A43" s="142" t="s">
        <v>1220</v>
      </c>
      <c r="B43" s="143" t="s">
        <v>1220</v>
      </c>
      <c r="C43" s="143" t="s">
        <v>3079</v>
      </c>
      <c r="D43" s="143" t="s">
        <v>3080</v>
      </c>
      <c r="E43" s="143" t="s">
        <v>309</v>
      </c>
      <c r="F43" s="143" t="s">
        <v>3187</v>
      </c>
      <c r="G43" s="143" t="s">
        <v>3188</v>
      </c>
      <c r="H43" s="143" t="s">
        <v>312</v>
      </c>
      <c r="I43" s="143" t="s">
        <v>765</v>
      </c>
      <c r="J43" s="143" t="s">
        <v>204</v>
      </c>
      <c r="K43" s="143" t="s">
        <v>204</v>
      </c>
      <c r="L43" s="143" t="s">
        <v>314</v>
      </c>
      <c r="M43" s="143" t="s">
        <v>451</v>
      </c>
      <c r="N43" s="143" t="s">
        <v>339</v>
      </c>
      <c r="O43" s="143" t="s">
        <v>3189</v>
      </c>
      <c r="P43" s="143" t="s">
        <v>1210</v>
      </c>
      <c r="Q43" s="143" t="s">
        <v>887</v>
      </c>
      <c r="R43" s="143" t="s">
        <v>889</v>
      </c>
      <c r="S43" s="163" t="s">
        <v>3878</v>
      </c>
      <c r="T43" s="163" t="s">
        <v>3878</v>
      </c>
      <c r="U43" s="144">
        <v>370177.99</v>
      </c>
      <c r="V43" s="145" t="s">
        <v>3876</v>
      </c>
      <c r="W43" s="145" t="s">
        <v>3876</v>
      </c>
      <c r="X43" s="144">
        <v>0</v>
      </c>
      <c r="Y43" s="145" t="s">
        <v>3876</v>
      </c>
      <c r="Z43" s="156" t="s">
        <v>3876</v>
      </c>
      <c r="AA43" s="181"/>
    </row>
    <row r="44" spans="1:27" x14ac:dyDescent="0.2">
      <c r="A44" s="142" t="s">
        <v>1220</v>
      </c>
      <c r="B44" s="143" t="s">
        <v>1220</v>
      </c>
      <c r="C44" s="143" t="s">
        <v>3190</v>
      </c>
      <c r="D44" s="143" t="s">
        <v>3191</v>
      </c>
      <c r="E44" s="143" t="s">
        <v>314</v>
      </c>
      <c r="F44" s="143" t="s">
        <v>3192</v>
      </c>
      <c r="G44" s="143" t="s">
        <v>3193</v>
      </c>
      <c r="H44" s="143" t="s">
        <v>312</v>
      </c>
      <c r="I44" s="143" t="s">
        <v>765</v>
      </c>
      <c r="J44" s="143" t="s">
        <v>205</v>
      </c>
      <c r="K44" s="143" t="s">
        <v>238</v>
      </c>
      <c r="L44" s="143" t="s">
        <v>314</v>
      </c>
      <c r="M44" s="143" t="s">
        <v>568</v>
      </c>
      <c r="N44" s="143" t="s">
        <v>339</v>
      </c>
      <c r="O44" s="143" t="s">
        <v>3194</v>
      </c>
      <c r="P44" s="143" t="s">
        <v>1213</v>
      </c>
      <c r="Q44" s="143" t="s">
        <v>887</v>
      </c>
      <c r="R44" s="143" t="s">
        <v>889</v>
      </c>
      <c r="S44" s="163">
        <v>45168</v>
      </c>
      <c r="T44" s="163">
        <v>45168</v>
      </c>
      <c r="U44" s="144">
        <v>21653144.16</v>
      </c>
      <c r="V44" s="143" t="s">
        <v>1214</v>
      </c>
      <c r="W44" s="143" t="s">
        <v>3195</v>
      </c>
      <c r="X44" s="144">
        <v>130321.2046</v>
      </c>
      <c r="Y44" s="146">
        <v>0.17156701283742007</v>
      </c>
      <c r="Z44" s="147">
        <v>5.7750628238594148E-3</v>
      </c>
      <c r="AA44" s="181"/>
    </row>
    <row r="45" spans="1:27" x14ac:dyDescent="0.2">
      <c r="A45" s="142" t="s">
        <v>1220</v>
      </c>
      <c r="B45" s="143" t="s">
        <v>1220</v>
      </c>
      <c r="C45" s="143" t="s">
        <v>3196</v>
      </c>
      <c r="D45" s="143" t="s">
        <v>3197</v>
      </c>
      <c r="E45" s="143" t="s">
        <v>314</v>
      </c>
      <c r="F45" s="143" t="s">
        <v>3196</v>
      </c>
      <c r="G45" s="143" t="s">
        <v>3198</v>
      </c>
      <c r="H45" s="143" t="s">
        <v>312</v>
      </c>
      <c r="I45" s="143" t="s">
        <v>765</v>
      </c>
      <c r="J45" s="143" t="s">
        <v>205</v>
      </c>
      <c r="K45" s="143" t="s">
        <v>224</v>
      </c>
      <c r="L45" s="143" t="s">
        <v>314</v>
      </c>
      <c r="M45" s="143" t="s">
        <v>533</v>
      </c>
      <c r="N45" s="143" t="s">
        <v>339</v>
      </c>
      <c r="O45" s="143" t="s">
        <v>3199</v>
      </c>
      <c r="P45" s="143" t="s">
        <v>1211</v>
      </c>
      <c r="Q45" s="143" t="s">
        <v>887</v>
      </c>
      <c r="R45" s="143" t="s">
        <v>889</v>
      </c>
      <c r="S45" s="163">
        <v>45291</v>
      </c>
      <c r="T45" s="163">
        <v>45291</v>
      </c>
      <c r="U45" s="144">
        <v>162952.67000000001</v>
      </c>
      <c r="V45" s="143" t="s">
        <v>1212</v>
      </c>
      <c r="W45" s="143" t="s">
        <v>3200</v>
      </c>
      <c r="X45" s="144">
        <v>16567.038400000001</v>
      </c>
      <c r="Y45" s="146">
        <v>2.1810397624813814E-2</v>
      </c>
      <c r="Z45" s="147">
        <v>7.3415287946997391E-4</v>
      </c>
      <c r="AA45" s="181"/>
    </row>
    <row r="46" spans="1:27" x14ac:dyDescent="0.2">
      <c r="A46" s="142" t="s">
        <v>1220</v>
      </c>
      <c r="B46" s="143" t="s">
        <v>1220</v>
      </c>
      <c r="C46" s="143" t="s">
        <v>3201</v>
      </c>
      <c r="D46" s="143" t="s">
        <v>3202</v>
      </c>
      <c r="E46" s="143" t="s">
        <v>314</v>
      </c>
      <c r="F46" s="143" t="s">
        <v>3203</v>
      </c>
      <c r="G46" s="143" t="s">
        <v>3204</v>
      </c>
      <c r="H46" s="143" t="s">
        <v>312</v>
      </c>
      <c r="I46" s="143" t="s">
        <v>765</v>
      </c>
      <c r="J46" s="143" t="s">
        <v>205</v>
      </c>
      <c r="K46" s="143" t="s">
        <v>296</v>
      </c>
      <c r="L46" s="143" t="s">
        <v>314</v>
      </c>
      <c r="M46" s="143" t="s">
        <v>546</v>
      </c>
      <c r="N46" s="143" t="s">
        <v>339</v>
      </c>
      <c r="O46" s="143" t="s">
        <v>3205</v>
      </c>
      <c r="P46" s="143" t="s">
        <v>1211</v>
      </c>
      <c r="Q46" s="143" t="s">
        <v>887</v>
      </c>
      <c r="R46" s="143" t="s">
        <v>889</v>
      </c>
      <c r="S46" s="163">
        <v>44782</v>
      </c>
      <c r="T46" s="163">
        <v>44782</v>
      </c>
      <c r="U46" s="144">
        <v>460767</v>
      </c>
      <c r="V46" s="143" t="s">
        <v>1212</v>
      </c>
      <c r="W46" s="143" t="s">
        <v>3206</v>
      </c>
      <c r="X46" s="144">
        <v>10573.2739</v>
      </c>
      <c r="Y46" s="146">
        <v>1.3919645884766218E-2</v>
      </c>
      <c r="Z46" s="147">
        <v>4.685447869082914E-4</v>
      </c>
      <c r="AA46" s="181"/>
    </row>
    <row r="47" spans="1:27" x14ac:dyDescent="0.2">
      <c r="A47" s="142" t="s">
        <v>1220</v>
      </c>
      <c r="B47" s="143" t="s">
        <v>1220</v>
      </c>
      <c r="C47" s="143" t="s">
        <v>3207</v>
      </c>
      <c r="D47" s="143" t="s">
        <v>3208</v>
      </c>
      <c r="E47" s="143" t="s">
        <v>314</v>
      </c>
      <c r="F47" s="143" t="s">
        <v>3209</v>
      </c>
      <c r="G47" s="143" t="s">
        <v>3210</v>
      </c>
      <c r="H47" s="143" t="s">
        <v>312</v>
      </c>
      <c r="I47" s="143" t="s">
        <v>765</v>
      </c>
      <c r="J47" s="143" t="s">
        <v>205</v>
      </c>
      <c r="K47" s="143" t="s">
        <v>224</v>
      </c>
      <c r="L47" s="143" t="s">
        <v>314</v>
      </c>
      <c r="M47" s="143" t="s">
        <v>546</v>
      </c>
      <c r="N47" s="143" t="s">
        <v>339</v>
      </c>
      <c r="O47" s="143" t="s">
        <v>3211</v>
      </c>
      <c r="P47" s="143" t="s">
        <v>1211</v>
      </c>
      <c r="Q47" s="143" t="s">
        <v>887</v>
      </c>
      <c r="R47" s="143" t="s">
        <v>889</v>
      </c>
      <c r="S47" s="163">
        <v>45439</v>
      </c>
      <c r="T47" s="163">
        <v>45439</v>
      </c>
      <c r="U47" s="144">
        <v>388585</v>
      </c>
      <c r="V47" s="143" t="s">
        <v>1212</v>
      </c>
      <c r="W47" s="143" t="s">
        <v>3212</v>
      </c>
      <c r="X47" s="144">
        <v>6134.9022999999997</v>
      </c>
      <c r="Y47" s="146">
        <v>8.0765586753536942E-3</v>
      </c>
      <c r="Z47" s="147">
        <v>2.7186248090099778E-4</v>
      </c>
      <c r="AA47" s="181"/>
    </row>
    <row r="48" spans="1:27" x14ac:dyDescent="0.2">
      <c r="A48" s="142" t="s">
        <v>1220</v>
      </c>
      <c r="B48" s="143" t="s">
        <v>1220</v>
      </c>
      <c r="C48" s="143" t="s">
        <v>2607</v>
      </c>
      <c r="D48" s="143" t="s">
        <v>2608</v>
      </c>
      <c r="E48" s="143" t="s">
        <v>313</v>
      </c>
      <c r="F48" s="143" t="s">
        <v>3213</v>
      </c>
      <c r="G48" s="143" t="s">
        <v>3214</v>
      </c>
      <c r="H48" s="143" t="s">
        <v>312</v>
      </c>
      <c r="I48" s="143" t="s">
        <v>765</v>
      </c>
      <c r="J48" s="143" t="s">
        <v>205</v>
      </c>
      <c r="K48" s="143" t="s">
        <v>224</v>
      </c>
      <c r="L48" s="143" t="s">
        <v>314</v>
      </c>
      <c r="M48" s="143" t="s">
        <v>489</v>
      </c>
      <c r="N48" s="143" t="s">
        <v>339</v>
      </c>
      <c r="O48" s="143" t="s">
        <v>3215</v>
      </c>
      <c r="P48" s="143" t="s">
        <v>1211</v>
      </c>
      <c r="Q48" s="143" t="s">
        <v>887</v>
      </c>
      <c r="R48" s="143" t="s">
        <v>889</v>
      </c>
      <c r="S48" s="163">
        <v>45473</v>
      </c>
      <c r="T48" s="163">
        <v>45473</v>
      </c>
      <c r="U48" s="144">
        <v>298270</v>
      </c>
      <c r="V48" s="143" t="s">
        <v>1212</v>
      </c>
      <c r="W48" s="143" t="s">
        <v>3216</v>
      </c>
      <c r="X48" s="144">
        <v>796.0498</v>
      </c>
      <c r="Y48" s="146">
        <v>1.0479943781555423E-3</v>
      </c>
      <c r="Z48" s="147">
        <v>3.5276206496845291E-5</v>
      </c>
      <c r="AA48" s="181"/>
    </row>
    <row r="49" spans="1:27" ht="15" x14ac:dyDescent="0.2">
      <c r="A49" s="154" t="s">
        <v>1205</v>
      </c>
      <c r="B49" s="155" t="s">
        <v>1206</v>
      </c>
      <c r="C49" s="145" t="s">
        <v>3876</v>
      </c>
      <c r="D49" s="145" t="s">
        <v>3876</v>
      </c>
      <c r="E49" s="145" t="s">
        <v>3876</v>
      </c>
      <c r="F49" s="145" t="s">
        <v>3876</v>
      </c>
      <c r="G49" s="145" t="s">
        <v>3876</v>
      </c>
      <c r="H49" s="145" t="s">
        <v>3876</v>
      </c>
      <c r="I49" s="145" t="s">
        <v>3876</v>
      </c>
      <c r="J49" s="145" t="s">
        <v>3876</v>
      </c>
      <c r="K49" s="145" t="s">
        <v>3876</v>
      </c>
      <c r="L49" s="145" t="s">
        <v>3876</v>
      </c>
      <c r="M49" s="145" t="s">
        <v>3876</v>
      </c>
      <c r="N49" s="145" t="s">
        <v>3876</v>
      </c>
      <c r="O49" s="145" t="s">
        <v>3876</v>
      </c>
      <c r="P49" s="145" t="s">
        <v>3876</v>
      </c>
      <c r="Q49" s="145" t="s">
        <v>3876</v>
      </c>
      <c r="R49" s="145" t="s">
        <v>3876</v>
      </c>
      <c r="S49" s="145" t="s">
        <v>3876</v>
      </c>
      <c r="T49" s="145" t="s">
        <v>3876</v>
      </c>
      <c r="U49" s="145" t="s">
        <v>3876</v>
      </c>
      <c r="V49" s="145" t="s">
        <v>3876</v>
      </c>
      <c r="W49" s="145" t="s">
        <v>3876</v>
      </c>
      <c r="X49" s="145" t="s">
        <v>3876</v>
      </c>
      <c r="Y49" s="145" t="s">
        <v>3876</v>
      </c>
      <c r="Z49" s="156" t="s">
        <v>3876</v>
      </c>
      <c r="AA49" s="181"/>
    </row>
    <row r="50" spans="1:27" ht="15" x14ac:dyDescent="0.2">
      <c r="A50" s="154" t="s">
        <v>1205</v>
      </c>
      <c r="B50" s="155" t="s">
        <v>1215</v>
      </c>
      <c r="C50" s="145" t="s">
        <v>3876</v>
      </c>
      <c r="D50" s="145" t="s">
        <v>3876</v>
      </c>
      <c r="E50" s="145" t="s">
        <v>3876</v>
      </c>
      <c r="F50" s="145" t="s">
        <v>3876</v>
      </c>
      <c r="G50" s="145" t="s">
        <v>3876</v>
      </c>
      <c r="H50" s="145" t="s">
        <v>3876</v>
      </c>
      <c r="I50" s="145" t="s">
        <v>3876</v>
      </c>
      <c r="J50" s="145" t="s">
        <v>3876</v>
      </c>
      <c r="K50" s="145" t="s">
        <v>3876</v>
      </c>
      <c r="L50" s="145" t="s">
        <v>3876</v>
      </c>
      <c r="M50" s="145" t="s">
        <v>3876</v>
      </c>
      <c r="N50" s="145" t="s">
        <v>3876</v>
      </c>
      <c r="O50" s="145" t="s">
        <v>3876</v>
      </c>
      <c r="P50" s="145" t="s">
        <v>3876</v>
      </c>
      <c r="Q50" s="145" t="s">
        <v>3876</v>
      </c>
      <c r="R50" s="145" t="s">
        <v>3876</v>
      </c>
      <c r="S50" s="145" t="s">
        <v>3876</v>
      </c>
      <c r="T50" s="145" t="s">
        <v>3876</v>
      </c>
      <c r="U50" s="145" t="s">
        <v>3876</v>
      </c>
      <c r="V50" s="145" t="s">
        <v>3876</v>
      </c>
      <c r="W50" s="145" t="s">
        <v>3876</v>
      </c>
      <c r="X50" s="145" t="s">
        <v>3876</v>
      </c>
      <c r="Y50" s="145" t="s">
        <v>3876</v>
      </c>
      <c r="Z50" s="156" t="s">
        <v>3876</v>
      </c>
      <c r="AA50" s="181"/>
    </row>
    <row r="51" spans="1:27" ht="15" x14ac:dyDescent="0.2">
      <c r="A51" s="154" t="s">
        <v>1220</v>
      </c>
      <c r="B51" s="155" t="s">
        <v>1221</v>
      </c>
      <c r="C51" s="145" t="s">
        <v>3876</v>
      </c>
      <c r="D51" s="145" t="s">
        <v>3876</v>
      </c>
      <c r="E51" s="145" t="s">
        <v>3876</v>
      </c>
      <c r="F51" s="145" t="s">
        <v>3876</v>
      </c>
      <c r="G51" s="145" t="s">
        <v>3876</v>
      </c>
      <c r="H51" s="145" t="s">
        <v>3876</v>
      </c>
      <c r="I51" s="145" t="s">
        <v>3876</v>
      </c>
      <c r="J51" s="145" t="s">
        <v>3876</v>
      </c>
      <c r="K51" s="145" t="s">
        <v>3876</v>
      </c>
      <c r="L51" s="145" t="s">
        <v>3876</v>
      </c>
      <c r="M51" s="145" t="s">
        <v>3876</v>
      </c>
      <c r="N51" s="145" t="s">
        <v>3876</v>
      </c>
      <c r="O51" s="145" t="s">
        <v>3876</v>
      </c>
      <c r="P51" s="145" t="s">
        <v>3876</v>
      </c>
      <c r="Q51" s="145" t="s">
        <v>3876</v>
      </c>
      <c r="R51" s="145" t="s">
        <v>3876</v>
      </c>
      <c r="S51" s="145" t="s">
        <v>3876</v>
      </c>
      <c r="T51" s="145" t="s">
        <v>3876</v>
      </c>
      <c r="U51" s="145" t="s">
        <v>3876</v>
      </c>
      <c r="V51" s="145" t="s">
        <v>3876</v>
      </c>
      <c r="W51" s="145" t="s">
        <v>3876</v>
      </c>
      <c r="X51" s="145" t="s">
        <v>3876</v>
      </c>
      <c r="Y51" s="145" t="s">
        <v>3876</v>
      </c>
      <c r="Z51" s="156" t="s">
        <v>3876</v>
      </c>
      <c r="AA51" s="181"/>
    </row>
    <row r="52" spans="1:27" ht="15" x14ac:dyDescent="0.2">
      <c r="A52" s="157" t="s">
        <v>1220</v>
      </c>
      <c r="B52" s="158" t="s">
        <v>1222</v>
      </c>
      <c r="C52" s="151" t="s">
        <v>3876</v>
      </c>
      <c r="D52" s="151" t="s">
        <v>3876</v>
      </c>
      <c r="E52" s="151" t="s">
        <v>3876</v>
      </c>
      <c r="F52" s="151" t="s">
        <v>3876</v>
      </c>
      <c r="G52" s="151" t="s">
        <v>3876</v>
      </c>
      <c r="H52" s="151" t="s">
        <v>3876</v>
      </c>
      <c r="I52" s="151" t="s">
        <v>3876</v>
      </c>
      <c r="J52" s="151" t="s">
        <v>3876</v>
      </c>
      <c r="K52" s="151" t="s">
        <v>3876</v>
      </c>
      <c r="L52" s="151" t="s">
        <v>3876</v>
      </c>
      <c r="M52" s="151" t="s">
        <v>3876</v>
      </c>
      <c r="N52" s="151" t="s">
        <v>3876</v>
      </c>
      <c r="O52" s="151" t="s">
        <v>3876</v>
      </c>
      <c r="P52" s="151" t="s">
        <v>3876</v>
      </c>
      <c r="Q52" s="151" t="s">
        <v>3876</v>
      </c>
      <c r="R52" s="151" t="s">
        <v>3876</v>
      </c>
      <c r="S52" s="151" t="s">
        <v>3876</v>
      </c>
      <c r="T52" s="151" t="s">
        <v>3876</v>
      </c>
      <c r="U52" s="151" t="s">
        <v>3876</v>
      </c>
      <c r="V52" s="151" t="s">
        <v>3876</v>
      </c>
      <c r="W52" s="151" t="s">
        <v>3876</v>
      </c>
      <c r="X52" s="151" t="s">
        <v>3876</v>
      </c>
      <c r="Y52" s="151" t="s">
        <v>3876</v>
      </c>
      <c r="Z52" s="159" t="s">
        <v>3876</v>
      </c>
      <c r="AA52" s="181"/>
    </row>
    <row r="53" spans="1:27" x14ac:dyDescent="0.2">
      <c r="A53" s="181" t="s">
        <v>3893</v>
      </c>
      <c r="B53" s="181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</row>
    <row r="54" spans="1:27" x14ac:dyDescent="0.2">
      <c r="A54" s="2" t="s">
        <v>3892</v>
      </c>
    </row>
    <row r="55" spans="1:27" x14ac:dyDescent="0.2">
      <c r="A55" s="17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53:Z53"/>
    <mergeCell ref="AA2:AA52"/>
  </mergeCells>
  <dataValidations count="11">
    <dataValidation type="list" allowBlank="1" showInputMessage="1" showErrorMessage="1" sqref="J3:J21">
      <formula1>israel_abroad</formula1>
    </dataValidation>
    <dataValidation type="list" allowBlank="1" showInputMessage="1" showErrorMessage="1" sqref="N3:N21">
      <formula1>Holding_interest</formula1>
    </dataValidation>
    <dataValidation type="list" allowBlank="1" showInputMessage="1" showErrorMessage="1" sqref="Q3:Q20">
      <formula1>Valuation</formula1>
    </dataValidation>
    <dataValidation type="list" allowBlank="1" showInputMessage="1" showErrorMessage="1" sqref="R3:R21">
      <formula1>Dependence_Independence</formula1>
    </dataValidation>
    <dataValidation type="list" allowBlank="1" showInputMessage="1" showErrorMessage="1" sqref="K3:K21">
      <formula1>Country_list</formula1>
    </dataValidation>
    <dataValidation type="list" allowBlank="1" showInputMessage="1" showErrorMessage="1" sqref="E4:E21">
      <formula1>Issuer_Number_Type_2</formula1>
    </dataValidation>
    <dataValidation type="list" allowBlank="1" showInputMessage="1" showErrorMessage="1" sqref="H3">
      <formula1>Type_of_Security_ID</formula1>
    </dataValidation>
    <dataValidation type="list" allowBlank="1" showInputMessage="1" showErrorMessage="1" sqref="H4:H20">
      <formula1>Type_of_Security_ID_Traded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M3:M21">
      <formula1>Industry_Sector</formula1>
    </dataValidation>
    <dataValidation type="list" allowBlank="1" showInputMessage="1" showErrorMessage="1" sqref="L3:L21">
      <formula1>tradeable_status_stock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בחירה'!$C$946:$C$955</xm:f>
          </x14:formula1>
          <xm:sqref>I3:I21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A1048575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58" style="2" bestFit="1" customWidth="1"/>
    <col min="4" max="4" width="27.5" style="2" customWidth="1"/>
    <col min="5" max="5" width="30.25" style="2" customWidth="1"/>
    <col min="6" max="6" width="35.375" style="2" bestFit="1" customWidth="1"/>
    <col min="7" max="7" width="19.25" style="2" customWidth="1"/>
    <col min="8" max="8" width="22.625" style="2" customWidth="1"/>
    <col min="9" max="9" width="19.125" style="2" bestFit="1" customWidth="1"/>
    <col min="10" max="10" width="20" style="2" customWidth="1"/>
    <col min="11" max="11" width="10.625" style="2" customWidth="1"/>
    <col min="12" max="12" width="22.25" style="2" customWidth="1"/>
    <col min="13" max="13" width="20.875" style="2" customWidth="1"/>
    <col min="14" max="14" width="40.625" style="2" bestFit="1" customWidth="1"/>
    <col min="15" max="15" width="15.125" style="2" customWidth="1"/>
    <col min="16" max="16" width="1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1" width="10.5" style="2" customWidth="1"/>
    <col min="22" max="22" width="11.25" style="2" bestFit="1" customWidth="1"/>
    <col min="23" max="23" width="17.875" style="2" customWidth="1"/>
    <col min="24" max="24" width="21.25" style="2" customWidth="1"/>
    <col min="25" max="25" width="21.75" style="2" customWidth="1"/>
    <col min="26" max="26" width="20.125" style="2" customWidth="1"/>
    <col min="27" max="16384" width="9" style="2"/>
  </cols>
  <sheetData>
    <row r="1" spans="1:27" x14ac:dyDescent="0.2">
      <c r="A1" s="2" t="s">
        <v>3914</v>
      </c>
    </row>
    <row r="2" spans="1:27" ht="66.75" customHeight="1" x14ac:dyDescent="0.2">
      <c r="A2" s="139" t="s">
        <v>49</v>
      </c>
      <c r="B2" s="140" t="s">
        <v>50</v>
      </c>
      <c r="C2" s="140" t="s">
        <v>108</v>
      </c>
      <c r="D2" s="140" t="s">
        <v>109</v>
      </c>
      <c r="E2" s="140" t="s">
        <v>110</v>
      </c>
      <c r="F2" s="140" t="s">
        <v>111</v>
      </c>
      <c r="G2" s="140" t="s">
        <v>112</v>
      </c>
      <c r="H2" s="140" t="s">
        <v>113</v>
      </c>
      <c r="I2" s="140" t="s">
        <v>54</v>
      </c>
      <c r="J2" s="140" t="s">
        <v>114</v>
      </c>
      <c r="K2" s="140" t="s">
        <v>55</v>
      </c>
      <c r="L2" s="140" t="s">
        <v>115</v>
      </c>
      <c r="M2" s="140" t="s">
        <v>116</v>
      </c>
      <c r="N2" s="140" t="s">
        <v>69</v>
      </c>
      <c r="O2" s="140" t="s">
        <v>56</v>
      </c>
      <c r="P2" s="140" t="s">
        <v>97</v>
      </c>
      <c r="Q2" s="140" t="s">
        <v>59</v>
      </c>
      <c r="R2" s="140" t="s">
        <v>103</v>
      </c>
      <c r="S2" s="140" t="s">
        <v>104</v>
      </c>
      <c r="T2" s="140" t="s">
        <v>106</v>
      </c>
      <c r="U2" s="140" t="s">
        <v>61</v>
      </c>
      <c r="V2" s="164" t="s">
        <v>117</v>
      </c>
      <c r="W2" s="140" t="s">
        <v>63</v>
      </c>
      <c r="X2" s="140" t="s">
        <v>118</v>
      </c>
      <c r="Y2" s="140" t="s">
        <v>64</v>
      </c>
      <c r="Z2" s="141" t="s">
        <v>65</v>
      </c>
      <c r="AA2" s="181" t="s">
        <v>3894</v>
      </c>
    </row>
    <row r="3" spans="1:27" ht="15" x14ac:dyDescent="0.2">
      <c r="A3" s="142" t="s">
        <v>1205</v>
      </c>
      <c r="B3" s="143" t="s">
        <v>1205</v>
      </c>
      <c r="C3" s="143" t="s">
        <v>3222</v>
      </c>
      <c r="D3" s="145" t="s">
        <v>3876</v>
      </c>
      <c r="E3" s="145" t="s">
        <v>3876</v>
      </c>
      <c r="F3" s="143" t="s">
        <v>3223</v>
      </c>
      <c r="G3" s="143" t="s">
        <v>3224</v>
      </c>
      <c r="H3" s="143" t="s">
        <v>312</v>
      </c>
      <c r="I3" s="143" t="s">
        <v>1000</v>
      </c>
      <c r="J3" s="145" t="s">
        <v>3876</v>
      </c>
      <c r="K3" s="143" t="s">
        <v>204</v>
      </c>
      <c r="L3" s="145" t="s">
        <v>3876</v>
      </c>
      <c r="M3" s="145" t="s">
        <v>3876</v>
      </c>
      <c r="N3" s="143" t="s">
        <v>204</v>
      </c>
      <c r="O3" s="143" t="s">
        <v>339</v>
      </c>
      <c r="P3" s="162">
        <v>45169</v>
      </c>
      <c r="Q3" s="143" t="s">
        <v>1211</v>
      </c>
      <c r="R3" s="143" t="s">
        <v>885</v>
      </c>
      <c r="S3" s="143" t="s">
        <v>889</v>
      </c>
      <c r="T3" s="161">
        <v>45397</v>
      </c>
      <c r="U3" s="143" t="s">
        <v>1212</v>
      </c>
      <c r="V3" s="144">
        <v>492.24596967278535</v>
      </c>
      <c r="W3" s="144">
        <v>1850.3526000000002</v>
      </c>
      <c r="X3" s="145" t="s">
        <v>3876</v>
      </c>
      <c r="Y3" s="146">
        <v>1.1193067104559773E-2</v>
      </c>
      <c r="Z3" s="147">
        <v>1.8609417285514044E-3</v>
      </c>
      <c r="AA3" s="181"/>
    </row>
    <row r="4" spans="1:27" ht="15" x14ac:dyDescent="0.2">
      <c r="A4" s="142" t="s">
        <v>1205</v>
      </c>
      <c r="B4" s="143" t="s">
        <v>1205</v>
      </c>
      <c r="C4" s="143" t="s">
        <v>3225</v>
      </c>
      <c r="D4" s="145" t="s">
        <v>3876</v>
      </c>
      <c r="E4" s="145" t="s">
        <v>3876</v>
      </c>
      <c r="F4" s="143" t="s">
        <v>3226</v>
      </c>
      <c r="G4" s="143" t="s">
        <v>3227</v>
      </c>
      <c r="H4" s="143" t="s">
        <v>312</v>
      </c>
      <c r="I4" s="143" t="s">
        <v>1000</v>
      </c>
      <c r="J4" s="145" t="s">
        <v>3876</v>
      </c>
      <c r="K4" s="143" t="s">
        <v>204</v>
      </c>
      <c r="L4" s="145" t="s">
        <v>3876</v>
      </c>
      <c r="M4" s="145" t="s">
        <v>3876</v>
      </c>
      <c r="N4" s="143" t="s">
        <v>204</v>
      </c>
      <c r="O4" s="143" t="s">
        <v>339</v>
      </c>
      <c r="P4" s="162">
        <v>44496</v>
      </c>
      <c r="Q4" s="143" t="s">
        <v>1211</v>
      </c>
      <c r="R4" s="143" t="s">
        <v>885</v>
      </c>
      <c r="S4" s="143" t="s">
        <v>889</v>
      </c>
      <c r="T4" s="161">
        <v>45441</v>
      </c>
      <c r="U4" s="143" t="s">
        <v>1212</v>
      </c>
      <c r="V4" s="144">
        <v>342.12561851556268</v>
      </c>
      <c r="W4" s="144">
        <v>1286.0501999999999</v>
      </c>
      <c r="X4" s="145" t="s">
        <v>3876</v>
      </c>
      <c r="Y4" s="146">
        <v>7.7795150408435168E-3</v>
      </c>
      <c r="Z4" s="147">
        <v>1.2934099324305246E-3</v>
      </c>
      <c r="AA4" s="181"/>
    </row>
    <row r="5" spans="1:27" ht="15" x14ac:dyDescent="0.2">
      <c r="A5" s="142" t="s">
        <v>1205</v>
      </c>
      <c r="B5" s="143" t="s">
        <v>1205</v>
      </c>
      <c r="C5" s="143" t="s">
        <v>3228</v>
      </c>
      <c r="D5" s="145" t="s">
        <v>3876</v>
      </c>
      <c r="E5" s="145" t="s">
        <v>3876</v>
      </c>
      <c r="F5" s="143" t="s">
        <v>3229</v>
      </c>
      <c r="G5" s="143" t="s">
        <v>3230</v>
      </c>
      <c r="H5" s="143" t="s">
        <v>312</v>
      </c>
      <c r="I5" s="143" t="s">
        <v>1000</v>
      </c>
      <c r="J5" s="145" t="s">
        <v>3876</v>
      </c>
      <c r="K5" s="143" t="s">
        <v>204</v>
      </c>
      <c r="L5" s="145" t="s">
        <v>3876</v>
      </c>
      <c r="M5" s="145" t="s">
        <v>3876</v>
      </c>
      <c r="N5" s="143" t="s">
        <v>204</v>
      </c>
      <c r="O5" s="143" t="s">
        <v>339</v>
      </c>
      <c r="P5" s="162">
        <v>45216</v>
      </c>
      <c r="Q5" s="143" t="s">
        <v>1211</v>
      </c>
      <c r="R5" s="143" t="s">
        <v>885</v>
      </c>
      <c r="S5" s="143" t="s">
        <v>889</v>
      </c>
      <c r="T5" s="161">
        <v>45466</v>
      </c>
      <c r="U5" s="143" t="s">
        <v>1212</v>
      </c>
      <c r="V5" s="144">
        <v>337.8984570364459</v>
      </c>
      <c r="W5" s="144">
        <v>1270.1603</v>
      </c>
      <c r="X5" s="145" t="s">
        <v>3876</v>
      </c>
      <c r="Y5" s="146">
        <v>7.6833950194576386E-3</v>
      </c>
      <c r="Z5" s="147">
        <v>1.2774291688850826E-3</v>
      </c>
      <c r="AA5" s="181"/>
    </row>
    <row r="6" spans="1:27" ht="15" x14ac:dyDescent="0.2">
      <c r="A6" s="142" t="s">
        <v>1205</v>
      </c>
      <c r="B6" s="143" t="s">
        <v>1205</v>
      </c>
      <c r="C6" s="143" t="s">
        <v>3231</v>
      </c>
      <c r="D6" s="145" t="s">
        <v>3876</v>
      </c>
      <c r="E6" s="145" t="s">
        <v>3876</v>
      </c>
      <c r="F6" s="143" t="s">
        <v>3232</v>
      </c>
      <c r="G6" s="143" t="s">
        <v>3233</v>
      </c>
      <c r="H6" s="143" t="s">
        <v>312</v>
      </c>
      <c r="I6" s="143" t="s">
        <v>1000</v>
      </c>
      <c r="J6" s="145" t="s">
        <v>3876</v>
      </c>
      <c r="K6" s="143" t="s">
        <v>204</v>
      </c>
      <c r="L6" s="145" t="s">
        <v>3876</v>
      </c>
      <c r="M6" s="145" t="s">
        <v>3876</v>
      </c>
      <c r="N6" s="143" t="s">
        <v>204</v>
      </c>
      <c r="O6" s="143" t="s">
        <v>339</v>
      </c>
      <c r="P6" s="162">
        <v>44601</v>
      </c>
      <c r="Q6" s="143" t="s">
        <v>1211</v>
      </c>
      <c r="R6" s="143" t="s">
        <v>885</v>
      </c>
      <c r="S6" s="143" t="s">
        <v>889</v>
      </c>
      <c r="T6" s="161">
        <v>45397</v>
      </c>
      <c r="U6" s="143" t="s">
        <v>1212</v>
      </c>
      <c r="V6" s="144">
        <v>210.59835062516626</v>
      </c>
      <c r="W6" s="144">
        <v>791.63919999999996</v>
      </c>
      <c r="X6" s="145" t="s">
        <v>3876</v>
      </c>
      <c r="Y6" s="146">
        <v>4.7887469990150408E-3</v>
      </c>
      <c r="Z6" s="147">
        <v>7.9616954269058637E-4</v>
      </c>
      <c r="AA6" s="181"/>
    </row>
    <row r="7" spans="1:27" ht="15" x14ac:dyDescent="0.2">
      <c r="A7" s="142" t="s">
        <v>1205</v>
      </c>
      <c r="B7" s="143" t="s">
        <v>1205</v>
      </c>
      <c r="C7" s="143" t="s">
        <v>3234</v>
      </c>
      <c r="D7" s="145" t="s">
        <v>3876</v>
      </c>
      <c r="E7" s="145" t="s">
        <v>3876</v>
      </c>
      <c r="F7" s="143" t="s">
        <v>3235</v>
      </c>
      <c r="G7" s="143" t="s">
        <v>3236</v>
      </c>
      <c r="H7" s="143" t="s">
        <v>312</v>
      </c>
      <c r="I7" s="143" t="s">
        <v>1000</v>
      </c>
      <c r="J7" s="145" t="s">
        <v>3876</v>
      </c>
      <c r="K7" s="143" t="s">
        <v>204</v>
      </c>
      <c r="L7" s="145" t="s">
        <v>3876</v>
      </c>
      <c r="M7" s="145" t="s">
        <v>3876</v>
      </c>
      <c r="N7" s="143" t="s">
        <v>224</v>
      </c>
      <c r="O7" s="143" t="s">
        <v>339</v>
      </c>
      <c r="P7" s="162">
        <v>44934</v>
      </c>
      <c r="Q7" s="143" t="s">
        <v>1211</v>
      </c>
      <c r="R7" s="143" t="s">
        <v>885</v>
      </c>
      <c r="S7" s="143" t="s">
        <v>889</v>
      </c>
      <c r="T7" s="161">
        <v>45442</v>
      </c>
      <c r="U7" s="143" t="s">
        <v>1212</v>
      </c>
      <c r="V7" s="144">
        <v>207.78451715881883</v>
      </c>
      <c r="W7" s="144">
        <v>781.06200000000001</v>
      </c>
      <c r="X7" s="145" t="s">
        <v>3876</v>
      </c>
      <c r="Y7" s="146">
        <v>4.7247642016651561E-3</v>
      </c>
      <c r="Z7" s="147">
        <v>7.8553186345704156E-4</v>
      </c>
      <c r="AA7" s="181"/>
    </row>
    <row r="8" spans="1:27" ht="15" x14ac:dyDescent="0.2">
      <c r="A8" s="142" t="s">
        <v>1205</v>
      </c>
      <c r="B8" s="143" t="s">
        <v>1205</v>
      </c>
      <c r="C8" s="143" t="s">
        <v>3237</v>
      </c>
      <c r="D8" s="145" t="s">
        <v>3876</v>
      </c>
      <c r="E8" s="145" t="s">
        <v>3876</v>
      </c>
      <c r="F8" s="143" t="s">
        <v>3238</v>
      </c>
      <c r="G8" s="143" t="s">
        <v>3239</v>
      </c>
      <c r="H8" s="143" t="s">
        <v>312</v>
      </c>
      <c r="I8" s="143" t="s">
        <v>1000</v>
      </c>
      <c r="J8" s="145" t="s">
        <v>3876</v>
      </c>
      <c r="K8" s="143" t="s">
        <v>204</v>
      </c>
      <c r="L8" s="145" t="s">
        <v>3876</v>
      </c>
      <c r="M8" s="145" t="s">
        <v>3876</v>
      </c>
      <c r="N8" s="143" t="s">
        <v>204</v>
      </c>
      <c r="O8" s="143" t="s">
        <v>339</v>
      </c>
      <c r="P8" s="162">
        <v>45159</v>
      </c>
      <c r="Q8" s="143" t="s">
        <v>1211</v>
      </c>
      <c r="R8" s="143" t="s">
        <v>885</v>
      </c>
      <c r="S8" s="143" t="s">
        <v>889</v>
      </c>
      <c r="T8" s="161">
        <v>45469</v>
      </c>
      <c r="U8" s="143" t="s">
        <v>1212</v>
      </c>
      <c r="V8" s="144">
        <v>190.72032455440277</v>
      </c>
      <c r="W8" s="144">
        <v>716.91769999999997</v>
      </c>
      <c r="X8" s="146">
        <v>1.3867584166666667E-4</v>
      </c>
      <c r="Y8" s="146">
        <v>4.3367454572781489E-3</v>
      </c>
      <c r="Z8" s="147">
        <v>7.2102047742275742E-4</v>
      </c>
      <c r="AA8" s="181"/>
    </row>
    <row r="9" spans="1:27" ht="15" x14ac:dyDescent="0.2">
      <c r="A9" s="142" t="s">
        <v>1205</v>
      </c>
      <c r="B9" s="143" t="s">
        <v>1205</v>
      </c>
      <c r="C9" s="143" t="s">
        <v>3240</v>
      </c>
      <c r="D9" s="145" t="s">
        <v>3876</v>
      </c>
      <c r="E9" s="145" t="s">
        <v>3876</v>
      </c>
      <c r="F9" s="143" t="s">
        <v>3241</v>
      </c>
      <c r="G9" s="143" t="s">
        <v>3242</v>
      </c>
      <c r="H9" s="143" t="s">
        <v>312</v>
      </c>
      <c r="I9" s="143" t="s">
        <v>1000</v>
      </c>
      <c r="J9" s="145" t="s">
        <v>3876</v>
      </c>
      <c r="K9" s="143" t="s">
        <v>204</v>
      </c>
      <c r="L9" s="145" t="s">
        <v>3876</v>
      </c>
      <c r="M9" s="145" t="s">
        <v>3876</v>
      </c>
      <c r="N9" s="143" t="s">
        <v>204</v>
      </c>
      <c r="O9" s="143" t="s">
        <v>339</v>
      </c>
      <c r="P9" s="162">
        <v>45341</v>
      </c>
      <c r="Q9" s="143" t="s">
        <v>1210</v>
      </c>
      <c r="R9" s="143" t="s">
        <v>885</v>
      </c>
      <c r="S9" s="143" t="s">
        <v>889</v>
      </c>
      <c r="T9" s="161">
        <v>45469</v>
      </c>
      <c r="U9" s="145" t="s">
        <v>3876</v>
      </c>
      <c r="V9" s="144">
        <v>638.56669999999997</v>
      </c>
      <c r="W9" s="144">
        <v>638.56669999999997</v>
      </c>
      <c r="X9" s="146">
        <v>1.5387441176470589E-3</v>
      </c>
      <c r="Y9" s="146">
        <v>3.8627878017817602E-3</v>
      </c>
      <c r="Z9" s="147">
        <v>6.4222102322129793E-4</v>
      </c>
      <c r="AA9" s="181"/>
    </row>
    <row r="10" spans="1:27" ht="15" x14ac:dyDescent="0.2">
      <c r="A10" s="142" t="s">
        <v>1205</v>
      </c>
      <c r="B10" s="143" t="s">
        <v>1205</v>
      </c>
      <c r="C10" s="143" t="s">
        <v>3243</v>
      </c>
      <c r="D10" s="145" t="s">
        <v>3876</v>
      </c>
      <c r="E10" s="145" t="s">
        <v>3876</v>
      </c>
      <c r="F10" s="143" t="s">
        <v>3244</v>
      </c>
      <c r="G10" s="143" t="s">
        <v>3245</v>
      </c>
      <c r="H10" s="143" t="s">
        <v>312</v>
      </c>
      <c r="I10" s="143" t="s">
        <v>1000</v>
      </c>
      <c r="J10" s="145" t="s">
        <v>3876</v>
      </c>
      <c r="K10" s="143" t="s">
        <v>204</v>
      </c>
      <c r="L10" s="145" t="s">
        <v>3876</v>
      </c>
      <c r="M10" s="145" t="s">
        <v>3876</v>
      </c>
      <c r="N10" s="143" t="s">
        <v>204</v>
      </c>
      <c r="O10" s="143" t="s">
        <v>339</v>
      </c>
      <c r="P10" s="162">
        <v>45265</v>
      </c>
      <c r="Q10" s="143" t="s">
        <v>1211</v>
      </c>
      <c r="R10" s="143" t="s">
        <v>885</v>
      </c>
      <c r="S10" s="143" t="s">
        <v>889</v>
      </c>
      <c r="T10" s="161">
        <v>45473</v>
      </c>
      <c r="U10" s="143" t="s">
        <v>1212</v>
      </c>
      <c r="V10" s="144">
        <v>149.09718010109071</v>
      </c>
      <c r="W10" s="144">
        <v>560.45630000000006</v>
      </c>
      <c r="X10" s="146">
        <v>2.4665431428571428E-4</v>
      </c>
      <c r="Y10" s="146">
        <v>3.3902865674178551E-3</v>
      </c>
      <c r="Z10" s="147">
        <v>5.63663711306172E-4</v>
      </c>
      <c r="AA10" s="181"/>
    </row>
    <row r="11" spans="1:27" ht="15" x14ac:dyDescent="0.2">
      <c r="A11" s="142" t="s">
        <v>1205</v>
      </c>
      <c r="B11" s="143" t="s">
        <v>1205</v>
      </c>
      <c r="C11" s="143" t="s">
        <v>3246</v>
      </c>
      <c r="D11" s="145" t="s">
        <v>3876</v>
      </c>
      <c r="E11" s="145" t="s">
        <v>3876</v>
      </c>
      <c r="F11" s="143" t="s">
        <v>3247</v>
      </c>
      <c r="G11" s="143" t="s">
        <v>3248</v>
      </c>
      <c r="H11" s="143" t="s">
        <v>312</v>
      </c>
      <c r="I11" s="143" t="s">
        <v>1000</v>
      </c>
      <c r="J11" s="145" t="s">
        <v>3876</v>
      </c>
      <c r="K11" s="143" t="s">
        <v>204</v>
      </c>
      <c r="L11" s="145" t="s">
        <v>3876</v>
      </c>
      <c r="M11" s="145" t="s">
        <v>3876</v>
      </c>
      <c r="N11" s="143" t="s">
        <v>204</v>
      </c>
      <c r="O11" s="143" t="s">
        <v>339</v>
      </c>
      <c r="P11" s="162">
        <v>45215</v>
      </c>
      <c r="Q11" s="143" t="s">
        <v>1211</v>
      </c>
      <c r="R11" s="143" t="s">
        <v>885</v>
      </c>
      <c r="S11" s="143" t="s">
        <v>889</v>
      </c>
      <c r="T11" s="161">
        <v>45442</v>
      </c>
      <c r="U11" s="143" t="s">
        <v>1212</v>
      </c>
      <c r="V11" s="144">
        <v>107.82806597499335</v>
      </c>
      <c r="W11" s="144">
        <v>405.32569999999998</v>
      </c>
      <c r="X11" s="146">
        <v>1.0665E-4</v>
      </c>
      <c r="Y11" s="146">
        <v>2.4518772107612213E-3</v>
      </c>
      <c r="Z11" s="147">
        <v>4.076452479169908E-4</v>
      </c>
      <c r="AA11" s="181"/>
    </row>
    <row r="12" spans="1:27" ht="15" x14ac:dyDescent="0.2">
      <c r="A12" s="142" t="s">
        <v>1205</v>
      </c>
      <c r="B12" s="143" t="s">
        <v>1205</v>
      </c>
      <c r="C12" s="143" t="s">
        <v>3249</v>
      </c>
      <c r="D12" s="145" t="s">
        <v>3876</v>
      </c>
      <c r="E12" s="145" t="s">
        <v>3876</v>
      </c>
      <c r="F12" s="143" t="s">
        <v>3250</v>
      </c>
      <c r="G12" s="143" t="s">
        <v>3251</v>
      </c>
      <c r="H12" s="143" t="s">
        <v>312</v>
      </c>
      <c r="I12" s="143" t="s">
        <v>1000</v>
      </c>
      <c r="J12" s="145" t="s">
        <v>3876</v>
      </c>
      <c r="K12" s="143" t="s">
        <v>204</v>
      </c>
      <c r="L12" s="145" t="s">
        <v>3876</v>
      </c>
      <c r="M12" s="145" t="s">
        <v>3876</v>
      </c>
      <c r="N12" s="143" t="s">
        <v>204</v>
      </c>
      <c r="O12" s="143" t="s">
        <v>339</v>
      </c>
      <c r="P12" s="162">
        <v>43038</v>
      </c>
      <c r="Q12" s="143" t="s">
        <v>1211</v>
      </c>
      <c r="R12" s="143" t="s">
        <v>885</v>
      </c>
      <c r="S12" s="143" t="s">
        <v>889</v>
      </c>
      <c r="T12" s="161">
        <v>45425</v>
      </c>
      <c r="U12" s="143" t="s">
        <v>1212</v>
      </c>
      <c r="V12" s="144">
        <v>77.731045490822027</v>
      </c>
      <c r="W12" s="144">
        <v>292.19099999999997</v>
      </c>
      <c r="X12" s="145" t="s">
        <v>3876</v>
      </c>
      <c r="Y12" s="146">
        <v>1.7675079818921754E-3</v>
      </c>
      <c r="Z12" s="147">
        <v>2.9386309653328891E-4</v>
      </c>
      <c r="AA12" s="181"/>
    </row>
    <row r="13" spans="1:27" ht="15" x14ac:dyDescent="0.2">
      <c r="A13" s="142" t="s">
        <v>1205</v>
      </c>
      <c r="B13" s="143" t="s">
        <v>1205</v>
      </c>
      <c r="C13" s="143" t="s">
        <v>3252</v>
      </c>
      <c r="D13" s="145" t="s">
        <v>3876</v>
      </c>
      <c r="E13" s="145" t="s">
        <v>3876</v>
      </c>
      <c r="F13" s="143" t="s">
        <v>3253</v>
      </c>
      <c r="G13" s="143" t="s">
        <v>3254</v>
      </c>
      <c r="H13" s="143" t="s">
        <v>312</v>
      </c>
      <c r="I13" s="143" t="s">
        <v>1000</v>
      </c>
      <c r="J13" s="145" t="s">
        <v>3876</v>
      </c>
      <c r="K13" s="143" t="s">
        <v>204</v>
      </c>
      <c r="L13" s="145" t="s">
        <v>3876</v>
      </c>
      <c r="M13" s="145" t="s">
        <v>3876</v>
      </c>
      <c r="N13" s="143" t="s">
        <v>224</v>
      </c>
      <c r="O13" s="143" t="s">
        <v>339</v>
      </c>
      <c r="P13" s="162">
        <v>45316</v>
      </c>
      <c r="Q13" s="143" t="s">
        <v>1211</v>
      </c>
      <c r="R13" s="143" t="s">
        <v>885</v>
      </c>
      <c r="S13" s="143" t="s">
        <v>889</v>
      </c>
      <c r="T13" s="161">
        <v>45400</v>
      </c>
      <c r="U13" s="143" t="s">
        <v>1212</v>
      </c>
      <c r="V13" s="144">
        <v>75.9023144453312</v>
      </c>
      <c r="W13" s="144">
        <v>285.3168</v>
      </c>
      <c r="X13" s="146">
        <v>2.3699999999999999E-4</v>
      </c>
      <c r="Y13" s="146">
        <v>1.7259252706958062E-3</v>
      </c>
      <c r="Z13" s="147">
        <v>2.8694962038517384E-4</v>
      </c>
      <c r="AA13" s="181"/>
    </row>
    <row r="14" spans="1:27" ht="15" x14ac:dyDescent="0.2">
      <c r="A14" s="142" t="s">
        <v>1205</v>
      </c>
      <c r="B14" s="143" t="s">
        <v>1205</v>
      </c>
      <c r="C14" s="143" t="s">
        <v>3255</v>
      </c>
      <c r="D14" s="145" t="s">
        <v>3876</v>
      </c>
      <c r="E14" s="145" t="s">
        <v>3876</v>
      </c>
      <c r="F14" s="143" t="s">
        <v>3256</v>
      </c>
      <c r="G14" s="143" t="s">
        <v>3257</v>
      </c>
      <c r="H14" s="143" t="s">
        <v>312</v>
      </c>
      <c r="I14" s="143" t="s">
        <v>1000</v>
      </c>
      <c r="J14" s="145" t="s">
        <v>3876</v>
      </c>
      <c r="K14" s="143" t="s">
        <v>205</v>
      </c>
      <c r="L14" s="145" t="s">
        <v>3876</v>
      </c>
      <c r="M14" s="145" t="s">
        <v>3876</v>
      </c>
      <c r="N14" s="143" t="s">
        <v>224</v>
      </c>
      <c r="O14" s="143" t="s">
        <v>339</v>
      </c>
      <c r="P14" s="162">
        <v>45250</v>
      </c>
      <c r="Q14" s="143" t="s">
        <v>1211</v>
      </c>
      <c r="R14" s="143" t="s">
        <v>885</v>
      </c>
      <c r="S14" s="143" t="s">
        <v>889</v>
      </c>
      <c r="T14" s="161">
        <v>45432</v>
      </c>
      <c r="U14" s="143" t="s">
        <v>1212</v>
      </c>
      <c r="V14" s="144">
        <v>1064.0393455706303</v>
      </c>
      <c r="W14" s="144">
        <v>3999.7239</v>
      </c>
      <c r="X14" s="146">
        <v>2.7627864850850495E-4</v>
      </c>
      <c r="Y14" s="146">
        <v>2.4194944424932027E-2</v>
      </c>
      <c r="Z14" s="147">
        <v>4.0226133980735242E-3</v>
      </c>
      <c r="AA14" s="181"/>
    </row>
    <row r="15" spans="1:27" ht="15" x14ac:dyDescent="0.2">
      <c r="A15" s="142" t="s">
        <v>1205</v>
      </c>
      <c r="B15" s="143" t="s">
        <v>1205</v>
      </c>
      <c r="C15" s="143" t="s">
        <v>3258</v>
      </c>
      <c r="D15" s="145" t="s">
        <v>3876</v>
      </c>
      <c r="E15" s="145" t="s">
        <v>3876</v>
      </c>
      <c r="F15" s="143" t="s">
        <v>3259</v>
      </c>
      <c r="G15" s="143" t="s">
        <v>3260</v>
      </c>
      <c r="H15" s="143" t="s">
        <v>312</v>
      </c>
      <c r="I15" s="143" t="s">
        <v>1000</v>
      </c>
      <c r="J15" s="145" t="s">
        <v>3876</v>
      </c>
      <c r="K15" s="143" t="s">
        <v>205</v>
      </c>
      <c r="L15" s="145" t="s">
        <v>3876</v>
      </c>
      <c r="M15" s="145" t="s">
        <v>3876</v>
      </c>
      <c r="N15" s="143" t="s">
        <v>291</v>
      </c>
      <c r="O15" s="143" t="s">
        <v>339</v>
      </c>
      <c r="P15" s="162">
        <v>44993</v>
      </c>
      <c r="Q15" s="143" t="s">
        <v>1211</v>
      </c>
      <c r="R15" s="143" t="s">
        <v>885</v>
      </c>
      <c r="S15" s="143" t="s">
        <v>889</v>
      </c>
      <c r="T15" s="161">
        <v>45428</v>
      </c>
      <c r="U15" s="143" t="s">
        <v>1212</v>
      </c>
      <c r="V15" s="144">
        <v>685.27116254322948</v>
      </c>
      <c r="W15" s="144">
        <v>2575.9342999999999</v>
      </c>
      <c r="X15" s="145" t="s">
        <v>3876</v>
      </c>
      <c r="Y15" s="146">
        <v>1.5582222314960269E-2</v>
      </c>
      <c r="Z15" s="147">
        <v>2.5906757690804458E-3</v>
      </c>
      <c r="AA15" s="181"/>
    </row>
    <row r="16" spans="1:27" ht="15" x14ac:dyDescent="0.2">
      <c r="A16" s="142" t="s">
        <v>1205</v>
      </c>
      <c r="B16" s="143" t="s">
        <v>1205</v>
      </c>
      <c r="C16" s="143" t="s">
        <v>3261</v>
      </c>
      <c r="D16" s="145" t="s">
        <v>3876</v>
      </c>
      <c r="E16" s="145" t="s">
        <v>3876</v>
      </c>
      <c r="F16" s="143" t="s">
        <v>3262</v>
      </c>
      <c r="G16" s="143" t="s">
        <v>3263</v>
      </c>
      <c r="H16" s="143" t="s">
        <v>312</v>
      </c>
      <c r="I16" s="143" t="s">
        <v>1000</v>
      </c>
      <c r="J16" s="145" t="s">
        <v>3876</v>
      </c>
      <c r="K16" s="143" t="s">
        <v>205</v>
      </c>
      <c r="L16" s="145" t="s">
        <v>3876</v>
      </c>
      <c r="M16" s="145" t="s">
        <v>3876</v>
      </c>
      <c r="N16" s="143" t="s">
        <v>224</v>
      </c>
      <c r="O16" s="143" t="s">
        <v>339</v>
      </c>
      <c r="P16" s="162">
        <v>45362</v>
      </c>
      <c r="Q16" s="143" t="s">
        <v>1211</v>
      </c>
      <c r="R16" s="143" t="s">
        <v>885</v>
      </c>
      <c r="S16" s="143" t="s">
        <v>889</v>
      </c>
      <c r="T16" s="161">
        <v>45461</v>
      </c>
      <c r="U16" s="143" t="s">
        <v>1212</v>
      </c>
      <c r="V16" s="144">
        <v>678.49470603884015</v>
      </c>
      <c r="W16" s="144">
        <v>2550.4616000000001</v>
      </c>
      <c r="X16" s="146">
        <v>8.3962714285714283E-5</v>
      </c>
      <c r="Y16" s="146">
        <v>1.5428134375867169E-2</v>
      </c>
      <c r="Z16" s="147">
        <v>2.5650573507286054E-3</v>
      </c>
      <c r="AA16" s="181"/>
    </row>
    <row r="17" spans="1:27" ht="15" x14ac:dyDescent="0.2">
      <c r="A17" s="142" t="s">
        <v>1205</v>
      </c>
      <c r="B17" s="143" t="s">
        <v>1205</v>
      </c>
      <c r="C17" s="143" t="s">
        <v>3264</v>
      </c>
      <c r="D17" s="145" t="s">
        <v>3876</v>
      </c>
      <c r="E17" s="145" t="s">
        <v>3876</v>
      </c>
      <c r="F17" s="143" t="s">
        <v>3265</v>
      </c>
      <c r="G17" s="143" t="s">
        <v>3266</v>
      </c>
      <c r="H17" s="143" t="s">
        <v>312</v>
      </c>
      <c r="I17" s="143" t="s">
        <v>1000</v>
      </c>
      <c r="J17" s="145" t="s">
        <v>3876</v>
      </c>
      <c r="K17" s="143" t="s">
        <v>205</v>
      </c>
      <c r="L17" s="145" t="s">
        <v>3876</v>
      </c>
      <c r="M17" s="145" t="s">
        <v>3876</v>
      </c>
      <c r="N17" s="143" t="s">
        <v>224</v>
      </c>
      <c r="O17" s="143" t="s">
        <v>339</v>
      </c>
      <c r="P17" s="162">
        <v>45320</v>
      </c>
      <c r="Q17" s="143" t="s">
        <v>1211</v>
      </c>
      <c r="R17" s="143" t="s">
        <v>885</v>
      </c>
      <c r="S17" s="143" t="s">
        <v>889</v>
      </c>
      <c r="T17" s="161">
        <v>45473</v>
      </c>
      <c r="U17" s="143" t="s">
        <v>1212</v>
      </c>
      <c r="V17" s="144">
        <v>661.35203511572217</v>
      </c>
      <c r="W17" s="144">
        <v>2486.0222999999996</v>
      </c>
      <c r="X17" s="146">
        <v>3.9003666666666666E-4</v>
      </c>
      <c r="Y17" s="146">
        <v>1.5038330598161015E-2</v>
      </c>
      <c r="Z17" s="147">
        <v>2.5002491878627852E-3</v>
      </c>
      <c r="AA17" s="181"/>
    </row>
    <row r="18" spans="1:27" ht="15" x14ac:dyDescent="0.2">
      <c r="A18" s="142" t="s">
        <v>1205</v>
      </c>
      <c r="B18" s="143" t="s">
        <v>1205</v>
      </c>
      <c r="C18" s="143" t="s">
        <v>3267</v>
      </c>
      <c r="D18" s="145" t="s">
        <v>3876</v>
      </c>
      <c r="E18" s="145" t="s">
        <v>3876</v>
      </c>
      <c r="F18" s="143" t="s">
        <v>3268</v>
      </c>
      <c r="G18" s="143" t="s">
        <v>3269</v>
      </c>
      <c r="H18" s="143" t="s">
        <v>312</v>
      </c>
      <c r="I18" s="143" t="s">
        <v>1000</v>
      </c>
      <c r="J18" s="145" t="s">
        <v>3876</v>
      </c>
      <c r="K18" s="143" t="s">
        <v>205</v>
      </c>
      <c r="L18" s="145" t="s">
        <v>3876</v>
      </c>
      <c r="M18" s="145" t="s">
        <v>3876</v>
      </c>
      <c r="N18" s="143" t="s">
        <v>291</v>
      </c>
      <c r="O18" s="143" t="s">
        <v>339</v>
      </c>
      <c r="P18" s="162">
        <v>44706</v>
      </c>
      <c r="Q18" s="143" t="s">
        <v>1211</v>
      </c>
      <c r="R18" s="143" t="s">
        <v>885</v>
      </c>
      <c r="S18" s="143" t="s">
        <v>889</v>
      </c>
      <c r="T18" s="161">
        <v>45428</v>
      </c>
      <c r="U18" s="143" t="s">
        <v>1212</v>
      </c>
      <c r="V18" s="144">
        <v>573.24924181963286</v>
      </c>
      <c r="W18" s="144">
        <v>2154.8438999999998</v>
      </c>
      <c r="X18" s="146">
        <v>5.0422157333333332E-5</v>
      </c>
      <c r="Y18" s="146">
        <v>1.3034982145762005E-2</v>
      </c>
      <c r="Z18" s="147">
        <v>2.1671756257129211E-3</v>
      </c>
      <c r="AA18" s="181"/>
    </row>
    <row r="19" spans="1:27" ht="15" x14ac:dyDescent="0.2">
      <c r="A19" s="142" t="s">
        <v>1205</v>
      </c>
      <c r="B19" s="143" t="s">
        <v>1205</v>
      </c>
      <c r="C19" s="143" t="s">
        <v>3270</v>
      </c>
      <c r="D19" s="145" t="s">
        <v>3876</v>
      </c>
      <c r="E19" s="145" t="s">
        <v>3876</v>
      </c>
      <c r="F19" s="143" t="s">
        <v>3271</v>
      </c>
      <c r="G19" s="143" t="s">
        <v>3272</v>
      </c>
      <c r="H19" s="143" t="s">
        <v>312</v>
      </c>
      <c r="I19" s="143" t="s">
        <v>1000</v>
      </c>
      <c r="J19" s="145" t="s">
        <v>3876</v>
      </c>
      <c r="K19" s="143" t="s">
        <v>205</v>
      </c>
      <c r="L19" s="145" t="s">
        <v>3876</v>
      </c>
      <c r="M19" s="145" t="s">
        <v>3876</v>
      </c>
      <c r="N19" s="143" t="s">
        <v>299</v>
      </c>
      <c r="O19" s="143" t="s">
        <v>339</v>
      </c>
      <c r="P19" s="162">
        <v>45378</v>
      </c>
      <c r="Q19" s="143" t="s">
        <v>1213</v>
      </c>
      <c r="R19" s="143" t="s">
        <v>885</v>
      </c>
      <c r="S19" s="143" t="s">
        <v>889</v>
      </c>
      <c r="T19" s="161">
        <v>45434</v>
      </c>
      <c r="U19" s="143" t="s">
        <v>1214</v>
      </c>
      <c r="V19" s="144">
        <v>511.42134719665694</v>
      </c>
      <c r="W19" s="144">
        <v>2056.0161000000003</v>
      </c>
      <c r="X19" s="146">
        <v>8.1562827272727267E-5</v>
      </c>
      <c r="Y19" s="146">
        <v>1.2437157540234148E-2</v>
      </c>
      <c r="Z19" s="147">
        <v>2.0677822472591851E-3</v>
      </c>
      <c r="AA19" s="181"/>
    </row>
    <row r="20" spans="1:27" ht="15" x14ac:dyDescent="0.2">
      <c r="A20" s="142" t="s">
        <v>1205</v>
      </c>
      <c r="B20" s="143" t="s">
        <v>1205</v>
      </c>
      <c r="C20" s="143" t="s">
        <v>3273</v>
      </c>
      <c r="D20" s="145" t="s">
        <v>3876</v>
      </c>
      <c r="E20" s="145" t="s">
        <v>3876</v>
      </c>
      <c r="F20" s="143" t="s">
        <v>3274</v>
      </c>
      <c r="G20" s="143" t="s">
        <v>3275</v>
      </c>
      <c r="H20" s="143" t="s">
        <v>312</v>
      </c>
      <c r="I20" s="143" t="s">
        <v>1000</v>
      </c>
      <c r="J20" s="145" t="s">
        <v>3876</v>
      </c>
      <c r="K20" s="143" t="s">
        <v>205</v>
      </c>
      <c r="L20" s="145" t="s">
        <v>3876</v>
      </c>
      <c r="M20" s="145" t="s">
        <v>3876</v>
      </c>
      <c r="N20" s="143" t="s">
        <v>224</v>
      </c>
      <c r="O20" s="143" t="s">
        <v>339</v>
      </c>
      <c r="P20" s="162">
        <v>44754</v>
      </c>
      <c r="Q20" s="143" t="s">
        <v>1211</v>
      </c>
      <c r="R20" s="143" t="s">
        <v>885</v>
      </c>
      <c r="S20" s="143" t="s">
        <v>889</v>
      </c>
      <c r="T20" s="161">
        <v>45431</v>
      </c>
      <c r="U20" s="143" t="s">
        <v>1212</v>
      </c>
      <c r="V20" s="144">
        <v>534.49531790369781</v>
      </c>
      <c r="W20" s="144">
        <v>2009.1678999999999</v>
      </c>
      <c r="X20" s="145" t="s">
        <v>3876</v>
      </c>
      <c r="Y20" s="146">
        <v>1.2153765096635736E-2</v>
      </c>
      <c r="Z20" s="147">
        <v>2.0206658654022772E-3</v>
      </c>
      <c r="AA20" s="181"/>
    </row>
    <row r="21" spans="1:27" ht="15" x14ac:dyDescent="0.2">
      <c r="A21" s="142" t="s">
        <v>1205</v>
      </c>
      <c r="B21" s="143" t="s">
        <v>1205</v>
      </c>
      <c r="C21" s="143" t="s">
        <v>3264</v>
      </c>
      <c r="D21" s="145" t="s">
        <v>3876</v>
      </c>
      <c r="E21" s="145" t="s">
        <v>3876</v>
      </c>
      <c r="F21" s="143" t="s">
        <v>3276</v>
      </c>
      <c r="G21" s="143" t="s">
        <v>3277</v>
      </c>
      <c r="H21" s="143" t="s">
        <v>312</v>
      </c>
      <c r="I21" s="143" t="s">
        <v>1000</v>
      </c>
      <c r="J21" s="145" t="s">
        <v>3876</v>
      </c>
      <c r="K21" s="143" t="s">
        <v>205</v>
      </c>
      <c r="L21" s="145" t="s">
        <v>3876</v>
      </c>
      <c r="M21" s="145" t="s">
        <v>3876</v>
      </c>
      <c r="N21" s="143" t="s">
        <v>224</v>
      </c>
      <c r="O21" s="143" t="s">
        <v>339</v>
      </c>
      <c r="P21" s="162">
        <v>45316</v>
      </c>
      <c r="Q21" s="143" t="s">
        <v>1211</v>
      </c>
      <c r="R21" s="143" t="s">
        <v>885</v>
      </c>
      <c r="S21" s="143" t="s">
        <v>889</v>
      </c>
      <c r="T21" s="160">
        <v>45449</v>
      </c>
      <c r="U21" s="143" t="s">
        <v>1212</v>
      </c>
      <c r="V21" s="144">
        <v>529.33210960361794</v>
      </c>
      <c r="W21" s="144">
        <v>1989.7593999999999</v>
      </c>
      <c r="X21" s="146">
        <v>5.09261052631579E-4</v>
      </c>
      <c r="Y21" s="146">
        <v>1.2036360133582731E-2</v>
      </c>
      <c r="Z21" s="147">
        <v>2.0011463009394349E-3</v>
      </c>
      <c r="AA21" s="181"/>
    </row>
    <row r="22" spans="1:27" ht="15" x14ac:dyDescent="0.2">
      <c r="A22" s="142" t="s">
        <v>1205</v>
      </c>
      <c r="B22" s="143" t="s">
        <v>1205</v>
      </c>
      <c r="C22" s="143" t="s">
        <v>3278</v>
      </c>
      <c r="D22" s="145" t="s">
        <v>3876</v>
      </c>
      <c r="E22" s="145" t="s">
        <v>3876</v>
      </c>
      <c r="F22" s="143" t="s">
        <v>3279</v>
      </c>
      <c r="G22" s="143" t="s">
        <v>3280</v>
      </c>
      <c r="H22" s="143" t="s">
        <v>312</v>
      </c>
      <c r="I22" s="143" t="s">
        <v>1000</v>
      </c>
      <c r="J22" s="145" t="s">
        <v>3876</v>
      </c>
      <c r="K22" s="143" t="s">
        <v>205</v>
      </c>
      <c r="L22" s="145" t="s">
        <v>3876</v>
      </c>
      <c r="M22" s="145" t="s">
        <v>3876</v>
      </c>
      <c r="N22" s="143" t="s">
        <v>224</v>
      </c>
      <c r="O22" s="143" t="s">
        <v>339</v>
      </c>
      <c r="P22" s="162">
        <v>45294</v>
      </c>
      <c r="Q22" s="143" t="s">
        <v>1211</v>
      </c>
      <c r="R22" s="143" t="s">
        <v>885</v>
      </c>
      <c r="S22" s="143" t="s">
        <v>889</v>
      </c>
      <c r="T22" s="160">
        <v>45461</v>
      </c>
      <c r="U22" s="143" t="s">
        <v>1212</v>
      </c>
      <c r="V22" s="144">
        <v>511.9898111199787</v>
      </c>
      <c r="W22" s="144">
        <v>1924.5697</v>
      </c>
      <c r="X22" s="145" t="s">
        <v>3876</v>
      </c>
      <c r="Y22" s="146">
        <v>1.1642017632875685E-2</v>
      </c>
      <c r="Z22" s="147">
        <v>1.93558353712753E-3</v>
      </c>
      <c r="AA22" s="181"/>
    </row>
    <row r="23" spans="1:27" ht="15" x14ac:dyDescent="0.2">
      <c r="A23" s="142" t="s">
        <v>1205</v>
      </c>
      <c r="B23" s="143" t="s">
        <v>1205</v>
      </c>
      <c r="C23" s="143" t="s">
        <v>3264</v>
      </c>
      <c r="D23" s="145" t="s">
        <v>3876</v>
      </c>
      <c r="E23" s="145" t="s">
        <v>3876</v>
      </c>
      <c r="F23" s="143" t="s">
        <v>3281</v>
      </c>
      <c r="G23" s="143" t="s">
        <v>3282</v>
      </c>
      <c r="H23" s="143" t="s">
        <v>312</v>
      </c>
      <c r="I23" s="143" t="s">
        <v>1000</v>
      </c>
      <c r="J23" s="145" t="s">
        <v>3876</v>
      </c>
      <c r="K23" s="143" t="s">
        <v>205</v>
      </c>
      <c r="L23" s="145" t="s">
        <v>3876</v>
      </c>
      <c r="M23" s="145" t="s">
        <v>3876</v>
      </c>
      <c r="N23" s="143" t="s">
        <v>224</v>
      </c>
      <c r="O23" s="143" t="s">
        <v>339</v>
      </c>
      <c r="P23" s="162">
        <v>45298</v>
      </c>
      <c r="Q23" s="143" t="s">
        <v>1211</v>
      </c>
      <c r="R23" s="143" t="s">
        <v>885</v>
      </c>
      <c r="S23" s="143" t="s">
        <v>889</v>
      </c>
      <c r="T23" s="160">
        <v>45470</v>
      </c>
      <c r="U23" s="143" t="s">
        <v>1212</v>
      </c>
      <c r="V23" s="144">
        <v>492.30885873902633</v>
      </c>
      <c r="W23" s="144">
        <v>1850.5889999999999</v>
      </c>
      <c r="X23" s="146">
        <v>2.8184267515923568E-4</v>
      </c>
      <c r="Y23" s="146">
        <v>1.1194497287106132E-2</v>
      </c>
      <c r="Z23" s="147">
        <v>1.8611795084516856E-3</v>
      </c>
      <c r="AA23" s="181"/>
    </row>
    <row r="24" spans="1:27" ht="15" x14ac:dyDescent="0.2">
      <c r="A24" s="142" t="s">
        <v>1205</v>
      </c>
      <c r="B24" s="143" t="s">
        <v>1205</v>
      </c>
      <c r="C24" s="143" t="s">
        <v>3283</v>
      </c>
      <c r="D24" s="145" t="s">
        <v>3876</v>
      </c>
      <c r="E24" s="145" t="s">
        <v>3876</v>
      </c>
      <c r="F24" s="143" t="s">
        <v>3284</v>
      </c>
      <c r="G24" s="143" t="s">
        <v>3285</v>
      </c>
      <c r="H24" s="143" t="s">
        <v>312</v>
      </c>
      <c r="I24" s="143" t="s">
        <v>1000</v>
      </c>
      <c r="J24" s="145" t="s">
        <v>3876</v>
      </c>
      <c r="K24" s="143" t="s">
        <v>205</v>
      </c>
      <c r="L24" s="145" t="s">
        <v>3876</v>
      </c>
      <c r="M24" s="145" t="s">
        <v>3876</v>
      </c>
      <c r="N24" s="143" t="s">
        <v>291</v>
      </c>
      <c r="O24" s="143" t="s">
        <v>339</v>
      </c>
      <c r="P24" s="162">
        <v>44524</v>
      </c>
      <c r="Q24" s="143" t="s">
        <v>1211</v>
      </c>
      <c r="R24" s="143" t="s">
        <v>885</v>
      </c>
      <c r="S24" s="143" t="s">
        <v>889</v>
      </c>
      <c r="T24" s="160">
        <v>45442</v>
      </c>
      <c r="U24" s="143" t="s">
        <v>1212</v>
      </c>
      <c r="V24" s="144">
        <v>481.24043628624634</v>
      </c>
      <c r="W24" s="144">
        <v>1808.9828</v>
      </c>
      <c r="X24" s="146">
        <v>2.0201101355914594E-3</v>
      </c>
      <c r="Y24" s="146">
        <v>1.0942815051875776E-2</v>
      </c>
      <c r="Z24" s="147">
        <v>1.8193352159534785E-3</v>
      </c>
      <c r="AA24" s="181"/>
    </row>
    <row r="25" spans="1:27" ht="15" x14ac:dyDescent="0.2">
      <c r="A25" s="142" t="s">
        <v>1205</v>
      </c>
      <c r="B25" s="143" t="s">
        <v>1205</v>
      </c>
      <c r="C25" s="143" t="s">
        <v>3286</v>
      </c>
      <c r="D25" s="145" t="s">
        <v>3876</v>
      </c>
      <c r="E25" s="145" t="s">
        <v>3876</v>
      </c>
      <c r="F25" s="143" t="s">
        <v>3287</v>
      </c>
      <c r="G25" s="143" t="s">
        <v>3288</v>
      </c>
      <c r="H25" s="143" t="s">
        <v>312</v>
      </c>
      <c r="I25" s="143" t="s">
        <v>1000</v>
      </c>
      <c r="J25" s="145" t="s">
        <v>3876</v>
      </c>
      <c r="K25" s="143" t="s">
        <v>205</v>
      </c>
      <c r="L25" s="145" t="s">
        <v>3876</v>
      </c>
      <c r="M25" s="145" t="s">
        <v>3876</v>
      </c>
      <c r="N25" s="143" t="s">
        <v>291</v>
      </c>
      <c r="O25" s="143" t="s">
        <v>339</v>
      </c>
      <c r="P25" s="162">
        <v>43718</v>
      </c>
      <c r="Q25" s="143" t="s">
        <v>1211</v>
      </c>
      <c r="R25" s="143" t="s">
        <v>885</v>
      </c>
      <c r="S25" s="143" t="s">
        <v>889</v>
      </c>
      <c r="T25" s="160">
        <v>45442</v>
      </c>
      <c r="U25" s="143" t="s">
        <v>1212</v>
      </c>
      <c r="V25" s="144">
        <v>479.02327746741156</v>
      </c>
      <c r="W25" s="144">
        <v>1800.6485</v>
      </c>
      <c r="X25" s="145" t="s">
        <v>3876</v>
      </c>
      <c r="Y25" s="146">
        <v>1.0892399159615259E-2</v>
      </c>
      <c r="Z25" s="147">
        <v>1.8109531490174617E-3</v>
      </c>
      <c r="AA25" s="181"/>
    </row>
    <row r="26" spans="1:27" ht="15" x14ac:dyDescent="0.2">
      <c r="A26" s="142" t="s">
        <v>1205</v>
      </c>
      <c r="B26" s="143" t="s">
        <v>1205</v>
      </c>
      <c r="C26" s="143" t="s">
        <v>3289</v>
      </c>
      <c r="D26" s="145" t="s">
        <v>3876</v>
      </c>
      <c r="E26" s="145" t="s">
        <v>3876</v>
      </c>
      <c r="F26" s="143" t="s">
        <v>3290</v>
      </c>
      <c r="G26" s="143" t="s">
        <v>3291</v>
      </c>
      <c r="H26" s="143" t="s">
        <v>312</v>
      </c>
      <c r="I26" s="143" t="s">
        <v>1000</v>
      </c>
      <c r="J26" s="145" t="s">
        <v>3876</v>
      </c>
      <c r="K26" s="143" t="s">
        <v>205</v>
      </c>
      <c r="L26" s="145" t="s">
        <v>3876</v>
      </c>
      <c r="M26" s="145" t="s">
        <v>3876</v>
      </c>
      <c r="N26" s="143" t="s">
        <v>293</v>
      </c>
      <c r="O26" s="143" t="s">
        <v>339</v>
      </c>
      <c r="P26" s="162">
        <v>45350</v>
      </c>
      <c r="Q26" s="143" t="s">
        <v>1211</v>
      </c>
      <c r="R26" s="143" t="s">
        <v>885</v>
      </c>
      <c r="S26" s="143" t="s">
        <v>889</v>
      </c>
      <c r="T26" s="160">
        <v>45412</v>
      </c>
      <c r="U26" s="143" t="s">
        <v>1212</v>
      </c>
      <c r="V26" s="144">
        <v>419.37525937749405</v>
      </c>
      <c r="W26" s="144">
        <v>1576.4316000000001</v>
      </c>
      <c r="X26" s="146">
        <v>2.4696400666666669E-4</v>
      </c>
      <c r="Y26" s="146">
        <v>9.536076987624419E-3</v>
      </c>
      <c r="Z26" s="147">
        <v>1.5854531583858501E-3</v>
      </c>
      <c r="AA26" s="181"/>
    </row>
    <row r="27" spans="1:27" ht="15" x14ac:dyDescent="0.2">
      <c r="A27" s="142" t="s">
        <v>1205</v>
      </c>
      <c r="B27" s="143" t="s">
        <v>1205</v>
      </c>
      <c r="C27" s="143" t="s">
        <v>3292</v>
      </c>
      <c r="D27" s="145" t="s">
        <v>3876</v>
      </c>
      <c r="E27" s="145" t="s">
        <v>3876</v>
      </c>
      <c r="F27" s="143" t="s">
        <v>3293</v>
      </c>
      <c r="G27" s="143" t="s">
        <v>3294</v>
      </c>
      <c r="H27" s="143" t="s">
        <v>312</v>
      </c>
      <c r="I27" s="143" t="s">
        <v>1000</v>
      </c>
      <c r="J27" s="145" t="s">
        <v>3876</v>
      </c>
      <c r="K27" s="143" t="s">
        <v>205</v>
      </c>
      <c r="L27" s="145" t="s">
        <v>3876</v>
      </c>
      <c r="M27" s="145" t="s">
        <v>3876</v>
      </c>
      <c r="N27" s="143" t="s">
        <v>293</v>
      </c>
      <c r="O27" s="143" t="s">
        <v>339</v>
      </c>
      <c r="P27" s="162">
        <v>45217</v>
      </c>
      <c r="Q27" s="143" t="s">
        <v>1213</v>
      </c>
      <c r="R27" s="143" t="s">
        <v>885</v>
      </c>
      <c r="S27" s="143" t="s">
        <v>889</v>
      </c>
      <c r="T27" s="160">
        <v>45469</v>
      </c>
      <c r="U27" s="143" t="s">
        <v>1214</v>
      </c>
      <c r="V27" s="144">
        <v>391.12591413362514</v>
      </c>
      <c r="W27" s="144">
        <v>1572.4043999999999</v>
      </c>
      <c r="X27" s="146">
        <v>1.8296833000000001E-5</v>
      </c>
      <c r="Y27" s="146">
        <v>9.5117157235635307E-3</v>
      </c>
      <c r="Z27" s="147">
        <v>1.5814028929467465E-3</v>
      </c>
      <c r="AA27" s="181"/>
    </row>
    <row r="28" spans="1:27" ht="15" x14ac:dyDescent="0.2">
      <c r="A28" s="142" t="s">
        <v>1205</v>
      </c>
      <c r="B28" s="143" t="s">
        <v>1205</v>
      </c>
      <c r="C28" s="143" t="s">
        <v>3295</v>
      </c>
      <c r="D28" s="145" t="s">
        <v>3876</v>
      </c>
      <c r="E28" s="145" t="s">
        <v>3876</v>
      </c>
      <c r="F28" s="143" t="s">
        <v>3296</v>
      </c>
      <c r="G28" s="143" t="s">
        <v>3297</v>
      </c>
      <c r="H28" s="143" t="s">
        <v>312</v>
      </c>
      <c r="I28" s="143" t="s">
        <v>1000</v>
      </c>
      <c r="J28" s="145" t="s">
        <v>3876</v>
      </c>
      <c r="K28" s="143" t="s">
        <v>205</v>
      </c>
      <c r="L28" s="145" t="s">
        <v>3876</v>
      </c>
      <c r="M28" s="145" t="s">
        <v>3876</v>
      </c>
      <c r="N28" s="143" t="s">
        <v>293</v>
      </c>
      <c r="O28" s="143" t="s">
        <v>339</v>
      </c>
      <c r="P28" s="162">
        <v>45279</v>
      </c>
      <c r="Q28" s="143" t="s">
        <v>1211</v>
      </c>
      <c r="R28" s="143" t="s">
        <v>885</v>
      </c>
      <c r="S28" s="143" t="s">
        <v>889</v>
      </c>
      <c r="T28" s="160">
        <v>45442</v>
      </c>
      <c r="U28" s="143" t="s">
        <v>1212</v>
      </c>
      <c r="V28" s="144">
        <v>405.19856344772546</v>
      </c>
      <c r="W28" s="144">
        <v>1523.1414</v>
      </c>
      <c r="X28" s="146">
        <v>3.5727436660480505E-5</v>
      </c>
      <c r="Y28" s="146">
        <v>9.2137165867820989E-3</v>
      </c>
      <c r="Z28" s="147">
        <v>1.5318580252595914E-3</v>
      </c>
      <c r="AA28" s="181"/>
    </row>
    <row r="29" spans="1:27" ht="15" x14ac:dyDescent="0.2">
      <c r="A29" s="142" t="s">
        <v>1205</v>
      </c>
      <c r="B29" s="143" t="s">
        <v>1205</v>
      </c>
      <c r="C29" s="143" t="s">
        <v>3298</v>
      </c>
      <c r="D29" s="145" t="s">
        <v>3876</v>
      </c>
      <c r="E29" s="145" t="s">
        <v>3876</v>
      </c>
      <c r="F29" s="143" t="s">
        <v>3299</v>
      </c>
      <c r="G29" s="143" t="s">
        <v>3300</v>
      </c>
      <c r="H29" s="143" t="s">
        <v>312</v>
      </c>
      <c r="I29" s="143" t="s">
        <v>1000</v>
      </c>
      <c r="J29" s="145" t="s">
        <v>3876</v>
      </c>
      <c r="K29" s="143" t="s">
        <v>205</v>
      </c>
      <c r="L29" s="145" t="s">
        <v>3876</v>
      </c>
      <c r="M29" s="145" t="s">
        <v>3876</v>
      </c>
      <c r="N29" s="143" t="s">
        <v>291</v>
      </c>
      <c r="O29" s="143" t="s">
        <v>339</v>
      </c>
      <c r="P29" s="162">
        <v>45251</v>
      </c>
      <c r="Q29" s="143" t="s">
        <v>1211</v>
      </c>
      <c r="R29" s="143" t="s">
        <v>885</v>
      </c>
      <c r="S29" s="143" t="s">
        <v>889</v>
      </c>
      <c r="T29" s="160">
        <v>45470</v>
      </c>
      <c r="U29" s="143" t="s">
        <v>1212</v>
      </c>
      <c r="V29" s="144">
        <v>401.92410215482846</v>
      </c>
      <c r="W29" s="144">
        <v>1510.8326999999999</v>
      </c>
      <c r="X29" s="146">
        <v>2.2009466666666667E-4</v>
      </c>
      <c r="Y29" s="146">
        <v>9.1392594371596126E-3</v>
      </c>
      <c r="Z29" s="147">
        <v>1.5194788966948179E-3</v>
      </c>
      <c r="AA29" s="181"/>
    </row>
    <row r="30" spans="1:27" ht="15" x14ac:dyDescent="0.2">
      <c r="A30" s="142" t="s">
        <v>1205</v>
      </c>
      <c r="B30" s="143" t="s">
        <v>1205</v>
      </c>
      <c r="C30" s="143" t="s">
        <v>3301</v>
      </c>
      <c r="D30" s="145" t="s">
        <v>3876</v>
      </c>
      <c r="E30" s="145" t="s">
        <v>3876</v>
      </c>
      <c r="F30" s="143" t="s">
        <v>3302</v>
      </c>
      <c r="G30" s="143" t="s">
        <v>3303</v>
      </c>
      <c r="H30" s="143" t="s">
        <v>312</v>
      </c>
      <c r="I30" s="143" t="s">
        <v>1000</v>
      </c>
      <c r="J30" s="145" t="s">
        <v>3876</v>
      </c>
      <c r="K30" s="143" t="s">
        <v>205</v>
      </c>
      <c r="L30" s="145" t="s">
        <v>3876</v>
      </c>
      <c r="M30" s="145" t="s">
        <v>3876</v>
      </c>
      <c r="N30" s="143" t="s">
        <v>268</v>
      </c>
      <c r="O30" s="143" t="s">
        <v>339</v>
      </c>
      <c r="P30" s="162">
        <v>45316</v>
      </c>
      <c r="Q30" s="143" t="s">
        <v>1211</v>
      </c>
      <c r="R30" s="143" t="s">
        <v>885</v>
      </c>
      <c r="S30" s="143" t="s">
        <v>889</v>
      </c>
      <c r="T30" s="160">
        <v>45442</v>
      </c>
      <c r="U30" s="143" t="s">
        <v>1212</v>
      </c>
      <c r="V30" s="144">
        <v>396.50409683426443</v>
      </c>
      <c r="W30" s="144">
        <v>1490.4588999999999</v>
      </c>
      <c r="X30" s="146">
        <v>1.825530642857143E-4</v>
      </c>
      <c r="Y30" s="146">
        <v>9.0160146863732769E-3</v>
      </c>
      <c r="Z30" s="147">
        <v>1.498988418310231E-3</v>
      </c>
      <c r="AA30" s="181"/>
    </row>
    <row r="31" spans="1:27" ht="15" x14ac:dyDescent="0.2">
      <c r="A31" s="142" t="s">
        <v>1205</v>
      </c>
      <c r="B31" s="143" t="s">
        <v>1205</v>
      </c>
      <c r="C31" s="143" t="s">
        <v>3304</v>
      </c>
      <c r="D31" s="145" t="s">
        <v>3876</v>
      </c>
      <c r="E31" s="145" t="s">
        <v>3876</v>
      </c>
      <c r="F31" s="143" t="s">
        <v>3305</v>
      </c>
      <c r="G31" s="143" t="s">
        <v>3306</v>
      </c>
      <c r="H31" s="143" t="s">
        <v>312</v>
      </c>
      <c r="I31" s="143" t="s">
        <v>1000</v>
      </c>
      <c r="J31" s="145" t="s">
        <v>3876</v>
      </c>
      <c r="K31" s="143" t="s">
        <v>205</v>
      </c>
      <c r="L31" s="145" t="s">
        <v>3876</v>
      </c>
      <c r="M31" s="145" t="s">
        <v>3876</v>
      </c>
      <c r="N31" s="143" t="s">
        <v>204</v>
      </c>
      <c r="O31" s="143" t="s">
        <v>339</v>
      </c>
      <c r="P31" s="162">
        <v>45316</v>
      </c>
      <c r="Q31" s="143" t="s">
        <v>1211</v>
      </c>
      <c r="R31" s="143" t="s">
        <v>885</v>
      </c>
      <c r="S31" s="143" t="s">
        <v>889</v>
      </c>
      <c r="T31" s="160">
        <v>45442</v>
      </c>
      <c r="U31" s="143" t="s">
        <v>1212</v>
      </c>
      <c r="V31" s="144">
        <v>386.16932694865659</v>
      </c>
      <c r="W31" s="144">
        <v>1451.6105</v>
      </c>
      <c r="X31" s="146">
        <v>6.0192799999999995E-4</v>
      </c>
      <c r="Y31" s="146">
        <v>8.7810147161362304E-3</v>
      </c>
      <c r="Z31" s="147">
        <v>1.4599176929462868E-3</v>
      </c>
      <c r="AA31" s="181"/>
    </row>
    <row r="32" spans="1:27" ht="15" x14ac:dyDescent="0.2">
      <c r="A32" s="142" t="s">
        <v>1205</v>
      </c>
      <c r="B32" s="143" t="s">
        <v>1205</v>
      </c>
      <c r="C32" s="143" t="s">
        <v>3307</v>
      </c>
      <c r="D32" s="145" t="s">
        <v>3876</v>
      </c>
      <c r="E32" s="145" t="s">
        <v>3876</v>
      </c>
      <c r="F32" s="143" t="s">
        <v>3308</v>
      </c>
      <c r="G32" s="143" t="s">
        <v>3309</v>
      </c>
      <c r="H32" s="143" t="s">
        <v>312</v>
      </c>
      <c r="I32" s="143" t="s">
        <v>1000</v>
      </c>
      <c r="J32" s="145" t="s">
        <v>3876</v>
      </c>
      <c r="K32" s="143" t="s">
        <v>205</v>
      </c>
      <c r="L32" s="145" t="s">
        <v>3876</v>
      </c>
      <c r="M32" s="145" t="s">
        <v>3876</v>
      </c>
      <c r="N32" s="143" t="s">
        <v>299</v>
      </c>
      <c r="O32" s="143" t="s">
        <v>339</v>
      </c>
      <c r="P32" s="162">
        <v>45299</v>
      </c>
      <c r="Q32" s="143" t="s">
        <v>1213</v>
      </c>
      <c r="R32" s="143" t="s">
        <v>885</v>
      </c>
      <c r="S32" s="143" t="s">
        <v>889</v>
      </c>
      <c r="T32" s="160">
        <v>45470</v>
      </c>
      <c r="U32" s="143" t="s">
        <v>1214</v>
      </c>
      <c r="V32" s="144">
        <v>297.48104571911841</v>
      </c>
      <c r="W32" s="144">
        <v>1195.9333000000001</v>
      </c>
      <c r="X32" s="146">
        <v>1.8518013333333333E-5</v>
      </c>
      <c r="Y32" s="146">
        <v>7.2343844258901174E-3</v>
      </c>
      <c r="Z32" s="147">
        <v>1.2027773739547154E-3</v>
      </c>
      <c r="AA32" s="181"/>
    </row>
    <row r="33" spans="1:27" ht="15" x14ac:dyDescent="0.2">
      <c r="A33" s="142" t="s">
        <v>1205</v>
      </c>
      <c r="B33" s="143" t="s">
        <v>1205</v>
      </c>
      <c r="C33" s="143" t="s">
        <v>3310</v>
      </c>
      <c r="D33" s="145" t="s">
        <v>3876</v>
      </c>
      <c r="E33" s="145" t="s">
        <v>3876</v>
      </c>
      <c r="F33" s="143" t="s">
        <v>3311</v>
      </c>
      <c r="G33" s="143" t="s">
        <v>3312</v>
      </c>
      <c r="H33" s="143" t="s">
        <v>312</v>
      </c>
      <c r="I33" s="143" t="s">
        <v>1000</v>
      </c>
      <c r="J33" s="145" t="s">
        <v>3876</v>
      </c>
      <c r="K33" s="143" t="s">
        <v>205</v>
      </c>
      <c r="L33" s="145" t="s">
        <v>3876</v>
      </c>
      <c r="M33" s="145" t="s">
        <v>3876</v>
      </c>
      <c r="N33" s="143" t="s">
        <v>296</v>
      </c>
      <c r="O33" s="143" t="s">
        <v>339</v>
      </c>
      <c r="P33" s="162">
        <v>45356</v>
      </c>
      <c r="Q33" s="143" t="s">
        <v>1213</v>
      </c>
      <c r="R33" s="143" t="s">
        <v>885</v>
      </c>
      <c r="S33" s="143" t="s">
        <v>889</v>
      </c>
      <c r="T33" s="160">
        <v>45460</v>
      </c>
      <c r="U33" s="143" t="s">
        <v>1214</v>
      </c>
      <c r="V33" s="144">
        <v>279.82383960996964</v>
      </c>
      <c r="W33" s="144">
        <v>1124.9478000000001</v>
      </c>
      <c r="X33" s="146">
        <v>6.3634285714285715E-4</v>
      </c>
      <c r="Y33" s="146">
        <v>6.8049823240844834E-3</v>
      </c>
      <c r="Z33" s="147">
        <v>1.1313856560177923E-3</v>
      </c>
      <c r="AA33" s="181"/>
    </row>
    <row r="34" spans="1:27" ht="15" x14ac:dyDescent="0.2">
      <c r="A34" s="142" t="s">
        <v>1205</v>
      </c>
      <c r="B34" s="143" t="s">
        <v>1205</v>
      </c>
      <c r="C34" s="143" t="s">
        <v>3313</v>
      </c>
      <c r="D34" s="145" t="s">
        <v>3876</v>
      </c>
      <c r="E34" s="145" t="s">
        <v>3876</v>
      </c>
      <c r="F34" s="143" t="s">
        <v>3314</v>
      </c>
      <c r="G34" s="143" t="s">
        <v>3315</v>
      </c>
      <c r="H34" s="143" t="s">
        <v>312</v>
      </c>
      <c r="I34" s="143" t="s">
        <v>1000</v>
      </c>
      <c r="J34" s="145" t="s">
        <v>3876</v>
      </c>
      <c r="K34" s="143" t="s">
        <v>205</v>
      </c>
      <c r="L34" s="145" t="s">
        <v>3876</v>
      </c>
      <c r="M34" s="145" t="s">
        <v>3876</v>
      </c>
      <c r="N34" s="143" t="s">
        <v>293</v>
      </c>
      <c r="O34" s="143" t="s">
        <v>339</v>
      </c>
      <c r="P34" s="162">
        <v>44893</v>
      </c>
      <c r="Q34" s="143" t="s">
        <v>1213</v>
      </c>
      <c r="R34" s="143" t="s">
        <v>885</v>
      </c>
      <c r="S34" s="143" t="s">
        <v>889</v>
      </c>
      <c r="T34" s="163">
        <v>45446</v>
      </c>
      <c r="U34" s="143" t="s">
        <v>1214</v>
      </c>
      <c r="V34" s="144">
        <v>258.63076463857522</v>
      </c>
      <c r="W34" s="144">
        <v>1039.7474</v>
      </c>
      <c r="X34" s="146">
        <v>7.5934215044191515E-5</v>
      </c>
      <c r="Y34" s="146">
        <v>6.2895918346221455E-3</v>
      </c>
      <c r="Z34" s="147">
        <v>1.0456976440207698E-3</v>
      </c>
      <c r="AA34" s="181"/>
    </row>
    <row r="35" spans="1:27" ht="15" x14ac:dyDescent="0.2">
      <c r="A35" s="142" t="s">
        <v>1205</v>
      </c>
      <c r="B35" s="143" t="s">
        <v>1205</v>
      </c>
      <c r="C35" s="143" t="s">
        <v>3316</v>
      </c>
      <c r="D35" s="145" t="s">
        <v>3876</v>
      </c>
      <c r="E35" s="145" t="s">
        <v>3876</v>
      </c>
      <c r="F35" s="143" t="s">
        <v>3317</v>
      </c>
      <c r="G35" s="143" t="s">
        <v>3318</v>
      </c>
      <c r="H35" s="143" t="s">
        <v>312</v>
      </c>
      <c r="I35" s="143" t="s">
        <v>1000</v>
      </c>
      <c r="J35" s="145" t="s">
        <v>3876</v>
      </c>
      <c r="K35" s="143" t="s">
        <v>205</v>
      </c>
      <c r="L35" s="145" t="s">
        <v>3876</v>
      </c>
      <c r="M35" s="145" t="s">
        <v>3876</v>
      </c>
      <c r="N35" s="143" t="s">
        <v>268</v>
      </c>
      <c r="O35" s="143" t="s">
        <v>339</v>
      </c>
      <c r="P35" s="162">
        <v>44711</v>
      </c>
      <c r="Q35" s="143" t="s">
        <v>1211</v>
      </c>
      <c r="R35" s="143" t="s">
        <v>885</v>
      </c>
      <c r="S35" s="143" t="s">
        <v>889</v>
      </c>
      <c r="T35" s="163">
        <v>45412</v>
      </c>
      <c r="U35" s="143" t="s">
        <v>1212</v>
      </c>
      <c r="V35" s="144">
        <v>269.46283586060122</v>
      </c>
      <c r="W35" s="144">
        <v>1012.9108</v>
      </c>
      <c r="X35" s="146">
        <v>8.4168999999999997E-4</v>
      </c>
      <c r="Y35" s="146">
        <v>6.1272532775486785E-3</v>
      </c>
      <c r="Z35" s="147">
        <v>1.0187074909028841E-3</v>
      </c>
      <c r="AA35" s="181"/>
    </row>
    <row r="36" spans="1:27" ht="15" x14ac:dyDescent="0.2">
      <c r="A36" s="142" t="s">
        <v>1205</v>
      </c>
      <c r="B36" s="143" t="s">
        <v>1205</v>
      </c>
      <c r="C36" s="143" t="s">
        <v>3319</v>
      </c>
      <c r="D36" s="145" t="s">
        <v>3876</v>
      </c>
      <c r="E36" s="145" t="s">
        <v>3876</v>
      </c>
      <c r="F36" s="143" t="s">
        <v>3320</v>
      </c>
      <c r="G36" s="143" t="s">
        <v>3321</v>
      </c>
      <c r="H36" s="143" t="s">
        <v>312</v>
      </c>
      <c r="I36" s="143" t="s">
        <v>1000</v>
      </c>
      <c r="J36" s="145" t="s">
        <v>3876</v>
      </c>
      <c r="K36" s="143" t="s">
        <v>205</v>
      </c>
      <c r="L36" s="145" t="s">
        <v>3876</v>
      </c>
      <c r="M36" s="145" t="s">
        <v>3876</v>
      </c>
      <c r="N36" s="143" t="s">
        <v>224</v>
      </c>
      <c r="O36" s="143" t="s">
        <v>339</v>
      </c>
      <c r="P36" s="162">
        <v>44616</v>
      </c>
      <c r="Q36" s="143" t="s">
        <v>1211</v>
      </c>
      <c r="R36" s="143" t="s">
        <v>885</v>
      </c>
      <c r="S36" s="143" t="s">
        <v>889</v>
      </c>
      <c r="T36" s="163">
        <v>45442</v>
      </c>
      <c r="U36" s="143" t="s">
        <v>1212</v>
      </c>
      <c r="V36" s="144">
        <v>235.96887470071826</v>
      </c>
      <c r="W36" s="144">
        <v>887.00699999999995</v>
      </c>
      <c r="X36" s="146">
        <v>2.452269230769231E-3</v>
      </c>
      <c r="Y36" s="146">
        <v>5.3656415535592375E-3</v>
      </c>
      <c r="Z36" s="147">
        <v>8.9208312379366261E-4</v>
      </c>
      <c r="AA36" s="181"/>
    </row>
    <row r="37" spans="1:27" ht="15" x14ac:dyDescent="0.2">
      <c r="A37" s="142" t="s">
        <v>1205</v>
      </c>
      <c r="B37" s="143" t="s">
        <v>1205</v>
      </c>
      <c r="C37" s="143" t="s">
        <v>3322</v>
      </c>
      <c r="D37" s="145" t="s">
        <v>3876</v>
      </c>
      <c r="E37" s="145" t="s">
        <v>3876</v>
      </c>
      <c r="F37" s="143" t="s">
        <v>3323</v>
      </c>
      <c r="G37" s="143" t="s">
        <v>3324</v>
      </c>
      <c r="H37" s="143" t="s">
        <v>312</v>
      </c>
      <c r="I37" s="143" t="s">
        <v>1000</v>
      </c>
      <c r="J37" s="145" t="s">
        <v>3876</v>
      </c>
      <c r="K37" s="143" t="s">
        <v>205</v>
      </c>
      <c r="L37" s="145" t="s">
        <v>3876</v>
      </c>
      <c r="M37" s="145" t="s">
        <v>3876</v>
      </c>
      <c r="N37" s="143" t="s">
        <v>224</v>
      </c>
      <c r="O37" s="143" t="s">
        <v>339</v>
      </c>
      <c r="P37" s="162">
        <v>44991</v>
      </c>
      <c r="Q37" s="143" t="s">
        <v>1211</v>
      </c>
      <c r="R37" s="143" t="s">
        <v>885</v>
      </c>
      <c r="S37" s="143" t="s">
        <v>889</v>
      </c>
      <c r="T37" s="163">
        <v>45442</v>
      </c>
      <c r="U37" s="143" t="s">
        <v>1212</v>
      </c>
      <c r="V37" s="144">
        <v>230.45216812982176</v>
      </c>
      <c r="W37" s="144">
        <v>866.26969999999994</v>
      </c>
      <c r="X37" s="146">
        <v>2.8440000000000002E-3</v>
      </c>
      <c r="Y37" s="146">
        <v>5.2401984285632246E-3</v>
      </c>
      <c r="Z37" s="147">
        <v>8.7122714717132366E-4</v>
      </c>
      <c r="AA37" s="181"/>
    </row>
    <row r="38" spans="1:27" ht="15" x14ac:dyDescent="0.2">
      <c r="A38" s="142" t="s">
        <v>1205</v>
      </c>
      <c r="B38" s="143" t="s">
        <v>1205</v>
      </c>
      <c r="C38" s="143" t="s">
        <v>3325</v>
      </c>
      <c r="D38" s="145" t="s">
        <v>3876</v>
      </c>
      <c r="E38" s="145" t="s">
        <v>3876</v>
      </c>
      <c r="F38" s="143" t="s">
        <v>3326</v>
      </c>
      <c r="G38" s="143" t="s">
        <v>3327</v>
      </c>
      <c r="H38" s="143" t="s">
        <v>312</v>
      </c>
      <c r="I38" s="143" t="s">
        <v>1000</v>
      </c>
      <c r="J38" s="145" t="s">
        <v>3876</v>
      </c>
      <c r="K38" s="143" t="s">
        <v>205</v>
      </c>
      <c r="L38" s="145" t="s">
        <v>3876</v>
      </c>
      <c r="M38" s="145" t="s">
        <v>3876</v>
      </c>
      <c r="N38" s="143" t="s">
        <v>224</v>
      </c>
      <c r="O38" s="143" t="s">
        <v>339</v>
      </c>
      <c r="P38" s="162">
        <v>45370</v>
      </c>
      <c r="Q38" s="143" t="s">
        <v>1211</v>
      </c>
      <c r="R38" s="143" t="s">
        <v>885</v>
      </c>
      <c r="S38" s="143" t="s">
        <v>889</v>
      </c>
      <c r="T38" s="163">
        <v>45460</v>
      </c>
      <c r="U38" s="143" t="s">
        <v>1212</v>
      </c>
      <c r="V38" s="144">
        <v>208.57893056664005</v>
      </c>
      <c r="W38" s="144">
        <v>784.04819999999995</v>
      </c>
      <c r="X38" s="145" t="s">
        <v>3876</v>
      </c>
      <c r="Y38" s="146">
        <v>4.742828240494816E-3</v>
      </c>
      <c r="Z38" s="147">
        <v>7.8853516213561324E-4</v>
      </c>
      <c r="AA38" s="181"/>
    </row>
    <row r="39" spans="1:27" ht="15" x14ac:dyDescent="0.2">
      <c r="A39" s="142" t="s">
        <v>1205</v>
      </c>
      <c r="B39" s="143" t="s">
        <v>1205</v>
      </c>
      <c r="C39" s="143" t="s">
        <v>3328</v>
      </c>
      <c r="D39" s="145" t="s">
        <v>3876</v>
      </c>
      <c r="E39" s="145" t="s">
        <v>3876</v>
      </c>
      <c r="F39" s="143" t="s">
        <v>3329</v>
      </c>
      <c r="G39" s="143" t="s">
        <v>3330</v>
      </c>
      <c r="H39" s="143" t="s">
        <v>312</v>
      </c>
      <c r="I39" s="143" t="s">
        <v>1000</v>
      </c>
      <c r="J39" s="145" t="s">
        <v>3876</v>
      </c>
      <c r="K39" s="143" t="s">
        <v>205</v>
      </c>
      <c r="L39" s="145" t="s">
        <v>3876</v>
      </c>
      <c r="M39" s="145" t="s">
        <v>3876</v>
      </c>
      <c r="N39" s="143" t="s">
        <v>296</v>
      </c>
      <c r="O39" s="143" t="s">
        <v>339</v>
      </c>
      <c r="P39" s="162">
        <v>45365</v>
      </c>
      <c r="Q39" s="143" t="s">
        <v>1211</v>
      </c>
      <c r="R39" s="143" t="s">
        <v>885</v>
      </c>
      <c r="S39" s="143" t="s">
        <v>889</v>
      </c>
      <c r="T39" s="163">
        <v>45470</v>
      </c>
      <c r="U39" s="143" t="s">
        <v>1212</v>
      </c>
      <c r="V39" s="144">
        <v>187.65363128491623</v>
      </c>
      <c r="W39" s="144">
        <v>705.39</v>
      </c>
      <c r="X39" s="146">
        <v>2.3270153846153847E-3</v>
      </c>
      <c r="Y39" s="146">
        <v>4.2670126683547827E-3</v>
      </c>
      <c r="Z39" s="147">
        <v>7.0942681363574285E-4</v>
      </c>
      <c r="AA39" s="181"/>
    </row>
    <row r="40" spans="1:27" ht="15" x14ac:dyDescent="0.2">
      <c r="A40" s="142" t="s">
        <v>1205</v>
      </c>
      <c r="B40" s="143" t="s">
        <v>1205</v>
      </c>
      <c r="C40" s="143" t="s">
        <v>3331</v>
      </c>
      <c r="D40" s="145" t="s">
        <v>3876</v>
      </c>
      <c r="E40" s="145" t="s">
        <v>3876</v>
      </c>
      <c r="F40" s="143" t="s">
        <v>3332</v>
      </c>
      <c r="G40" s="143" t="s">
        <v>3333</v>
      </c>
      <c r="H40" s="143" t="s">
        <v>312</v>
      </c>
      <c r="I40" s="143" t="s">
        <v>1000</v>
      </c>
      <c r="J40" s="145" t="s">
        <v>3876</v>
      </c>
      <c r="K40" s="143" t="s">
        <v>205</v>
      </c>
      <c r="L40" s="145" t="s">
        <v>3876</v>
      </c>
      <c r="M40" s="145" t="s">
        <v>3876</v>
      </c>
      <c r="N40" s="143" t="s">
        <v>291</v>
      </c>
      <c r="O40" s="143" t="s">
        <v>339</v>
      </c>
      <c r="P40" s="162">
        <v>45362</v>
      </c>
      <c r="Q40" s="143" t="s">
        <v>1211</v>
      </c>
      <c r="R40" s="143" t="s">
        <v>885</v>
      </c>
      <c r="S40" s="143" t="s">
        <v>889</v>
      </c>
      <c r="T40" s="163">
        <v>45433</v>
      </c>
      <c r="U40" s="143" t="s">
        <v>1212</v>
      </c>
      <c r="V40" s="144">
        <v>180.69268422452782</v>
      </c>
      <c r="W40" s="144">
        <v>679.2238000000001</v>
      </c>
      <c r="X40" s="146">
        <v>2.5356800000000001E-5</v>
      </c>
      <c r="Y40" s="146">
        <v>4.1087291181598484E-3</v>
      </c>
      <c r="Z40" s="147">
        <v>6.8311083958239158E-4</v>
      </c>
      <c r="AA40" s="181"/>
    </row>
    <row r="41" spans="1:27" ht="15" x14ac:dyDescent="0.2">
      <c r="A41" s="142" t="s">
        <v>1205</v>
      </c>
      <c r="B41" s="143" t="s">
        <v>1205</v>
      </c>
      <c r="C41" s="143" t="s">
        <v>3334</v>
      </c>
      <c r="D41" s="145" t="s">
        <v>3876</v>
      </c>
      <c r="E41" s="145" t="s">
        <v>3876</v>
      </c>
      <c r="F41" s="143" t="s">
        <v>3335</v>
      </c>
      <c r="G41" s="143" t="s">
        <v>3336</v>
      </c>
      <c r="H41" s="143" t="s">
        <v>312</v>
      </c>
      <c r="I41" s="143" t="s">
        <v>1000</v>
      </c>
      <c r="J41" s="145" t="s">
        <v>3876</v>
      </c>
      <c r="K41" s="143" t="s">
        <v>205</v>
      </c>
      <c r="L41" s="145" t="s">
        <v>3876</v>
      </c>
      <c r="M41" s="145" t="s">
        <v>3876</v>
      </c>
      <c r="N41" s="143" t="s">
        <v>291</v>
      </c>
      <c r="O41" s="143" t="s">
        <v>339</v>
      </c>
      <c r="P41" s="162">
        <v>45362</v>
      </c>
      <c r="Q41" s="143" t="s">
        <v>1211</v>
      </c>
      <c r="R41" s="143" t="s">
        <v>885</v>
      </c>
      <c r="S41" s="143" t="s">
        <v>889</v>
      </c>
      <c r="T41" s="163">
        <v>45428</v>
      </c>
      <c r="U41" s="143" t="s">
        <v>1212</v>
      </c>
      <c r="V41" s="144">
        <v>175.03293429103488</v>
      </c>
      <c r="W41" s="144">
        <v>657.94880000000001</v>
      </c>
      <c r="X41" s="146">
        <v>1.9306666666666666E-5</v>
      </c>
      <c r="Y41" s="146">
        <v>3.9800334457530465E-3</v>
      </c>
      <c r="Z41" s="147">
        <v>6.6171409954424469E-4</v>
      </c>
      <c r="AA41" s="181"/>
    </row>
    <row r="42" spans="1:27" ht="15" x14ac:dyDescent="0.2">
      <c r="A42" s="142" t="s">
        <v>1205</v>
      </c>
      <c r="B42" s="143" t="s">
        <v>1205</v>
      </c>
      <c r="C42" s="143" t="s">
        <v>3337</v>
      </c>
      <c r="D42" s="145" t="s">
        <v>3876</v>
      </c>
      <c r="E42" s="145" t="s">
        <v>3876</v>
      </c>
      <c r="F42" s="143" t="s">
        <v>3338</v>
      </c>
      <c r="G42" s="143" t="s">
        <v>3339</v>
      </c>
      <c r="H42" s="143" t="s">
        <v>312</v>
      </c>
      <c r="I42" s="143" t="s">
        <v>1000</v>
      </c>
      <c r="J42" s="145" t="s">
        <v>3876</v>
      </c>
      <c r="K42" s="143" t="s">
        <v>205</v>
      </c>
      <c r="L42" s="145" t="s">
        <v>3876</v>
      </c>
      <c r="M42" s="145" t="s">
        <v>3876</v>
      </c>
      <c r="N42" s="143" t="s">
        <v>289</v>
      </c>
      <c r="O42" s="143" t="s">
        <v>339</v>
      </c>
      <c r="P42" s="162">
        <v>45291</v>
      </c>
      <c r="Q42" s="143" t="s">
        <v>1211</v>
      </c>
      <c r="R42" s="143" t="s">
        <v>885</v>
      </c>
      <c r="S42" s="143" t="s">
        <v>889</v>
      </c>
      <c r="T42" s="163">
        <v>45470</v>
      </c>
      <c r="U42" s="143" t="s">
        <v>1212</v>
      </c>
      <c r="V42" s="144">
        <v>174.80393721734507</v>
      </c>
      <c r="W42" s="144">
        <v>657.08799999999997</v>
      </c>
      <c r="X42" s="146">
        <v>3.3091555555555554E-4</v>
      </c>
      <c r="Y42" s="146">
        <v>3.9748260014291778E-3</v>
      </c>
      <c r="Z42" s="147">
        <v>6.608483180429931E-4</v>
      </c>
      <c r="AA42" s="181"/>
    </row>
    <row r="43" spans="1:27" ht="15" x14ac:dyDescent="0.2">
      <c r="A43" s="142" t="s">
        <v>1205</v>
      </c>
      <c r="B43" s="143" t="s">
        <v>1205</v>
      </c>
      <c r="C43" s="143" t="s">
        <v>3340</v>
      </c>
      <c r="D43" s="145" t="s">
        <v>3876</v>
      </c>
      <c r="E43" s="145" t="s">
        <v>3876</v>
      </c>
      <c r="F43" s="143" t="s">
        <v>3341</v>
      </c>
      <c r="G43" s="143" t="s">
        <v>3342</v>
      </c>
      <c r="H43" s="143" t="s">
        <v>312</v>
      </c>
      <c r="I43" s="143" t="s">
        <v>1000</v>
      </c>
      <c r="J43" s="145" t="s">
        <v>3876</v>
      </c>
      <c r="K43" s="143" t="s">
        <v>205</v>
      </c>
      <c r="L43" s="145" t="s">
        <v>3876</v>
      </c>
      <c r="M43" s="145" t="s">
        <v>3876</v>
      </c>
      <c r="N43" s="143" t="s">
        <v>296</v>
      </c>
      <c r="O43" s="143" t="s">
        <v>339</v>
      </c>
      <c r="P43" s="162">
        <v>45342</v>
      </c>
      <c r="Q43" s="143" t="s">
        <v>1211</v>
      </c>
      <c r="R43" s="143" t="s">
        <v>885</v>
      </c>
      <c r="S43" s="143" t="s">
        <v>889</v>
      </c>
      <c r="T43" s="163">
        <v>45460</v>
      </c>
      <c r="U43" s="143" t="s">
        <v>1212</v>
      </c>
      <c r="V43" s="144">
        <v>152.01644054269752</v>
      </c>
      <c r="W43" s="144">
        <v>571.4298</v>
      </c>
      <c r="X43" s="146">
        <v>7.5293684210526316E-5</v>
      </c>
      <c r="Y43" s="146">
        <v>3.4566665379506139E-3</v>
      </c>
      <c r="Z43" s="147">
        <v>5.7469994078201427E-4</v>
      </c>
      <c r="AA43" s="181"/>
    </row>
    <row r="44" spans="1:27" ht="15" x14ac:dyDescent="0.2">
      <c r="A44" s="142" t="s">
        <v>1205</v>
      </c>
      <c r="B44" s="143" t="s">
        <v>1205</v>
      </c>
      <c r="C44" s="143" t="s">
        <v>3343</v>
      </c>
      <c r="D44" s="145" t="s">
        <v>3876</v>
      </c>
      <c r="E44" s="145" t="s">
        <v>3876</v>
      </c>
      <c r="F44" s="143" t="s">
        <v>3344</v>
      </c>
      <c r="G44" s="143" t="s">
        <v>3345</v>
      </c>
      <c r="H44" s="143" t="s">
        <v>312</v>
      </c>
      <c r="I44" s="143" t="s">
        <v>1000</v>
      </c>
      <c r="J44" s="145" t="s">
        <v>3876</v>
      </c>
      <c r="K44" s="143" t="s">
        <v>205</v>
      </c>
      <c r="L44" s="145" t="s">
        <v>3876</v>
      </c>
      <c r="M44" s="145" t="s">
        <v>3876</v>
      </c>
      <c r="N44" s="143" t="s">
        <v>224</v>
      </c>
      <c r="O44" s="143" t="s">
        <v>339</v>
      </c>
      <c r="P44" s="162">
        <v>45362</v>
      </c>
      <c r="Q44" s="143" t="s">
        <v>1211</v>
      </c>
      <c r="R44" s="143" t="s">
        <v>885</v>
      </c>
      <c r="S44" s="143" t="s">
        <v>889</v>
      </c>
      <c r="T44" s="163">
        <v>45428</v>
      </c>
      <c r="U44" s="143" t="s">
        <v>1212</v>
      </c>
      <c r="V44" s="144">
        <v>145.56411279595636</v>
      </c>
      <c r="W44" s="144">
        <v>547.17550000000006</v>
      </c>
      <c r="X44" s="145" t="s">
        <v>3876</v>
      </c>
      <c r="Y44" s="146">
        <v>3.309948893197745E-3</v>
      </c>
      <c r="Z44" s="147">
        <v>5.5030689597268154E-4</v>
      </c>
      <c r="AA44" s="181"/>
    </row>
    <row r="45" spans="1:27" ht="15" x14ac:dyDescent="0.2">
      <c r="A45" s="142" t="s">
        <v>1205</v>
      </c>
      <c r="B45" s="143" t="s">
        <v>1205</v>
      </c>
      <c r="C45" s="143" t="s">
        <v>3346</v>
      </c>
      <c r="D45" s="145" t="s">
        <v>3876</v>
      </c>
      <c r="E45" s="145" t="s">
        <v>3876</v>
      </c>
      <c r="F45" s="143" t="s">
        <v>3347</v>
      </c>
      <c r="G45" s="143" t="s">
        <v>3348</v>
      </c>
      <c r="H45" s="143" t="s">
        <v>312</v>
      </c>
      <c r="I45" s="143" t="s">
        <v>1000</v>
      </c>
      <c r="J45" s="145" t="s">
        <v>3876</v>
      </c>
      <c r="K45" s="143" t="s">
        <v>205</v>
      </c>
      <c r="L45" s="145" t="s">
        <v>3876</v>
      </c>
      <c r="M45" s="145" t="s">
        <v>3876</v>
      </c>
      <c r="N45" s="143" t="s">
        <v>291</v>
      </c>
      <c r="O45" s="143" t="s">
        <v>339</v>
      </c>
      <c r="P45" s="162">
        <v>45365</v>
      </c>
      <c r="Q45" s="143" t="s">
        <v>1211</v>
      </c>
      <c r="R45" s="143" t="s">
        <v>885</v>
      </c>
      <c r="S45" s="143" t="s">
        <v>889</v>
      </c>
      <c r="T45" s="163">
        <v>45365</v>
      </c>
      <c r="U45" s="143" t="s">
        <v>1212</v>
      </c>
      <c r="V45" s="144">
        <v>135.81942005852622</v>
      </c>
      <c r="W45" s="144">
        <v>510.54520000000002</v>
      </c>
      <c r="X45" s="146">
        <v>7.7198934380257988E-4</v>
      </c>
      <c r="Y45" s="146">
        <v>3.0883662900137512E-3</v>
      </c>
      <c r="Z45" s="147">
        <v>5.1346692094759127E-4</v>
      </c>
      <c r="AA45" s="181"/>
    </row>
    <row r="46" spans="1:27" ht="15" x14ac:dyDescent="0.2">
      <c r="A46" s="142" t="s">
        <v>1205</v>
      </c>
      <c r="B46" s="143" t="s">
        <v>1205</v>
      </c>
      <c r="C46" s="143" t="s">
        <v>3349</v>
      </c>
      <c r="D46" s="145" t="s">
        <v>3876</v>
      </c>
      <c r="E46" s="145" t="s">
        <v>3876</v>
      </c>
      <c r="F46" s="143" t="s">
        <v>3350</v>
      </c>
      <c r="G46" s="143" t="s">
        <v>3351</v>
      </c>
      <c r="H46" s="143" t="s">
        <v>312</v>
      </c>
      <c r="I46" s="143" t="s">
        <v>1000</v>
      </c>
      <c r="J46" s="145" t="s">
        <v>3876</v>
      </c>
      <c r="K46" s="143" t="s">
        <v>205</v>
      </c>
      <c r="L46" s="145" t="s">
        <v>3876</v>
      </c>
      <c r="M46" s="145" t="s">
        <v>3876</v>
      </c>
      <c r="N46" s="143" t="s">
        <v>217</v>
      </c>
      <c r="O46" s="143" t="s">
        <v>339</v>
      </c>
      <c r="P46" s="162">
        <v>45257</v>
      </c>
      <c r="Q46" s="143" t="s">
        <v>1211</v>
      </c>
      <c r="R46" s="143" t="s">
        <v>885</v>
      </c>
      <c r="S46" s="143" t="s">
        <v>889</v>
      </c>
      <c r="T46" s="163">
        <v>45442</v>
      </c>
      <c r="U46" s="143" t="s">
        <v>1212</v>
      </c>
      <c r="V46" s="144">
        <v>126.52899707368981</v>
      </c>
      <c r="W46" s="144">
        <v>475.6225</v>
      </c>
      <c r="X46" s="145" t="s">
        <v>3876</v>
      </c>
      <c r="Y46" s="146">
        <v>2.8771136770014776E-3</v>
      </c>
      <c r="Z46" s="147">
        <v>4.7834439383793873E-4</v>
      </c>
      <c r="AA46" s="181"/>
    </row>
    <row r="47" spans="1:27" ht="15" x14ac:dyDescent="0.2">
      <c r="A47" s="142" t="s">
        <v>1205</v>
      </c>
      <c r="B47" s="143" t="s">
        <v>1205</v>
      </c>
      <c r="C47" s="143" t="s">
        <v>3261</v>
      </c>
      <c r="D47" s="145" t="s">
        <v>3876</v>
      </c>
      <c r="E47" s="145" t="s">
        <v>3876</v>
      </c>
      <c r="F47" s="143" t="s">
        <v>3352</v>
      </c>
      <c r="G47" s="143" t="s">
        <v>3353</v>
      </c>
      <c r="H47" s="143" t="s">
        <v>312</v>
      </c>
      <c r="I47" s="143" t="s">
        <v>1000</v>
      </c>
      <c r="J47" s="145" t="s">
        <v>3876</v>
      </c>
      <c r="K47" s="143" t="s">
        <v>205</v>
      </c>
      <c r="L47" s="145" t="s">
        <v>3876</v>
      </c>
      <c r="M47" s="145" t="s">
        <v>3876</v>
      </c>
      <c r="N47" s="143" t="s">
        <v>296</v>
      </c>
      <c r="O47" s="143" t="s">
        <v>339</v>
      </c>
      <c r="P47" s="162">
        <v>45371</v>
      </c>
      <c r="Q47" s="143" t="s">
        <v>1211</v>
      </c>
      <c r="R47" s="143" t="s">
        <v>885</v>
      </c>
      <c r="S47" s="143" t="s">
        <v>889</v>
      </c>
      <c r="T47" s="163">
        <v>45371</v>
      </c>
      <c r="U47" s="143" t="s">
        <v>1212</v>
      </c>
      <c r="V47" s="144">
        <v>99.75001330140995</v>
      </c>
      <c r="W47" s="144">
        <v>374.96029999999996</v>
      </c>
      <c r="X47" s="146">
        <v>7.9800000000000002E-5</v>
      </c>
      <c r="Y47" s="146">
        <v>2.2681921669834336E-3</v>
      </c>
      <c r="Z47" s="147">
        <v>3.7710606150063986E-4</v>
      </c>
      <c r="AA47" s="181"/>
    </row>
    <row r="48" spans="1:27" ht="15" x14ac:dyDescent="0.2">
      <c r="A48" s="142" t="s">
        <v>1205</v>
      </c>
      <c r="B48" s="143" t="s">
        <v>1205</v>
      </c>
      <c r="C48" s="143" t="s">
        <v>3354</v>
      </c>
      <c r="D48" s="145" t="s">
        <v>3876</v>
      </c>
      <c r="E48" s="145" t="s">
        <v>3876</v>
      </c>
      <c r="F48" s="143" t="s">
        <v>3355</v>
      </c>
      <c r="G48" s="143" t="s">
        <v>3356</v>
      </c>
      <c r="H48" s="143" t="s">
        <v>312</v>
      </c>
      <c r="I48" s="143" t="s">
        <v>1000</v>
      </c>
      <c r="J48" s="145" t="s">
        <v>3876</v>
      </c>
      <c r="K48" s="143" t="s">
        <v>205</v>
      </c>
      <c r="L48" s="145" t="s">
        <v>3876</v>
      </c>
      <c r="M48" s="145" t="s">
        <v>3876</v>
      </c>
      <c r="N48" s="143" t="s">
        <v>293</v>
      </c>
      <c r="O48" s="143" t="s">
        <v>339</v>
      </c>
      <c r="P48" s="162">
        <v>45369</v>
      </c>
      <c r="Q48" s="143" t="s">
        <v>1213</v>
      </c>
      <c r="R48" s="143" t="s">
        <v>885</v>
      </c>
      <c r="S48" s="143" t="s">
        <v>889</v>
      </c>
      <c r="T48" s="163">
        <v>45463</v>
      </c>
      <c r="U48" s="143" t="s">
        <v>1214</v>
      </c>
      <c r="V48" s="144">
        <v>70.61663598825929</v>
      </c>
      <c r="W48" s="144">
        <v>283.89299999999997</v>
      </c>
      <c r="X48" s="146">
        <v>9.6930670588235297E-4</v>
      </c>
      <c r="Y48" s="146">
        <v>1.7173125876195521E-3</v>
      </c>
      <c r="Z48" s="147">
        <v>2.8551768924586529E-4</v>
      </c>
      <c r="AA48" s="181"/>
    </row>
    <row r="49" spans="1:27" ht="15" x14ac:dyDescent="0.2">
      <c r="A49" s="142" t="s">
        <v>1205</v>
      </c>
      <c r="B49" s="143" t="s">
        <v>1205</v>
      </c>
      <c r="C49" s="143" t="s">
        <v>3357</v>
      </c>
      <c r="D49" s="145" t="s">
        <v>3876</v>
      </c>
      <c r="E49" s="145" t="s">
        <v>3876</v>
      </c>
      <c r="F49" s="143" t="s">
        <v>3358</v>
      </c>
      <c r="G49" s="143" t="s">
        <v>3359</v>
      </c>
      <c r="H49" s="143" t="s">
        <v>312</v>
      </c>
      <c r="I49" s="143" t="s">
        <v>1000</v>
      </c>
      <c r="J49" s="145" t="s">
        <v>3876</v>
      </c>
      <c r="K49" s="143" t="s">
        <v>205</v>
      </c>
      <c r="L49" s="145" t="s">
        <v>3876</v>
      </c>
      <c r="M49" s="145" t="s">
        <v>3876</v>
      </c>
      <c r="N49" s="143" t="s">
        <v>291</v>
      </c>
      <c r="O49" s="143" t="s">
        <v>339</v>
      </c>
      <c r="P49" s="162">
        <v>45230</v>
      </c>
      <c r="Q49" s="143" t="s">
        <v>1211</v>
      </c>
      <c r="R49" s="143" t="s">
        <v>885</v>
      </c>
      <c r="S49" s="143" t="s">
        <v>889</v>
      </c>
      <c r="T49" s="163">
        <v>45470</v>
      </c>
      <c r="U49" s="143" t="s">
        <v>1212</v>
      </c>
      <c r="V49" s="144">
        <v>69.823357275871246</v>
      </c>
      <c r="W49" s="144">
        <v>262.46600000000001</v>
      </c>
      <c r="X49" s="145" t="s">
        <v>3876</v>
      </c>
      <c r="Y49" s="146">
        <v>1.5876973783216365E-3</v>
      </c>
      <c r="Z49" s="147">
        <v>2.6396806845076134E-4</v>
      </c>
      <c r="AA49" s="181"/>
    </row>
    <row r="50" spans="1:27" ht="15" x14ac:dyDescent="0.2">
      <c r="A50" s="142" t="s">
        <v>1205</v>
      </c>
      <c r="B50" s="143" t="s">
        <v>1205</v>
      </c>
      <c r="C50" s="143" t="s">
        <v>3360</v>
      </c>
      <c r="D50" s="145" t="s">
        <v>3876</v>
      </c>
      <c r="E50" s="145" t="s">
        <v>3876</v>
      </c>
      <c r="F50" s="143" t="s">
        <v>3361</v>
      </c>
      <c r="G50" s="143" t="s">
        <v>3362</v>
      </c>
      <c r="H50" s="143" t="s">
        <v>312</v>
      </c>
      <c r="I50" s="143" t="s">
        <v>1000</v>
      </c>
      <c r="J50" s="145" t="s">
        <v>3876</v>
      </c>
      <c r="K50" s="143" t="s">
        <v>205</v>
      </c>
      <c r="L50" s="145" t="s">
        <v>3876</v>
      </c>
      <c r="M50" s="145" t="s">
        <v>3876</v>
      </c>
      <c r="N50" s="143" t="s">
        <v>217</v>
      </c>
      <c r="O50" s="143" t="s">
        <v>339</v>
      </c>
      <c r="P50" s="162">
        <v>45356</v>
      </c>
      <c r="Q50" s="143" t="s">
        <v>1211</v>
      </c>
      <c r="R50" s="143" t="s">
        <v>885</v>
      </c>
      <c r="S50" s="143" t="s">
        <v>889</v>
      </c>
      <c r="T50" s="163">
        <v>45460</v>
      </c>
      <c r="U50" s="143" t="s">
        <v>1212</v>
      </c>
      <c r="V50" s="144">
        <v>47.683107209364195</v>
      </c>
      <c r="W50" s="144">
        <v>179.24079999999998</v>
      </c>
      <c r="X50" s="145" t="s">
        <v>3876</v>
      </c>
      <c r="Y50" s="146">
        <v>1.0842549054206506E-3</v>
      </c>
      <c r="Z50" s="147">
        <v>1.8026651489133578E-4</v>
      </c>
      <c r="AA50" s="181"/>
    </row>
    <row r="51" spans="1:27" ht="15" x14ac:dyDescent="0.2">
      <c r="A51" s="142" t="s">
        <v>1205</v>
      </c>
      <c r="B51" s="143" t="s">
        <v>1205</v>
      </c>
      <c r="C51" s="143" t="s">
        <v>3307</v>
      </c>
      <c r="D51" s="145" t="s">
        <v>3876</v>
      </c>
      <c r="E51" s="145" t="s">
        <v>3876</v>
      </c>
      <c r="F51" s="143" t="s">
        <v>3363</v>
      </c>
      <c r="G51" s="143" t="s">
        <v>3364</v>
      </c>
      <c r="H51" s="143" t="s">
        <v>312</v>
      </c>
      <c r="I51" s="143" t="s">
        <v>1000</v>
      </c>
      <c r="J51" s="145" t="s">
        <v>3876</v>
      </c>
      <c r="K51" s="143" t="s">
        <v>205</v>
      </c>
      <c r="L51" s="145" t="s">
        <v>3876</v>
      </c>
      <c r="M51" s="145" t="s">
        <v>3876</v>
      </c>
      <c r="N51" s="143" t="s">
        <v>224</v>
      </c>
      <c r="O51" s="143" t="s">
        <v>339</v>
      </c>
      <c r="P51" s="162">
        <v>45306</v>
      </c>
      <c r="Q51" s="143" t="s">
        <v>1213</v>
      </c>
      <c r="R51" s="143" t="s">
        <v>885</v>
      </c>
      <c r="S51" s="143" t="s">
        <v>889</v>
      </c>
      <c r="T51" s="163">
        <v>45470</v>
      </c>
      <c r="U51" s="143" t="s">
        <v>1214</v>
      </c>
      <c r="V51" s="144">
        <v>38.387120043778914</v>
      </c>
      <c r="W51" s="144">
        <v>154.32389999999998</v>
      </c>
      <c r="X51" s="145" t="s">
        <v>3876</v>
      </c>
      <c r="Y51" s="146">
        <v>9.3352869309798903E-4</v>
      </c>
      <c r="Z51" s="147">
        <v>1.5520701194388412E-4</v>
      </c>
      <c r="AA51" s="181"/>
    </row>
    <row r="52" spans="1:27" ht="15" x14ac:dyDescent="0.2">
      <c r="A52" s="142" t="s">
        <v>1205</v>
      </c>
      <c r="B52" s="143" t="s">
        <v>1205</v>
      </c>
      <c r="C52" s="143" t="s">
        <v>3365</v>
      </c>
      <c r="D52" s="145" t="s">
        <v>3876</v>
      </c>
      <c r="E52" s="145" t="s">
        <v>3876</v>
      </c>
      <c r="F52" s="143" t="s">
        <v>3366</v>
      </c>
      <c r="G52" s="143" t="s">
        <v>3367</v>
      </c>
      <c r="H52" s="143" t="s">
        <v>312</v>
      </c>
      <c r="I52" s="143" t="s">
        <v>1000</v>
      </c>
      <c r="J52" s="145" t="s">
        <v>3876</v>
      </c>
      <c r="K52" s="143" t="s">
        <v>205</v>
      </c>
      <c r="L52" s="145" t="s">
        <v>3876</v>
      </c>
      <c r="M52" s="145" t="s">
        <v>3876</v>
      </c>
      <c r="N52" s="143" t="s">
        <v>204</v>
      </c>
      <c r="O52" s="143" t="s">
        <v>339</v>
      </c>
      <c r="P52" s="162">
        <v>45342</v>
      </c>
      <c r="Q52" s="143" t="s">
        <v>1211</v>
      </c>
      <c r="R52" s="143" t="s">
        <v>885</v>
      </c>
      <c r="S52" s="143" t="s">
        <v>889</v>
      </c>
      <c r="T52" s="163">
        <v>45460</v>
      </c>
      <c r="U52" s="143" t="s">
        <v>1212</v>
      </c>
      <c r="V52" s="144">
        <v>22.738866719872306</v>
      </c>
      <c r="W52" s="144">
        <v>85.475399999999993</v>
      </c>
      <c r="X52" s="146">
        <v>9.2031840000000005E-5</v>
      </c>
      <c r="Y52" s="146">
        <v>5.1705365055397144E-4</v>
      </c>
      <c r="Z52" s="147">
        <v>8.5964526543733723E-5</v>
      </c>
      <c r="AA52" s="181"/>
    </row>
    <row r="53" spans="1:27" ht="15" x14ac:dyDescent="0.2">
      <c r="A53" s="142" t="s">
        <v>1205</v>
      </c>
      <c r="B53" s="143" t="s">
        <v>1205</v>
      </c>
      <c r="C53" s="143" t="s">
        <v>3360</v>
      </c>
      <c r="D53" s="145" t="s">
        <v>3876</v>
      </c>
      <c r="E53" s="145" t="s">
        <v>3876</v>
      </c>
      <c r="F53" s="143" t="s">
        <v>3368</v>
      </c>
      <c r="G53" s="143" t="s">
        <v>3369</v>
      </c>
      <c r="H53" s="143" t="s">
        <v>312</v>
      </c>
      <c r="I53" s="143" t="s">
        <v>1000</v>
      </c>
      <c r="J53" s="145" t="s">
        <v>3876</v>
      </c>
      <c r="K53" s="143" t="s">
        <v>205</v>
      </c>
      <c r="L53" s="145" t="s">
        <v>3876</v>
      </c>
      <c r="M53" s="145" t="s">
        <v>3876</v>
      </c>
      <c r="N53" s="143" t="s">
        <v>217</v>
      </c>
      <c r="O53" s="143" t="s">
        <v>339</v>
      </c>
      <c r="P53" s="162">
        <v>45379</v>
      </c>
      <c r="Q53" s="143" t="s">
        <v>1211</v>
      </c>
      <c r="R53" s="143" t="s">
        <v>885</v>
      </c>
      <c r="S53" s="143" t="s">
        <v>889</v>
      </c>
      <c r="T53" s="163">
        <v>45379</v>
      </c>
      <c r="U53" s="143" t="s">
        <v>1212</v>
      </c>
      <c r="V53" s="144">
        <v>6.0702048417132222</v>
      </c>
      <c r="W53" s="144">
        <v>22.817900000000002</v>
      </c>
      <c r="X53" s="146">
        <v>5.3666750000000002E-5</v>
      </c>
      <c r="Y53" s="146">
        <v>1.3802884731176472E-4</v>
      </c>
      <c r="Z53" s="147">
        <v>2.2948459015462664E-5</v>
      </c>
      <c r="AA53" s="181"/>
    </row>
    <row r="54" spans="1:27" ht="15" x14ac:dyDescent="0.2">
      <c r="A54" s="142" t="s">
        <v>1205</v>
      </c>
      <c r="B54" s="143" t="s">
        <v>1205</v>
      </c>
      <c r="C54" s="143" t="s">
        <v>3370</v>
      </c>
      <c r="D54" s="145" t="s">
        <v>3876</v>
      </c>
      <c r="E54" s="145" t="s">
        <v>3876</v>
      </c>
      <c r="F54" s="143" t="s">
        <v>3371</v>
      </c>
      <c r="G54" s="143" t="s">
        <v>3372</v>
      </c>
      <c r="H54" s="143" t="s">
        <v>312</v>
      </c>
      <c r="I54" s="143" t="s">
        <v>1001</v>
      </c>
      <c r="J54" s="145" t="s">
        <v>3876</v>
      </c>
      <c r="K54" s="143" t="s">
        <v>204</v>
      </c>
      <c r="L54" s="145" t="s">
        <v>3876</v>
      </c>
      <c r="M54" s="145" t="s">
        <v>3876</v>
      </c>
      <c r="N54" s="143" t="s">
        <v>204</v>
      </c>
      <c r="O54" s="143" t="s">
        <v>339</v>
      </c>
      <c r="P54" s="162">
        <v>45138</v>
      </c>
      <c r="Q54" s="143" t="s">
        <v>1210</v>
      </c>
      <c r="R54" s="143" t="s">
        <v>885</v>
      </c>
      <c r="S54" s="143" t="s">
        <v>889</v>
      </c>
      <c r="T54" s="163">
        <v>45412</v>
      </c>
      <c r="U54" s="145" t="s">
        <v>3876</v>
      </c>
      <c r="V54" s="144">
        <v>18111.433100000002</v>
      </c>
      <c r="W54" s="144">
        <v>18111.433100000002</v>
      </c>
      <c r="X54" s="146">
        <v>1.933049380952381E-2</v>
      </c>
      <c r="Y54" s="146">
        <v>0.10955884181886719</v>
      </c>
      <c r="Z54" s="147">
        <v>1.8215080689495372E-2</v>
      </c>
      <c r="AA54" s="181"/>
    </row>
    <row r="55" spans="1:27" ht="15" x14ac:dyDescent="0.2">
      <c r="A55" s="142" t="s">
        <v>1205</v>
      </c>
      <c r="B55" s="143" t="s">
        <v>1205</v>
      </c>
      <c r="C55" s="143" t="s">
        <v>3373</v>
      </c>
      <c r="D55" s="145" t="s">
        <v>3876</v>
      </c>
      <c r="E55" s="145" t="s">
        <v>3876</v>
      </c>
      <c r="F55" s="143" t="s">
        <v>3374</v>
      </c>
      <c r="G55" s="143" t="s">
        <v>3375</v>
      </c>
      <c r="H55" s="143" t="s">
        <v>312</v>
      </c>
      <c r="I55" s="143" t="s">
        <v>1001</v>
      </c>
      <c r="J55" s="145" t="s">
        <v>3876</v>
      </c>
      <c r="K55" s="143" t="s">
        <v>204</v>
      </c>
      <c r="L55" s="145" t="s">
        <v>3876</v>
      </c>
      <c r="M55" s="145" t="s">
        <v>3876</v>
      </c>
      <c r="N55" s="143" t="s">
        <v>204</v>
      </c>
      <c r="O55" s="143" t="s">
        <v>339</v>
      </c>
      <c r="P55" s="162">
        <v>44907</v>
      </c>
      <c r="Q55" s="143" t="s">
        <v>1211</v>
      </c>
      <c r="R55" s="143" t="s">
        <v>885</v>
      </c>
      <c r="S55" s="143" t="s">
        <v>889</v>
      </c>
      <c r="T55" s="163">
        <v>45442</v>
      </c>
      <c r="U55" s="143" t="s">
        <v>1212</v>
      </c>
      <c r="V55" s="144">
        <v>571.97001862197396</v>
      </c>
      <c r="W55" s="144">
        <v>2150.0353</v>
      </c>
      <c r="X55" s="145" t="s">
        <v>3876</v>
      </c>
      <c r="Y55" s="146">
        <v>1.3005893709611782E-2</v>
      </c>
      <c r="Z55" s="147">
        <v>2.162339428078744E-3</v>
      </c>
      <c r="AA55" s="181"/>
    </row>
    <row r="56" spans="1:27" ht="15" x14ac:dyDescent="0.2">
      <c r="A56" s="142" t="s">
        <v>1205</v>
      </c>
      <c r="B56" s="143" t="s">
        <v>1205</v>
      </c>
      <c r="C56" s="143" t="s">
        <v>3376</v>
      </c>
      <c r="D56" s="145" t="s">
        <v>3876</v>
      </c>
      <c r="E56" s="145" t="s">
        <v>3876</v>
      </c>
      <c r="F56" s="143" t="s">
        <v>3377</v>
      </c>
      <c r="G56" s="143" t="s">
        <v>3378</v>
      </c>
      <c r="H56" s="143" t="s">
        <v>312</v>
      </c>
      <c r="I56" s="143" t="s">
        <v>1001</v>
      </c>
      <c r="J56" s="145" t="s">
        <v>3876</v>
      </c>
      <c r="K56" s="143" t="s">
        <v>204</v>
      </c>
      <c r="L56" s="145" t="s">
        <v>3876</v>
      </c>
      <c r="M56" s="145" t="s">
        <v>3876</v>
      </c>
      <c r="N56" s="143" t="s">
        <v>204</v>
      </c>
      <c r="O56" s="143" t="s">
        <v>339</v>
      </c>
      <c r="P56" s="162">
        <v>44418</v>
      </c>
      <c r="Q56" s="143" t="s">
        <v>1210</v>
      </c>
      <c r="R56" s="143" t="s">
        <v>885</v>
      </c>
      <c r="S56" s="143" t="s">
        <v>889</v>
      </c>
      <c r="T56" s="163">
        <v>45406</v>
      </c>
      <c r="U56" s="145" t="s">
        <v>3876</v>
      </c>
      <c r="V56" s="144">
        <v>1818.3679</v>
      </c>
      <c r="W56" s="144">
        <v>1818.3679</v>
      </c>
      <c r="X56" s="146">
        <v>2.8212553846153846E-3</v>
      </c>
      <c r="Y56" s="146">
        <v>1.0999587035236243E-2</v>
      </c>
      <c r="Z56" s="147">
        <v>1.8287740365967569E-3</v>
      </c>
      <c r="AA56" s="181"/>
    </row>
    <row r="57" spans="1:27" ht="15" x14ac:dyDescent="0.2">
      <c r="A57" s="142" t="s">
        <v>1205</v>
      </c>
      <c r="B57" s="143" t="s">
        <v>1205</v>
      </c>
      <c r="C57" s="143" t="s">
        <v>3379</v>
      </c>
      <c r="D57" s="145" t="s">
        <v>3876</v>
      </c>
      <c r="E57" s="145" t="s">
        <v>3876</v>
      </c>
      <c r="F57" s="143" t="s">
        <v>3380</v>
      </c>
      <c r="G57" s="143" t="s">
        <v>3381</v>
      </c>
      <c r="H57" s="143" t="s">
        <v>312</v>
      </c>
      <c r="I57" s="143" t="s">
        <v>1001</v>
      </c>
      <c r="J57" s="145" t="s">
        <v>3876</v>
      </c>
      <c r="K57" s="143" t="s">
        <v>204</v>
      </c>
      <c r="L57" s="145" t="s">
        <v>3876</v>
      </c>
      <c r="M57" s="145" t="s">
        <v>3876</v>
      </c>
      <c r="N57" s="143" t="s">
        <v>204</v>
      </c>
      <c r="O57" s="143" t="s">
        <v>339</v>
      </c>
      <c r="P57" s="162">
        <v>45172</v>
      </c>
      <c r="Q57" s="143" t="s">
        <v>1210</v>
      </c>
      <c r="R57" s="143" t="s">
        <v>885</v>
      </c>
      <c r="S57" s="143" t="s">
        <v>889</v>
      </c>
      <c r="T57" s="163">
        <v>45427</v>
      </c>
      <c r="U57" s="145" t="s">
        <v>3876</v>
      </c>
      <c r="V57" s="144">
        <v>1318.0858999999998</v>
      </c>
      <c r="W57" s="144">
        <v>1318.0858999999998</v>
      </c>
      <c r="X57" s="146">
        <v>8.0494937500000003E-4</v>
      </c>
      <c r="Y57" s="146">
        <v>7.9733043020852566E-3</v>
      </c>
      <c r="Z57" s="147">
        <v>1.3256290301470915E-3</v>
      </c>
      <c r="AA57" s="181"/>
    </row>
    <row r="58" spans="1:27" ht="15" x14ac:dyDescent="0.2">
      <c r="A58" s="142" t="s">
        <v>1205</v>
      </c>
      <c r="B58" s="143" t="s">
        <v>1205</v>
      </c>
      <c r="C58" s="143" t="s">
        <v>3379</v>
      </c>
      <c r="D58" s="145" t="s">
        <v>3876</v>
      </c>
      <c r="E58" s="145" t="s">
        <v>3876</v>
      </c>
      <c r="F58" s="143" t="s">
        <v>3382</v>
      </c>
      <c r="G58" s="143" t="s">
        <v>3383</v>
      </c>
      <c r="H58" s="143" t="s">
        <v>312</v>
      </c>
      <c r="I58" s="143" t="s">
        <v>1001</v>
      </c>
      <c r="J58" s="145" t="s">
        <v>3876</v>
      </c>
      <c r="K58" s="143" t="s">
        <v>204</v>
      </c>
      <c r="L58" s="145" t="s">
        <v>3876</v>
      </c>
      <c r="M58" s="145" t="s">
        <v>3876</v>
      </c>
      <c r="N58" s="143" t="s">
        <v>204</v>
      </c>
      <c r="O58" s="143" t="s">
        <v>339</v>
      </c>
      <c r="P58" s="162">
        <v>45279</v>
      </c>
      <c r="Q58" s="143" t="s">
        <v>1210</v>
      </c>
      <c r="R58" s="143" t="s">
        <v>885</v>
      </c>
      <c r="S58" s="143" t="s">
        <v>889</v>
      </c>
      <c r="T58" s="163">
        <v>45463</v>
      </c>
      <c r="U58" s="145" t="s">
        <v>3876</v>
      </c>
      <c r="V58" s="144">
        <v>1246.6904</v>
      </c>
      <c r="W58" s="144">
        <v>1246.6904</v>
      </c>
      <c r="X58" s="146">
        <v>5.5992364090909092E-4</v>
      </c>
      <c r="Y58" s="146">
        <v>7.5414215951725965E-3</v>
      </c>
      <c r="Z58" s="147">
        <v>1.2538248907074116E-3</v>
      </c>
      <c r="AA58" s="181"/>
    </row>
    <row r="59" spans="1:27" ht="15" x14ac:dyDescent="0.2">
      <c r="A59" s="142" t="s">
        <v>1205</v>
      </c>
      <c r="B59" s="143" t="s">
        <v>1205</v>
      </c>
      <c r="C59" s="143" t="s">
        <v>3384</v>
      </c>
      <c r="D59" s="145" t="s">
        <v>3876</v>
      </c>
      <c r="E59" s="145" t="s">
        <v>3876</v>
      </c>
      <c r="F59" s="143" t="s">
        <v>3385</v>
      </c>
      <c r="G59" s="143" t="s">
        <v>3386</v>
      </c>
      <c r="H59" s="143" t="s">
        <v>312</v>
      </c>
      <c r="I59" s="143" t="s">
        <v>1001</v>
      </c>
      <c r="J59" s="145" t="s">
        <v>3876</v>
      </c>
      <c r="K59" s="143" t="s">
        <v>204</v>
      </c>
      <c r="L59" s="145" t="s">
        <v>3876</v>
      </c>
      <c r="M59" s="145" t="s">
        <v>3876</v>
      </c>
      <c r="N59" s="143" t="s">
        <v>204</v>
      </c>
      <c r="O59" s="143" t="s">
        <v>339</v>
      </c>
      <c r="P59" s="162">
        <v>42801</v>
      </c>
      <c r="Q59" s="143" t="s">
        <v>1210</v>
      </c>
      <c r="R59" s="143" t="s">
        <v>885</v>
      </c>
      <c r="S59" s="143" t="s">
        <v>889</v>
      </c>
      <c r="T59" s="163">
        <v>45355</v>
      </c>
      <c r="U59" s="145" t="s">
        <v>3876</v>
      </c>
      <c r="V59" s="144">
        <v>839.8279</v>
      </c>
      <c r="W59" s="144">
        <v>839.8279</v>
      </c>
      <c r="X59" s="146">
        <v>1.3985756172839507E-2</v>
      </c>
      <c r="Y59" s="146">
        <v>5.080247794072807E-3</v>
      </c>
      <c r="Z59" s="147">
        <v>8.4463400630556114E-4</v>
      </c>
      <c r="AA59" s="181"/>
    </row>
    <row r="60" spans="1:27" ht="15" x14ac:dyDescent="0.2">
      <c r="A60" s="142" t="s">
        <v>1205</v>
      </c>
      <c r="B60" s="143" t="s">
        <v>1205</v>
      </c>
      <c r="C60" s="143" t="s">
        <v>3387</v>
      </c>
      <c r="D60" s="145" t="s">
        <v>3876</v>
      </c>
      <c r="E60" s="145" t="s">
        <v>3876</v>
      </c>
      <c r="F60" s="143" t="s">
        <v>3388</v>
      </c>
      <c r="G60" s="143" t="s">
        <v>3389</v>
      </c>
      <c r="H60" s="143" t="s">
        <v>312</v>
      </c>
      <c r="I60" s="143" t="s">
        <v>1001</v>
      </c>
      <c r="J60" s="145" t="s">
        <v>3876</v>
      </c>
      <c r="K60" s="143" t="s">
        <v>204</v>
      </c>
      <c r="L60" s="145" t="s">
        <v>3876</v>
      </c>
      <c r="M60" s="145" t="s">
        <v>3876</v>
      </c>
      <c r="N60" s="143" t="s">
        <v>204</v>
      </c>
      <c r="O60" s="143" t="s">
        <v>339</v>
      </c>
      <c r="P60" s="162">
        <v>45237</v>
      </c>
      <c r="Q60" s="143" t="s">
        <v>1210</v>
      </c>
      <c r="R60" s="143" t="s">
        <v>885</v>
      </c>
      <c r="S60" s="143" t="s">
        <v>889</v>
      </c>
      <c r="T60" s="163">
        <v>45432</v>
      </c>
      <c r="U60" s="145" t="s">
        <v>3876</v>
      </c>
      <c r="V60" s="144">
        <v>348.1789</v>
      </c>
      <c r="W60" s="144">
        <v>348.1789</v>
      </c>
      <c r="X60" s="145" t="s">
        <v>3876</v>
      </c>
      <c r="Y60" s="146">
        <v>2.106187632973489E-3</v>
      </c>
      <c r="Z60" s="147">
        <v>3.5017144253183049E-4</v>
      </c>
      <c r="AA60" s="181"/>
    </row>
    <row r="61" spans="1:27" ht="15" x14ac:dyDescent="0.2">
      <c r="A61" s="142" t="s">
        <v>1205</v>
      </c>
      <c r="B61" s="143" t="s">
        <v>1205</v>
      </c>
      <c r="C61" s="143" t="s">
        <v>3390</v>
      </c>
      <c r="D61" s="145" t="s">
        <v>3876</v>
      </c>
      <c r="E61" s="145" t="s">
        <v>3876</v>
      </c>
      <c r="F61" s="143" t="s">
        <v>3391</v>
      </c>
      <c r="G61" s="143" t="s">
        <v>3392</v>
      </c>
      <c r="H61" s="143" t="s">
        <v>312</v>
      </c>
      <c r="I61" s="143" t="s">
        <v>1001</v>
      </c>
      <c r="J61" s="145" t="s">
        <v>3876</v>
      </c>
      <c r="K61" s="143" t="s">
        <v>204</v>
      </c>
      <c r="L61" s="145" t="s">
        <v>3876</v>
      </c>
      <c r="M61" s="145" t="s">
        <v>3876</v>
      </c>
      <c r="N61" s="143" t="s">
        <v>204</v>
      </c>
      <c r="O61" s="143" t="s">
        <v>339</v>
      </c>
      <c r="P61" s="162">
        <v>42543</v>
      </c>
      <c r="Q61" s="143" t="s">
        <v>1210</v>
      </c>
      <c r="R61" s="143" t="s">
        <v>885</v>
      </c>
      <c r="S61" s="143" t="s">
        <v>889</v>
      </c>
      <c r="T61" s="163">
        <v>45256</v>
      </c>
      <c r="U61" s="145" t="s">
        <v>3876</v>
      </c>
      <c r="V61" s="145" t="s">
        <v>3876</v>
      </c>
      <c r="W61" s="144">
        <v>0</v>
      </c>
      <c r="X61" s="146">
        <v>1.0495626822157435E-2</v>
      </c>
      <c r="Y61" s="146">
        <v>1.0888476580037966E-10</v>
      </c>
      <c r="Z61" s="147">
        <v>1.8103009871077045E-11</v>
      </c>
      <c r="AA61" s="181"/>
    </row>
    <row r="62" spans="1:27" ht="15" x14ac:dyDescent="0.2">
      <c r="A62" s="142" t="s">
        <v>1205</v>
      </c>
      <c r="B62" s="143" t="s">
        <v>1205</v>
      </c>
      <c r="C62" s="143" t="s">
        <v>3393</v>
      </c>
      <c r="D62" s="145" t="s">
        <v>3876</v>
      </c>
      <c r="E62" s="145" t="s">
        <v>3876</v>
      </c>
      <c r="F62" s="143" t="s">
        <v>3394</v>
      </c>
      <c r="G62" s="143" t="s">
        <v>3395</v>
      </c>
      <c r="H62" s="143" t="s">
        <v>312</v>
      </c>
      <c r="I62" s="143" t="s">
        <v>1001</v>
      </c>
      <c r="J62" s="145" t="s">
        <v>3876</v>
      </c>
      <c r="K62" s="143" t="s">
        <v>204</v>
      </c>
      <c r="L62" s="145" t="s">
        <v>3876</v>
      </c>
      <c r="M62" s="145" t="s">
        <v>3876</v>
      </c>
      <c r="N62" s="143" t="s">
        <v>204</v>
      </c>
      <c r="O62" s="143" t="s">
        <v>339</v>
      </c>
      <c r="P62" s="162">
        <v>44438</v>
      </c>
      <c r="Q62" s="143" t="s">
        <v>1211</v>
      </c>
      <c r="R62" s="143" t="s">
        <v>885</v>
      </c>
      <c r="S62" s="143" t="s">
        <v>889</v>
      </c>
      <c r="T62" s="163">
        <v>45466</v>
      </c>
      <c r="U62" s="143" t="s">
        <v>1212</v>
      </c>
      <c r="V62" s="145" t="s">
        <v>3876</v>
      </c>
      <c r="W62" s="144">
        <v>0</v>
      </c>
      <c r="X62" s="145" t="s">
        <v>3876</v>
      </c>
      <c r="Y62" s="146">
        <v>9.7799443711235571E-12</v>
      </c>
      <c r="Z62" s="147">
        <v>1.6259981659290747E-12</v>
      </c>
      <c r="AA62" s="181"/>
    </row>
    <row r="63" spans="1:27" ht="15" x14ac:dyDescent="0.2">
      <c r="A63" s="142" t="s">
        <v>1205</v>
      </c>
      <c r="B63" s="143" t="s">
        <v>1205</v>
      </c>
      <c r="C63" s="143" t="s">
        <v>3396</v>
      </c>
      <c r="D63" s="145" t="s">
        <v>3876</v>
      </c>
      <c r="E63" s="145" t="s">
        <v>3876</v>
      </c>
      <c r="F63" s="143" t="s">
        <v>3397</v>
      </c>
      <c r="G63" s="143" t="s">
        <v>3398</v>
      </c>
      <c r="H63" s="143" t="s">
        <v>312</v>
      </c>
      <c r="I63" s="143" t="s">
        <v>1001</v>
      </c>
      <c r="J63" s="145" t="s">
        <v>3876</v>
      </c>
      <c r="K63" s="143" t="s">
        <v>205</v>
      </c>
      <c r="L63" s="145" t="s">
        <v>3876</v>
      </c>
      <c r="M63" s="145" t="s">
        <v>3876</v>
      </c>
      <c r="N63" s="143" t="s">
        <v>204</v>
      </c>
      <c r="O63" s="143" t="s">
        <v>339</v>
      </c>
      <c r="P63" s="162">
        <v>45147</v>
      </c>
      <c r="Q63" s="143" t="s">
        <v>1211</v>
      </c>
      <c r="R63" s="143" t="s">
        <v>885</v>
      </c>
      <c r="S63" s="143" t="s">
        <v>889</v>
      </c>
      <c r="T63" s="163">
        <v>45442</v>
      </c>
      <c r="U63" s="143" t="s">
        <v>1212</v>
      </c>
      <c r="V63" s="144">
        <v>550.66533652567182</v>
      </c>
      <c r="W63" s="144">
        <v>2069.951</v>
      </c>
      <c r="X63" s="146">
        <v>1.6037142857142858E-3</v>
      </c>
      <c r="Y63" s="146">
        <v>1.2521451499896351E-2</v>
      </c>
      <c r="Z63" s="147">
        <v>2.0817968283864904E-3</v>
      </c>
      <c r="AA63" s="181"/>
    </row>
    <row r="64" spans="1:27" ht="15" x14ac:dyDescent="0.2">
      <c r="A64" s="142" t="s">
        <v>1205</v>
      </c>
      <c r="B64" s="143" t="s">
        <v>1205</v>
      </c>
      <c r="C64" s="143" t="s">
        <v>3399</v>
      </c>
      <c r="D64" s="145" t="s">
        <v>3876</v>
      </c>
      <c r="E64" s="145" t="s">
        <v>3876</v>
      </c>
      <c r="F64" s="143" t="s">
        <v>3400</v>
      </c>
      <c r="G64" s="143" t="s">
        <v>3401</v>
      </c>
      <c r="H64" s="143" t="s">
        <v>312</v>
      </c>
      <c r="I64" s="143" t="s">
        <v>1001</v>
      </c>
      <c r="J64" s="145" t="s">
        <v>3876</v>
      </c>
      <c r="K64" s="143" t="s">
        <v>205</v>
      </c>
      <c r="L64" s="145" t="s">
        <v>3876</v>
      </c>
      <c r="M64" s="145" t="s">
        <v>3876</v>
      </c>
      <c r="N64" s="143" t="s">
        <v>224</v>
      </c>
      <c r="O64" s="143" t="s">
        <v>339</v>
      </c>
      <c r="P64" s="162">
        <v>45281</v>
      </c>
      <c r="Q64" s="143" t="s">
        <v>1211</v>
      </c>
      <c r="R64" s="143" t="s">
        <v>885</v>
      </c>
      <c r="S64" s="143" t="s">
        <v>889</v>
      </c>
      <c r="T64" s="163">
        <v>45470</v>
      </c>
      <c r="U64" s="143" t="s">
        <v>1212</v>
      </c>
      <c r="V64" s="144">
        <v>439.48278797552541</v>
      </c>
      <c r="W64" s="144">
        <v>1652.0158000000001</v>
      </c>
      <c r="X64" s="146">
        <v>6.2151974522292998E-4</v>
      </c>
      <c r="Y64" s="146">
        <v>9.9932975267300623E-3</v>
      </c>
      <c r="Z64" s="147">
        <v>1.6614699259459983E-3</v>
      </c>
      <c r="AA64" s="181"/>
    </row>
    <row r="65" spans="1:27" ht="15" x14ac:dyDescent="0.2">
      <c r="A65" s="142" t="s">
        <v>1205</v>
      </c>
      <c r="B65" s="143" t="s">
        <v>1205</v>
      </c>
      <c r="C65" s="143" t="s">
        <v>3328</v>
      </c>
      <c r="D65" s="145" t="s">
        <v>3876</v>
      </c>
      <c r="E65" s="145" t="s">
        <v>3876</v>
      </c>
      <c r="F65" s="143" t="s">
        <v>3402</v>
      </c>
      <c r="G65" s="143" t="s">
        <v>3403</v>
      </c>
      <c r="H65" s="143" t="s">
        <v>312</v>
      </c>
      <c r="I65" s="143" t="s">
        <v>1001</v>
      </c>
      <c r="J65" s="145" t="s">
        <v>3876</v>
      </c>
      <c r="K65" s="143" t="s">
        <v>205</v>
      </c>
      <c r="L65" s="145" t="s">
        <v>3876</v>
      </c>
      <c r="M65" s="145" t="s">
        <v>3876</v>
      </c>
      <c r="N65" s="143" t="s">
        <v>291</v>
      </c>
      <c r="O65" s="143" t="s">
        <v>339</v>
      </c>
      <c r="P65" s="162">
        <v>45337</v>
      </c>
      <c r="Q65" s="143" t="s">
        <v>1211</v>
      </c>
      <c r="R65" s="143" t="s">
        <v>885</v>
      </c>
      <c r="S65" s="143" t="s">
        <v>889</v>
      </c>
      <c r="T65" s="163">
        <v>45470</v>
      </c>
      <c r="U65" s="143" t="s">
        <v>1212</v>
      </c>
      <c r="V65" s="144">
        <v>333.04780526735834</v>
      </c>
      <c r="W65" s="144">
        <v>1251.9267</v>
      </c>
      <c r="X65" s="146">
        <v>1.2210880399999999E-4</v>
      </c>
      <c r="Y65" s="146">
        <v>7.5730967261145145E-3</v>
      </c>
      <c r="Z65" s="147">
        <v>1.2590911481484245E-3</v>
      </c>
      <c r="AA65" s="181"/>
    </row>
    <row r="66" spans="1:27" ht="15" x14ac:dyDescent="0.2">
      <c r="A66" s="142" t="s">
        <v>1205</v>
      </c>
      <c r="B66" s="143" t="s">
        <v>1205</v>
      </c>
      <c r="C66" s="143" t="s">
        <v>3404</v>
      </c>
      <c r="D66" s="145" t="s">
        <v>3876</v>
      </c>
      <c r="E66" s="145" t="s">
        <v>3876</v>
      </c>
      <c r="F66" s="143" t="s">
        <v>3405</v>
      </c>
      <c r="G66" s="143" t="s">
        <v>3406</v>
      </c>
      <c r="H66" s="143" t="s">
        <v>321</v>
      </c>
      <c r="I66" s="143" t="s">
        <v>1002</v>
      </c>
      <c r="J66" s="145" t="s">
        <v>3876</v>
      </c>
      <c r="K66" s="143" t="s">
        <v>204</v>
      </c>
      <c r="L66" s="145" t="s">
        <v>3876</v>
      </c>
      <c r="M66" s="145" t="s">
        <v>3876</v>
      </c>
      <c r="N66" s="143" t="s">
        <v>204</v>
      </c>
      <c r="O66" s="143" t="s">
        <v>339</v>
      </c>
      <c r="P66" s="162">
        <v>43523</v>
      </c>
      <c r="Q66" s="143" t="s">
        <v>1210</v>
      </c>
      <c r="R66" s="143" t="s">
        <v>885</v>
      </c>
      <c r="S66" s="143" t="s">
        <v>889</v>
      </c>
      <c r="T66" s="163">
        <v>45456</v>
      </c>
      <c r="U66" s="145" t="s">
        <v>3876</v>
      </c>
      <c r="V66" s="144">
        <v>1479.8461000000002</v>
      </c>
      <c r="W66" s="144">
        <v>1479.8461000000002</v>
      </c>
      <c r="X66" s="145" t="s">
        <v>3876</v>
      </c>
      <c r="Y66" s="146">
        <v>8.9518165190635539E-3</v>
      </c>
      <c r="Z66" s="147">
        <v>1.4883149320059706E-3</v>
      </c>
      <c r="AA66" s="181"/>
    </row>
    <row r="67" spans="1:27" ht="15" x14ac:dyDescent="0.2">
      <c r="A67" s="142" t="s">
        <v>1205</v>
      </c>
      <c r="B67" s="143" t="s">
        <v>1205</v>
      </c>
      <c r="C67" s="143" t="s">
        <v>3407</v>
      </c>
      <c r="D67" s="145" t="s">
        <v>3876</v>
      </c>
      <c r="E67" s="145" t="s">
        <v>3876</v>
      </c>
      <c r="F67" s="143" t="s">
        <v>3408</v>
      </c>
      <c r="G67" s="143" t="s">
        <v>3409</v>
      </c>
      <c r="H67" s="143" t="s">
        <v>312</v>
      </c>
      <c r="I67" s="143" t="s">
        <v>1002</v>
      </c>
      <c r="J67" s="145" t="s">
        <v>3876</v>
      </c>
      <c r="K67" s="143" t="s">
        <v>204</v>
      </c>
      <c r="L67" s="145" t="s">
        <v>3876</v>
      </c>
      <c r="M67" s="145" t="s">
        <v>3876</v>
      </c>
      <c r="N67" s="143" t="s">
        <v>204</v>
      </c>
      <c r="O67" s="143" t="s">
        <v>339</v>
      </c>
      <c r="P67" s="162">
        <v>44420</v>
      </c>
      <c r="Q67" s="143" t="s">
        <v>1210</v>
      </c>
      <c r="R67" s="143" t="s">
        <v>885</v>
      </c>
      <c r="S67" s="143" t="s">
        <v>889</v>
      </c>
      <c r="T67" s="163">
        <v>45447</v>
      </c>
      <c r="U67" s="145" t="s">
        <v>3876</v>
      </c>
      <c r="V67" s="144">
        <v>1555.7488000000001</v>
      </c>
      <c r="W67" s="144">
        <v>1555.7488000000001</v>
      </c>
      <c r="X67" s="145" t="s">
        <v>3876</v>
      </c>
      <c r="Y67" s="146">
        <v>9.4109633723431351E-3</v>
      </c>
      <c r="Z67" s="147">
        <v>1.5646519655303172E-3</v>
      </c>
      <c r="AA67" s="181"/>
    </row>
    <row r="68" spans="1:27" ht="15" x14ac:dyDescent="0.2">
      <c r="A68" s="142" t="s">
        <v>1205</v>
      </c>
      <c r="B68" s="143" t="s">
        <v>1205</v>
      </c>
      <c r="C68" s="143" t="s">
        <v>3410</v>
      </c>
      <c r="D68" s="145" t="s">
        <v>3876</v>
      </c>
      <c r="E68" s="145" t="s">
        <v>3876</v>
      </c>
      <c r="F68" s="143" t="s">
        <v>3411</v>
      </c>
      <c r="G68" s="143" t="s">
        <v>3412</v>
      </c>
      <c r="H68" s="143" t="s">
        <v>312</v>
      </c>
      <c r="I68" s="143" t="s">
        <v>1002</v>
      </c>
      <c r="J68" s="145" t="s">
        <v>3876</v>
      </c>
      <c r="K68" s="143" t="s">
        <v>204</v>
      </c>
      <c r="L68" s="145" t="s">
        <v>3876</v>
      </c>
      <c r="M68" s="145" t="s">
        <v>3876</v>
      </c>
      <c r="N68" s="143" t="s">
        <v>204</v>
      </c>
      <c r="O68" s="143" t="s">
        <v>339</v>
      </c>
      <c r="P68" s="162">
        <v>44406</v>
      </c>
      <c r="Q68" s="143" t="s">
        <v>1210</v>
      </c>
      <c r="R68" s="143" t="s">
        <v>885</v>
      </c>
      <c r="S68" s="143" t="s">
        <v>889</v>
      </c>
      <c r="T68" s="163">
        <v>45448</v>
      </c>
      <c r="U68" s="145" t="s">
        <v>3876</v>
      </c>
      <c r="V68" s="144">
        <v>1119.8769</v>
      </c>
      <c r="W68" s="144">
        <v>1119.8769</v>
      </c>
      <c r="X68" s="145" t="s">
        <v>3876</v>
      </c>
      <c r="Y68" s="146">
        <v>6.7743072160129118E-3</v>
      </c>
      <c r="Z68" s="147">
        <v>1.126285660806028E-3</v>
      </c>
      <c r="AA68" s="181"/>
    </row>
    <row r="69" spans="1:27" ht="15" x14ac:dyDescent="0.2">
      <c r="A69" s="142" t="s">
        <v>1205</v>
      </c>
      <c r="B69" s="143" t="s">
        <v>1205</v>
      </c>
      <c r="C69" s="143" t="s">
        <v>3413</v>
      </c>
      <c r="D69" s="145" t="s">
        <v>3876</v>
      </c>
      <c r="E69" s="145" t="s">
        <v>3876</v>
      </c>
      <c r="F69" s="143" t="s">
        <v>3414</v>
      </c>
      <c r="G69" s="143" t="s">
        <v>3415</v>
      </c>
      <c r="H69" s="143" t="s">
        <v>312</v>
      </c>
      <c r="I69" s="143" t="s">
        <v>1002</v>
      </c>
      <c r="J69" s="145" t="s">
        <v>3876</v>
      </c>
      <c r="K69" s="143" t="s">
        <v>204</v>
      </c>
      <c r="L69" s="145" t="s">
        <v>3876</v>
      </c>
      <c r="M69" s="145" t="s">
        <v>3876</v>
      </c>
      <c r="N69" s="143" t="s">
        <v>204</v>
      </c>
      <c r="O69" s="143" t="s">
        <v>339</v>
      </c>
      <c r="P69" s="162">
        <v>45378</v>
      </c>
      <c r="Q69" s="143" t="s">
        <v>1210</v>
      </c>
      <c r="R69" s="143" t="s">
        <v>885</v>
      </c>
      <c r="S69" s="143" t="s">
        <v>889</v>
      </c>
      <c r="T69" s="163">
        <v>45448</v>
      </c>
      <c r="U69" s="145" t="s">
        <v>3876</v>
      </c>
      <c r="V69" s="144">
        <v>725.97910000000002</v>
      </c>
      <c r="W69" s="144">
        <v>725.97910000000002</v>
      </c>
      <c r="X69" s="146">
        <v>6.1946902654867256E-3</v>
      </c>
      <c r="Y69" s="146">
        <v>4.3915591266372447E-3</v>
      </c>
      <c r="Z69" s="147">
        <v>7.3013371186086832E-4</v>
      </c>
      <c r="AA69" s="181"/>
    </row>
    <row r="70" spans="1:27" ht="15" x14ac:dyDescent="0.2">
      <c r="A70" s="142" t="s">
        <v>1205</v>
      </c>
      <c r="B70" s="143" t="s">
        <v>1205</v>
      </c>
      <c r="C70" s="143" t="s">
        <v>3416</v>
      </c>
      <c r="D70" s="145" t="s">
        <v>3876</v>
      </c>
      <c r="E70" s="145" t="s">
        <v>3876</v>
      </c>
      <c r="F70" s="143" t="s">
        <v>3417</v>
      </c>
      <c r="G70" s="143" t="s">
        <v>3418</v>
      </c>
      <c r="H70" s="143" t="s">
        <v>312</v>
      </c>
      <c r="I70" s="143" t="s">
        <v>1002</v>
      </c>
      <c r="J70" s="145" t="s">
        <v>3876</v>
      </c>
      <c r="K70" s="143" t="s">
        <v>205</v>
      </c>
      <c r="L70" s="145" t="s">
        <v>3876</v>
      </c>
      <c r="M70" s="145" t="s">
        <v>3876</v>
      </c>
      <c r="N70" s="143" t="s">
        <v>204</v>
      </c>
      <c r="O70" s="143" t="s">
        <v>339</v>
      </c>
      <c r="P70" s="162">
        <v>44612</v>
      </c>
      <c r="Q70" s="143" t="s">
        <v>1211</v>
      </c>
      <c r="R70" s="143" t="s">
        <v>885</v>
      </c>
      <c r="S70" s="143" t="s">
        <v>889</v>
      </c>
      <c r="T70" s="163">
        <v>45453</v>
      </c>
      <c r="U70" s="143" t="s">
        <v>1212</v>
      </c>
      <c r="V70" s="144">
        <v>559.0000532056398</v>
      </c>
      <c r="W70" s="144">
        <v>2101.2812000000004</v>
      </c>
      <c r="X70" s="146">
        <v>8.6192751358816128E-7</v>
      </c>
      <c r="Y70" s="146">
        <v>1.2710972573696327E-2</v>
      </c>
      <c r="Z70" s="147">
        <v>2.1133063039734425E-3</v>
      </c>
      <c r="AA70" s="181"/>
    </row>
    <row r="71" spans="1:27" ht="15" x14ac:dyDescent="0.2">
      <c r="A71" s="142" t="s">
        <v>1205</v>
      </c>
      <c r="B71" s="143" t="s">
        <v>1205</v>
      </c>
      <c r="C71" s="143" t="s">
        <v>3413</v>
      </c>
      <c r="D71" s="145" t="s">
        <v>3876</v>
      </c>
      <c r="E71" s="145" t="s">
        <v>3876</v>
      </c>
      <c r="F71" s="143" t="s">
        <v>3419</v>
      </c>
      <c r="G71" s="143" t="s">
        <v>3420</v>
      </c>
      <c r="H71" s="143" t="s">
        <v>312</v>
      </c>
      <c r="I71" s="143" t="s">
        <v>1002</v>
      </c>
      <c r="J71" s="145" t="s">
        <v>3876</v>
      </c>
      <c r="K71" s="143" t="s">
        <v>205</v>
      </c>
      <c r="L71" s="145" t="s">
        <v>3876</v>
      </c>
      <c r="M71" s="145" t="s">
        <v>3876</v>
      </c>
      <c r="N71" s="143" t="s">
        <v>217</v>
      </c>
      <c r="O71" s="143" t="s">
        <v>339</v>
      </c>
      <c r="P71" s="162">
        <v>44286</v>
      </c>
      <c r="Q71" s="143" t="s">
        <v>1210</v>
      </c>
      <c r="R71" s="143" t="s">
        <v>885</v>
      </c>
      <c r="S71" s="143" t="s">
        <v>889</v>
      </c>
      <c r="T71" s="163">
        <v>45453</v>
      </c>
      <c r="U71" s="145" t="s">
        <v>3876</v>
      </c>
      <c r="V71" s="144">
        <v>1412.3718999999999</v>
      </c>
      <c r="W71" s="144">
        <v>1412.3718999999999</v>
      </c>
      <c r="X71" s="145" t="s">
        <v>3876</v>
      </c>
      <c r="Y71" s="146">
        <v>8.5436545084787603E-3</v>
      </c>
      <c r="Z71" s="147">
        <v>1.4204545582218043E-3</v>
      </c>
      <c r="AA71" s="181"/>
    </row>
    <row r="72" spans="1:27" ht="15" x14ac:dyDescent="0.2">
      <c r="A72" s="142" t="s">
        <v>1205</v>
      </c>
      <c r="B72" s="143" t="s">
        <v>1205</v>
      </c>
      <c r="C72" s="143" t="s">
        <v>3421</v>
      </c>
      <c r="D72" s="145" t="s">
        <v>3876</v>
      </c>
      <c r="E72" s="145" t="s">
        <v>3876</v>
      </c>
      <c r="F72" s="143" t="s">
        <v>3422</v>
      </c>
      <c r="G72" s="143" t="s">
        <v>3423</v>
      </c>
      <c r="H72" s="143" t="s">
        <v>312</v>
      </c>
      <c r="I72" s="143" t="s">
        <v>1003</v>
      </c>
      <c r="J72" s="145" t="s">
        <v>3876</v>
      </c>
      <c r="K72" s="143" t="s">
        <v>204</v>
      </c>
      <c r="L72" s="145" t="s">
        <v>3876</v>
      </c>
      <c r="M72" s="145" t="s">
        <v>3876</v>
      </c>
      <c r="N72" s="143" t="s">
        <v>204</v>
      </c>
      <c r="O72" s="143" t="s">
        <v>339</v>
      </c>
      <c r="P72" s="162">
        <v>45271</v>
      </c>
      <c r="Q72" s="143" t="s">
        <v>1210</v>
      </c>
      <c r="R72" s="143" t="s">
        <v>885</v>
      </c>
      <c r="S72" s="143" t="s">
        <v>889</v>
      </c>
      <c r="T72" s="163">
        <v>45442</v>
      </c>
      <c r="U72" s="145" t="s">
        <v>3876</v>
      </c>
      <c r="V72" s="144">
        <v>1522.0766000000001</v>
      </c>
      <c r="W72" s="144">
        <v>1522.0766000000001</v>
      </c>
      <c r="X72" s="145" t="s">
        <v>3876</v>
      </c>
      <c r="Y72" s="146">
        <v>9.2072751752048949E-3</v>
      </c>
      <c r="Z72" s="147">
        <v>1.5307870863040024E-3</v>
      </c>
      <c r="AA72" s="181"/>
    </row>
    <row r="73" spans="1:27" ht="15" x14ac:dyDescent="0.2">
      <c r="A73" s="142" t="s">
        <v>1205</v>
      </c>
      <c r="B73" s="143" t="s">
        <v>1205</v>
      </c>
      <c r="C73" s="143" t="s">
        <v>3424</v>
      </c>
      <c r="D73" s="145" t="s">
        <v>3876</v>
      </c>
      <c r="E73" s="145" t="s">
        <v>3876</v>
      </c>
      <c r="F73" s="143" t="s">
        <v>3425</v>
      </c>
      <c r="G73" s="143" t="s">
        <v>3426</v>
      </c>
      <c r="H73" s="143" t="s">
        <v>312</v>
      </c>
      <c r="I73" s="143" t="s">
        <v>1003</v>
      </c>
      <c r="J73" s="145" t="s">
        <v>3876</v>
      </c>
      <c r="K73" s="143" t="s">
        <v>204</v>
      </c>
      <c r="L73" s="145" t="s">
        <v>3876</v>
      </c>
      <c r="M73" s="145" t="s">
        <v>3876</v>
      </c>
      <c r="N73" s="143" t="s">
        <v>204</v>
      </c>
      <c r="O73" s="143" t="s">
        <v>339</v>
      </c>
      <c r="P73" s="162">
        <v>45250</v>
      </c>
      <c r="Q73" s="143" t="s">
        <v>1210</v>
      </c>
      <c r="R73" s="143" t="s">
        <v>885</v>
      </c>
      <c r="S73" s="143" t="s">
        <v>889</v>
      </c>
      <c r="T73" s="163">
        <v>45466</v>
      </c>
      <c r="U73" s="145" t="s">
        <v>3876</v>
      </c>
      <c r="V73" s="144">
        <v>1229.4648999999999</v>
      </c>
      <c r="W73" s="144">
        <v>1229.4648999999999</v>
      </c>
      <c r="X73" s="145" t="s">
        <v>3876</v>
      </c>
      <c r="Y73" s="146">
        <v>7.4372218619567255E-3</v>
      </c>
      <c r="Z73" s="147">
        <v>1.2365008069836266E-3</v>
      </c>
      <c r="AA73" s="181"/>
    </row>
    <row r="74" spans="1:27" ht="15" x14ac:dyDescent="0.2">
      <c r="A74" s="142" t="s">
        <v>1205</v>
      </c>
      <c r="B74" s="143" t="s">
        <v>1205</v>
      </c>
      <c r="C74" s="143" t="s">
        <v>3421</v>
      </c>
      <c r="D74" s="145" t="s">
        <v>3876</v>
      </c>
      <c r="E74" s="145" t="s">
        <v>3876</v>
      </c>
      <c r="F74" s="143" t="s">
        <v>3427</v>
      </c>
      <c r="G74" s="143" t="s">
        <v>3428</v>
      </c>
      <c r="H74" s="143" t="s">
        <v>312</v>
      </c>
      <c r="I74" s="143" t="s">
        <v>1003</v>
      </c>
      <c r="J74" s="145" t="s">
        <v>3876</v>
      </c>
      <c r="K74" s="143" t="s">
        <v>204</v>
      </c>
      <c r="L74" s="145" t="s">
        <v>3876</v>
      </c>
      <c r="M74" s="145" t="s">
        <v>3876</v>
      </c>
      <c r="N74" s="143" t="s">
        <v>204</v>
      </c>
      <c r="O74" s="143" t="s">
        <v>339</v>
      </c>
      <c r="P74" s="162">
        <v>45271</v>
      </c>
      <c r="Q74" s="143" t="s">
        <v>1210</v>
      </c>
      <c r="R74" s="143" t="s">
        <v>885</v>
      </c>
      <c r="S74" s="143" t="s">
        <v>889</v>
      </c>
      <c r="T74" s="163">
        <v>45442</v>
      </c>
      <c r="U74" s="145" t="s">
        <v>3876</v>
      </c>
      <c r="V74" s="144">
        <v>931.30219999999997</v>
      </c>
      <c r="W74" s="144">
        <v>931.30219999999997</v>
      </c>
      <c r="X74" s="145" t="s">
        <v>3876</v>
      </c>
      <c r="Y74" s="146">
        <v>5.6335899517382772E-3</v>
      </c>
      <c r="Z74" s="147">
        <v>9.3663180295477943E-4</v>
      </c>
      <c r="AA74" s="181"/>
    </row>
    <row r="75" spans="1:27" ht="15" x14ac:dyDescent="0.2">
      <c r="A75" s="142" t="s">
        <v>1205</v>
      </c>
      <c r="B75" s="143" t="s">
        <v>1205</v>
      </c>
      <c r="C75" s="143" t="s">
        <v>3429</v>
      </c>
      <c r="D75" s="145" t="s">
        <v>3876</v>
      </c>
      <c r="E75" s="145" t="s">
        <v>3876</v>
      </c>
      <c r="F75" s="143" t="s">
        <v>3430</v>
      </c>
      <c r="G75" s="143" t="s">
        <v>3431</v>
      </c>
      <c r="H75" s="143" t="s">
        <v>312</v>
      </c>
      <c r="I75" s="143" t="s">
        <v>1003</v>
      </c>
      <c r="J75" s="145" t="s">
        <v>3876</v>
      </c>
      <c r="K75" s="143" t="s">
        <v>204</v>
      </c>
      <c r="L75" s="145" t="s">
        <v>3876</v>
      </c>
      <c r="M75" s="145" t="s">
        <v>3876</v>
      </c>
      <c r="N75" s="143" t="s">
        <v>204</v>
      </c>
      <c r="O75" s="143" t="s">
        <v>339</v>
      </c>
      <c r="P75" s="162">
        <v>45243</v>
      </c>
      <c r="Q75" s="143" t="s">
        <v>1210</v>
      </c>
      <c r="R75" s="143" t="s">
        <v>885</v>
      </c>
      <c r="S75" s="143" t="s">
        <v>889</v>
      </c>
      <c r="T75" s="163">
        <v>45442</v>
      </c>
      <c r="U75" s="145" t="s">
        <v>3876</v>
      </c>
      <c r="V75" s="144">
        <v>825.57590000000005</v>
      </c>
      <c r="W75" s="144">
        <v>825.57590000000005</v>
      </c>
      <c r="X75" s="146">
        <v>4.2583950499999997E-3</v>
      </c>
      <c r="Y75" s="146">
        <v>4.9940354735771471E-3</v>
      </c>
      <c r="Z75" s="147">
        <v>8.3030048152393419E-4</v>
      </c>
      <c r="AA75" s="181"/>
    </row>
    <row r="76" spans="1:27" ht="15" x14ac:dyDescent="0.2">
      <c r="A76" s="142" t="s">
        <v>1205</v>
      </c>
      <c r="B76" s="143" t="s">
        <v>1205</v>
      </c>
      <c r="C76" s="143" t="s">
        <v>3432</v>
      </c>
      <c r="D76" s="145" t="s">
        <v>3876</v>
      </c>
      <c r="E76" s="145" t="s">
        <v>3876</v>
      </c>
      <c r="F76" s="143" t="s">
        <v>3433</v>
      </c>
      <c r="G76" s="143" t="s">
        <v>3434</v>
      </c>
      <c r="H76" s="143" t="s">
        <v>312</v>
      </c>
      <c r="I76" s="143" t="s">
        <v>1003</v>
      </c>
      <c r="J76" s="145" t="s">
        <v>3876</v>
      </c>
      <c r="K76" s="143" t="s">
        <v>204</v>
      </c>
      <c r="L76" s="145" t="s">
        <v>3876</v>
      </c>
      <c r="M76" s="145" t="s">
        <v>3876</v>
      </c>
      <c r="N76" s="143" t="s">
        <v>204</v>
      </c>
      <c r="O76" s="143" t="s">
        <v>339</v>
      </c>
      <c r="P76" s="162">
        <v>45316</v>
      </c>
      <c r="Q76" s="143" t="s">
        <v>1210</v>
      </c>
      <c r="R76" s="143" t="s">
        <v>885</v>
      </c>
      <c r="S76" s="143" t="s">
        <v>889</v>
      </c>
      <c r="T76" s="163">
        <v>45451</v>
      </c>
      <c r="U76" s="145" t="s">
        <v>3876</v>
      </c>
      <c r="V76" s="144">
        <v>692.80269999999996</v>
      </c>
      <c r="W76" s="144">
        <v>692.80269999999996</v>
      </c>
      <c r="X76" s="145" t="s">
        <v>3876</v>
      </c>
      <c r="Y76" s="146">
        <v>4.1908702242883338E-3</v>
      </c>
      <c r="Z76" s="147">
        <v>6.967674906679191E-4</v>
      </c>
      <c r="AA76" s="181"/>
    </row>
    <row r="77" spans="1:27" ht="15" x14ac:dyDescent="0.2">
      <c r="A77" s="142" t="s">
        <v>1205</v>
      </c>
      <c r="B77" s="143" t="s">
        <v>1205</v>
      </c>
      <c r="C77" s="143" t="s">
        <v>3435</v>
      </c>
      <c r="D77" s="145" t="s">
        <v>3876</v>
      </c>
      <c r="E77" s="145" t="s">
        <v>3876</v>
      </c>
      <c r="F77" s="143" t="s">
        <v>3436</v>
      </c>
      <c r="G77" s="143" t="s">
        <v>3437</v>
      </c>
      <c r="H77" s="143" t="s">
        <v>312</v>
      </c>
      <c r="I77" s="143" t="s">
        <v>1003</v>
      </c>
      <c r="J77" s="145" t="s">
        <v>3876</v>
      </c>
      <c r="K77" s="143" t="s">
        <v>204</v>
      </c>
      <c r="L77" s="145" t="s">
        <v>3876</v>
      </c>
      <c r="M77" s="145" t="s">
        <v>3876</v>
      </c>
      <c r="N77" s="143" t="s">
        <v>204</v>
      </c>
      <c r="O77" s="143" t="s">
        <v>339</v>
      </c>
      <c r="P77" s="162">
        <v>45382</v>
      </c>
      <c r="Q77" s="143" t="s">
        <v>1210</v>
      </c>
      <c r="R77" s="143" t="s">
        <v>885</v>
      </c>
      <c r="S77" s="143" t="s">
        <v>889</v>
      </c>
      <c r="T77" s="163">
        <v>45440</v>
      </c>
      <c r="U77" s="145" t="s">
        <v>3876</v>
      </c>
      <c r="V77" s="144">
        <v>681.43769999999995</v>
      </c>
      <c r="W77" s="144">
        <v>681.43769999999995</v>
      </c>
      <c r="X77" s="145" t="s">
        <v>3876</v>
      </c>
      <c r="Y77" s="146">
        <v>4.1221212826892707E-3</v>
      </c>
      <c r="Z77" s="147">
        <v>6.8533739978931423E-4</v>
      </c>
      <c r="AA77" s="181"/>
    </row>
    <row r="78" spans="1:27" ht="15" x14ac:dyDescent="0.2">
      <c r="A78" s="142" t="s">
        <v>1205</v>
      </c>
      <c r="B78" s="143" t="s">
        <v>1205</v>
      </c>
      <c r="C78" s="143" t="s">
        <v>3438</v>
      </c>
      <c r="D78" s="145" t="s">
        <v>3876</v>
      </c>
      <c r="E78" s="145" t="s">
        <v>3876</v>
      </c>
      <c r="F78" s="143" t="s">
        <v>3439</v>
      </c>
      <c r="G78" s="143" t="s">
        <v>3440</v>
      </c>
      <c r="H78" s="143" t="s">
        <v>312</v>
      </c>
      <c r="I78" s="143" t="s">
        <v>1003</v>
      </c>
      <c r="J78" s="145" t="s">
        <v>3876</v>
      </c>
      <c r="K78" s="143" t="s">
        <v>204</v>
      </c>
      <c r="L78" s="145" t="s">
        <v>3876</v>
      </c>
      <c r="M78" s="145" t="s">
        <v>3876</v>
      </c>
      <c r="N78" s="143" t="s">
        <v>204</v>
      </c>
      <c r="O78" s="143" t="s">
        <v>339</v>
      </c>
      <c r="P78" s="162">
        <v>45350</v>
      </c>
      <c r="Q78" s="143" t="s">
        <v>1210</v>
      </c>
      <c r="R78" s="143" t="s">
        <v>885</v>
      </c>
      <c r="S78" s="143" t="s">
        <v>889</v>
      </c>
      <c r="T78" s="163">
        <v>45452</v>
      </c>
      <c r="U78" s="145" t="s">
        <v>3876</v>
      </c>
      <c r="V78" s="144">
        <v>534.35680000000002</v>
      </c>
      <c r="W78" s="144">
        <v>534.35680000000002</v>
      </c>
      <c r="X78" s="146">
        <v>1.3542857142857142E-4</v>
      </c>
      <c r="Y78" s="146">
        <v>3.232406329610703E-3</v>
      </c>
      <c r="Z78" s="147">
        <v>5.3741479133594691E-4</v>
      </c>
      <c r="AA78" s="181"/>
    </row>
    <row r="79" spans="1:27" ht="15" x14ac:dyDescent="0.2">
      <c r="A79" s="142" t="s">
        <v>1205</v>
      </c>
      <c r="B79" s="143" t="s">
        <v>1205</v>
      </c>
      <c r="C79" s="143" t="s">
        <v>3441</v>
      </c>
      <c r="D79" s="145" t="s">
        <v>3876</v>
      </c>
      <c r="E79" s="145" t="s">
        <v>3876</v>
      </c>
      <c r="F79" s="143" t="s">
        <v>3442</v>
      </c>
      <c r="G79" s="143" t="s">
        <v>3443</v>
      </c>
      <c r="H79" s="143" t="s">
        <v>312</v>
      </c>
      <c r="I79" s="143" t="s">
        <v>1003</v>
      </c>
      <c r="J79" s="145" t="s">
        <v>3876</v>
      </c>
      <c r="K79" s="143" t="s">
        <v>204</v>
      </c>
      <c r="L79" s="145" t="s">
        <v>3876</v>
      </c>
      <c r="M79" s="145" t="s">
        <v>3876</v>
      </c>
      <c r="N79" s="143" t="s">
        <v>204</v>
      </c>
      <c r="O79" s="143" t="s">
        <v>339</v>
      </c>
      <c r="P79" s="162">
        <v>44938</v>
      </c>
      <c r="Q79" s="143" t="s">
        <v>1210</v>
      </c>
      <c r="R79" s="143" t="s">
        <v>885</v>
      </c>
      <c r="S79" s="143" t="s">
        <v>889</v>
      </c>
      <c r="T79" s="163">
        <v>45447</v>
      </c>
      <c r="U79" s="145" t="s">
        <v>3876</v>
      </c>
      <c r="V79" s="144">
        <v>314.0086</v>
      </c>
      <c r="W79" s="144">
        <v>314.0086</v>
      </c>
      <c r="X79" s="145" t="s">
        <v>3876</v>
      </c>
      <c r="Y79" s="146">
        <v>1.8994865436313011E-3</v>
      </c>
      <c r="Z79" s="147">
        <v>3.1580564458738607E-4</v>
      </c>
      <c r="AA79" s="181"/>
    </row>
    <row r="80" spans="1:27" ht="15" x14ac:dyDescent="0.2">
      <c r="A80" s="142" t="s">
        <v>1205</v>
      </c>
      <c r="B80" s="143" t="s">
        <v>1205</v>
      </c>
      <c r="C80" s="143" t="s">
        <v>3444</v>
      </c>
      <c r="D80" s="145" t="s">
        <v>3876</v>
      </c>
      <c r="E80" s="145" t="s">
        <v>3876</v>
      </c>
      <c r="F80" s="143" t="s">
        <v>3445</v>
      </c>
      <c r="G80" s="143" t="s">
        <v>3446</v>
      </c>
      <c r="H80" s="143" t="s">
        <v>312</v>
      </c>
      <c r="I80" s="143" t="s">
        <v>1003</v>
      </c>
      <c r="J80" s="145" t="s">
        <v>3876</v>
      </c>
      <c r="K80" s="143" t="s">
        <v>204</v>
      </c>
      <c r="L80" s="145" t="s">
        <v>3876</v>
      </c>
      <c r="M80" s="145" t="s">
        <v>3876</v>
      </c>
      <c r="N80" s="143" t="s">
        <v>204</v>
      </c>
      <c r="O80" s="143" t="s">
        <v>339</v>
      </c>
      <c r="P80" s="162">
        <v>45131</v>
      </c>
      <c r="Q80" s="143" t="s">
        <v>1210</v>
      </c>
      <c r="R80" s="143" t="s">
        <v>885</v>
      </c>
      <c r="S80" s="143" t="s">
        <v>889</v>
      </c>
      <c r="T80" s="163">
        <v>45448</v>
      </c>
      <c r="U80" s="145" t="s">
        <v>3876</v>
      </c>
      <c r="V80" s="144">
        <v>243.2115</v>
      </c>
      <c r="W80" s="144">
        <v>243.2115</v>
      </c>
      <c r="X80" s="145" t="s">
        <v>3876</v>
      </c>
      <c r="Y80" s="146">
        <v>1.4712239185000085E-3</v>
      </c>
      <c r="Z80" s="147">
        <v>2.4460337424978365E-4</v>
      </c>
      <c r="AA80" s="181"/>
    </row>
    <row r="81" spans="1:27" ht="15" x14ac:dyDescent="0.2">
      <c r="A81" s="142" t="s">
        <v>1205</v>
      </c>
      <c r="B81" s="143" t="s">
        <v>1205</v>
      </c>
      <c r="C81" s="143" t="s">
        <v>3447</v>
      </c>
      <c r="D81" s="145" t="s">
        <v>3876</v>
      </c>
      <c r="E81" s="145" t="s">
        <v>3876</v>
      </c>
      <c r="F81" s="143" t="s">
        <v>3433</v>
      </c>
      <c r="G81" s="143" t="s">
        <v>3448</v>
      </c>
      <c r="H81" s="143" t="s">
        <v>312</v>
      </c>
      <c r="I81" s="143" t="s">
        <v>1003</v>
      </c>
      <c r="J81" s="145" t="s">
        <v>3876</v>
      </c>
      <c r="K81" s="143" t="s">
        <v>204</v>
      </c>
      <c r="L81" s="145" t="s">
        <v>3876</v>
      </c>
      <c r="M81" s="145" t="s">
        <v>3876</v>
      </c>
      <c r="N81" s="143" t="s">
        <v>204</v>
      </c>
      <c r="O81" s="143" t="s">
        <v>339</v>
      </c>
      <c r="P81" s="162">
        <v>45369</v>
      </c>
      <c r="Q81" s="143" t="s">
        <v>1210</v>
      </c>
      <c r="R81" s="143" t="s">
        <v>885</v>
      </c>
      <c r="S81" s="143" t="s">
        <v>889</v>
      </c>
      <c r="T81" s="163">
        <v>45442</v>
      </c>
      <c r="U81" s="145" t="s">
        <v>3876</v>
      </c>
      <c r="V81" s="144">
        <v>176.40079999999998</v>
      </c>
      <c r="W81" s="144">
        <v>176.40079999999998</v>
      </c>
      <c r="X81" s="145" t="s">
        <v>3876</v>
      </c>
      <c r="Y81" s="146">
        <v>1.0670756417515918E-3</v>
      </c>
      <c r="Z81" s="147">
        <v>1.7741031753909129E-4</v>
      </c>
      <c r="AA81" s="181"/>
    </row>
    <row r="82" spans="1:27" ht="15" x14ac:dyDescent="0.2">
      <c r="A82" s="142" t="s">
        <v>1205</v>
      </c>
      <c r="B82" s="143" t="s">
        <v>1205</v>
      </c>
      <c r="C82" s="143" t="s">
        <v>3421</v>
      </c>
      <c r="D82" s="145" t="s">
        <v>3876</v>
      </c>
      <c r="E82" s="145" t="s">
        <v>3876</v>
      </c>
      <c r="F82" s="143" t="s">
        <v>3449</v>
      </c>
      <c r="G82" s="143" t="s">
        <v>3450</v>
      </c>
      <c r="H82" s="143" t="s">
        <v>312</v>
      </c>
      <c r="I82" s="143" t="s">
        <v>1003</v>
      </c>
      <c r="J82" s="145" t="s">
        <v>3876</v>
      </c>
      <c r="K82" s="143" t="s">
        <v>204</v>
      </c>
      <c r="L82" s="145" t="s">
        <v>3876</v>
      </c>
      <c r="M82" s="145" t="s">
        <v>3876</v>
      </c>
      <c r="N82" s="143" t="s">
        <v>204</v>
      </c>
      <c r="O82" s="143" t="s">
        <v>339</v>
      </c>
      <c r="P82" s="162">
        <v>44174</v>
      </c>
      <c r="Q82" s="143" t="s">
        <v>1210</v>
      </c>
      <c r="R82" s="143" t="s">
        <v>885</v>
      </c>
      <c r="S82" s="143" t="s">
        <v>889</v>
      </c>
      <c r="T82" s="163">
        <v>45442</v>
      </c>
      <c r="U82" s="145" t="s">
        <v>3876</v>
      </c>
      <c r="V82" s="144">
        <v>5.1116000000000001</v>
      </c>
      <c r="W82" s="144">
        <v>5.1116000000000001</v>
      </c>
      <c r="X82" s="145" t="s">
        <v>3876</v>
      </c>
      <c r="Y82" s="146">
        <v>3.0920852507493041E-5</v>
      </c>
      <c r="Z82" s="147">
        <v>5.1408522950904145E-6</v>
      </c>
      <c r="AA82" s="181"/>
    </row>
    <row r="83" spans="1:27" ht="15" x14ac:dyDescent="0.2">
      <c r="A83" s="142" t="s">
        <v>1205</v>
      </c>
      <c r="B83" s="143" t="s">
        <v>1205</v>
      </c>
      <c r="C83" s="143" t="s">
        <v>3261</v>
      </c>
      <c r="D83" s="145" t="s">
        <v>3876</v>
      </c>
      <c r="E83" s="145" t="s">
        <v>3876</v>
      </c>
      <c r="F83" s="143" t="s">
        <v>3451</v>
      </c>
      <c r="G83" s="143" t="s">
        <v>3452</v>
      </c>
      <c r="H83" s="143" t="s">
        <v>312</v>
      </c>
      <c r="I83" s="143" t="s">
        <v>1003</v>
      </c>
      <c r="J83" s="145" t="s">
        <v>3876</v>
      </c>
      <c r="K83" s="143" t="s">
        <v>205</v>
      </c>
      <c r="L83" s="145" t="s">
        <v>3876</v>
      </c>
      <c r="M83" s="145" t="s">
        <v>3876</v>
      </c>
      <c r="N83" s="143" t="s">
        <v>224</v>
      </c>
      <c r="O83" s="143" t="s">
        <v>339</v>
      </c>
      <c r="P83" s="162">
        <v>45271</v>
      </c>
      <c r="Q83" s="143" t="s">
        <v>1211</v>
      </c>
      <c r="R83" s="143" t="s">
        <v>885</v>
      </c>
      <c r="S83" s="143" t="s">
        <v>889</v>
      </c>
      <c r="T83" s="163">
        <v>45461</v>
      </c>
      <c r="U83" s="143" t="s">
        <v>1212</v>
      </c>
      <c r="V83" s="144">
        <v>643.16086725192883</v>
      </c>
      <c r="W83" s="144">
        <v>2417.6417000000001</v>
      </c>
      <c r="X83" s="146">
        <v>1.1999999999999999E-3</v>
      </c>
      <c r="Y83" s="146">
        <v>1.4624686417304984E-2</v>
      </c>
      <c r="Z83" s="147">
        <v>2.43147735707354E-3</v>
      </c>
      <c r="AA83" s="181"/>
    </row>
    <row r="84" spans="1:27" ht="15" x14ac:dyDescent="0.2">
      <c r="A84" s="142" t="s">
        <v>1205</v>
      </c>
      <c r="B84" s="143" t="s">
        <v>1205</v>
      </c>
      <c r="C84" s="143" t="s">
        <v>3453</v>
      </c>
      <c r="D84" s="145" t="s">
        <v>3876</v>
      </c>
      <c r="E84" s="145" t="s">
        <v>3876</v>
      </c>
      <c r="F84" s="143" t="s">
        <v>3454</v>
      </c>
      <c r="G84" s="143" t="s">
        <v>3455</v>
      </c>
      <c r="H84" s="143" t="s">
        <v>312</v>
      </c>
      <c r="I84" s="143" t="s">
        <v>1003</v>
      </c>
      <c r="J84" s="145" t="s">
        <v>3876</v>
      </c>
      <c r="K84" s="143" t="s">
        <v>205</v>
      </c>
      <c r="L84" s="145" t="s">
        <v>3876</v>
      </c>
      <c r="M84" s="145" t="s">
        <v>3876</v>
      </c>
      <c r="N84" s="143" t="s">
        <v>293</v>
      </c>
      <c r="O84" s="143" t="s">
        <v>339</v>
      </c>
      <c r="P84" s="162">
        <v>45046</v>
      </c>
      <c r="Q84" s="143" t="s">
        <v>1213</v>
      </c>
      <c r="R84" s="143" t="s">
        <v>885</v>
      </c>
      <c r="S84" s="143" t="s">
        <v>889</v>
      </c>
      <c r="T84" s="163">
        <v>45461</v>
      </c>
      <c r="U84" s="143" t="s">
        <v>1214</v>
      </c>
      <c r="V84" s="144">
        <v>569.45423113277934</v>
      </c>
      <c r="W84" s="144">
        <v>2289.3199</v>
      </c>
      <c r="X84" s="145" t="s">
        <v>3876</v>
      </c>
      <c r="Y84" s="146">
        <v>1.3848447565637424E-2</v>
      </c>
      <c r="Z84" s="147">
        <v>2.3024211067270632E-3</v>
      </c>
      <c r="AA84" s="181"/>
    </row>
    <row r="85" spans="1:27" ht="15" x14ac:dyDescent="0.2">
      <c r="A85" s="142" t="s">
        <v>1205</v>
      </c>
      <c r="B85" s="143" t="s">
        <v>1205</v>
      </c>
      <c r="C85" s="143" t="s">
        <v>3456</v>
      </c>
      <c r="D85" s="145" t="s">
        <v>3876</v>
      </c>
      <c r="E85" s="145" t="s">
        <v>3876</v>
      </c>
      <c r="F85" s="143" t="s">
        <v>3457</v>
      </c>
      <c r="G85" s="143" t="s">
        <v>3458</v>
      </c>
      <c r="H85" s="143" t="s">
        <v>312</v>
      </c>
      <c r="I85" s="143" t="s">
        <v>1003</v>
      </c>
      <c r="J85" s="145" t="s">
        <v>3876</v>
      </c>
      <c r="K85" s="143" t="s">
        <v>205</v>
      </c>
      <c r="L85" s="145" t="s">
        <v>3876</v>
      </c>
      <c r="M85" s="145" t="s">
        <v>3876</v>
      </c>
      <c r="N85" s="143" t="s">
        <v>293</v>
      </c>
      <c r="O85" s="143" t="s">
        <v>339</v>
      </c>
      <c r="P85" s="162">
        <v>45203</v>
      </c>
      <c r="Q85" s="143" t="s">
        <v>1213</v>
      </c>
      <c r="R85" s="143" t="s">
        <v>885</v>
      </c>
      <c r="S85" s="143" t="s">
        <v>889</v>
      </c>
      <c r="T85" s="163">
        <v>45438</v>
      </c>
      <c r="U85" s="143" t="s">
        <v>1214</v>
      </c>
      <c r="V85" s="144">
        <v>401.83873936620068</v>
      </c>
      <c r="W85" s="144">
        <v>1615.4721000000002</v>
      </c>
      <c r="X85" s="146">
        <v>4.0918359E-4</v>
      </c>
      <c r="Y85" s="146">
        <v>9.7722390854919176E-3</v>
      </c>
      <c r="Z85" s="147">
        <v>1.6247170972614453E-3</v>
      </c>
      <c r="AA85" s="181"/>
    </row>
    <row r="86" spans="1:27" ht="15" x14ac:dyDescent="0.2">
      <c r="A86" s="142" t="s">
        <v>1205</v>
      </c>
      <c r="B86" s="143" t="s">
        <v>1205</v>
      </c>
      <c r="C86" s="143" t="s">
        <v>3459</v>
      </c>
      <c r="D86" s="145" t="s">
        <v>3876</v>
      </c>
      <c r="E86" s="145" t="s">
        <v>3876</v>
      </c>
      <c r="F86" s="143" t="s">
        <v>3460</v>
      </c>
      <c r="G86" s="143" t="s">
        <v>3461</v>
      </c>
      <c r="H86" s="143" t="s">
        <v>312</v>
      </c>
      <c r="I86" s="143" t="s">
        <v>1003</v>
      </c>
      <c r="J86" s="145" t="s">
        <v>3876</v>
      </c>
      <c r="K86" s="143" t="s">
        <v>205</v>
      </c>
      <c r="L86" s="145" t="s">
        <v>3876</v>
      </c>
      <c r="M86" s="145" t="s">
        <v>3876</v>
      </c>
      <c r="N86" s="143" t="s">
        <v>293</v>
      </c>
      <c r="O86" s="143" t="s">
        <v>339</v>
      </c>
      <c r="P86" s="162">
        <v>44816</v>
      </c>
      <c r="Q86" s="143" t="s">
        <v>1213</v>
      </c>
      <c r="R86" s="143" t="s">
        <v>885</v>
      </c>
      <c r="S86" s="143" t="s">
        <v>889</v>
      </c>
      <c r="T86" s="163">
        <v>45442</v>
      </c>
      <c r="U86" s="143" t="s">
        <v>1214</v>
      </c>
      <c r="V86" s="144">
        <v>389.65081339236855</v>
      </c>
      <c r="W86" s="144">
        <v>1566.4741999999999</v>
      </c>
      <c r="X86" s="146">
        <v>5.7118557999999995E-4</v>
      </c>
      <c r="Y86" s="146">
        <v>9.4758429967816849E-3</v>
      </c>
      <c r="Z86" s="147">
        <v>1.5754387498247897E-3</v>
      </c>
      <c r="AA86" s="181"/>
    </row>
    <row r="87" spans="1:27" ht="15" x14ac:dyDescent="0.2">
      <c r="A87" s="142" t="s">
        <v>1205</v>
      </c>
      <c r="B87" s="143" t="s">
        <v>1205</v>
      </c>
      <c r="C87" s="143" t="s">
        <v>3462</v>
      </c>
      <c r="D87" s="145" t="s">
        <v>3876</v>
      </c>
      <c r="E87" s="145" t="s">
        <v>3876</v>
      </c>
      <c r="F87" s="143" t="s">
        <v>3463</v>
      </c>
      <c r="G87" s="143" t="s">
        <v>3464</v>
      </c>
      <c r="H87" s="143" t="s">
        <v>312</v>
      </c>
      <c r="I87" s="143" t="s">
        <v>1003</v>
      </c>
      <c r="J87" s="145" t="s">
        <v>3876</v>
      </c>
      <c r="K87" s="143" t="s">
        <v>205</v>
      </c>
      <c r="L87" s="145" t="s">
        <v>3876</v>
      </c>
      <c r="M87" s="145" t="s">
        <v>3876</v>
      </c>
      <c r="N87" s="143" t="s">
        <v>224</v>
      </c>
      <c r="O87" s="143" t="s">
        <v>339</v>
      </c>
      <c r="P87" s="162">
        <v>44616</v>
      </c>
      <c r="Q87" s="143" t="s">
        <v>1211</v>
      </c>
      <c r="R87" s="143" t="s">
        <v>885</v>
      </c>
      <c r="S87" s="143" t="s">
        <v>889</v>
      </c>
      <c r="T87" s="163">
        <v>45434</v>
      </c>
      <c r="U87" s="143" t="s">
        <v>1212</v>
      </c>
      <c r="V87" s="144">
        <v>403.6853418462357</v>
      </c>
      <c r="W87" s="144">
        <v>1517.4531999999999</v>
      </c>
      <c r="X87" s="146">
        <v>5.0461538461538459E-7</v>
      </c>
      <c r="Y87" s="146">
        <v>9.179307613462126E-3</v>
      </c>
      <c r="Z87" s="147">
        <v>1.5261372434855174E-3</v>
      </c>
      <c r="AA87" s="181"/>
    </row>
    <row r="88" spans="1:27" ht="15" x14ac:dyDescent="0.2">
      <c r="A88" s="142" t="s">
        <v>1205</v>
      </c>
      <c r="B88" s="143" t="s">
        <v>1205</v>
      </c>
      <c r="C88" s="143" t="s">
        <v>3465</v>
      </c>
      <c r="D88" s="145" t="s">
        <v>3876</v>
      </c>
      <c r="E88" s="145" t="s">
        <v>3876</v>
      </c>
      <c r="F88" s="143" t="s">
        <v>3466</v>
      </c>
      <c r="G88" s="143" t="s">
        <v>3467</v>
      </c>
      <c r="H88" s="143" t="s">
        <v>312</v>
      </c>
      <c r="I88" s="143" t="s">
        <v>1003</v>
      </c>
      <c r="J88" s="145" t="s">
        <v>3876</v>
      </c>
      <c r="K88" s="143" t="s">
        <v>205</v>
      </c>
      <c r="L88" s="145" t="s">
        <v>3876</v>
      </c>
      <c r="M88" s="145" t="s">
        <v>3876</v>
      </c>
      <c r="N88" s="143" t="s">
        <v>272</v>
      </c>
      <c r="O88" s="143" t="s">
        <v>339</v>
      </c>
      <c r="P88" s="162">
        <v>45222</v>
      </c>
      <c r="Q88" s="143" t="s">
        <v>1213</v>
      </c>
      <c r="R88" s="143" t="s">
        <v>885</v>
      </c>
      <c r="S88" s="143" t="s">
        <v>889</v>
      </c>
      <c r="T88" s="163">
        <v>45442</v>
      </c>
      <c r="U88" s="143" t="s">
        <v>1214</v>
      </c>
      <c r="V88" s="144">
        <v>350.49985075369386</v>
      </c>
      <c r="W88" s="144">
        <v>1409.0795000000001</v>
      </c>
      <c r="X88" s="146">
        <v>1.7419500499999999E-3</v>
      </c>
      <c r="Y88" s="146">
        <v>8.5237386308639838E-3</v>
      </c>
      <c r="Z88" s="147">
        <v>1.4171433757400194E-3</v>
      </c>
      <c r="AA88" s="181"/>
    </row>
    <row r="89" spans="1:27" ht="15" x14ac:dyDescent="0.2">
      <c r="A89" s="142" t="s">
        <v>1205</v>
      </c>
      <c r="B89" s="143" t="s">
        <v>1205</v>
      </c>
      <c r="C89" s="143" t="s">
        <v>3468</v>
      </c>
      <c r="D89" s="145" t="s">
        <v>3876</v>
      </c>
      <c r="E89" s="145" t="s">
        <v>3876</v>
      </c>
      <c r="F89" s="143" t="s">
        <v>3469</v>
      </c>
      <c r="G89" s="143" t="s">
        <v>3470</v>
      </c>
      <c r="H89" s="143" t="s">
        <v>312</v>
      </c>
      <c r="I89" s="143" t="s">
        <v>1003</v>
      </c>
      <c r="J89" s="145" t="s">
        <v>3876</v>
      </c>
      <c r="K89" s="143" t="s">
        <v>205</v>
      </c>
      <c r="L89" s="145" t="s">
        <v>3876</v>
      </c>
      <c r="M89" s="145" t="s">
        <v>3876</v>
      </c>
      <c r="N89" s="143" t="s">
        <v>291</v>
      </c>
      <c r="O89" s="143" t="s">
        <v>339</v>
      </c>
      <c r="P89" s="162">
        <v>45342</v>
      </c>
      <c r="Q89" s="143" t="s">
        <v>1211</v>
      </c>
      <c r="R89" s="143" t="s">
        <v>885</v>
      </c>
      <c r="S89" s="143" t="s">
        <v>889</v>
      </c>
      <c r="T89" s="163">
        <v>45470</v>
      </c>
      <c r="U89" s="143" t="s">
        <v>1212</v>
      </c>
      <c r="V89" s="144">
        <v>301.4289704708699</v>
      </c>
      <c r="W89" s="144">
        <v>1133.0715</v>
      </c>
      <c r="X89" s="145" t="s">
        <v>3876</v>
      </c>
      <c r="Y89" s="146">
        <v>6.854123845674168E-3</v>
      </c>
      <c r="Z89" s="147">
        <v>1.1395558480908391E-3</v>
      </c>
      <c r="AA89" s="181"/>
    </row>
    <row r="90" spans="1:27" ht="15" x14ac:dyDescent="0.2">
      <c r="A90" s="142" t="s">
        <v>1205</v>
      </c>
      <c r="B90" s="143" t="s">
        <v>1205</v>
      </c>
      <c r="C90" s="143" t="s">
        <v>3471</v>
      </c>
      <c r="D90" s="145" t="s">
        <v>3876</v>
      </c>
      <c r="E90" s="145" t="s">
        <v>3876</v>
      </c>
      <c r="F90" s="143" t="s">
        <v>3472</v>
      </c>
      <c r="G90" s="143" t="s">
        <v>3473</v>
      </c>
      <c r="H90" s="143" t="s">
        <v>312</v>
      </c>
      <c r="I90" s="143" t="s">
        <v>1003</v>
      </c>
      <c r="J90" s="145" t="s">
        <v>3876</v>
      </c>
      <c r="K90" s="143" t="s">
        <v>205</v>
      </c>
      <c r="L90" s="145" t="s">
        <v>3876</v>
      </c>
      <c r="M90" s="145" t="s">
        <v>3876</v>
      </c>
      <c r="N90" s="143" t="s">
        <v>289</v>
      </c>
      <c r="O90" s="143" t="s">
        <v>339</v>
      </c>
      <c r="P90" s="162">
        <v>45054</v>
      </c>
      <c r="Q90" s="143" t="s">
        <v>1211</v>
      </c>
      <c r="R90" s="143" t="s">
        <v>885</v>
      </c>
      <c r="S90" s="143" t="s">
        <v>889</v>
      </c>
      <c r="T90" s="163">
        <v>45448</v>
      </c>
      <c r="U90" s="143" t="s">
        <v>1212</v>
      </c>
      <c r="V90" s="144">
        <v>290.3172120244746</v>
      </c>
      <c r="W90" s="144">
        <v>1091.3023999999998</v>
      </c>
      <c r="X90" s="146">
        <v>2.8096529000000002E-4</v>
      </c>
      <c r="Y90" s="146">
        <v>6.601456076323375E-3</v>
      </c>
      <c r="Z90" s="147">
        <v>1.0975477022401505E-3</v>
      </c>
      <c r="AA90" s="181"/>
    </row>
    <row r="91" spans="1:27" ht="15" x14ac:dyDescent="0.2">
      <c r="A91" s="142" t="s">
        <v>1205</v>
      </c>
      <c r="B91" s="143" t="s">
        <v>1205</v>
      </c>
      <c r="C91" s="143" t="s">
        <v>3474</v>
      </c>
      <c r="D91" s="145" t="s">
        <v>3876</v>
      </c>
      <c r="E91" s="145" t="s">
        <v>3876</v>
      </c>
      <c r="F91" s="143" t="s">
        <v>3475</v>
      </c>
      <c r="G91" s="143" t="s">
        <v>3476</v>
      </c>
      <c r="H91" s="143" t="s">
        <v>312</v>
      </c>
      <c r="I91" s="143" t="s">
        <v>1003</v>
      </c>
      <c r="J91" s="145" t="s">
        <v>3876</v>
      </c>
      <c r="K91" s="143" t="s">
        <v>205</v>
      </c>
      <c r="L91" s="145" t="s">
        <v>3876</v>
      </c>
      <c r="M91" s="145" t="s">
        <v>3876</v>
      </c>
      <c r="N91" s="143" t="s">
        <v>293</v>
      </c>
      <c r="O91" s="143" t="s">
        <v>339</v>
      </c>
      <c r="P91" s="162">
        <v>45369</v>
      </c>
      <c r="Q91" s="143" t="s">
        <v>1213</v>
      </c>
      <c r="R91" s="143" t="s">
        <v>885</v>
      </c>
      <c r="S91" s="143" t="s">
        <v>889</v>
      </c>
      <c r="T91" s="163">
        <v>45468</v>
      </c>
      <c r="U91" s="143" t="s">
        <v>1214</v>
      </c>
      <c r="V91" s="144">
        <v>220.0616884732103</v>
      </c>
      <c r="W91" s="144">
        <v>884.69200000000001</v>
      </c>
      <c r="X91" s="146">
        <v>1.06397475E-4</v>
      </c>
      <c r="Y91" s="146">
        <v>5.3516377552558026E-3</v>
      </c>
      <c r="Z91" s="147">
        <v>8.8975487431765786E-4</v>
      </c>
      <c r="AA91" s="181"/>
    </row>
    <row r="92" spans="1:27" ht="15" x14ac:dyDescent="0.2">
      <c r="A92" s="142" t="s">
        <v>1205</v>
      </c>
      <c r="B92" s="143" t="s">
        <v>1205</v>
      </c>
      <c r="C92" s="143" t="s">
        <v>3477</v>
      </c>
      <c r="D92" s="145" t="s">
        <v>3876</v>
      </c>
      <c r="E92" s="145" t="s">
        <v>3876</v>
      </c>
      <c r="F92" s="143" t="s">
        <v>3478</v>
      </c>
      <c r="G92" s="143" t="s">
        <v>3479</v>
      </c>
      <c r="H92" s="143" t="s">
        <v>312</v>
      </c>
      <c r="I92" s="143" t="s">
        <v>1003</v>
      </c>
      <c r="J92" s="145" t="s">
        <v>3876</v>
      </c>
      <c r="K92" s="143" t="s">
        <v>205</v>
      </c>
      <c r="L92" s="145" t="s">
        <v>3876</v>
      </c>
      <c r="M92" s="145" t="s">
        <v>3876</v>
      </c>
      <c r="N92" s="143" t="s">
        <v>296</v>
      </c>
      <c r="O92" s="143" t="s">
        <v>339</v>
      </c>
      <c r="P92" s="162">
        <v>45281</v>
      </c>
      <c r="Q92" s="143" t="s">
        <v>1211</v>
      </c>
      <c r="R92" s="143" t="s">
        <v>885</v>
      </c>
      <c r="S92" s="143" t="s">
        <v>889</v>
      </c>
      <c r="T92" s="163">
        <v>45442</v>
      </c>
      <c r="U92" s="143" t="s">
        <v>1212</v>
      </c>
      <c r="V92" s="144">
        <v>159.72652301143921</v>
      </c>
      <c r="W92" s="144">
        <v>600.41200000000003</v>
      </c>
      <c r="X92" s="146">
        <v>1.8538666666666668E-3</v>
      </c>
      <c r="Y92" s="146">
        <v>3.6319841542452849E-3</v>
      </c>
      <c r="Z92" s="147">
        <v>6.0384797186815054E-4</v>
      </c>
      <c r="AA92" s="181"/>
    </row>
    <row r="93" spans="1:27" ht="15" x14ac:dyDescent="0.2">
      <c r="A93" s="142" t="s">
        <v>1205</v>
      </c>
      <c r="B93" s="143" t="s">
        <v>1205</v>
      </c>
      <c r="C93" s="143" t="s">
        <v>3480</v>
      </c>
      <c r="D93" s="145" t="s">
        <v>3876</v>
      </c>
      <c r="E93" s="145" t="s">
        <v>3876</v>
      </c>
      <c r="F93" s="143" t="s">
        <v>3481</v>
      </c>
      <c r="G93" s="143" t="s">
        <v>3482</v>
      </c>
      <c r="H93" s="143" t="s">
        <v>312</v>
      </c>
      <c r="I93" s="143" t="s">
        <v>1003</v>
      </c>
      <c r="J93" s="145" t="s">
        <v>3876</v>
      </c>
      <c r="K93" s="143" t="s">
        <v>205</v>
      </c>
      <c r="L93" s="145" t="s">
        <v>3876</v>
      </c>
      <c r="M93" s="145" t="s">
        <v>3876</v>
      </c>
      <c r="N93" s="143" t="s">
        <v>291</v>
      </c>
      <c r="O93" s="143" t="s">
        <v>339</v>
      </c>
      <c r="P93" s="162">
        <v>45259</v>
      </c>
      <c r="Q93" s="143" t="s">
        <v>1211</v>
      </c>
      <c r="R93" s="143" t="s">
        <v>885</v>
      </c>
      <c r="S93" s="143" t="s">
        <v>889</v>
      </c>
      <c r="T93" s="163">
        <v>45471</v>
      </c>
      <c r="U93" s="143" t="s">
        <v>1212</v>
      </c>
      <c r="V93" s="144">
        <v>117.93708433093907</v>
      </c>
      <c r="W93" s="144">
        <v>443.32549999999998</v>
      </c>
      <c r="X93" s="146">
        <v>7.4678793939393943E-5</v>
      </c>
      <c r="Y93" s="146">
        <v>2.6817438633841722E-3</v>
      </c>
      <c r="Z93" s="147">
        <v>4.4586251596983911E-4</v>
      </c>
      <c r="AA93" s="181"/>
    </row>
    <row r="94" spans="1:27" ht="15" x14ac:dyDescent="0.2">
      <c r="A94" s="142" t="s">
        <v>1205</v>
      </c>
      <c r="B94" s="143" t="s">
        <v>1205</v>
      </c>
      <c r="C94" s="143" t="s">
        <v>3462</v>
      </c>
      <c r="D94" s="145" t="s">
        <v>3876</v>
      </c>
      <c r="E94" s="145" t="s">
        <v>3876</v>
      </c>
      <c r="F94" s="143" t="s">
        <v>3483</v>
      </c>
      <c r="G94" s="143" t="s">
        <v>3484</v>
      </c>
      <c r="H94" s="143" t="s">
        <v>312</v>
      </c>
      <c r="I94" s="143" t="s">
        <v>1003</v>
      </c>
      <c r="J94" s="145" t="s">
        <v>3876</v>
      </c>
      <c r="K94" s="143" t="s">
        <v>205</v>
      </c>
      <c r="L94" s="145" t="s">
        <v>3876</v>
      </c>
      <c r="M94" s="145" t="s">
        <v>3876</v>
      </c>
      <c r="N94" s="143" t="s">
        <v>224</v>
      </c>
      <c r="O94" s="143" t="s">
        <v>339</v>
      </c>
      <c r="P94" s="162">
        <v>44616</v>
      </c>
      <c r="Q94" s="143" t="s">
        <v>1211</v>
      </c>
      <c r="R94" s="143" t="s">
        <v>885</v>
      </c>
      <c r="S94" s="143" t="s">
        <v>889</v>
      </c>
      <c r="T94" s="163">
        <v>45431</v>
      </c>
      <c r="U94" s="143" t="s">
        <v>1212</v>
      </c>
      <c r="V94" s="144">
        <v>99.117025804735306</v>
      </c>
      <c r="W94" s="144">
        <v>372.58090000000004</v>
      </c>
      <c r="X94" s="145" t="s">
        <v>3876</v>
      </c>
      <c r="Y94" s="146">
        <v>2.2537988781429277E-3</v>
      </c>
      <c r="Z94" s="147">
        <v>3.7471305594066431E-4</v>
      </c>
      <c r="AA94" s="181"/>
    </row>
    <row r="95" spans="1:27" ht="15" x14ac:dyDescent="0.2">
      <c r="A95" s="142" t="s">
        <v>1205</v>
      </c>
      <c r="B95" s="143" t="s">
        <v>1205</v>
      </c>
      <c r="C95" s="143" t="s">
        <v>3485</v>
      </c>
      <c r="D95" s="145" t="s">
        <v>3876</v>
      </c>
      <c r="E95" s="145" t="s">
        <v>3876</v>
      </c>
      <c r="F95" s="143" t="s">
        <v>3486</v>
      </c>
      <c r="G95" s="143" t="s">
        <v>3487</v>
      </c>
      <c r="H95" s="143" t="s">
        <v>312</v>
      </c>
      <c r="I95" s="143" t="s">
        <v>1003</v>
      </c>
      <c r="J95" s="145" t="s">
        <v>3876</v>
      </c>
      <c r="K95" s="143" t="s">
        <v>205</v>
      </c>
      <c r="L95" s="145" t="s">
        <v>3876</v>
      </c>
      <c r="M95" s="145" t="s">
        <v>3876</v>
      </c>
      <c r="N95" s="143" t="s">
        <v>204</v>
      </c>
      <c r="O95" s="143" t="s">
        <v>339</v>
      </c>
      <c r="P95" s="162">
        <v>45356</v>
      </c>
      <c r="Q95" s="143" t="s">
        <v>1210</v>
      </c>
      <c r="R95" s="143" t="s">
        <v>885</v>
      </c>
      <c r="S95" s="143" t="s">
        <v>889</v>
      </c>
      <c r="T95" s="163">
        <v>45442</v>
      </c>
      <c r="U95" s="145" t="s">
        <v>3876</v>
      </c>
      <c r="V95" s="144">
        <v>294.0333</v>
      </c>
      <c r="W95" s="144">
        <v>294.0333</v>
      </c>
      <c r="X95" s="146">
        <v>4.0279744946411614E-4</v>
      </c>
      <c r="Y95" s="146">
        <v>1.7786528104282405E-3</v>
      </c>
      <c r="Z95" s="147">
        <v>2.9571601819332837E-4</v>
      </c>
      <c r="AA95" s="181"/>
    </row>
    <row r="96" spans="1:27" ht="15" x14ac:dyDescent="0.2">
      <c r="A96" s="142" t="s">
        <v>1205</v>
      </c>
      <c r="B96" s="143" t="s">
        <v>1205</v>
      </c>
      <c r="C96" s="143" t="s">
        <v>3480</v>
      </c>
      <c r="D96" s="145" t="s">
        <v>3876</v>
      </c>
      <c r="E96" s="145" t="s">
        <v>3876</v>
      </c>
      <c r="F96" s="143" t="s">
        <v>3488</v>
      </c>
      <c r="G96" s="143" t="s">
        <v>3489</v>
      </c>
      <c r="H96" s="143" t="s">
        <v>312</v>
      </c>
      <c r="I96" s="143" t="s">
        <v>1003</v>
      </c>
      <c r="J96" s="145" t="s">
        <v>3876</v>
      </c>
      <c r="K96" s="143" t="s">
        <v>205</v>
      </c>
      <c r="L96" s="145" t="s">
        <v>3876</v>
      </c>
      <c r="M96" s="145" t="s">
        <v>3876</v>
      </c>
      <c r="N96" s="143" t="s">
        <v>291</v>
      </c>
      <c r="O96" s="143" t="s">
        <v>339</v>
      </c>
      <c r="P96" s="162">
        <v>44651</v>
      </c>
      <c r="Q96" s="143" t="s">
        <v>1211</v>
      </c>
      <c r="R96" s="143" t="s">
        <v>885</v>
      </c>
      <c r="S96" s="143" t="s">
        <v>889</v>
      </c>
      <c r="T96" s="163">
        <v>44651</v>
      </c>
      <c r="U96" s="143" t="s">
        <v>1212</v>
      </c>
      <c r="V96" s="145" t="s">
        <v>3876</v>
      </c>
      <c r="W96" s="144">
        <v>0</v>
      </c>
      <c r="X96" s="146">
        <v>6.0606060606060602E-12</v>
      </c>
      <c r="Y96" s="146">
        <v>2.2738768591312618E-10</v>
      </c>
      <c r="Z96" s="147">
        <v>3.7805118947432565E-11</v>
      </c>
      <c r="AA96" s="181"/>
    </row>
    <row r="97" spans="1:27" ht="15" x14ac:dyDescent="0.2">
      <c r="A97" s="142" t="s">
        <v>1205</v>
      </c>
      <c r="B97" s="143" t="s">
        <v>1205</v>
      </c>
      <c r="C97" s="143" t="s">
        <v>3490</v>
      </c>
      <c r="D97" s="145" t="s">
        <v>3876</v>
      </c>
      <c r="E97" s="145" t="s">
        <v>3876</v>
      </c>
      <c r="F97" s="143" t="s">
        <v>3491</v>
      </c>
      <c r="G97" s="143" t="s">
        <v>3492</v>
      </c>
      <c r="H97" s="143" t="s">
        <v>312</v>
      </c>
      <c r="I97" s="143" t="s">
        <v>1004</v>
      </c>
      <c r="J97" s="145" t="s">
        <v>3876</v>
      </c>
      <c r="K97" s="143" t="s">
        <v>204</v>
      </c>
      <c r="L97" s="145" t="s">
        <v>3876</v>
      </c>
      <c r="M97" s="145" t="s">
        <v>3876</v>
      </c>
      <c r="N97" s="143" t="s">
        <v>204</v>
      </c>
      <c r="O97" s="143" t="s">
        <v>339</v>
      </c>
      <c r="P97" s="162">
        <v>45306</v>
      </c>
      <c r="Q97" s="143" t="s">
        <v>1210</v>
      </c>
      <c r="R97" s="143" t="s">
        <v>885</v>
      </c>
      <c r="S97" s="143" t="s">
        <v>889</v>
      </c>
      <c r="T97" s="163">
        <v>45419</v>
      </c>
      <c r="U97" s="145" t="s">
        <v>3876</v>
      </c>
      <c r="V97" s="144">
        <v>2249.1134999999999</v>
      </c>
      <c r="W97" s="144">
        <v>2249.1134999999999</v>
      </c>
      <c r="X97" s="145" t="s">
        <v>3876</v>
      </c>
      <c r="Y97" s="146">
        <v>1.3605232849461402E-2</v>
      </c>
      <c r="Z97" s="147">
        <v>2.2619846106262434E-3</v>
      </c>
      <c r="AA97" s="181"/>
    </row>
    <row r="98" spans="1:27" ht="15" x14ac:dyDescent="0.2">
      <c r="A98" s="142" t="s">
        <v>1205</v>
      </c>
      <c r="B98" s="143" t="s">
        <v>1205</v>
      </c>
      <c r="C98" s="143" t="s">
        <v>3493</v>
      </c>
      <c r="D98" s="145" t="s">
        <v>3876</v>
      </c>
      <c r="E98" s="145" t="s">
        <v>3876</v>
      </c>
      <c r="F98" s="143" t="s">
        <v>3494</v>
      </c>
      <c r="G98" s="143" t="s">
        <v>3495</v>
      </c>
      <c r="H98" s="143" t="s">
        <v>312</v>
      </c>
      <c r="I98" s="143" t="s">
        <v>1004</v>
      </c>
      <c r="J98" s="145" t="s">
        <v>3876</v>
      </c>
      <c r="K98" s="143" t="s">
        <v>204</v>
      </c>
      <c r="L98" s="145" t="s">
        <v>3876</v>
      </c>
      <c r="M98" s="145" t="s">
        <v>3876</v>
      </c>
      <c r="N98" s="143" t="s">
        <v>204</v>
      </c>
      <c r="O98" s="143" t="s">
        <v>339</v>
      </c>
      <c r="P98" s="162">
        <v>45378</v>
      </c>
      <c r="Q98" s="143" t="s">
        <v>1210</v>
      </c>
      <c r="R98" s="143" t="s">
        <v>885</v>
      </c>
      <c r="S98" s="143" t="s">
        <v>889</v>
      </c>
      <c r="T98" s="163">
        <v>45441</v>
      </c>
      <c r="U98" s="145" t="s">
        <v>3876</v>
      </c>
      <c r="V98" s="144">
        <v>732.83190000000002</v>
      </c>
      <c r="W98" s="144">
        <v>732.83190000000002</v>
      </c>
      <c r="X98" s="146">
        <v>5.0665066666666662E-4</v>
      </c>
      <c r="Y98" s="146">
        <v>4.4330129918850889E-3</v>
      </c>
      <c r="Z98" s="147">
        <v>7.370257662842743E-4</v>
      </c>
      <c r="AA98" s="181"/>
    </row>
    <row r="99" spans="1:27" ht="15" x14ac:dyDescent="0.2">
      <c r="A99" s="142" t="s">
        <v>1205</v>
      </c>
      <c r="B99" s="143" t="s">
        <v>1205</v>
      </c>
      <c r="C99" s="143" t="s">
        <v>3496</v>
      </c>
      <c r="D99" s="145" t="s">
        <v>3876</v>
      </c>
      <c r="E99" s="145" t="s">
        <v>3876</v>
      </c>
      <c r="F99" s="143" t="s">
        <v>3496</v>
      </c>
      <c r="G99" s="143" t="s">
        <v>3497</v>
      </c>
      <c r="H99" s="143" t="s">
        <v>312</v>
      </c>
      <c r="I99" s="143" t="s">
        <v>1004</v>
      </c>
      <c r="J99" s="145" t="s">
        <v>3876</v>
      </c>
      <c r="K99" s="143" t="s">
        <v>204</v>
      </c>
      <c r="L99" s="145" t="s">
        <v>3876</v>
      </c>
      <c r="M99" s="145" t="s">
        <v>3876</v>
      </c>
      <c r="N99" s="143" t="s">
        <v>204</v>
      </c>
      <c r="O99" s="143" t="s">
        <v>339</v>
      </c>
      <c r="P99" s="162">
        <v>45362</v>
      </c>
      <c r="Q99" s="143" t="s">
        <v>1210</v>
      </c>
      <c r="R99" s="143" t="s">
        <v>885</v>
      </c>
      <c r="S99" s="143" t="s">
        <v>889</v>
      </c>
      <c r="T99" s="163">
        <v>45427</v>
      </c>
      <c r="U99" s="145" t="s">
        <v>3876</v>
      </c>
      <c r="V99" s="144">
        <v>435.8997</v>
      </c>
      <c r="W99" s="144">
        <v>435.8997</v>
      </c>
      <c r="X99" s="146">
        <v>1.3852702972972973E-3</v>
      </c>
      <c r="Y99" s="146">
        <v>2.6368242253350408E-3</v>
      </c>
      <c r="Z99" s="147">
        <v>4.3839424761263427E-4</v>
      </c>
      <c r="AA99" s="181"/>
    </row>
    <row r="100" spans="1:27" ht="15" x14ac:dyDescent="0.2">
      <c r="A100" s="142" t="s">
        <v>1205</v>
      </c>
      <c r="B100" s="143" t="s">
        <v>1205</v>
      </c>
      <c r="C100" s="143" t="s">
        <v>3490</v>
      </c>
      <c r="D100" s="145" t="s">
        <v>3876</v>
      </c>
      <c r="E100" s="145" t="s">
        <v>3876</v>
      </c>
      <c r="F100" s="143" t="s">
        <v>3498</v>
      </c>
      <c r="G100" s="143" t="s">
        <v>3499</v>
      </c>
      <c r="H100" s="143" t="s">
        <v>312</v>
      </c>
      <c r="I100" s="143" t="s">
        <v>1004</v>
      </c>
      <c r="J100" s="145" t="s">
        <v>3876</v>
      </c>
      <c r="K100" s="143" t="s">
        <v>204</v>
      </c>
      <c r="L100" s="145" t="s">
        <v>3876</v>
      </c>
      <c r="M100" s="145" t="s">
        <v>3876</v>
      </c>
      <c r="N100" s="143" t="s">
        <v>204</v>
      </c>
      <c r="O100" s="143" t="s">
        <v>339</v>
      </c>
      <c r="P100" s="162">
        <v>45250</v>
      </c>
      <c r="Q100" s="143" t="s">
        <v>1210</v>
      </c>
      <c r="R100" s="143" t="s">
        <v>885</v>
      </c>
      <c r="S100" s="143" t="s">
        <v>889</v>
      </c>
      <c r="T100" s="163">
        <v>45250</v>
      </c>
      <c r="U100" s="145" t="s">
        <v>3876</v>
      </c>
      <c r="V100" s="144">
        <v>13.701000000000001</v>
      </c>
      <c r="W100" s="144">
        <v>13.701000000000001</v>
      </c>
      <c r="X100" s="146">
        <v>8.5096207594748029E-6</v>
      </c>
      <c r="Y100" s="146">
        <v>8.2879454235055647E-5</v>
      </c>
      <c r="Z100" s="147">
        <v>1.3779407680201478E-5</v>
      </c>
      <c r="AA100" s="181"/>
    </row>
    <row r="101" spans="1:27" ht="15" x14ac:dyDescent="0.2">
      <c r="A101" s="142" t="s">
        <v>1205</v>
      </c>
      <c r="B101" s="143" t="s">
        <v>1205</v>
      </c>
      <c r="C101" s="143" t="s">
        <v>3500</v>
      </c>
      <c r="D101" s="145" t="s">
        <v>3876</v>
      </c>
      <c r="E101" s="145" t="s">
        <v>3876</v>
      </c>
      <c r="F101" s="143" t="s">
        <v>3501</v>
      </c>
      <c r="G101" s="143" t="s">
        <v>3502</v>
      </c>
      <c r="H101" s="143" t="s">
        <v>312</v>
      </c>
      <c r="I101" s="143" t="s">
        <v>1004</v>
      </c>
      <c r="J101" s="145" t="s">
        <v>3876</v>
      </c>
      <c r="K101" s="143" t="s">
        <v>204</v>
      </c>
      <c r="L101" s="145" t="s">
        <v>3876</v>
      </c>
      <c r="M101" s="145" t="s">
        <v>3876</v>
      </c>
      <c r="N101" s="143" t="s">
        <v>204</v>
      </c>
      <c r="O101" s="143" t="s">
        <v>339</v>
      </c>
      <c r="P101" s="162">
        <v>42283</v>
      </c>
      <c r="Q101" s="143" t="s">
        <v>1211</v>
      </c>
      <c r="R101" s="143" t="s">
        <v>885</v>
      </c>
      <c r="S101" s="143" t="s">
        <v>889</v>
      </c>
      <c r="T101" s="163">
        <v>45382</v>
      </c>
      <c r="U101" s="143" t="s">
        <v>1212</v>
      </c>
      <c r="V101" s="144">
        <v>0.16206437882415536</v>
      </c>
      <c r="W101" s="144">
        <v>0.60920000000000007</v>
      </c>
      <c r="X101" s="145" t="s">
        <v>3876</v>
      </c>
      <c r="Y101" s="146">
        <v>3.6848660898125526E-6</v>
      </c>
      <c r="Z101" s="147">
        <v>6.1264003928491832E-7</v>
      </c>
      <c r="AA101" s="181"/>
    </row>
    <row r="102" spans="1:27" ht="15" x14ac:dyDescent="0.2">
      <c r="A102" s="142" t="s">
        <v>1205</v>
      </c>
      <c r="B102" s="143" t="s">
        <v>1205</v>
      </c>
      <c r="C102" s="143" t="s">
        <v>3500</v>
      </c>
      <c r="D102" s="145" t="s">
        <v>3876</v>
      </c>
      <c r="E102" s="145" t="s">
        <v>3876</v>
      </c>
      <c r="F102" s="143" t="s">
        <v>3503</v>
      </c>
      <c r="G102" s="143" t="s">
        <v>3504</v>
      </c>
      <c r="H102" s="143" t="s">
        <v>312</v>
      </c>
      <c r="I102" s="143" t="s">
        <v>1004</v>
      </c>
      <c r="J102" s="145" t="s">
        <v>3876</v>
      </c>
      <c r="K102" s="143" t="s">
        <v>204</v>
      </c>
      <c r="L102" s="145" t="s">
        <v>3876</v>
      </c>
      <c r="M102" s="145" t="s">
        <v>3876</v>
      </c>
      <c r="N102" s="143" t="s">
        <v>204</v>
      </c>
      <c r="O102" s="143" t="s">
        <v>339</v>
      </c>
      <c r="P102" s="162">
        <v>42528</v>
      </c>
      <c r="Q102" s="143" t="s">
        <v>1210</v>
      </c>
      <c r="R102" s="143" t="s">
        <v>885</v>
      </c>
      <c r="S102" s="143" t="s">
        <v>889</v>
      </c>
      <c r="T102" s="163">
        <v>45386</v>
      </c>
      <c r="U102" s="145" t="s">
        <v>3876</v>
      </c>
      <c r="V102" s="145" t="s">
        <v>3876</v>
      </c>
      <c r="W102" s="144">
        <v>0</v>
      </c>
      <c r="X102" s="145" t="s">
        <v>3876</v>
      </c>
      <c r="Y102" s="146">
        <v>2.8035659176927602E-11</v>
      </c>
      <c r="Z102" s="147">
        <v>4.6611645907613507E-12</v>
      </c>
      <c r="AA102" s="181"/>
    </row>
    <row r="103" spans="1:27" ht="15" x14ac:dyDescent="0.2">
      <c r="A103" s="142" t="s">
        <v>1205</v>
      </c>
      <c r="B103" s="143" t="s">
        <v>1205</v>
      </c>
      <c r="C103" s="143" t="s">
        <v>3505</v>
      </c>
      <c r="D103" s="145" t="s">
        <v>3876</v>
      </c>
      <c r="E103" s="145" t="s">
        <v>3876</v>
      </c>
      <c r="F103" s="143" t="s">
        <v>3506</v>
      </c>
      <c r="G103" s="143" t="s">
        <v>3507</v>
      </c>
      <c r="H103" s="143" t="s">
        <v>312</v>
      </c>
      <c r="I103" s="143" t="s">
        <v>1004</v>
      </c>
      <c r="J103" s="145" t="s">
        <v>3876</v>
      </c>
      <c r="K103" s="143" t="s">
        <v>205</v>
      </c>
      <c r="L103" s="145" t="s">
        <v>3876</v>
      </c>
      <c r="M103" s="145" t="s">
        <v>3876</v>
      </c>
      <c r="N103" s="143" t="s">
        <v>291</v>
      </c>
      <c r="O103" s="143" t="s">
        <v>339</v>
      </c>
      <c r="P103" s="162">
        <v>45362</v>
      </c>
      <c r="Q103" s="143" t="s">
        <v>1211</v>
      </c>
      <c r="R103" s="143" t="s">
        <v>885</v>
      </c>
      <c r="S103" s="143" t="s">
        <v>889</v>
      </c>
      <c r="T103" s="163">
        <v>45447</v>
      </c>
      <c r="U103" s="143" t="s">
        <v>1212</v>
      </c>
      <c r="V103" s="144">
        <v>839.7945996275605</v>
      </c>
      <c r="W103" s="144">
        <v>3156.7878999999998</v>
      </c>
      <c r="X103" s="146">
        <v>3.3091728500000002E-5</v>
      </c>
      <c r="Y103" s="146">
        <v>1.90958952030796E-2</v>
      </c>
      <c r="Z103" s="147">
        <v>3.1748534959625866E-3</v>
      </c>
      <c r="AA103" s="181"/>
    </row>
    <row r="104" spans="1:27" ht="15" x14ac:dyDescent="0.2">
      <c r="A104" s="142" t="s">
        <v>1205</v>
      </c>
      <c r="B104" s="143" t="s">
        <v>1205</v>
      </c>
      <c r="C104" s="143" t="s">
        <v>3508</v>
      </c>
      <c r="D104" s="145" t="s">
        <v>3876</v>
      </c>
      <c r="E104" s="145" t="s">
        <v>3876</v>
      </c>
      <c r="F104" s="143" t="s">
        <v>3509</v>
      </c>
      <c r="G104" s="143" t="s">
        <v>3510</v>
      </c>
      <c r="H104" s="143" t="s">
        <v>312</v>
      </c>
      <c r="I104" s="143" t="s">
        <v>1004</v>
      </c>
      <c r="J104" s="145" t="s">
        <v>3876</v>
      </c>
      <c r="K104" s="143" t="s">
        <v>205</v>
      </c>
      <c r="L104" s="145" t="s">
        <v>3876</v>
      </c>
      <c r="M104" s="145" t="s">
        <v>3876</v>
      </c>
      <c r="N104" s="143" t="s">
        <v>224</v>
      </c>
      <c r="O104" s="143" t="s">
        <v>339</v>
      </c>
      <c r="P104" s="162">
        <v>44664</v>
      </c>
      <c r="Q104" s="143" t="s">
        <v>1211</v>
      </c>
      <c r="R104" s="143" t="s">
        <v>885</v>
      </c>
      <c r="S104" s="143" t="s">
        <v>889</v>
      </c>
      <c r="T104" s="163">
        <v>45447</v>
      </c>
      <c r="U104" s="143" t="s">
        <v>1212</v>
      </c>
      <c r="V104" s="144">
        <v>673.34639531790367</v>
      </c>
      <c r="W104" s="144">
        <v>2531.1091000000001</v>
      </c>
      <c r="X104" s="146">
        <v>3.414357142857143E-3</v>
      </c>
      <c r="Y104" s="146">
        <v>1.5311067890670793E-2</v>
      </c>
      <c r="Z104" s="147">
        <v>2.5455940610617333E-3</v>
      </c>
      <c r="AA104" s="181"/>
    </row>
    <row r="105" spans="1:27" ht="15" x14ac:dyDescent="0.2">
      <c r="A105" s="142" t="s">
        <v>1205</v>
      </c>
      <c r="B105" s="143" t="s">
        <v>1205</v>
      </c>
      <c r="C105" s="143" t="s">
        <v>3511</v>
      </c>
      <c r="D105" s="145" t="s">
        <v>3876</v>
      </c>
      <c r="E105" s="145" t="s">
        <v>3876</v>
      </c>
      <c r="F105" s="143" t="s">
        <v>3512</v>
      </c>
      <c r="G105" s="143" t="s">
        <v>3513</v>
      </c>
      <c r="H105" s="143" t="s">
        <v>312</v>
      </c>
      <c r="I105" s="143" t="s">
        <v>1004</v>
      </c>
      <c r="J105" s="145" t="s">
        <v>3876</v>
      </c>
      <c r="K105" s="143" t="s">
        <v>205</v>
      </c>
      <c r="L105" s="145" t="s">
        <v>3876</v>
      </c>
      <c r="M105" s="145" t="s">
        <v>3876</v>
      </c>
      <c r="N105" s="143" t="s">
        <v>224</v>
      </c>
      <c r="O105" s="143" t="s">
        <v>339</v>
      </c>
      <c r="P105" s="162">
        <v>45362</v>
      </c>
      <c r="Q105" s="143" t="s">
        <v>1211</v>
      </c>
      <c r="R105" s="143" t="s">
        <v>885</v>
      </c>
      <c r="S105" s="143" t="s">
        <v>889</v>
      </c>
      <c r="T105" s="163">
        <v>45449</v>
      </c>
      <c r="U105" s="143" t="s">
        <v>1212</v>
      </c>
      <c r="V105" s="144">
        <v>666.62359670125045</v>
      </c>
      <c r="W105" s="144">
        <v>2505.8380999999999</v>
      </c>
      <c r="X105" s="145" t="s">
        <v>3876</v>
      </c>
      <c r="Y105" s="146">
        <v>1.5158199705391338E-2</v>
      </c>
      <c r="Z105" s="147">
        <v>2.5201784370601069E-3</v>
      </c>
      <c r="AA105" s="181"/>
    </row>
    <row r="106" spans="1:27" ht="15" x14ac:dyDescent="0.2">
      <c r="A106" s="142" t="s">
        <v>1205</v>
      </c>
      <c r="B106" s="143" t="s">
        <v>1205</v>
      </c>
      <c r="C106" s="143" t="s">
        <v>3514</v>
      </c>
      <c r="D106" s="145" t="s">
        <v>3876</v>
      </c>
      <c r="E106" s="145" t="s">
        <v>3876</v>
      </c>
      <c r="F106" s="143" t="s">
        <v>3515</v>
      </c>
      <c r="G106" s="143" t="s">
        <v>3516</v>
      </c>
      <c r="H106" s="143" t="s">
        <v>312</v>
      </c>
      <c r="I106" s="143" t="s">
        <v>1004</v>
      </c>
      <c r="J106" s="145" t="s">
        <v>3876</v>
      </c>
      <c r="K106" s="143" t="s">
        <v>205</v>
      </c>
      <c r="L106" s="145" t="s">
        <v>3876</v>
      </c>
      <c r="M106" s="145" t="s">
        <v>3876</v>
      </c>
      <c r="N106" s="143" t="s">
        <v>291</v>
      </c>
      <c r="O106" s="143" t="s">
        <v>339</v>
      </c>
      <c r="P106" s="162">
        <v>45187</v>
      </c>
      <c r="Q106" s="143" t="s">
        <v>1211</v>
      </c>
      <c r="R106" s="143" t="s">
        <v>885</v>
      </c>
      <c r="S106" s="143" t="s">
        <v>889</v>
      </c>
      <c r="T106" s="163">
        <v>45454</v>
      </c>
      <c r="U106" s="143" t="s">
        <v>1212</v>
      </c>
      <c r="V106" s="144">
        <v>525.21811652035115</v>
      </c>
      <c r="W106" s="144">
        <v>1974.2948999999999</v>
      </c>
      <c r="X106" s="146">
        <v>2.7553177142857144E-4</v>
      </c>
      <c r="Y106" s="146">
        <v>1.1942813100402613E-2</v>
      </c>
      <c r="Z106" s="147">
        <v>1.9855933183654138E-3</v>
      </c>
      <c r="AA106" s="181"/>
    </row>
    <row r="107" spans="1:27" ht="15" x14ac:dyDescent="0.2">
      <c r="A107" s="142" t="s">
        <v>1205</v>
      </c>
      <c r="B107" s="143" t="s">
        <v>1205</v>
      </c>
      <c r="C107" s="143" t="s">
        <v>3517</v>
      </c>
      <c r="D107" s="145" t="s">
        <v>3876</v>
      </c>
      <c r="E107" s="145" t="s">
        <v>3876</v>
      </c>
      <c r="F107" s="143" t="s">
        <v>3518</v>
      </c>
      <c r="G107" s="143" t="s">
        <v>3519</v>
      </c>
      <c r="H107" s="143" t="s">
        <v>312</v>
      </c>
      <c r="I107" s="143" t="s">
        <v>1004</v>
      </c>
      <c r="J107" s="145" t="s">
        <v>3876</v>
      </c>
      <c r="K107" s="143" t="s">
        <v>205</v>
      </c>
      <c r="L107" s="145" t="s">
        <v>3876</v>
      </c>
      <c r="M107" s="145" t="s">
        <v>3876</v>
      </c>
      <c r="N107" s="143" t="s">
        <v>293</v>
      </c>
      <c r="O107" s="143" t="s">
        <v>339</v>
      </c>
      <c r="P107" s="162">
        <v>45341</v>
      </c>
      <c r="Q107" s="143" t="s">
        <v>1213</v>
      </c>
      <c r="R107" s="143" t="s">
        <v>885</v>
      </c>
      <c r="S107" s="143" t="s">
        <v>889</v>
      </c>
      <c r="T107" s="163">
        <v>45466</v>
      </c>
      <c r="U107" s="143" t="s">
        <v>1214</v>
      </c>
      <c r="V107" s="144">
        <v>451.35602706333015</v>
      </c>
      <c r="W107" s="144">
        <v>1814.5415</v>
      </c>
      <c r="X107" s="146">
        <v>1.1573023556581987E-3</v>
      </c>
      <c r="Y107" s="146">
        <v>1.0976440087416271E-2</v>
      </c>
      <c r="Z107" s="147">
        <v>1.8249256614655796E-3</v>
      </c>
      <c r="AA107" s="181"/>
    </row>
    <row r="108" spans="1:27" ht="15" x14ac:dyDescent="0.2">
      <c r="A108" s="142" t="s">
        <v>1205</v>
      </c>
      <c r="B108" s="143" t="s">
        <v>1205</v>
      </c>
      <c r="C108" s="143" t="s">
        <v>3520</v>
      </c>
      <c r="D108" s="145" t="s">
        <v>3876</v>
      </c>
      <c r="E108" s="145" t="s">
        <v>3876</v>
      </c>
      <c r="F108" s="143" t="s">
        <v>3521</v>
      </c>
      <c r="G108" s="143" t="s">
        <v>3522</v>
      </c>
      <c r="H108" s="143" t="s">
        <v>312</v>
      </c>
      <c r="I108" s="143" t="s">
        <v>1004</v>
      </c>
      <c r="J108" s="145" t="s">
        <v>3876</v>
      </c>
      <c r="K108" s="143" t="s">
        <v>205</v>
      </c>
      <c r="L108" s="145" t="s">
        <v>3876</v>
      </c>
      <c r="M108" s="145" t="s">
        <v>3876</v>
      </c>
      <c r="N108" s="143" t="s">
        <v>291</v>
      </c>
      <c r="O108" s="143" t="s">
        <v>339</v>
      </c>
      <c r="P108" s="162">
        <v>44633</v>
      </c>
      <c r="Q108" s="143" t="s">
        <v>1211</v>
      </c>
      <c r="R108" s="143" t="s">
        <v>885</v>
      </c>
      <c r="S108" s="143" t="s">
        <v>889</v>
      </c>
      <c r="T108" s="163">
        <v>45432</v>
      </c>
      <c r="U108" s="143" t="s">
        <v>1212</v>
      </c>
      <c r="V108" s="144">
        <v>461.03258845437614</v>
      </c>
      <c r="W108" s="144">
        <v>1733.0215000000001</v>
      </c>
      <c r="X108" s="146">
        <v>2.9921153684210528E-3</v>
      </c>
      <c r="Y108" s="146">
        <v>1.0483313633878813E-2</v>
      </c>
      <c r="Z108" s="147">
        <v>1.7429392330569997E-3</v>
      </c>
      <c r="AA108" s="181"/>
    </row>
    <row r="109" spans="1:27" ht="15" x14ac:dyDescent="0.2">
      <c r="A109" s="142" t="s">
        <v>1205</v>
      </c>
      <c r="B109" s="143" t="s">
        <v>1205</v>
      </c>
      <c r="C109" s="143" t="s">
        <v>3523</v>
      </c>
      <c r="D109" s="145" t="s">
        <v>3876</v>
      </c>
      <c r="E109" s="145" t="s">
        <v>3876</v>
      </c>
      <c r="F109" s="143" t="s">
        <v>3524</v>
      </c>
      <c r="G109" s="143" t="s">
        <v>3525</v>
      </c>
      <c r="H109" s="143" t="s">
        <v>312</v>
      </c>
      <c r="I109" s="143" t="s">
        <v>1004</v>
      </c>
      <c r="J109" s="145" t="s">
        <v>3876</v>
      </c>
      <c r="K109" s="143" t="s">
        <v>205</v>
      </c>
      <c r="L109" s="145" t="s">
        <v>3876</v>
      </c>
      <c r="M109" s="145" t="s">
        <v>3876</v>
      </c>
      <c r="N109" s="143" t="s">
        <v>291</v>
      </c>
      <c r="O109" s="143" t="s">
        <v>339</v>
      </c>
      <c r="P109" s="162">
        <v>44776</v>
      </c>
      <c r="Q109" s="143" t="s">
        <v>1211</v>
      </c>
      <c r="R109" s="143" t="s">
        <v>885</v>
      </c>
      <c r="S109" s="143" t="s">
        <v>889</v>
      </c>
      <c r="T109" s="163">
        <v>45434</v>
      </c>
      <c r="U109" s="143" t="s">
        <v>1212</v>
      </c>
      <c r="V109" s="144">
        <v>414.99372173450388</v>
      </c>
      <c r="W109" s="144">
        <v>1559.9613999999999</v>
      </c>
      <c r="X109" s="145" t="s">
        <v>3876</v>
      </c>
      <c r="Y109" s="146">
        <v>9.4364462614308104E-3</v>
      </c>
      <c r="Z109" s="147">
        <v>1.5688887105819024E-3</v>
      </c>
      <c r="AA109" s="181"/>
    </row>
    <row r="110" spans="1:27" ht="15" x14ac:dyDescent="0.2">
      <c r="A110" s="142" t="s">
        <v>1205</v>
      </c>
      <c r="B110" s="143" t="s">
        <v>1205</v>
      </c>
      <c r="C110" s="143" t="s">
        <v>3526</v>
      </c>
      <c r="D110" s="145" t="s">
        <v>3876</v>
      </c>
      <c r="E110" s="145" t="s">
        <v>3876</v>
      </c>
      <c r="F110" s="143" t="s">
        <v>3527</v>
      </c>
      <c r="G110" s="143" t="s">
        <v>3528</v>
      </c>
      <c r="H110" s="143" t="s">
        <v>312</v>
      </c>
      <c r="I110" s="143" t="s">
        <v>1004</v>
      </c>
      <c r="J110" s="145" t="s">
        <v>3876</v>
      </c>
      <c r="K110" s="143" t="s">
        <v>205</v>
      </c>
      <c r="L110" s="145" t="s">
        <v>3876</v>
      </c>
      <c r="M110" s="145" t="s">
        <v>3876</v>
      </c>
      <c r="N110" s="143" t="s">
        <v>224</v>
      </c>
      <c r="O110" s="143" t="s">
        <v>339</v>
      </c>
      <c r="P110" s="162">
        <v>42716</v>
      </c>
      <c r="Q110" s="143" t="s">
        <v>1211</v>
      </c>
      <c r="R110" s="143" t="s">
        <v>885</v>
      </c>
      <c r="S110" s="143" t="s">
        <v>889</v>
      </c>
      <c r="T110" s="163">
        <v>45432</v>
      </c>
      <c r="U110" s="143" t="s">
        <v>1212</v>
      </c>
      <c r="V110" s="144">
        <v>346.40034583665869</v>
      </c>
      <c r="W110" s="144">
        <v>1302.1188999999999</v>
      </c>
      <c r="X110" s="145" t="s">
        <v>3876</v>
      </c>
      <c r="Y110" s="146">
        <v>7.8767170491730581E-3</v>
      </c>
      <c r="Z110" s="147">
        <v>1.309570585423104E-3</v>
      </c>
      <c r="AA110" s="181"/>
    </row>
    <row r="111" spans="1:27" ht="15" x14ac:dyDescent="0.2">
      <c r="A111" s="142" t="s">
        <v>1205</v>
      </c>
      <c r="B111" s="143" t="s">
        <v>1205</v>
      </c>
      <c r="C111" s="143" t="s">
        <v>3529</v>
      </c>
      <c r="D111" s="145" t="s">
        <v>3876</v>
      </c>
      <c r="E111" s="145" t="s">
        <v>3876</v>
      </c>
      <c r="F111" s="143" t="s">
        <v>3530</v>
      </c>
      <c r="G111" s="143" t="s">
        <v>3531</v>
      </c>
      <c r="H111" s="143" t="s">
        <v>312</v>
      </c>
      <c r="I111" s="143" t="s">
        <v>1004</v>
      </c>
      <c r="J111" s="145" t="s">
        <v>3876</v>
      </c>
      <c r="K111" s="143" t="s">
        <v>205</v>
      </c>
      <c r="L111" s="145" t="s">
        <v>3876</v>
      </c>
      <c r="M111" s="145" t="s">
        <v>3876</v>
      </c>
      <c r="N111" s="143" t="s">
        <v>291</v>
      </c>
      <c r="O111" s="143" t="s">
        <v>339</v>
      </c>
      <c r="P111" s="162">
        <v>44767</v>
      </c>
      <c r="Q111" s="143" t="s">
        <v>1211</v>
      </c>
      <c r="R111" s="143" t="s">
        <v>885</v>
      </c>
      <c r="S111" s="143" t="s">
        <v>889</v>
      </c>
      <c r="T111" s="163">
        <v>45469</v>
      </c>
      <c r="U111" s="143" t="s">
        <v>1212</v>
      </c>
      <c r="V111" s="144">
        <v>267.12415536046819</v>
      </c>
      <c r="W111" s="144">
        <v>1004.1197</v>
      </c>
      <c r="X111" s="146">
        <v>4.8133918878845603E-3</v>
      </c>
      <c r="Y111" s="146">
        <v>6.0740746081003128E-3</v>
      </c>
      <c r="Z111" s="147">
        <v>1.0098660889778486E-3</v>
      </c>
      <c r="AA111" s="181"/>
    </row>
    <row r="112" spans="1:27" ht="15" x14ac:dyDescent="0.2">
      <c r="A112" s="142" t="s">
        <v>1205</v>
      </c>
      <c r="B112" s="143" t="s">
        <v>1205</v>
      </c>
      <c r="C112" s="143" t="s">
        <v>3532</v>
      </c>
      <c r="D112" s="145" t="s">
        <v>3876</v>
      </c>
      <c r="E112" s="145" t="s">
        <v>3876</v>
      </c>
      <c r="F112" s="143" t="s">
        <v>3533</v>
      </c>
      <c r="G112" s="143" t="s">
        <v>3534</v>
      </c>
      <c r="H112" s="143" t="s">
        <v>312</v>
      </c>
      <c r="I112" s="143" t="s">
        <v>1004</v>
      </c>
      <c r="J112" s="145" t="s">
        <v>3876</v>
      </c>
      <c r="K112" s="143" t="s">
        <v>205</v>
      </c>
      <c r="L112" s="145" t="s">
        <v>3876</v>
      </c>
      <c r="M112" s="145" t="s">
        <v>3876</v>
      </c>
      <c r="N112" s="143" t="s">
        <v>224</v>
      </c>
      <c r="O112" s="143" t="s">
        <v>339</v>
      </c>
      <c r="P112" s="162">
        <v>45322</v>
      </c>
      <c r="Q112" s="143" t="s">
        <v>1211</v>
      </c>
      <c r="R112" s="143" t="s">
        <v>885</v>
      </c>
      <c r="S112" s="143" t="s">
        <v>889</v>
      </c>
      <c r="T112" s="163">
        <v>45442</v>
      </c>
      <c r="U112" s="143" t="s">
        <v>1212</v>
      </c>
      <c r="V112" s="144">
        <v>255.591061452514</v>
      </c>
      <c r="W112" s="144">
        <v>960.7668000000001</v>
      </c>
      <c r="X112" s="145" t="s">
        <v>3876</v>
      </c>
      <c r="Y112" s="146">
        <v>5.811825968849057E-3</v>
      </c>
      <c r="Z112" s="147">
        <v>9.6626504276955114E-4</v>
      </c>
      <c r="AA112" s="181"/>
    </row>
    <row r="113" spans="1:27" ht="15" x14ac:dyDescent="0.2">
      <c r="A113" s="142" t="s">
        <v>1205</v>
      </c>
      <c r="B113" s="143" t="s">
        <v>1205</v>
      </c>
      <c r="C113" s="143" t="s">
        <v>3535</v>
      </c>
      <c r="D113" s="145" t="s">
        <v>3876</v>
      </c>
      <c r="E113" s="145" t="s">
        <v>3876</v>
      </c>
      <c r="F113" s="143" t="s">
        <v>3509</v>
      </c>
      <c r="G113" s="143" t="s">
        <v>3536</v>
      </c>
      <c r="H113" s="143" t="s">
        <v>312</v>
      </c>
      <c r="I113" s="143" t="s">
        <v>1004</v>
      </c>
      <c r="J113" s="145" t="s">
        <v>3876</v>
      </c>
      <c r="K113" s="143" t="s">
        <v>205</v>
      </c>
      <c r="L113" s="145" t="s">
        <v>3876</v>
      </c>
      <c r="M113" s="145" t="s">
        <v>3876</v>
      </c>
      <c r="N113" s="143" t="s">
        <v>224</v>
      </c>
      <c r="O113" s="143" t="s">
        <v>339</v>
      </c>
      <c r="P113" s="162">
        <v>45449</v>
      </c>
      <c r="Q113" s="143" t="s">
        <v>1211</v>
      </c>
      <c r="R113" s="143" t="s">
        <v>885</v>
      </c>
      <c r="S113" s="143" t="s">
        <v>889</v>
      </c>
      <c r="T113" s="163">
        <v>45449</v>
      </c>
      <c r="U113" s="143" t="s">
        <v>1212</v>
      </c>
      <c r="V113" s="144">
        <v>237.73266826283586</v>
      </c>
      <c r="W113" s="144">
        <v>893.63710000000003</v>
      </c>
      <c r="X113" s="146">
        <v>2.8640365672472995E-4</v>
      </c>
      <c r="Y113" s="146">
        <v>5.405747836533711E-3</v>
      </c>
      <c r="Z113" s="147">
        <v>8.9875113130823256E-4</v>
      </c>
      <c r="AA113" s="181"/>
    </row>
    <row r="114" spans="1:27" ht="15" x14ac:dyDescent="0.2">
      <c r="A114" s="142" t="s">
        <v>1205</v>
      </c>
      <c r="B114" s="143" t="s">
        <v>1205</v>
      </c>
      <c r="C114" s="143" t="s">
        <v>3537</v>
      </c>
      <c r="D114" s="145" t="s">
        <v>3876</v>
      </c>
      <c r="E114" s="145" t="s">
        <v>3876</v>
      </c>
      <c r="F114" s="143" t="s">
        <v>3538</v>
      </c>
      <c r="G114" s="143" t="s">
        <v>3539</v>
      </c>
      <c r="H114" s="143" t="s">
        <v>312</v>
      </c>
      <c r="I114" s="143" t="s">
        <v>1004</v>
      </c>
      <c r="J114" s="145" t="s">
        <v>3876</v>
      </c>
      <c r="K114" s="143" t="s">
        <v>205</v>
      </c>
      <c r="L114" s="145" t="s">
        <v>3876</v>
      </c>
      <c r="M114" s="145" t="s">
        <v>3876</v>
      </c>
      <c r="N114" s="143" t="s">
        <v>293</v>
      </c>
      <c r="O114" s="143" t="s">
        <v>339</v>
      </c>
      <c r="P114" s="162">
        <v>44601</v>
      </c>
      <c r="Q114" s="143" t="s">
        <v>1213</v>
      </c>
      <c r="R114" s="143" t="s">
        <v>885</v>
      </c>
      <c r="S114" s="143" t="s">
        <v>889</v>
      </c>
      <c r="T114" s="163">
        <v>45432</v>
      </c>
      <c r="U114" s="143" t="s">
        <v>1214</v>
      </c>
      <c r="V114" s="144">
        <v>152.53641609870155</v>
      </c>
      <c r="W114" s="144">
        <v>613.2269</v>
      </c>
      <c r="X114" s="145" t="s">
        <v>3876</v>
      </c>
      <c r="Y114" s="146">
        <v>3.7095036305388688E-3</v>
      </c>
      <c r="Z114" s="147">
        <v>6.1673623804779437E-4</v>
      </c>
      <c r="AA114" s="181"/>
    </row>
    <row r="115" spans="1:27" ht="15" x14ac:dyDescent="0.2">
      <c r="A115" s="142" t="s">
        <v>1205</v>
      </c>
      <c r="B115" s="143" t="s">
        <v>1205</v>
      </c>
      <c r="C115" s="143" t="s">
        <v>3540</v>
      </c>
      <c r="D115" s="145" t="s">
        <v>3876</v>
      </c>
      <c r="E115" s="145" t="s">
        <v>3876</v>
      </c>
      <c r="F115" s="143" t="s">
        <v>3541</v>
      </c>
      <c r="G115" s="143" t="s">
        <v>3542</v>
      </c>
      <c r="H115" s="143" t="s">
        <v>312</v>
      </c>
      <c r="I115" s="143" t="s">
        <v>1004</v>
      </c>
      <c r="J115" s="145" t="s">
        <v>3876</v>
      </c>
      <c r="K115" s="143" t="s">
        <v>205</v>
      </c>
      <c r="L115" s="145" t="s">
        <v>3876</v>
      </c>
      <c r="M115" s="145" t="s">
        <v>3876</v>
      </c>
      <c r="N115" s="143" t="s">
        <v>224</v>
      </c>
      <c r="O115" s="143" t="s">
        <v>339</v>
      </c>
      <c r="P115" s="162">
        <v>45350</v>
      </c>
      <c r="Q115" s="143" t="s">
        <v>1211</v>
      </c>
      <c r="R115" s="143" t="s">
        <v>885</v>
      </c>
      <c r="S115" s="143" t="s">
        <v>889</v>
      </c>
      <c r="T115" s="163">
        <v>45351</v>
      </c>
      <c r="U115" s="143" t="s">
        <v>1212</v>
      </c>
      <c r="V115" s="144">
        <v>13.524793828145782</v>
      </c>
      <c r="W115" s="144">
        <v>50.839700000000001</v>
      </c>
      <c r="X115" s="146">
        <v>6.6499999999999999E-6</v>
      </c>
      <c r="Y115" s="146">
        <v>3.0753691770634941E-4</v>
      </c>
      <c r="Z115" s="147">
        <v>5.1130604139474951E-5</v>
      </c>
      <c r="AA115" s="181"/>
    </row>
    <row r="116" spans="1:27" ht="15" x14ac:dyDescent="0.2">
      <c r="A116" s="142" t="s">
        <v>1205</v>
      </c>
      <c r="B116" s="143" t="s">
        <v>1205</v>
      </c>
      <c r="C116" s="143" t="s">
        <v>3543</v>
      </c>
      <c r="D116" s="145" t="s">
        <v>3876</v>
      </c>
      <c r="E116" s="145" t="s">
        <v>3876</v>
      </c>
      <c r="F116" s="143" t="s">
        <v>3544</v>
      </c>
      <c r="G116" s="143" t="s">
        <v>3545</v>
      </c>
      <c r="H116" s="143" t="s">
        <v>312</v>
      </c>
      <c r="I116" s="143" t="s">
        <v>1005</v>
      </c>
      <c r="J116" s="145" t="s">
        <v>3876</v>
      </c>
      <c r="K116" s="143" t="s">
        <v>204</v>
      </c>
      <c r="L116" s="145" t="s">
        <v>3876</v>
      </c>
      <c r="M116" s="145" t="s">
        <v>3876</v>
      </c>
      <c r="N116" s="143" t="s">
        <v>204</v>
      </c>
      <c r="O116" s="143" t="s">
        <v>339</v>
      </c>
      <c r="P116" s="162">
        <v>45250</v>
      </c>
      <c r="Q116" s="143" t="s">
        <v>1211</v>
      </c>
      <c r="R116" s="143" t="s">
        <v>885</v>
      </c>
      <c r="S116" s="143" t="s">
        <v>889</v>
      </c>
      <c r="T116" s="163">
        <v>45473</v>
      </c>
      <c r="U116" s="143" t="s">
        <v>1212</v>
      </c>
      <c r="V116" s="144">
        <v>440.05344506517685</v>
      </c>
      <c r="W116" s="144">
        <v>1654.1608999999999</v>
      </c>
      <c r="X116" s="146">
        <v>2.1553947368421053E-3</v>
      </c>
      <c r="Y116" s="146">
        <v>1.0006273582138956E-2</v>
      </c>
      <c r="Z116" s="147">
        <v>1.6636273045051396E-3</v>
      </c>
      <c r="AA116" s="181"/>
    </row>
    <row r="117" spans="1:27" ht="15" x14ac:dyDescent="0.2">
      <c r="A117" s="142" t="s">
        <v>1205</v>
      </c>
      <c r="B117" s="143" t="s">
        <v>1205</v>
      </c>
      <c r="C117" s="143" t="s">
        <v>3546</v>
      </c>
      <c r="D117" s="145" t="s">
        <v>3876</v>
      </c>
      <c r="E117" s="145" t="s">
        <v>3876</v>
      </c>
      <c r="F117" s="143" t="s">
        <v>3547</v>
      </c>
      <c r="G117" s="143" t="s">
        <v>3548</v>
      </c>
      <c r="H117" s="143" t="s">
        <v>312</v>
      </c>
      <c r="I117" s="143" t="s">
        <v>1005</v>
      </c>
      <c r="J117" s="145" t="s">
        <v>3876</v>
      </c>
      <c r="K117" s="143" t="s">
        <v>204</v>
      </c>
      <c r="L117" s="145" t="s">
        <v>3876</v>
      </c>
      <c r="M117" s="145" t="s">
        <v>3876</v>
      </c>
      <c r="N117" s="143" t="s">
        <v>224</v>
      </c>
      <c r="O117" s="143" t="s">
        <v>339</v>
      </c>
      <c r="P117" s="162">
        <v>45225</v>
      </c>
      <c r="Q117" s="143" t="s">
        <v>1211</v>
      </c>
      <c r="R117" s="143" t="s">
        <v>885</v>
      </c>
      <c r="S117" s="143" t="s">
        <v>889</v>
      </c>
      <c r="T117" s="163">
        <v>45463</v>
      </c>
      <c r="U117" s="143" t="s">
        <v>1212</v>
      </c>
      <c r="V117" s="144">
        <v>210.18411811652035</v>
      </c>
      <c r="W117" s="144">
        <v>790.08209999999997</v>
      </c>
      <c r="X117" s="146">
        <v>1.792E-3</v>
      </c>
      <c r="Y117" s="146">
        <v>4.7793282481588305E-3</v>
      </c>
      <c r="Z117" s="147">
        <v>7.946035959902391E-4</v>
      </c>
      <c r="AA117" s="181"/>
    </row>
    <row r="118" spans="1:27" ht="15" x14ac:dyDescent="0.2">
      <c r="A118" s="142" t="s">
        <v>1205</v>
      </c>
      <c r="B118" s="143" t="s">
        <v>1205</v>
      </c>
      <c r="C118" s="143" t="s">
        <v>314</v>
      </c>
      <c r="D118" s="145" t="s">
        <v>3876</v>
      </c>
      <c r="E118" s="145" t="s">
        <v>3876</v>
      </c>
      <c r="F118" s="143" t="s">
        <v>3549</v>
      </c>
      <c r="G118" s="143" t="s">
        <v>3550</v>
      </c>
      <c r="H118" s="143" t="s">
        <v>312</v>
      </c>
      <c r="I118" s="143" t="s">
        <v>1005</v>
      </c>
      <c r="J118" s="145" t="s">
        <v>3876</v>
      </c>
      <c r="K118" s="143" t="s">
        <v>204</v>
      </c>
      <c r="L118" s="145" t="s">
        <v>3876</v>
      </c>
      <c r="M118" s="145" t="s">
        <v>3876</v>
      </c>
      <c r="N118" s="143" t="s">
        <v>293</v>
      </c>
      <c r="O118" s="143" t="s">
        <v>339</v>
      </c>
      <c r="P118" s="162">
        <v>45365</v>
      </c>
      <c r="Q118" s="143" t="s">
        <v>1213</v>
      </c>
      <c r="R118" s="143" t="s">
        <v>885</v>
      </c>
      <c r="S118" s="143" t="s">
        <v>889</v>
      </c>
      <c r="T118" s="163">
        <v>45447</v>
      </c>
      <c r="U118" s="143" t="s">
        <v>1214</v>
      </c>
      <c r="V118" s="144">
        <v>177.90612407342917</v>
      </c>
      <c r="W118" s="144">
        <v>715.21819999999991</v>
      </c>
      <c r="X118" s="146">
        <v>2.1746892337945081E-3</v>
      </c>
      <c r="Y118" s="146">
        <v>4.3264649800787477E-3</v>
      </c>
      <c r="Z118" s="147">
        <v>7.1931126145620677E-4</v>
      </c>
      <c r="AA118" s="181"/>
    </row>
    <row r="119" spans="1:27" ht="15" x14ac:dyDescent="0.2">
      <c r="A119" s="142" t="s">
        <v>1205</v>
      </c>
      <c r="B119" s="143" t="s">
        <v>1205</v>
      </c>
      <c r="C119" s="143" t="s">
        <v>3551</v>
      </c>
      <c r="D119" s="145" t="s">
        <v>3876</v>
      </c>
      <c r="E119" s="145" t="s">
        <v>3876</v>
      </c>
      <c r="F119" s="143" t="s">
        <v>3552</v>
      </c>
      <c r="G119" s="143" t="s">
        <v>3553</v>
      </c>
      <c r="H119" s="143" t="s">
        <v>312</v>
      </c>
      <c r="I119" s="143" t="s">
        <v>1005</v>
      </c>
      <c r="J119" s="145" t="s">
        <v>3876</v>
      </c>
      <c r="K119" s="143" t="s">
        <v>204</v>
      </c>
      <c r="L119" s="145" t="s">
        <v>3876</v>
      </c>
      <c r="M119" s="145" t="s">
        <v>3876</v>
      </c>
      <c r="N119" s="143" t="s">
        <v>204</v>
      </c>
      <c r="O119" s="143" t="s">
        <v>339</v>
      </c>
      <c r="P119" s="162">
        <v>45140</v>
      </c>
      <c r="Q119" s="143" t="s">
        <v>1211</v>
      </c>
      <c r="R119" s="143" t="s">
        <v>885</v>
      </c>
      <c r="S119" s="143" t="s">
        <v>889</v>
      </c>
      <c r="T119" s="163">
        <v>45440</v>
      </c>
      <c r="U119" s="143" t="s">
        <v>1212</v>
      </c>
      <c r="V119" s="144">
        <v>182.0341048151104</v>
      </c>
      <c r="W119" s="144">
        <v>684.26619999999991</v>
      </c>
      <c r="X119" s="146">
        <v>1.05979344E-3</v>
      </c>
      <c r="Y119" s="146">
        <v>4.1392311728440769E-3</v>
      </c>
      <c r="Z119" s="147">
        <v>6.881820632102134E-4</v>
      </c>
      <c r="AA119" s="181"/>
    </row>
    <row r="120" spans="1:27" ht="15" x14ac:dyDescent="0.2">
      <c r="A120" s="142" t="s">
        <v>1205</v>
      </c>
      <c r="B120" s="143" t="s">
        <v>1205</v>
      </c>
      <c r="C120" s="143" t="s">
        <v>3554</v>
      </c>
      <c r="D120" s="145" t="s">
        <v>3876</v>
      </c>
      <c r="E120" s="145" t="s">
        <v>3876</v>
      </c>
      <c r="F120" s="143" t="s">
        <v>3555</v>
      </c>
      <c r="G120" s="143" t="s">
        <v>3556</v>
      </c>
      <c r="H120" s="143" t="s">
        <v>312</v>
      </c>
      <c r="I120" s="143" t="s">
        <v>1005</v>
      </c>
      <c r="J120" s="145" t="s">
        <v>3876</v>
      </c>
      <c r="K120" s="143" t="s">
        <v>204</v>
      </c>
      <c r="L120" s="145" t="s">
        <v>3876</v>
      </c>
      <c r="M120" s="145" t="s">
        <v>3876</v>
      </c>
      <c r="N120" s="143" t="s">
        <v>204</v>
      </c>
      <c r="O120" s="143" t="s">
        <v>339</v>
      </c>
      <c r="P120" s="162">
        <v>45369</v>
      </c>
      <c r="Q120" s="143" t="s">
        <v>1211</v>
      </c>
      <c r="R120" s="143" t="s">
        <v>885</v>
      </c>
      <c r="S120" s="143" t="s">
        <v>889</v>
      </c>
      <c r="T120" s="163">
        <v>45447</v>
      </c>
      <c r="U120" s="143" t="s">
        <v>1212</v>
      </c>
      <c r="V120" s="144">
        <v>112.78861399308327</v>
      </c>
      <c r="W120" s="144">
        <v>423.97240000000005</v>
      </c>
      <c r="X120" s="146">
        <v>1.2900699999999999E-3</v>
      </c>
      <c r="Y120" s="146">
        <v>2.5646744886528377E-3</v>
      </c>
      <c r="Z120" s="147">
        <v>4.2639874589343071E-4</v>
      </c>
      <c r="AA120" s="181"/>
    </row>
    <row r="121" spans="1:27" ht="15" x14ac:dyDescent="0.2">
      <c r="A121" s="142" t="s">
        <v>1205</v>
      </c>
      <c r="B121" s="143" t="s">
        <v>1205</v>
      </c>
      <c r="C121" s="143" t="s">
        <v>3557</v>
      </c>
      <c r="D121" s="145" t="s">
        <v>3876</v>
      </c>
      <c r="E121" s="145" t="s">
        <v>3876</v>
      </c>
      <c r="F121" s="143" t="s">
        <v>3558</v>
      </c>
      <c r="G121" s="143" t="s">
        <v>3559</v>
      </c>
      <c r="H121" s="143" t="s">
        <v>312</v>
      </c>
      <c r="I121" s="143" t="s">
        <v>1005</v>
      </c>
      <c r="J121" s="145" t="s">
        <v>3876</v>
      </c>
      <c r="K121" s="143" t="s">
        <v>204</v>
      </c>
      <c r="L121" s="145" t="s">
        <v>3876</v>
      </c>
      <c r="M121" s="145" t="s">
        <v>3876</v>
      </c>
      <c r="N121" s="143" t="s">
        <v>204</v>
      </c>
      <c r="O121" s="143" t="s">
        <v>339</v>
      </c>
      <c r="P121" s="162">
        <v>45250</v>
      </c>
      <c r="Q121" s="143" t="s">
        <v>1211</v>
      </c>
      <c r="R121" s="143" t="s">
        <v>885</v>
      </c>
      <c r="S121" s="143" t="s">
        <v>889</v>
      </c>
      <c r="T121" s="163">
        <v>45470</v>
      </c>
      <c r="U121" s="143" t="s">
        <v>1212</v>
      </c>
      <c r="V121" s="144">
        <v>103.54429369513169</v>
      </c>
      <c r="W121" s="144">
        <v>389.22300000000001</v>
      </c>
      <c r="X121" s="145" t="s">
        <v>3876</v>
      </c>
      <c r="Y121" s="146">
        <v>2.3544698447469587E-3</v>
      </c>
      <c r="Z121" s="147">
        <v>3.91450452478806E-4</v>
      </c>
      <c r="AA121" s="181"/>
    </row>
    <row r="122" spans="1:27" ht="15" x14ac:dyDescent="0.2">
      <c r="A122" s="142" t="s">
        <v>1205</v>
      </c>
      <c r="B122" s="143" t="s">
        <v>1205</v>
      </c>
      <c r="C122" s="143" t="s">
        <v>3560</v>
      </c>
      <c r="D122" s="145" t="s">
        <v>3876</v>
      </c>
      <c r="E122" s="145" t="s">
        <v>3876</v>
      </c>
      <c r="F122" s="143" t="s">
        <v>3561</v>
      </c>
      <c r="G122" s="143" t="s">
        <v>3562</v>
      </c>
      <c r="H122" s="143" t="s">
        <v>312</v>
      </c>
      <c r="I122" s="143" t="s">
        <v>1005</v>
      </c>
      <c r="J122" s="145" t="s">
        <v>3876</v>
      </c>
      <c r="K122" s="143" t="s">
        <v>204</v>
      </c>
      <c r="L122" s="145" t="s">
        <v>3876</v>
      </c>
      <c r="M122" s="145" t="s">
        <v>3876</v>
      </c>
      <c r="N122" s="143" t="s">
        <v>204</v>
      </c>
      <c r="O122" s="143" t="s">
        <v>339</v>
      </c>
      <c r="P122" s="162">
        <v>45365</v>
      </c>
      <c r="Q122" s="143" t="s">
        <v>1211</v>
      </c>
      <c r="R122" s="143" t="s">
        <v>885</v>
      </c>
      <c r="S122" s="143" t="s">
        <v>889</v>
      </c>
      <c r="T122" s="163">
        <v>45427</v>
      </c>
      <c r="U122" s="143" t="s">
        <v>1212</v>
      </c>
      <c r="V122" s="144">
        <v>103.14785847299814</v>
      </c>
      <c r="W122" s="144">
        <v>387.7328</v>
      </c>
      <c r="X122" s="146">
        <v>3.6929655940594059E-4</v>
      </c>
      <c r="Y122" s="146">
        <v>2.3454554557933824E-3</v>
      </c>
      <c r="Z122" s="147">
        <v>3.8995173435227309E-4</v>
      </c>
      <c r="AA122" s="181"/>
    </row>
    <row r="123" spans="1:27" ht="15" x14ac:dyDescent="0.2">
      <c r="A123" s="142" t="s">
        <v>1205</v>
      </c>
      <c r="B123" s="143" t="s">
        <v>1205</v>
      </c>
      <c r="C123" s="143" t="s">
        <v>314</v>
      </c>
      <c r="D123" s="145" t="s">
        <v>3876</v>
      </c>
      <c r="E123" s="145" t="s">
        <v>3876</v>
      </c>
      <c r="F123" s="143" t="s">
        <v>3563</v>
      </c>
      <c r="G123" s="143" t="s">
        <v>3564</v>
      </c>
      <c r="H123" s="143" t="s">
        <v>312</v>
      </c>
      <c r="I123" s="143" t="s">
        <v>1005</v>
      </c>
      <c r="J123" s="145" t="s">
        <v>3876</v>
      </c>
      <c r="K123" s="143" t="s">
        <v>204</v>
      </c>
      <c r="L123" s="145" t="s">
        <v>3876</v>
      </c>
      <c r="M123" s="145" t="s">
        <v>3876</v>
      </c>
      <c r="N123" s="143" t="s">
        <v>224</v>
      </c>
      <c r="O123" s="143" t="s">
        <v>339</v>
      </c>
      <c r="P123" s="162">
        <v>44699</v>
      </c>
      <c r="Q123" s="143" t="s">
        <v>1211</v>
      </c>
      <c r="R123" s="143" t="s">
        <v>885</v>
      </c>
      <c r="S123" s="143" t="s">
        <v>889</v>
      </c>
      <c r="T123" s="163">
        <v>45131</v>
      </c>
      <c r="U123" s="143" t="s">
        <v>1212</v>
      </c>
      <c r="V123" s="144">
        <v>1.8557063048683162</v>
      </c>
      <c r="W123" s="144">
        <v>6.9756</v>
      </c>
      <c r="X123" s="145" t="s">
        <v>3876</v>
      </c>
      <c r="Y123" s="146">
        <v>4.219657918487841E-5</v>
      </c>
      <c r="Z123" s="147">
        <v>7.0155368741847867E-6</v>
      </c>
      <c r="AA123" s="181"/>
    </row>
    <row r="124" spans="1:27" ht="15" x14ac:dyDescent="0.2">
      <c r="A124" s="142" t="s">
        <v>1205</v>
      </c>
      <c r="B124" s="143" t="s">
        <v>1205</v>
      </c>
      <c r="C124" s="143" t="s">
        <v>3543</v>
      </c>
      <c r="D124" s="145" t="s">
        <v>3876</v>
      </c>
      <c r="E124" s="145" t="s">
        <v>3876</v>
      </c>
      <c r="F124" s="143" t="s">
        <v>3565</v>
      </c>
      <c r="G124" s="143" t="s">
        <v>3566</v>
      </c>
      <c r="H124" s="143" t="s">
        <v>312</v>
      </c>
      <c r="I124" s="143" t="s">
        <v>1005</v>
      </c>
      <c r="J124" s="145" t="s">
        <v>3876</v>
      </c>
      <c r="K124" s="143" t="s">
        <v>204</v>
      </c>
      <c r="L124" s="145" t="s">
        <v>3876</v>
      </c>
      <c r="M124" s="145" t="s">
        <v>3876</v>
      </c>
      <c r="N124" s="143" t="s">
        <v>204</v>
      </c>
      <c r="O124" s="143" t="s">
        <v>339</v>
      </c>
      <c r="P124" s="162">
        <v>45197</v>
      </c>
      <c r="Q124" s="143" t="s">
        <v>1211</v>
      </c>
      <c r="R124" s="143" t="s">
        <v>885</v>
      </c>
      <c r="S124" s="143" t="s">
        <v>889</v>
      </c>
      <c r="T124" s="163">
        <v>45379</v>
      </c>
      <c r="U124" s="143" t="s">
        <v>1212</v>
      </c>
      <c r="V124" s="145" t="s">
        <v>3876</v>
      </c>
      <c r="W124" s="144">
        <v>0</v>
      </c>
      <c r="X124" s="145" t="s">
        <v>3876</v>
      </c>
      <c r="Y124" s="146">
        <v>4.8414249146193259E-11</v>
      </c>
      <c r="Z124" s="147">
        <v>8.0492769006926039E-12</v>
      </c>
      <c r="AA124" s="181"/>
    </row>
    <row r="125" spans="1:27" ht="15" x14ac:dyDescent="0.2">
      <c r="A125" s="142" t="s">
        <v>1205</v>
      </c>
      <c r="B125" s="143" t="s">
        <v>1205</v>
      </c>
      <c r="C125" s="143" t="s">
        <v>314</v>
      </c>
      <c r="D125" s="145" t="s">
        <v>3876</v>
      </c>
      <c r="E125" s="145" t="s">
        <v>3876</v>
      </c>
      <c r="F125" s="143" t="s">
        <v>3567</v>
      </c>
      <c r="G125" s="143" t="s">
        <v>3568</v>
      </c>
      <c r="H125" s="143" t="s">
        <v>136</v>
      </c>
      <c r="I125" s="143" t="s">
        <v>1005</v>
      </c>
      <c r="J125" s="145" t="s">
        <v>3876</v>
      </c>
      <c r="K125" s="143" t="s">
        <v>205</v>
      </c>
      <c r="L125" s="145" t="s">
        <v>3876</v>
      </c>
      <c r="M125" s="145" t="s">
        <v>3876</v>
      </c>
      <c r="N125" s="143" t="s">
        <v>224</v>
      </c>
      <c r="O125" s="143" t="s">
        <v>339</v>
      </c>
      <c r="P125" s="162">
        <v>45313</v>
      </c>
      <c r="Q125" s="143" t="s">
        <v>1211</v>
      </c>
      <c r="R125" s="143" t="s">
        <v>885</v>
      </c>
      <c r="S125" s="143" t="s">
        <v>889</v>
      </c>
      <c r="T125" s="163">
        <v>45470</v>
      </c>
      <c r="U125" s="143" t="s">
        <v>1212</v>
      </c>
      <c r="V125" s="144">
        <v>424.34402766693267</v>
      </c>
      <c r="W125" s="144">
        <v>1595.1091999999999</v>
      </c>
      <c r="X125" s="146">
        <v>7.0556901999999994E-5</v>
      </c>
      <c r="Y125" s="146">
        <v>9.6490606007109854E-3</v>
      </c>
      <c r="Z125" s="147">
        <v>1.6042376361586712E-3</v>
      </c>
      <c r="AA125" s="181"/>
    </row>
    <row r="126" spans="1:27" ht="15" x14ac:dyDescent="0.2">
      <c r="A126" s="142" t="s">
        <v>1205</v>
      </c>
      <c r="B126" s="143" t="s">
        <v>1205</v>
      </c>
      <c r="C126" s="143" t="s">
        <v>314</v>
      </c>
      <c r="D126" s="145" t="s">
        <v>3876</v>
      </c>
      <c r="E126" s="145" t="s">
        <v>3876</v>
      </c>
      <c r="F126" s="143" t="s">
        <v>3569</v>
      </c>
      <c r="G126" s="143" t="s">
        <v>3570</v>
      </c>
      <c r="H126" s="143" t="s">
        <v>312</v>
      </c>
      <c r="I126" s="143" t="s">
        <v>1005</v>
      </c>
      <c r="J126" s="145" t="s">
        <v>3876</v>
      </c>
      <c r="K126" s="143" t="s">
        <v>205</v>
      </c>
      <c r="L126" s="145" t="s">
        <v>3876</v>
      </c>
      <c r="M126" s="145" t="s">
        <v>3876</v>
      </c>
      <c r="N126" s="143" t="s">
        <v>224</v>
      </c>
      <c r="O126" s="143" t="s">
        <v>339</v>
      </c>
      <c r="P126" s="162">
        <v>45316</v>
      </c>
      <c r="Q126" s="143" t="s">
        <v>1211</v>
      </c>
      <c r="R126" s="143" t="s">
        <v>885</v>
      </c>
      <c r="S126" s="143" t="s">
        <v>889</v>
      </c>
      <c r="T126" s="163">
        <v>45442</v>
      </c>
      <c r="U126" s="143" t="s">
        <v>1212</v>
      </c>
      <c r="V126" s="144">
        <v>864.13027400904502</v>
      </c>
      <c r="W126" s="144">
        <v>3248.2657000000004</v>
      </c>
      <c r="X126" s="146">
        <v>3.3807250000000001E-5</v>
      </c>
      <c r="Y126" s="146">
        <v>1.9649258497850878E-2</v>
      </c>
      <c r="Z126" s="147">
        <v>3.2668548068337648E-3</v>
      </c>
      <c r="AA126" s="181"/>
    </row>
    <row r="127" spans="1:27" ht="15" x14ac:dyDescent="0.2">
      <c r="A127" s="142" t="s">
        <v>1205</v>
      </c>
      <c r="B127" s="143" t="s">
        <v>1205</v>
      </c>
      <c r="C127" s="143" t="s">
        <v>3571</v>
      </c>
      <c r="D127" s="145" t="s">
        <v>3876</v>
      </c>
      <c r="E127" s="145" t="s">
        <v>3876</v>
      </c>
      <c r="F127" s="143" t="s">
        <v>3572</v>
      </c>
      <c r="G127" s="143" t="s">
        <v>3573</v>
      </c>
      <c r="H127" s="143" t="s">
        <v>312</v>
      </c>
      <c r="I127" s="143" t="s">
        <v>1005</v>
      </c>
      <c r="J127" s="145" t="s">
        <v>3876</v>
      </c>
      <c r="K127" s="143" t="s">
        <v>205</v>
      </c>
      <c r="L127" s="145" t="s">
        <v>3876</v>
      </c>
      <c r="M127" s="145" t="s">
        <v>3876</v>
      </c>
      <c r="N127" s="143" t="s">
        <v>291</v>
      </c>
      <c r="O127" s="143" t="s">
        <v>339</v>
      </c>
      <c r="P127" s="162">
        <v>45294</v>
      </c>
      <c r="Q127" s="143" t="s">
        <v>1211</v>
      </c>
      <c r="R127" s="143" t="s">
        <v>885</v>
      </c>
      <c r="S127" s="143" t="s">
        <v>889</v>
      </c>
      <c r="T127" s="163">
        <v>45473</v>
      </c>
      <c r="U127" s="143" t="s">
        <v>1212</v>
      </c>
      <c r="V127" s="144">
        <v>654.67012503325361</v>
      </c>
      <c r="W127" s="144">
        <v>2460.9050000000002</v>
      </c>
      <c r="X127" s="145" t="s">
        <v>3876</v>
      </c>
      <c r="Y127" s="146">
        <v>1.488639239006816E-2</v>
      </c>
      <c r="Z127" s="147">
        <v>2.4749881804052194E-3</v>
      </c>
      <c r="AA127" s="181"/>
    </row>
    <row r="128" spans="1:27" ht="15" x14ac:dyDescent="0.2">
      <c r="A128" s="142" t="s">
        <v>1205</v>
      </c>
      <c r="B128" s="143" t="s">
        <v>1205</v>
      </c>
      <c r="C128" s="143" t="s">
        <v>314</v>
      </c>
      <c r="D128" s="145" t="s">
        <v>3876</v>
      </c>
      <c r="E128" s="145" t="s">
        <v>3876</v>
      </c>
      <c r="F128" s="143" t="s">
        <v>3574</v>
      </c>
      <c r="G128" s="143" t="s">
        <v>3575</v>
      </c>
      <c r="H128" s="143" t="s">
        <v>312</v>
      </c>
      <c r="I128" s="143" t="s">
        <v>1005</v>
      </c>
      <c r="J128" s="145" t="s">
        <v>3876</v>
      </c>
      <c r="K128" s="143" t="s">
        <v>205</v>
      </c>
      <c r="L128" s="145" t="s">
        <v>3876</v>
      </c>
      <c r="M128" s="145" t="s">
        <v>3876</v>
      </c>
      <c r="N128" s="143" t="s">
        <v>291</v>
      </c>
      <c r="O128" s="143" t="s">
        <v>339</v>
      </c>
      <c r="P128" s="162">
        <v>45378</v>
      </c>
      <c r="Q128" s="143" t="s">
        <v>1211</v>
      </c>
      <c r="R128" s="143" t="s">
        <v>885</v>
      </c>
      <c r="S128" s="143" t="s">
        <v>889</v>
      </c>
      <c r="T128" s="163">
        <v>45460</v>
      </c>
      <c r="U128" s="143" t="s">
        <v>1212</v>
      </c>
      <c r="V128" s="144">
        <v>469.30566640063847</v>
      </c>
      <c r="W128" s="144">
        <v>1764.12</v>
      </c>
      <c r="X128" s="146">
        <v>1.10238E-4</v>
      </c>
      <c r="Y128" s="146">
        <v>1.0671432677452439E-2</v>
      </c>
      <c r="Z128" s="147">
        <v>1.7742156093041078E-3</v>
      </c>
      <c r="AA128" s="181"/>
    </row>
    <row r="129" spans="1:27" ht="15" x14ac:dyDescent="0.2">
      <c r="A129" s="142" t="s">
        <v>1205</v>
      </c>
      <c r="B129" s="143" t="s">
        <v>1205</v>
      </c>
      <c r="C129" s="143" t="s">
        <v>314</v>
      </c>
      <c r="D129" s="145" t="s">
        <v>3876</v>
      </c>
      <c r="E129" s="145" t="s">
        <v>3876</v>
      </c>
      <c r="F129" s="143" t="s">
        <v>3576</v>
      </c>
      <c r="G129" s="143" t="s">
        <v>3577</v>
      </c>
      <c r="H129" s="143" t="s">
        <v>312</v>
      </c>
      <c r="I129" s="143" t="s">
        <v>1005</v>
      </c>
      <c r="J129" s="145" t="s">
        <v>3876</v>
      </c>
      <c r="K129" s="143" t="s">
        <v>205</v>
      </c>
      <c r="L129" s="145" t="s">
        <v>3876</v>
      </c>
      <c r="M129" s="145" t="s">
        <v>3876</v>
      </c>
      <c r="N129" s="143" t="s">
        <v>224</v>
      </c>
      <c r="O129" s="143" t="s">
        <v>339</v>
      </c>
      <c r="P129" s="162">
        <v>45362</v>
      </c>
      <c r="Q129" s="143" t="s">
        <v>1211</v>
      </c>
      <c r="R129" s="143" t="s">
        <v>885</v>
      </c>
      <c r="S129" s="143" t="s">
        <v>889</v>
      </c>
      <c r="T129" s="163">
        <v>45442</v>
      </c>
      <c r="U129" s="143" t="s">
        <v>1212</v>
      </c>
      <c r="V129" s="144">
        <v>445.8454110135674</v>
      </c>
      <c r="W129" s="144">
        <v>1675.9329</v>
      </c>
      <c r="X129" s="146">
        <v>1.7346457142857143E-3</v>
      </c>
      <c r="Y129" s="146">
        <v>1.0137975528268062E-2</v>
      </c>
      <c r="Z129" s="147">
        <v>1.6855238628830697E-3</v>
      </c>
      <c r="AA129" s="181"/>
    </row>
    <row r="130" spans="1:27" ht="15" x14ac:dyDescent="0.2">
      <c r="A130" s="142" t="s">
        <v>1205</v>
      </c>
      <c r="B130" s="143" t="s">
        <v>1205</v>
      </c>
      <c r="C130" s="143" t="s">
        <v>3578</v>
      </c>
      <c r="D130" s="145" t="s">
        <v>3876</v>
      </c>
      <c r="E130" s="145" t="s">
        <v>3876</v>
      </c>
      <c r="F130" s="143" t="s">
        <v>3579</v>
      </c>
      <c r="G130" s="143" t="s">
        <v>3580</v>
      </c>
      <c r="H130" s="143" t="s">
        <v>312</v>
      </c>
      <c r="I130" s="143" t="s">
        <v>1005</v>
      </c>
      <c r="J130" s="145" t="s">
        <v>3876</v>
      </c>
      <c r="K130" s="143" t="s">
        <v>205</v>
      </c>
      <c r="L130" s="145" t="s">
        <v>3876</v>
      </c>
      <c r="M130" s="145" t="s">
        <v>3876</v>
      </c>
      <c r="N130" s="143" t="s">
        <v>224</v>
      </c>
      <c r="O130" s="143" t="s">
        <v>339</v>
      </c>
      <c r="P130" s="162">
        <v>45274</v>
      </c>
      <c r="Q130" s="143" t="s">
        <v>1211</v>
      </c>
      <c r="R130" s="143" t="s">
        <v>885</v>
      </c>
      <c r="S130" s="143" t="s">
        <v>889</v>
      </c>
      <c r="T130" s="163">
        <v>45433</v>
      </c>
      <c r="U130" s="143" t="s">
        <v>1212</v>
      </c>
      <c r="V130" s="144">
        <v>382.84400106411283</v>
      </c>
      <c r="W130" s="144">
        <v>1439.1106000000002</v>
      </c>
      <c r="X130" s="146">
        <v>1.118445807770961E-3</v>
      </c>
      <c r="Y130" s="146">
        <v>8.7054011225724884E-3</v>
      </c>
      <c r="Z130" s="147">
        <v>1.4473462958310872E-3</v>
      </c>
      <c r="AA130" s="181"/>
    </row>
    <row r="131" spans="1:27" ht="15" x14ac:dyDescent="0.2">
      <c r="A131" s="142" t="s">
        <v>1205</v>
      </c>
      <c r="B131" s="143" t="s">
        <v>1205</v>
      </c>
      <c r="C131" s="143" t="s">
        <v>314</v>
      </c>
      <c r="D131" s="145" t="s">
        <v>3876</v>
      </c>
      <c r="E131" s="145" t="s">
        <v>3876</v>
      </c>
      <c r="F131" s="143" t="s">
        <v>3581</v>
      </c>
      <c r="G131" s="143" t="s">
        <v>3582</v>
      </c>
      <c r="H131" s="143" t="s">
        <v>312</v>
      </c>
      <c r="I131" s="143" t="s">
        <v>1005</v>
      </c>
      <c r="J131" s="145" t="s">
        <v>3876</v>
      </c>
      <c r="K131" s="143" t="s">
        <v>205</v>
      </c>
      <c r="L131" s="145" t="s">
        <v>3876</v>
      </c>
      <c r="M131" s="145" t="s">
        <v>3876</v>
      </c>
      <c r="N131" s="143" t="s">
        <v>224</v>
      </c>
      <c r="O131" s="143" t="s">
        <v>339</v>
      </c>
      <c r="P131" s="162">
        <v>44630</v>
      </c>
      <c r="Q131" s="143" t="s">
        <v>1211</v>
      </c>
      <c r="R131" s="143" t="s">
        <v>885</v>
      </c>
      <c r="S131" s="143" t="s">
        <v>889</v>
      </c>
      <c r="T131" s="163">
        <v>45448</v>
      </c>
      <c r="U131" s="143" t="s">
        <v>1212</v>
      </c>
      <c r="V131" s="144">
        <v>312.62410215482845</v>
      </c>
      <c r="W131" s="144">
        <v>1175.154</v>
      </c>
      <c r="X131" s="146">
        <v>7.9531999999999995E-7</v>
      </c>
      <c r="Y131" s="146">
        <v>7.1086869231124375E-3</v>
      </c>
      <c r="Z131" s="147">
        <v>1.1818791048825682E-3</v>
      </c>
      <c r="AA131" s="181"/>
    </row>
    <row r="132" spans="1:27" ht="15" x14ac:dyDescent="0.2">
      <c r="A132" s="142" t="s">
        <v>1205</v>
      </c>
      <c r="B132" s="143" t="s">
        <v>1205</v>
      </c>
      <c r="C132" s="143" t="s">
        <v>314</v>
      </c>
      <c r="D132" s="145" t="s">
        <v>3876</v>
      </c>
      <c r="E132" s="145" t="s">
        <v>3876</v>
      </c>
      <c r="F132" s="143" t="s">
        <v>3583</v>
      </c>
      <c r="G132" s="143" t="s">
        <v>3584</v>
      </c>
      <c r="H132" s="143" t="s">
        <v>312</v>
      </c>
      <c r="I132" s="143" t="s">
        <v>1005</v>
      </c>
      <c r="J132" s="145" t="s">
        <v>3876</v>
      </c>
      <c r="K132" s="143" t="s">
        <v>205</v>
      </c>
      <c r="L132" s="145" t="s">
        <v>3876</v>
      </c>
      <c r="M132" s="145" t="s">
        <v>3876</v>
      </c>
      <c r="N132" s="143" t="s">
        <v>220</v>
      </c>
      <c r="O132" s="143" t="s">
        <v>339</v>
      </c>
      <c r="P132" s="162">
        <v>45350</v>
      </c>
      <c r="Q132" s="143" t="s">
        <v>1213</v>
      </c>
      <c r="R132" s="143" t="s">
        <v>885</v>
      </c>
      <c r="S132" s="143" t="s">
        <v>889</v>
      </c>
      <c r="T132" s="163">
        <v>45461</v>
      </c>
      <c r="U132" s="143" t="s">
        <v>1214</v>
      </c>
      <c r="V132" s="144">
        <v>246.76021093477937</v>
      </c>
      <c r="W132" s="144">
        <v>992.02539999999999</v>
      </c>
      <c r="X132" s="145" t="s">
        <v>3876</v>
      </c>
      <c r="Y132" s="146">
        <v>6.0009140203687965E-3</v>
      </c>
      <c r="Z132" s="147">
        <v>9.9770252475339552E-4</v>
      </c>
      <c r="AA132" s="181"/>
    </row>
    <row r="133" spans="1:27" ht="15" x14ac:dyDescent="0.2">
      <c r="A133" s="142" t="s">
        <v>1205</v>
      </c>
      <c r="B133" s="143" t="s">
        <v>1205</v>
      </c>
      <c r="C133" s="143" t="s">
        <v>3585</v>
      </c>
      <c r="D133" s="145" t="s">
        <v>3876</v>
      </c>
      <c r="E133" s="145" t="s">
        <v>3876</v>
      </c>
      <c r="F133" s="143" t="s">
        <v>3586</v>
      </c>
      <c r="G133" s="143" t="s">
        <v>3587</v>
      </c>
      <c r="H133" s="143" t="s">
        <v>312</v>
      </c>
      <c r="I133" s="143" t="s">
        <v>1005</v>
      </c>
      <c r="J133" s="145" t="s">
        <v>3876</v>
      </c>
      <c r="K133" s="143" t="s">
        <v>205</v>
      </c>
      <c r="L133" s="145" t="s">
        <v>3876</v>
      </c>
      <c r="M133" s="145" t="s">
        <v>3876</v>
      </c>
      <c r="N133" s="143" t="s">
        <v>224</v>
      </c>
      <c r="O133" s="143" t="s">
        <v>339</v>
      </c>
      <c r="P133" s="162">
        <v>45362</v>
      </c>
      <c r="Q133" s="143" t="s">
        <v>1211</v>
      </c>
      <c r="R133" s="143" t="s">
        <v>885</v>
      </c>
      <c r="S133" s="143" t="s">
        <v>889</v>
      </c>
      <c r="T133" s="163">
        <v>45473</v>
      </c>
      <c r="U133" s="143" t="s">
        <v>1212</v>
      </c>
      <c r="V133" s="144">
        <v>158.65544027666934</v>
      </c>
      <c r="W133" s="144">
        <v>596.38580000000002</v>
      </c>
      <c r="X133" s="146">
        <v>1.5627058823529411E-3</v>
      </c>
      <c r="Y133" s="146">
        <v>3.6076294765294285E-3</v>
      </c>
      <c r="Z133" s="147">
        <v>5.9979880146441059E-4</v>
      </c>
      <c r="AA133" s="181"/>
    </row>
    <row r="134" spans="1:27" ht="15" x14ac:dyDescent="0.2">
      <c r="A134" s="142" t="s">
        <v>1205</v>
      </c>
      <c r="B134" s="143" t="s">
        <v>1205</v>
      </c>
      <c r="C134" s="143" t="s">
        <v>314</v>
      </c>
      <c r="D134" s="145" t="s">
        <v>3876</v>
      </c>
      <c r="E134" s="145" t="s">
        <v>3876</v>
      </c>
      <c r="F134" s="143" t="s">
        <v>3588</v>
      </c>
      <c r="G134" s="143" t="s">
        <v>3589</v>
      </c>
      <c r="H134" s="143" t="s">
        <v>312</v>
      </c>
      <c r="I134" s="143" t="s">
        <v>1005</v>
      </c>
      <c r="J134" s="145" t="s">
        <v>3876</v>
      </c>
      <c r="K134" s="143" t="s">
        <v>205</v>
      </c>
      <c r="L134" s="145" t="s">
        <v>3876</v>
      </c>
      <c r="M134" s="145" t="s">
        <v>3876</v>
      </c>
      <c r="N134" s="143" t="s">
        <v>224</v>
      </c>
      <c r="O134" s="143" t="s">
        <v>339</v>
      </c>
      <c r="P134" s="162">
        <v>45369</v>
      </c>
      <c r="Q134" s="143" t="s">
        <v>1211</v>
      </c>
      <c r="R134" s="143" t="s">
        <v>885</v>
      </c>
      <c r="S134" s="143" t="s">
        <v>889</v>
      </c>
      <c r="T134" s="163">
        <v>45460</v>
      </c>
      <c r="U134" s="143" t="s">
        <v>1212</v>
      </c>
      <c r="V134" s="144">
        <v>146.25219473264167</v>
      </c>
      <c r="W134" s="144">
        <v>549.76199999999994</v>
      </c>
      <c r="X134" s="145" t="s">
        <v>3876</v>
      </c>
      <c r="Y134" s="146">
        <v>3.3255947684045985E-3</v>
      </c>
      <c r="Z134" s="147">
        <v>5.529081545714333E-4</v>
      </c>
      <c r="AA134" s="181"/>
    </row>
    <row r="135" spans="1:27" ht="15" x14ac:dyDescent="0.2">
      <c r="A135" s="142" t="s">
        <v>1205</v>
      </c>
      <c r="B135" s="143" t="s">
        <v>1205</v>
      </c>
      <c r="C135" s="143" t="s">
        <v>3590</v>
      </c>
      <c r="D135" s="145" t="s">
        <v>3876</v>
      </c>
      <c r="E135" s="145" t="s">
        <v>3876</v>
      </c>
      <c r="F135" s="143" t="s">
        <v>3586</v>
      </c>
      <c r="G135" s="143" t="s">
        <v>3591</v>
      </c>
      <c r="H135" s="143" t="s">
        <v>312</v>
      </c>
      <c r="I135" s="143" t="s">
        <v>1005</v>
      </c>
      <c r="J135" s="145" t="s">
        <v>3876</v>
      </c>
      <c r="K135" s="143" t="s">
        <v>205</v>
      </c>
      <c r="L135" s="145" t="s">
        <v>3876</v>
      </c>
      <c r="M135" s="145" t="s">
        <v>3876</v>
      </c>
      <c r="N135" s="143" t="s">
        <v>224</v>
      </c>
      <c r="O135" s="143" t="s">
        <v>339</v>
      </c>
      <c r="P135" s="162">
        <v>45362</v>
      </c>
      <c r="Q135" s="143" t="s">
        <v>1211</v>
      </c>
      <c r="R135" s="143" t="s">
        <v>885</v>
      </c>
      <c r="S135" s="143" t="s">
        <v>889</v>
      </c>
      <c r="T135" s="163">
        <v>45473</v>
      </c>
      <c r="U135" s="143" t="s">
        <v>1212</v>
      </c>
      <c r="V135" s="144">
        <v>97.248842777334403</v>
      </c>
      <c r="W135" s="144">
        <v>365.55840000000001</v>
      </c>
      <c r="X135" s="146">
        <v>1.3389280000000001E-3</v>
      </c>
      <c r="Y135" s="146">
        <v>2.2113191216160807E-3</v>
      </c>
      <c r="Z135" s="147">
        <v>3.6765043844708118E-4</v>
      </c>
      <c r="AA135" s="181"/>
    </row>
    <row r="136" spans="1:27" ht="15" x14ac:dyDescent="0.2">
      <c r="A136" s="142" t="s">
        <v>1205</v>
      </c>
      <c r="B136" s="143" t="s">
        <v>1205</v>
      </c>
      <c r="C136" s="143" t="s">
        <v>3592</v>
      </c>
      <c r="D136" s="145" t="s">
        <v>3876</v>
      </c>
      <c r="E136" s="145" t="s">
        <v>3876</v>
      </c>
      <c r="F136" s="143" t="s">
        <v>3593</v>
      </c>
      <c r="G136" s="143" t="s">
        <v>3594</v>
      </c>
      <c r="H136" s="143" t="s">
        <v>312</v>
      </c>
      <c r="I136" s="143" t="s">
        <v>1005</v>
      </c>
      <c r="J136" s="145" t="s">
        <v>3876</v>
      </c>
      <c r="K136" s="143" t="s">
        <v>205</v>
      </c>
      <c r="L136" s="145" t="s">
        <v>3876</v>
      </c>
      <c r="M136" s="145" t="s">
        <v>3876</v>
      </c>
      <c r="N136" s="143" t="s">
        <v>291</v>
      </c>
      <c r="O136" s="143" t="s">
        <v>339</v>
      </c>
      <c r="P136" s="162">
        <v>45369</v>
      </c>
      <c r="Q136" s="143" t="s">
        <v>1211</v>
      </c>
      <c r="R136" s="143" t="s">
        <v>885</v>
      </c>
      <c r="S136" s="143" t="s">
        <v>889</v>
      </c>
      <c r="T136" s="163">
        <v>45473</v>
      </c>
      <c r="U136" s="143" t="s">
        <v>1212</v>
      </c>
      <c r="V136" s="144">
        <v>90.161532322426183</v>
      </c>
      <c r="W136" s="144">
        <v>338.91720000000004</v>
      </c>
      <c r="X136" s="146">
        <v>2.5280002499999997E-4</v>
      </c>
      <c r="Y136" s="146">
        <v>2.0501622437361419E-3</v>
      </c>
      <c r="Z136" s="147">
        <v>3.4085674945296557E-4</v>
      </c>
      <c r="AA136" s="181"/>
    </row>
    <row r="137" spans="1:27" ht="15" x14ac:dyDescent="0.2">
      <c r="A137" s="142" t="s">
        <v>1205</v>
      </c>
      <c r="B137" s="143" t="s">
        <v>1205</v>
      </c>
      <c r="C137" s="143" t="s">
        <v>314</v>
      </c>
      <c r="D137" s="145" t="s">
        <v>3876</v>
      </c>
      <c r="E137" s="145" t="s">
        <v>3876</v>
      </c>
      <c r="F137" s="143" t="s">
        <v>3595</v>
      </c>
      <c r="G137" s="143" t="s">
        <v>3596</v>
      </c>
      <c r="H137" s="143" t="s">
        <v>312</v>
      </c>
      <c r="I137" s="143" t="s">
        <v>1005</v>
      </c>
      <c r="J137" s="145" t="s">
        <v>3876</v>
      </c>
      <c r="K137" s="143" t="s">
        <v>205</v>
      </c>
      <c r="L137" s="145" t="s">
        <v>3876</v>
      </c>
      <c r="M137" s="145" t="s">
        <v>3876</v>
      </c>
      <c r="N137" s="143" t="s">
        <v>244</v>
      </c>
      <c r="O137" s="143" t="s">
        <v>339</v>
      </c>
      <c r="P137" s="162">
        <v>45225</v>
      </c>
      <c r="Q137" s="143" t="s">
        <v>1211</v>
      </c>
      <c r="R137" s="143" t="s">
        <v>885</v>
      </c>
      <c r="S137" s="143" t="s">
        <v>889</v>
      </c>
      <c r="T137" s="163">
        <v>45470</v>
      </c>
      <c r="U137" s="143" t="s">
        <v>1212</v>
      </c>
      <c r="V137" s="144">
        <v>65.591779728651233</v>
      </c>
      <c r="W137" s="144">
        <v>246.55950000000001</v>
      </c>
      <c r="X137" s="146">
        <v>3.8252500000000001E-3</v>
      </c>
      <c r="Y137" s="146">
        <v>1.4914765630645152E-3</v>
      </c>
      <c r="Z137" s="147">
        <v>2.4797054707484932E-4</v>
      </c>
      <c r="AA137" s="181"/>
    </row>
    <row r="138" spans="1:27" ht="15" x14ac:dyDescent="0.2">
      <c r="A138" s="142" t="s">
        <v>1205</v>
      </c>
      <c r="B138" s="143" t="s">
        <v>1205</v>
      </c>
      <c r="C138" s="143" t="s">
        <v>3597</v>
      </c>
      <c r="D138" s="145" t="s">
        <v>3876</v>
      </c>
      <c r="E138" s="145" t="s">
        <v>3876</v>
      </c>
      <c r="F138" s="143" t="s">
        <v>3598</v>
      </c>
      <c r="G138" s="143" t="s">
        <v>3599</v>
      </c>
      <c r="H138" s="143" t="s">
        <v>312</v>
      </c>
      <c r="I138" s="143" t="s">
        <v>1005</v>
      </c>
      <c r="J138" s="145" t="s">
        <v>3876</v>
      </c>
      <c r="K138" s="143" t="s">
        <v>205</v>
      </c>
      <c r="L138" s="145" t="s">
        <v>3876</v>
      </c>
      <c r="M138" s="145" t="s">
        <v>3876</v>
      </c>
      <c r="N138" s="143" t="s">
        <v>224</v>
      </c>
      <c r="O138" s="143" t="s">
        <v>339</v>
      </c>
      <c r="P138" s="162">
        <v>44462</v>
      </c>
      <c r="Q138" s="143" t="s">
        <v>1211</v>
      </c>
      <c r="R138" s="143" t="s">
        <v>885</v>
      </c>
      <c r="S138" s="143" t="s">
        <v>889</v>
      </c>
      <c r="T138" s="163">
        <v>45238</v>
      </c>
      <c r="U138" s="143" t="s">
        <v>1212</v>
      </c>
      <c r="V138" s="144">
        <v>5.3099228518222928E-2</v>
      </c>
      <c r="W138" s="144">
        <v>0.1996</v>
      </c>
      <c r="X138" s="145" t="s">
        <v>3876</v>
      </c>
      <c r="Y138" s="146">
        <v>1.2075991529631349E-6</v>
      </c>
      <c r="Z138" s="147">
        <v>2.007735354500775E-7</v>
      </c>
      <c r="AA138" s="181"/>
    </row>
    <row r="139" spans="1:27" ht="15" x14ac:dyDescent="0.2">
      <c r="A139" s="142" t="s">
        <v>1205</v>
      </c>
      <c r="B139" s="143" t="s">
        <v>1205</v>
      </c>
      <c r="C139" s="143" t="s">
        <v>314</v>
      </c>
      <c r="D139" s="145" t="s">
        <v>3876</v>
      </c>
      <c r="E139" s="145" t="s">
        <v>3876</v>
      </c>
      <c r="F139" s="143" t="s">
        <v>3600</v>
      </c>
      <c r="G139" s="143" t="s">
        <v>3601</v>
      </c>
      <c r="H139" s="143" t="s">
        <v>312</v>
      </c>
      <c r="I139" s="143" t="s">
        <v>1005</v>
      </c>
      <c r="J139" s="145" t="s">
        <v>3876</v>
      </c>
      <c r="K139" s="143" t="s">
        <v>205</v>
      </c>
      <c r="L139" s="145" t="s">
        <v>3876</v>
      </c>
      <c r="M139" s="145" t="s">
        <v>3876</v>
      </c>
      <c r="N139" s="143" t="s">
        <v>224</v>
      </c>
      <c r="O139" s="143" t="s">
        <v>339</v>
      </c>
      <c r="P139" s="162">
        <v>39136</v>
      </c>
      <c r="Q139" s="143" t="s">
        <v>1211</v>
      </c>
      <c r="R139" s="143" t="s">
        <v>885</v>
      </c>
      <c r="S139" s="143" t="s">
        <v>889</v>
      </c>
      <c r="T139" s="163">
        <v>43402</v>
      </c>
      <c r="U139" s="143" t="s">
        <v>1212</v>
      </c>
      <c r="V139" s="145" t="s">
        <v>3876</v>
      </c>
      <c r="W139" s="144">
        <v>0</v>
      </c>
      <c r="X139" s="145" t="s">
        <v>3876</v>
      </c>
      <c r="Y139" s="146">
        <v>6.8216305773937854E-12</v>
      </c>
      <c r="Z139" s="147">
        <v>1.1341535684229769E-12</v>
      </c>
      <c r="AA139" s="181"/>
    </row>
    <row r="140" spans="1:27" ht="15" x14ac:dyDescent="0.2">
      <c r="A140" s="142" t="s">
        <v>1220</v>
      </c>
      <c r="B140" s="143" t="s">
        <v>1220</v>
      </c>
      <c r="C140" s="143" t="s">
        <v>3222</v>
      </c>
      <c r="D140" s="145" t="s">
        <v>3876</v>
      </c>
      <c r="E140" s="145" t="s">
        <v>3876</v>
      </c>
      <c r="F140" s="143" t="s">
        <v>3223</v>
      </c>
      <c r="G140" s="143" t="s">
        <v>3224</v>
      </c>
      <c r="H140" s="143" t="s">
        <v>312</v>
      </c>
      <c r="I140" s="143" t="s">
        <v>1000</v>
      </c>
      <c r="J140" s="145" t="s">
        <v>3876</v>
      </c>
      <c r="K140" s="143" t="s">
        <v>204</v>
      </c>
      <c r="L140" s="145" t="s">
        <v>3876</v>
      </c>
      <c r="M140" s="145" t="s">
        <v>3876</v>
      </c>
      <c r="N140" s="143" t="s">
        <v>204</v>
      </c>
      <c r="O140" s="143" t="s">
        <v>339</v>
      </c>
      <c r="P140" s="162">
        <v>45169</v>
      </c>
      <c r="Q140" s="143" t="s">
        <v>1211</v>
      </c>
      <c r="R140" s="143" t="s">
        <v>885</v>
      </c>
      <c r="S140" s="143" t="s">
        <v>889</v>
      </c>
      <c r="T140" s="163">
        <v>45397</v>
      </c>
      <c r="U140" s="143" t="s">
        <v>1212</v>
      </c>
      <c r="V140" s="144">
        <v>11746.827986166532</v>
      </c>
      <c r="W140" s="144">
        <v>44156.326399999998</v>
      </c>
      <c r="X140" s="145" t="s">
        <v>3876</v>
      </c>
      <c r="Y140" s="146">
        <v>1.1181546765605916E-2</v>
      </c>
      <c r="Z140" s="147">
        <v>1.9567464850816056E-3</v>
      </c>
      <c r="AA140" s="181"/>
    </row>
    <row r="141" spans="1:27" ht="15" x14ac:dyDescent="0.2">
      <c r="A141" s="142" t="s">
        <v>1220</v>
      </c>
      <c r="B141" s="143" t="s">
        <v>1220</v>
      </c>
      <c r="C141" s="143" t="s">
        <v>3225</v>
      </c>
      <c r="D141" s="145" t="s">
        <v>3876</v>
      </c>
      <c r="E141" s="145" t="s">
        <v>3876</v>
      </c>
      <c r="F141" s="143" t="s">
        <v>3226</v>
      </c>
      <c r="G141" s="143" t="s">
        <v>3227</v>
      </c>
      <c r="H141" s="143" t="s">
        <v>312</v>
      </c>
      <c r="I141" s="143" t="s">
        <v>1000</v>
      </c>
      <c r="J141" s="145" t="s">
        <v>3876</v>
      </c>
      <c r="K141" s="143" t="s">
        <v>204</v>
      </c>
      <c r="L141" s="145" t="s">
        <v>3876</v>
      </c>
      <c r="M141" s="145" t="s">
        <v>3876</v>
      </c>
      <c r="N141" s="143" t="s">
        <v>204</v>
      </c>
      <c r="O141" s="143" t="s">
        <v>339</v>
      </c>
      <c r="P141" s="162">
        <v>44496</v>
      </c>
      <c r="Q141" s="143" t="s">
        <v>1211</v>
      </c>
      <c r="R141" s="143" t="s">
        <v>885</v>
      </c>
      <c r="S141" s="143" t="s">
        <v>889</v>
      </c>
      <c r="T141" s="163">
        <v>45441</v>
      </c>
      <c r="U141" s="143" t="s">
        <v>1212</v>
      </c>
      <c r="V141" s="144">
        <v>8609.1205905826009</v>
      </c>
      <c r="W141" s="144">
        <v>32361.684300000001</v>
      </c>
      <c r="X141" s="145" t="s">
        <v>3876</v>
      </c>
      <c r="Y141" s="146">
        <v>8.1948322358801565E-3</v>
      </c>
      <c r="Z141" s="147">
        <v>1.4340779061726712E-3</v>
      </c>
      <c r="AA141" s="181"/>
    </row>
    <row r="142" spans="1:27" ht="15" x14ac:dyDescent="0.2">
      <c r="A142" s="142" t="s">
        <v>1220</v>
      </c>
      <c r="B142" s="143" t="s">
        <v>1220</v>
      </c>
      <c r="C142" s="143" t="s">
        <v>3228</v>
      </c>
      <c r="D142" s="145" t="s">
        <v>3876</v>
      </c>
      <c r="E142" s="145" t="s">
        <v>3876</v>
      </c>
      <c r="F142" s="143" t="s">
        <v>3229</v>
      </c>
      <c r="G142" s="143" t="s">
        <v>3230</v>
      </c>
      <c r="H142" s="143" t="s">
        <v>312</v>
      </c>
      <c r="I142" s="143" t="s">
        <v>1000</v>
      </c>
      <c r="J142" s="145" t="s">
        <v>3876</v>
      </c>
      <c r="K142" s="143" t="s">
        <v>204</v>
      </c>
      <c r="L142" s="145" t="s">
        <v>3876</v>
      </c>
      <c r="M142" s="145" t="s">
        <v>3876</v>
      </c>
      <c r="N142" s="143" t="s">
        <v>204</v>
      </c>
      <c r="O142" s="143" t="s">
        <v>339</v>
      </c>
      <c r="P142" s="162">
        <v>45216</v>
      </c>
      <c r="Q142" s="143" t="s">
        <v>1211</v>
      </c>
      <c r="R142" s="143" t="s">
        <v>885</v>
      </c>
      <c r="S142" s="143" t="s">
        <v>889</v>
      </c>
      <c r="T142" s="163">
        <v>45466</v>
      </c>
      <c r="U142" s="143" t="s">
        <v>1212</v>
      </c>
      <c r="V142" s="144">
        <v>7673.4234370843315</v>
      </c>
      <c r="W142" s="144">
        <v>28844.398699999998</v>
      </c>
      <c r="X142" s="145" t="s">
        <v>3876</v>
      </c>
      <c r="Y142" s="146">
        <v>7.3041627154318981E-3</v>
      </c>
      <c r="Z142" s="147">
        <v>1.2782126676649458E-3</v>
      </c>
      <c r="AA142" s="181"/>
    </row>
    <row r="143" spans="1:27" ht="15" x14ac:dyDescent="0.2">
      <c r="A143" s="142" t="s">
        <v>1220</v>
      </c>
      <c r="B143" s="143" t="s">
        <v>1220</v>
      </c>
      <c r="C143" s="143" t="s">
        <v>3231</v>
      </c>
      <c r="D143" s="145" t="s">
        <v>3876</v>
      </c>
      <c r="E143" s="145" t="s">
        <v>3876</v>
      </c>
      <c r="F143" s="143" t="s">
        <v>3232</v>
      </c>
      <c r="G143" s="143" t="s">
        <v>3233</v>
      </c>
      <c r="H143" s="143" t="s">
        <v>312</v>
      </c>
      <c r="I143" s="143" t="s">
        <v>1000</v>
      </c>
      <c r="J143" s="145" t="s">
        <v>3876</v>
      </c>
      <c r="K143" s="143" t="s">
        <v>204</v>
      </c>
      <c r="L143" s="145" t="s">
        <v>3876</v>
      </c>
      <c r="M143" s="145" t="s">
        <v>3876</v>
      </c>
      <c r="N143" s="143" t="s">
        <v>204</v>
      </c>
      <c r="O143" s="143" t="s">
        <v>339</v>
      </c>
      <c r="P143" s="162">
        <v>44601</v>
      </c>
      <c r="Q143" s="143" t="s">
        <v>1211</v>
      </c>
      <c r="R143" s="143" t="s">
        <v>885</v>
      </c>
      <c r="S143" s="143" t="s">
        <v>889</v>
      </c>
      <c r="T143" s="163">
        <v>45397</v>
      </c>
      <c r="U143" s="143" t="s">
        <v>1212</v>
      </c>
      <c r="V143" s="144">
        <v>5615.9656557595108</v>
      </c>
      <c r="W143" s="144">
        <v>21110.4149</v>
      </c>
      <c r="X143" s="145" t="s">
        <v>3876</v>
      </c>
      <c r="Y143" s="146">
        <v>5.3457139754989925E-3</v>
      </c>
      <c r="Z143" s="147">
        <v>9.3548837661570558E-4</v>
      </c>
      <c r="AA143" s="181"/>
    </row>
    <row r="144" spans="1:27" ht="15" x14ac:dyDescent="0.2">
      <c r="A144" s="142" t="s">
        <v>1220</v>
      </c>
      <c r="B144" s="143" t="s">
        <v>1220</v>
      </c>
      <c r="C144" s="143" t="s">
        <v>3234</v>
      </c>
      <c r="D144" s="145" t="s">
        <v>3876</v>
      </c>
      <c r="E144" s="145" t="s">
        <v>3876</v>
      </c>
      <c r="F144" s="143" t="s">
        <v>3235</v>
      </c>
      <c r="G144" s="143" t="s">
        <v>3236</v>
      </c>
      <c r="H144" s="143" t="s">
        <v>312</v>
      </c>
      <c r="I144" s="143" t="s">
        <v>1000</v>
      </c>
      <c r="J144" s="145" t="s">
        <v>3876</v>
      </c>
      <c r="K144" s="143" t="s">
        <v>204</v>
      </c>
      <c r="L144" s="145" t="s">
        <v>3876</v>
      </c>
      <c r="M144" s="145" t="s">
        <v>3876</v>
      </c>
      <c r="N144" s="143" t="s">
        <v>224</v>
      </c>
      <c r="O144" s="143" t="s">
        <v>339</v>
      </c>
      <c r="P144" s="162">
        <v>44934</v>
      </c>
      <c r="Q144" s="143" t="s">
        <v>1211</v>
      </c>
      <c r="R144" s="143" t="s">
        <v>885</v>
      </c>
      <c r="S144" s="143" t="s">
        <v>889</v>
      </c>
      <c r="T144" s="163">
        <v>45442</v>
      </c>
      <c r="U144" s="143" t="s">
        <v>1212</v>
      </c>
      <c r="V144" s="144">
        <v>5293.8059324288379</v>
      </c>
      <c r="W144" s="144">
        <v>19899.416499999999</v>
      </c>
      <c r="X144" s="145" t="s">
        <v>3876</v>
      </c>
      <c r="Y144" s="146">
        <v>5.0390572311163565E-3</v>
      </c>
      <c r="Z144" s="147">
        <v>8.8182411000967337E-4</v>
      </c>
      <c r="AA144" s="181"/>
    </row>
    <row r="145" spans="1:27" ht="15" x14ac:dyDescent="0.2">
      <c r="A145" s="142" t="s">
        <v>1220</v>
      </c>
      <c r="B145" s="143" t="s">
        <v>1220</v>
      </c>
      <c r="C145" s="143" t="s">
        <v>3237</v>
      </c>
      <c r="D145" s="145" t="s">
        <v>3876</v>
      </c>
      <c r="E145" s="145" t="s">
        <v>3876</v>
      </c>
      <c r="F145" s="143" t="s">
        <v>3238</v>
      </c>
      <c r="G145" s="143" t="s">
        <v>3239</v>
      </c>
      <c r="H145" s="143" t="s">
        <v>312</v>
      </c>
      <c r="I145" s="143" t="s">
        <v>1000</v>
      </c>
      <c r="J145" s="145" t="s">
        <v>3876</v>
      </c>
      <c r="K145" s="143" t="s">
        <v>204</v>
      </c>
      <c r="L145" s="145" t="s">
        <v>3876</v>
      </c>
      <c r="M145" s="145" t="s">
        <v>3876</v>
      </c>
      <c r="N145" s="143" t="s">
        <v>204</v>
      </c>
      <c r="O145" s="143" t="s">
        <v>339</v>
      </c>
      <c r="P145" s="162">
        <v>45159</v>
      </c>
      <c r="Q145" s="143" t="s">
        <v>1211</v>
      </c>
      <c r="R145" s="143" t="s">
        <v>885</v>
      </c>
      <c r="S145" s="143" t="s">
        <v>889</v>
      </c>
      <c r="T145" s="163">
        <v>45469</v>
      </c>
      <c r="U145" s="143" t="s">
        <v>1212</v>
      </c>
      <c r="V145" s="144">
        <v>4171.7931098696463</v>
      </c>
      <c r="W145" s="144">
        <v>15681.7703</v>
      </c>
      <c r="X145" s="146">
        <v>3.0333783416666665E-3</v>
      </c>
      <c r="Y145" s="146">
        <v>3.9710379439233754E-3</v>
      </c>
      <c r="Z145" s="147">
        <v>6.9492304613875012E-4</v>
      </c>
      <c r="AA145" s="181"/>
    </row>
    <row r="146" spans="1:27" ht="15" x14ac:dyDescent="0.2">
      <c r="A146" s="142" t="s">
        <v>1220</v>
      </c>
      <c r="B146" s="143" t="s">
        <v>1220</v>
      </c>
      <c r="C146" s="143" t="s">
        <v>3240</v>
      </c>
      <c r="D146" s="145" t="s">
        <v>3876</v>
      </c>
      <c r="E146" s="145" t="s">
        <v>3876</v>
      </c>
      <c r="F146" s="143" t="s">
        <v>3241</v>
      </c>
      <c r="G146" s="143" t="s">
        <v>3242</v>
      </c>
      <c r="H146" s="143" t="s">
        <v>312</v>
      </c>
      <c r="I146" s="143" t="s">
        <v>1000</v>
      </c>
      <c r="J146" s="145" t="s">
        <v>3876</v>
      </c>
      <c r="K146" s="143" t="s">
        <v>204</v>
      </c>
      <c r="L146" s="145" t="s">
        <v>3876</v>
      </c>
      <c r="M146" s="145" t="s">
        <v>3876</v>
      </c>
      <c r="N146" s="143" t="s">
        <v>204</v>
      </c>
      <c r="O146" s="143" t="s">
        <v>339</v>
      </c>
      <c r="P146" s="162">
        <v>45341</v>
      </c>
      <c r="Q146" s="143" t="s">
        <v>1210</v>
      </c>
      <c r="R146" s="143" t="s">
        <v>885</v>
      </c>
      <c r="S146" s="143" t="s">
        <v>889</v>
      </c>
      <c r="T146" s="163">
        <v>45469</v>
      </c>
      <c r="U146" s="145" t="s">
        <v>3876</v>
      </c>
      <c r="V146" s="144">
        <v>13992.5852</v>
      </c>
      <c r="W146" s="144">
        <v>13992.5852</v>
      </c>
      <c r="X146" s="146">
        <v>3.3717714705882355E-2</v>
      </c>
      <c r="Y146" s="146">
        <v>3.5432917307927185E-3</v>
      </c>
      <c r="Z146" s="147">
        <v>6.200683845614326E-4</v>
      </c>
      <c r="AA146" s="181"/>
    </row>
    <row r="147" spans="1:27" ht="15" x14ac:dyDescent="0.2">
      <c r="A147" s="142" t="s">
        <v>1220</v>
      </c>
      <c r="B147" s="143" t="s">
        <v>1220</v>
      </c>
      <c r="C147" s="143" t="s">
        <v>3243</v>
      </c>
      <c r="D147" s="145" t="s">
        <v>3876</v>
      </c>
      <c r="E147" s="145" t="s">
        <v>3876</v>
      </c>
      <c r="F147" s="143" t="s">
        <v>3244</v>
      </c>
      <c r="G147" s="143" t="s">
        <v>3245</v>
      </c>
      <c r="H147" s="143" t="s">
        <v>312</v>
      </c>
      <c r="I147" s="143" t="s">
        <v>1000</v>
      </c>
      <c r="J147" s="145" t="s">
        <v>3876</v>
      </c>
      <c r="K147" s="143" t="s">
        <v>204</v>
      </c>
      <c r="L147" s="145" t="s">
        <v>3876</v>
      </c>
      <c r="M147" s="145" t="s">
        <v>3876</v>
      </c>
      <c r="N147" s="143" t="s">
        <v>204</v>
      </c>
      <c r="O147" s="143" t="s">
        <v>339</v>
      </c>
      <c r="P147" s="162">
        <v>45265</v>
      </c>
      <c r="Q147" s="143" t="s">
        <v>1211</v>
      </c>
      <c r="R147" s="143" t="s">
        <v>885</v>
      </c>
      <c r="S147" s="143" t="s">
        <v>889</v>
      </c>
      <c r="T147" s="163">
        <v>45473</v>
      </c>
      <c r="U147" s="143" t="s">
        <v>1212</v>
      </c>
      <c r="V147" s="144">
        <v>3267.0725192870445</v>
      </c>
      <c r="W147" s="144">
        <v>12280.9256</v>
      </c>
      <c r="X147" s="146">
        <v>5.4047800285714287E-3</v>
      </c>
      <c r="Y147" s="146">
        <v>3.1098543497917702E-3</v>
      </c>
      <c r="Z147" s="147">
        <v>5.4421778092353574E-4</v>
      </c>
      <c r="AA147" s="181"/>
    </row>
    <row r="148" spans="1:27" ht="15" x14ac:dyDescent="0.2">
      <c r="A148" s="142" t="s">
        <v>1220</v>
      </c>
      <c r="B148" s="143" t="s">
        <v>1220</v>
      </c>
      <c r="C148" s="143" t="s">
        <v>3246</v>
      </c>
      <c r="D148" s="145" t="s">
        <v>3876</v>
      </c>
      <c r="E148" s="145" t="s">
        <v>3876</v>
      </c>
      <c r="F148" s="143" t="s">
        <v>3247</v>
      </c>
      <c r="G148" s="143" t="s">
        <v>3248</v>
      </c>
      <c r="H148" s="143" t="s">
        <v>312</v>
      </c>
      <c r="I148" s="143" t="s">
        <v>1000</v>
      </c>
      <c r="J148" s="145" t="s">
        <v>3876</v>
      </c>
      <c r="K148" s="143" t="s">
        <v>204</v>
      </c>
      <c r="L148" s="145" t="s">
        <v>3876</v>
      </c>
      <c r="M148" s="145" t="s">
        <v>3876</v>
      </c>
      <c r="N148" s="143" t="s">
        <v>204</v>
      </c>
      <c r="O148" s="143" t="s">
        <v>339</v>
      </c>
      <c r="P148" s="162">
        <v>45215</v>
      </c>
      <c r="Q148" s="143" t="s">
        <v>1211</v>
      </c>
      <c r="R148" s="143" t="s">
        <v>885</v>
      </c>
      <c r="S148" s="143" t="s">
        <v>889</v>
      </c>
      <c r="T148" s="163">
        <v>45442</v>
      </c>
      <c r="U148" s="143" t="s">
        <v>1212</v>
      </c>
      <c r="V148" s="144">
        <v>2570.1294759244474</v>
      </c>
      <c r="W148" s="144">
        <v>9661.1166999999987</v>
      </c>
      <c r="X148" s="146">
        <v>2.5420500000000001E-3</v>
      </c>
      <c r="Y148" s="146">
        <v>2.4464496342083211E-3</v>
      </c>
      <c r="Z148" s="147">
        <v>4.2812339142480937E-4</v>
      </c>
      <c r="AA148" s="181"/>
    </row>
    <row r="149" spans="1:27" ht="15" x14ac:dyDescent="0.2">
      <c r="A149" s="142" t="s">
        <v>1220</v>
      </c>
      <c r="B149" s="143" t="s">
        <v>1220</v>
      </c>
      <c r="C149" s="143" t="s">
        <v>3249</v>
      </c>
      <c r="D149" s="145" t="s">
        <v>3876</v>
      </c>
      <c r="E149" s="145" t="s">
        <v>3876</v>
      </c>
      <c r="F149" s="143" t="s">
        <v>3250</v>
      </c>
      <c r="G149" s="143" t="s">
        <v>3251</v>
      </c>
      <c r="H149" s="143" t="s">
        <v>312</v>
      </c>
      <c r="I149" s="143" t="s">
        <v>1000</v>
      </c>
      <c r="J149" s="145" t="s">
        <v>3876</v>
      </c>
      <c r="K149" s="143" t="s">
        <v>204</v>
      </c>
      <c r="L149" s="145" t="s">
        <v>3876</v>
      </c>
      <c r="M149" s="145" t="s">
        <v>3876</v>
      </c>
      <c r="N149" s="143" t="s">
        <v>204</v>
      </c>
      <c r="O149" s="143" t="s">
        <v>339</v>
      </c>
      <c r="P149" s="162">
        <v>43038</v>
      </c>
      <c r="Q149" s="143" t="s">
        <v>1211</v>
      </c>
      <c r="R149" s="143" t="s">
        <v>885</v>
      </c>
      <c r="S149" s="143" t="s">
        <v>889</v>
      </c>
      <c r="T149" s="163">
        <v>45425</v>
      </c>
      <c r="U149" s="143" t="s">
        <v>1212</v>
      </c>
      <c r="V149" s="144">
        <v>1969.143415802075</v>
      </c>
      <c r="W149" s="144">
        <v>7402.0100999999995</v>
      </c>
      <c r="X149" s="145" t="s">
        <v>3876</v>
      </c>
      <c r="Y149" s="146">
        <v>1.8743842320095869E-3</v>
      </c>
      <c r="Z149" s="147">
        <v>3.2801318409353322E-4</v>
      </c>
      <c r="AA149" s="181"/>
    </row>
    <row r="150" spans="1:27" ht="15" x14ac:dyDescent="0.2">
      <c r="A150" s="142" t="s">
        <v>1220</v>
      </c>
      <c r="B150" s="143" t="s">
        <v>1220</v>
      </c>
      <c r="C150" s="143" t="s">
        <v>3252</v>
      </c>
      <c r="D150" s="145" t="s">
        <v>3876</v>
      </c>
      <c r="E150" s="145" t="s">
        <v>3876</v>
      </c>
      <c r="F150" s="143" t="s">
        <v>3253</v>
      </c>
      <c r="G150" s="143" t="s">
        <v>3254</v>
      </c>
      <c r="H150" s="143" t="s">
        <v>312</v>
      </c>
      <c r="I150" s="143" t="s">
        <v>1000</v>
      </c>
      <c r="J150" s="145" t="s">
        <v>3876</v>
      </c>
      <c r="K150" s="143" t="s">
        <v>204</v>
      </c>
      <c r="L150" s="145" t="s">
        <v>3876</v>
      </c>
      <c r="M150" s="145" t="s">
        <v>3876</v>
      </c>
      <c r="N150" s="143" t="s">
        <v>224</v>
      </c>
      <c r="O150" s="143" t="s">
        <v>339</v>
      </c>
      <c r="P150" s="162">
        <v>45316</v>
      </c>
      <c r="Q150" s="143" t="s">
        <v>1211</v>
      </c>
      <c r="R150" s="143" t="s">
        <v>885</v>
      </c>
      <c r="S150" s="143" t="s">
        <v>889</v>
      </c>
      <c r="T150" s="163">
        <v>45400</v>
      </c>
      <c r="U150" s="143" t="s">
        <v>1212</v>
      </c>
      <c r="V150" s="144">
        <v>1809.1654163341316</v>
      </c>
      <c r="W150" s="144">
        <v>6800.6527999999998</v>
      </c>
      <c r="X150" s="146">
        <v>5.6490000000000004E-3</v>
      </c>
      <c r="Y150" s="146">
        <v>1.7221046913086441E-3</v>
      </c>
      <c r="Z150" s="147">
        <v>3.0136459403147091E-4</v>
      </c>
      <c r="AA150" s="181"/>
    </row>
    <row r="151" spans="1:27" ht="15" x14ac:dyDescent="0.2">
      <c r="A151" s="142" t="s">
        <v>1220</v>
      </c>
      <c r="B151" s="143" t="s">
        <v>1220</v>
      </c>
      <c r="C151" s="143" t="s">
        <v>3255</v>
      </c>
      <c r="D151" s="145" t="s">
        <v>3876</v>
      </c>
      <c r="E151" s="145" t="s">
        <v>3876</v>
      </c>
      <c r="F151" s="143" t="s">
        <v>3256</v>
      </c>
      <c r="G151" s="143" t="s">
        <v>3257</v>
      </c>
      <c r="H151" s="143" t="s">
        <v>312</v>
      </c>
      <c r="I151" s="143" t="s">
        <v>1000</v>
      </c>
      <c r="J151" s="145" t="s">
        <v>3876</v>
      </c>
      <c r="K151" s="143" t="s">
        <v>205</v>
      </c>
      <c r="L151" s="145" t="s">
        <v>3876</v>
      </c>
      <c r="M151" s="145" t="s">
        <v>3876</v>
      </c>
      <c r="N151" s="143" t="s">
        <v>224</v>
      </c>
      <c r="O151" s="143" t="s">
        <v>339</v>
      </c>
      <c r="P151" s="162">
        <v>45250</v>
      </c>
      <c r="Q151" s="143" t="s">
        <v>1211</v>
      </c>
      <c r="R151" s="143" t="s">
        <v>885</v>
      </c>
      <c r="S151" s="143" t="s">
        <v>889</v>
      </c>
      <c r="T151" s="163">
        <v>45432</v>
      </c>
      <c r="U151" s="143" t="s">
        <v>1212</v>
      </c>
      <c r="V151" s="144">
        <v>25361.878824155359</v>
      </c>
      <c r="W151" s="144">
        <v>95335.302500000005</v>
      </c>
      <c r="X151" s="146">
        <v>6.5852316827530004E-3</v>
      </c>
      <c r="Y151" s="146">
        <v>2.4141413702479082E-2</v>
      </c>
      <c r="Z151" s="147">
        <v>4.2246951515269226E-3</v>
      </c>
      <c r="AA151" s="181"/>
    </row>
    <row r="152" spans="1:27" ht="15" x14ac:dyDescent="0.2">
      <c r="A152" s="142" t="s">
        <v>1220</v>
      </c>
      <c r="B152" s="143" t="s">
        <v>1220</v>
      </c>
      <c r="C152" s="143" t="s">
        <v>3258</v>
      </c>
      <c r="D152" s="145" t="s">
        <v>3876</v>
      </c>
      <c r="E152" s="145" t="s">
        <v>3876</v>
      </c>
      <c r="F152" s="143" t="s">
        <v>3259</v>
      </c>
      <c r="G152" s="143" t="s">
        <v>3260</v>
      </c>
      <c r="H152" s="143" t="s">
        <v>312</v>
      </c>
      <c r="I152" s="143" t="s">
        <v>1000</v>
      </c>
      <c r="J152" s="145" t="s">
        <v>3876</v>
      </c>
      <c r="K152" s="143" t="s">
        <v>205</v>
      </c>
      <c r="L152" s="145" t="s">
        <v>3876</v>
      </c>
      <c r="M152" s="145" t="s">
        <v>3876</v>
      </c>
      <c r="N152" s="143" t="s">
        <v>291</v>
      </c>
      <c r="O152" s="143" t="s">
        <v>339</v>
      </c>
      <c r="P152" s="162">
        <v>44993</v>
      </c>
      <c r="Q152" s="143" t="s">
        <v>1211</v>
      </c>
      <c r="R152" s="143" t="s">
        <v>885</v>
      </c>
      <c r="S152" s="143" t="s">
        <v>889</v>
      </c>
      <c r="T152" s="163">
        <v>45428</v>
      </c>
      <c r="U152" s="143" t="s">
        <v>1212</v>
      </c>
      <c r="V152" s="144">
        <v>16189.254722000533</v>
      </c>
      <c r="W152" s="144">
        <v>60855.408499999998</v>
      </c>
      <c r="X152" s="145" t="s">
        <v>3876</v>
      </c>
      <c r="Y152" s="146">
        <v>1.5410194906679565E-2</v>
      </c>
      <c r="Z152" s="147">
        <v>2.696750758206367E-3</v>
      </c>
      <c r="AA152" s="181"/>
    </row>
    <row r="153" spans="1:27" ht="15" x14ac:dyDescent="0.2">
      <c r="A153" s="142" t="s">
        <v>1220</v>
      </c>
      <c r="B153" s="143" t="s">
        <v>1220</v>
      </c>
      <c r="C153" s="143" t="s">
        <v>3261</v>
      </c>
      <c r="D153" s="145" t="s">
        <v>3876</v>
      </c>
      <c r="E153" s="145" t="s">
        <v>3876</v>
      </c>
      <c r="F153" s="143" t="s">
        <v>3262</v>
      </c>
      <c r="G153" s="143" t="s">
        <v>3263</v>
      </c>
      <c r="H153" s="143" t="s">
        <v>312</v>
      </c>
      <c r="I153" s="143" t="s">
        <v>1000</v>
      </c>
      <c r="J153" s="145" t="s">
        <v>3876</v>
      </c>
      <c r="K153" s="143" t="s">
        <v>205</v>
      </c>
      <c r="L153" s="145" t="s">
        <v>3876</v>
      </c>
      <c r="M153" s="145" t="s">
        <v>3876</v>
      </c>
      <c r="N153" s="143" t="s">
        <v>224</v>
      </c>
      <c r="O153" s="143" t="s">
        <v>339</v>
      </c>
      <c r="P153" s="162">
        <v>45362</v>
      </c>
      <c r="Q153" s="143" t="s">
        <v>1211</v>
      </c>
      <c r="R153" s="143" t="s">
        <v>885</v>
      </c>
      <c r="S153" s="143" t="s">
        <v>889</v>
      </c>
      <c r="T153" s="163">
        <v>45461</v>
      </c>
      <c r="U153" s="143" t="s">
        <v>1212</v>
      </c>
      <c r="V153" s="144">
        <v>15419.319127427509</v>
      </c>
      <c r="W153" s="144">
        <v>57961.220600000001</v>
      </c>
      <c r="X153" s="146">
        <v>1.9081178571428571E-3</v>
      </c>
      <c r="Y153" s="146">
        <v>1.4677310182842513E-2</v>
      </c>
      <c r="Z153" s="147">
        <v>2.5684975176306262E-3</v>
      </c>
      <c r="AA153" s="181"/>
    </row>
    <row r="154" spans="1:27" ht="15" x14ac:dyDescent="0.2">
      <c r="A154" s="142" t="s">
        <v>1220</v>
      </c>
      <c r="B154" s="143" t="s">
        <v>1220</v>
      </c>
      <c r="C154" s="143" t="s">
        <v>3264</v>
      </c>
      <c r="D154" s="145" t="s">
        <v>3876</v>
      </c>
      <c r="E154" s="145" t="s">
        <v>3876</v>
      </c>
      <c r="F154" s="143" t="s">
        <v>3265</v>
      </c>
      <c r="G154" s="143" t="s">
        <v>3266</v>
      </c>
      <c r="H154" s="143" t="s">
        <v>312</v>
      </c>
      <c r="I154" s="143" t="s">
        <v>1000</v>
      </c>
      <c r="J154" s="145" t="s">
        <v>3876</v>
      </c>
      <c r="K154" s="143" t="s">
        <v>205</v>
      </c>
      <c r="L154" s="145" t="s">
        <v>3876</v>
      </c>
      <c r="M154" s="145" t="s">
        <v>3876</v>
      </c>
      <c r="N154" s="143" t="s">
        <v>224</v>
      </c>
      <c r="O154" s="143" t="s">
        <v>339</v>
      </c>
      <c r="P154" s="162">
        <v>45320</v>
      </c>
      <c r="Q154" s="143" t="s">
        <v>1211</v>
      </c>
      <c r="R154" s="143" t="s">
        <v>885</v>
      </c>
      <c r="S154" s="143" t="s">
        <v>889</v>
      </c>
      <c r="T154" s="163">
        <v>45473</v>
      </c>
      <c r="U154" s="143" t="s">
        <v>1212</v>
      </c>
      <c r="V154" s="144">
        <v>15068.112077680235</v>
      </c>
      <c r="W154" s="144">
        <v>56641.033299999996</v>
      </c>
      <c r="X154" s="146">
        <v>8.8865173333333332E-3</v>
      </c>
      <c r="Y154" s="146">
        <v>1.4343003934811124E-2</v>
      </c>
      <c r="Z154" s="147">
        <v>2.5099946477246133E-3</v>
      </c>
      <c r="AA154" s="181"/>
    </row>
    <row r="155" spans="1:27" ht="15" x14ac:dyDescent="0.2">
      <c r="A155" s="142" t="s">
        <v>1220</v>
      </c>
      <c r="B155" s="143" t="s">
        <v>1220</v>
      </c>
      <c r="C155" s="143" t="s">
        <v>3267</v>
      </c>
      <c r="D155" s="145" t="s">
        <v>3876</v>
      </c>
      <c r="E155" s="145" t="s">
        <v>3876</v>
      </c>
      <c r="F155" s="143" t="s">
        <v>3268</v>
      </c>
      <c r="G155" s="143" t="s">
        <v>3269</v>
      </c>
      <c r="H155" s="143" t="s">
        <v>312</v>
      </c>
      <c r="I155" s="143" t="s">
        <v>1000</v>
      </c>
      <c r="J155" s="145" t="s">
        <v>3876</v>
      </c>
      <c r="K155" s="143" t="s">
        <v>205</v>
      </c>
      <c r="L155" s="145" t="s">
        <v>3876</v>
      </c>
      <c r="M155" s="145" t="s">
        <v>3876</v>
      </c>
      <c r="N155" s="143" t="s">
        <v>291</v>
      </c>
      <c r="O155" s="143" t="s">
        <v>339</v>
      </c>
      <c r="P155" s="162">
        <v>44706</v>
      </c>
      <c r="Q155" s="143" t="s">
        <v>1211</v>
      </c>
      <c r="R155" s="143" t="s">
        <v>885</v>
      </c>
      <c r="S155" s="143" t="s">
        <v>889</v>
      </c>
      <c r="T155" s="163">
        <v>45428</v>
      </c>
      <c r="U155" s="143" t="s">
        <v>1212</v>
      </c>
      <c r="V155" s="144">
        <v>12813.64445331205</v>
      </c>
      <c r="W155" s="144">
        <v>48166.489500000003</v>
      </c>
      <c r="X155" s="146">
        <v>1.1270692306666666E-3</v>
      </c>
      <c r="Y155" s="146">
        <v>1.219702585586868E-2</v>
      </c>
      <c r="Z155" s="147">
        <v>2.1344531281962766E-3</v>
      </c>
      <c r="AA155" s="181"/>
    </row>
    <row r="156" spans="1:27" ht="15" x14ac:dyDescent="0.2">
      <c r="A156" s="142" t="s">
        <v>1220</v>
      </c>
      <c r="B156" s="143" t="s">
        <v>1220</v>
      </c>
      <c r="C156" s="143" t="s">
        <v>3273</v>
      </c>
      <c r="D156" s="145" t="s">
        <v>3876</v>
      </c>
      <c r="E156" s="145" t="s">
        <v>3876</v>
      </c>
      <c r="F156" s="143" t="s">
        <v>3274</v>
      </c>
      <c r="G156" s="143" t="s">
        <v>3275</v>
      </c>
      <c r="H156" s="143" t="s">
        <v>312</v>
      </c>
      <c r="I156" s="143" t="s">
        <v>1000</v>
      </c>
      <c r="J156" s="145" t="s">
        <v>3876</v>
      </c>
      <c r="K156" s="143" t="s">
        <v>205</v>
      </c>
      <c r="L156" s="145" t="s">
        <v>3876</v>
      </c>
      <c r="M156" s="145" t="s">
        <v>3876</v>
      </c>
      <c r="N156" s="143" t="s">
        <v>224</v>
      </c>
      <c r="O156" s="143" t="s">
        <v>339</v>
      </c>
      <c r="P156" s="162">
        <v>44754</v>
      </c>
      <c r="Q156" s="143" t="s">
        <v>1211</v>
      </c>
      <c r="R156" s="143" t="s">
        <v>885</v>
      </c>
      <c r="S156" s="143" t="s">
        <v>889</v>
      </c>
      <c r="T156" s="163">
        <v>45431</v>
      </c>
      <c r="U156" s="143" t="s">
        <v>1212</v>
      </c>
      <c r="V156" s="144">
        <v>12739.932109603616</v>
      </c>
      <c r="W156" s="144">
        <v>47889.404799999997</v>
      </c>
      <c r="X156" s="145" t="s">
        <v>3876</v>
      </c>
      <c r="Y156" s="146">
        <v>1.2126860714395608E-2</v>
      </c>
      <c r="Z156" s="147">
        <v>2.1221743802886076E-3</v>
      </c>
      <c r="AA156" s="181"/>
    </row>
    <row r="157" spans="1:27" ht="15" x14ac:dyDescent="0.2">
      <c r="A157" s="142" t="s">
        <v>1220</v>
      </c>
      <c r="B157" s="143" t="s">
        <v>1220</v>
      </c>
      <c r="C157" s="143" t="s">
        <v>3264</v>
      </c>
      <c r="D157" s="145" t="s">
        <v>3876</v>
      </c>
      <c r="E157" s="145" t="s">
        <v>3876</v>
      </c>
      <c r="F157" s="143" t="s">
        <v>3276</v>
      </c>
      <c r="G157" s="143" t="s">
        <v>3277</v>
      </c>
      <c r="H157" s="143" t="s">
        <v>312</v>
      </c>
      <c r="I157" s="143" t="s">
        <v>1000</v>
      </c>
      <c r="J157" s="145" t="s">
        <v>3876</v>
      </c>
      <c r="K157" s="143" t="s">
        <v>205</v>
      </c>
      <c r="L157" s="145" t="s">
        <v>3876</v>
      </c>
      <c r="M157" s="145" t="s">
        <v>3876</v>
      </c>
      <c r="N157" s="143" t="s">
        <v>224</v>
      </c>
      <c r="O157" s="143" t="s">
        <v>339</v>
      </c>
      <c r="P157" s="162">
        <v>45316</v>
      </c>
      <c r="Q157" s="143" t="s">
        <v>1211</v>
      </c>
      <c r="R157" s="143" t="s">
        <v>885</v>
      </c>
      <c r="S157" s="143" t="s">
        <v>889</v>
      </c>
      <c r="T157" s="163">
        <v>45449</v>
      </c>
      <c r="U157" s="143" t="s">
        <v>1212</v>
      </c>
      <c r="V157" s="144">
        <v>12616.832668262836</v>
      </c>
      <c r="W157" s="144">
        <v>47426.673999999999</v>
      </c>
      <c r="X157" s="146">
        <v>1.2138431578947369E-2</v>
      </c>
      <c r="Y157" s="146">
        <v>1.200968504895341E-2</v>
      </c>
      <c r="Z157" s="147">
        <v>2.1016688924256591E-3</v>
      </c>
      <c r="AA157" s="181"/>
    </row>
    <row r="158" spans="1:27" ht="15" x14ac:dyDescent="0.2">
      <c r="A158" s="142" t="s">
        <v>1220</v>
      </c>
      <c r="B158" s="143" t="s">
        <v>1220</v>
      </c>
      <c r="C158" s="143" t="s">
        <v>3278</v>
      </c>
      <c r="D158" s="145" t="s">
        <v>3876</v>
      </c>
      <c r="E158" s="145" t="s">
        <v>3876</v>
      </c>
      <c r="F158" s="143" t="s">
        <v>3279</v>
      </c>
      <c r="G158" s="143" t="s">
        <v>3280</v>
      </c>
      <c r="H158" s="143" t="s">
        <v>312</v>
      </c>
      <c r="I158" s="143" t="s">
        <v>1000</v>
      </c>
      <c r="J158" s="145" t="s">
        <v>3876</v>
      </c>
      <c r="K158" s="143" t="s">
        <v>205</v>
      </c>
      <c r="L158" s="145" t="s">
        <v>3876</v>
      </c>
      <c r="M158" s="145" t="s">
        <v>3876</v>
      </c>
      <c r="N158" s="143" t="s">
        <v>224</v>
      </c>
      <c r="O158" s="143" t="s">
        <v>339</v>
      </c>
      <c r="P158" s="162">
        <v>45294</v>
      </c>
      <c r="Q158" s="143" t="s">
        <v>1211</v>
      </c>
      <c r="R158" s="143" t="s">
        <v>885</v>
      </c>
      <c r="S158" s="143" t="s">
        <v>889</v>
      </c>
      <c r="T158" s="163">
        <v>45461</v>
      </c>
      <c r="U158" s="143" t="s">
        <v>1212</v>
      </c>
      <c r="V158" s="144">
        <v>12019.660255387071</v>
      </c>
      <c r="W158" s="144">
        <v>45181.902900000001</v>
      </c>
      <c r="X158" s="145" t="s">
        <v>3876</v>
      </c>
      <c r="Y158" s="146">
        <v>1.1441249794501234E-2</v>
      </c>
      <c r="Z158" s="147">
        <v>2.0021939530937313E-3</v>
      </c>
      <c r="AA158" s="181"/>
    </row>
    <row r="159" spans="1:27" ht="15" x14ac:dyDescent="0.2">
      <c r="A159" s="142" t="s">
        <v>1220</v>
      </c>
      <c r="B159" s="143" t="s">
        <v>1220</v>
      </c>
      <c r="C159" s="143" t="s">
        <v>3270</v>
      </c>
      <c r="D159" s="145" t="s">
        <v>3876</v>
      </c>
      <c r="E159" s="145" t="s">
        <v>3876</v>
      </c>
      <c r="F159" s="143" t="s">
        <v>3271</v>
      </c>
      <c r="G159" s="143" t="s">
        <v>3272</v>
      </c>
      <c r="H159" s="143" t="s">
        <v>312</v>
      </c>
      <c r="I159" s="143" t="s">
        <v>1000</v>
      </c>
      <c r="J159" s="145" t="s">
        <v>3876</v>
      </c>
      <c r="K159" s="143" t="s">
        <v>205</v>
      </c>
      <c r="L159" s="145" t="s">
        <v>3876</v>
      </c>
      <c r="M159" s="145" t="s">
        <v>3876</v>
      </c>
      <c r="N159" s="143" t="s">
        <v>299</v>
      </c>
      <c r="O159" s="143" t="s">
        <v>339</v>
      </c>
      <c r="P159" s="162">
        <v>45378</v>
      </c>
      <c r="Q159" s="143" t="s">
        <v>1213</v>
      </c>
      <c r="R159" s="143" t="s">
        <v>885</v>
      </c>
      <c r="S159" s="143" t="s">
        <v>889</v>
      </c>
      <c r="T159" s="163">
        <v>45434</v>
      </c>
      <c r="U159" s="143" t="s">
        <v>1214</v>
      </c>
      <c r="V159" s="144">
        <v>11195.500596985225</v>
      </c>
      <c r="W159" s="144">
        <v>45008.1515</v>
      </c>
      <c r="X159" s="146">
        <v>1.7854879709090909E-3</v>
      </c>
      <c r="Y159" s="146">
        <v>1.1397251346160375E-2</v>
      </c>
      <c r="Z159" s="147">
        <v>1.9944943198547198E-3</v>
      </c>
      <c r="AA159" s="181"/>
    </row>
    <row r="160" spans="1:27" ht="15" x14ac:dyDescent="0.2">
      <c r="A160" s="142" t="s">
        <v>1220</v>
      </c>
      <c r="B160" s="143" t="s">
        <v>1220</v>
      </c>
      <c r="C160" s="143" t="s">
        <v>3286</v>
      </c>
      <c r="D160" s="145" t="s">
        <v>3876</v>
      </c>
      <c r="E160" s="145" t="s">
        <v>3876</v>
      </c>
      <c r="F160" s="143" t="s">
        <v>3287</v>
      </c>
      <c r="G160" s="143" t="s">
        <v>3288</v>
      </c>
      <c r="H160" s="143" t="s">
        <v>312</v>
      </c>
      <c r="I160" s="143" t="s">
        <v>1000</v>
      </c>
      <c r="J160" s="145" t="s">
        <v>3876</v>
      </c>
      <c r="K160" s="143" t="s">
        <v>205</v>
      </c>
      <c r="L160" s="145" t="s">
        <v>3876</v>
      </c>
      <c r="M160" s="145" t="s">
        <v>3876</v>
      </c>
      <c r="N160" s="143" t="s">
        <v>291</v>
      </c>
      <c r="O160" s="143" t="s">
        <v>339</v>
      </c>
      <c r="P160" s="162">
        <v>43718</v>
      </c>
      <c r="Q160" s="143" t="s">
        <v>1211</v>
      </c>
      <c r="R160" s="143" t="s">
        <v>885</v>
      </c>
      <c r="S160" s="143" t="s">
        <v>889</v>
      </c>
      <c r="T160" s="163">
        <v>45442</v>
      </c>
      <c r="U160" s="143" t="s">
        <v>1212</v>
      </c>
      <c r="V160" s="144">
        <v>11144.207528598034</v>
      </c>
      <c r="W160" s="144">
        <v>41891.076099999998</v>
      </c>
      <c r="X160" s="145" t="s">
        <v>3876</v>
      </c>
      <c r="Y160" s="146">
        <v>1.0607925626692317E-2</v>
      </c>
      <c r="Z160" s="147">
        <v>1.8563640271921254E-3</v>
      </c>
      <c r="AA160" s="181"/>
    </row>
    <row r="161" spans="1:27" ht="15" x14ac:dyDescent="0.2">
      <c r="A161" s="142" t="s">
        <v>1220</v>
      </c>
      <c r="B161" s="143" t="s">
        <v>1220</v>
      </c>
      <c r="C161" s="143" t="s">
        <v>3264</v>
      </c>
      <c r="D161" s="145" t="s">
        <v>3876</v>
      </c>
      <c r="E161" s="145" t="s">
        <v>3876</v>
      </c>
      <c r="F161" s="143" t="s">
        <v>3281</v>
      </c>
      <c r="G161" s="143" t="s">
        <v>3282</v>
      </c>
      <c r="H161" s="143" t="s">
        <v>312</v>
      </c>
      <c r="I161" s="143" t="s">
        <v>1000</v>
      </c>
      <c r="J161" s="145" t="s">
        <v>3876</v>
      </c>
      <c r="K161" s="143" t="s">
        <v>205</v>
      </c>
      <c r="L161" s="145" t="s">
        <v>3876</v>
      </c>
      <c r="M161" s="145" t="s">
        <v>3876</v>
      </c>
      <c r="N161" s="143" t="s">
        <v>224</v>
      </c>
      <c r="O161" s="143" t="s">
        <v>339</v>
      </c>
      <c r="P161" s="162">
        <v>45298</v>
      </c>
      <c r="Q161" s="143" t="s">
        <v>1211</v>
      </c>
      <c r="R161" s="143" t="s">
        <v>885</v>
      </c>
      <c r="S161" s="143" t="s">
        <v>889</v>
      </c>
      <c r="T161" s="163">
        <v>45470</v>
      </c>
      <c r="U161" s="143" t="s">
        <v>1212</v>
      </c>
      <c r="V161" s="144">
        <v>10784.351423250866</v>
      </c>
      <c r="W161" s="144">
        <v>40538.377</v>
      </c>
      <c r="X161" s="146">
        <v>6.1739503184713379E-3</v>
      </c>
      <c r="Y161" s="146">
        <v>1.026538653228575E-2</v>
      </c>
      <c r="Z161" s="147">
        <v>1.7964204269878326E-3</v>
      </c>
      <c r="AA161" s="181"/>
    </row>
    <row r="162" spans="1:27" ht="15" x14ac:dyDescent="0.2">
      <c r="A162" s="142" t="s">
        <v>1220</v>
      </c>
      <c r="B162" s="143" t="s">
        <v>1220</v>
      </c>
      <c r="C162" s="143" t="s">
        <v>3283</v>
      </c>
      <c r="D162" s="145" t="s">
        <v>3876</v>
      </c>
      <c r="E162" s="145" t="s">
        <v>3876</v>
      </c>
      <c r="F162" s="143" t="s">
        <v>3284</v>
      </c>
      <c r="G162" s="143" t="s">
        <v>3285</v>
      </c>
      <c r="H162" s="143" t="s">
        <v>312</v>
      </c>
      <c r="I162" s="143" t="s">
        <v>1000</v>
      </c>
      <c r="J162" s="145" t="s">
        <v>3876</v>
      </c>
      <c r="K162" s="143" t="s">
        <v>205</v>
      </c>
      <c r="L162" s="145" t="s">
        <v>3876</v>
      </c>
      <c r="M162" s="145" t="s">
        <v>3876</v>
      </c>
      <c r="N162" s="143" t="s">
        <v>291</v>
      </c>
      <c r="O162" s="143" t="s">
        <v>339</v>
      </c>
      <c r="P162" s="162">
        <v>44524</v>
      </c>
      <c r="Q162" s="143" t="s">
        <v>1211</v>
      </c>
      <c r="R162" s="143" t="s">
        <v>885</v>
      </c>
      <c r="S162" s="143" t="s">
        <v>889</v>
      </c>
      <c r="T162" s="163">
        <v>45442</v>
      </c>
      <c r="U162" s="143" t="s">
        <v>1212</v>
      </c>
      <c r="V162" s="144">
        <v>10742.812237297156</v>
      </c>
      <c r="W162" s="144">
        <v>40382.231200000002</v>
      </c>
      <c r="X162" s="146">
        <v>4.5095262091537219E-2</v>
      </c>
      <c r="Y162" s="146">
        <v>1.0225846289125361E-2</v>
      </c>
      <c r="Z162" s="147">
        <v>1.789500970007037E-3</v>
      </c>
      <c r="AA162" s="181"/>
    </row>
    <row r="163" spans="1:27" ht="15" x14ac:dyDescent="0.2">
      <c r="A163" s="142" t="s">
        <v>1220</v>
      </c>
      <c r="B163" s="143" t="s">
        <v>1220</v>
      </c>
      <c r="C163" s="143" t="s">
        <v>3289</v>
      </c>
      <c r="D163" s="145" t="s">
        <v>3876</v>
      </c>
      <c r="E163" s="145" t="s">
        <v>3876</v>
      </c>
      <c r="F163" s="143" t="s">
        <v>3290</v>
      </c>
      <c r="G163" s="143" t="s">
        <v>3291</v>
      </c>
      <c r="H163" s="143" t="s">
        <v>312</v>
      </c>
      <c r="I163" s="143" t="s">
        <v>1000</v>
      </c>
      <c r="J163" s="145" t="s">
        <v>3876</v>
      </c>
      <c r="K163" s="143" t="s">
        <v>205</v>
      </c>
      <c r="L163" s="145" t="s">
        <v>3876</v>
      </c>
      <c r="M163" s="145" t="s">
        <v>3876</v>
      </c>
      <c r="N163" s="143" t="s">
        <v>293</v>
      </c>
      <c r="O163" s="143" t="s">
        <v>339</v>
      </c>
      <c r="P163" s="162">
        <v>45350</v>
      </c>
      <c r="Q163" s="143" t="s">
        <v>1211</v>
      </c>
      <c r="R163" s="143" t="s">
        <v>885</v>
      </c>
      <c r="S163" s="143" t="s">
        <v>889</v>
      </c>
      <c r="T163" s="163">
        <v>45412</v>
      </c>
      <c r="U163" s="143" t="s">
        <v>1212</v>
      </c>
      <c r="V163" s="144">
        <v>9263.9300345836655</v>
      </c>
      <c r="W163" s="144">
        <v>34823.112999999998</v>
      </c>
      <c r="X163" s="146">
        <v>5.4553940066666669E-3</v>
      </c>
      <c r="Y163" s="146">
        <v>8.818130910626663E-3</v>
      </c>
      <c r="Z163" s="147">
        <v>1.5431538253216938E-3</v>
      </c>
      <c r="AA163" s="181"/>
    </row>
    <row r="164" spans="1:27" ht="15" x14ac:dyDescent="0.2">
      <c r="A164" s="142" t="s">
        <v>1220</v>
      </c>
      <c r="B164" s="143" t="s">
        <v>1220</v>
      </c>
      <c r="C164" s="143" t="s">
        <v>3292</v>
      </c>
      <c r="D164" s="145" t="s">
        <v>3876</v>
      </c>
      <c r="E164" s="145" t="s">
        <v>3876</v>
      </c>
      <c r="F164" s="143" t="s">
        <v>3293</v>
      </c>
      <c r="G164" s="143" t="s">
        <v>3294</v>
      </c>
      <c r="H164" s="143" t="s">
        <v>312</v>
      </c>
      <c r="I164" s="143" t="s">
        <v>1000</v>
      </c>
      <c r="J164" s="145" t="s">
        <v>3876</v>
      </c>
      <c r="K164" s="143" t="s">
        <v>205</v>
      </c>
      <c r="L164" s="145" t="s">
        <v>3876</v>
      </c>
      <c r="M164" s="145" t="s">
        <v>3876</v>
      </c>
      <c r="N164" s="143" t="s">
        <v>293</v>
      </c>
      <c r="O164" s="143" t="s">
        <v>339</v>
      </c>
      <c r="P164" s="162">
        <v>45217</v>
      </c>
      <c r="Q164" s="143" t="s">
        <v>1213</v>
      </c>
      <c r="R164" s="143" t="s">
        <v>885</v>
      </c>
      <c r="S164" s="143" t="s">
        <v>889</v>
      </c>
      <c r="T164" s="163">
        <v>45469</v>
      </c>
      <c r="U164" s="143" t="s">
        <v>1214</v>
      </c>
      <c r="V164" s="144">
        <v>8656.3755783294364</v>
      </c>
      <c r="W164" s="144">
        <v>34800.361100000002</v>
      </c>
      <c r="X164" s="146">
        <v>4.0494442949999998E-4</v>
      </c>
      <c r="Y164" s="146">
        <v>8.812369535120039E-3</v>
      </c>
      <c r="Z164" s="147">
        <v>1.5421455970766984E-3</v>
      </c>
      <c r="AA164" s="181"/>
    </row>
    <row r="165" spans="1:27" ht="15" x14ac:dyDescent="0.2">
      <c r="A165" s="142" t="s">
        <v>1220</v>
      </c>
      <c r="B165" s="143" t="s">
        <v>1220</v>
      </c>
      <c r="C165" s="143" t="s">
        <v>3298</v>
      </c>
      <c r="D165" s="145" t="s">
        <v>3876</v>
      </c>
      <c r="E165" s="145" t="s">
        <v>3876</v>
      </c>
      <c r="F165" s="143" t="s">
        <v>3299</v>
      </c>
      <c r="G165" s="143" t="s">
        <v>3300</v>
      </c>
      <c r="H165" s="143" t="s">
        <v>312</v>
      </c>
      <c r="I165" s="143" t="s">
        <v>1000</v>
      </c>
      <c r="J165" s="145" t="s">
        <v>3876</v>
      </c>
      <c r="K165" s="143" t="s">
        <v>205</v>
      </c>
      <c r="L165" s="145" t="s">
        <v>3876</v>
      </c>
      <c r="M165" s="145" t="s">
        <v>3876</v>
      </c>
      <c r="N165" s="143" t="s">
        <v>291</v>
      </c>
      <c r="O165" s="143" t="s">
        <v>339</v>
      </c>
      <c r="P165" s="162">
        <v>45251</v>
      </c>
      <c r="Q165" s="143" t="s">
        <v>1211</v>
      </c>
      <c r="R165" s="143" t="s">
        <v>885</v>
      </c>
      <c r="S165" s="143" t="s">
        <v>889</v>
      </c>
      <c r="T165" s="163">
        <v>45470</v>
      </c>
      <c r="U165" s="143" t="s">
        <v>1212</v>
      </c>
      <c r="V165" s="144">
        <v>8925.8692205373773</v>
      </c>
      <c r="W165" s="144">
        <v>33552.342400000001</v>
      </c>
      <c r="X165" s="146">
        <v>4.8878286666666666E-3</v>
      </c>
      <c r="Y165" s="146">
        <v>8.4963382640148039E-3</v>
      </c>
      <c r="Z165" s="147">
        <v>1.4868408085823911E-3</v>
      </c>
      <c r="AA165" s="181"/>
    </row>
    <row r="166" spans="1:27" ht="15" x14ac:dyDescent="0.2">
      <c r="A166" s="142" t="s">
        <v>1220</v>
      </c>
      <c r="B166" s="143" t="s">
        <v>1220</v>
      </c>
      <c r="C166" s="143" t="s">
        <v>3295</v>
      </c>
      <c r="D166" s="145" t="s">
        <v>3876</v>
      </c>
      <c r="E166" s="145" t="s">
        <v>3876</v>
      </c>
      <c r="F166" s="143" t="s">
        <v>3296</v>
      </c>
      <c r="G166" s="143" t="s">
        <v>3297</v>
      </c>
      <c r="H166" s="143" t="s">
        <v>312</v>
      </c>
      <c r="I166" s="143" t="s">
        <v>1000</v>
      </c>
      <c r="J166" s="145" t="s">
        <v>3876</v>
      </c>
      <c r="K166" s="143" t="s">
        <v>205</v>
      </c>
      <c r="L166" s="145" t="s">
        <v>3876</v>
      </c>
      <c r="M166" s="145" t="s">
        <v>3876</v>
      </c>
      <c r="N166" s="143" t="s">
        <v>293</v>
      </c>
      <c r="O166" s="143" t="s">
        <v>339</v>
      </c>
      <c r="P166" s="162">
        <v>45279</v>
      </c>
      <c r="Q166" s="143" t="s">
        <v>1211</v>
      </c>
      <c r="R166" s="143" t="s">
        <v>885</v>
      </c>
      <c r="S166" s="143" t="s">
        <v>889</v>
      </c>
      <c r="T166" s="163">
        <v>45442</v>
      </c>
      <c r="U166" s="143" t="s">
        <v>1212</v>
      </c>
      <c r="V166" s="144">
        <v>8884.6778132482032</v>
      </c>
      <c r="W166" s="144">
        <v>33397.503899999996</v>
      </c>
      <c r="X166" s="146">
        <v>7.8338569054335345E-4</v>
      </c>
      <c r="Y166" s="146">
        <v>8.4571290784502279E-3</v>
      </c>
      <c r="Z166" s="147">
        <v>1.4799792859643941E-3</v>
      </c>
      <c r="AA166" s="181"/>
    </row>
    <row r="167" spans="1:27" ht="15" x14ac:dyDescent="0.2">
      <c r="A167" s="142" t="s">
        <v>1220</v>
      </c>
      <c r="B167" s="143" t="s">
        <v>1220</v>
      </c>
      <c r="C167" s="143" t="s">
        <v>3301</v>
      </c>
      <c r="D167" s="145" t="s">
        <v>3876</v>
      </c>
      <c r="E167" s="145" t="s">
        <v>3876</v>
      </c>
      <c r="F167" s="143" t="s">
        <v>3302</v>
      </c>
      <c r="G167" s="143" t="s">
        <v>3303</v>
      </c>
      <c r="H167" s="143" t="s">
        <v>312</v>
      </c>
      <c r="I167" s="143" t="s">
        <v>1000</v>
      </c>
      <c r="J167" s="145" t="s">
        <v>3876</v>
      </c>
      <c r="K167" s="143" t="s">
        <v>205</v>
      </c>
      <c r="L167" s="145" t="s">
        <v>3876</v>
      </c>
      <c r="M167" s="145" t="s">
        <v>3876</v>
      </c>
      <c r="N167" s="143" t="s">
        <v>268</v>
      </c>
      <c r="O167" s="143" t="s">
        <v>339</v>
      </c>
      <c r="P167" s="162">
        <v>45316</v>
      </c>
      <c r="Q167" s="143" t="s">
        <v>1211</v>
      </c>
      <c r="R167" s="143" t="s">
        <v>885</v>
      </c>
      <c r="S167" s="143" t="s">
        <v>889</v>
      </c>
      <c r="T167" s="163">
        <v>45442</v>
      </c>
      <c r="U167" s="143" t="s">
        <v>1212</v>
      </c>
      <c r="V167" s="144">
        <v>8726.739159350891</v>
      </c>
      <c r="W167" s="144">
        <v>32803.8125</v>
      </c>
      <c r="X167" s="146">
        <v>4.0178475464285714E-3</v>
      </c>
      <c r="Y167" s="146">
        <v>8.3067907465197936E-3</v>
      </c>
      <c r="Z167" s="147">
        <v>1.4536704032360422E-3</v>
      </c>
      <c r="AA167" s="181"/>
    </row>
    <row r="168" spans="1:27" ht="15" x14ac:dyDescent="0.2">
      <c r="A168" s="142" t="s">
        <v>1220</v>
      </c>
      <c r="B168" s="143" t="s">
        <v>1220</v>
      </c>
      <c r="C168" s="143" t="s">
        <v>3304</v>
      </c>
      <c r="D168" s="145" t="s">
        <v>3876</v>
      </c>
      <c r="E168" s="145" t="s">
        <v>3876</v>
      </c>
      <c r="F168" s="143" t="s">
        <v>3305</v>
      </c>
      <c r="G168" s="143" t="s">
        <v>3306</v>
      </c>
      <c r="H168" s="143" t="s">
        <v>312</v>
      </c>
      <c r="I168" s="143" t="s">
        <v>1000</v>
      </c>
      <c r="J168" s="145" t="s">
        <v>3876</v>
      </c>
      <c r="K168" s="143" t="s">
        <v>205</v>
      </c>
      <c r="L168" s="145" t="s">
        <v>3876</v>
      </c>
      <c r="M168" s="145" t="s">
        <v>3876</v>
      </c>
      <c r="N168" s="143" t="s">
        <v>204</v>
      </c>
      <c r="O168" s="143" t="s">
        <v>339</v>
      </c>
      <c r="P168" s="162">
        <v>45316</v>
      </c>
      <c r="Q168" s="143" t="s">
        <v>1211</v>
      </c>
      <c r="R168" s="143" t="s">
        <v>885</v>
      </c>
      <c r="S168" s="143" t="s">
        <v>889</v>
      </c>
      <c r="T168" s="163">
        <v>45442</v>
      </c>
      <c r="U168" s="143" t="s">
        <v>1212</v>
      </c>
      <c r="V168" s="144">
        <v>8647.4499068901296</v>
      </c>
      <c r="W168" s="144">
        <v>32505.764199999998</v>
      </c>
      <c r="X168" s="146">
        <v>1.3478911999999999E-2</v>
      </c>
      <c r="Y168" s="146">
        <v>8.2313170587498437E-3</v>
      </c>
      <c r="Z168" s="147">
        <v>1.4404626712150785E-3</v>
      </c>
      <c r="AA168" s="181"/>
    </row>
    <row r="169" spans="1:27" ht="15" x14ac:dyDescent="0.2">
      <c r="A169" s="142" t="s">
        <v>1220</v>
      </c>
      <c r="B169" s="143" t="s">
        <v>1220</v>
      </c>
      <c r="C169" s="143" t="s">
        <v>3307</v>
      </c>
      <c r="D169" s="145" t="s">
        <v>3876</v>
      </c>
      <c r="E169" s="145" t="s">
        <v>3876</v>
      </c>
      <c r="F169" s="143" t="s">
        <v>3308</v>
      </c>
      <c r="G169" s="143" t="s">
        <v>3309</v>
      </c>
      <c r="H169" s="143" t="s">
        <v>312</v>
      </c>
      <c r="I169" s="143" t="s">
        <v>1000</v>
      </c>
      <c r="J169" s="145" t="s">
        <v>3876</v>
      </c>
      <c r="K169" s="143" t="s">
        <v>205</v>
      </c>
      <c r="L169" s="145" t="s">
        <v>3876</v>
      </c>
      <c r="M169" s="145" t="s">
        <v>3876</v>
      </c>
      <c r="N169" s="143" t="s">
        <v>299</v>
      </c>
      <c r="O169" s="143" t="s">
        <v>339</v>
      </c>
      <c r="P169" s="162">
        <v>45299</v>
      </c>
      <c r="Q169" s="143" t="s">
        <v>1213</v>
      </c>
      <c r="R169" s="143" t="s">
        <v>885</v>
      </c>
      <c r="S169" s="143" t="s">
        <v>889</v>
      </c>
      <c r="T169" s="163">
        <v>45470</v>
      </c>
      <c r="U169" s="143" t="s">
        <v>1214</v>
      </c>
      <c r="V169" s="144">
        <v>6507.0272125764886</v>
      </c>
      <c r="W169" s="144">
        <v>26159.550800000001</v>
      </c>
      <c r="X169" s="146">
        <v>4.0505845999999997E-4</v>
      </c>
      <c r="Y169" s="146">
        <v>6.6242883869064529E-3</v>
      </c>
      <c r="Z169" s="147">
        <v>1.1592361315446061E-3</v>
      </c>
      <c r="AA169" s="181"/>
    </row>
    <row r="170" spans="1:27" ht="15" x14ac:dyDescent="0.2">
      <c r="A170" s="142" t="s">
        <v>1220</v>
      </c>
      <c r="B170" s="143" t="s">
        <v>1220</v>
      </c>
      <c r="C170" s="143" t="s">
        <v>3310</v>
      </c>
      <c r="D170" s="145" t="s">
        <v>3876</v>
      </c>
      <c r="E170" s="145" t="s">
        <v>3876</v>
      </c>
      <c r="F170" s="143" t="s">
        <v>3311</v>
      </c>
      <c r="G170" s="143" t="s">
        <v>3312</v>
      </c>
      <c r="H170" s="143" t="s">
        <v>312</v>
      </c>
      <c r="I170" s="143" t="s">
        <v>1000</v>
      </c>
      <c r="J170" s="145" t="s">
        <v>3876</v>
      </c>
      <c r="K170" s="143" t="s">
        <v>205</v>
      </c>
      <c r="L170" s="145" t="s">
        <v>3876</v>
      </c>
      <c r="M170" s="145" t="s">
        <v>3876</v>
      </c>
      <c r="N170" s="143" t="s">
        <v>296</v>
      </c>
      <c r="O170" s="143" t="s">
        <v>339</v>
      </c>
      <c r="P170" s="162">
        <v>45356</v>
      </c>
      <c r="Q170" s="143" t="s">
        <v>1213</v>
      </c>
      <c r="R170" s="143" t="s">
        <v>885</v>
      </c>
      <c r="S170" s="143" t="s">
        <v>889</v>
      </c>
      <c r="T170" s="163">
        <v>45460</v>
      </c>
      <c r="U170" s="143" t="s">
        <v>1214</v>
      </c>
      <c r="V170" s="144">
        <v>6138.6356897666783</v>
      </c>
      <c r="W170" s="144">
        <v>24678.5432</v>
      </c>
      <c r="X170" s="146">
        <v>1.3959771428571429E-2</v>
      </c>
      <c r="Y170" s="146">
        <v>6.2492581997426935E-3</v>
      </c>
      <c r="Z170" s="147">
        <v>1.0936066604244341E-3</v>
      </c>
      <c r="AA170" s="181"/>
    </row>
    <row r="171" spans="1:27" ht="15" x14ac:dyDescent="0.2">
      <c r="A171" s="142" t="s">
        <v>1220</v>
      </c>
      <c r="B171" s="143" t="s">
        <v>1220</v>
      </c>
      <c r="C171" s="143" t="s">
        <v>3313</v>
      </c>
      <c r="D171" s="145" t="s">
        <v>3876</v>
      </c>
      <c r="E171" s="145" t="s">
        <v>3876</v>
      </c>
      <c r="F171" s="143" t="s">
        <v>3314</v>
      </c>
      <c r="G171" s="143" t="s">
        <v>3315</v>
      </c>
      <c r="H171" s="143" t="s">
        <v>312</v>
      </c>
      <c r="I171" s="143" t="s">
        <v>1000</v>
      </c>
      <c r="J171" s="145" t="s">
        <v>3876</v>
      </c>
      <c r="K171" s="143" t="s">
        <v>205</v>
      </c>
      <c r="L171" s="145" t="s">
        <v>3876</v>
      </c>
      <c r="M171" s="145" t="s">
        <v>3876</v>
      </c>
      <c r="N171" s="143" t="s">
        <v>293</v>
      </c>
      <c r="O171" s="143" t="s">
        <v>339</v>
      </c>
      <c r="P171" s="162">
        <v>44893</v>
      </c>
      <c r="Q171" s="143" t="s">
        <v>1213</v>
      </c>
      <c r="R171" s="143" t="s">
        <v>885</v>
      </c>
      <c r="S171" s="143" t="s">
        <v>889</v>
      </c>
      <c r="T171" s="163">
        <v>45446</v>
      </c>
      <c r="U171" s="143" t="s">
        <v>1214</v>
      </c>
      <c r="V171" s="144">
        <v>6120.8717227998604</v>
      </c>
      <c r="W171" s="144">
        <v>24607.128499999999</v>
      </c>
      <c r="X171" s="146">
        <v>1.7970931925987157E-3</v>
      </c>
      <c r="Y171" s="146">
        <v>6.2311741235567281E-3</v>
      </c>
      <c r="Z171" s="147">
        <v>1.0904419862291178E-3</v>
      </c>
      <c r="AA171" s="181"/>
    </row>
    <row r="172" spans="1:27" ht="15" x14ac:dyDescent="0.2">
      <c r="A172" s="142" t="s">
        <v>1220</v>
      </c>
      <c r="B172" s="143" t="s">
        <v>1220</v>
      </c>
      <c r="C172" s="143" t="s">
        <v>3316</v>
      </c>
      <c r="D172" s="145" t="s">
        <v>3876</v>
      </c>
      <c r="E172" s="145" t="s">
        <v>3876</v>
      </c>
      <c r="F172" s="143" t="s">
        <v>3317</v>
      </c>
      <c r="G172" s="143" t="s">
        <v>3318</v>
      </c>
      <c r="H172" s="143" t="s">
        <v>312</v>
      </c>
      <c r="I172" s="143" t="s">
        <v>1000</v>
      </c>
      <c r="J172" s="145" t="s">
        <v>3876</v>
      </c>
      <c r="K172" s="143" t="s">
        <v>205</v>
      </c>
      <c r="L172" s="145" t="s">
        <v>3876</v>
      </c>
      <c r="M172" s="145" t="s">
        <v>3876</v>
      </c>
      <c r="N172" s="143" t="s">
        <v>268</v>
      </c>
      <c r="O172" s="143" t="s">
        <v>339</v>
      </c>
      <c r="P172" s="162">
        <v>44711</v>
      </c>
      <c r="Q172" s="143" t="s">
        <v>1211</v>
      </c>
      <c r="R172" s="143" t="s">
        <v>885</v>
      </c>
      <c r="S172" s="143" t="s">
        <v>889</v>
      </c>
      <c r="T172" s="163">
        <v>45412</v>
      </c>
      <c r="U172" s="143" t="s">
        <v>1212</v>
      </c>
      <c r="V172" s="144">
        <v>5904.6039106145263</v>
      </c>
      <c r="W172" s="144">
        <v>22195.4061</v>
      </c>
      <c r="X172" s="146">
        <v>1.844353E-2</v>
      </c>
      <c r="Y172" s="146">
        <v>5.6204623807990005E-3</v>
      </c>
      <c r="Z172" s="147">
        <v>9.8356875293772279E-4</v>
      </c>
      <c r="AA172" s="181"/>
    </row>
    <row r="173" spans="1:27" ht="15" x14ac:dyDescent="0.2">
      <c r="A173" s="142" t="s">
        <v>1220</v>
      </c>
      <c r="B173" s="143" t="s">
        <v>1220</v>
      </c>
      <c r="C173" s="143" t="s">
        <v>3322</v>
      </c>
      <c r="D173" s="145" t="s">
        <v>3876</v>
      </c>
      <c r="E173" s="145" t="s">
        <v>3876</v>
      </c>
      <c r="F173" s="143" t="s">
        <v>3323</v>
      </c>
      <c r="G173" s="143" t="s">
        <v>3324</v>
      </c>
      <c r="H173" s="143" t="s">
        <v>312</v>
      </c>
      <c r="I173" s="143" t="s">
        <v>1000</v>
      </c>
      <c r="J173" s="145" t="s">
        <v>3876</v>
      </c>
      <c r="K173" s="143" t="s">
        <v>205</v>
      </c>
      <c r="L173" s="145" t="s">
        <v>3876</v>
      </c>
      <c r="M173" s="145" t="s">
        <v>3876</v>
      </c>
      <c r="N173" s="143" t="s">
        <v>224</v>
      </c>
      <c r="O173" s="143" t="s">
        <v>339</v>
      </c>
      <c r="P173" s="162">
        <v>44991</v>
      </c>
      <c r="Q173" s="143" t="s">
        <v>1211</v>
      </c>
      <c r="R173" s="143" t="s">
        <v>885</v>
      </c>
      <c r="S173" s="143" t="s">
        <v>889</v>
      </c>
      <c r="T173" s="163">
        <v>45442</v>
      </c>
      <c r="U173" s="143" t="s">
        <v>1212</v>
      </c>
      <c r="V173" s="144">
        <v>5492.9294227188084</v>
      </c>
      <c r="W173" s="144">
        <v>20647.921699999999</v>
      </c>
      <c r="X173" s="146">
        <v>6.7788000000000001E-2</v>
      </c>
      <c r="Y173" s="146">
        <v>5.2285985091224856E-3</v>
      </c>
      <c r="Z173" s="147">
        <v>9.1499342345897157E-4</v>
      </c>
      <c r="AA173" s="181"/>
    </row>
    <row r="174" spans="1:27" ht="15" x14ac:dyDescent="0.2">
      <c r="A174" s="142" t="s">
        <v>1220</v>
      </c>
      <c r="B174" s="143" t="s">
        <v>1220</v>
      </c>
      <c r="C174" s="143" t="s">
        <v>3319</v>
      </c>
      <c r="D174" s="145" t="s">
        <v>3876</v>
      </c>
      <c r="E174" s="145" t="s">
        <v>3876</v>
      </c>
      <c r="F174" s="143" t="s">
        <v>3320</v>
      </c>
      <c r="G174" s="143" t="s">
        <v>3321</v>
      </c>
      <c r="H174" s="143" t="s">
        <v>312</v>
      </c>
      <c r="I174" s="143" t="s">
        <v>1000</v>
      </c>
      <c r="J174" s="145" t="s">
        <v>3876</v>
      </c>
      <c r="K174" s="143" t="s">
        <v>205</v>
      </c>
      <c r="L174" s="145" t="s">
        <v>3876</v>
      </c>
      <c r="M174" s="145" t="s">
        <v>3876</v>
      </c>
      <c r="N174" s="143" t="s">
        <v>224</v>
      </c>
      <c r="O174" s="143" t="s">
        <v>339</v>
      </c>
      <c r="P174" s="162">
        <v>44616</v>
      </c>
      <c r="Q174" s="143" t="s">
        <v>1211</v>
      </c>
      <c r="R174" s="143" t="s">
        <v>885</v>
      </c>
      <c r="S174" s="143" t="s">
        <v>889</v>
      </c>
      <c r="T174" s="163">
        <v>45442</v>
      </c>
      <c r="U174" s="143" t="s">
        <v>1212</v>
      </c>
      <c r="V174" s="144">
        <v>5161.5558127161476</v>
      </c>
      <c r="W174" s="144">
        <v>19402.2883</v>
      </c>
      <c r="X174" s="146">
        <v>5.3640653846153845E-2</v>
      </c>
      <c r="Y174" s="146">
        <v>4.9131712760288604E-3</v>
      </c>
      <c r="Z174" s="147">
        <v>8.5979434030944814E-4</v>
      </c>
      <c r="AA174" s="181"/>
    </row>
    <row r="175" spans="1:27" ht="15" x14ac:dyDescent="0.2">
      <c r="A175" s="142" t="s">
        <v>1220</v>
      </c>
      <c r="B175" s="143" t="s">
        <v>1220</v>
      </c>
      <c r="C175" s="143" t="s">
        <v>3325</v>
      </c>
      <c r="D175" s="145" t="s">
        <v>3876</v>
      </c>
      <c r="E175" s="145" t="s">
        <v>3876</v>
      </c>
      <c r="F175" s="143" t="s">
        <v>3326</v>
      </c>
      <c r="G175" s="143" t="s">
        <v>3327</v>
      </c>
      <c r="H175" s="143" t="s">
        <v>312</v>
      </c>
      <c r="I175" s="143" t="s">
        <v>1000</v>
      </c>
      <c r="J175" s="145" t="s">
        <v>3876</v>
      </c>
      <c r="K175" s="143" t="s">
        <v>205</v>
      </c>
      <c r="L175" s="145" t="s">
        <v>3876</v>
      </c>
      <c r="M175" s="145" t="s">
        <v>3876</v>
      </c>
      <c r="N175" s="143" t="s">
        <v>224</v>
      </c>
      <c r="O175" s="143" t="s">
        <v>339</v>
      </c>
      <c r="P175" s="162">
        <v>45370</v>
      </c>
      <c r="Q175" s="143" t="s">
        <v>1211</v>
      </c>
      <c r="R175" s="143" t="s">
        <v>885</v>
      </c>
      <c r="S175" s="143" t="s">
        <v>889</v>
      </c>
      <c r="T175" s="163">
        <v>45460</v>
      </c>
      <c r="U175" s="143" t="s">
        <v>1212</v>
      </c>
      <c r="V175" s="144">
        <v>4570.395610534717</v>
      </c>
      <c r="W175" s="144">
        <v>17180.117100000003</v>
      </c>
      <c r="X175" s="145" t="s">
        <v>3876</v>
      </c>
      <c r="Y175" s="146">
        <v>4.3504588942773108E-3</v>
      </c>
      <c r="Z175" s="147">
        <v>7.6132089131479303E-4</v>
      </c>
      <c r="AA175" s="181"/>
    </row>
    <row r="176" spans="1:27" ht="15" x14ac:dyDescent="0.2">
      <c r="A176" s="142" t="s">
        <v>1220</v>
      </c>
      <c r="B176" s="143" t="s">
        <v>1220</v>
      </c>
      <c r="C176" s="143" t="s">
        <v>3328</v>
      </c>
      <c r="D176" s="145" t="s">
        <v>3876</v>
      </c>
      <c r="E176" s="145" t="s">
        <v>3876</v>
      </c>
      <c r="F176" s="143" t="s">
        <v>3329</v>
      </c>
      <c r="G176" s="143" t="s">
        <v>3330</v>
      </c>
      <c r="H176" s="143" t="s">
        <v>312</v>
      </c>
      <c r="I176" s="143" t="s">
        <v>1000</v>
      </c>
      <c r="J176" s="145" t="s">
        <v>3876</v>
      </c>
      <c r="K176" s="143" t="s">
        <v>205</v>
      </c>
      <c r="L176" s="145" t="s">
        <v>3876</v>
      </c>
      <c r="M176" s="145" t="s">
        <v>3876</v>
      </c>
      <c r="N176" s="143" t="s">
        <v>296</v>
      </c>
      <c r="O176" s="143" t="s">
        <v>339</v>
      </c>
      <c r="P176" s="162">
        <v>45365</v>
      </c>
      <c r="Q176" s="143" t="s">
        <v>1211</v>
      </c>
      <c r="R176" s="143" t="s">
        <v>885</v>
      </c>
      <c r="S176" s="143" t="s">
        <v>889</v>
      </c>
      <c r="T176" s="163">
        <v>45470</v>
      </c>
      <c r="U176" s="143" t="s">
        <v>1212</v>
      </c>
      <c r="V176" s="144">
        <v>4472.8178238893315</v>
      </c>
      <c r="W176" s="144">
        <v>16813.322199999999</v>
      </c>
      <c r="X176" s="146">
        <v>5.5465569230769229E-2</v>
      </c>
      <c r="Y176" s="146">
        <v>4.2575767496105844E-3</v>
      </c>
      <c r="Z176" s="147">
        <v>7.4506671701195823E-4</v>
      </c>
      <c r="AA176" s="181"/>
    </row>
    <row r="177" spans="1:27" ht="15" x14ac:dyDescent="0.2">
      <c r="A177" s="142" t="s">
        <v>1220</v>
      </c>
      <c r="B177" s="143" t="s">
        <v>1220</v>
      </c>
      <c r="C177" s="143" t="s">
        <v>3343</v>
      </c>
      <c r="D177" s="145" t="s">
        <v>3876</v>
      </c>
      <c r="E177" s="145" t="s">
        <v>3876</v>
      </c>
      <c r="F177" s="143" t="s">
        <v>3344</v>
      </c>
      <c r="G177" s="143" t="s">
        <v>3345</v>
      </c>
      <c r="H177" s="143" t="s">
        <v>312</v>
      </c>
      <c r="I177" s="143" t="s">
        <v>1000</v>
      </c>
      <c r="J177" s="145" t="s">
        <v>3876</v>
      </c>
      <c r="K177" s="143" t="s">
        <v>205</v>
      </c>
      <c r="L177" s="145" t="s">
        <v>3876</v>
      </c>
      <c r="M177" s="145" t="s">
        <v>3876</v>
      </c>
      <c r="N177" s="143" t="s">
        <v>224</v>
      </c>
      <c r="O177" s="143" t="s">
        <v>339</v>
      </c>
      <c r="P177" s="162">
        <v>45362</v>
      </c>
      <c r="Q177" s="143" t="s">
        <v>1211</v>
      </c>
      <c r="R177" s="143" t="s">
        <v>885</v>
      </c>
      <c r="S177" s="143" t="s">
        <v>889</v>
      </c>
      <c r="T177" s="163">
        <v>45428</v>
      </c>
      <c r="U177" s="143" t="s">
        <v>1212</v>
      </c>
      <c r="V177" s="144">
        <v>4007.6455174248472</v>
      </c>
      <c r="W177" s="144">
        <v>15064.7395</v>
      </c>
      <c r="X177" s="145" t="s">
        <v>3876</v>
      </c>
      <c r="Y177" s="146">
        <v>3.8147894716370387E-3</v>
      </c>
      <c r="Z177" s="147">
        <v>6.6757990163873314E-4</v>
      </c>
      <c r="AA177" s="181"/>
    </row>
    <row r="178" spans="1:27" ht="15" x14ac:dyDescent="0.2">
      <c r="A178" s="142" t="s">
        <v>1220</v>
      </c>
      <c r="B178" s="143" t="s">
        <v>1220</v>
      </c>
      <c r="C178" s="143" t="s">
        <v>3331</v>
      </c>
      <c r="D178" s="145" t="s">
        <v>3876</v>
      </c>
      <c r="E178" s="145" t="s">
        <v>3876</v>
      </c>
      <c r="F178" s="143" t="s">
        <v>3332</v>
      </c>
      <c r="G178" s="143" t="s">
        <v>3333</v>
      </c>
      <c r="H178" s="143" t="s">
        <v>312</v>
      </c>
      <c r="I178" s="143" t="s">
        <v>1000</v>
      </c>
      <c r="J178" s="145" t="s">
        <v>3876</v>
      </c>
      <c r="K178" s="143" t="s">
        <v>205</v>
      </c>
      <c r="L178" s="145" t="s">
        <v>3876</v>
      </c>
      <c r="M178" s="145" t="s">
        <v>3876</v>
      </c>
      <c r="N178" s="143" t="s">
        <v>291</v>
      </c>
      <c r="O178" s="143" t="s">
        <v>339</v>
      </c>
      <c r="P178" s="162">
        <v>45362</v>
      </c>
      <c r="Q178" s="143" t="s">
        <v>1211</v>
      </c>
      <c r="R178" s="143" t="s">
        <v>885</v>
      </c>
      <c r="S178" s="143" t="s">
        <v>889</v>
      </c>
      <c r="T178" s="163">
        <v>45433</v>
      </c>
      <c r="U178" s="143" t="s">
        <v>1212</v>
      </c>
      <c r="V178" s="144">
        <v>3959.4284384144721</v>
      </c>
      <c r="W178" s="144">
        <v>14883.4915</v>
      </c>
      <c r="X178" s="146">
        <v>5.5563088000000005E-4</v>
      </c>
      <c r="Y178" s="146">
        <v>3.7688926923942329E-3</v>
      </c>
      <c r="Z178" s="147">
        <v>6.595480646002141E-4</v>
      </c>
      <c r="AA178" s="181"/>
    </row>
    <row r="179" spans="1:27" ht="15" x14ac:dyDescent="0.2">
      <c r="A179" s="142" t="s">
        <v>1220</v>
      </c>
      <c r="B179" s="143" t="s">
        <v>1220</v>
      </c>
      <c r="C179" s="143" t="s">
        <v>3337</v>
      </c>
      <c r="D179" s="145" t="s">
        <v>3876</v>
      </c>
      <c r="E179" s="145" t="s">
        <v>3876</v>
      </c>
      <c r="F179" s="143" t="s">
        <v>3338</v>
      </c>
      <c r="G179" s="143" t="s">
        <v>3339</v>
      </c>
      <c r="H179" s="143" t="s">
        <v>312</v>
      </c>
      <c r="I179" s="143" t="s">
        <v>1000</v>
      </c>
      <c r="J179" s="145" t="s">
        <v>3876</v>
      </c>
      <c r="K179" s="143" t="s">
        <v>205</v>
      </c>
      <c r="L179" s="145" t="s">
        <v>3876</v>
      </c>
      <c r="M179" s="145" t="s">
        <v>3876</v>
      </c>
      <c r="N179" s="143" t="s">
        <v>289</v>
      </c>
      <c r="O179" s="143" t="s">
        <v>339</v>
      </c>
      <c r="P179" s="162">
        <v>45291</v>
      </c>
      <c r="Q179" s="143" t="s">
        <v>1211</v>
      </c>
      <c r="R179" s="143" t="s">
        <v>885</v>
      </c>
      <c r="S179" s="143" t="s">
        <v>889</v>
      </c>
      <c r="T179" s="163">
        <v>45470</v>
      </c>
      <c r="U179" s="143" t="s">
        <v>1212</v>
      </c>
      <c r="V179" s="144">
        <v>3850.1564511838251</v>
      </c>
      <c r="W179" s="144">
        <v>14472.7381</v>
      </c>
      <c r="X179" s="146">
        <v>7.2886044444444445E-3</v>
      </c>
      <c r="Y179" s="146">
        <v>3.664879116343897E-3</v>
      </c>
      <c r="Z179" s="147">
        <v>6.4134591389568816E-4</v>
      </c>
      <c r="AA179" s="181"/>
    </row>
    <row r="180" spans="1:27" ht="15" x14ac:dyDescent="0.2">
      <c r="A180" s="142" t="s">
        <v>1220</v>
      </c>
      <c r="B180" s="143" t="s">
        <v>1220</v>
      </c>
      <c r="C180" s="143" t="s">
        <v>3334</v>
      </c>
      <c r="D180" s="145" t="s">
        <v>3876</v>
      </c>
      <c r="E180" s="145" t="s">
        <v>3876</v>
      </c>
      <c r="F180" s="143" t="s">
        <v>3335</v>
      </c>
      <c r="G180" s="143" t="s">
        <v>3336</v>
      </c>
      <c r="H180" s="143" t="s">
        <v>312</v>
      </c>
      <c r="I180" s="143" t="s">
        <v>1000</v>
      </c>
      <c r="J180" s="145" t="s">
        <v>3876</v>
      </c>
      <c r="K180" s="143" t="s">
        <v>205</v>
      </c>
      <c r="L180" s="145" t="s">
        <v>3876</v>
      </c>
      <c r="M180" s="145" t="s">
        <v>3876</v>
      </c>
      <c r="N180" s="143" t="s">
        <v>291</v>
      </c>
      <c r="O180" s="143" t="s">
        <v>339</v>
      </c>
      <c r="P180" s="162">
        <v>45362</v>
      </c>
      <c r="Q180" s="143" t="s">
        <v>1211</v>
      </c>
      <c r="R180" s="143" t="s">
        <v>885</v>
      </c>
      <c r="S180" s="143" t="s">
        <v>889</v>
      </c>
      <c r="T180" s="163">
        <v>45428</v>
      </c>
      <c r="U180" s="143" t="s">
        <v>1212</v>
      </c>
      <c r="V180" s="144">
        <v>3835.4092311785053</v>
      </c>
      <c r="W180" s="144">
        <v>14417.303300000001</v>
      </c>
      <c r="X180" s="146">
        <v>4.2305733333333333E-4</v>
      </c>
      <c r="Y180" s="146">
        <v>3.6508415468142225E-3</v>
      </c>
      <c r="Z180" s="147">
        <v>6.3888936960784684E-4</v>
      </c>
      <c r="AA180" s="181"/>
    </row>
    <row r="181" spans="1:27" ht="15" x14ac:dyDescent="0.2">
      <c r="A181" s="142" t="s">
        <v>1220</v>
      </c>
      <c r="B181" s="143" t="s">
        <v>1220</v>
      </c>
      <c r="C181" s="143" t="s">
        <v>3340</v>
      </c>
      <c r="D181" s="145" t="s">
        <v>3876</v>
      </c>
      <c r="E181" s="145" t="s">
        <v>3876</v>
      </c>
      <c r="F181" s="143" t="s">
        <v>3341</v>
      </c>
      <c r="G181" s="143" t="s">
        <v>3342</v>
      </c>
      <c r="H181" s="143" t="s">
        <v>312</v>
      </c>
      <c r="I181" s="143" t="s">
        <v>1000</v>
      </c>
      <c r="J181" s="145" t="s">
        <v>3876</v>
      </c>
      <c r="K181" s="143" t="s">
        <v>205</v>
      </c>
      <c r="L181" s="145" t="s">
        <v>3876</v>
      </c>
      <c r="M181" s="145" t="s">
        <v>3876</v>
      </c>
      <c r="N181" s="143" t="s">
        <v>296</v>
      </c>
      <c r="O181" s="143" t="s">
        <v>339</v>
      </c>
      <c r="P181" s="162">
        <v>45342</v>
      </c>
      <c r="Q181" s="143" t="s">
        <v>1211</v>
      </c>
      <c r="R181" s="143" t="s">
        <v>885</v>
      </c>
      <c r="S181" s="143" t="s">
        <v>889</v>
      </c>
      <c r="T181" s="163">
        <v>45460</v>
      </c>
      <c r="U181" s="143" t="s">
        <v>1212</v>
      </c>
      <c r="V181" s="144">
        <v>3331.0713753657892</v>
      </c>
      <c r="W181" s="144">
        <v>12521.497300000001</v>
      </c>
      <c r="X181" s="146">
        <v>1.6498784210526316E-3</v>
      </c>
      <c r="Y181" s="146">
        <v>3.1707734506514597E-3</v>
      </c>
      <c r="Z181" s="147">
        <v>5.5487849173397512E-4</v>
      </c>
      <c r="AA181" s="181"/>
    </row>
    <row r="182" spans="1:27" ht="15" x14ac:dyDescent="0.2">
      <c r="A182" s="142" t="s">
        <v>1220</v>
      </c>
      <c r="B182" s="143" t="s">
        <v>1220</v>
      </c>
      <c r="C182" s="143" t="s">
        <v>3346</v>
      </c>
      <c r="D182" s="145" t="s">
        <v>3876</v>
      </c>
      <c r="E182" s="145" t="s">
        <v>3876</v>
      </c>
      <c r="F182" s="143" t="s">
        <v>3347</v>
      </c>
      <c r="G182" s="143" t="s">
        <v>3348</v>
      </c>
      <c r="H182" s="143" t="s">
        <v>312</v>
      </c>
      <c r="I182" s="143" t="s">
        <v>1000</v>
      </c>
      <c r="J182" s="145" t="s">
        <v>3876</v>
      </c>
      <c r="K182" s="143" t="s">
        <v>205</v>
      </c>
      <c r="L182" s="145" t="s">
        <v>3876</v>
      </c>
      <c r="M182" s="145" t="s">
        <v>3876</v>
      </c>
      <c r="N182" s="143" t="s">
        <v>291</v>
      </c>
      <c r="O182" s="143" t="s">
        <v>339</v>
      </c>
      <c r="P182" s="162">
        <v>45365</v>
      </c>
      <c r="Q182" s="143" t="s">
        <v>1211</v>
      </c>
      <c r="R182" s="143" t="s">
        <v>885</v>
      </c>
      <c r="S182" s="143" t="s">
        <v>889</v>
      </c>
      <c r="T182" s="163">
        <v>45365</v>
      </c>
      <c r="U182" s="143" t="s">
        <v>1212</v>
      </c>
      <c r="V182" s="144">
        <v>3237.3173450385743</v>
      </c>
      <c r="W182" s="144">
        <v>12169.0759</v>
      </c>
      <c r="X182" s="146">
        <v>1.8400715816040383E-2</v>
      </c>
      <c r="Y182" s="146">
        <v>3.0815310588657189E-3</v>
      </c>
      <c r="Z182" s="147">
        <v>5.3926126630822599E-4</v>
      </c>
      <c r="AA182" s="181"/>
    </row>
    <row r="183" spans="1:27" ht="15" x14ac:dyDescent="0.2">
      <c r="A183" s="142" t="s">
        <v>1220</v>
      </c>
      <c r="B183" s="143" t="s">
        <v>1220</v>
      </c>
      <c r="C183" s="143" t="s">
        <v>3349</v>
      </c>
      <c r="D183" s="145" t="s">
        <v>3876</v>
      </c>
      <c r="E183" s="145" t="s">
        <v>3876</v>
      </c>
      <c r="F183" s="143" t="s">
        <v>3350</v>
      </c>
      <c r="G183" s="143" t="s">
        <v>3351</v>
      </c>
      <c r="H183" s="143" t="s">
        <v>312</v>
      </c>
      <c r="I183" s="143" t="s">
        <v>1000</v>
      </c>
      <c r="J183" s="145" t="s">
        <v>3876</v>
      </c>
      <c r="K183" s="143" t="s">
        <v>205</v>
      </c>
      <c r="L183" s="145" t="s">
        <v>3876</v>
      </c>
      <c r="M183" s="145" t="s">
        <v>3876</v>
      </c>
      <c r="N183" s="143" t="s">
        <v>217</v>
      </c>
      <c r="O183" s="143" t="s">
        <v>339</v>
      </c>
      <c r="P183" s="162">
        <v>45257</v>
      </c>
      <c r="Q183" s="143" t="s">
        <v>1211</v>
      </c>
      <c r="R183" s="143" t="s">
        <v>885</v>
      </c>
      <c r="S183" s="143" t="s">
        <v>889</v>
      </c>
      <c r="T183" s="163">
        <v>45442</v>
      </c>
      <c r="U183" s="143" t="s">
        <v>1212</v>
      </c>
      <c r="V183" s="144">
        <v>3021.8341580207502</v>
      </c>
      <c r="W183" s="144">
        <v>11359.0746</v>
      </c>
      <c r="X183" s="145" t="s">
        <v>3876</v>
      </c>
      <c r="Y183" s="146">
        <v>2.8764173521127487E-3</v>
      </c>
      <c r="Z183" s="147">
        <v>5.033668115297967E-4</v>
      </c>
      <c r="AA183" s="181"/>
    </row>
    <row r="184" spans="1:27" ht="15" x14ac:dyDescent="0.2">
      <c r="A184" s="142" t="s">
        <v>1220</v>
      </c>
      <c r="B184" s="143" t="s">
        <v>1220</v>
      </c>
      <c r="C184" s="143" t="s">
        <v>3261</v>
      </c>
      <c r="D184" s="145" t="s">
        <v>3876</v>
      </c>
      <c r="E184" s="145" t="s">
        <v>3876</v>
      </c>
      <c r="F184" s="143" t="s">
        <v>3352</v>
      </c>
      <c r="G184" s="143" t="s">
        <v>3353</v>
      </c>
      <c r="H184" s="143" t="s">
        <v>312</v>
      </c>
      <c r="I184" s="143" t="s">
        <v>1000</v>
      </c>
      <c r="J184" s="145" t="s">
        <v>3876</v>
      </c>
      <c r="K184" s="143" t="s">
        <v>205</v>
      </c>
      <c r="L184" s="145" t="s">
        <v>3876</v>
      </c>
      <c r="M184" s="145" t="s">
        <v>3876</v>
      </c>
      <c r="N184" s="143" t="s">
        <v>296</v>
      </c>
      <c r="O184" s="143" t="s">
        <v>339</v>
      </c>
      <c r="P184" s="162">
        <v>45371</v>
      </c>
      <c r="Q184" s="143" t="s">
        <v>1211</v>
      </c>
      <c r="R184" s="143" t="s">
        <v>885</v>
      </c>
      <c r="S184" s="143" t="s">
        <v>889</v>
      </c>
      <c r="T184" s="163">
        <v>45371</v>
      </c>
      <c r="U184" s="143" t="s">
        <v>1212</v>
      </c>
      <c r="V184" s="144">
        <v>2223</v>
      </c>
      <c r="W184" s="144">
        <v>8356.2569999999996</v>
      </c>
      <c r="X184" s="146">
        <v>1.7784000000000001E-3</v>
      </c>
      <c r="Y184" s="146">
        <v>2.1160247256282946E-3</v>
      </c>
      <c r="Z184" s="147">
        <v>3.7029974752286109E-4</v>
      </c>
      <c r="AA184" s="181"/>
    </row>
    <row r="185" spans="1:27" ht="15" x14ac:dyDescent="0.2">
      <c r="A185" s="142" t="s">
        <v>1220</v>
      </c>
      <c r="B185" s="143" t="s">
        <v>1220</v>
      </c>
      <c r="C185" s="143" t="s">
        <v>3354</v>
      </c>
      <c r="D185" s="145" t="s">
        <v>3876</v>
      </c>
      <c r="E185" s="145" t="s">
        <v>3876</v>
      </c>
      <c r="F185" s="143" t="s">
        <v>3355</v>
      </c>
      <c r="G185" s="143" t="s">
        <v>3356</v>
      </c>
      <c r="H185" s="143" t="s">
        <v>312</v>
      </c>
      <c r="I185" s="143" t="s">
        <v>1000</v>
      </c>
      <c r="J185" s="145" t="s">
        <v>3876</v>
      </c>
      <c r="K185" s="143" t="s">
        <v>205</v>
      </c>
      <c r="L185" s="145" t="s">
        <v>3876</v>
      </c>
      <c r="M185" s="145" t="s">
        <v>3876</v>
      </c>
      <c r="N185" s="143" t="s">
        <v>293</v>
      </c>
      <c r="O185" s="143" t="s">
        <v>339</v>
      </c>
      <c r="P185" s="162">
        <v>45369</v>
      </c>
      <c r="Q185" s="143" t="s">
        <v>1213</v>
      </c>
      <c r="R185" s="143" t="s">
        <v>885</v>
      </c>
      <c r="S185" s="143" t="s">
        <v>889</v>
      </c>
      <c r="T185" s="163">
        <v>45463</v>
      </c>
      <c r="U185" s="143" t="s">
        <v>1214</v>
      </c>
      <c r="V185" s="144">
        <v>1683.1789214466944</v>
      </c>
      <c r="W185" s="144">
        <v>6766.7159000000001</v>
      </c>
      <c r="X185" s="146">
        <v>2.3103853411764706E-2</v>
      </c>
      <c r="Y185" s="146">
        <v>1.7135109725633943E-3</v>
      </c>
      <c r="Z185" s="147">
        <v>2.9986071184942141E-4</v>
      </c>
      <c r="AA185" s="181"/>
    </row>
    <row r="186" spans="1:27" ht="15" x14ac:dyDescent="0.2">
      <c r="A186" s="142" t="s">
        <v>1220</v>
      </c>
      <c r="B186" s="143" t="s">
        <v>1220</v>
      </c>
      <c r="C186" s="143" t="s">
        <v>3357</v>
      </c>
      <c r="D186" s="145" t="s">
        <v>3876</v>
      </c>
      <c r="E186" s="145" t="s">
        <v>3876</v>
      </c>
      <c r="F186" s="143" t="s">
        <v>3358</v>
      </c>
      <c r="G186" s="143" t="s">
        <v>3359</v>
      </c>
      <c r="H186" s="143" t="s">
        <v>312</v>
      </c>
      <c r="I186" s="143" t="s">
        <v>1000</v>
      </c>
      <c r="J186" s="145" t="s">
        <v>3876</v>
      </c>
      <c r="K186" s="143" t="s">
        <v>205</v>
      </c>
      <c r="L186" s="145" t="s">
        <v>3876</v>
      </c>
      <c r="M186" s="145" t="s">
        <v>3876</v>
      </c>
      <c r="N186" s="143" t="s">
        <v>291</v>
      </c>
      <c r="O186" s="143" t="s">
        <v>339</v>
      </c>
      <c r="P186" s="162">
        <v>45230</v>
      </c>
      <c r="Q186" s="143" t="s">
        <v>1211</v>
      </c>
      <c r="R186" s="143" t="s">
        <v>885</v>
      </c>
      <c r="S186" s="143" t="s">
        <v>889</v>
      </c>
      <c r="T186" s="163">
        <v>45470</v>
      </c>
      <c r="U186" s="143" t="s">
        <v>1212</v>
      </c>
      <c r="V186" s="144">
        <v>1537.783692471402</v>
      </c>
      <c r="W186" s="144">
        <v>5780.5289000000002</v>
      </c>
      <c r="X186" s="145" t="s">
        <v>3876</v>
      </c>
      <c r="Y186" s="146">
        <v>1.4637824121821652E-3</v>
      </c>
      <c r="Z186" s="147">
        <v>2.561587542406988E-4</v>
      </c>
      <c r="AA186" s="181"/>
    </row>
    <row r="187" spans="1:27" ht="15" x14ac:dyDescent="0.2">
      <c r="A187" s="142" t="s">
        <v>1220</v>
      </c>
      <c r="B187" s="143" t="s">
        <v>1220</v>
      </c>
      <c r="C187" s="143" t="s">
        <v>3360</v>
      </c>
      <c r="D187" s="145" t="s">
        <v>3876</v>
      </c>
      <c r="E187" s="145" t="s">
        <v>3876</v>
      </c>
      <c r="F187" s="143" t="s">
        <v>3361</v>
      </c>
      <c r="G187" s="143" t="s">
        <v>3362</v>
      </c>
      <c r="H187" s="143" t="s">
        <v>312</v>
      </c>
      <c r="I187" s="143" t="s">
        <v>1000</v>
      </c>
      <c r="J187" s="145" t="s">
        <v>3876</v>
      </c>
      <c r="K187" s="143" t="s">
        <v>205</v>
      </c>
      <c r="L187" s="145" t="s">
        <v>3876</v>
      </c>
      <c r="M187" s="145" t="s">
        <v>3876</v>
      </c>
      <c r="N187" s="143" t="s">
        <v>217</v>
      </c>
      <c r="O187" s="143" t="s">
        <v>339</v>
      </c>
      <c r="P187" s="162">
        <v>45356</v>
      </c>
      <c r="Q187" s="143" t="s">
        <v>1211</v>
      </c>
      <c r="R187" s="143" t="s">
        <v>885</v>
      </c>
      <c r="S187" s="143" t="s">
        <v>889</v>
      </c>
      <c r="T187" s="163">
        <v>45460</v>
      </c>
      <c r="U187" s="143" t="s">
        <v>1212</v>
      </c>
      <c r="V187" s="144">
        <v>1022.4001064112797</v>
      </c>
      <c r="W187" s="144">
        <v>3843.2020000000002</v>
      </c>
      <c r="X187" s="145" t="s">
        <v>3876</v>
      </c>
      <c r="Y187" s="146">
        <v>9.7320013167050612E-4</v>
      </c>
      <c r="Z187" s="147">
        <v>1.7030791686037603E-4</v>
      </c>
      <c r="AA187" s="181"/>
    </row>
    <row r="188" spans="1:27" ht="15" x14ac:dyDescent="0.2">
      <c r="A188" s="142" t="s">
        <v>1220</v>
      </c>
      <c r="B188" s="143" t="s">
        <v>1220</v>
      </c>
      <c r="C188" s="143" t="s">
        <v>3307</v>
      </c>
      <c r="D188" s="145" t="s">
        <v>3876</v>
      </c>
      <c r="E188" s="145" t="s">
        <v>3876</v>
      </c>
      <c r="F188" s="143" t="s">
        <v>3363</v>
      </c>
      <c r="G188" s="143" t="s">
        <v>3364</v>
      </c>
      <c r="H188" s="143" t="s">
        <v>312</v>
      </c>
      <c r="I188" s="143" t="s">
        <v>1000</v>
      </c>
      <c r="J188" s="145" t="s">
        <v>3876</v>
      </c>
      <c r="K188" s="143" t="s">
        <v>205</v>
      </c>
      <c r="L188" s="145" t="s">
        <v>3876</v>
      </c>
      <c r="M188" s="145" t="s">
        <v>3876</v>
      </c>
      <c r="N188" s="143" t="s">
        <v>224</v>
      </c>
      <c r="O188" s="143" t="s">
        <v>339</v>
      </c>
      <c r="P188" s="162">
        <v>45306</v>
      </c>
      <c r="Q188" s="143" t="s">
        <v>1213</v>
      </c>
      <c r="R188" s="143" t="s">
        <v>885</v>
      </c>
      <c r="S188" s="143" t="s">
        <v>889</v>
      </c>
      <c r="T188" s="163">
        <v>45470</v>
      </c>
      <c r="U188" s="143" t="s">
        <v>1214</v>
      </c>
      <c r="V188" s="144">
        <v>914.97313566489231</v>
      </c>
      <c r="W188" s="144">
        <v>3678.375</v>
      </c>
      <c r="X188" s="145" t="s">
        <v>3876</v>
      </c>
      <c r="Y188" s="146">
        <v>9.3146160316204653E-4</v>
      </c>
      <c r="Z188" s="147">
        <v>1.6300376470115721E-4</v>
      </c>
      <c r="AA188" s="181"/>
    </row>
    <row r="189" spans="1:27" ht="15" x14ac:dyDescent="0.2">
      <c r="A189" s="142" t="s">
        <v>1220</v>
      </c>
      <c r="B189" s="143" t="s">
        <v>1220</v>
      </c>
      <c r="C189" s="143" t="s">
        <v>3365</v>
      </c>
      <c r="D189" s="145" t="s">
        <v>3876</v>
      </c>
      <c r="E189" s="145" t="s">
        <v>3876</v>
      </c>
      <c r="F189" s="143" t="s">
        <v>3366</v>
      </c>
      <c r="G189" s="143" t="s">
        <v>3367</v>
      </c>
      <c r="H189" s="143" t="s">
        <v>312</v>
      </c>
      <c r="I189" s="143" t="s">
        <v>1000</v>
      </c>
      <c r="J189" s="145" t="s">
        <v>3876</v>
      </c>
      <c r="K189" s="143" t="s">
        <v>205</v>
      </c>
      <c r="L189" s="145" t="s">
        <v>3876</v>
      </c>
      <c r="M189" s="145" t="s">
        <v>3876</v>
      </c>
      <c r="N189" s="143" t="s">
        <v>204</v>
      </c>
      <c r="O189" s="143" t="s">
        <v>339</v>
      </c>
      <c r="P189" s="162">
        <v>45342</v>
      </c>
      <c r="Q189" s="143" t="s">
        <v>1211</v>
      </c>
      <c r="R189" s="143" t="s">
        <v>885</v>
      </c>
      <c r="S189" s="143" t="s">
        <v>889</v>
      </c>
      <c r="T189" s="163">
        <v>45460</v>
      </c>
      <c r="U189" s="143" t="s">
        <v>1212</v>
      </c>
      <c r="V189" s="144">
        <v>541.99071561585527</v>
      </c>
      <c r="W189" s="144">
        <v>2037.3431</v>
      </c>
      <c r="X189" s="146">
        <v>2.1936194399999999E-3</v>
      </c>
      <c r="Y189" s="146">
        <v>5.1590902281590026E-4</v>
      </c>
      <c r="Z189" s="147">
        <v>9.028296247189152E-5</v>
      </c>
      <c r="AA189" s="181"/>
    </row>
    <row r="190" spans="1:27" ht="15" x14ac:dyDescent="0.2">
      <c r="A190" s="142" t="s">
        <v>1220</v>
      </c>
      <c r="B190" s="143" t="s">
        <v>1220</v>
      </c>
      <c r="C190" s="143" t="s">
        <v>3360</v>
      </c>
      <c r="D190" s="145" t="s">
        <v>3876</v>
      </c>
      <c r="E190" s="145" t="s">
        <v>3876</v>
      </c>
      <c r="F190" s="143" t="s">
        <v>3368</v>
      </c>
      <c r="G190" s="143" t="s">
        <v>3369</v>
      </c>
      <c r="H190" s="143" t="s">
        <v>312</v>
      </c>
      <c r="I190" s="143" t="s">
        <v>1000</v>
      </c>
      <c r="J190" s="145" t="s">
        <v>3876</v>
      </c>
      <c r="K190" s="143" t="s">
        <v>205</v>
      </c>
      <c r="L190" s="145" t="s">
        <v>3876</v>
      </c>
      <c r="M190" s="145" t="s">
        <v>3876</v>
      </c>
      <c r="N190" s="143" t="s">
        <v>217</v>
      </c>
      <c r="O190" s="143" t="s">
        <v>339</v>
      </c>
      <c r="P190" s="162">
        <v>45379</v>
      </c>
      <c r="Q190" s="143" t="s">
        <v>1211</v>
      </c>
      <c r="R190" s="143" t="s">
        <v>885</v>
      </c>
      <c r="S190" s="143" t="s">
        <v>889</v>
      </c>
      <c r="T190" s="163">
        <v>45379</v>
      </c>
      <c r="U190" s="143" t="s">
        <v>1212</v>
      </c>
      <c r="V190" s="144">
        <v>133.01822293163076</v>
      </c>
      <c r="W190" s="144">
        <v>500.01549999999997</v>
      </c>
      <c r="X190" s="146">
        <v>1.17601675E-3</v>
      </c>
      <c r="Y190" s="146">
        <v>1.2661711283828921E-4</v>
      </c>
      <c r="Z190" s="147">
        <v>2.2157720724255966E-5</v>
      </c>
      <c r="AA190" s="181"/>
    </row>
    <row r="191" spans="1:27" ht="15" x14ac:dyDescent="0.2">
      <c r="A191" s="142" t="s">
        <v>1220</v>
      </c>
      <c r="B191" s="143" t="s">
        <v>1220</v>
      </c>
      <c r="C191" s="143" t="s">
        <v>3370</v>
      </c>
      <c r="D191" s="145" t="s">
        <v>3876</v>
      </c>
      <c r="E191" s="145" t="s">
        <v>3876</v>
      </c>
      <c r="F191" s="143" t="s">
        <v>3371</v>
      </c>
      <c r="G191" s="143" t="s">
        <v>3372</v>
      </c>
      <c r="H191" s="143" t="s">
        <v>312</v>
      </c>
      <c r="I191" s="143" t="s">
        <v>1001</v>
      </c>
      <c r="J191" s="145" t="s">
        <v>3876</v>
      </c>
      <c r="K191" s="143" t="s">
        <v>204</v>
      </c>
      <c r="L191" s="145" t="s">
        <v>3876</v>
      </c>
      <c r="M191" s="145" t="s">
        <v>3876</v>
      </c>
      <c r="N191" s="143" t="s">
        <v>204</v>
      </c>
      <c r="O191" s="143" t="s">
        <v>339</v>
      </c>
      <c r="P191" s="162">
        <v>45138</v>
      </c>
      <c r="Q191" s="143" t="s">
        <v>1210</v>
      </c>
      <c r="R191" s="143" t="s">
        <v>885</v>
      </c>
      <c r="S191" s="143" t="s">
        <v>889</v>
      </c>
      <c r="T191" s="163">
        <v>45412</v>
      </c>
      <c r="U191" s="145" t="s">
        <v>3876</v>
      </c>
      <c r="V191" s="144">
        <v>411492.01889999997</v>
      </c>
      <c r="W191" s="144">
        <v>411492.01889999997</v>
      </c>
      <c r="X191" s="146">
        <v>0.43918909539682538</v>
      </c>
      <c r="Y191" s="146">
        <v>0.10420063510377126</v>
      </c>
      <c r="Z191" s="147">
        <v>1.8234885634047304E-2</v>
      </c>
      <c r="AA191" s="181"/>
    </row>
    <row r="192" spans="1:27" ht="15" x14ac:dyDescent="0.2">
      <c r="A192" s="142" t="s">
        <v>1220</v>
      </c>
      <c r="B192" s="143" t="s">
        <v>1220</v>
      </c>
      <c r="C192" s="143" t="s">
        <v>3602</v>
      </c>
      <c r="D192" s="145" t="s">
        <v>3876</v>
      </c>
      <c r="E192" s="145" t="s">
        <v>3876</v>
      </c>
      <c r="F192" s="143" t="s">
        <v>3603</v>
      </c>
      <c r="G192" s="143" t="s">
        <v>3604</v>
      </c>
      <c r="H192" s="143" t="s">
        <v>312</v>
      </c>
      <c r="I192" s="143" t="s">
        <v>1001</v>
      </c>
      <c r="J192" s="145" t="s">
        <v>3876</v>
      </c>
      <c r="K192" s="143" t="s">
        <v>204</v>
      </c>
      <c r="L192" s="145" t="s">
        <v>3876</v>
      </c>
      <c r="M192" s="145" t="s">
        <v>3876</v>
      </c>
      <c r="N192" s="143" t="s">
        <v>204</v>
      </c>
      <c r="O192" s="143" t="s">
        <v>339</v>
      </c>
      <c r="P192" s="162">
        <v>45286</v>
      </c>
      <c r="Q192" s="143" t="s">
        <v>1210</v>
      </c>
      <c r="R192" s="143" t="s">
        <v>885</v>
      </c>
      <c r="S192" s="143" t="s">
        <v>889</v>
      </c>
      <c r="T192" s="163">
        <v>45351</v>
      </c>
      <c r="U192" s="145" t="s">
        <v>3876</v>
      </c>
      <c r="V192" s="144">
        <v>62639.625399999997</v>
      </c>
      <c r="W192" s="144">
        <v>62639.625399999997</v>
      </c>
      <c r="X192" s="146">
        <v>4.7079468082012001E-2</v>
      </c>
      <c r="Y192" s="146">
        <v>1.5862005691444778E-2</v>
      </c>
      <c r="Z192" s="147">
        <v>2.7758166677396253E-3</v>
      </c>
      <c r="AA192" s="181"/>
    </row>
    <row r="193" spans="1:27" ht="15" x14ac:dyDescent="0.2">
      <c r="A193" s="142" t="s">
        <v>1220</v>
      </c>
      <c r="B193" s="143" t="s">
        <v>1220</v>
      </c>
      <c r="C193" s="143" t="s">
        <v>3602</v>
      </c>
      <c r="D193" s="145" t="s">
        <v>3876</v>
      </c>
      <c r="E193" s="145" t="s">
        <v>3876</v>
      </c>
      <c r="F193" s="143" t="s">
        <v>3605</v>
      </c>
      <c r="G193" s="143" t="s">
        <v>3606</v>
      </c>
      <c r="H193" s="143" t="s">
        <v>312</v>
      </c>
      <c r="I193" s="143" t="s">
        <v>1001</v>
      </c>
      <c r="J193" s="145" t="s">
        <v>3876</v>
      </c>
      <c r="K193" s="143" t="s">
        <v>204</v>
      </c>
      <c r="L193" s="145" t="s">
        <v>3876</v>
      </c>
      <c r="M193" s="145" t="s">
        <v>3876</v>
      </c>
      <c r="N193" s="143" t="s">
        <v>204</v>
      </c>
      <c r="O193" s="143" t="s">
        <v>339</v>
      </c>
      <c r="P193" s="162">
        <v>45286</v>
      </c>
      <c r="Q193" s="143" t="s">
        <v>1210</v>
      </c>
      <c r="R193" s="143" t="s">
        <v>885</v>
      </c>
      <c r="S193" s="143" t="s">
        <v>889</v>
      </c>
      <c r="T193" s="163">
        <v>45351</v>
      </c>
      <c r="U193" s="145" t="s">
        <v>3876</v>
      </c>
      <c r="V193" s="144">
        <v>54859.116399999999</v>
      </c>
      <c r="W193" s="144">
        <v>54859.116399999999</v>
      </c>
      <c r="X193" s="145" t="s">
        <v>3876</v>
      </c>
      <c r="Y193" s="146">
        <v>1.3891775545466729E-2</v>
      </c>
      <c r="Z193" s="147">
        <v>2.4310306561295889E-3</v>
      </c>
      <c r="AA193" s="181"/>
    </row>
    <row r="194" spans="1:27" ht="15" x14ac:dyDescent="0.2">
      <c r="A194" s="142" t="s">
        <v>1220</v>
      </c>
      <c r="B194" s="143" t="s">
        <v>1220</v>
      </c>
      <c r="C194" s="143" t="s">
        <v>3373</v>
      </c>
      <c r="D194" s="145" t="s">
        <v>3876</v>
      </c>
      <c r="E194" s="145" t="s">
        <v>3876</v>
      </c>
      <c r="F194" s="143" t="s">
        <v>3374</v>
      </c>
      <c r="G194" s="143" t="s">
        <v>3375</v>
      </c>
      <c r="H194" s="143" t="s">
        <v>312</v>
      </c>
      <c r="I194" s="143" t="s">
        <v>1001</v>
      </c>
      <c r="J194" s="145" t="s">
        <v>3876</v>
      </c>
      <c r="K194" s="143" t="s">
        <v>204</v>
      </c>
      <c r="L194" s="145" t="s">
        <v>3876</v>
      </c>
      <c r="M194" s="145" t="s">
        <v>3876</v>
      </c>
      <c r="N194" s="143" t="s">
        <v>204</v>
      </c>
      <c r="O194" s="143" t="s">
        <v>339</v>
      </c>
      <c r="P194" s="162">
        <v>44907</v>
      </c>
      <c r="Q194" s="143" t="s">
        <v>1211</v>
      </c>
      <c r="R194" s="143" t="s">
        <v>885</v>
      </c>
      <c r="S194" s="143" t="s">
        <v>889</v>
      </c>
      <c r="T194" s="163">
        <v>45442</v>
      </c>
      <c r="U194" s="143" t="s">
        <v>1212</v>
      </c>
      <c r="V194" s="144">
        <v>14156.642431497739</v>
      </c>
      <c r="W194" s="144">
        <v>53214.818899999998</v>
      </c>
      <c r="X194" s="145" t="s">
        <v>3876</v>
      </c>
      <c r="Y194" s="146">
        <v>1.3475396060549771E-2</v>
      </c>
      <c r="Z194" s="147">
        <v>2.3581651473900027E-3</v>
      </c>
      <c r="AA194" s="181"/>
    </row>
    <row r="195" spans="1:27" ht="15" x14ac:dyDescent="0.2">
      <c r="A195" s="142" t="s">
        <v>1220</v>
      </c>
      <c r="B195" s="143" t="s">
        <v>1220</v>
      </c>
      <c r="C195" s="143" t="s">
        <v>3376</v>
      </c>
      <c r="D195" s="145" t="s">
        <v>3876</v>
      </c>
      <c r="E195" s="145" t="s">
        <v>3876</v>
      </c>
      <c r="F195" s="143" t="s">
        <v>3377</v>
      </c>
      <c r="G195" s="143" t="s">
        <v>3378</v>
      </c>
      <c r="H195" s="143" t="s">
        <v>312</v>
      </c>
      <c r="I195" s="143" t="s">
        <v>1001</v>
      </c>
      <c r="J195" s="145" t="s">
        <v>3876</v>
      </c>
      <c r="K195" s="143" t="s">
        <v>204</v>
      </c>
      <c r="L195" s="145" t="s">
        <v>3876</v>
      </c>
      <c r="M195" s="145" t="s">
        <v>3876</v>
      </c>
      <c r="N195" s="143" t="s">
        <v>204</v>
      </c>
      <c r="O195" s="143" t="s">
        <v>339</v>
      </c>
      <c r="P195" s="162">
        <v>44418</v>
      </c>
      <c r="Q195" s="143" t="s">
        <v>1210</v>
      </c>
      <c r="R195" s="143" t="s">
        <v>885</v>
      </c>
      <c r="S195" s="143" t="s">
        <v>889</v>
      </c>
      <c r="T195" s="163">
        <v>45406</v>
      </c>
      <c r="U195" s="145" t="s">
        <v>3876</v>
      </c>
      <c r="V195" s="144">
        <v>40047.525600000001</v>
      </c>
      <c r="W195" s="144">
        <v>40047.525600000001</v>
      </c>
      <c r="X195" s="146">
        <v>6.213500307692308E-2</v>
      </c>
      <c r="Y195" s="146">
        <v>1.014109000255559E-2</v>
      </c>
      <c r="Z195" s="147">
        <v>1.7746688032853355E-3</v>
      </c>
      <c r="AA195" s="181"/>
    </row>
    <row r="196" spans="1:27" ht="15" x14ac:dyDescent="0.2">
      <c r="A196" s="142" t="s">
        <v>1220</v>
      </c>
      <c r="B196" s="143" t="s">
        <v>1220</v>
      </c>
      <c r="C196" s="143" t="s">
        <v>3379</v>
      </c>
      <c r="D196" s="145" t="s">
        <v>3876</v>
      </c>
      <c r="E196" s="145" t="s">
        <v>3876</v>
      </c>
      <c r="F196" s="143" t="s">
        <v>3380</v>
      </c>
      <c r="G196" s="143" t="s">
        <v>3381</v>
      </c>
      <c r="H196" s="143" t="s">
        <v>312</v>
      </c>
      <c r="I196" s="143" t="s">
        <v>1001</v>
      </c>
      <c r="J196" s="145" t="s">
        <v>3876</v>
      </c>
      <c r="K196" s="143" t="s">
        <v>204</v>
      </c>
      <c r="L196" s="145" t="s">
        <v>3876</v>
      </c>
      <c r="M196" s="145" t="s">
        <v>3876</v>
      </c>
      <c r="N196" s="143" t="s">
        <v>204</v>
      </c>
      <c r="O196" s="143" t="s">
        <v>339</v>
      </c>
      <c r="P196" s="162">
        <v>45172</v>
      </c>
      <c r="Q196" s="143" t="s">
        <v>1210</v>
      </c>
      <c r="R196" s="143" t="s">
        <v>885</v>
      </c>
      <c r="S196" s="143" t="s">
        <v>889</v>
      </c>
      <c r="T196" s="163">
        <v>45427</v>
      </c>
      <c r="U196" s="145" t="s">
        <v>3876</v>
      </c>
      <c r="V196" s="144">
        <v>30214.585800000001</v>
      </c>
      <c r="W196" s="144">
        <v>30214.585800000001</v>
      </c>
      <c r="X196" s="146">
        <v>1.8451916874999998E-2</v>
      </c>
      <c r="Y196" s="146">
        <v>7.6511302397601075E-3</v>
      </c>
      <c r="Z196" s="147">
        <v>1.338931233521599E-3</v>
      </c>
      <c r="AA196" s="181"/>
    </row>
    <row r="197" spans="1:27" ht="15" x14ac:dyDescent="0.2">
      <c r="A197" s="142" t="s">
        <v>1220</v>
      </c>
      <c r="B197" s="143" t="s">
        <v>1220</v>
      </c>
      <c r="C197" s="143" t="s">
        <v>3379</v>
      </c>
      <c r="D197" s="145" t="s">
        <v>3876</v>
      </c>
      <c r="E197" s="145" t="s">
        <v>3876</v>
      </c>
      <c r="F197" s="143" t="s">
        <v>3382</v>
      </c>
      <c r="G197" s="143" t="s">
        <v>3383</v>
      </c>
      <c r="H197" s="143" t="s">
        <v>312</v>
      </c>
      <c r="I197" s="143" t="s">
        <v>1001</v>
      </c>
      <c r="J197" s="145" t="s">
        <v>3876</v>
      </c>
      <c r="K197" s="143" t="s">
        <v>204</v>
      </c>
      <c r="L197" s="145" t="s">
        <v>3876</v>
      </c>
      <c r="M197" s="145" t="s">
        <v>3876</v>
      </c>
      <c r="N197" s="143" t="s">
        <v>204</v>
      </c>
      <c r="O197" s="143" t="s">
        <v>339</v>
      </c>
      <c r="P197" s="162">
        <v>45279</v>
      </c>
      <c r="Q197" s="143" t="s">
        <v>1210</v>
      </c>
      <c r="R197" s="143" t="s">
        <v>885</v>
      </c>
      <c r="S197" s="143" t="s">
        <v>889</v>
      </c>
      <c r="T197" s="163">
        <v>45463</v>
      </c>
      <c r="U197" s="145" t="s">
        <v>3876</v>
      </c>
      <c r="V197" s="144">
        <v>28578.740399999999</v>
      </c>
      <c r="W197" s="144">
        <v>28578.740399999999</v>
      </c>
      <c r="X197" s="146">
        <v>1.283551455E-2</v>
      </c>
      <c r="Y197" s="146">
        <v>7.2368910177707264E-3</v>
      </c>
      <c r="Z197" s="147">
        <v>1.2664402661624211E-3</v>
      </c>
      <c r="AA197" s="181"/>
    </row>
    <row r="198" spans="1:27" ht="15" x14ac:dyDescent="0.2">
      <c r="A198" s="142" t="s">
        <v>1220</v>
      </c>
      <c r="B198" s="143" t="s">
        <v>1220</v>
      </c>
      <c r="C198" s="143" t="s">
        <v>3390</v>
      </c>
      <c r="D198" s="145" t="s">
        <v>3876</v>
      </c>
      <c r="E198" s="145" t="s">
        <v>3876</v>
      </c>
      <c r="F198" s="143" t="s">
        <v>3607</v>
      </c>
      <c r="G198" s="143" t="s">
        <v>3608</v>
      </c>
      <c r="H198" s="143" t="s">
        <v>312</v>
      </c>
      <c r="I198" s="143" t="s">
        <v>1001</v>
      </c>
      <c r="J198" s="145" t="s">
        <v>3876</v>
      </c>
      <c r="K198" s="143" t="s">
        <v>204</v>
      </c>
      <c r="L198" s="145" t="s">
        <v>3876</v>
      </c>
      <c r="M198" s="145" t="s">
        <v>3876</v>
      </c>
      <c r="N198" s="143" t="s">
        <v>204</v>
      </c>
      <c r="O198" s="143" t="s">
        <v>339</v>
      </c>
      <c r="P198" s="162">
        <v>42786</v>
      </c>
      <c r="Q198" s="143" t="s">
        <v>1210</v>
      </c>
      <c r="R198" s="143" t="s">
        <v>885</v>
      </c>
      <c r="S198" s="143" t="s">
        <v>889</v>
      </c>
      <c r="T198" s="163">
        <v>45403</v>
      </c>
      <c r="U198" s="145" t="s">
        <v>3876</v>
      </c>
      <c r="V198" s="144">
        <v>28193.3809</v>
      </c>
      <c r="W198" s="144">
        <v>28193.3809</v>
      </c>
      <c r="X198" s="145" t="s">
        <v>3876</v>
      </c>
      <c r="Y198" s="146">
        <v>7.1393078349992886E-3</v>
      </c>
      <c r="Z198" s="147">
        <v>1.2493634203651625E-3</v>
      </c>
      <c r="AA198" s="181"/>
    </row>
    <row r="199" spans="1:27" ht="15" x14ac:dyDescent="0.2">
      <c r="A199" s="142" t="s">
        <v>1220</v>
      </c>
      <c r="B199" s="143" t="s">
        <v>1220</v>
      </c>
      <c r="C199" s="143" t="s">
        <v>3384</v>
      </c>
      <c r="D199" s="145" t="s">
        <v>3876</v>
      </c>
      <c r="E199" s="145" t="s">
        <v>3876</v>
      </c>
      <c r="F199" s="143" t="s">
        <v>3385</v>
      </c>
      <c r="G199" s="143" t="s">
        <v>3386</v>
      </c>
      <c r="H199" s="143" t="s">
        <v>312</v>
      </c>
      <c r="I199" s="143" t="s">
        <v>1001</v>
      </c>
      <c r="J199" s="145" t="s">
        <v>3876</v>
      </c>
      <c r="K199" s="143" t="s">
        <v>204</v>
      </c>
      <c r="L199" s="145" t="s">
        <v>3876</v>
      </c>
      <c r="M199" s="145" t="s">
        <v>3876</v>
      </c>
      <c r="N199" s="143" t="s">
        <v>204</v>
      </c>
      <c r="O199" s="143" t="s">
        <v>339</v>
      </c>
      <c r="P199" s="162">
        <v>42801</v>
      </c>
      <c r="Q199" s="143" t="s">
        <v>1210</v>
      </c>
      <c r="R199" s="143" t="s">
        <v>885</v>
      </c>
      <c r="S199" s="143" t="s">
        <v>889</v>
      </c>
      <c r="T199" s="163">
        <v>45355</v>
      </c>
      <c r="U199" s="145" t="s">
        <v>3876</v>
      </c>
      <c r="V199" s="144">
        <v>20265.3308</v>
      </c>
      <c r="W199" s="144">
        <v>20265.3308</v>
      </c>
      <c r="X199" s="146">
        <v>0.33748103395061729</v>
      </c>
      <c r="Y199" s="146">
        <v>5.1317164052841714E-3</v>
      </c>
      <c r="Z199" s="147">
        <v>8.9803926495774758E-4</v>
      </c>
      <c r="AA199" s="181"/>
    </row>
    <row r="200" spans="1:27" ht="15" x14ac:dyDescent="0.2">
      <c r="A200" s="142" t="s">
        <v>1220</v>
      </c>
      <c r="B200" s="143" t="s">
        <v>1220</v>
      </c>
      <c r="C200" s="143" t="s">
        <v>3387</v>
      </c>
      <c r="D200" s="145" t="s">
        <v>3876</v>
      </c>
      <c r="E200" s="145" t="s">
        <v>3876</v>
      </c>
      <c r="F200" s="143" t="s">
        <v>3388</v>
      </c>
      <c r="G200" s="143" t="s">
        <v>3389</v>
      </c>
      <c r="H200" s="143" t="s">
        <v>312</v>
      </c>
      <c r="I200" s="143" t="s">
        <v>1001</v>
      </c>
      <c r="J200" s="145" t="s">
        <v>3876</v>
      </c>
      <c r="K200" s="143" t="s">
        <v>204</v>
      </c>
      <c r="L200" s="145" t="s">
        <v>3876</v>
      </c>
      <c r="M200" s="145" t="s">
        <v>3876</v>
      </c>
      <c r="N200" s="143" t="s">
        <v>204</v>
      </c>
      <c r="O200" s="143" t="s">
        <v>339</v>
      </c>
      <c r="P200" s="162">
        <v>45237</v>
      </c>
      <c r="Q200" s="143" t="s">
        <v>1210</v>
      </c>
      <c r="R200" s="143" t="s">
        <v>885</v>
      </c>
      <c r="S200" s="143" t="s">
        <v>889</v>
      </c>
      <c r="T200" s="163">
        <v>45432</v>
      </c>
      <c r="U200" s="145" t="s">
        <v>3876</v>
      </c>
      <c r="V200" s="144">
        <v>8111.8762000000006</v>
      </c>
      <c r="W200" s="144">
        <v>8111.8762000000006</v>
      </c>
      <c r="X200" s="145" t="s">
        <v>3876</v>
      </c>
      <c r="Y200" s="146">
        <v>2.054141071652439E-3</v>
      </c>
      <c r="Z200" s="147">
        <v>3.5947024200456084E-4</v>
      </c>
      <c r="AA200" s="181"/>
    </row>
    <row r="201" spans="1:27" ht="15" x14ac:dyDescent="0.2">
      <c r="A201" s="142" t="s">
        <v>1220</v>
      </c>
      <c r="B201" s="143" t="s">
        <v>1220</v>
      </c>
      <c r="C201" s="143" t="s">
        <v>3390</v>
      </c>
      <c r="D201" s="145" t="s">
        <v>3876</v>
      </c>
      <c r="E201" s="145" t="s">
        <v>3876</v>
      </c>
      <c r="F201" s="143" t="s">
        <v>3609</v>
      </c>
      <c r="G201" s="143" t="s">
        <v>3610</v>
      </c>
      <c r="H201" s="143" t="s">
        <v>312</v>
      </c>
      <c r="I201" s="143" t="s">
        <v>1001</v>
      </c>
      <c r="J201" s="145" t="s">
        <v>3876</v>
      </c>
      <c r="K201" s="143" t="s">
        <v>204</v>
      </c>
      <c r="L201" s="145" t="s">
        <v>3876</v>
      </c>
      <c r="M201" s="145" t="s">
        <v>3876</v>
      </c>
      <c r="N201" s="143" t="s">
        <v>204</v>
      </c>
      <c r="O201" s="143" t="s">
        <v>339</v>
      </c>
      <c r="P201" s="162">
        <v>43480</v>
      </c>
      <c r="Q201" s="143" t="s">
        <v>1211</v>
      </c>
      <c r="R201" s="143" t="s">
        <v>885</v>
      </c>
      <c r="S201" s="143" t="s">
        <v>889</v>
      </c>
      <c r="T201" s="163">
        <v>45440</v>
      </c>
      <c r="U201" s="143" t="s">
        <v>1212</v>
      </c>
      <c r="V201" s="144">
        <v>1734.6593774940143</v>
      </c>
      <c r="W201" s="144">
        <v>6520.5845999999992</v>
      </c>
      <c r="X201" s="145" t="s">
        <v>3876</v>
      </c>
      <c r="Y201" s="146">
        <v>1.6511840555786079E-3</v>
      </c>
      <c r="Z201" s="147">
        <v>2.8895363626386001E-4</v>
      </c>
      <c r="AA201" s="181"/>
    </row>
    <row r="202" spans="1:27" ht="15" x14ac:dyDescent="0.2">
      <c r="A202" s="142" t="s">
        <v>1220</v>
      </c>
      <c r="B202" s="143" t="s">
        <v>1220</v>
      </c>
      <c r="C202" s="143" t="s">
        <v>3390</v>
      </c>
      <c r="D202" s="145" t="s">
        <v>3876</v>
      </c>
      <c r="E202" s="145" t="s">
        <v>3876</v>
      </c>
      <c r="F202" s="143" t="s">
        <v>3391</v>
      </c>
      <c r="G202" s="143" t="s">
        <v>3392</v>
      </c>
      <c r="H202" s="143" t="s">
        <v>312</v>
      </c>
      <c r="I202" s="143" t="s">
        <v>1001</v>
      </c>
      <c r="J202" s="145" t="s">
        <v>3876</v>
      </c>
      <c r="K202" s="143" t="s">
        <v>204</v>
      </c>
      <c r="L202" s="145" t="s">
        <v>3876</v>
      </c>
      <c r="M202" s="145" t="s">
        <v>3876</v>
      </c>
      <c r="N202" s="143" t="s">
        <v>204</v>
      </c>
      <c r="O202" s="143" t="s">
        <v>339</v>
      </c>
      <c r="P202" s="162">
        <v>42543</v>
      </c>
      <c r="Q202" s="143" t="s">
        <v>1210</v>
      </c>
      <c r="R202" s="143" t="s">
        <v>885</v>
      </c>
      <c r="S202" s="143" t="s">
        <v>889</v>
      </c>
      <c r="T202" s="163">
        <v>45256</v>
      </c>
      <c r="U202" s="145" t="s">
        <v>3876</v>
      </c>
      <c r="V202" s="144">
        <v>4.0000000000000002E-4</v>
      </c>
      <c r="W202" s="144">
        <v>4.0000000000000002E-4</v>
      </c>
      <c r="X202" s="146">
        <v>0.26005830903790089</v>
      </c>
      <c r="Y202" s="146">
        <v>1.1293896628959824E-10</v>
      </c>
      <c r="Z202" s="147">
        <v>1.9764074680230162E-11</v>
      </c>
      <c r="AA202" s="181"/>
    </row>
    <row r="203" spans="1:27" ht="15" x14ac:dyDescent="0.2">
      <c r="A203" s="142" t="s">
        <v>1220</v>
      </c>
      <c r="B203" s="143" t="s">
        <v>1220</v>
      </c>
      <c r="C203" s="143" t="s">
        <v>3393</v>
      </c>
      <c r="D203" s="145" t="s">
        <v>3876</v>
      </c>
      <c r="E203" s="145" t="s">
        <v>3876</v>
      </c>
      <c r="F203" s="143" t="s">
        <v>3394</v>
      </c>
      <c r="G203" s="143" t="s">
        <v>3395</v>
      </c>
      <c r="H203" s="143" t="s">
        <v>312</v>
      </c>
      <c r="I203" s="143" t="s">
        <v>1001</v>
      </c>
      <c r="J203" s="145" t="s">
        <v>3876</v>
      </c>
      <c r="K203" s="143" t="s">
        <v>204</v>
      </c>
      <c r="L203" s="145" t="s">
        <v>3876</v>
      </c>
      <c r="M203" s="145" t="s">
        <v>3876</v>
      </c>
      <c r="N203" s="143" t="s">
        <v>204</v>
      </c>
      <c r="O203" s="143" t="s">
        <v>339</v>
      </c>
      <c r="P203" s="162">
        <v>44438</v>
      </c>
      <c r="Q203" s="143" t="s">
        <v>1211</v>
      </c>
      <c r="R203" s="143" t="s">
        <v>885</v>
      </c>
      <c r="S203" s="143" t="s">
        <v>889</v>
      </c>
      <c r="T203" s="163">
        <v>45466</v>
      </c>
      <c r="U203" s="143" t="s">
        <v>1212</v>
      </c>
      <c r="V203" s="145" t="s">
        <v>3876</v>
      </c>
      <c r="W203" s="144">
        <v>0</v>
      </c>
      <c r="X203" s="145" t="s">
        <v>3876</v>
      </c>
      <c r="Y203" s="146">
        <v>1.1659077306278977E-11</v>
      </c>
      <c r="Z203" s="147">
        <v>2.0403132962365113E-12</v>
      </c>
      <c r="AA203" s="181"/>
    </row>
    <row r="204" spans="1:27" ht="15" x14ac:dyDescent="0.2">
      <c r="A204" s="142" t="s">
        <v>1220</v>
      </c>
      <c r="B204" s="143" t="s">
        <v>1220</v>
      </c>
      <c r="C204" s="143" t="s">
        <v>3396</v>
      </c>
      <c r="D204" s="145" t="s">
        <v>3876</v>
      </c>
      <c r="E204" s="145" t="s">
        <v>3876</v>
      </c>
      <c r="F204" s="143" t="s">
        <v>3397</v>
      </c>
      <c r="G204" s="143" t="s">
        <v>3398</v>
      </c>
      <c r="H204" s="143" t="s">
        <v>312</v>
      </c>
      <c r="I204" s="143" t="s">
        <v>1001</v>
      </c>
      <c r="J204" s="145" t="s">
        <v>3876</v>
      </c>
      <c r="K204" s="143" t="s">
        <v>205</v>
      </c>
      <c r="L204" s="145" t="s">
        <v>3876</v>
      </c>
      <c r="M204" s="145" t="s">
        <v>3876</v>
      </c>
      <c r="N204" s="143" t="s">
        <v>204</v>
      </c>
      <c r="O204" s="143" t="s">
        <v>339</v>
      </c>
      <c r="P204" s="162">
        <v>45147</v>
      </c>
      <c r="Q204" s="143" t="s">
        <v>1211</v>
      </c>
      <c r="R204" s="143" t="s">
        <v>885</v>
      </c>
      <c r="S204" s="143" t="s">
        <v>889</v>
      </c>
      <c r="T204" s="163">
        <v>45442</v>
      </c>
      <c r="U204" s="143" t="s">
        <v>1212</v>
      </c>
      <c r="V204" s="144">
        <v>12292.549162011173</v>
      </c>
      <c r="W204" s="144">
        <v>46207.692299999995</v>
      </c>
      <c r="X204" s="146">
        <v>3.5799850931677021E-2</v>
      </c>
      <c r="Y204" s="146">
        <v>1.1701006740384687E-2</v>
      </c>
      <c r="Z204" s="147">
        <v>2.0476508564620942E-3</v>
      </c>
      <c r="AA204" s="181"/>
    </row>
    <row r="205" spans="1:27" ht="15" x14ac:dyDescent="0.2">
      <c r="A205" s="142" t="s">
        <v>1220</v>
      </c>
      <c r="B205" s="143" t="s">
        <v>1220</v>
      </c>
      <c r="C205" s="143" t="s">
        <v>3399</v>
      </c>
      <c r="D205" s="145" t="s">
        <v>3876</v>
      </c>
      <c r="E205" s="145" t="s">
        <v>3876</v>
      </c>
      <c r="F205" s="143" t="s">
        <v>3400</v>
      </c>
      <c r="G205" s="143" t="s">
        <v>3401</v>
      </c>
      <c r="H205" s="143" t="s">
        <v>312</v>
      </c>
      <c r="I205" s="143" t="s">
        <v>1001</v>
      </c>
      <c r="J205" s="145" t="s">
        <v>3876</v>
      </c>
      <c r="K205" s="143" t="s">
        <v>205</v>
      </c>
      <c r="L205" s="145" t="s">
        <v>3876</v>
      </c>
      <c r="M205" s="145" t="s">
        <v>3876</v>
      </c>
      <c r="N205" s="143" t="s">
        <v>224</v>
      </c>
      <c r="O205" s="143" t="s">
        <v>339</v>
      </c>
      <c r="P205" s="162">
        <v>45281</v>
      </c>
      <c r="Q205" s="143" t="s">
        <v>1211</v>
      </c>
      <c r="R205" s="143" t="s">
        <v>885</v>
      </c>
      <c r="S205" s="143" t="s">
        <v>889</v>
      </c>
      <c r="T205" s="163">
        <v>45470</v>
      </c>
      <c r="U205" s="143" t="s">
        <v>1212</v>
      </c>
      <c r="V205" s="144">
        <v>10355.621548284118</v>
      </c>
      <c r="W205" s="144">
        <v>38926.7814</v>
      </c>
      <c r="X205" s="146">
        <v>1.4644994904458598E-2</v>
      </c>
      <c r="Y205" s="146">
        <v>9.8572880030982288E-3</v>
      </c>
      <c r="Z205" s="147">
        <v>1.7250040675794046E-3</v>
      </c>
      <c r="AA205" s="181"/>
    </row>
    <row r="206" spans="1:27" ht="15" x14ac:dyDescent="0.2">
      <c r="A206" s="142" t="s">
        <v>1220</v>
      </c>
      <c r="B206" s="143" t="s">
        <v>1220</v>
      </c>
      <c r="C206" s="143" t="s">
        <v>3328</v>
      </c>
      <c r="D206" s="145" t="s">
        <v>3876</v>
      </c>
      <c r="E206" s="145" t="s">
        <v>3876</v>
      </c>
      <c r="F206" s="143" t="s">
        <v>3402</v>
      </c>
      <c r="G206" s="143" t="s">
        <v>3403</v>
      </c>
      <c r="H206" s="143" t="s">
        <v>312</v>
      </c>
      <c r="I206" s="143" t="s">
        <v>1001</v>
      </c>
      <c r="J206" s="145" t="s">
        <v>3876</v>
      </c>
      <c r="K206" s="143" t="s">
        <v>205</v>
      </c>
      <c r="L206" s="145" t="s">
        <v>3876</v>
      </c>
      <c r="M206" s="145" t="s">
        <v>3876</v>
      </c>
      <c r="N206" s="143" t="s">
        <v>291</v>
      </c>
      <c r="O206" s="143" t="s">
        <v>339</v>
      </c>
      <c r="P206" s="162">
        <v>45337</v>
      </c>
      <c r="Q206" s="143" t="s">
        <v>1211</v>
      </c>
      <c r="R206" s="143" t="s">
        <v>885</v>
      </c>
      <c r="S206" s="143" t="s">
        <v>889</v>
      </c>
      <c r="T206" s="163">
        <v>45470</v>
      </c>
      <c r="U206" s="143" t="s">
        <v>1212</v>
      </c>
      <c r="V206" s="144">
        <v>7306.2603085927103</v>
      </c>
      <c r="W206" s="144">
        <v>27464.232499999998</v>
      </c>
      <c r="X206" s="146">
        <v>2.6787708039999998E-3</v>
      </c>
      <c r="Y206" s="146">
        <v>6.9546682246090724E-3</v>
      </c>
      <c r="Z206" s="147">
        <v>1.2170518881405496E-3</v>
      </c>
      <c r="AA206" s="181"/>
    </row>
    <row r="207" spans="1:27" ht="15" x14ac:dyDescent="0.2">
      <c r="A207" s="142" t="s">
        <v>1220</v>
      </c>
      <c r="B207" s="143" t="s">
        <v>1220</v>
      </c>
      <c r="C207" s="143" t="s">
        <v>3404</v>
      </c>
      <c r="D207" s="145" t="s">
        <v>3876</v>
      </c>
      <c r="E207" s="145" t="s">
        <v>3876</v>
      </c>
      <c r="F207" s="143" t="s">
        <v>3405</v>
      </c>
      <c r="G207" s="143" t="s">
        <v>3406</v>
      </c>
      <c r="H207" s="143" t="s">
        <v>321</v>
      </c>
      <c r="I207" s="143" t="s">
        <v>1002</v>
      </c>
      <c r="J207" s="145" t="s">
        <v>3876</v>
      </c>
      <c r="K207" s="143" t="s">
        <v>204</v>
      </c>
      <c r="L207" s="145" t="s">
        <v>3876</v>
      </c>
      <c r="M207" s="145" t="s">
        <v>3876</v>
      </c>
      <c r="N207" s="143" t="s">
        <v>204</v>
      </c>
      <c r="O207" s="143" t="s">
        <v>339</v>
      </c>
      <c r="P207" s="162">
        <v>43523</v>
      </c>
      <c r="Q207" s="143" t="s">
        <v>1210</v>
      </c>
      <c r="R207" s="143" t="s">
        <v>885</v>
      </c>
      <c r="S207" s="143" t="s">
        <v>889</v>
      </c>
      <c r="T207" s="163">
        <v>45456</v>
      </c>
      <c r="U207" s="145" t="s">
        <v>3876</v>
      </c>
      <c r="V207" s="144">
        <v>35384.232200000006</v>
      </c>
      <c r="W207" s="144">
        <v>35384.232200000006</v>
      </c>
      <c r="X207" s="145" t="s">
        <v>3876</v>
      </c>
      <c r="Y207" s="146">
        <v>8.9602210961322818E-3</v>
      </c>
      <c r="Z207" s="147">
        <v>1.5680193002761912E-3</v>
      </c>
      <c r="AA207" s="181"/>
    </row>
    <row r="208" spans="1:27" ht="15" x14ac:dyDescent="0.2">
      <c r="A208" s="142" t="s">
        <v>1220</v>
      </c>
      <c r="B208" s="143" t="s">
        <v>1220</v>
      </c>
      <c r="C208" s="143" t="s">
        <v>3407</v>
      </c>
      <c r="D208" s="145" t="s">
        <v>3876</v>
      </c>
      <c r="E208" s="145" t="s">
        <v>3876</v>
      </c>
      <c r="F208" s="143" t="s">
        <v>3408</v>
      </c>
      <c r="G208" s="143" t="s">
        <v>3409</v>
      </c>
      <c r="H208" s="143" t="s">
        <v>312</v>
      </c>
      <c r="I208" s="143" t="s">
        <v>1002</v>
      </c>
      <c r="J208" s="145" t="s">
        <v>3876</v>
      </c>
      <c r="K208" s="143" t="s">
        <v>204</v>
      </c>
      <c r="L208" s="145" t="s">
        <v>3876</v>
      </c>
      <c r="M208" s="145" t="s">
        <v>3876</v>
      </c>
      <c r="N208" s="143" t="s">
        <v>204</v>
      </c>
      <c r="O208" s="143" t="s">
        <v>339</v>
      </c>
      <c r="P208" s="162">
        <v>44420</v>
      </c>
      <c r="Q208" s="143" t="s">
        <v>1210</v>
      </c>
      <c r="R208" s="143" t="s">
        <v>885</v>
      </c>
      <c r="S208" s="143" t="s">
        <v>889</v>
      </c>
      <c r="T208" s="163">
        <v>45447</v>
      </c>
      <c r="U208" s="145" t="s">
        <v>3876</v>
      </c>
      <c r="V208" s="144">
        <v>36925.183499999999</v>
      </c>
      <c r="W208" s="144">
        <v>36925.183499999999</v>
      </c>
      <c r="X208" s="145" t="s">
        <v>3876</v>
      </c>
      <c r="Y208" s="146">
        <v>9.3504306228924597E-3</v>
      </c>
      <c r="Z208" s="147">
        <v>1.6363051229748864E-3</v>
      </c>
      <c r="AA208" s="181"/>
    </row>
    <row r="209" spans="1:27" ht="15" x14ac:dyDescent="0.2">
      <c r="A209" s="142" t="s">
        <v>1220</v>
      </c>
      <c r="B209" s="143" t="s">
        <v>1220</v>
      </c>
      <c r="C209" s="143" t="s">
        <v>3410</v>
      </c>
      <c r="D209" s="145" t="s">
        <v>3876</v>
      </c>
      <c r="E209" s="145" t="s">
        <v>3876</v>
      </c>
      <c r="F209" s="143" t="s">
        <v>3411</v>
      </c>
      <c r="G209" s="143" t="s">
        <v>3412</v>
      </c>
      <c r="H209" s="143" t="s">
        <v>312</v>
      </c>
      <c r="I209" s="143" t="s">
        <v>1002</v>
      </c>
      <c r="J209" s="145" t="s">
        <v>3876</v>
      </c>
      <c r="K209" s="143" t="s">
        <v>204</v>
      </c>
      <c r="L209" s="145" t="s">
        <v>3876</v>
      </c>
      <c r="M209" s="145" t="s">
        <v>3876</v>
      </c>
      <c r="N209" s="143" t="s">
        <v>204</v>
      </c>
      <c r="O209" s="143" t="s">
        <v>339</v>
      </c>
      <c r="P209" s="162">
        <v>44406</v>
      </c>
      <c r="Q209" s="143" t="s">
        <v>1210</v>
      </c>
      <c r="R209" s="143" t="s">
        <v>885</v>
      </c>
      <c r="S209" s="143" t="s">
        <v>889</v>
      </c>
      <c r="T209" s="163">
        <v>45448</v>
      </c>
      <c r="U209" s="145" t="s">
        <v>3876</v>
      </c>
      <c r="V209" s="144">
        <v>25594.966</v>
      </c>
      <c r="W209" s="144">
        <v>25594.966</v>
      </c>
      <c r="X209" s="145" t="s">
        <v>3876</v>
      </c>
      <c r="Y209" s="146">
        <v>6.4813206421942809E-3</v>
      </c>
      <c r="Z209" s="147">
        <v>1.1342170856281596E-3</v>
      </c>
      <c r="AA209" s="181"/>
    </row>
    <row r="210" spans="1:27" ht="15" x14ac:dyDescent="0.2">
      <c r="A210" s="142" t="s">
        <v>1220</v>
      </c>
      <c r="B210" s="143" t="s">
        <v>1220</v>
      </c>
      <c r="C210" s="143" t="s">
        <v>3413</v>
      </c>
      <c r="D210" s="145" t="s">
        <v>3876</v>
      </c>
      <c r="E210" s="145" t="s">
        <v>3876</v>
      </c>
      <c r="F210" s="143" t="s">
        <v>3414</v>
      </c>
      <c r="G210" s="143" t="s">
        <v>3415</v>
      </c>
      <c r="H210" s="143" t="s">
        <v>312</v>
      </c>
      <c r="I210" s="143" t="s">
        <v>1002</v>
      </c>
      <c r="J210" s="145" t="s">
        <v>3876</v>
      </c>
      <c r="K210" s="143" t="s">
        <v>204</v>
      </c>
      <c r="L210" s="145" t="s">
        <v>3876</v>
      </c>
      <c r="M210" s="145" t="s">
        <v>3876</v>
      </c>
      <c r="N210" s="143" t="s">
        <v>204</v>
      </c>
      <c r="O210" s="143" t="s">
        <v>339</v>
      </c>
      <c r="P210" s="162">
        <v>45378</v>
      </c>
      <c r="Q210" s="143" t="s">
        <v>1210</v>
      </c>
      <c r="R210" s="143" t="s">
        <v>885</v>
      </c>
      <c r="S210" s="143" t="s">
        <v>889</v>
      </c>
      <c r="T210" s="163">
        <v>45448</v>
      </c>
      <c r="U210" s="145" t="s">
        <v>3876</v>
      </c>
      <c r="V210" s="144">
        <v>16178.962800000001</v>
      </c>
      <c r="W210" s="144">
        <v>16178.962800000001</v>
      </c>
      <c r="X210" s="146">
        <v>0.13805309734513274</v>
      </c>
      <c r="Y210" s="146">
        <v>4.0969402113674083E-3</v>
      </c>
      <c r="Z210" s="147">
        <v>7.1695567046606659E-4</v>
      </c>
      <c r="AA210" s="181"/>
    </row>
    <row r="211" spans="1:27" ht="15" x14ac:dyDescent="0.2">
      <c r="A211" s="142" t="s">
        <v>1220</v>
      </c>
      <c r="B211" s="143" t="s">
        <v>1220</v>
      </c>
      <c r="C211" s="143" t="s">
        <v>3416</v>
      </c>
      <c r="D211" s="145" t="s">
        <v>3876</v>
      </c>
      <c r="E211" s="145" t="s">
        <v>3876</v>
      </c>
      <c r="F211" s="143" t="s">
        <v>3417</v>
      </c>
      <c r="G211" s="143" t="s">
        <v>3418</v>
      </c>
      <c r="H211" s="143" t="s">
        <v>312</v>
      </c>
      <c r="I211" s="143" t="s">
        <v>1002</v>
      </c>
      <c r="J211" s="145" t="s">
        <v>3876</v>
      </c>
      <c r="K211" s="143" t="s">
        <v>205</v>
      </c>
      <c r="L211" s="145" t="s">
        <v>3876</v>
      </c>
      <c r="M211" s="145" t="s">
        <v>3876</v>
      </c>
      <c r="N211" s="143" t="s">
        <v>204</v>
      </c>
      <c r="O211" s="143" t="s">
        <v>339</v>
      </c>
      <c r="P211" s="162">
        <v>44612</v>
      </c>
      <c r="Q211" s="143" t="s">
        <v>1211</v>
      </c>
      <c r="R211" s="143" t="s">
        <v>885</v>
      </c>
      <c r="S211" s="143" t="s">
        <v>889</v>
      </c>
      <c r="T211" s="163">
        <v>45453</v>
      </c>
      <c r="U211" s="143" t="s">
        <v>1212</v>
      </c>
      <c r="V211" s="144">
        <v>13057.174700718278</v>
      </c>
      <c r="W211" s="144">
        <v>49081.919700000006</v>
      </c>
      <c r="X211" s="146">
        <v>2.0132982664939647E-5</v>
      </c>
      <c r="Y211" s="146">
        <v>1.2428836949077919E-2</v>
      </c>
      <c r="Z211" s="147">
        <v>2.1750195678265564E-3</v>
      </c>
      <c r="AA211" s="181"/>
    </row>
    <row r="212" spans="1:27" ht="15" x14ac:dyDescent="0.2">
      <c r="A212" s="142" t="s">
        <v>1220</v>
      </c>
      <c r="B212" s="143" t="s">
        <v>1220</v>
      </c>
      <c r="C212" s="143" t="s">
        <v>3413</v>
      </c>
      <c r="D212" s="145" t="s">
        <v>3876</v>
      </c>
      <c r="E212" s="145" t="s">
        <v>3876</v>
      </c>
      <c r="F212" s="143" t="s">
        <v>3419</v>
      </c>
      <c r="G212" s="143" t="s">
        <v>3420</v>
      </c>
      <c r="H212" s="143" t="s">
        <v>312</v>
      </c>
      <c r="I212" s="143" t="s">
        <v>1002</v>
      </c>
      <c r="J212" s="145" t="s">
        <v>3876</v>
      </c>
      <c r="K212" s="143" t="s">
        <v>205</v>
      </c>
      <c r="L212" s="145" t="s">
        <v>3876</v>
      </c>
      <c r="M212" s="145" t="s">
        <v>3876</v>
      </c>
      <c r="N212" s="143" t="s">
        <v>217</v>
      </c>
      <c r="O212" s="143" t="s">
        <v>339</v>
      </c>
      <c r="P212" s="162">
        <v>44286</v>
      </c>
      <c r="Q212" s="143" t="s">
        <v>1210</v>
      </c>
      <c r="R212" s="143" t="s">
        <v>885</v>
      </c>
      <c r="S212" s="143" t="s">
        <v>889</v>
      </c>
      <c r="T212" s="163">
        <v>45453</v>
      </c>
      <c r="U212" s="145" t="s">
        <v>3876</v>
      </c>
      <c r="V212" s="144">
        <v>33641.6198</v>
      </c>
      <c r="W212" s="144">
        <v>33641.6198</v>
      </c>
      <c r="X212" s="145" t="s">
        <v>3876</v>
      </c>
      <c r="Y212" s="146">
        <v>8.5189456682992076E-3</v>
      </c>
      <c r="Z212" s="147">
        <v>1.4907970554056303E-3</v>
      </c>
      <c r="AA212" s="181"/>
    </row>
    <row r="213" spans="1:27" ht="15" x14ac:dyDescent="0.2">
      <c r="A213" s="142" t="s">
        <v>1220</v>
      </c>
      <c r="B213" s="143" t="s">
        <v>1220</v>
      </c>
      <c r="C213" s="143" t="s">
        <v>3421</v>
      </c>
      <c r="D213" s="145" t="s">
        <v>3876</v>
      </c>
      <c r="E213" s="145" t="s">
        <v>3876</v>
      </c>
      <c r="F213" s="143" t="s">
        <v>3422</v>
      </c>
      <c r="G213" s="143" t="s">
        <v>3423</v>
      </c>
      <c r="H213" s="143" t="s">
        <v>312</v>
      </c>
      <c r="I213" s="143" t="s">
        <v>1003</v>
      </c>
      <c r="J213" s="145" t="s">
        <v>3876</v>
      </c>
      <c r="K213" s="143" t="s">
        <v>204</v>
      </c>
      <c r="L213" s="145" t="s">
        <v>3876</v>
      </c>
      <c r="M213" s="145" t="s">
        <v>3876</v>
      </c>
      <c r="N213" s="143" t="s">
        <v>204</v>
      </c>
      <c r="O213" s="143" t="s">
        <v>339</v>
      </c>
      <c r="P213" s="162">
        <v>45271</v>
      </c>
      <c r="Q213" s="143" t="s">
        <v>1210</v>
      </c>
      <c r="R213" s="143" t="s">
        <v>885</v>
      </c>
      <c r="S213" s="143" t="s">
        <v>889</v>
      </c>
      <c r="T213" s="163">
        <v>45442</v>
      </c>
      <c r="U213" s="145" t="s">
        <v>3876</v>
      </c>
      <c r="V213" s="144">
        <v>34401.603999999999</v>
      </c>
      <c r="W213" s="144">
        <v>34401.603999999999</v>
      </c>
      <c r="X213" s="145" t="s">
        <v>3876</v>
      </c>
      <c r="Y213" s="146">
        <v>8.7113937133627209E-3</v>
      </c>
      <c r="Z213" s="147">
        <v>1.5244750467991984E-3</v>
      </c>
      <c r="AA213" s="181"/>
    </row>
    <row r="214" spans="1:27" ht="15" x14ac:dyDescent="0.2">
      <c r="A214" s="142" t="s">
        <v>1220</v>
      </c>
      <c r="B214" s="143" t="s">
        <v>1220</v>
      </c>
      <c r="C214" s="143" t="s">
        <v>3424</v>
      </c>
      <c r="D214" s="145" t="s">
        <v>3876</v>
      </c>
      <c r="E214" s="145" t="s">
        <v>3876</v>
      </c>
      <c r="F214" s="143" t="s">
        <v>3425</v>
      </c>
      <c r="G214" s="143" t="s">
        <v>3426</v>
      </c>
      <c r="H214" s="143" t="s">
        <v>312</v>
      </c>
      <c r="I214" s="143" t="s">
        <v>1003</v>
      </c>
      <c r="J214" s="145" t="s">
        <v>3876</v>
      </c>
      <c r="K214" s="143" t="s">
        <v>204</v>
      </c>
      <c r="L214" s="145" t="s">
        <v>3876</v>
      </c>
      <c r="M214" s="145" t="s">
        <v>3876</v>
      </c>
      <c r="N214" s="143" t="s">
        <v>204</v>
      </c>
      <c r="O214" s="143" t="s">
        <v>339</v>
      </c>
      <c r="P214" s="162">
        <v>45250</v>
      </c>
      <c r="Q214" s="143" t="s">
        <v>1210</v>
      </c>
      <c r="R214" s="143" t="s">
        <v>885</v>
      </c>
      <c r="S214" s="143" t="s">
        <v>889</v>
      </c>
      <c r="T214" s="163">
        <v>45466</v>
      </c>
      <c r="U214" s="145" t="s">
        <v>3876</v>
      </c>
      <c r="V214" s="144">
        <v>27948.492600000001</v>
      </c>
      <c r="W214" s="144">
        <v>27948.492600000001</v>
      </c>
      <c r="X214" s="145" t="s">
        <v>3876</v>
      </c>
      <c r="Y214" s="146">
        <v>7.0772956580903157E-3</v>
      </c>
      <c r="Z214" s="147">
        <v>1.2385114236117137E-3</v>
      </c>
      <c r="AA214" s="181"/>
    </row>
    <row r="215" spans="1:27" ht="15" x14ac:dyDescent="0.2">
      <c r="A215" s="142" t="s">
        <v>1220</v>
      </c>
      <c r="B215" s="143" t="s">
        <v>1220</v>
      </c>
      <c r="C215" s="143" t="s">
        <v>3421</v>
      </c>
      <c r="D215" s="145" t="s">
        <v>3876</v>
      </c>
      <c r="E215" s="145" t="s">
        <v>3876</v>
      </c>
      <c r="F215" s="143" t="s">
        <v>3427</v>
      </c>
      <c r="G215" s="143" t="s">
        <v>3428</v>
      </c>
      <c r="H215" s="143" t="s">
        <v>312</v>
      </c>
      <c r="I215" s="143" t="s">
        <v>1003</v>
      </c>
      <c r="J215" s="145" t="s">
        <v>3876</v>
      </c>
      <c r="K215" s="143" t="s">
        <v>204</v>
      </c>
      <c r="L215" s="145" t="s">
        <v>3876</v>
      </c>
      <c r="M215" s="145" t="s">
        <v>3876</v>
      </c>
      <c r="N215" s="143" t="s">
        <v>204</v>
      </c>
      <c r="O215" s="143" t="s">
        <v>339</v>
      </c>
      <c r="P215" s="162">
        <v>45271</v>
      </c>
      <c r="Q215" s="143" t="s">
        <v>1210</v>
      </c>
      <c r="R215" s="143" t="s">
        <v>885</v>
      </c>
      <c r="S215" s="143" t="s">
        <v>889</v>
      </c>
      <c r="T215" s="163">
        <v>45442</v>
      </c>
      <c r="U215" s="145" t="s">
        <v>3876</v>
      </c>
      <c r="V215" s="144">
        <v>22085.6119</v>
      </c>
      <c r="W215" s="144">
        <v>22085.6119</v>
      </c>
      <c r="X215" s="145" t="s">
        <v>3876</v>
      </c>
      <c r="Y215" s="146">
        <v>5.5926595909730177E-3</v>
      </c>
      <c r="Z215" s="147">
        <v>9.7870332488846621E-4</v>
      </c>
      <c r="AA215" s="181"/>
    </row>
    <row r="216" spans="1:27" ht="15" x14ac:dyDescent="0.2">
      <c r="A216" s="142" t="s">
        <v>1220</v>
      </c>
      <c r="B216" s="143" t="s">
        <v>1220</v>
      </c>
      <c r="C216" s="143" t="s">
        <v>3429</v>
      </c>
      <c r="D216" s="145" t="s">
        <v>3876</v>
      </c>
      <c r="E216" s="145" t="s">
        <v>3876</v>
      </c>
      <c r="F216" s="143" t="s">
        <v>3430</v>
      </c>
      <c r="G216" s="143" t="s">
        <v>3431</v>
      </c>
      <c r="H216" s="143" t="s">
        <v>312</v>
      </c>
      <c r="I216" s="143" t="s">
        <v>1003</v>
      </c>
      <c r="J216" s="145" t="s">
        <v>3876</v>
      </c>
      <c r="K216" s="143" t="s">
        <v>204</v>
      </c>
      <c r="L216" s="145" t="s">
        <v>3876</v>
      </c>
      <c r="M216" s="145" t="s">
        <v>3876</v>
      </c>
      <c r="N216" s="143" t="s">
        <v>204</v>
      </c>
      <c r="O216" s="143" t="s">
        <v>339</v>
      </c>
      <c r="P216" s="162">
        <v>45243</v>
      </c>
      <c r="Q216" s="143" t="s">
        <v>1210</v>
      </c>
      <c r="R216" s="143" t="s">
        <v>885</v>
      </c>
      <c r="S216" s="143" t="s">
        <v>889</v>
      </c>
      <c r="T216" s="163">
        <v>45442</v>
      </c>
      <c r="U216" s="145" t="s">
        <v>3876</v>
      </c>
      <c r="V216" s="144">
        <v>18094.3662</v>
      </c>
      <c r="W216" s="144">
        <v>18094.3662</v>
      </c>
      <c r="X216" s="146">
        <v>9.3332375049999999E-2</v>
      </c>
      <c r="Y216" s="146">
        <v>4.5819708884768462E-3</v>
      </c>
      <c r="Z216" s="147">
        <v>8.0183498926567932E-4</v>
      </c>
      <c r="AA216" s="181"/>
    </row>
    <row r="217" spans="1:27" ht="15" x14ac:dyDescent="0.2">
      <c r="A217" s="142" t="s">
        <v>1220</v>
      </c>
      <c r="B217" s="143" t="s">
        <v>1220</v>
      </c>
      <c r="C217" s="143" t="s">
        <v>3435</v>
      </c>
      <c r="D217" s="145" t="s">
        <v>3876</v>
      </c>
      <c r="E217" s="145" t="s">
        <v>3876</v>
      </c>
      <c r="F217" s="143" t="s">
        <v>3436</v>
      </c>
      <c r="G217" s="143" t="s">
        <v>3437</v>
      </c>
      <c r="H217" s="143" t="s">
        <v>312</v>
      </c>
      <c r="I217" s="143" t="s">
        <v>1003</v>
      </c>
      <c r="J217" s="145" t="s">
        <v>3876</v>
      </c>
      <c r="K217" s="143" t="s">
        <v>204</v>
      </c>
      <c r="L217" s="145" t="s">
        <v>3876</v>
      </c>
      <c r="M217" s="145" t="s">
        <v>3876</v>
      </c>
      <c r="N217" s="143" t="s">
        <v>204</v>
      </c>
      <c r="O217" s="143" t="s">
        <v>339</v>
      </c>
      <c r="P217" s="162">
        <v>45382</v>
      </c>
      <c r="Q217" s="143" t="s">
        <v>1210</v>
      </c>
      <c r="R217" s="143" t="s">
        <v>885</v>
      </c>
      <c r="S217" s="143" t="s">
        <v>889</v>
      </c>
      <c r="T217" s="163">
        <v>45440</v>
      </c>
      <c r="U217" s="145" t="s">
        <v>3876</v>
      </c>
      <c r="V217" s="144">
        <v>16242.4848</v>
      </c>
      <c r="W217" s="144">
        <v>16242.4848</v>
      </c>
      <c r="X217" s="145" t="s">
        <v>3876</v>
      </c>
      <c r="Y217" s="146">
        <v>4.1130256631364548E-3</v>
      </c>
      <c r="Z217" s="147">
        <v>7.197705897138086E-4</v>
      </c>
      <c r="AA217" s="181"/>
    </row>
    <row r="218" spans="1:27" ht="15" x14ac:dyDescent="0.2">
      <c r="A218" s="142" t="s">
        <v>1220</v>
      </c>
      <c r="B218" s="143" t="s">
        <v>1220</v>
      </c>
      <c r="C218" s="143" t="s">
        <v>3432</v>
      </c>
      <c r="D218" s="145" t="s">
        <v>3876</v>
      </c>
      <c r="E218" s="145" t="s">
        <v>3876</v>
      </c>
      <c r="F218" s="143" t="s">
        <v>3433</v>
      </c>
      <c r="G218" s="143" t="s">
        <v>3434</v>
      </c>
      <c r="H218" s="143" t="s">
        <v>312</v>
      </c>
      <c r="I218" s="143" t="s">
        <v>1003</v>
      </c>
      <c r="J218" s="145" t="s">
        <v>3876</v>
      </c>
      <c r="K218" s="143" t="s">
        <v>204</v>
      </c>
      <c r="L218" s="145" t="s">
        <v>3876</v>
      </c>
      <c r="M218" s="145" t="s">
        <v>3876</v>
      </c>
      <c r="N218" s="143" t="s">
        <v>204</v>
      </c>
      <c r="O218" s="143" t="s">
        <v>339</v>
      </c>
      <c r="P218" s="162">
        <v>45316</v>
      </c>
      <c r="Q218" s="143" t="s">
        <v>1210</v>
      </c>
      <c r="R218" s="143" t="s">
        <v>885</v>
      </c>
      <c r="S218" s="143" t="s">
        <v>889</v>
      </c>
      <c r="T218" s="163">
        <v>45451</v>
      </c>
      <c r="U218" s="145" t="s">
        <v>3876</v>
      </c>
      <c r="V218" s="144">
        <v>15181.0515</v>
      </c>
      <c r="W218" s="144">
        <v>15181.0515</v>
      </c>
      <c r="X218" s="145" t="s">
        <v>3876</v>
      </c>
      <c r="Y218" s="146">
        <v>3.8442427419552337E-3</v>
      </c>
      <c r="Z218" s="147">
        <v>6.7273416020218716E-4</v>
      </c>
      <c r="AA218" s="181"/>
    </row>
    <row r="219" spans="1:27" ht="15" x14ac:dyDescent="0.2">
      <c r="A219" s="142" t="s">
        <v>1220</v>
      </c>
      <c r="B219" s="143" t="s">
        <v>1220</v>
      </c>
      <c r="C219" s="143" t="s">
        <v>3438</v>
      </c>
      <c r="D219" s="145" t="s">
        <v>3876</v>
      </c>
      <c r="E219" s="145" t="s">
        <v>3876</v>
      </c>
      <c r="F219" s="143" t="s">
        <v>3439</v>
      </c>
      <c r="G219" s="143" t="s">
        <v>3440</v>
      </c>
      <c r="H219" s="143" t="s">
        <v>312</v>
      </c>
      <c r="I219" s="143" t="s">
        <v>1003</v>
      </c>
      <c r="J219" s="145" t="s">
        <v>3876</v>
      </c>
      <c r="K219" s="143" t="s">
        <v>204</v>
      </c>
      <c r="L219" s="145" t="s">
        <v>3876</v>
      </c>
      <c r="M219" s="145" t="s">
        <v>3876</v>
      </c>
      <c r="N219" s="143" t="s">
        <v>204</v>
      </c>
      <c r="O219" s="143" t="s">
        <v>339</v>
      </c>
      <c r="P219" s="162">
        <v>45350</v>
      </c>
      <c r="Q219" s="143" t="s">
        <v>1210</v>
      </c>
      <c r="R219" s="143" t="s">
        <v>885</v>
      </c>
      <c r="S219" s="143" t="s">
        <v>889</v>
      </c>
      <c r="T219" s="163">
        <v>45452</v>
      </c>
      <c r="U219" s="145" t="s">
        <v>3876</v>
      </c>
      <c r="V219" s="144">
        <v>12736.630800000001</v>
      </c>
      <c r="W219" s="144">
        <v>12736.630800000001</v>
      </c>
      <c r="X219" s="146">
        <v>3.228E-3</v>
      </c>
      <c r="Y219" s="146">
        <v>3.2252509415973715E-3</v>
      </c>
      <c r="Z219" s="147">
        <v>5.6441193475031807E-4</v>
      </c>
      <c r="AA219" s="181"/>
    </row>
    <row r="220" spans="1:27" ht="15" x14ac:dyDescent="0.2">
      <c r="A220" s="142" t="s">
        <v>1220</v>
      </c>
      <c r="B220" s="143" t="s">
        <v>1220</v>
      </c>
      <c r="C220" s="143" t="s">
        <v>3441</v>
      </c>
      <c r="D220" s="145" t="s">
        <v>3876</v>
      </c>
      <c r="E220" s="145" t="s">
        <v>3876</v>
      </c>
      <c r="F220" s="143" t="s">
        <v>3442</v>
      </c>
      <c r="G220" s="143" t="s">
        <v>3443</v>
      </c>
      <c r="H220" s="143" t="s">
        <v>312</v>
      </c>
      <c r="I220" s="143" t="s">
        <v>1003</v>
      </c>
      <c r="J220" s="145" t="s">
        <v>3876</v>
      </c>
      <c r="K220" s="143" t="s">
        <v>204</v>
      </c>
      <c r="L220" s="145" t="s">
        <v>3876</v>
      </c>
      <c r="M220" s="145" t="s">
        <v>3876</v>
      </c>
      <c r="N220" s="143" t="s">
        <v>204</v>
      </c>
      <c r="O220" s="143" t="s">
        <v>339</v>
      </c>
      <c r="P220" s="162">
        <v>44938</v>
      </c>
      <c r="Q220" s="143" t="s">
        <v>1210</v>
      </c>
      <c r="R220" s="143" t="s">
        <v>885</v>
      </c>
      <c r="S220" s="143" t="s">
        <v>889</v>
      </c>
      <c r="T220" s="163">
        <v>45447</v>
      </c>
      <c r="U220" s="145" t="s">
        <v>3876</v>
      </c>
      <c r="V220" s="144">
        <v>7771.9519</v>
      </c>
      <c r="W220" s="144">
        <v>7771.9519</v>
      </c>
      <c r="X220" s="145" t="s">
        <v>3876</v>
      </c>
      <c r="Y220" s="146">
        <v>1.9680632499097248E-3</v>
      </c>
      <c r="Z220" s="147">
        <v>3.444068094876366E-4</v>
      </c>
      <c r="AA220" s="181"/>
    </row>
    <row r="221" spans="1:27" ht="15" x14ac:dyDescent="0.2">
      <c r="A221" s="142" t="s">
        <v>1220</v>
      </c>
      <c r="B221" s="143" t="s">
        <v>1220</v>
      </c>
      <c r="C221" s="143" t="s">
        <v>3444</v>
      </c>
      <c r="D221" s="145" t="s">
        <v>3876</v>
      </c>
      <c r="E221" s="145" t="s">
        <v>3876</v>
      </c>
      <c r="F221" s="143" t="s">
        <v>3445</v>
      </c>
      <c r="G221" s="143" t="s">
        <v>3446</v>
      </c>
      <c r="H221" s="143" t="s">
        <v>312</v>
      </c>
      <c r="I221" s="143" t="s">
        <v>1003</v>
      </c>
      <c r="J221" s="145" t="s">
        <v>3876</v>
      </c>
      <c r="K221" s="143" t="s">
        <v>204</v>
      </c>
      <c r="L221" s="145" t="s">
        <v>3876</v>
      </c>
      <c r="M221" s="145" t="s">
        <v>3876</v>
      </c>
      <c r="N221" s="143" t="s">
        <v>204</v>
      </c>
      <c r="O221" s="143" t="s">
        <v>339</v>
      </c>
      <c r="P221" s="162">
        <v>45131</v>
      </c>
      <c r="Q221" s="143" t="s">
        <v>1210</v>
      </c>
      <c r="R221" s="143" t="s">
        <v>885</v>
      </c>
      <c r="S221" s="143" t="s">
        <v>889</v>
      </c>
      <c r="T221" s="163">
        <v>45448</v>
      </c>
      <c r="U221" s="145" t="s">
        <v>3876</v>
      </c>
      <c r="V221" s="144">
        <v>5902.6279000000004</v>
      </c>
      <c r="W221" s="144">
        <v>5902.6279000000004</v>
      </c>
      <c r="X221" s="145" t="s">
        <v>3876</v>
      </c>
      <c r="Y221" s="146">
        <v>1.4947011144409404E-3</v>
      </c>
      <c r="Z221" s="147">
        <v>2.6156946022229334E-4</v>
      </c>
      <c r="AA221" s="181"/>
    </row>
    <row r="222" spans="1:27" ht="15" x14ac:dyDescent="0.2">
      <c r="A222" s="142" t="s">
        <v>1220</v>
      </c>
      <c r="B222" s="143" t="s">
        <v>1220</v>
      </c>
      <c r="C222" s="143" t="s">
        <v>3447</v>
      </c>
      <c r="D222" s="145" t="s">
        <v>3876</v>
      </c>
      <c r="E222" s="145" t="s">
        <v>3876</v>
      </c>
      <c r="F222" s="143" t="s">
        <v>3433</v>
      </c>
      <c r="G222" s="143" t="s">
        <v>3448</v>
      </c>
      <c r="H222" s="143" t="s">
        <v>312</v>
      </c>
      <c r="I222" s="143" t="s">
        <v>1003</v>
      </c>
      <c r="J222" s="145" t="s">
        <v>3876</v>
      </c>
      <c r="K222" s="143" t="s">
        <v>204</v>
      </c>
      <c r="L222" s="145" t="s">
        <v>3876</v>
      </c>
      <c r="M222" s="145" t="s">
        <v>3876</v>
      </c>
      <c r="N222" s="143" t="s">
        <v>204</v>
      </c>
      <c r="O222" s="143" t="s">
        <v>339</v>
      </c>
      <c r="P222" s="162">
        <v>45369</v>
      </c>
      <c r="Q222" s="143" t="s">
        <v>1210</v>
      </c>
      <c r="R222" s="143" t="s">
        <v>885</v>
      </c>
      <c r="S222" s="143" t="s">
        <v>889</v>
      </c>
      <c r="T222" s="163">
        <v>45442</v>
      </c>
      <c r="U222" s="145" t="s">
        <v>3876</v>
      </c>
      <c r="V222" s="144">
        <v>4317.0385999999999</v>
      </c>
      <c r="W222" s="144">
        <v>4317.0385999999999</v>
      </c>
      <c r="X222" s="145" t="s">
        <v>3876</v>
      </c>
      <c r="Y222" s="146">
        <v>1.0931880751283932E-3</v>
      </c>
      <c r="Z222" s="147">
        <v>1.9130554728978902E-4</v>
      </c>
      <c r="AA222" s="181"/>
    </row>
    <row r="223" spans="1:27" ht="15" x14ac:dyDescent="0.2">
      <c r="A223" s="142" t="s">
        <v>1220</v>
      </c>
      <c r="B223" s="143" t="s">
        <v>1220</v>
      </c>
      <c r="C223" s="143" t="s">
        <v>3421</v>
      </c>
      <c r="D223" s="145" t="s">
        <v>3876</v>
      </c>
      <c r="E223" s="145" t="s">
        <v>3876</v>
      </c>
      <c r="F223" s="143" t="s">
        <v>3449</v>
      </c>
      <c r="G223" s="143" t="s">
        <v>3450</v>
      </c>
      <c r="H223" s="143" t="s">
        <v>312</v>
      </c>
      <c r="I223" s="143" t="s">
        <v>1003</v>
      </c>
      <c r="J223" s="145" t="s">
        <v>3876</v>
      </c>
      <c r="K223" s="143" t="s">
        <v>204</v>
      </c>
      <c r="L223" s="145" t="s">
        <v>3876</v>
      </c>
      <c r="M223" s="145" t="s">
        <v>3876</v>
      </c>
      <c r="N223" s="143" t="s">
        <v>204</v>
      </c>
      <c r="O223" s="143" t="s">
        <v>339</v>
      </c>
      <c r="P223" s="162">
        <v>44174</v>
      </c>
      <c r="Q223" s="143" t="s">
        <v>1210</v>
      </c>
      <c r="R223" s="143" t="s">
        <v>885</v>
      </c>
      <c r="S223" s="143" t="s">
        <v>889</v>
      </c>
      <c r="T223" s="163">
        <v>45442</v>
      </c>
      <c r="U223" s="145" t="s">
        <v>3876</v>
      </c>
      <c r="V223" s="144">
        <v>138.78829999999999</v>
      </c>
      <c r="W223" s="144">
        <v>138.78829999999999</v>
      </c>
      <c r="X223" s="145" t="s">
        <v>3876</v>
      </c>
      <c r="Y223" s="146">
        <v>3.514486435282176E-5</v>
      </c>
      <c r="Z223" s="147">
        <v>6.1502752018698244E-6</v>
      </c>
      <c r="AA223" s="181"/>
    </row>
    <row r="224" spans="1:27" ht="15" x14ac:dyDescent="0.2">
      <c r="A224" s="142" t="s">
        <v>1220</v>
      </c>
      <c r="B224" s="143" t="s">
        <v>1220</v>
      </c>
      <c r="C224" s="143" t="s">
        <v>3453</v>
      </c>
      <c r="D224" s="145" t="s">
        <v>3876</v>
      </c>
      <c r="E224" s="145" t="s">
        <v>3876</v>
      </c>
      <c r="F224" s="143" t="s">
        <v>3454</v>
      </c>
      <c r="G224" s="143" t="s">
        <v>3455</v>
      </c>
      <c r="H224" s="143" t="s">
        <v>312</v>
      </c>
      <c r="I224" s="143" t="s">
        <v>1003</v>
      </c>
      <c r="J224" s="145" t="s">
        <v>3876</v>
      </c>
      <c r="K224" s="143" t="s">
        <v>205</v>
      </c>
      <c r="L224" s="145" t="s">
        <v>3876</v>
      </c>
      <c r="M224" s="145" t="s">
        <v>3876</v>
      </c>
      <c r="N224" s="143" t="s">
        <v>293</v>
      </c>
      <c r="O224" s="143" t="s">
        <v>339</v>
      </c>
      <c r="P224" s="162">
        <v>45046</v>
      </c>
      <c r="Q224" s="143" t="s">
        <v>1213</v>
      </c>
      <c r="R224" s="143" t="s">
        <v>885</v>
      </c>
      <c r="S224" s="143" t="s">
        <v>889</v>
      </c>
      <c r="T224" s="163">
        <v>45461</v>
      </c>
      <c r="U224" s="143" t="s">
        <v>1214</v>
      </c>
      <c r="V224" s="144">
        <v>13327.605268394607</v>
      </c>
      <c r="W224" s="144">
        <v>53579.638700000003</v>
      </c>
      <c r="X224" s="145" t="s">
        <v>3876</v>
      </c>
      <c r="Y224" s="146">
        <v>1.3567778046471694E-2</v>
      </c>
      <c r="Z224" s="147">
        <v>2.3743317949949314E-3</v>
      </c>
      <c r="AA224" s="181"/>
    </row>
    <row r="225" spans="1:27" ht="15" x14ac:dyDescent="0.2">
      <c r="A225" s="142" t="s">
        <v>1220</v>
      </c>
      <c r="B225" s="143" t="s">
        <v>1220</v>
      </c>
      <c r="C225" s="143" t="s">
        <v>3261</v>
      </c>
      <c r="D225" s="145" t="s">
        <v>3876</v>
      </c>
      <c r="E225" s="145" t="s">
        <v>3876</v>
      </c>
      <c r="F225" s="143" t="s">
        <v>3451</v>
      </c>
      <c r="G225" s="143" t="s">
        <v>3452</v>
      </c>
      <c r="H225" s="143" t="s">
        <v>312</v>
      </c>
      <c r="I225" s="143" t="s">
        <v>1003</v>
      </c>
      <c r="J225" s="145" t="s">
        <v>3876</v>
      </c>
      <c r="K225" s="143" t="s">
        <v>205</v>
      </c>
      <c r="L225" s="145" t="s">
        <v>3876</v>
      </c>
      <c r="M225" s="145" t="s">
        <v>3876</v>
      </c>
      <c r="N225" s="143" t="s">
        <v>224</v>
      </c>
      <c r="O225" s="143" t="s">
        <v>339</v>
      </c>
      <c r="P225" s="162">
        <v>45271</v>
      </c>
      <c r="Q225" s="143" t="s">
        <v>1211</v>
      </c>
      <c r="R225" s="143" t="s">
        <v>885</v>
      </c>
      <c r="S225" s="143" t="s">
        <v>889</v>
      </c>
      <c r="T225" s="163">
        <v>45461</v>
      </c>
      <c r="U225" s="143" t="s">
        <v>1212</v>
      </c>
      <c r="V225" s="144">
        <v>14093.262782654961</v>
      </c>
      <c r="W225" s="144">
        <v>52976.574799999995</v>
      </c>
      <c r="X225" s="146">
        <v>2.6294999999999999E-2</v>
      </c>
      <c r="Y225" s="146">
        <v>1.3415066357896998E-2</v>
      </c>
      <c r="Z225" s="147">
        <v>2.3476075799902089E-3</v>
      </c>
      <c r="AA225" s="181"/>
    </row>
    <row r="226" spans="1:27" ht="15" x14ac:dyDescent="0.2">
      <c r="A226" s="142" t="s">
        <v>1220</v>
      </c>
      <c r="B226" s="143" t="s">
        <v>1220</v>
      </c>
      <c r="C226" s="143" t="s">
        <v>3456</v>
      </c>
      <c r="D226" s="145" t="s">
        <v>3876</v>
      </c>
      <c r="E226" s="145" t="s">
        <v>3876</v>
      </c>
      <c r="F226" s="143" t="s">
        <v>3457</v>
      </c>
      <c r="G226" s="143" t="s">
        <v>3458</v>
      </c>
      <c r="H226" s="143" t="s">
        <v>312</v>
      </c>
      <c r="I226" s="143" t="s">
        <v>1003</v>
      </c>
      <c r="J226" s="145" t="s">
        <v>3876</v>
      </c>
      <c r="K226" s="143" t="s">
        <v>205</v>
      </c>
      <c r="L226" s="145" t="s">
        <v>3876</v>
      </c>
      <c r="M226" s="145" t="s">
        <v>3876</v>
      </c>
      <c r="N226" s="143" t="s">
        <v>293</v>
      </c>
      <c r="O226" s="143" t="s">
        <v>339</v>
      </c>
      <c r="P226" s="162">
        <v>45203</v>
      </c>
      <c r="Q226" s="143" t="s">
        <v>1213</v>
      </c>
      <c r="R226" s="143" t="s">
        <v>885</v>
      </c>
      <c r="S226" s="143" t="s">
        <v>889</v>
      </c>
      <c r="T226" s="163">
        <v>45438</v>
      </c>
      <c r="U226" s="143" t="s">
        <v>1214</v>
      </c>
      <c r="V226" s="144">
        <v>8835.2027759812954</v>
      </c>
      <c r="W226" s="144">
        <v>35519.282200000001</v>
      </c>
      <c r="X226" s="146">
        <v>8.9966934299999992E-3</v>
      </c>
      <c r="Y226" s="146">
        <v>8.9944193232560019E-3</v>
      </c>
      <c r="Z226" s="147">
        <v>1.5740039160116633E-3</v>
      </c>
      <c r="AA226" s="181"/>
    </row>
    <row r="227" spans="1:27" ht="15" x14ac:dyDescent="0.2">
      <c r="A227" s="142" t="s">
        <v>1220</v>
      </c>
      <c r="B227" s="143" t="s">
        <v>1220</v>
      </c>
      <c r="C227" s="143" t="s">
        <v>3459</v>
      </c>
      <c r="D227" s="145" t="s">
        <v>3876</v>
      </c>
      <c r="E227" s="145" t="s">
        <v>3876</v>
      </c>
      <c r="F227" s="143" t="s">
        <v>3460</v>
      </c>
      <c r="G227" s="143" t="s">
        <v>3461</v>
      </c>
      <c r="H227" s="143" t="s">
        <v>312</v>
      </c>
      <c r="I227" s="143" t="s">
        <v>1003</v>
      </c>
      <c r="J227" s="145" t="s">
        <v>3876</v>
      </c>
      <c r="K227" s="143" t="s">
        <v>205</v>
      </c>
      <c r="L227" s="145" t="s">
        <v>3876</v>
      </c>
      <c r="M227" s="145" t="s">
        <v>3876</v>
      </c>
      <c r="N227" s="143" t="s">
        <v>293</v>
      </c>
      <c r="O227" s="143" t="s">
        <v>339</v>
      </c>
      <c r="P227" s="162">
        <v>44816</v>
      </c>
      <c r="Q227" s="143" t="s">
        <v>1213</v>
      </c>
      <c r="R227" s="143" t="s">
        <v>885</v>
      </c>
      <c r="S227" s="143" t="s">
        <v>889</v>
      </c>
      <c r="T227" s="163">
        <v>45442</v>
      </c>
      <c r="U227" s="143" t="s">
        <v>1214</v>
      </c>
      <c r="V227" s="144">
        <v>8791.998383165017</v>
      </c>
      <c r="W227" s="144">
        <v>35345.591899999999</v>
      </c>
      <c r="X227" s="146">
        <v>1.288811057E-2</v>
      </c>
      <c r="Y227" s="146">
        <v>8.9504363472747237E-3</v>
      </c>
      <c r="Z227" s="147">
        <v>1.5663069904020932E-3</v>
      </c>
      <c r="AA227" s="181"/>
    </row>
    <row r="228" spans="1:27" ht="15" x14ac:dyDescent="0.2">
      <c r="A228" s="142" t="s">
        <v>1220</v>
      </c>
      <c r="B228" s="143" t="s">
        <v>1220</v>
      </c>
      <c r="C228" s="143" t="s">
        <v>3465</v>
      </c>
      <c r="D228" s="145" t="s">
        <v>3876</v>
      </c>
      <c r="E228" s="145" t="s">
        <v>3876</v>
      </c>
      <c r="F228" s="143" t="s">
        <v>3466</v>
      </c>
      <c r="G228" s="143" t="s">
        <v>3467</v>
      </c>
      <c r="H228" s="143" t="s">
        <v>312</v>
      </c>
      <c r="I228" s="143" t="s">
        <v>1003</v>
      </c>
      <c r="J228" s="145" t="s">
        <v>3876</v>
      </c>
      <c r="K228" s="143" t="s">
        <v>205</v>
      </c>
      <c r="L228" s="145" t="s">
        <v>3876</v>
      </c>
      <c r="M228" s="145" t="s">
        <v>3876</v>
      </c>
      <c r="N228" s="143" t="s">
        <v>272</v>
      </c>
      <c r="O228" s="143" t="s">
        <v>339</v>
      </c>
      <c r="P228" s="162">
        <v>45222</v>
      </c>
      <c r="Q228" s="143" t="s">
        <v>1213</v>
      </c>
      <c r="R228" s="143" t="s">
        <v>885</v>
      </c>
      <c r="S228" s="143" t="s">
        <v>889</v>
      </c>
      <c r="T228" s="163">
        <v>45442</v>
      </c>
      <c r="U228" s="143" t="s">
        <v>1214</v>
      </c>
      <c r="V228" s="144">
        <v>8354.3192129744803</v>
      </c>
      <c r="W228" s="144">
        <v>33586.034100000004</v>
      </c>
      <c r="X228" s="146">
        <v>4.1520150050000003E-2</v>
      </c>
      <c r="Y228" s="146">
        <v>8.5048698974822898E-3</v>
      </c>
      <c r="Z228" s="147">
        <v>1.4883338259751957E-3</v>
      </c>
      <c r="AA228" s="181"/>
    </row>
    <row r="229" spans="1:27" ht="15" x14ac:dyDescent="0.2">
      <c r="A229" s="142" t="s">
        <v>1220</v>
      </c>
      <c r="B229" s="143" t="s">
        <v>1220</v>
      </c>
      <c r="C229" s="143" t="s">
        <v>3462</v>
      </c>
      <c r="D229" s="145" t="s">
        <v>3876</v>
      </c>
      <c r="E229" s="145" t="s">
        <v>3876</v>
      </c>
      <c r="F229" s="143" t="s">
        <v>3463</v>
      </c>
      <c r="G229" s="143" t="s">
        <v>3464</v>
      </c>
      <c r="H229" s="143" t="s">
        <v>312</v>
      </c>
      <c r="I229" s="143" t="s">
        <v>1003</v>
      </c>
      <c r="J229" s="145" t="s">
        <v>3876</v>
      </c>
      <c r="K229" s="143" t="s">
        <v>205</v>
      </c>
      <c r="L229" s="145" t="s">
        <v>3876</v>
      </c>
      <c r="M229" s="145" t="s">
        <v>3876</v>
      </c>
      <c r="N229" s="143" t="s">
        <v>224</v>
      </c>
      <c r="O229" s="143" t="s">
        <v>339</v>
      </c>
      <c r="P229" s="162">
        <v>44616</v>
      </c>
      <c r="Q229" s="143" t="s">
        <v>1211</v>
      </c>
      <c r="R229" s="143" t="s">
        <v>885</v>
      </c>
      <c r="S229" s="143" t="s">
        <v>889</v>
      </c>
      <c r="T229" s="163">
        <v>45434</v>
      </c>
      <c r="U229" s="143" t="s">
        <v>1212</v>
      </c>
      <c r="V229" s="144">
        <v>8846.2350891194474</v>
      </c>
      <c r="W229" s="144">
        <v>33252.9977</v>
      </c>
      <c r="X229" s="146">
        <v>1.1057984615384616E-5</v>
      </c>
      <c r="Y229" s="146">
        <v>8.4205362880959561E-3</v>
      </c>
      <c r="Z229" s="147">
        <v>1.4735756268458456E-3</v>
      </c>
      <c r="AA229" s="181"/>
    </row>
    <row r="230" spans="1:27" ht="15" x14ac:dyDescent="0.2">
      <c r="A230" s="142" t="s">
        <v>1220</v>
      </c>
      <c r="B230" s="143" t="s">
        <v>1220</v>
      </c>
      <c r="C230" s="143" t="s">
        <v>3468</v>
      </c>
      <c r="D230" s="145" t="s">
        <v>3876</v>
      </c>
      <c r="E230" s="145" t="s">
        <v>3876</v>
      </c>
      <c r="F230" s="143" t="s">
        <v>3469</v>
      </c>
      <c r="G230" s="143" t="s">
        <v>3470</v>
      </c>
      <c r="H230" s="143" t="s">
        <v>312</v>
      </c>
      <c r="I230" s="143" t="s">
        <v>1003</v>
      </c>
      <c r="J230" s="145" t="s">
        <v>3876</v>
      </c>
      <c r="K230" s="143" t="s">
        <v>205</v>
      </c>
      <c r="L230" s="145" t="s">
        <v>3876</v>
      </c>
      <c r="M230" s="145" t="s">
        <v>3876</v>
      </c>
      <c r="N230" s="143" t="s">
        <v>291</v>
      </c>
      <c r="O230" s="143" t="s">
        <v>339</v>
      </c>
      <c r="P230" s="162">
        <v>45342</v>
      </c>
      <c r="Q230" s="143" t="s">
        <v>1211</v>
      </c>
      <c r="R230" s="143" t="s">
        <v>885</v>
      </c>
      <c r="S230" s="143" t="s">
        <v>889</v>
      </c>
      <c r="T230" s="163">
        <v>45470</v>
      </c>
      <c r="U230" s="143" t="s">
        <v>1212</v>
      </c>
      <c r="V230" s="144">
        <v>7184.6897579143388</v>
      </c>
      <c r="W230" s="144">
        <v>27007.248800000001</v>
      </c>
      <c r="X230" s="145" t="s">
        <v>3876</v>
      </c>
      <c r="Y230" s="146">
        <v>6.8389479015155043E-3</v>
      </c>
      <c r="Z230" s="147">
        <v>1.1968010820389864E-3</v>
      </c>
      <c r="AA230" s="181"/>
    </row>
    <row r="231" spans="1:27" ht="15" x14ac:dyDescent="0.2">
      <c r="A231" s="142" t="s">
        <v>1220</v>
      </c>
      <c r="B231" s="143" t="s">
        <v>1220</v>
      </c>
      <c r="C231" s="143" t="s">
        <v>3471</v>
      </c>
      <c r="D231" s="145" t="s">
        <v>3876</v>
      </c>
      <c r="E231" s="145" t="s">
        <v>3876</v>
      </c>
      <c r="F231" s="143" t="s">
        <v>3472</v>
      </c>
      <c r="G231" s="143" t="s">
        <v>3473</v>
      </c>
      <c r="H231" s="143" t="s">
        <v>312</v>
      </c>
      <c r="I231" s="143" t="s">
        <v>1003</v>
      </c>
      <c r="J231" s="145" t="s">
        <v>3876</v>
      </c>
      <c r="K231" s="143" t="s">
        <v>205</v>
      </c>
      <c r="L231" s="145" t="s">
        <v>3876</v>
      </c>
      <c r="M231" s="145" t="s">
        <v>3876</v>
      </c>
      <c r="N231" s="143" t="s">
        <v>289</v>
      </c>
      <c r="O231" s="143" t="s">
        <v>339</v>
      </c>
      <c r="P231" s="162">
        <v>45054</v>
      </c>
      <c r="Q231" s="143" t="s">
        <v>1211</v>
      </c>
      <c r="R231" s="143" t="s">
        <v>885</v>
      </c>
      <c r="S231" s="143" t="s">
        <v>889</v>
      </c>
      <c r="T231" s="163">
        <v>45448</v>
      </c>
      <c r="U231" s="143" t="s">
        <v>1212</v>
      </c>
      <c r="V231" s="144">
        <v>6361.5713753657892</v>
      </c>
      <c r="W231" s="144">
        <v>23913.146800000002</v>
      </c>
      <c r="X231" s="146">
        <v>6.1566473599999998E-3</v>
      </c>
      <c r="Y231" s="146">
        <v>6.0554396343769686E-3</v>
      </c>
      <c r="Z231" s="147">
        <v>1.0596888309440341E-3</v>
      </c>
      <c r="AA231" s="181"/>
    </row>
    <row r="232" spans="1:27" ht="15" x14ac:dyDescent="0.2">
      <c r="A232" s="142" t="s">
        <v>1220</v>
      </c>
      <c r="B232" s="143" t="s">
        <v>1220</v>
      </c>
      <c r="C232" s="143" t="s">
        <v>3474</v>
      </c>
      <c r="D232" s="145" t="s">
        <v>3876</v>
      </c>
      <c r="E232" s="145" t="s">
        <v>3876</v>
      </c>
      <c r="F232" s="143" t="s">
        <v>3475</v>
      </c>
      <c r="G232" s="143" t="s">
        <v>3476</v>
      </c>
      <c r="H232" s="143" t="s">
        <v>312</v>
      </c>
      <c r="I232" s="143" t="s">
        <v>1003</v>
      </c>
      <c r="J232" s="145" t="s">
        <v>3876</v>
      </c>
      <c r="K232" s="143" t="s">
        <v>205</v>
      </c>
      <c r="L232" s="145" t="s">
        <v>3876</v>
      </c>
      <c r="M232" s="145" t="s">
        <v>3876</v>
      </c>
      <c r="N232" s="143" t="s">
        <v>293</v>
      </c>
      <c r="O232" s="143" t="s">
        <v>339</v>
      </c>
      <c r="P232" s="162">
        <v>45369</v>
      </c>
      <c r="Q232" s="143" t="s">
        <v>1213</v>
      </c>
      <c r="R232" s="143" t="s">
        <v>885</v>
      </c>
      <c r="S232" s="143" t="s">
        <v>889</v>
      </c>
      <c r="T232" s="163">
        <v>45468</v>
      </c>
      <c r="U232" s="143" t="s">
        <v>1214</v>
      </c>
      <c r="V232" s="144">
        <v>5245.2677229988558</v>
      </c>
      <c r="W232" s="144">
        <v>21087.025300000001</v>
      </c>
      <c r="X232" s="146">
        <v>2.536030935E-3</v>
      </c>
      <c r="Y232" s="146">
        <v>5.3397911075454127E-3</v>
      </c>
      <c r="Z232" s="147">
        <v>9.3445188754199171E-4</v>
      </c>
      <c r="AA232" s="181"/>
    </row>
    <row r="233" spans="1:27" ht="15" x14ac:dyDescent="0.2">
      <c r="A233" s="142" t="s">
        <v>1220</v>
      </c>
      <c r="B233" s="143" t="s">
        <v>1220</v>
      </c>
      <c r="C233" s="143" t="s">
        <v>3477</v>
      </c>
      <c r="D233" s="145" t="s">
        <v>3876</v>
      </c>
      <c r="E233" s="145" t="s">
        <v>3876</v>
      </c>
      <c r="F233" s="143" t="s">
        <v>3478</v>
      </c>
      <c r="G233" s="143" t="s">
        <v>3479</v>
      </c>
      <c r="H233" s="143" t="s">
        <v>312</v>
      </c>
      <c r="I233" s="143" t="s">
        <v>1003</v>
      </c>
      <c r="J233" s="145" t="s">
        <v>3876</v>
      </c>
      <c r="K233" s="143" t="s">
        <v>205</v>
      </c>
      <c r="L233" s="145" t="s">
        <v>3876</v>
      </c>
      <c r="M233" s="145" t="s">
        <v>3876</v>
      </c>
      <c r="N233" s="143" t="s">
        <v>296</v>
      </c>
      <c r="O233" s="143" t="s">
        <v>339</v>
      </c>
      <c r="P233" s="162">
        <v>45281</v>
      </c>
      <c r="Q233" s="143" t="s">
        <v>1211</v>
      </c>
      <c r="R233" s="143" t="s">
        <v>885</v>
      </c>
      <c r="S233" s="143" t="s">
        <v>889</v>
      </c>
      <c r="T233" s="163">
        <v>45442</v>
      </c>
      <c r="U233" s="143" t="s">
        <v>1212</v>
      </c>
      <c r="V233" s="144">
        <v>3807.1521415270022</v>
      </c>
      <c r="W233" s="144">
        <v>14311.0849</v>
      </c>
      <c r="X233" s="146">
        <v>4.4187733333333333E-2</v>
      </c>
      <c r="Y233" s="146">
        <v>3.6239442442736196E-3</v>
      </c>
      <c r="Z233" s="147">
        <v>6.3418239987389263E-4</v>
      </c>
      <c r="AA233" s="181"/>
    </row>
    <row r="234" spans="1:27" ht="15" x14ac:dyDescent="0.2">
      <c r="A234" s="142" t="s">
        <v>1220</v>
      </c>
      <c r="B234" s="143" t="s">
        <v>1220</v>
      </c>
      <c r="C234" s="143" t="s">
        <v>3480</v>
      </c>
      <c r="D234" s="145" t="s">
        <v>3876</v>
      </c>
      <c r="E234" s="145" t="s">
        <v>3876</v>
      </c>
      <c r="F234" s="143" t="s">
        <v>3481</v>
      </c>
      <c r="G234" s="143" t="s">
        <v>3482</v>
      </c>
      <c r="H234" s="143" t="s">
        <v>312</v>
      </c>
      <c r="I234" s="143" t="s">
        <v>1003</v>
      </c>
      <c r="J234" s="145" t="s">
        <v>3876</v>
      </c>
      <c r="K234" s="143" t="s">
        <v>205</v>
      </c>
      <c r="L234" s="145" t="s">
        <v>3876</v>
      </c>
      <c r="M234" s="145" t="s">
        <v>3876</v>
      </c>
      <c r="N234" s="143" t="s">
        <v>291</v>
      </c>
      <c r="O234" s="143" t="s">
        <v>339</v>
      </c>
      <c r="P234" s="162">
        <v>45259</v>
      </c>
      <c r="Q234" s="143" t="s">
        <v>1211</v>
      </c>
      <c r="R234" s="143" t="s">
        <v>885</v>
      </c>
      <c r="S234" s="143" t="s">
        <v>889</v>
      </c>
      <c r="T234" s="163">
        <v>45471</v>
      </c>
      <c r="U234" s="143" t="s">
        <v>1212</v>
      </c>
      <c r="V234" s="144">
        <v>2811.082894386805</v>
      </c>
      <c r="W234" s="144">
        <v>10566.8606</v>
      </c>
      <c r="X234" s="146">
        <v>1.7800024303030303E-3</v>
      </c>
      <c r="Y234" s="146">
        <v>2.6758078822987589E-3</v>
      </c>
      <c r="Z234" s="147">
        <v>4.6826058846770162E-4</v>
      </c>
      <c r="AA234" s="181"/>
    </row>
    <row r="235" spans="1:27" ht="15" x14ac:dyDescent="0.2">
      <c r="A235" s="142" t="s">
        <v>1220</v>
      </c>
      <c r="B235" s="143" t="s">
        <v>1220</v>
      </c>
      <c r="C235" s="143" t="s">
        <v>3462</v>
      </c>
      <c r="D235" s="145" t="s">
        <v>3876</v>
      </c>
      <c r="E235" s="145" t="s">
        <v>3876</v>
      </c>
      <c r="F235" s="143" t="s">
        <v>3483</v>
      </c>
      <c r="G235" s="143" t="s">
        <v>3484</v>
      </c>
      <c r="H235" s="143" t="s">
        <v>312</v>
      </c>
      <c r="I235" s="143" t="s">
        <v>1003</v>
      </c>
      <c r="J235" s="145" t="s">
        <v>3876</v>
      </c>
      <c r="K235" s="143" t="s">
        <v>205</v>
      </c>
      <c r="L235" s="145" t="s">
        <v>3876</v>
      </c>
      <c r="M235" s="145" t="s">
        <v>3876</v>
      </c>
      <c r="N235" s="143" t="s">
        <v>224</v>
      </c>
      <c r="O235" s="143" t="s">
        <v>339</v>
      </c>
      <c r="P235" s="162">
        <v>44616</v>
      </c>
      <c r="Q235" s="143" t="s">
        <v>1211</v>
      </c>
      <c r="R235" s="143" t="s">
        <v>885</v>
      </c>
      <c r="S235" s="143" t="s">
        <v>889</v>
      </c>
      <c r="T235" s="163">
        <v>45431</v>
      </c>
      <c r="U235" s="143" t="s">
        <v>1212</v>
      </c>
      <c r="V235" s="144">
        <v>2171.4518488959829</v>
      </c>
      <c r="W235" s="144">
        <v>8162.4875000000002</v>
      </c>
      <c r="X235" s="145" t="s">
        <v>3876</v>
      </c>
      <c r="Y235" s="146">
        <v>2.0669571876088667E-3</v>
      </c>
      <c r="Z235" s="147">
        <v>3.6171303456053141E-4</v>
      </c>
      <c r="AA235" s="181"/>
    </row>
    <row r="236" spans="1:27" ht="15" x14ac:dyDescent="0.2">
      <c r="A236" s="142" t="s">
        <v>1220</v>
      </c>
      <c r="B236" s="143" t="s">
        <v>1220</v>
      </c>
      <c r="C236" s="143" t="s">
        <v>3485</v>
      </c>
      <c r="D236" s="145" t="s">
        <v>3876</v>
      </c>
      <c r="E236" s="145" t="s">
        <v>3876</v>
      </c>
      <c r="F236" s="143" t="s">
        <v>3486</v>
      </c>
      <c r="G236" s="143" t="s">
        <v>3487</v>
      </c>
      <c r="H236" s="143" t="s">
        <v>312</v>
      </c>
      <c r="I236" s="143" t="s">
        <v>1003</v>
      </c>
      <c r="J236" s="145" t="s">
        <v>3876</v>
      </c>
      <c r="K236" s="143" t="s">
        <v>205</v>
      </c>
      <c r="L236" s="145" t="s">
        <v>3876</v>
      </c>
      <c r="M236" s="145" t="s">
        <v>3876</v>
      </c>
      <c r="N236" s="143" t="s">
        <v>204</v>
      </c>
      <c r="O236" s="143" t="s">
        <v>339</v>
      </c>
      <c r="P236" s="162">
        <v>45356</v>
      </c>
      <c r="Q236" s="143" t="s">
        <v>1210</v>
      </c>
      <c r="R236" s="143" t="s">
        <v>885</v>
      </c>
      <c r="S236" s="143" t="s">
        <v>889</v>
      </c>
      <c r="T236" s="163">
        <v>45442</v>
      </c>
      <c r="U236" s="145" t="s">
        <v>3876</v>
      </c>
      <c r="V236" s="144">
        <v>7008.4299000000001</v>
      </c>
      <c r="W236" s="144">
        <v>7008.4299000000001</v>
      </c>
      <c r="X236" s="146">
        <v>9.6008764075430734E-3</v>
      </c>
      <c r="Y236" s="146">
        <v>1.774719345891144E-3</v>
      </c>
      <c r="Z236" s="147">
        <v>3.1057204471573324E-4</v>
      </c>
      <c r="AA236" s="181"/>
    </row>
    <row r="237" spans="1:27" ht="15" x14ac:dyDescent="0.2">
      <c r="A237" s="142" t="s">
        <v>1220</v>
      </c>
      <c r="B237" s="143" t="s">
        <v>1220</v>
      </c>
      <c r="C237" s="143" t="s">
        <v>3480</v>
      </c>
      <c r="D237" s="145" t="s">
        <v>3876</v>
      </c>
      <c r="E237" s="145" t="s">
        <v>3876</v>
      </c>
      <c r="F237" s="143" t="s">
        <v>3488</v>
      </c>
      <c r="G237" s="143" t="s">
        <v>3489</v>
      </c>
      <c r="H237" s="143" t="s">
        <v>312</v>
      </c>
      <c r="I237" s="143" t="s">
        <v>1003</v>
      </c>
      <c r="J237" s="145" t="s">
        <v>3876</v>
      </c>
      <c r="K237" s="143" t="s">
        <v>205</v>
      </c>
      <c r="L237" s="145" t="s">
        <v>3876</v>
      </c>
      <c r="M237" s="145" t="s">
        <v>3876</v>
      </c>
      <c r="N237" s="143" t="s">
        <v>291</v>
      </c>
      <c r="O237" s="143" t="s">
        <v>339</v>
      </c>
      <c r="P237" s="162">
        <v>44651</v>
      </c>
      <c r="Q237" s="143" t="s">
        <v>1211</v>
      </c>
      <c r="R237" s="143" t="s">
        <v>885</v>
      </c>
      <c r="S237" s="143" t="s">
        <v>889</v>
      </c>
      <c r="T237" s="163">
        <v>44651</v>
      </c>
      <c r="U237" s="143" t="s">
        <v>1212</v>
      </c>
      <c r="V237" s="145" t="s">
        <v>3876</v>
      </c>
      <c r="W237" s="144">
        <v>0</v>
      </c>
      <c r="X237" s="146">
        <v>6.0606060606060602E-12</v>
      </c>
      <c r="Y237" s="146">
        <v>9.5187796924349726E-12</v>
      </c>
      <c r="Z237" s="147">
        <v>1.6657658458068425E-12</v>
      </c>
      <c r="AA237" s="181"/>
    </row>
    <row r="238" spans="1:27" ht="15" x14ac:dyDescent="0.2">
      <c r="A238" s="142" t="s">
        <v>1220</v>
      </c>
      <c r="B238" s="143" t="s">
        <v>1220</v>
      </c>
      <c r="C238" s="143" t="s">
        <v>3490</v>
      </c>
      <c r="D238" s="145" t="s">
        <v>3876</v>
      </c>
      <c r="E238" s="145" t="s">
        <v>3876</v>
      </c>
      <c r="F238" s="143" t="s">
        <v>3491</v>
      </c>
      <c r="G238" s="143" t="s">
        <v>3492</v>
      </c>
      <c r="H238" s="143" t="s">
        <v>312</v>
      </c>
      <c r="I238" s="143" t="s">
        <v>1004</v>
      </c>
      <c r="J238" s="145" t="s">
        <v>3876</v>
      </c>
      <c r="K238" s="143" t="s">
        <v>204</v>
      </c>
      <c r="L238" s="145" t="s">
        <v>3876</v>
      </c>
      <c r="M238" s="145" t="s">
        <v>3876</v>
      </c>
      <c r="N238" s="143" t="s">
        <v>204</v>
      </c>
      <c r="O238" s="143" t="s">
        <v>339</v>
      </c>
      <c r="P238" s="162">
        <v>45306</v>
      </c>
      <c r="Q238" s="143" t="s">
        <v>1210</v>
      </c>
      <c r="R238" s="143" t="s">
        <v>885</v>
      </c>
      <c r="S238" s="143" t="s">
        <v>889</v>
      </c>
      <c r="T238" s="163">
        <v>45419</v>
      </c>
      <c r="U238" s="145" t="s">
        <v>3876</v>
      </c>
      <c r="V238" s="144">
        <v>51558.046900000001</v>
      </c>
      <c r="W238" s="144">
        <v>51558.046900000001</v>
      </c>
      <c r="X238" s="145" t="s">
        <v>3876</v>
      </c>
      <c r="Y238" s="146">
        <v>1.3055857662360016E-2</v>
      </c>
      <c r="Z238" s="147">
        <v>2.2847468356641397E-3</v>
      </c>
      <c r="AA238" s="181"/>
    </row>
    <row r="239" spans="1:27" ht="15" x14ac:dyDescent="0.2">
      <c r="A239" s="142" t="s">
        <v>1220</v>
      </c>
      <c r="B239" s="143" t="s">
        <v>1220</v>
      </c>
      <c r="C239" s="143" t="s">
        <v>3493</v>
      </c>
      <c r="D239" s="145" t="s">
        <v>3876</v>
      </c>
      <c r="E239" s="145" t="s">
        <v>3876</v>
      </c>
      <c r="F239" s="143" t="s">
        <v>3494</v>
      </c>
      <c r="G239" s="143" t="s">
        <v>3495</v>
      </c>
      <c r="H239" s="143" t="s">
        <v>312</v>
      </c>
      <c r="I239" s="143" t="s">
        <v>1004</v>
      </c>
      <c r="J239" s="145" t="s">
        <v>3876</v>
      </c>
      <c r="K239" s="143" t="s">
        <v>204</v>
      </c>
      <c r="L239" s="145" t="s">
        <v>3876</v>
      </c>
      <c r="M239" s="145" t="s">
        <v>3876</v>
      </c>
      <c r="N239" s="143" t="s">
        <v>204</v>
      </c>
      <c r="O239" s="143" t="s">
        <v>339</v>
      </c>
      <c r="P239" s="162">
        <v>45378</v>
      </c>
      <c r="Q239" s="143" t="s">
        <v>1210</v>
      </c>
      <c r="R239" s="143" t="s">
        <v>885</v>
      </c>
      <c r="S239" s="143" t="s">
        <v>889</v>
      </c>
      <c r="T239" s="163">
        <v>45441</v>
      </c>
      <c r="U239" s="145" t="s">
        <v>3876</v>
      </c>
      <c r="V239" s="144">
        <v>17465.047399999999</v>
      </c>
      <c r="W239" s="144">
        <v>17465.047399999999</v>
      </c>
      <c r="X239" s="146">
        <v>1.2074634666666667E-2</v>
      </c>
      <c r="Y239" s="146">
        <v>4.4226107639713181E-3</v>
      </c>
      <c r="Z239" s="147">
        <v>7.7394731236148475E-4</v>
      </c>
      <c r="AA239" s="181"/>
    </row>
    <row r="240" spans="1:27" ht="15" x14ac:dyDescent="0.2">
      <c r="A240" s="142" t="s">
        <v>1220</v>
      </c>
      <c r="B240" s="143" t="s">
        <v>1220</v>
      </c>
      <c r="C240" s="143" t="s">
        <v>3496</v>
      </c>
      <c r="D240" s="145" t="s">
        <v>3876</v>
      </c>
      <c r="E240" s="145" t="s">
        <v>3876</v>
      </c>
      <c r="F240" s="143" t="s">
        <v>3496</v>
      </c>
      <c r="G240" s="143" t="s">
        <v>3497</v>
      </c>
      <c r="H240" s="143" t="s">
        <v>312</v>
      </c>
      <c r="I240" s="143" t="s">
        <v>1004</v>
      </c>
      <c r="J240" s="145" t="s">
        <v>3876</v>
      </c>
      <c r="K240" s="143" t="s">
        <v>204</v>
      </c>
      <c r="L240" s="145" t="s">
        <v>3876</v>
      </c>
      <c r="M240" s="145" t="s">
        <v>3876</v>
      </c>
      <c r="N240" s="143" t="s">
        <v>204</v>
      </c>
      <c r="O240" s="143" t="s">
        <v>339</v>
      </c>
      <c r="P240" s="162">
        <v>45362</v>
      </c>
      <c r="Q240" s="143" t="s">
        <v>1210</v>
      </c>
      <c r="R240" s="143" t="s">
        <v>885</v>
      </c>
      <c r="S240" s="143" t="s">
        <v>889</v>
      </c>
      <c r="T240" s="163">
        <v>45427</v>
      </c>
      <c r="U240" s="145" t="s">
        <v>3876</v>
      </c>
      <c r="V240" s="144">
        <v>9542.2715000000007</v>
      </c>
      <c r="W240" s="144">
        <v>9542.2715000000007</v>
      </c>
      <c r="X240" s="146">
        <v>3.032492435135135E-2</v>
      </c>
      <c r="Y240" s="146">
        <v>2.4163548784115509E-3</v>
      </c>
      <c r="Z240" s="147">
        <v>4.228568742908958E-4</v>
      </c>
      <c r="AA240" s="181"/>
    </row>
    <row r="241" spans="1:27" ht="15" x14ac:dyDescent="0.2">
      <c r="A241" s="142" t="s">
        <v>1220</v>
      </c>
      <c r="B241" s="143" t="s">
        <v>1220</v>
      </c>
      <c r="C241" s="143" t="s">
        <v>3490</v>
      </c>
      <c r="D241" s="145" t="s">
        <v>3876</v>
      </c>
      <c r="E241" s="145" t="s">
        <v>3876</v>
      </c>
      <c r="F241" s="143" t="s">
        <v>3498</v>
      </c>
      <c r="G241" s="143" t="s">
        <v>3499</v>
      </c>
      <c r="H241" s="143" t="s">
        <v>312</v>
      </c>
      <c r="I241" s="143" t="s">
        <v>1004</v>
      </c>
      <c r="J241" s="145" t="s">
        <v>3876</v>
      </c>
      <c r="K241" s="143" t="s">
        <v>204</v>
      </c>
      <c r="L241" s="145" t="s">
        <v>3876</v>
      </c>
      <c r="M241" s="145" t="s">
        <v>3876</v>
      </c>
      <c r="N241" s="143" t="s">
        <v>204</v>
      </c>
      <c r="O241" s="143" t="s">
        <v>339</v>
      </c>
      <c r="P241" s="162">
        <v>45250</v>
      </c>
      <c r="Q241" s="143" t="s">
        <v>1210</v>
      </c>
      <c r="R241" s="143" t="s">
        <v>885</v>
      </c>
      <c r="S241" s="143" t="s">
        <v>889</v>
      </c>
      <c r="T241" s="163">
        <v>45250</v>
      </c>
      <c r="U241" s="145" t="s">
        <v>3876</v>
      </c>
      <c r="V241" s="144">
        <v>326.56799999999998</v>
      </c>
      <c r="W241" s="144">
        <v>326.56799999999998</v>
      </c>
      <c r="X241" s="146">
        <v>2.0282970820963194E-4</v>
      </c>
      <c r="Y241" s="146">
        <v>8.2695633056640184E-5</v>
      </c>
      <c r="Z241" s="147">
        <v>1.4471556816532294E-5</v>
      </c>
      <c r="AA241" s="181"/>
    </row>
    <row r="242" spans="1:27" ht="15" x14ac:dyDescent="0.2">
      <c r="A242" s="142" t="s">
        <v>1220</v>
      </c>
      <c r="B242" s="143" t="s">
        <v>1220</v>
      </c>
      <c r="C242" s="143" t="s">
        <v>3500</v>
      </c>
      <c r="D242" s="145" t="s">
        <v>3876</v>
      </c>
      <c r="E242" s="145" t="s">
        <v>3876</v>
      </c>
      <c r="F242" s="143" t="s">
        <v>3501</v>
      </c>
      <c r="G242" s="143" t="s">
        <v>3502</v>
      </c>
      <c r="H242" s="143" t="s">
        <v>312</v>
      </c>
      <c r="I242" s="143" t="s">
        <v>1004</v>
      </c>
      <c r="J242" s="145" t="s">
        <v>3876</v>
      </c>
      <c r="K242" s="143" t="s">
        <v>204</v>
      </c>
      <c r="L242" s="145" t="s">
        <v>3876</v>
      </c>
      <c r="M242" s="145" t="s">
        <v>3876</v>
      </c>
      <c r="N242" s="143" t="s">
        <v>204</v>
      </c>
      <c r="O242" s="143" t="s">
        <v>339</v>
      </c>
      <c r="P242" s="162">
        <v>42283</v>
      </c>
      <c r="Q242" s="143" t="s">
        <v>1211</v>
      </c>
      <c r="R242" s="143" t="s">
        <v>885</v>
      </c>
      <c r="S242" s="143" t="s">
        <v>889</v>
      </c>
      <c r="T242" s="163">
        <v>45382</v>
      </c>
      <c r="U242" s="143" t="s">
        <v>1212</v>
      </c>
      <c r="V242" s="144">
        <v>4.105054535780793</v>
      </c>
      <c r="W242" s="144">
        <v>15.430899999999999</v>
      </c>
      <c r="X242" s="145" t="s">
        <v>3876</v>
      </c>
      <c r="Y242" s="146">
        <v>3.90750324907272E-6</v>
      </c>
      <c r="Z242" s="147">
        <v>6.8380461204051234E-7</v>
      </c>
      <c r="AA242" s="181"/>
    </row>
    <row r="243" spans="1:27" ht="15" x14ac:dyDescent="0.2">
      <c r="A243" s="142" t="s">
        <v>1220</v>
      </c>
      <c r="B243" s="143" t="s">
        <v>1220</v>
      </c>
      <c r="C243" s="143" t="s">
        <v>3500</v>
      </c>
      <c r="D243" s="145" t="s">
        <v>3876</v>
      </c>
      <c r="E243" s="145" t="s">
        <v>3876</v>
      </c>
      <c r="F243" s="143" t="s">
        <v>3503</v>
      </c>
      <c r="G243" s="143" t="s">
        <v>3504</v>
      </c>
      <c r="H243" s="143" t="s">
        <v>312</v>
      </c>
      <c r="I243" s="143" t="s">
        <v>1004</v>
      </c>
      <c r="J243" s="145" t="s">
        <v>3876</v>
      </c>
      <c r="K243" s="143" t="s">
        <v>204</v>
      </c>
      <c r="L243" s="145" t="s">
        <v>3876</v>
      </c>
      <c r="M243" s="145" t="s">
        <v>3876</v>
      </c>
      <c r="N243" s="143" t="s">
        <v>204</v>
      </c>
      <c r="O243" s="143" t="s">
        <v>339</v>
      </c>
      <c r="P243" s="162">
        <v>42528</v>
      </c>
      <c r="Q243" s="143" t="s">
        <v>1210</v>
      </c>
      <c r="R243" s="143" t="s">
        <v>885</v>
      </c>
      <c r="S243" s="143" t="s">
        <v>889</v>
      </c>
      <c r="T243" s="163">
        <v>45386</v>
      </c>
      <c r="U243" s="145" t="s">
        <v>3876</v>
      </c>
      <c r="V243" s="144">
        <v>1E-4</v>
      </c>
      <c r="W243" s="144">
        <v>1E-4</v>
      </c>
      <c r="X243" s="145" t="s">
        <v>3876</v>
      </c>
      <c r="Y243" s="146">
        <v>2.9729197986065515E-11</v>
      </c>
      <c r="Z243" s="147">
        <v>5.202545308173788E-12</v>
      </c>
      <c r="AA243" s="181"/>
    </row>
    <row r="244" spans="1:27" ht="15" x14ac:dyDescent="0.2">
      <c r="A244" s="142" t="s">
        <v>1220</v>
      </c>
      <c r="B244" s="143" t="s">
        <v>1220</v>
      </c>
      <c r="C244" s="143" t="s">
        <v>3505</v>
      </c>
      <c r="D244" s="145" t="s">
        <v>3876</v>
      </c>
      <c r="E244" s="145" t="s">
        <v>3876</v>
      </c>
      <c r="F244" s="143" t="s">
        <v>3506</v>
      </c>
      <c r="G244" s="143" t="s">
        <v>3507</v>
      </c>
      <c r="H244" s="143" t="s">
        <v>312</v>
      </c>
      <c r="I244" s="143" t="s">
        <v>1004</v>
      </c>
      <c r="J244" s="145" t="s">
        <v>3876</v>
      </c>
      <c r="K244" s="143" t="s">
        <v>205</v>
      </c>
      <c r="L244" s="145" t="s">
        <v>3876</v>
      </c>
      <c r="M244" s="145" t="s">
        <v>3876</v>
      </c>
      <c r="N244" s="143" t="s">
        <v>291</v>
      </c>
      <c r="O244" s="143" t="s">
        <v>339</v>
      </c>
      <c r="P244" s="162">
        <v>45362</v>
      </c>
      <c r="Q244" s="143" t="s">
        <v>1211</v>
      </c>
      <c r="R244" s="143" t="s">
        <v>885</v>
      </c>
      <c r="S244" s="143" t="s">
        <v>889</v>
      </c>
      <c r="T244" s="163">
        <v>45447</v>
      </c>
      <c r="U244" s="143" t="s">
        <v>1212</v>
      </c>
      <c r="V244" s="144">
        <v>19234.686618781594</v>
      </c>
      <c r="W244" s="144">
        <v>72303.187000000005</v>
      </c>
      <c r="X244" s="146">
        <v>7.5793416950000001E-4</v>
      </c>
      <c r="Y244" s="146">
        <v>1.8309074427509259E-2</v>
      </c>
      <c r="Z244" s="147">
        <v>3.2040484006494135E-3</v>
      </c>
      <c r="AA244" s="181"/>
    </row>
    <row r="245" spans="1:27" ht="15" x14ac:dyDescent="0.2">
      <c r="A245" s="142" t="s">
        <v>1220</v>
      </c>
      <c r="B245" s="143" t="s">
        <v>1220</v>
      </c>
      <c r="C245" s="143" t="s">
        <v>3511</v>
      </c>
      <c r="D245" s="145" t="s">
        <v>3876</v>
      </c>
      <c r="E245" s="145" t="s">
        <v>3876</v>
      </c>
      <c r="F245" s="143" t="s">
        <v>3512</v>
      </c>
      <c r="G245" s="143" t="s">
        <v>3513</v>
      </c>
      <c r="H245" s="143" t="s">
        <v>312</v>
      </c>
      <c r="I245" s="143" t="s">
        <v>1004</v>
      </c>
      <c r="J245" s="145" t="s">
        <v>3876</v>
      </c>
      <c r="K245" s="143" t="s">
        <v>205</v>
      </c>
      <c r="L245" s="145" t="s">
        <v>3876</v>
      </c>
      <c r="M245" s="145" t="s">
        <v>3876</v>
      </c>
      <c r="N245" s="143" t="s">
        <v>224</v>
      </c>
      <c r="O245" s="143" t="s">
        <v>339</v>
      </c>
      <c r="P245" s="162">
        <v>45362</v>
      </c>
      <c r="Q245" s="143" t="s">
        <v>1211</v>
      </c>
      <c r="R245" s="143" t="s">
        <v>885</v>
      </c>
      <c r="S245" s="143" t="s">
        <v>889</v>
      </c>
      <c r="T245" s="163">
        <v>45449</v>
      </c>
      <c r="U245" s="143" t="s">
        <v>1212</v>
      </c>
      <c r="V245" s="144">
        <v>15706.556823623305</v>
      </c>
      <c r="W245" s="144">
        <v>59040.947100000005</v>
      </c>
      <c r="X245" s="145" t="s">
        <v>3876</v>
      </c>
      <c r="Y245" s="146">
        <v>1.495072541898845E-2</v>
      </c>
      <c r="Z245" s="147">
        <v>2.616344592235901E-3</v>
      </c>
      <c r="AA245" s="181"/>
    </row>
    <row r="246" spans="1:27" ht="15" x14ac:dyDescent="0.2">
      <c r="A246" s="142" t="s">
        <v>1220</v>
      </c>
      <c r="B246" s="143" t="s">
        <v>1220</v>
      </c>
      <c r="C246" s="143" t="s">
        <v>3508</v>
      </c>
      <c r="D246" s="145" t="s">
        <v>3876</v>
      </c>
      <c r="E246" s="145" t="s">
        <v>3876</v>
      </c>
      <c r="F246" s="143" t="s">
        <v>3509</v>
      </c>
      <c r="G246" s="143" t="s">
        <v>3510</v>
      </c>
      <c r="H246" s="143" t="s">
        <v>312</v>
      </c>
      <c r="I246" s="143" t="s">
        <v>1004</v>
      </c>
      <c r="J246" s="145" t="s">
        <v>3876</v>
      </c>
      <c r="K246" s="143" t="s">
        <v>205</v>
      </c>
      <c r="L246" s="145" t="s">
        <v>3876</v>
      </c>
      <c r="M246" s="145" t="s">
        <v>3876</v>
      </c>
      <c r="N246" s="143" t="s">
        <v>224</v>
      </c>
      <c r="O246" s="143" t="s">
        <v>339</v>
      </c>
      <c r="P246" s="162">
        <v>44664</v>
      </c>
      <c r="Q246" s="143" t="s">
        <v>1211</v>
      </c>
      <c r="R246" s="143" t="s">
        <v>885</v>
      </c>
      <c r="S246" s="143" t="s">
        <v>889</v>
      </c>
      <c r="T246" s="163">
        <v>45447</v>
      </c>
      <c r="U246" s="143" t="s">
        <v>1212</v>
      </c>
      <c r="V246" s="144">
        <v>14804.82372971535</v>
      </c>
      <c r="W246" s="144">
        <v>55651.332399999999</v>
      </c>
      <c r="X246" s="146">
        <v>7.5071250000000006E-2</v>
      </c>
      <c r="Y246" s="146">
        <v>1.4092385550808859E-2</v>
      </c>
      <c r="Z246" s="147">
        <v>2.4661369729079494E-3</v>
      </c>
      <c r="AA246" s="181"/>
    </row>
    <row r="247" spans="1:27" ht="15" x14ac:dyDescent="0.2">
      <c r="A247" s="142" t="s">
        <v>1220</v>
      </c>
      <c r="B247" s="143" t="s">
        <v>1220</v>
      </c>
      <c r="C247" s="143" t="s">
        <v>3514</v>
      </c>
      <c r="D247" s="145" t="s">
        <v>3876</v>
      </c>
      <c r="E247" s="145" t="s">
        <v>3876</v>
      </c>
      <c r="F247" s="143" t="s">
        <v>3515</v>
      </c>
      <c r="G247" s="143" t="s">
        <v>3516</v>
      </c>
      <c r="H247" s="143" t="s">
        <v>312</v>
      </c>
      <c r="I247" s="143" t="s">
        <v>1004</v>
      </c>
      <c r="J247" s="145" t="s">
        <v>3876</v>
      </c>
      <c r="K247" s="143" t="s">
        <v>205</v>
      </c>
      <c r="L247" s="145" t="s">
        <v>3876</v>
      </c>
      <c r="M247" s="145" t="s">
        <v>3876</v>
      </c>
      <c r="N247" s="143" t="s">
        <v>291</v>
      </c>
      <c r="O247" s="143" t="s">
        <v>339</v>
      </c>
      <c r="P247" s="162">
        <v>45187</v>
      </c>
      <c r="Q247" s="143" t="s">
        <v>1211</v>
      </c>
      <c r="R247" s="143" t="s">
        <v>885</v>
      </c>
      <c r="S247" s="143" t="s">
        <v>889</v>
      </c>
      <c r="T247" s="163">
        <v>45454</v>
      </c>
      <c r="U247" s="143" t="s">
        <v>1212</v>
      </c>
      <c r="V247" s="144">
        <v>11676.025884543762</v>
      </c>
      <c r="W247" s="144">
        <v>43890.181299999997</v>
      </c>
      <c r="X247" s="146">
        <v>6.1252954228571427E-3</v>
      </c>
      <c r="Y247" s="146">
        <v>1.1114151807733752E-2</v>
      </c>
      <c r="Z247" s="147">
        <v>1.9449525133089149E-3</v>
      </c>
      <c r="AA247" s="181"/>
    </row>
    <row r="248" spans="1:27" ht="15" x14ac:dyDescent="0.2">
      <c r="A248" s="142" t="s">
        <v>1220</v>
      </c>
      <c r="B248" s="143" t="s">
        <v>1220</v>
      </c>
      <c r="C248" s="143" t="s">
        <v>3520</v>
      </c>
      <c r="D248" s="145" t="s">
        <v>3876</v>
      </c>
      <c r="E248" s="145" t="s">
        <v>3876</v>
      </c>
      <c r="F248" s="143" t="s">
        <v>3521</v>
      </c>
      <c r="G248" s="143" t="s">
        <v>3522</v>
      </c>
      <c r="H248" s="143" t="s">
        <v>312</v>
      </c>
      <c r="I248" s="143" t="s">
        <v>1004</v>
      </c>
      <c r="J248" s="145" t="s">
        <v>3876</v>
      </c>
      <c r="K248" s="143" t="s">
        <v>205</v>
      </c>
      <c r="L248" s="145" t="s">
        <v>3876</v>
      </c>
      <c r="M248" s="145" t="s">
        <v>3876</v>
      </c>
      <c r="N248" s="143" t="s">
        <v>291</v>
      </c>
      <c r="O248" s="143" t="s">
        <v>339</v>
      </c>
      <c r="P248" s="162">
        <v>44633</v>
      </c>
      <c r="Q248" s="143" t="s">
        <v>1211</v>
      </c>
      <c r="R248" s="143" t="s">
        <v>885</v>
      </c>
      <c r="S248" s="143" t="s">
        <v>889</v>
      </c>
      <c r="T248" s="163">
        <v>45432</v>
      </c>
      <c r="U248" s="143" t="s">
        <v>1212</v>
      </c>
      <c r="V248" s="144">
        <v>11163.341713221602</v>
      </c>
      <c r="W248" s="144">
        <v>41963.001499999998</v>
      </c>
      <c r="X248" s="146">
        <v>7.2450421473684204E-2</v>
      </c>
      <c r="Y248" s="146">
        <v>1.062613903161915E-2</v>
      </c>
      <c r="Z248" s="147">
        <v>1.8595513336372026E-3</v>
      </c>
      <c r="AA248" s="181"/>
    </row>
    <row r="249" spans="1:27" ht="15" x14ac:dyDescent="0.2">
      <c r="A249" s="142" t="s">
        <v>1220</v>
      </c>
      <c r="B249" s="143" t="s">
        <v>1220</v>
      </c>
      <c r="C249" s="143" t="s">
        <v>3517</v>
      </c>
      <c r="D249" s="145" t="s">
        <v>3876</v>
      </c>
      <c r="E249" s="145" t="s">
        <v>3876</v>
      </c>
      <c r="F249" s="143" t="s">
        <v>3518</v>
      </c>
      <c r="G249" s="143" t="s">
        <v>3519</v>
      </c>
      <c r="H249" s="143" t="s">
        <v>312</v>
      </c>
      <c r="I249" s="143" t="s">
        <v>1004</v>
      </c>
      <c r="J249" s="145" t="s">
        <v>3876</v>
      </c>
      <c r="K249" s="143" t="s">
        <v>205</v>
      </c>
      <c r="L249" s="145" t="s">
        <v>3876</v>
      </c>
      <c r="M249" s="145" t="s">
        <v>3876</v>
      </c>
      <c r="N249" s="143" t="s">
        <v>293</v>
      </c>
      <c r="O249" s="143" t="s">
        <v>339</v>
      </c>
      <c r="P249" s="162">
        <v>45341</v>
      </c>
      <c r="Q249" s="143" t="s">
        <v>1213</v>
      </c>
      <c r="R249" s="143" t="s">
        <v>885</v>
      </c>
      <c r="S249" s="143" t="s">
        <v>889</v>
      </c>
      <c r="T249" s="163">
        <v>45466</v>
      </c>
      <c r="U249" s="143" t="s">
        <v>1214</v>
      </c>
      <c r="V249" s="144">
        <v>10023.706158897567</v>
      </c>
      <c r="W249" s="144">
        <v>40297.303500000002</v>
      </c>
      <c r="X249" s="146">
        <v>2.5701349538106235E-2</v>
      </c>
      <c r="Y249" s="146">
        <v>1.0204340355401673E-2</v>
      </c>
      <c r="Z249" s="147">
        <v>1.7857374781481408E-3</v>
      </c>
      <c r="AA249" s="181"/>
    </row>
    <row r="250" spans="1:27" ht="15" x14ac:dyDescent="0.2">
      <c r="A250" s="142" t="s">
        <v>1220</v>
      </c>
      <c r="B250" s="143" t="s">
        <v>1220</v>
      </c>
      <c r="C250" s="143" t="s">
        <v>3523</v>
      </c>
      <c r="D250" s="145" t="s">
        <v>3876</v>
      </c>
      <c r="E250" s="145" t="s">
        <v>3876</v>
      </c>
      <c r="F250" s="143" t="s">
        <v>3524</v>
      </c>
      <c r="G250" s="143" t="s">
        <v>3525</v>
      </c>
      <c r="H250" s="143" t="s">
        <v>312</v>
      </c>
      <c r="I250" s="143" t="s">
        <v>1004</v>
      </c>
      <c r="J250" s="145" t="s">
        <v>3876</v>
      </c>
      <c r="K250" s="143" t="s">
        <v>205</v>
      </c>
      <c r="L250" s="145" t="s">
        <v>3876</v>
      </c>
      <c r="M250" s="145" t="s">
        <v>3876</v>
      </c>
      <c r="N250" s="143" t="s">
        <v>291</v>
      </c>
      <c r="O250" s="143" t="s">
        <v>339</v>
      </c>
      <c r="P250" s="162">
        <v>44776</v>
      </c>
      <c r="Q250" s="143" t="s">
        <v>1211</v>
      </c>
      <c r="R250" s="143" t="s">
        <v>885</v>
      </c>
      <c r="S250" s="143" t="s">
        <v>889</v>
      </c>
      <c r="T250" s="163">
        <v>45434</v>
      </c>
      <c r="U250" s="143" t="s">
        <v>1212</v>
      </c>
      <c r="V250" s="144">
        <v>9363.8160148975785</v>
      </c>
      <c r="W250" s="144">
        <v>35198.5844</v>
      </c>
      <c r="X250" s="145" t="s">
        <v>3876</v>
      </c>
      <c r="Y250" s="146">
        <v>8.9132101712658587E-3</v>
      </c>
      <c r="Z250" s="147">
        <v>1.5597924901647527E-3</v>
      </c>
      <c r="AA250" s="181"/>
    </row>
    <row r="251" spans="1:27" ht="15" x14ac:dyDescent="0.2">
      <c r="A251" s="142" t="s">
        <v>1220</v>
      </c>
      <c r="B251" s="143" t="s">
        <v>1220</v>
      </c>
      <c r="C251" s="143" t="s">
        <v>3526</v>
      </c>
      <c r="D251" s="145" t="s">
        <v>3876</v>
      </c>
      <c r="E251" s="145" t="s">
        <v>3876</v>
      </c>
      <c r="F251" s="143" t="s">
        <v>3527</v>
      </c>
      <c r="G251" s="143" t="s">
        <v>3528</v>
      </c>
      <c r="H251" s="143" t="s">
        <v>312</v>
      </c>
      <c r="I251" s="143" t="s">
        <v>1004</v>
      </c>
      <c r="J251" s="145" t="s">
        <v>3876</v>
      </c>
      <c r="K251" s="143" t="s">
        <v>205</v>
      </c>
      <c r="L251" s="145" t="s">
        <v>3876</v>
      </c>
      <c r="M251" s="145" t="s">
        <v>3876</v>
      </c>
      <c r="N251" s="143" t="s">
        <v>224</v>
      </c>
      <c r="O251" s="143" t="s">
        <v>339</v>
      </c>
      <c r="P251" s="162">
        <v>42716</v>
      </c>
      <c r="Q251" s="143" t="s">
        <v>1211</v>
      </c>
      <c r="R251" s="143" t="s">
        <v>885</v>
      </c>
      <c r="S251" s="143" t="s">
        <v>889</v>
      </c>
      <c r="T251" s="163">
        <v>45432</v>
      </c>
      <c r="U251" s="143" t="s">
        <v>1212</v>
      </c>
      <c r="V251" s="144">
        <v>8615.8128757648319</v>
      </c>
      <c r="W251" s="144">
        <v>32386.840600000003</v>
      </c>
      <c r="X251" s="145" t="s">
        <v>3876</v>
      </c>
      <c r="Y251" s="146">
        <v>8.2012024698684925E-3</v>
      </c>
      <c r="Z251" s="147">
        <v>1.4351926833342857E-3</v>
      </c>
      <c r="AA251" s="181"/>
    </row>
    <row r="252" spans="1:27" ht="15" x14ac:dyDescent="0.2">
      <c r="A252" s="142" t="s">
        <v>1220</v>
      </c>
      <c r="B252" s="143" t="s">
        <v>1220</v>
      </c>
      <c r="C252" s="143" t="s">
        <v>3529</v>
      </c>
      <c r="D252" s="145" t="s">
        <v>3876</v>
      </c>
      <c r="E252" s="145" t="s">
        <v>3876</v>
      </c>
      <c r="F252" s="143" t="s">
        <v>3530</v>
      </c>
      <c r="G252" s="143" t="s">
        <v>3531</v>
      </c>
      <c r="H252" s="143" t="s">
        <v>312</v>
      </c>
      <c r="I252" s="143" t="s">
        <v>1004</v>
      </c>
      <c r="J252" s="145" t="s">
        <v>3876</v>
      </c>
      <c r="K252" s="143" t="s">
        <v>205</v>
      </c>
      <c r="L252" s="145" t="s">
        <v>3876</v>
      </c>
      <c r="M252" s="145" t="s">
        <v>3876</v>
      </c>
      <c r="N252" s="143" t="s">
        <v>291</v>
      </c>
      <c r="O252" s="143" t="s">
        <v>339</v>
      </c>
      <c r="P252" s="162">
        <v>44767</v>
      </c>
      <c r="Q252" s="143" t="s">
        <v>1211</v>
      </c>
      <c r="R252" s="143" t="s">
        <v>885</v>
      </c>
      <c r="S252" s="143" t="s">
        <v>889</v>
      </c>
      <c r="T252" s="163">
        <v>45469</v>
      </c>
      <c r="U252" s="143" t="s">
        <v>1212</v>
      </c>
      <c r="V252" s="144">
        <v>6413.1091779728649</v>
      </c>
      <c r="W252" s="144">
        <v>24106.877399999998</v>
      </c>
      <c r="X252" s="146">
        <v>0.11555977173456351</v>
      </c>
      <c r="Y252" s="146">
        <v>6.1044973441830627E-3</v>
      </c>
      <c r="Z252" s="147">
        <v>1.0682738239903003E-3</v>
      </c>
      <c r="AA252" s="181"/>
    </row>
    <row r="253" spans="1:27" ht="15" x14ac:dyDescent="0.2">
      <c r="A253" s="142" t="s">
        <v>1220</v>
      </c>
      <c r="B253" s="143" t="s">
        <v>1220</v>
      </c>
      <c r="C253" s="143" t="s">
        <v>3532</v>
      </c>
      <c r="D253" s="145" t="s">
        <v>3876</v>
      </c>
      <c r="E253" s="145" t="s">
        <v>3876</v>
      </c>
      <c r="F253" s="143" t="s">
        <v>3533</v>
      </c>
      <c r="G253" s="143" t="s">
        <v>3534</v>
      </c>
      <c r="H253" s="143" t="s">
        <v>312</v>
      </c>
      <c r="I253" s="143" t="s">
        <v>1004</v>
      </c>
      <c r="J253" s="145" t="s">
        <v>3876</v>
      </c>
      <c r="K253" s="143" t="s">
        <v>205</v>
      </c>
      <c r="L253" s="145" t="s">
        <v>3876</v>
      </c>
      <c r="M253" s="145" t="s">
        <v>3876</v>
      </c>
      <c r="N253" s="143" t="s">
        <v>224</v>
      </c>
      <c r="O253" s="143" t="s">
        <v>339</v>
      </c>
      <c r="P253" s="162">
        <v>45322</v>
      </c>
      <c r="Q253" s="143" t="s">
        <v>1211</v>
      </c>
      <c r="R253" s="143" t="s">
        <v>885</v>
      </c>
      <c r="S253" s="143" t="s">
        <v>889</v>
      </c>
      <c r="T253" s="163">
        <v>45442</v>
      </c>
      <c r="U253" s="143" t="s">
        <v>1212</v>
      </c>
      <c r="V253" s="144">
        <v>5696.0316573556802</v>
      </c>
      <c r="W253" s="144">
        <v>21411.383000000002</v>
      </c>
      <c r="X253" s="145" t="s">
        <v>3876</v>
      </c>
      <c r="Y253" s="146">
        <v>5.4219270549406492E-3</v>
      </c>
      <c r="Z253" s="147">
        <v>9.4882550057903995E-4</v>
      </c>
      <c r="AA253" s="181"/>
    </row>
    <row r="254" spans="1:27" ht="15" x14ac:dyDescent="0.2">
      <c r="A254" s="142" t="s">
        <v>1220</v>
      </c>
      <c r="B254" s="143" t="s">
        <v>1220</v>
      </c>
      <c r="C254" s="143" t="s">
        <v>3535</v>
      </c>
      <c r="D254" s="145" t="s">
        <v>3876</v>
      </c>
      <c r="E254" s="145" t="s">
        <v>3876</v>
      </c>
      <c r="F254" s="143" t="s">
        <v>3509</v>
      </c>
      <c r="G254" s="143" t="s">
        <v>3536</v>
      </c>
      <c r="H254" s="143" t="s">
        <v>312</v>
      </c>
      <c r="I254" s="143" t="s">
        <v>1004</v>
      </c>
      <c r="J254" s="145" t="s">
        <v>3876</v>
      </c>
      <c r="K254" s="143" t="s">
        <v>205</v>
      </c>
      <c r="L254" s="145" t="s">
        <v>3876</v>
      </c>
      <c r="M254" s="145" t="s">
        <v>3876</v>
      </c>
      <c r="N254" s="143" t="s">
        <v>224</v>
      </c>
      <c r="O254" s="143" t="s">
        <v>339</v>
      </c>
      <c r="P254" s="162">
        <v>45449</v>
      </c>
      <c r="Q254" s="143" t="s">
        <v>1211</v>
      </c>
      <c r="R254" s="143" t="s">
        <v>885</v>
      </c>
      <c r="S254" s="143" t="s">
        <v>889</v>
      </c>
      <c r="T254" s="163">
        <v>45449</v>
      </c>
      <c r="U254" s="143" t="s">
        <v>1212</v>
      </c>
      <c r="V254" s="144">
        <v>5298.0479382814583</v>
      </c>
      <c r="W254" s="144">
        <v>19915.3622</v>
      </c>
      <c r="X254" s="146">
        <v>6.3827171764246262E-3</v>
      </c>
      <c r="Y254" s="146">
        <v>5.0430951112947833E-3</v>
      </c>
      <c r="Z254" s="147">
        <v>8.8253073030219163E-4</v>
      </c>
      <c r="AA254" s="181"/>
    </row>
    <row r="255" spans="1:27" ht="15" x14ac:dyDescent="0.2">
      <c r="A255" s="142" t="s">
        <v>1220</v>
      </c>
      <c r="B255" s="143" t="s">
        <v>1220</v>
      </c>
      <c r="C255" s="143" t="s">
        <v>3537</v>
      </c>
      <c r="D255" s="145" t="s">
        <v>3876</v>
      </c>
      <c r="E255" s="145" t="s">
        <v>3876</v>
      </c>
      <c r="F255" s="143" t="s">
        <v>3538</v>
      </c>
      <c r="G255" s="143" t="s">
        <v>3539</v>
      </c>
      <c r="H255" s="143" t="s">
        <v>312</v>
      </c>
      <c r="I255" s="143" t="s">
        <v>1004</v>
      </c>
      <c r="J255" s="145" t="s">
        <v>3876</v>
      </c>
      <c r="K255" s="143" t="s">
        <v>205</v>
      </c>
      <c r="L255" s="145" t="s">
        <v>3876</v>
      </c>
      <c r="M255" s="145" t="s">
        <v>3876</v>
      </c>
      <c r="N255" s="143" t="s">
        <v>293</v>
      </c>
      <c r="O255" s="143" t="s">
        <v>339</v>
      </c>
      <c r="P255" s="162">
        <v>44601</v>
      </c>
      <c r="Q255" s="143" t="s">
        <v>1213</v>
      </c>
      <c r="R255" s="143" t="s">
        <v>885</v>
      </c>
      <c r="S255" s="143" t="s">
        <v>889</v>
      </c>
      <c r="T255" s="163">
        <v>45432</v>
      </c>
      <c r="U255" s="143" t="s">
        <v>1214</v>
      </c>
      <c r="V255" s="144">
        <v>3633.8741604895281</v>
      </c>
      <c r="W255" s="144">
        <v>14608.900900000001</v>
      </c>
      <c r="X255" s="145" t="s">
        <v>3876</v>
      </c>
      <c r="Y255" s="146">
        <v>3.6993591287492866E-3</v>
      </c>
      <c r="Z255" s="147">
        <v>6.4737984144561784E-4</v>
      </c>
      <c r="AA255" s="181"/>
    </row>
    <row r="256" spans="1:27" ht="15" x14ac:dyDescent="0.2">
      <c r="A256" s="142" t="s">
        <v>1220</v>
      </c>
      <c r="B256" s="143" t="s">
        <v>1220</v>
      </c>
      <c r="C256" s="143" t="s">
        <v>3540</v>
      </c>
      <c r="D256" s="145" t="s">
        <v>3876</v>
      </c>
      <c r="E256" s="145" t="s">
        <v>3876</v>
      </c>
      <c r="F256" s="143" t="s">
        <v>3541</v>
      </c>
      <c r="G256" s="143" t="s">
        <v>3542</v>
      </c>
      <c r="H256" s="143" t="s">
        <v>312</v>
      </c>
      <c r="I256" s="143" t="s">
        <v>1004</v>
      </c>
      <c r="J256" s="145" t="s">
        <v>3876</v>
      </c>
      <c r="K256" s="143" t="s">
        <v>205</v>
      </c>
      <c r="L256" s="145" t="s">
        <v>3876</v>
      </c>
      <c r="M256" s="145" t="s">
        <v>3876</v>
      </c>
      <c r="N256" s="143" t="s">
        <v>224</v>
      </c>
      <c r="O256" s="143" t="s">
        <v>339</v>
      </c>
      <c r="P256" s="162">
        <v>45350</v>
      </c>
      <c r="Q256" s="143" t="s">
        <v>1211</v>
      </c>
      <c r="R256" s="143" t="s">
        <v>885</v>
      </c>
      <c r="S256" s="143" t="s">
        <v>889</v>
      </c>
      <c r="T256" s="163">
        <v>45351</v>
      </c>
      <c r="U256" s="143" t="s">
        <v>1212</v>
      </c>
      <c r="V256" s="144">
        <v>301.40944400106417</v>
      </c>
      <c r="W256" s="144">
        <v>1132.9981</v>
      </c>
      <c r="X256" s="146">
        <v>1.482E-4</v>
      </c>
      <c r="Y256" s="146">
        <v>2.8690502126881842E-4</v>
      </c>
      <c r="Z256" s="147">
        <v>5.0207757807432659E-5</v>
      </c>
      <c r="AA256" s="181"/>
    </row>
    <row r="257" spans="1:27" ht="15" x14ac:dyDescent="0.2">
      <c r="A257" s="142" t="s">
        <v>1220</v>
      </c>
      <c r="B257" s="143" t="s">
        <v>1220</v>
      </c>
      <c r="C257" s="143" t="s">
        <v>3543</v>
      </c>
      <c r="D257" s="145" t="s">
        <v>3876</v>
      </c>
      <c r="E257" s="145" t="s">
        <v>3876</v>
      </c>
      <c r="F257" s="143" t="s">
        <v>3544</v>
      </c>
      <c r="G257" s="143" t="s">
        <v>3545</v>
      </c>
      <c r="H257" s="143" t="s">
        <v>312</v>
      </c>
      <c r="I257" s="143" t="s">
        <v>1005</v>
      </c>
      <c r="J257" s="145" t="s">
        <v>3876</v>
      </c>
      <c r="K257" s="143" t="s">
        <v>204</v>
      </c>
      <c r="L257" s="145" t="s">
        <v>3876</v>
      </c>
      <c r="M257" s="145" t="s">
        <v>3876</v>
      </c>
      <c r="N257" s="143" t="s">
        <v>204</v>
      </c>
      <c r="O257" s="143" t="s">
        <v>339</v>
      </c>
      <c r="P257" s="162">
        <v>45250</v>
      </c>
      <c r="Q257" s="143" t="s">
        <v>1211</v>
      </c>
      <c r="R257" s="143" t="s">
        <v>885</v>
      </c>
      <c r="S257" s="143" t="s">
        <v>889</v>
      </c>
      <c r="T257" s="163">
        <v>45473</v>
      </c>
      <c r="U257" s="143" t="s">
        <v>1212</v>
      </c>
      <c r="V257" s="144">
        <v>10375.371322160148</v>
      </c>
      <c r="W257" s="144">
        <v>39001.020799999998</v>
      </c>
      <c r="X257" s="146">
        <v>5.0818873684210529E-2</v>
      </c>
      <c r="Y257" s="146">
        <v>9.8760873764756722E-3</v>
      </c>
      <c r="Z257" s="147">
        <v>1.7282939172351965E-3</v>
      </c>
      <c r="AA257" s="181"/>
    </row>
    <row r="258" spans="1:27" ht="15" x14ac:dyDescent="0.2">
      <c r="A258" s="142" t="s">
        <v>1220</v>
      </c>
      <c r="B258" s="143" t="s">
        <v>1220</v>
      </c>
      <c r="C258" s="143" t="s">
        <v>3546</v>
      </c>
      <c r="D258" s="145" t="s">
        <v>3876</v>
      </c>
      <c r="E258" s="145" t="s">
        <v>3876</v>
      </c>
      <c r="F258" s="143" t="s">
        <v>3547</v>
      </c>
      <c r="G258" s="143" t="s">
        <v>3548</v>
      </c>
      <c r="H258" s="143" t="s">
        <v>312</v>
      </c>
      <c r="I258" s="143" t="s">
        <v>1005</v>
      </c>
      <c r="J258" s="145" t="s">
        <v>3876</v>
      </c>
      <c r="K258" s="143" t="s">
        <v>204</v>
      </c>
      <c r="L258" s="145" t="s">
        <v>3876</v>
      </c>
      <c r="M258" s="145" t="s">
        <v>3876</v>
      </c>
      <c r="N258" s="143" t="s">
        <v>224</v>
      </c>
      <c r="O258" s="143" t="s">
        <v>339</v>
      </c>
      <c r="P258" s="162">
        <v>45225</v>
      </c>
      <c r="Q258" s="143" t="s">
        <v>1211</v>
      </c>
      <c r="R258" s="143" t="s">
        <v>885</v>
      </c>
      <c r="S258" s="143" t="s">
        <v>889</v>
      </c>
      <c r="T258" s="163">
        <v>45463</v>
      </c>
      <c r="U258" s="143" t="s">
        <v>1212</v>
      </c>
      <c r="V258" s="144">
        <v>4605.6596967278529</v>
      </c>
      <c r="W258" s="144">
        <v>17312.674800000001</v>
      </c>
      <c r="X258" s="146">
        <v>3.9267200000000002E-2</v>
      </c>
      <c r="Y258" s="146">
        <v>4.3840260068316291E-3</v>
      </c>
      <c r="Z258" s="147">
        <v>7.6719506336646651E-4</v>
      </c>
      <c r="AA258" s="181"/>
    </row>
    <row r="259" spans="1:27" ht="15" x14ac:dyDescent="0.2">
      <c r="A259" s="142" t="s">
        <v>1220</v>
      </c>
      <c r="B259" s="143" t="s">
        <v>1220</v>
      </c>
      <c r="C259" s="143" t="s">
        <v>3551</v>
      </c>
      <c r="D259" s="145" t="s">
        <v>3876</v>
      </c>
      <c r="E259" s="145" t="s">
        <v>3876</v>
      </c>
      <c r="F259" s="143" t="s">
        <v>3552</v>
      </c>
      <c r="G259" s="143" t="s">
        <v>3553</v>
      </c>
      <c r="H259" s="143" t="s">
        <v>312</v>
      </c>
      <c r="I259" s="143" t="s">
        <v>1005</v>
      </c>
      <c r="J259" s="145" t="s">
        <v>3876</v>
      </c>
      <c r="K259" s="143" t="s">
        <v>204</v>
      </c>
      <c r="L259" s="145" t="s">
        <v>3876</v>
      </c>
      <c r="M259" s="145" t="s">
        <v>3876</v>
      </c>
      <c r="N259" s="143" t="s">
        <v>204</v>
      </c>
      <c r="O259" s="143" t="s">
        <v>339</v>
      </c>
      <c r="P259" s="162">
        <v>45140</v>
      </c>
      <c r="Q259" s="143" t="s">
        <v>1211</v>
      </c>
      <c r="R259" s="143" t="s">
        <v>885</v>
      </c>
      <c r="S259" s="143" t="s">
        <v>889</v>
      </c>
      <c r="T259" s="163">
        <v>45440</v>
      </c>
      <c r="U259" s="143" t="s">
        <v>1212</v>
      </c>
      <c r="V259" s="144">
        <v>4310.3124767225327</v>
      </c>
      <c r="W259" s="144">
        <v>16202.464599999999</v>
      </c>
      <c r="X259" s="146">
        <v>2.5094424559999998E-2</v>
      </c>
      <c r="Y259" s="146">
        <v>4.1028914774337896E-3</v>
      </c>
      <c r="Z259" s="147">
        <v>7.1799712914806188E-4</v>
      </c>
      <c r="AA259" s="181"/>
    </row>
    <row r="260" spans="1:27" ht="15" x14ac:dyDescent="0.2">
      <c r="A260" s="142" t="s">
        <v>1220</v>
      </c>
      <c r="B260" s="143" t="s">
        <v>1220</v>
      </c>
      <c r="C260" s="143" t="s">
        <v>314</v>
      </c>
      <c r="D260" s="145" t="s">
        <v>3876</v>
      </c>
      <c r="E260" s="145" t="s">
        <v>3876</v>
      </c>
      <c r="F260" s="143" t="s">
        <v>3549</v>
      </c>
      <c r="G260" s="143" t="s">
        <v>3550</v>
      </c>
      <c r="H260" s="143" t="s">
        <v>312</v>
      </c>
      <c r="I260" s="143" t="s">
        <v>1005</v>
      </c>
      <c r="J260" s="145" t="s">
        <v>3876</v>
      </c>
      <c r="K260" s="143" t="s">
        <v>204</v>
      </c>
      <c r="L260" s="145" t="s">
        <v>3876</v>
      </c>
      <c r="M260" s="145" t="s">
        <v>3876</v>
      </c>
      <c r="N260" s="143" t="s">
        <v>293</v>
      </c>
      <c r="O260" s="143" t="s">
        <v>339</v>
      </c>
      <c r="P260" s="162">
        <v>45365</v>
      </c>
      <c r="Q260" s="143" t="s">
        <v>1213</v>
      </c>
      <c r="R260" s="143" t="s">
        <v>885</v>
      </c>
      <c r="S260" s="143" t="s">
        <v>889</v>
      </c>
      <c r="T260" s="163">
        <v>45447</v>
      </c>
      <c r="U260" s="143" t="s">
        <v>1214</v>
      </c>
      <c r="V260" s="144">
        <v>3987.894408238396</v>
      </c>
      <c r="W260" s="144">
        <v>16032.133099999999</v>
      </c>
      <c r="X260" s="146">
        <v>4.8747229440269685E-2</v>
      </c>
      <c r="Y260" s="146">
        <v>4.0597590562046473E-3</v>
      </c>
      <c r="Z260" s="147">
        <v>7.104490487793608E-4</v>
      </c>
      <c r="AA260" s="181"/>
    </row>
    <row r="261" spans="1:27" ht="15" x14ac:dyDescent="0.2">
      <c r="A261" s="142" t="s">
        <v>1220</v>
      </c>
      <c r="B261" s="143" t="s">
        <v>1220</v>
      </c>
      <c r="C261" s="143" t="s">
        <v>3557</v>
      </c>
      <c r="D261" s="145" t="s">
        <v>3876</v>
      </c>
      <c r="E261" s="145" t="s">
        <v>3876</v>
      </c>
      <c r="F261" s="143" t="s">
        <v>3558</v>
      </c>
      <c r="G261" s="143" t="s">
        <v>3559</v>
      </c>
      <c r="H261" s="143" t="s">
        <v>312</v>
      </c>
      <c r="I261" s="143" t="s">
        <v>1005</v>
      </c>
      <c r="J261" s="145" t="s">
        <v>3876</v>
      </c>
      <c r="K261" s="143" t="s">
        <v>204</v>
      </c>
      <c r="L261" s="145" t="s">
        <v>3876</v>
      </c>
      <c r="M261" s="145" t="s">
        <v>3876</v>
      </c>
      <c r="N261" s="143" t="s">
        <v>204</v>
      </c>
      <c r="O261" s="143" t="s">
        <v>339</v>
      </c>
      <c r="P261" s="162">
        <v>45250</v>
      </c>
      <c r="Q261" s="143" t="s">
        <v>1211</v>
      </c>
      <c r="R261" s="143" t="s">
        <v>885</v>
      </c>
      <c r="S261" s="143" t="s">
        <v>889</v>
      </c>
      <c r="T261" s="163">
        <v>45470</v>
      </c>
      <c r="U261" s="143" t="s">
        <v>1212</v>
      </c>
      <c r="V261" s="144">
        <v>2692.172386272945</v>
      </c>
      <c r="W261" s="144">
        <v>10119.876</v>
      </c>
      <c r="X261" s="145" t="s">
        <v>3876</v>
      </c>
      <c r="Y261" s="146">
        <v>2.5626195716187735E-3</v>
      </c>
      <c r="Z261" s="147">
        <v>4.4845287905878031E-4</v>
      </c>
      <c r="AA261" s="181"/>
    </row>
    <row r="262" spans="1:27" ht="15" x14ac:dyDescent="0.2">
      <c r="A262" s="142" t="s">
        <v>1220</v>
      </c>
      <c r="B262" s="143" t="s">
        <v>1220</v>
      </c>
      <c r="C262" s="143" t="s">
        <v>3554</v>
      </c>
      <c r="D262" s="145" t="s">
        <v>3876</v>
      </c>
      <c r="E262" s="145" t="s">
        <v>3876</v>
      </c>
      <c r="F262" s="143" t="s">
        <v>3555</v>
      </c>
      <c r="G262" s="143" t="s">
        <v>3556</v>
      </c>
      <c r="H262" s="143" t="s">
        <v>312</v>
      </c>
      <c r="I262" s="143" t="s">
        <v>1005</v>
      </c>
      <c r="J262" s="145" t="s">
        <v>3876</v>
      </c>
      <c r="K262" s="143" t="s">
        <v>204</v>
      </c>
      <c r="L262" s="145" t="s">
        <v>3876</v>
      </c>
      <c r="M262" s="145" t="s">
        <v>3876</v>
      </c>
      <c r="N262" s="143" t="s">
        <v>204</v>
      </c>
      <c r="O262" s="143" t="s">
        <v>339</v>
      </c>
      <c r="P262" s="162">
        <v>45369</v>
      </c>
      <c r="Q262" s="143" t="s">
        <v>1211</v>
      </c>
      <c r="R262" s="143" t="s">
        <v>885</v>
      </c>
      <c r="S262" s="143" t="s">
        <v>889</v>
      </c>
      <c r="T262" s="163">
        <v>45447</v>
      </c>
      <c r="U262" s="143" t="s">
        <v>1212</v>
      </c>
      <c r="V262" s="144">
        <v>2494.8461026868849</v>
      </c>
      <c r="W262" s="144">
        <v>9378.1265000000003</v>
      </c>
      <c r="X262" s="146">
        <v>2.8535910000000001E-2</v>
      </c>
      <c r="Y262" s="146">
        <v>2.3747890394838849E-3</v>
      </c>
      <c r="Z262" s="147">
        <v>4.1558294243458426E-4</v>
      </c>
      <c r="AA262" s="181"/>
    </row>
    <row r="263" spans="1:27" ht="15" x14ac:dyDescent="0.2">
      <c r="A263" s="142" t="s">
        <v>1220</v>
      </c>
      <c r="B263" s="143" t="s">
        <v>1220</v>
      </c>
      <c r="C263" s="143" t="s">
        <v>3560</v>
      </c>
      <c r="D263" s="145" t="s">
        <v>3876</v>
      </c>
      <c r="E263" s="145" t="s">
        <v>3876</v>
      </c>
      <c r="F263" s="143" t="s">
        <v>3561</v>
      </c>
      <c r="G263" s="143" t="s">
        <v>3562</v>
      </c>
      <c r="H263" s="143" t="s">
        <v>312</v>
      </c>
      <c r="I263" s="143" t="s">
        <v>1005</v>
      </c>
      <c r="J263" s="145" t="s">
        <v>3876</v>
      </c>
      <c r="K263" s="143" t="s">
        <v>204</v>
      </c>
      <c r="L263" s="145" t="s">
        <v>3876</v>
      </c>
      <c r="M263" s="145" t="s">
        <v>3876</v>
      </c>
      <c r="N263" s="143" t="s">
        <v>204</v>
      </c>
      <c r="O263" s="143" t="s">
        <v>339</v>
      </c>
      <c r="P263" s="162">
        <v>45365</v>
      </c>
      <c r="Q263" s="143" t="s">
        <v>1211</v>
      </c>
      <c r="R263" s="143" t="s">
        <v>885</v>
      </c>
      <c r="S263" s="143" t="s">
        <v>889</v>
      </c>
      <c r="T263" s="163">
        <v>45427</v>
      </c>
      <c r="U263" s="143" t="s">
        <v>1212</v>
      </c>
      <c r="V263" s="144">
        <v>2256.2481245011973</v>
      </c>
      <c r="W263" s="144">
        <v>8481.2366999999995</v>
      </c>
      <c r="X263" s="146">
        <v>8.0779631930693076E-3</v>
      </c>
      <c r="Y263" s="146">
        <v>2.147672871245284E-3</v>
      </c>
      <c r="Z263" s="147">
        <v>3.7583810451349516E-4</v>
      </c>
      <c r="AA263" s="181"/>
    </row>
    <row r="264" spans="1:27" ht="15" x14ac:dyDescent="0.2">
      <c r="A264" s="142" t="s">
        <v>1220</v>
      </c>
      <c r="B264" s="143" t="s">
        <v>1220</v>
      </c>
      <c r="C264" s="143" t="s">
        <v>314</v>
      </c>
      <c r="D264" s="145" t="s">
        <v>3876</v>
      </c>
      <c r="E264" s="145" t="s">
        <v>3876</v>
      </c>
      <c r="F264" s="143" t="s">
        <v>3563</v>
      </c>
      <c r="G264" s="143" t="s">
        <v>3564</v>
      </c>
      <c r="H264" s="143" t="s">
        <v>312</v>
      </c>
      <c r="I264" s="143" t="s">
        <v>1005</v>
      </c>
      <c r="J264" s="145" t="s">
        <v>3876</v>
      </c>
      <c r="K264" s="143" t="s">
        <v>204</v>
      </c>
      <c r="L264" s="145" t="s">
        <v>3876</v>
      </c>
      <c r="M264" s="145" t="s">
        <v>3876</v>
      </c>
      <c r="N264" s="143" t="s">
        <v>224</v>
      </c>
      <c r="O264" s="143" t="s">
        <v>339</v>
      </c>
      <c r="P264" s="162">
        <v>44699</v>
      </c>
      <c r="Q264" s="143" t="s">
        <v>1211</v>
      </c>
      <c r="R264" s="143" t="s">
        <v>885</v>
      </c>
      <c r="S264" s="143" t="s">
        <v>889</v>
      </c>
      <c r="T264" s="163">
        <v>45131</v>
      </c>
      <c r="U264" s="143" t="s">
        <v>1212</v>
      </c>
      <c r="V264" s="144">
        <v>47.060814046288904</v>
      </c>
      <c r="W264" s="144">
        <v>176.9016</v>
      </c>
      <c r="X264" s="145" t="s">
        <v>3876</v>
      </c>
      <c r="Y264" s="146">
        <v>4.479616435523636E-5</v>
      </c>
      <c r="Z264" s="147">
        <v>7.8392318151250663E-6</v>
      </c>
      <c r="AA264" s="181"/>
    </row>
    <row r="265" spans="1:27" ht="15" x14ac:dyDescent="0.2">
      <c r="A265" s="142" t="s">
        <v>1220</v>
      </c>
      <c r="B265" s="143" t="s">
        <v>1220</v>
      </c>
      <c r="C265" s="143" t="s">
        <v>3543</v>
      </c>
      <c r="D265" s="145" t="s">
        <v>3876</v>
      </c>
      <c r="E265" s="145" t="s">
        <v>3876</v>
      </c>
      <c r="F265" s="143" t="s">
        <v>3565</v>
      </c>
      <c r="G265" s="143" t="s">
        <v>3566</v>
      </c>
      <c r="H265" s="143" t="s">
        <v>312</v>
      </c>
      <c r="I265" s="143" t="s">
        <v>1005</v>
      </c>
      <c r="J265" s="145" t="s">
        <v>3876</v>
      </c>
      <c r="K265" s="143" t="s">
        <v>204</v>
      </c>
      <c r="L265" s="145" t="s">
        <v>3876</v>
      </c>
      <c r="M265" s="145" t="s">
        <v>3876</v>
      </c>
      <c r="N265" s="143" t="s">
        <v>204</v>
      </c>
      <c r="O265" s="143" t="s">
        <v>339</v>
      </c>
      <c r="P265" s="162">
        <v>45197</v>
      </c>
      <c r="Q265" s="143" t="s">
        <v>1211</v>
      </c>
      <c r="R265" s="143" t="s">
        <v>885</v>
      </c>
      <c r="S265" s="143" t="s">
        <v>889</v>
      </c>
      <c r="T265" s="163">
        <v>45379</v>
      </c>
      <c r="U265" s="143" t="s">
        <v>1212</v>
      </c>
      <c r="V265" s="144">
        <v>5.3205639797818576E-5</v>
      </c>
      <c r="W265" s="144">
        <v>2.0000000000000001E-4</v>
      </c>
      <c r="X265" s="145" t="s">
        <v>3876</v>
      </c>
      <c r="Y265" s="146">
        <v>4.6024632442080033E-11</v>
      </c>
      <c r="Z265" s="147">
        <v>8.0542110716944967E-12</v>
      </c>
      <c r="AA265" s="181"/>
    </row>
    <row r="266" spans="1:27" ht="15" x14ac:dyDescent="0.2">
      <c r="A266" s="142" t="s">
        <v>1220</v>
      </c>
      <c r="B266" s="143" t="s">
        <v>1220</v>
      </c>
      <c r="C266" s="143" t="s">
        <v>314</v>
      </c>
      <c r="D266" s="145" t="s">
        <v>3876</v>
      </c>
      <c r="E266" s="145" t="s">
        <v>3876</v>
      </c>
      <c r="F266" s="143" t="s">
        <v>3567</v>
      </c>
      <c r="G266" s="143" t="s">
        <v>3568</v>
      </c>
      <c r="H266" s="143" t="s">
        <v>136</v>
      </c>
      <c r="I266" s="143" t="s">
        <v>1005</v>
      </c>
      <c r="J266" s="145" t="s">
        <v>3876</v>
      </c>
      <c r="K266" s="143" t="s">
        <v>205</v>
      </c>
      <c r="L266" s="145" t="s">
        <v>3876</v>
      </c>
      <c r="M266" s="145" t="s">
        <v>3876</v>
      </c>
      <c r="N266" s="143" t="s">
        <v>224</v>
      </c>
      <c r="O266" s="143" t="s">
        <v>339</v>
      </c>
      <c r="P266" s="162">
        <v>45313</v>
      </c>
      <c r="Q266" s="143" t="s">
        <v>1211</v>
      </c>
      <c r="R266" s="143" t="s">
        <v>885</v>
      </c>
      <c r="S266" s="143" t="s">
        <v>889</v>
      </c>
      <c r="T266" s="163">
        <v>45470</v>
      </c>
      <c r="U266" s="143" t="s">
        <v>1212</v>
      </c>
      <c r="V266" s="144">
        <v>10114.427241287576</v>
      </c>
      <c r="W266" s="144">
        <v>38020.131999999998</v>
      </c>
      <c r="X266" s="146">
        <v>1.6817549179999999E-3</v>
      </c>
      <c r="Y266" s="146">
        <v>9.6277004663979683E-3</v>
      </c>
      <c r="Z266" s="147">
        <v>1.6848267455260157E-3</v>
      </c>
      <c r="AA266" s="181"/>
    </row>
    <row r="267" spans="1:27" ht="15" x14ac:dyDescent="0.2">
      <c r="A267" s="142" t="s">
        <v>1220</v>
      </c>
      <c r="B267" s="143" t="s">
        <v>1220</v>
      </c>
      <c r="C267" s="143" t="s">
        <v>314</v>
      </c>
      <c r="D267" s="145" t="s">
        <v>3876</v>
      </c>
      <c r="E267" s="145" t="s">
        <v>3876</v>
      </c>
      <c r="F267" s="143" t="s">
        <v>3569</v>
      </c>
      <c r="G267" s="143" t="s">
        <v>3570</v>
      </c>
      <c r="H267" s="143" t="s">
        <v>312</v>
      </c>
      <c r="I267" s="143" t="s">
        <v>1005</v>
      </c>
      <c r="J267" s="145" t="s">
        <v>3876</v>
      </c>
      <c r="K267" s="143" t="s">
        <v>205</v>
      </c>
      <c r="L267" s="145" t="s">
        <v>3876</v>
      </c>
      <c r="M267" s="145" t="s">
        <v>3876</v>
      </c>
      <c r="N267" s="143" t="s">
        <v>224</v>
      </c>
      <c r="O267" s="143" t="s">
        <v>339</v>
      </c>
      <c r="P267" s="162">
        <v>45316</v>
      </c>
      <c r="Q267" s="143" t="s">
        <v>1211</v>
      </c>
      <c r="R267" s="143" t="s">
        <v>885</v>
      </c>
      <c r="S267" s="143" t="s">
        <v>889</v>
      </c>
      <c r="T267" s="163">
        <v>45442</v>
      </c>
      <c r="U267" s="143" t="s">
        <v>1212</v>
      </c>
      <c r="V267" s="144">
        <v>19498.032668262837</v>
      </c>
      <c r="W267" s="144">
        <v>73293.104800000001</v>
      </c>
      <c r="X267" s="146">
        <v>7.6281884681818183E-4</v>
      </c>
      <c r="Y267" s="146">
        <v>1.8559747732390833E-2</v>
      </c>
      <c r="Z267" s="147">
        <v>3.2479156865010978E-3</v>
      </c>
      <c r="AA267" s="181"/>
    </row>
    <row r="268" spans="1:27" ht="15" x14ac:dyDescent="0.2">
      <c r="A268" s="142" t="s">
        <v>1220</v>
      </c>
      <c r="B268" s="143" t="s">
        <v>1220</v>
      </c>
      <c r="C268" s="143" t="s">
        <v>3571</v>
      </c>
      <c r="D268" s="145" t="s">
        <v>3876</v>
      </c>
      <c r="E268" s="145" t="s">
        <v>3876</v>
      </c>
      <c r="F268" s="143" t="s">
        <v>3572</v>
      </c>
      <c r="G268" s="143" t="s">
        <v>3573</v>
      </c>
      <c r="H268" s="143" t="s">
        <v>312</v>
      </c>
      <c r="I268" s="143" t="s">
        <v>1005</v>
      </c>
      <c r="J268" s="145" t="s">
        <v>3876</v>
      </c>
      <c r="K268" s="143" t="s">
        <v>205</v>
      </c>
      <c r="L268" s="145" t="s">
        <v>3876</v>
      </c>
      <c r="M268" s="145" t="s">
        <v>3876</v>
      </c>
      <c r="N268" s="143" t="s">
        <v>291</v>
      </c>
      <c r="O268" s="143" t="s">
        <v>339</v>
      </c>
      <c r="P268" s="162">
        <v>45294</v>
      </c>
      <c r="Q268" s="143" t="s">
        <v>1211</v>
      </c>
      <c r="R268" s="143" t="s">
        <v>885</v>
      </c>
      <c r="S268" s="143" t="s">
        <v>889</v>
      </c>
      <c r="T268" s="163">
        <v>45473</v>
      </c>
      <c r="U268" s="143" t="s">
        <v>1212</v>
      </c>
      <c r="V268" s="144">
        <v>15263.929954775207</v>
      </c>
      <c r="W268" s="144">
        <v>57377.112700000005</v>
      </c>
      <c r="X268" s="145" t="s">
        <v>3876</v>
      </c>
      <c r="Y268" s="146">
        <v>1.4529398642378727E-2</v>
      </c>
      <c r="Z268" s="147">
        <v>2.5426133181569196E-3</v>
      </c>
      <c r="AA268" s="181"/>
    </row>
    <row r="269" spans="1:27" ht="15" x14ac:dyDescent="0.2">
      <c r="A269" s="142" t="s">
        <v>1220</v>
      </c>
      <c r="B269" s="143" t="s">
        <v>1220</v>
      </c>
      <c r="C269" s="143" t="s">
        <v>314</v>
      </c>
      <c r="D269" s="145" t="s">
        <v>3876</v>
      </c>
      <c r="E269" s="145" t="s">
        <v>3876</v>
      </c>
      <c r="F269" s="143" t="s">
        <v>3574</v>
      </c>
      <c r="G269" s="143" t="s">
        <v>3575</v>
      </c>
      <c r="H269" s="143" t="s">
        <v>312</v>
      </c>
      <c r="I269" s="143" t="s">
        <v>1005</v>
      </c>
      <c r="J269" s="145" t="s">
        <v>3876</v>
      </c>
      <c r="K269" s="143" t="s">
        <v>205</v>
      </c>
      <c r="L269" s="145" t="s">
        <v>3876</v>
      </c>
      <c r="M269" s="145" t="s">
        <v>3876</v>
      </c>
      <c r="N269" s="143" t="s">
        <v>291</v>
      </c>
      <c r="O269" s="143" t="s">
        <v>339</v>
      </c>
      <c r="P269" s="162">
        <v>45378</v>
      </c>
      <c r="Q269" s="143" t="s">
        <v>1211</v>
      </c>
      <c r="R269" s="143" t="s">
        <v>885</v>
      </c>
      <c r="S269" s="143" t="s">
        <v>889</v>
      </c>
      <c r="T269" s="163">
        <v>45460</v>
      </c>
      <c r="U269" s="143" t="s">
        <v>1212</v>
      </c>
      <c r="V269" s="144">
        <v>10657.669672785316</v>
      </c>
      <c r="W269" s="144">
        <v>40062.1803</v>
      </c>
      <c r="X269" s="146">
        <v>2.5034434999999999E-3</v>
      </c>
      <c r="Y269" s="146">
        <v>1.014480097374541E-2</v>
      </c>
      <c r="Z269" s="147">
        <v>1.7753182152123377E-3</v>
      </c>
      <c r="AA269" s="181"/>
    </row>
    <row r="270" spans="1:27" ht="15" x14ac:dyDescent="0.2">
      <c r="A270" s="142" t="s">
        <v>1220</v>
      </c>
      <c r="B270" s="143" t="s">
        <v>1220</v>
      </c>
      <c r="C270" s="143" t="s">
        <v>314</v>
      </c>
      <c r="D270" s="145" t="s">
        <v>3876</v>
      </c>
      <c r="E270" s="145" t="s">
        <v>3876</v>
      </c>
      <c r="F270" s="143" t="s">
        <v>3576</v>
      </c>
      <c r="G270" s="143" t="s">
        <v>3577</v>
      </c>
      <c r="H270" s="143" t="s">
        <v>312</v>
      </c>
      <c r="I270" s="143" t="s">
        <v>1005</v>
      </c>
      <c r="J270" s="145" t="s">
        <v>3876</v>
      </c>
      <c r="K270" s="143" t="s">
        <v>205</v>
      </c>
      <c r="L270" s="145" t="s">
        <v>3876</v>
      </c>
      <c r="M270" s="145" t="s">
        <v>3876</v>
      </c>
      <c r="N270" s="143" t="s">
        <v>224</v>
      </c>
      <c r="O270" s="143" t="s">
        <v>339</v>
      </c>
      <c r="P270" s="162">
        <v>45362</v>
      </c>
      <c r="Q270" s="143" t="s">
        <v>1211</v>
      </c>
      <c r="R270" s="143" t="s">
        <v>885</v>
      </c>
      <c r="S270" s="143" t="s">
        <v>889</v>
      </c>
      <c r="T270" s="163">
        <v>45442</v>
      </c>
      <c r="U270" s="143" t="s">
        <v>1212</v>
      </c>
      <c r="V270" s="144">
        <v>10626.890343176376</v>
      </c>
      <c r="W270" s="144">
        <v>39946.480799999998</v>
      </c>
      <c r="X270" s="146">
        <v>4.1345922857142857E-2</v>
      </c>
      <c r="Y270" s="146">
        <v>1.0115502797965904E-2</v>
      </c>
      <c r="Z270" s="147">
        <v>1.7701910978575016E-3</v>
      </c>
      <c r="AA270" s="181"/>
    </row>
    <row r="271" spans="1:27" ht="15" x14ac:dyDescent="0.2">
      <c r="A271" s="142" t="s">
        <v>1220</v>
      </c>
      <c r="B271" s="143" t="s">
        <v>1220</v>
      </c>
      <c r="C271" s="143" t="s">
        <v>3578</v>
      </c>
      <c r="D271" s="145" t="s">
        <v>3876</v>
      </c>
      <c r="E271" s="145" t="s">
        <v>3876</v>
      </c>
      <c r="F271" s="143" t="s">
        <v>3579</v>
      </c>
      <c r="G271" s="143" t="s">
        <v>3580</v>
      </c>
      <c r="H271" s="143" t="s">
        <v>312</v>
      </c>
      <c r="I271" s="143" t="s">
        <v>1005</v>
      </c>
      <c r="J271" s="145" t="s">
        <v>3876</v>
      </c>
      <c r="K271" s="143" t="s">
        <v>205</v>
      </c>
      <c r="L271" s="145" t="s">
        <v>3876</v>
      </c>
      <c r="M271" s="145" t="s">
        <v>3876</v>
      </c>
      <c r="N271" s="143" t="s">
        <v>224</v>
      </c>
      <c r="O271" s="143" t="s">
        <v>339</v>
      </c>
      <c r="P271" s="162">
        <v>45274</v>
      </c>
      <c r="Q271" s="143" t="s">
        <v>1211</v>
      </c>
      <c r="R271" s="143" t="s">
        <v>885</v>
      </c>
      <c r="S271" s="143" t="s">
        <v>889</v>
      </c>
      <c r="T271" s="163">
        <v>45433</v>
      </c>
      <c r="U271" s="143" t="s">
        <v>1212</v>
      </c>
      <c r="V271" s="144">
        <v>8531.9529928172396</v>
      </c>
      <c r="W271" s="144">
        <v>32071.6113</v>
      </c>
      <c r="X271" s="146">
        <v>2.4925366637452526E-2</v>
      </c>
      <c r="Y271" s="146">
        <v>8.1213780953209649E-3</v>
      </c>
      <c r="Z271" s="147">
        <v>1.4212235905429228E-3</v>
      </c>
      <c r="AA271" s="181"/>
    </row>
    <row r="272" spans="1:27" ht="15" x14ac:dyDescent="0.2">
      <c r="A272" s="142" t="s">
        <v>1220</v>
      </c>
      <c r="B272" s="143" t="s">
        <v>1220</v>
      </c>
      <c r="C272" s="143" t="s">
        <v>314</v>
      </c>
      <c r="D272" s="145" t="s">
        <v>3876</v>
      </c>
      <c r="E272" s="145" t="s">
        <v>3876</v>
      </c>
      <c r="F272" s="143" t="s">
        <v>3581</v>
      </c>
      <c r="G272" s="143" t="s">
        <v>3582</v>
      </c>
      <c r="H272" s="143" t="s">
        <v>312</v>
      </c>
      <c r="I272" s="143" t="s">
        <v>1005</v>
      </c>
      <c r="J272" s="145" t="s">
        <v>3876</v>
      </c>
      <c r="K272" s="143" t="s">
        <v>205</v>
      </c>
      <c r="L272" s="145" t="s">
        <v>3876</v>
      </c>
      <c r="M272" s="145" t="s">
        <v>3876</v>
      </c>
      <c r="N272" s="143" t="s">
        <v>224</v>
      </c>
      <c r="O272" s="143" t="s">
        <v>339</v>
      </c>
      <c r="P272" s="162">
        <v>44630</v>
      </c>
      <c r="Q272" s="143" t="s">
        <v>1211</v>
      </c>
      <c r="R272" s="143" t="s">
        <v>885</v>
      </c>
      <c r="S272" s="143" t="s">
        <v>889</v>
      </c>
      <c r="T272" s="163">
        <v>45448</v>
      </c>
      <c r="U272" s="143" t="s">
        <v>1212</v>
      </c>
      <c r="V272" s="144">
        <v>6850.4031657355681</v>
      </c>
      <c r="W272" s="144">
        <v>25750.665499999999</v>
      </c>
      <c r="X272" s="146">
        <v>1.742752E-5</v>
      </c>
      <c r="Y272" s="146">
        <v>6.5207478538658933E-3</v>
      </c>
      <c r="Z272" s="147">
        <v>1.1411167623430398E-3</v>
      </c>
      <c r="AA272" s="181"/>
    </row>
    <row r="273" spans="1:27" ht="15" x14ac:dyDescent="0.2">
      <c r="A273" s="142" t="s">
        <v>1220</v>
      </c>
      <c r="B273" s="143" t="s">
        <v>1220</v>
      </c>
      <c r="C273" s="143" t="s">
        <v>314</v>
      </c>
      <c r="D273" s="145" t="s">
        <v>3876</v>
      </c>
      <c r="E273" s="145" t="s">
        <v>3876</v>
      </c>
      <c r="F273" s="143" t="s">
        <v>3583</v>
      </c>
      <c r="G273" s="143" t="s">
        <v>3584</v>
      </c>
      <c r="H273" s="143" t="s">
        <v>312</v>
      </c>
      <c r="I273" s="143" t="s">
        <v>1005</v>
      </c>
      <c r="J273" s="145" t="s">
        <v>3876</v>
      </c>
      <c r="K273" s="143" t="s">
        <v>205</v>
      </c>
      <c r="L273" s="145" t="s">
        <v>3876</v>
      </c>
      <c r="M273" s="145" t="s">
        <v>3876</v>
      </c>
      <c r="N273" s="143" t="s">
        <v>220</v>
      </c>
      <c r="O273" s="143" t="s">
        <v>339</v>
      </c>
      <c r="P273" s="162">
        <v>45350</v>
      </c>
      <c r="Q273" s="143" t="s">
        <v>1213</v>
      </c>
      <c r="R273" s="143" t="s">
        <v>885</v>
      </c>
      <c r="S273" s="143" t="s">
        <v>889</v>
      </c>
      <c r="T273" s="163">
        <v>45461</v>
      </c>
      <c r="U273" s="143" t="s">
        <v>1214</v>
      </c>
      <c r="V273" s="144">
        <v>5824.6886224565942</v>
      </c>
      <c r="W273" s="144">
        <v>23416.413199999999</v>
      </c>
      <c r="X273" s="145" t="s">
        <v>3876</v>
      </c>
      <c r="Y273" s="146">
        <v>5.9296535981998967E-3</v>
      </c>
      <c r="Z273" s="147">
        <v>1.0376765468368902E-3</v>
      </c>
      <c r="AA273" s="181"/>
    </row>
    <row r="274" spans="1:27" ht="15" x14ac:dyDescent="0.2">
      <c r="A274" s="142" t="s">
        <v>1220</v>
      </c>
      <c r="B274" s="143" t="s">
        <v>1220</v>
      </c>
      <c r="C274" s="143" t="s">
        <v>3585</v>
      </c>
      <c r="D274" s="145" t="s">
        <v>3876</v>
      </c>
      <c r="E274" s="145" t="s">
        <v>3876</v>
      </c>
      <c r="F274" s="143" t="s">
        <v>3586</v>
      </c>
      <c r="G274" s="143" t="s">
        <v>3587</v>
      </c>
      <c r="H274" s="143" t="s">
        <v>312</v>
      </c>
      <c r="I274" s="143" t="s">
        <v>1005</v>
      </c>
      <c r="J274" s="145" t="s">
        <v>3876</v>
      </c>
      <c r="K274" s="143" t="s">
        <v>205</v>
      </c>
      <c r="L274" s="145" t="s">
        <v>3876</v>
      </c>
      <c r="M274" s="145" t="s">
        <v>3876</v>
      </c>
      <c r="N274" s="143" t="s">
        <v>224</v>
      </c>
      <c r="O274" s="143" t="s">
        <v>339</v>
      </c>
      <c r="P274" s="162">
        <v>45362</v>
      </c>
      <c r="Q274" s="143" t="s">
        <v>1211</v>
      </c>
      <c r="R274" s="143" t="s">
        <v>885</v>
      </c>
      <c r="S274" s="143" t="s">
        <v>889</v>
      </c>
      <c r="T274" s="163">
        <v>45473</v>
      </c>
      <c r="U274" s="143" t="s">
        <v>1212</v>
      </c>
      <c r="V274" s="144">
        <v>3470.4440542697525</v>
      </c>
      <c r="W274" s="144">
        <v>13045.3992</v>
      </c>
      <c r="X274" s="146">
        <v>3.418277450980392E-2</v>
      </c>
      <c r="Y274" s="146">
        <v>3.3034392409905145E-3</v>
      </c>
      <c r="Z274" s="147">
        <v>5.7809471793042759E-4</v>
      </c>
      <c r="AA274" s="181"/>
    </row>
    <row r="275" spans="1:27" ht="15" x14ac:dyDescent="0.2">
      <c r="A275" s="142" t="s">
        <v>1220</v>
      </c>
      <c r="B275" s="143" t="s">
        <v>1220</v>
      </c>
      <c r="C275" s="143" t="s">
        <v>314</v>
      </c>
      <c r="D275" s="145" t="s">
        <v>3876</v>
      </c>
      <c r="E275" s="145" t="s">
        <v>3876</v>
      </c>
      <c r="F275" s="143" t="s">
        <v>3588</v>
      </c>
      <c r="G275" s="143" t="s">
        <v>3589</v>
      </c>
      <c r="H275" s="143" t="s">
        <v>312</v>
      </c>
      <c r="I275" s="143" t="s">
        <v>1005</v>
      </c>
      <c r="J275" s="145" t="s">
        <v>3876</v>
      </c>
      <c r="K275" s="143" t="s">
        <v>205</v>
      </c>
      <c r="L275" s="145" t="s">
        <v>3876</v>
      </c>
      <c r="M275" s="145" t="s">
        <v>3876</v>
      </c>
      <c r="N275" s="143" t="s">
        <v>224</v>
      </c>
      <c r="O275" s="143" t="s">
        <v>339</v>
      </c>
      <c r="P275" s="162">
        <v>45369</v>
      </c>
      <c r="Q275" s="143" t="s">
        <v>1211</v>
      </c>
      <c r="R275" s="143" t="s">
        <v>885</v>
      </c>
      <c r="S275" s="143" t="s">
        <v>889</v>
      </c>
      <c r="T275" s="163">
        <v>45460</v>
      </c>
      <c r="U275" s="143" t="s">
        <v>1212</v>
      </c>
      <c r="V275" s="144">
        <v>3461.2564511838259</v>
      </c>
      <c r="W275" s="144">
        <v>13010.862999999999</v>
      </c>
      <c r="X275" s="145" t="s">
        <v>3876</v>
      </c>
      <c r="Y275" s="146">
        <v>3.2946937543726121E-3</v>
      </c>
      <c r="Z275" s="147">
        <v>5.7656427669911729E-4</v>
      </c>
      <c r="AA275" s="181"/>
    </row>
    <row r="276" spans="1:27" ht="15" x14ac:dyDescent="0.2">
      <c r="A276" s="142" t="s">
        <v>1220</v>
      </c>
      <c r="B276" s="143" t="s">
        <v>1220</v>
      </c>
      <c r="C276" s="143" t="s">
        <v>3592</v>
      </c>
      <c r="D276" s="145" t="s">
        <v>3876</v>
      </c>
      <c r="E276" s="145" t="s">
        <v>3876</v>
      </c>
      <c r="F276" s="143" t="s">
        <v>3593</v>
      </c>
      <c r="G276" s="143" t="s">
        <v>3594</v>
      </c>
      <c r="H276" s="143" t="s">
        <v>312</v>
      </c>
      <c r="I276" s="143" t="s">
        <v>1005</v>
      </c>
      <c r="J276" s="145" t="s">
        <v>3876</v>
      </c>
      <c r="K276" s="143" t="s">
        <v>205</v>
      </c>
      <c r="L276" s="145" t="s">
        <v>3876</v>
      </c>
      <c r="M276" s="145" t="s">
        <v>3876</v>
      </c>
      <c r="N276" s="143" t="s">
        <v>291</v>
      </c>
      <c r="O276" s="143" t="s">
        <v>339</v>
      </c>
      <c r="P276" s="162">
        <v>45369</v>
      </c>
      <c r="Q276" s="143" t="s">
        <v>1211</v>
      </c>
      <c r="R276" s="143" t="s">
        <v>885</v>
      </c>
      <c r="S276" s="143" t="s">
        <v>889</v>
      </c>
      <c r="T276" s="163">
        <v>45473</v>
      </c>
      <c r="U276" s="143" t="s">
        <v>1212</v>
      </c>
      <c r="V276" s="144">
        <v>2149.0398776270285</v>
      </c>
      <c r="W276" s="144">
        <v>8078.2409000000007</v>
      </c>
      <c r="X276" s="146">
        <v>6.0256000250000002E-3</v>
      </c>
      <c r="Y276" s="146">
        <v>2.0456237261987109E-3</v>
      </c>
      <c r="Z276" s="147">
        <v>3.5797972498324203E-4</v>
      </c>
      <c r="AA276" s="181"/>
    </row>
    <row r="277" spans="1:27" ht="15" x14ac:dyDescent="0.2">
      <c r="A277" s="142" t="s">
        <v>1220</v>
      </c>
      <c r="B277" s="143" t="s">
        <v>1220</v>
      </c>
      <c r="C277" s="143" t="s">
        <v>3590</v>
      </c>
      <c r="D277" s="145" t="s">
        <v>3876</v>
      </c>
      <c r="E277" s="145" t="s">
        <v>3876</v>
      </c>
      <c r="F277" s="143" t="s">
        <v>3586</v>
      </c>
      <c r="G277" s="143" t="s">
        <v>3591</v>
      </c>
      <c r="H277" s="143" t="s">
        <v>312</v>
      </c>
      <c r="I277" s="143" t="s">
        <v>1005</v>
      </c>
      <c r="J277" s="145" t="s">
        <v>3876</v>
      </c>
      <c r="K277" s="143" t="s">
        <v>205</v>
      </c>
      <c r="L277" s="145" t="s">
        <v>3876</v>
      </c>
      <c r="M277" s="145" t="s">
        <v>3876</v>
      </c>
      <c r="N277" s="143" t="s">
        <v>224</v>
      </c>
      <c r="O277" s="143" t="s">
        <v>339</v>
      </c>
      <c r="P277" s="162">
        <v>45362</v>
      </c>
      <c r="Q277" s="143" t="s">
        <v>1211</v>
      </c>
      <c r="R277" s="143" t="s">
        <v>885</v>
      </c>
      <c r="S277" s="143" t="s">
        <v>889</v>
      </c>
      <c r="T277" s="163">
        <v>45473</v>
      </c>
      <c r="U277" s="143" t="s">
        <v>1212</v>
      </c>
      <c r="V277" s="144">
        <v>2127.2284118116522</v>
      </c>
      <c r="W277" s="144">
        <v>7996.2515999999996</v>
      </c>
      <c r="X277" s="146">
        <v>2.9287807999999999E-2</v>
      </c>
      <c r="Y277" s="146">
        <v>2.0248618587232728E-3</v>
      </c>
      <c r="Z277" s="147">
        <v>3.5434644310749499E-4</v>
      </c>
      <c r="AA277" s="181"/>
    </row>
    <row r="278" spans="1:27" ht="15" x14ac:dyDescent="0.2">
      <c r="A278" s="142" t="s">
        <v>1220</v>
      </c>
      <c r="B278" s="143" t="s">
        <v>1220</v>
      </c>
      <c r="C278" s="143" t="s">
        <v>314</v>
      </c>
      <c r="D278" s="145" t="s">
        <v>3876</v>
      </c>
      <c r="E278" s="145" t="s">
        <v>3876</v>
      </c>
      <c r="F278" s="143" t="s">
        <v>3595</v>
      </c>
      <c r="G278" s="143" t="s">
        <v>3596</v>
      </c>
      <c r="H278" s="143" t="s">
        <v>312</v>
      </c>
      <c r="I278" s="143" t="s">
        <v>1005</v>
      </c>
      <c r="J278" s="145" t="s">
        <v>3876</v>
      </c>
      <c r="K278" s="143" t="s">
        <v>205</v>
      </c>
      <c r="L278" s="145" t="s">
        <v>3876</v>
      </c>
      <c r="M278" s="145" t="s">
        <v>3876</v>
      </c>
      <c r="N278" s="143" t="s">
        <v>244</v>
      </c>
      <c r="O278" s="143" t="s">
        <v>339</v>
      </c>
      <c r="P278" s="162">
        <v>45225</v>
      </c>
      <c r="Q278" s="143" t="s">
        <v>1211</v>
      </c>
      <c r="R278" s="143" t="s">
        <v>885</v>
      </c>
      <c r="S278" s="143" t="s">
        <v>889</v>
      </c>
      <c r="T278" s="163">
        <v>45470</v>
      </c>
      <c r="U278" s="143" t="s">
        <v>1212</v>
      </c>
      <c r="V278" s="144">
        <v>1563.4140728917266</v>
      </c>
      <c r="W278" s="144">
        <v>5876.8734999999997</v>
      </c>
      <c r="X278" s="146">
        <v>9.1176800000000002E-2</v>
      </c>
      <c r="Y278" s="146">
        <v>1.4881794007175213E-3</v>
      </c>
      <c r="Z278" s="147">
        <v>2.6042817443486878E-4</v>
      </c>
      <c r="AA278" s="181"/>
    </row>
    <row r="279" spans="1:27" ht="15" x14ac:dyDescent="0.2">
      <c r="A279" s="142" t="s">
        <v>1220</v>
      </c>
      <c r="B279" s="143" t="s">
        <v>1220</v>
      </c>
      <c r="C279" s="143" t="s">
        <v>3597</v>
      </c>
      <c r="D279" s="145" t="s">
        <v>3876</v>
      </c>
      <c r="E279" s="145" t="s">
        <v>3876</v>
      </c>
      <c r="F279" s="143" t="s">
        <v>3598</v>
      </c>
      <c r="G279" s="143" t="s">
        <v>3599</v>
      </c>
      <c r="H279" s="143" t="s">
        <v>312</v>
      </c>
      <c r="I279" s="143" t="s">
        <v>1005</v>
      </c>
      <c r="J279" s="145" t="s">
        <v>3876</v>
      </c>
      <c r="K279" s="143" t="s">
        <v>205</v>
      </c>
      <c r="L279" s="145" t="s">
        <v>3876</v>
      </c>
      <c r="M279" s="145" t="s">
        <v>3876</v>
      </c>
      <c r="N279" s="143" t="s">
        <v>224</v>
      </c>
      <c r="O279" s="143" t="s">
        <v>339</v>
      </c>
      <c r="P279" s="162">
        <v>44462</v>
      </c>
      <c r="Q279" s="143" t="s">
        <v>1211</v>
      </c>
      <c r="R279" s="143" t="s">
        <v>885</v>
      </c>
      <c r="S279" s="143" t="s">
        <v>889</v>
      </c>
      <c r="T279" s="163">
        <v>45238</v>
      </c>
      <c r="U279" s="143" t="s">
        <v>1212</v>
      </c>
      <c r="V279" s="144">
        <v>1.3922585794094176</v>
      </c>
      <c r="W279" s="144">
        <v>5.2335000000000003</v>
      </c>
      <c r="X279" s="145" t="s">
        <v>3876</v>
      </c>
      <c r="Y279" s="146">
        <v>1.3252675365999905E-6</v>
      </c>
      <c r="Z279" s="147">
        <v>2.3191895078518382E-7</v>
      </c>
      <c r="AA279" s="181"/>
    </row>
    <row r="280" spans="1:27" ht="15" x14ac:dyDescent="0.2">
      <c r="A280" s="142" t="s">
        <v>1220</v>
      </c>
      <c r="B280" s="143" t="s">
        <v>1220</v>
      </c>
      <c r="C280" s="143" t="s">
        <v>314</v>
      </c>
      <c r="D280" s="145" t="s">
        <v>3876</v>
      </c>
      <c r="E280" s="145" t="s">
        <v>3876</v>
      </c>
      <c r="F280" s="143" t="s">
        <v>3611</v>
      </c>
      <c r="G280" s="143" t="s">
        <v>3612</v>
      </c>
      <c r="H280" s="143" t="s">
        <v>312</v>
      </c>
      <c r="I280" s="143" t="s">
        <v>1005</v>
      </c>
      <c r="J280" s="145" t="s">
        <v>3876</v>
      </c>
      <c r="K280" s="143" t="s">
        <v>205</v>
      </c>
      <c r="L280" s="145" t="s">
        <v>3876</v>
      </c>
      <c r="M280" s="145" t="s">
        <v>3876</v>
      </c>
      <c r="N280" s="143" t="s">
        <v>224</v>
      </c>
      <c r="O280" s="143" t="s">
        <v>339</v>
      </c>
      <c r="P280" s="162">
        <v>39136</v>
      </c>
      <c r="Q280" s="143" t="s">
        <v>1211</v>
      </c>
      <c r="R280" s="143" t="s">
        <v>885</v>
      </c>
      <c r="S280" s="143" t="s">
        <v>889</v>
      </c>
      <c r="T280" s="163">
        <v>43402</v>
      </c>
      <c r="U280" s="143" t="s">
        <v>1212</v>
      </c>
      <c r="V280" s="145" t="s">
        <v>3876</v>
      </c>
      <c r="W280" s="144">
        <v>0</v>
      </c>
      <c r="X280" s="145" t="s">
        <v>3876</v>
      </c>
      <c r="Y280" s="146">
        <v>7.1259583721303622E-12</v>
      </c>
      <c r="Z280" s="147">
        <v>1.2470272932537644E-12</v>
      </c>
      <c r="AA280" s="181"/>
    </row>
    <row r="281" spans="1:27" ht="15" x14ac:dyDescent="0.2">
      <c r="A281" s="154" t="s">
        <v>1205</v>
      </c>
      <c r="B281" s="155" t="s">
        <v>1206</v>
      </c>
      <c r="C281" s="145" t="s">
        <v>3876</v>
      </c>
      <c r="D281" s="145" t="s">
        <v>3876</v>
      </c>
      <c r="E281" s="145" t="s">
        <v>3876</v>
      </c>
      <c r="F281" s="145" t="s">
        <v>3876</v>
      </c>
      <c r="G281" s="145" t="s">
        <v>3876</v>
      </c>
      <c r="H281" s="145" t="s">
        <v>3876</v>
      </c>
      <c r="I281" s="145" t="s">
        <v>3876</v>
      </c>
      <c r="J281" s="145" t="s">
        <v>3876</v>
      </c>
      <c r="K281" s="145" t="s">
        <v>3876</v>
      </c>
      <c r="L281" s="145" t="s">
        <v>3876</v>
      </c>
      <c r="M281" s="145" t="s">
        <v>3876</v>
      </c>
      <c r="N281" s="145" t="s">
        <v>3876</v>
      </c>
      <c r="O281" s="145" t="s">
        <v>3876</v>
      </c>
      <c r="P281" s="145" t="s">
        <v>3876</v>
      </c>
      <c r="Q281" s="145" t="s">
        <v>3876</v>
      </c>
      <c r="R281" s="145" t="s">
        <v>3876</v>
      </c>
      <c r="S281" s="145" t="s">
        <v>3876</v>
      </c>
      <c r="T281" s="145" t="s">
        <v>3876</v>
      </c>
      <c r="U281" s="145" t="s">
        <v>3876</v>
      </c>
      <c r="V281" s="145" t="s">
        <v>3876</v>
      </c>
      <c r="W281" s="145" t="s">
        <v>3876</v>
      </c>
      <c r="X281" s="145" t="s">
        <v>3876</v>
      </c>
      <c r="Y281" s="145" t="s">
        <v>3876</v>
      </c>
      <c r="Z281" s="156" t="s">
        <v>3876</v>
      </c>
      <c r="AA281" s="181"/>
    </row>
    <row r="282" spans="1:27" ht="15" x14ac:dyDescent="0.2">
      <c r="A282" s="154" t="s">
        <v>1205</v>
      </c>
      <c r="B282" s="155" t="s">
        <v>1215</v>
      </c>
      <c r="C282" s="145" t="s">
        <v>3876</v>
      </c>
      <c r="D282" s="145" t="s">
        <v>3876</v>
      </c>
      <c r="E282" s="145" t="s">
        <v>3876</v>
      </c>
      <c r="F282" s="145" t="s">
        <v>3876</v>
      </c>
      <c r="G282" s="145" t="s">
        <v>3876</v>
      </c>
      <c r="H282" s="145" t="s">
        <v>3876</v>
      </c>
      <c r="I282" s="145" t="s">
        <v>3876</v>
      </c>
      <c r="J282" s="145" t="s">
        <v>3876</v>
      </c>
      <c r="K282" s="145" t="s">
        <v>3876</v>
      </c>
      <c r="L282" s="145" t="s">
        <v>3876</v>
      </c>
      <c r="M282" s="145" t="s">
        <v>3876</v>
      </c>
      <c r="N282" s="145" t="s">
        <v>3876</v>
      </c>
      <c r="O282" s="145" t="s">
        <v>3876</v>
      </c>
      <c r="P282" s="145" t="s">
        <v>3876</v>
      </c>
      <c r="Q282" s="145" t="s">
        <v>3876</v>
      </c>
      <c r="R282" s="145" t="s">
        <v>3876</v>
      </c>
      <c r="S282" s="145" t="s">
        <v>3876</v>
      </c>
      <c r="T282" s="145" t="s">
        <v>3876</v>
      </c>
      <c r="U282" s="145" t="s">
        <v>3876</v>
      </c>
      <c r="V282" s="145" t="s">
        <v>3876</v>
      </c>
      <c r="W282" s="145" t="s">
        <v>3876</v>
      </c>
      <c r="X282" s="145" t="s">
        <v>3876</v>
      </c>
      <c r="Y282" s="145" t="s">
        <v>3876</v>
      </c>
      <c r="Z282" s="156" t="s">
        <v>3876</v>
      </c>
      <c r="AA282" s="181"/>
    </row>
    <row r="283" spans="1:27" ht="15" x14ac:dyDescent="0.2">
      <c r="A283" s="154" t="s">
        <v>1220</v>
      </c>
      <c r="B283" s="155" t="s">
        <v>1221</v>
      </c>
      <c r="C283" s="145" t="s">
        <v>3876</v>
      </c>
      <c r="D283" s="145" t="s">
        <v>3876</v>
      </c>
      <c r="E283" s="145" t="s">
        <v>3876</v>
      </c>
      <c r="F283" s="145" t="s">
        <v>3876</v>
      </c>
      <c r="G283" s="145" t="s">
        <v>3876</v>
      </c>
      <c r="H283" s="145" t="s">
        <v>3876</v>
      </c>
      <c r="I283" s="145" t="s">
        <v>3876</v>
      </c>
      <c r="J283" s="145" t="s">
        <v>3876</v>
      </c>
      <c r="K283" s="145" t="s">
        <v>3876</v>
      </c>
      <c r="L283" s="145" t="s">
        <v>3876</v>
      </c>
      <c r="M283" s="145" t="s">
        <v>3876</v>
      </c>
      <c r="N283" s="145" t="s">
        <v>3876</v>
      </c>
      <c r="O283" s="145" t="s">
        <v>3876</v>
      </c>
      <c r="P283" s="145" t="s">
        <v>3876</v>
      </c>
      <c r="Q283" s="145" t="s">
        <v>3876</v>
      </c>
      <c r="R283" s="145" t="s">
        <v>3876</v>
      </c>
      <c r="S283" s="145" t="s">
        <v>3876</v>
      </c>
      <c r="T283" s="145" t="s">
        <v>3876</v>
      </c>
      <c r="U283" s="145" t="s">
        <v>3876</v>
      </c>
      <c r="V283" s="145" t="s">
        <v>3876</v>
      </c>
      <c r="W283" s="145" t="s">
        <v>3876</v>
      </c>
      <c r="X283" s="145" t="s">
        <v>3876</v>
      </c>
      <c r="Y283" s="145" t="s">
        <v>3876</v>
      </c>
      <c r="Z283" s="156" t="s">
        <v>3876</v>
      </c>
      <c r="AA283" s="181"/>
    </row>
    <row r="284" spans="1:27" ht="15" x14ac:dyDescent="0.2">
      <c r="A284" s="157" t="s">
        <v>1220</v>
      </c>
      <c r="B284" s="158" t="s">
        <v>1222</v>
      </c>
      <c r="C284" s="151" t="s">
        <v>3876</v>
      </c>
      <c r="D284" s="151" t="s">
        <v>3876</v>
      </c>
      <c r="E284" s="151" t="s">
        <v>3876</v>
      </c>
      <c r="F284" s="151" t="s">
        <v>3876</v>
      </c>
      <c r="G284" s="151" t="s">
        <v>3876</v>
      </c>
      <c r="H284" s="151" t="s">
        <v>3876</v>
      </c>
      <c r="I284" s="151" t="s">
        <v>3876</v>
      </c>
      <c r="J284" s="151" t="s">
        <v>3876</v>
      </c>
      <c r="K284" s="151" t="s">
        <v>3876</v>
      </c>
      <c r="L284" s="151" t="s">
        <v>3876</v>
      </c>
      <c r="M284" s="151" t="s">
        <v>3876</v>
      </c>
      <c r="N284" s="151" t="s">
        <v>3876</v>
      </c>
      <c r="O284" s="151" t="s">
        <v>3876</v>
      </c>
      <c r="P284" s="151" t="s">
        <v>3876</v>
      </c>
      <c r="Q284" s="151" t="s">
        <v>3876</v>
      </c>
      <c r="R284" s="151" t="s">
        <v>3876</v>
      </c>
      <c r="S284" s="151" t="s">
        <v>3876</v>
      </c>
      <c r="T284" s="151" t="s">
        <v>3876</v>
      </c>
      <c r="U284" s="151" t="s">
        <v>3876</v>
      </c>
      <c r="V284" s="151" t="s">
        <v>3876</v>
      </c>
      <c r="W284" s="151" t="s">
        <v>3876</v>
      </c>
      <c r="X284" s="151" t="s">
        <v>3876</v>
      </c>
      <c r="Y284" s="151" t="s">
        <v>3876</v>
      </c>
      <c r="Z284" s="159" t="s">
        <v>3876</v>
      </c>
      <c r="AA284" s="181"/>
    </row>
    <row r="285" spans="1:27" x14ac:dyDescent="0.2">
      <c r="A285" s="181" t="s">
        <v>3893</v>
      </c>
      <c r="B285" s="181"/>
      <c r="C285" s="181"/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</row>
    <row r="286" spans="1:27" x14ac:dyDescent="0.2">
      <c r="A286" s="2" t="s">
        <v>3892</v>
      </c>
    </row>
    <row r="287" spans="1:27" x14ac:dyDescent="0.2">
      <c r="A287" s="176"/>
    </row>
    <row r="1048575" spans="12:12" x14ac:dyDescent="0.2">
      <c r="L1048575" s="99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" right="0" top="0" bottom="0" header="0" footer="0"/>
    </customSheetView>
  </customSheetViews>
  <mergeCells count="2">
    <mergeCell ref="A285:Z285"/>
    <mergeCell ref="AA2:AA284"/>
  </mergeCells>
  <dataValidations count="7">
    <dataValidation type="list" allowBlank="1" showInputMessage="1" showErrorMessage="1" sqref="K3:K21">
      <formula1>israel_abroad</formula1>
    </dataValidation>
    <dataValidation type="list" allowBlank="1" showInputMessage="1" showErrorMessage="1" sqref="O3:O21">
      <formula1>Holding_interest</formula1>
    </dataValidation>
    <dataValidation type="list" allowBlank="1" showInputMessage="1" showErrorMessage="1" sqref="R3:R21">
      <formula1>Valuation</formula1>
    </dataValidation>
    <dataValidation type="list" allowBlank="1" showInputMessage="1" showErrorMessage="1" sqref="S3:S21">
      <formula1>Dependence_Independence</formula1>
    </dataValidation>
    <dataValidation type="list" allowBlank="1" showInputMessage="1" showErrorMessage="1" sqref="L1048575:L1048576">
      <formula1>Country</formula1>
    </dataValidation>
    <dataValidation type="list" allowBlank="1" showInputMessage="1" showErrorMessage="1" sqref="H3:H21">
      <formula1>Type_of_Security_ID_Fund</formula1>
    </dataValidation>
    <dataValidation type="list" allowBlank="1" showInputMessage="1" showErrorMessage="1" sqref="N3:N21">
      <formula1>Country_list_funds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בחירה'!$C$956:$C$963</xm:f>
          </x14:formula1>
          <xm:sqref>I3:I25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C25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9.625" style="2" customWidth="1"/>
    <col min="4" max="4" width="11.25" style="2" customWidth="1"/>
    <col min="5" max="5" width="18.125" style="4" customWidth="1"/>
    <col min="6" max="6" width="35.375" style="2" bestFit="1" customWidth="1"/>
    <col min="7" max="7" width="12.75" style="2" customWidth="1"/>
    <col min="8" max="8" width="15.5" style="2" customWidth="1"/>
    <col min="9" max="9" width="10.625" style="2" customWidth="1"/>
    <col min="10" max="10" width="19.875" style="2" customWidth="1"/>
    <col min="11" max="11" width="13.75" style="4" customWidth="1"/>
    <col min="12" max="12" width="18.625" style="2" customWidth="1"/>
    <col min="13" max="13" width="9.625" style="2" customWidth="1"/>
    <col min="14" max="14" width="12" style="2" customWidth="1"/>
    <col min="15" max="15" width="15.125" style="2" customWidth="1"/>
    <col min="16" max="16" width="12" style="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1" width="10.5" style="2" customWidth="1"/>
    <col min="22" max="22" width="9.625" style="2" customWidth="1"/>
    <col min="23" max="23" width="14.875" style="2" customWidth="1"/>
    <col min="24" max="24" width="12.875" style="2" customWidth="1"/>
    <col min="25" max="25" width="10.5" style="2" customWidth="1"/>
    <col min="26" max="26" width="17.875" style="2" customWidth="1"/>
    <col min="27" max="27" width="21.75" style="2" customWidth="1"/>
    <col min="28" max="28" width="20.125" style="2" customWidth="1"/>
    <col min="29" max="29" width="11.625" style="2" customWidth="1"/>
    <col min="30" max="16384" width="9" style="2"/>
  </cols>
  <sheetData>
    <row r="1" spans="1:29" x14ac:dyDescent="0.2">
      <c r="A1" s="2" t="s">
        <v>3915</v>
      </c>
    </row>
    <row r="2" spans="1:29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55</v>
      </c>
      <c r="J2" s="140" t="s">
        <v>69</v>
      </c>
      <c r="K2" s="140" t="s">
        <v>89</v>
      </c>
      <c r="L2" s="140" t="s">
        <v>92</v>
      </c>
      <c r="M2" s="140" t="s">
        <v>83</v>
      </c>
      <c r="N2" s="140" t="s">
        <v>93</v>
      </c>
      <c r="O2" s="140" t="s">
        <v>56</v>
      </c>
      <c r="P2" s="140" t="s">
        <v>97</v>
      </c>
      <c r="Q2" s="140" t="s">
        <v>59</v>
      </c>
      <c r="R2" s="140" t="s">
        <v>103</v>
      </c>
      <c r="S2" s="140" t="s">
        <v>104</v>
      </c>
      <c r="T2" s="140" t="s">
        <v>106</v>
      </c>
      <c r="U2" s="140" t="s">
        <v>94</v>
      </c>
      <c r="V2" s="140" t="s">
        <v>95</v>
      </c>
      <c r="W2" s="140" t="s">
        <v>76</v>
      </c>
      <c r="X2" s="140" t="s">
        <v>77</v>
      </c>
      <c r="Y2" s="140" t="s">
        <v>61</v>
      </c>
      <c r="Z2" s="140" t="s">
        <v>63</v>
      </c>
      <c r="AA2" s="140" t="s">
        <v>64</v>
      </c>
      <c r="AB2" s="141" t="s">
        <v>65</v>
      </c>
      <c r="AC2" s="181" t="s">
        <v>3894</v>
      </c>
    </row>
    <row r="3" spans="1:29" ht="15" x14ac:dyDescent="0.2">
      <c r="A3" s="142" t="s">
        <v>1205</v>
      </c>
      <c r="B3" s="143" t="s">
        <v>1205</v>
      </c>
      <c r="C3" s="143" t="s">
        <v>3143</v>
      </c>
      <c r="D3" s="143" t="s">
        <v>3144</v>
      </c>
      <c r="E3" s="143" t="s">
        <v>314</v>
      </c>
      <c r="F3" s="143" t="s">
        <v>3613</v>
      </c>
      <c r="G3" s="143" t="s">
        <v>3614</v>
      </c>
      <c r="H3" s="143" t="s">
        <v>312</v>
      </c>
      <c r="I3" s="143" t="s">
        <v>204</v>
      </c>
      <c r="J3" s="143" t="s">
        <v>204</v>
      </c>
      <c r="K3" s="143" t="s">
        <v>314</v>
      </c>
      <c r="L3" s="143" t="s">
        <v>3615</v>
      </c>
      <c r="M3" s="143" t="s">
        <v>444</v>
      </c>
      <c r="N3" s="143" t="s">
        <v>3616</v>
      </c>
      <c r="O3" s="143" t="s">
        <v>339</v>
      </c>
      <c r="P3" s="143" t="s">
        <v>3617</v>
      </c>
      <c r="Q3" s="143" t="s">
        <v>1211</v>
      </c>
      <c r="R3" s="143" t="s">
        <v>314</v>
      </c>
      <c r="S3" s="143" t="s">
        <v>889</v>
      </c>
      <c r="T3" s="161">
        <v>45320</v>
      </c>
      <c r="U3" s="145" t="s">
        <v>3876</v>
      </c>
      <c r="V3" s="143" t="s">
        <v>3000</v>
      </c>
      <c r="W3" s="144">
        <v>320.02999999999997</v>
      </c>
      <c r="X3" s="143" t="s">
        <v>3618</v>
      </c>
      <c r="Y3" s="143" t="s">
        <v>1212</v>
      </c>
      <c r="Z3" s="144">
        <v>93.833399999999997</v>
      </c>
      <c r="AA3" s="146">
        <v>0.9821756953514228</v>
      </c>
      <c r="AB3" s="147">
        <v>9.4370423290625376E-5</v>
      </c>
      <c r="AC3" s="181"/>
    </row>
    <row r="4" spans="1:29" ht="15" x14ac:dyDescent="0.2">
      <c r="A4" s="142" t="s">
        <v>1205</v>
      </c>
      <c r="B4" s="143" t="s">
        <v>1205</v>
      </c>
      <c r="C4" s="143" t="s">
        <v>3196</v>
      </c>
      <c r="D4" s="143" t="s">
        <v>3197</v>
      </c>
      <c r="E4" s="143" t="s">
        <v>314</v>
      </c>
      <c r="F4" s="143" t="s">
        <v>3619</v>
      </c>
      <c r="G4" s="143" t="s">
        <v>3620</v>
      </c>
      <c r="H4" s="143" t="s">
        <v>312</v>
      </c>
      <c r="I4" s="143" t="s">
        <v>204</v>
      </c>
      <c r="J4" s="143" t="s">
        <v>204</v>
      </c>
      <c r="K4" s="143" t="s">
        <v>314</v>
      </c>
      <c r="L4" s="143" t="s">
        <v>1223</v>
      </c>
      <c r="M4" s="143" t="s">
        <v>444</v>
      </c>
      <c r="N4" s="143" t="s">
        <v>3616</v>
      </c>
      <c r="O4" s="143" t="s">
        <v>339</v>
      </c>
      <c r="P4" s="143" t="s">
        <v>3199</v>
      </c>
      <c r="Q4" s="143" t="s">
        <v>1211</v>
      </c>
      <c r="R4" s="143" t="s">
        <v>314</v>
      </c>
      <c r="S4" s="143" t="s">
        <v>889</v>
      </c>
      <c r="T4" s="161">
        <v>45305</v>
      </c>
      <c r="U4" s="145" t="s">
        <v>3876</v>
      </c>
      <c r="V4" s="143" t="s">
        <v>3000</v>
      </c>
      <c r="W4" s="144">
        <v>193.83</v>
      </c>
      <c r="X4" s="143" t="s">
        <v>3621</v>
      </c>
      <c r="Y4" s="143" t="s">
        <v>1212</v>
      </c>
      <c r="Z4" s="144">
        <v>1.7027999999999999</v>
      </c>
      <c r="AA4" s="146">
        <v>1.7823877141988059E-2</v>
      </c>
      <c r="AB4" s="147">
        <v>1.7125722399063014E-6</v>
      </c>
      <c r="AC4" s="181"/>
    </row>
    <row r="5" spans="1:29" ht="15" x14ac:dyDescent="0.2">
      <c r="A5" s="142" t="s">
        <v>1205</v>
      </c>
      <c r="B5" s="143" t="s">
        <v>1205</v>
      </c>
      <c r="C5" s="143" t="s">
        <v>3143</v>
      </c>
      <c r="D5" s="143" t="s">
        <v>3144</v>
      </c>
      <c r="E5" s="143" t="s">
        <v>314</v>
      </c>
      <c r="F5" s="143" t="s">
        <v>3622</v>
      </c>
      <c r="G5" s="143" t="s">
        <v>3623</v>
      </c>
      <c r="H5" s="143" t="s">
        <v>312</v>
      </c>
      <c r="I5" s="143" t="s">
        <v>204</v>
      </c>
      <c r="J5" s="143" t="s">
        <v>204</v>
      </c>
      <c r="K5" s="143" t="s">
        <v>314</v>
      </c>
      <c r="L5" s="143" t="s">
        <v>3615</v>
      </c>
      <c r="M5" s="143" t="s">
        <v>444</v>
      </c>
      <c r="N5" s="143" t="s">
        <v>3616</v>
      </c>
      <c r="O5" s="143" t="s">
        <v>339</v>
      </c>
      <c r="P5" s="143" t="s">
        <v>3624</v>
      </c>
      <c r="Q5" s="143" t="s">
        <v>1211</v>
      </c>
      <c r="R5" s="143" t="s">
        <v>314</v>
      </c>
      <c r="S5" s="143" t="s">
        <v>889</v>
      </c>
      <c r="T5" s="161">
        <v>45250</v>
      </c>
      <c r="U5" s="145" t="s">
        <v>3876</v>
      </c>
      <c r="V5" s="143" t="s">
        <v>3000</v>
      </c>
      <c r="W5" s="144">
        <v>107</v>
      </c>
      <c r="X5" s="143" t="s">
        <v>3625</v>
      </c>
      <c r="Y5" s="143" t="s">
        <v>1212</v>
      </c>
      <c r="Z5" s="144">
        <v>0</v>
      </c>
      <c r="AA5" s="146">
        <v>4.2100540014518767E-7</v>
      </c>
      <c r="AB5" s="147">
        <v>4.0451477273752845E-11</v>
      </c>
      <c r="AC5" s="181"/>
    </row>
    <row r="6" spans="1:29" ht="15" x14ac:dyDescent="0.2">
      <c r="A6" s="142" t="s">
        <v>1205</v>
      </c>
      <c r="B6" s="143" t="s">
        <v>1205</v>
      </c>
      <c r="C6" s="143" t="s">
        <v>3143</v>
      </c>
      <c r="D6" s="143" t="s">
        <v>3144</v>
      </c>
      <c r="E6" s="143" t="s">
        <v>314</v>
      </c>
      <c r="F6" s="143" t="s">
        <v>3626</v>
      </c>
      <c r="G6" s="143" t="s">
        <v>3627</v>
      </c>
      <c r="H6" s="143" t="s">
        <v>312</v>
      </c>
      <c r="I6" s="143" t="s">
        <v>204</v>
      </c>
      <c r="J6" s="143" t="s">
        <v>204</v>
      </c>
      <c r="K6" s="143" t="s">
        <v>314</v>
      </c>
      <c r="L6" s="143" t="s">
        <v>1223</v>
      </c>
      <c r="M6" s="143" t="s">
        <v>444</v>
      </c>
      <c r="N6" s="143" t="s">
        <v>3628</v>
      </c>
      <c r="O6" s="143" t="s">
        <v>339</v>
      </c>
      <c r="P6" s="143" t="s">
        <v>3629</v>
      </c>
      <c r="Q6" s="143" t="s">
        <v>1211</v>
      </c>
      <c r="R6" s="143" t="s">
        <v>314</v>
      </c>
      <c r="S6" s="143" t="s">
        <v>889</v>
      </c>
      <c r="T6" s="161">
        <v>45250</v>
      </c>
      <c r="U6" s="145" t="s">
        <v>3876</v>
      </c>
      <c r="V6" s="143" t="s">
        <v>3000</v>
      </c>
      <c r="W6" s="144">
        <v>165.23</v>
      </c>
      <c r="X6" s="143" t="s">
        <v>3625</v>
      </c>
      <c r="Y6" s="143" t="s">
        <v>1212</v>
      </c>
      <c r="Z6" s="144">
        <v>0</v>
      </c>
      <c r="AA6" s="146">
        <v>6.5011889968214357E-9</v>
      </c>
      <c r="AB6" s="147">
        <v>6.2465398036842827E-13</v>
      </c>
      <c r="AC6" s="181"/>
    </row>
    <row r="7" spans="1:29" ht="15" x14ac:dyDescent="0.2">
      <c r="A7" s="142" t="s">
        <v>1220</v>
      </c>
      <c r="B7" s="143" t="s">
        <v>1220</v>
      </c>
      <c r="C7" s="143" t="s">
        <v>3143</v>
      </c>
      <c r="D7" s="143" t="s">
        <v>3144</v>
      </c>
      <c r="E7" s="143" t="s">
        <v>314</v>
      </c>
      <c r="F7" s="143" t="s">
        <v>3613</v>
      </c>
      <c r="G7" s="143" t="s">
        <v>3614</v>
      </c>
      <c r="H7" s="143" t="s">
        <v>312</v>
      </c>
      <c r="I7" s="143" t="s">
        <v>204</v>
      </c>
      <c r="J7" s="143" t="s">
        <v>204</v>
      </c>
      <c r="K7" s="143" t="s">
        <v>314</v>
      </c>
      <c r="L7" s="143" t="s">
        <v>3615</v>
      </c>
      <c r="M7" s="143" t="s">
        <v>444</v>
      </c>
      <c r="N7" s="143" t="s">
        <v>3616</v>
      </c>
      <c r="O7" s="143" t="s">
        <v>339</v>
      </c>
      <c r="P7" s="143" t="s">
        <v>3617</v>
      </c>
      <c r="Q7" s="143" t="s">
        <v>1211</v>
      </c>
      <c r="R7" s="143" t="s">
        <v>314</v>
      </c>
      <c r="S7" s="143" t="s">
        <v>889</v>
      </c>
      <c r="T7" s="161">
        <v>45320</v>
      </c>
      <c r="U7" s="145" t="s">
        <v>3876</v>
      </c>
      <c r="V7" s="143" t="s">
        <v>3000</v>
      </c>
      <c r="W7" s="144">
        <v>7926.87</v>
      </c>
      <c r="X7" s="143" t="s">
        <v>3618</v>
      </c>
      <c r="Y7" s="143" t="s">
        <v>1212</v>
      </c>
      <c r="Z7" s="144">
        <v>2324.1741000000002</v>
      </c>
      <c r="AA7" s="146">
        <v>0.98073722250215101</v>
      </c>
      <c r="AB7" s="147">
        <v>1.0299361261917691E-4</v>
      </c>
      <c r="AC7" s="181"/>
    </row>
    <row r="8" spans="1:29" ht="15" x14ac:dyDescent="0.2">
      <c r="A8" s="142" t="s">
        <v>1220</v>
      </c>
      <c r="B8" s="143" t="s">
        <v>1220</v>
      </c>
      <c r="C8" s="143" t="s">
        <v>3196</v>
      </c>
      <c r="D8" s="143" t="s">
        <v>3197</v>
      </c>
      <c r="E8" s="143" t="s">
        <v>314</v>
      </c>
      <c r="F8" s="143" t="s">
        <v>3619</v>
      </c>
      <c r="G8" s="143" t="s">
        <v>3620</v>
      </c>
      <c r="H8" s="143" t="s">
        <v>312</v>
      </c>
      <c r="I8" s="143" t="s">
        <v>204</v>
      </c>
      <c r="J8" s="143" t="s">
        <v>204</v>
      </c>
      <c r="K8" s="143" t="s">
        <v>314</v>
      </c>
      <c r="L8" s="143" t="s">
        <v>1223</v>
      </c>
      <c r="M8" s="143" t="s">
        <v>444</v>
      </c>
      <c r="N8" s="143" t="s">
        <v>3616</v>
      </c>
      <c r="O8" s="143" t="s">
        <v>339</v>
      </c>
      <c r="P8" s="143" t="s">
        <v>3199</v>
      </c>
      <c r="Q8" s="143" t="s">
        <v>1211</v>
      </c>
      <c r="R8" s="143" t="s">
        <v>314</v>
      </c>
      <c r="S8" s="143" t="s">
        <v>889</v>
      </c>
      <c r="T8" s="161">
        <v>45305</v>
      </c>
      <c r="U8" s="145" t="s">
        <v>3876</v>
      </c>
      <c r="V8" s="143" t="s">
        <v>3000</v>
      </c>
      <c r="W8" s="144">
        <v>5196.09</v>
      </c>
      <c r="X8" s="143" t="s">
        <v>3621</v>
      </c>
      <c r="Y8" s="143" t="s">
        <v>1212</v>
      </c>
      <c r="Z8" s="144">
        <v>45.648499999999999</v>
      </c>
      <c r="AA8" s="146">
        <v>1.9262394817792645E-2</v>
      </c>
      <c r="AB8" s="147">
        <v>2.0228697192912193E-6</v>
      </c>
      <c r="AC8" s="181"/>
    </row>
    <row r="9" spans="1:29" ht="15" x14ac:dyDescent="0.2">
      <c r="A9" s="142" t="s">
        <v>1220</v>
      </c>
      <c r="B9" s="143" t="s">
        <v>1220</v>
      </c>
      <c r="C9" s="143" t="s">
        <v>3143</v>
      </c>
      <c r="D9" s="143" t="s">
        <v>3144</v>
      </c>
      <c r="E9" s="143" t="s">
        <v>314</v>
      </c>
      <c r="F9" s="143" t="s">
        <v>3622</v>
      </c>
      <c r="G9" s="143" t="s">
        <v>3623</v>
      </c>
      <c r="H9" s="143" t="s">
        <v>312</v>
      </c>
      <c r="I9" s="143" t="s">
        <v>204</v>
      </c>
      <c r="J9" s="143" t="s">
        <v>204</v>
      </c>
      <c r="K9" s="143" t="s">
        <v>314</v>
      </c>
      <c r="L9" s="143" t="s">
        <v>3615</v>
      </c>
      <c r="M9" s="143" t="s">
        <v>444</v>
      </c>
      <c r="N9" s="143" t="s">
        <v>3616</v>
      </c>
      <c r="O9" s="143" t="s">
        <v>339</v>
      </c>
      <c r="P9" s="143" t="s">
        <v>3624</v>
      </c>
      <c r="Q9" s="143" t="s">
        <v>1211</v>
      </c>
      <c r="R9" s="143" t="s">
        <v>314</v>
      </c>
      <c r="S9" s="143" t="s">
        <v>889</v>
      </c>
      <c r="T9" s="161">
        <v>45250</v>
      </c>
      <c r="U9" s="145" t="s">
        <v>3876</v>
      </c>
      <c r="V9" s="143" t="s">
        <v>3000</v>
      </c>
      <c r="W9" s="144">
        <v>2376</v>
      </c>
      <c r="X9" s="143" t="s">
        <v>3625</v>
      </c>
      <c r="Y9" s="143" t="s">
        <v>1212</v>
      </c>
      <c r="Z9" s="144">
        <v>8.9999999999999998E-4</v>
      </c>
      <c r="AA9" s="146">
        <v>3.7687970944284034E-7</v>
      </c>
      <c r="AB9" s="147">
        <v>3.9578596496370578E-11</v>
      </c>
      <c r="AC9" s="181"/>
    </row>
    <row r="10" spans="1:29" ht="15" x14ac:dyDescent="0.2">
      <c r="A10" s="142" t="s">
        <v>1220</v>
      </c>
      <c r="B10" s="143" t="s">
        <v>1220</v>
      </c>
      <c r="C10" s="143" t="s">
        <v>3143</v>
      </c>
      <c r="D10" s="143" t="s">
        <v>3144</v>
      </c>
      <c r="E10" s="143" t="s">
        <v>314</v>
      </c>
      <c r="F10" s="143" t="s">
        <v>3626</v>
      </c>
      <c r="G10" s="143" t="s">
        <v>3627</v>
      </c>
      <c r="H10" s="143" t="s">
        <v>312</v>
      </c>
      <c r="I10" s="143" t="s">
        <v>204</v>
      </c>
      <c r="J10" s="143" t="s">
        <v>204</v>
      </c>
      <c r="K10" s="143" t="s">
        <v>314</v>
      </c>
      <c r="L10" s="143" t="s">
        <v>1223</v>
      </c>
      <c r="M10" s="143" t="s">
        <v>444</v>
      </c>
      <c r="N10" s="143" t="s">
        <v>3628</v>
      </c>
      <c r="O10" s="143" t="s">
        <v>339</v>
      </c>
      <c r="P10" s="143" t="s">
        <v>3629</v>
      </c>
      <c r="Q10" s="143" t="s">
        <v>1211</v>
      </c>
      <c r="R10" s="143" t="s">
        <v>314</v>
      </c>
      <c r="S10" s="143" t="s">
        <v>889</v>
      </c>
      <c r="T10" s="161">
        <v>45250</v>
      </c>
      <c r="U10" s="145" t="s">
        <v>3876</v>
      </c>
      <c r="V10" s="143" t="s">
        <v>3000</v>
      </c>
      <c r="W10" s="144">
        <v>3656.77</v>
      </c>
      <c r="X10" s="143" t="s">
        <v>3625</v>
      </c>
      <c r="Y10" s="143" t="s">
        <v>1212</v>
      </c>
      <c r="Z10" s="144">
        <v>0</v>
      </c>
      <c r="AA10" s="146">
        <v>5.8003468648960235E-9</v>
      </c>
      <c r="AB10" s="147">
        <v>6.0913225719710882E-13</v>
      </c>
      <c r="AC10" s="181"/>
    </row>
    <row r="11" spans="1:29" ht="15" x14ac:dyDescent="0.2">
      <c r="A11" s="154" t="s">
        <v>1205</v>
      </c>
      <c r="B11" s="155" t="s">
        <v>1206</v>
      </c>
      <c r="C11" s="145" t="s">
        <v>3876</v>
      </c>
      <c r="D11" s="145" t="s">
        <v>3876</v>
      </c>
      <c r="E11" s="145" t="s">
        <v>3876</v>
      </c>
      <c r="F11" s="145" t="s">
        <v>3876</v>
      </c>
      <c r="G11" s="145" t="s">
        <v>3876</v>
      </c>
      <c r="H11" s="145" t="s">
        <v>3876</v>
      </c>
      <c r="I11" s="145" t="s">
        <v>3876</v>
      </c>
      <c r="J11" s="145" t="s">
        <v>3876</v>
      </c>
      <c r="K11" s="145" t="s">
        <v>3876</v>
      </c>
      <c r="L11" s="145" t="s">
        <v>3876</v>
      </c>
      <c r="M11" s="145" t="s">
        <v>3876</v>
      </c>
      <c r="N11" s="145" t="s">
        <v>3876</v>
      </c>
      <c r="O11" s="145" t="s">
        <v>3876</v>
      </c>
      <c r="P11" s="145" t="s">
        <v>3876</v>
      </c>
      <c r="Q11" s="145" t="s">
        <v>3876</v>
      </c>
      <c r="R11" s="145" t="s">
        <v>3876</v>
      </c>
      <c r="S11" s="145" t="s">
        <v>3876</v>
      </c>
      <c r="T11" s="145" t="s">
        <v>3876</v>
      </c>
      <c r="U11" s="145" t="s">
        <v>3876</v>
      </c>
      <c r="V11" s="145" t="s">
        <v>3876</v>
      </c>
      <c r="W11" s="145" t="s">
        <v>3876</v>
      </c>
      <c r="X11" s="145" t="s">
        <v>3876</v>
      </c>
      <c r="Y11" s="145" t="s">
        <v>3876</v>
      </c>
      <c r="Z11" s="145" t="s">
        <v>3876</v>
      </c>
      <c r="AA11" s="145" t="s">
        <v>3876</v>
      </c>
      <c r="AB11" s="156" t="s">
        <v>3876</v>
      </c>
      <c r="AC11" s="181"/>
    </row>
    <row r="12" spans="1:29" ht="15" x14ac:dyDescent="0.2">
      <c r="A12" s="154" t="s">
        <v>1205</v>
      </c>
      <c r="B12" s="155" t="s">
        <v>1215</v>
      </c>
      <c r="C12" s="145" t="s">
        <v>3876</v>
      </c>
      <c r="D12" s="145" t="s">
        <v>3876</v>
      </c>
      <c r="E12" s="145" t="s">
        <v>3876</v>
      </c>
      <c r="F12" s="145" t="s">
        <v>3876</v>
      </c>
      <c r="G12" s="145" t="s">
        <v>3876</v>
      </c>
      <c r="H12" s="145" t="s">
        <v>3876</v>
      </c>
      <c r="I12" s="145" t="s">
        <v>3876</v>
      </c>
      <c r="J12" s="145" t="s">
        <v>3876</v>
      </c>
      <c r="K12" s="145" t="s">
        <v>3876</v>
      </c>
      <c r="L12" s="145" t="s">
        <v>3876</v>
      </c>
      <c r="M12" s="145" t="s">
        <v>3876</v>
      </c>
      <c r="N12" s="145" t="s">
        <v>3876</v>
      </c>
      <c r="O12" s="145" t="s">
        <v>3876</v>
      </c>
      <c r="P12" s="145" t="s">
        <v>3876</v>
      </c>
      <c r="Q12" s="145" t="s">
        <v>3876</v>
      </c>
      <c r="R12" s="145" t="s">
        <v>3876</v>
      </c>
      <c r="S12" s="145" t="s">
        <v>3876</v>
      </c>
      <c r="T12" s="145" t="s">
        <v>3876</v>
      </c>
      <c r="U12" s="145" t="s">
        <v>3876</v>
      </c>
      <c r="V12" s="145" t="s">
        <v>3876</v>
      </c>
      <c r="W12" s="145" t="s">
        <v>3876</v>
      </c>
      <c r="X12" s="145" t="s">
        <v>3876</v>
      </c>
      <c r="Y12" s="145" t="s">
        <v>3876</v>
      </c>
      <c r="Z12" s="145" t="s">
        <v>3876</v>
      </c>
      <c r="AA12" s="145" t="s">
        <v>3876</v>
      </c>
      <c r="AB12" s="156" t="s">
        <v>3876</v>
      </c>
      <c r="AC12" s="181"/>
    </row>
    <row r="13" spans="1:29" ht="15" x14ac:dyDescent="0.2">
      <c r="A13" s="154" t="s">
        <v>1220</v>
      </c>
      <c r="B13" s="155" t="s">
        <v>1221</v>
      </c>
      <c r="C13" s="145" t="s">
        <v>3876</v>
      </c>
      <c r="D13" s="145" t="s">
        <v>3876</v>
      </c>
      <c r="E13" s="145" t="s">
        <v>3876</v>
      </c>
      <c r="F13" s="145" t="s">
        <v>3876</v>
      </c>
      <c r="G13" s="145" t="s">
        <v>3876</v>
      </c>
      <c r="H13" s="145" t="s">
        <v>3876</v>
      </c>
      <c r="I13" s="145" t="s">
        <v>3876</v>
      </c>
      <c r="J13" s="145" t="s">
        <v>3876</v>
      </c>
      <c r="K13" s="145" t="s">
        <v>3876</v>
      </c>
      <c r="L13" s="145" t="s">
        <v>3876</v>
      </c>
      <c r="M13" s="145" t="s">
        <v>3876</v>
      </c>
      <c r="N13" s="145" t="s">
        <v>3876</v>
      </c>
      <c r="O13" s="145" t="s">
        <v>3876</v>
      </c>
      <c r="P13" s="145" t="s">
        <v>3876</v>
      </c>
      <c r="Q13" s="145" t="s">
        <v>3876</v>
      </c>
      <c r="R13" s="145" t="s">
        <v>3876</v>
      </c>
      <c r="S13" s="145" t="s">
        <v>3876</v>
      </c>
      <c r="T13" s="145" t="s">
        <v>3876</v>
      </c>
      <c r="U13" s="145" t="s">
        <v>3876</v>
      </c>
      <c r="V13" s="145" t="s">
        <v>3876</v>
      </c>
      <c r="W13" s="145" t="s">
        <v>3876</v>
      </c>
      <c r="X13" s="145" t="s">
        <v>3876</v>
      </c>
      <c r="Y13" s="145" t="s">
        <v>3876</v>
      </c>
      <c r="Z13" s="145" t="s">
        <v>3876</v>
      </c>
      <c r="AA13" s="145" t="s">
        <v>3876</v>
      </c>
      <c r="AB13" s="156" t="s">
        <v>3876</v>
      </c>
      <c r="AC13" s="181"/>
    </row>
    <row r="14" spans="1:29" ht="15" x14ac:dyDescent="0.2">
      <c r="A14" s="157" t="s">
        <v>1220</v>
      </c>
      <c r="B14" s="158" t="s">
        <v>1222</v>
      </c>
      <c r="C14" s="151" t="s">
        <v>3876</v>
      </c>
      <c r="D14" s="151" t="s">
        <v>3876</v>
      </c>
      <c r="E14" s="151" t="s">
        <v>3876</v>
      </c>
      <c r="F14" s="151" t="s">
        <v>3876</v>
      </c>
      <c r="G14" s="151" t="s">
        <v>3876</v>
      </c>
      <c r="H14" s="151" t="s">
        <v>3876</v>
      </c>
      <c r="I14" s="151" t="s">
        <v>3876</v>
      </c>
      <c r="J14" s="151" t="s">
        <v>3876</v>
      </c>
      <c r="K14" s="151" t="s">
        <v>3876</v>
      </c>
      <c r="L14" s="151" t="s">
        <v>3876</v>
      </c>
      <c r="M14" s="151" t="s">
        <v>3876</v>
      </c>
      <c r="N14" s="151" t="s">
        <v>3876</v>
      </c>
      <c r="O14" s="151" t="s">
        <v>3876</v>
      </c>
      <c r="P14" s="151" t="s">
        <v>3876</v>
      </c>
      <c r="Q14" s="151" t="s">
        <v>3876</v>
      </c>
      <c r="R14" s="151" t="s">
        <v>3876</v>
      </c>
      <c r="S14" s="151" t="s">
        <v>3876</v>
      </c>
      <c r="T14" s="151" t="s">
        <v>3876</v>
      </c>
      <c r="U14" s="151" t="s">
        <v>3876</v>
      </c>
      <c r="V14" s="151" t="s">
        <v>3876</v>
      </c>
      <c r="W14" s="151" t="s">
        <v>3876</v>
      </c>
      <c r="X14" s="151" t="s">
        <v>3876</v>
      </c>
      <c r="Y14" s="151" t="s">
        <v>3876</v>
      </c>
      <c r="Z14" s="151" t="s">
        <v>3876</v>
      </c>
      <c r="AA14" s="151" t="s">
        <v>3876</v>
      </c>
      <c r="AB14" s="159" t="s">
        <v>3876</v>
      </c>
      <c r="AC14" s="181"/>
    </row>
    <row r="15" spans="1:29" x14ac:dyDescent="0.2">
      <c r="A15" s="185" t="s">
        <v>3893</v>
      </c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5"/>
      <c r="R15" s="185"/>
      <c r="S15" s="185"/>
      <c r="T15" s="185"/>
      <c r="U15" s="185"/>
      <c r="V15" s="185"/>
      <c r="W15" s="185"/>
      <c r="X15" s="185"/>
      <c r="Y15" s="185"/>
      <c r="Z15" s="185"/>
      <c r="AA15" s="185"/>
      <c r="AB15" s="185"/>
    </row>
    <row r="16" spans="1:29" x14ac:dyDescent="0.2">
      <c r="A16" s="99" t="s">
        <v>3892</v>
      </c>
      <c r="B16" s="99"/>
      <c r="C16" s="99"/>
      <c r="D16" s="99"/>
      <c r="E16" s="16"/>
      <c r="F16" s="99"/>
      <c r="G16" s="99"/>
      <c r="H16" s="99"/>
      <c r="I16" s="16"/>
      <c r="J16" s="16"/>
      <c r="K16" s="99"/>
      <c r="L16" s="99"/>
      <c r="M16" s="99"/>
      <c r="N16" s="99"/>
      <c r="O16" s="99"/>
      <c r="P16" s="99"/>
      <c r="Q16" s="16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</row>
    <row r="17" spans="1:28" x14ac:dyDescent="0.2">
      <c r="A17" s="179"/>
      <c r="B17" s="99"/>
      <c r="C17" s="99"/>
      <c r="D17" s="99"/>
      <c r="E17" s="16"/>
      <c r="F17" s="99"/>
      <c r="G17" s="99"/>
      <c r="H17" s="99"/>
      <c r="I17" s="16"/>
      <c r="J17" s="16"/>
      <c r="K17" s="99"/>
      <c r="L17" s="99"/>
      <c r="M17" s="99"/>
      <c r="N17" s="99"/>
      <c r="O17" s="99"/>
      <c r="P17" s="99"/>
      <c r="Q17" s="16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</row>
    <row r="18" spans="1:28" x14ac:dyDescent="0.2">
      <c r="A18" s="99"/>
      <c r="B18" s="99"/>
      <c r="C18" s="99"/>
      <c r="D18" s="99"/>
      <c r="E18" s="16"/>
      <c r="F18" s="99"/>
      <c r="G18" s="99"/>
      <c r="H18" s="99"/>
      <c r="I18" s="16"/>
      <c r="J18" s="16"/>
      <c r="K18" s="99"/>
      <c r="L18" s="99"/>
      <c r="M18" s="99"/>
      <c r="N18" s="99"/>
      <c r="O18" s="99"/>
      <c r="P18" s="99"/>
      <c r="Q18" s="16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</row>
    <row r="19" spans="1:28" x14ac:dyDescent="0.2">
      <c r="A19" s="99"/>
      <c r="B19" s="99"/>
      <c r="C19" s="99"/>
      <c r="D19" s="99"/>
      <c r="E19" s="16"/>
      <c r="F19" s="99"/>
      <c r="G19" s="99"/>
      <c r="H19" s="99"/>
      <c r="I19" s="16"/>
      <c r="J19" s="16"/>
      <c r="K19" s="99"/>
      <c r="L19" s="99"/>
      <c r="M19" s="99"/>
      <c r="N19" s="99"/>
      <c r="O19" s="99"/>
      <c r="P19" s="99"/>
      <c r="Q19" s="16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</row>
    <row r="20" spans="1:28" x14ac:dyDescent="0.2">
      <c r="A20" s="99"/>
      <c r="B20" s="99"/>
      <c r="C20" s="99"/>
      <c r="D20" s="99"/>
      <c r="E20" s="16"/>
      <c r="F20" s="99"/>
      <c r="G20" s="99"/>
      <c r="H20" s="99"/>
      <c r="I20" s="16"/>
      <c r="J20" s="16"/>
      <c r="K20" s="99"/>
      <c r="L20" s="99"/>
      <c r="M20" s="99"/>
      <c r="N20" s="99"/>
      <c r="O20" s="99"/>
      <c r="P20" s="99"/>
      <c r="Q20" s="16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</row>
    <row r="21" spans="1:28" x14ac:dyDescent="0.2">
      <c r="A21" s="98"/>
      <c r="B21" s="98"/>
      <c r="C21" s="98"/>
      <c r="D21" s="98"/>
      <c r="E21" s="16"/>
      <c r="F21" s="98"/>
      <c r="G21" s="98"/>
      <c r="H21" s="99"/>
      <c r="I21" s="16"/>
      <c r="J21" s="16"/>
      <c r="K21" s="99"/>
      <c r="L21" s="98"/>
      <c r="M21" s="99"/>
      <c r="N21" s="98"/>
      <c r="O21" s="99"/>
      <c r="P21" s="98"/>
      <c r="Q21" s="98"/>
      <c r="R21" s="98"/>
      <c r="S21" s="99"/>
      <c r="T21" s="98"/>
      <c r="U21" s="98"/>
      <c r="V21" s="98"/>
      <c r="W21" s="98"/>
      <c r="X21" s="98"/>
      <c r="Y21" s="98"/>
      <c r="Z21" s="98"/>
      <c r="AA21" s="98"/>
      <c r="AB21" s="98"/>
    </row>
    <row r="22" spans="1:28" x14ac:dyDescent="0.2">
      <c r="A22" s="98"/>
      <c r="B22" s="98"/>
      <c r="C22" s="98"/>
      <c r="D22" s="98"/>
      <c r="E22"/>
      <c r="F22" s="98"/>
      <c r="G22" s="98"/>
      <c r="H22"/>
      <c r="I22" s="98"/>
      <c r="J22" s="98"/>
      <c r="K22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</row>
    <row r="25" spans="1:28" x14ac:dyDescent="0.2">
      <c r="A25" s="98"/>
      <c r="B25" s="98"/>
      <c r="C25" s="98"/>
      <c r="D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</row>
  </sheetData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5:AB15"/>
    <mergeCell ref="AC2:AC14"/>
  </mergeCells>
  <dataValidations count="10">
    <dataValidation type="list" allowBlank="1" showInputMessage="1" showErrorMessage="1" sqref="I3:I10 I16:I21">
      <formula1>israel_abroad</formula1>
    </dataValidation>
    <dataValidation type="list" allowBlank="1" showInputMessage="1" showErrorMessage="1" sqref="O3:O10 O16:O21">
      <formula1>Holding_interest</formula1>
    </dataValidation>
    <dataValidation type="list" allowBlank="1" showInputMessage="1" showErrorMessage="1" sqref="R3:R10 R16:R20">
      <formula1>Valuation</formula1>
    </dataValidation>
    <dataValidation type="list" allowBlank="1" showInputMessage="1" showErrorMessage="1" sqref="S3:S10 S16:S21">
      <formula1>Dependence_Independence</formula1>
    </dataValidation>
    <dataValidation type="list" allowBlank="1" showInputMessage="1" showErrorMessage="1" sqref="J3:J10 J16:J21">
      <formula1>Country_list</formula1>
    </dataValidation>
    <dataValidation type="list" allowBlank="1" showInputMessage="1" showErrorMessage="1" sqref="H3:H10 H16:H21">
      <formula1>Type_of_Security_ID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E4:E10 E16:E21">
      <formula1>Issuer_Number_Type_2</formula1>
    </dataValidation>
    <dataValidation type="list" allowBlank="1" showInputMessage="1" showErrorMessage="1" sqref="M3:M10 M16:M21">
      <formula1>Industry_Sector</formula1>
    </dataValidation>
    <dataValidation type="list" allowBlank="1" showInputMessage="1" showErrorMessage="1" sqref="K3:K10 K16:K21">
      <formula1>tradeable_status_warrants_v2</formula1>
    </dataValidation>
  </dataValidation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C22"/>
  <sheetViews>
    <sheetView rightToLeft="1" topLeftCell="G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9.625" style="2" customWidth="1"/>
    <col min="4" max="4" width="11.25" style="2" customWidth="1"/>
    <col min="5" max="5" width="18.125" style="4" customWidth="1"/>
    <col min="6" max="6" width="11.125" style="2" customWidth="1"/>
    <col min="7" max="7" width="12.75" style="2" customWidth="1"/>
    <col min="8" max="8" width="15.5" style="2" customWidth="1"/>
    <col min="9" max="9" width="11.5" style="2" customWidth="1"/>
    <col min="10" max="10" width="10.625" style="2" customWidth="1"/>
    <col min="11" max="11" width="19.875" style="2" customWidth="1"/>
    <col min="12" max="12" width="9.625" style="2" customWidth="1"/>
    <col min="13" max="13" width="9" style="2" customWidth="1"/>
    <col min="14" max="14" width="12" style="2" customWidth="1"/>
    <col min="15" max="15" width="15.125" style="2" customWidth="1"/>
    <col min="16" max="16" width="12" style="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1" width="10.5" style="2" customWidth="1"/>
    <col min="22" max="22" width="9.625" style="2" customWidth="1"/>
    <col min="23" max="23" width="14.875" style="2" customWidth="1"/>
    <col min="24" max="24" width="12.875" style="2" customWidth="1"/>
    <col min="25" max="25" width="10.5" style="2" customWidth="1"/>
    <col min="26" max="26" width="14.125" style="2" customWidth="1"/>
    <col min="27" max="27" width="21.75" style="2" customWidth="1"/>
    <col min="28" max="28" width="20.125" style="2" customWidth="1"/>
    <col min="29" max="29" width="11.625" style="2" customWidth="1"/>
    <col min="30" max="16384" width="9" style="2"/>
  </cols>
  <sheetData>
    <row r="1" spans="1:29" x14ac:dyDescent="0.2">
      <c r="A1" s="2" t="s">
        <v>3916</v>
      </c>
    </row>
    <row r="2" spans="1:29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83</v>
      </c>
      <c r="M2" s="140" t="s">
        <v>96</v>
      </c>
      <c r="N2" s="140" t="s">
        <v>93</v>
      </c>
      <c r="O2" s="140" t="s">
        <v>56</v>
      </c>
      <c r="P2" s="140" t="s">
        <v>97</v>
      </c>
      <c r="Q2" s="140" t="s">
        <v>59</v>
      </c>
      <c r="R2" s="140" t="s">
        <v>103</v>
      </c>
      <c r="S2" s="140" t="s">
        <v>104</v>
      </c>
      <c r="T2" s="140" t="s">
        <v>106</v>
      </c>
      <c r="U2" s="140" t="s">
        <v>94</v>
      </c>
      <c r="V2" s="140" t="s">
        <v>95</v>
      </c>
      <c r="W2" s="140" t="s">
        <v>76</v>
      </c>
      <c r="X2" s="140" t="s">
        <v>77</v>
      </c>
      <c r="Y2" s="140" t="s">
        <v>61</v>
      </c>
      <c r="Z2" s="140" t="s">
        <v>119</v>
      </c>
      <c r="AA2" s="140" t="s">
        <v>64</v>
      </c>
      <c r="AB2" s="141" t="s">
        <v>65</v>
      </c>
      <c r="AC2" s="181" t="s">
        <v>3894</v>
      </c>
    </row>
    <row r="3" spans="1:29" ht="15" x14ac:dyDescent="0.2">
      <c r="A3" s="154" t="s">
        <v>1205</v>
      </c>
      <c r="B3" s="155" t="s">
        <v>1206</v>
      </c>
      <c r="C3" s="145" t="s">
        <v>3876</v>
      </c>
      <c r="D3" s="145" t="s">
        <v>3876</v>
      </c>
      <c r="E3" s="145" t="s">
        <v>3876</v>
      </c>
      <c r="F3" s="145" t="s">
        <v>3876</v>
      </c>
      <c r="G3" s="145" t="s">
        <v>3876</v>
      </c>
      <c r="H3" s="145" t="s">
        <v>3876</v>
      </c>
      <c r="I3" s="145" t="s">
        <v>3876</v>
      </c>
      <c r="J3" s="145" t="s">
        <v>3876</v>
      </c>
      <c r="K3" s="145" t="s">
        <v>3876</v>
      </c>
      <c r="L3" s="145" t="s">
        <v>3876</v>
      </c>
      <c r="M3" s="145" t="s">
        <v>3876</v>
      </c>
      <c r="N3" s="145" t="s">
        <v>3876</v>
      </c>
      <c r="O3" s="145" t="s">
        <v>3876</v>
      </c>
      <c r="P3" s="145" t="s">
        <v>3876</v>
      </c>
      <c r="Q3" s="145" t="s">
        <v>3876</v>
      </c>
      <c r="R3" s="145" t="s">
        <v>3876</v>
      </c>
      <c r="S3" s="145" t="s">
        <v>3876</v>
      </c>
      <c r="T3" s="145" t="s">
        <v>3876</v>
      </c>
      <c r="U3" s="145" t="s">
        <v>3876</v>
      </c>
      <c r="V3" s="145" t="s">
        <v>3876</v>
      </c>
      <c r="W3" s="145" t="s">
        <v>3876</v>
      </c>
      <c r="X3" s="145" t="s">
        <v>3876</v>
      </c>
      <c r="Y3" s="145" t="s">
        <v>3876</v>
      </c>
      <c r="Z3" s="145" t="s">
        <v>3876</v>
      </c>
      <c r="AA3" s="145" t="s">
        <v>3876</v>
      </c>
      <c r="AB3" s="156" t="s">
        <v>3876</v>
      </c>
      <c r="AC3" s="181"/>
    </row>
    <row r="4" spans="1:29" ht="15" x14ac:dyDescent="0.2">
      <c r="A4" s="154" t="s">
        <v>1205</v>
      </c>
      <c r="B4" s="155" t="s">
        <v>1215</v>
      </c>
      <c r="C4" s="145" t="s">
        <v>3876</v>
      </c>
      <c r="D4" s="145" t="s">
        <v>3876</v>
      </c>
      <c r="E4" s="145" t="s">
        <v>3876</v>
      </c>
      <c r="F4" s="145" t="s">
        <v>3876</v>
      </c>
      <c r="G4" s="145" t="s">
        <v>3876</v>
      </c>
      <c r="H4" s="145" t="s">
        <v>3876</v>
      </c>
      <c r="I4" s="145" t="s">
        <v>3876</v>
      </c>
      <c r="J4" s="145" t="s">
        <v>3876</v>
      </c>
      <c r="K4" s="145" t="s">
        <v>3876</v>
      </c>
      <c r="L4" s="145" t="s">
        <v>3876</v>
      </c>
      <c r="M4" s="145" t="s">
        <v>3876</v>
      </c>
      <c r="N4" s="145" t="s">
        <v>3876</v>
      </c>
      <c r="O4" s="145" t="s">
        <v>3876</v>
      </c>
      <c r="P4" s="145" t="s">
        <v>3876</v>
      </c>
      <c r="Q4" s="145" t="s">
        <v>3876</v>
      </c>
      <c r="R4" s="145" t="s">
        <v>3876</v>
      </c>
      <c r="S4" s="145" t="s">
        <v>3876</v>
      </c>
      <c r="T4" s="145" t="s">
        <v>3876</v>
      </c>
      <c r="U4" s="145" t="s">
        <v>3876</v>
      </c>
      <c r="V4" s="145" t="s">
        <v>3876</v>
      </c>
      <c r="W4" s="145" t="s">
        <v>3876</v>
      </c>
      <c r="X4" s="145" t="s">
        <v>3876</v>
      </c>
      <c r="Y4" s="145" t="s">
        <v>3876</v>
      </c>
      <c r="Z4" s="145" t="s">
        <v>3876</v>
      </c>
      <c r="AA4" s="145" t="s">
        <v>3876</v>
      </c>
      <c r="AB4" s="156" t="s">
        <v>3876</v>
      </c>
      <c r="AC4" s="181"/>
    </row>
    <row r="5" spans="1:29" ht="15" x14ac:dyDescent="0.2">
      <c r="A5" s="154" t="s">
        <v>1205</v>
      </c>
      <c r="B5" s="155" t="s">
        <v>1205</v>
      </c>
      <c r="C5" s="145" t="s">
        <v>3876</v>
      </c>
      <c r="D5" s="145" t="s">
        <v>3876</v>
      </c>
      <c r="E5" s="145" t="s">
        <v>3876</v>
      </c>
      <c r="F5" s="145" t="s">
        <v>3876</v>
      </c>
      <c r="G5" s="145" t="s">
        <v>3876</v>
      </c>
      <c r="H5" s="145" t="s">
        <v>3876</v>
      </c>
      <c r="I5" s="145" t="s">
        <v>3876</v>
      </c>
      <c r="J5" s="145" t="s">
        <v>3876</v>
      </c>
      <c r="K5" s="145" t="s">
        <v>3876</v>
      </c>
      <c r="L5" s="145" t="s">
        <v>3876</v>
      </c>
      <c r="M5" s="145" t="s">
        <v>3876</v>
      </c>
      <c r="N5" s="145" t="s">
        <v>3876</v>
      </c>
      <c r="O5" s="145" t="s">
        <v>3876</v>
      </c>
      <c r="P5" s="145" t="s">
        <v>3876</v>
      </c>
      <c r="Q5" s="145" t="s">
        <v>3876</v>
      </c>
      <c r="R5" s="145" t="s">
        <v>3876</v>
      </c>
      <c r="S5" s="145" t="s">
        <v>3876</v>
      </c>
      <c r="T5" s="145" t="s">
        <v>3876</v>
      </c>
      <c r="U5" s="145" t="s">
        <v>3876</v>
      </c>
      <c r="V5" s="145" t="s">
        <v>3876</v>
      </c>
      <c r="W5" s="145" t="s">
        <v>3876</v>
      </c>
      <c r="X5" s="145" t="s">
        <v>3876</v>
      </c>
      <c r="Y5" s="145" t="s">
        <v>3876</v>
      </c>
      <c r="Z5" s="145" t="s">
        <v>3876</v>
      </c>
      <c r="AA5" s="145" t="s">
        <v>3876</v>
      </c>
      <c r="AB5" s="156" t="s">
        <v>3876</v>
      </c>
      <c r="AC5" s="181"/>
    </row>
    <row r="6" spans="1:29" ht="15" x14ac:dyDescent="0.2">
      <c r="A6" s="154" t="s">
        <v>1220</v>
      </c>
      <c r="B6" s="155" t="s">
        <v>1221</v>
      </c>
      <c r="C6" s="145" t="s">
        <v>3876</v>
      </c>
      <c r="D6" s="145" t="s">
        <v>3876</v>
      </c>
      <c r="E6" s="145" t="s">
        <v>3876</v>
      </c>
      <c r="F6" s="145" t="s">
        <v>3876</v>
      </c>
      <c r="G6" s="145" t="s">
        <v>3876</v>
      </c>
      <c r="H6" s="145" t="s">
        <v>3876</v>
      </c>
      <c r="I6" s="145" t="s">
        <v>3876</v>
      </c>
      <c r="J6" s="145" t="s">
        <v>3876</v>
      </c>
      <c r="K6" s="145" t="s">
        <v>3876</v>
      </c>
      <c r="L6" s="145" t="s">
        <v>3876</v>
      </c>
      <c r="M6" s="145" t="s">
        <v>3876</v>
      </c>
      <c r="N6" s="145" t="s">
        <v>3876</v>
      </c>
      <c r="O6" s="145" t="s">
        <v>3876</v>
      </c>
      <c r="P6" s="145" t="s">
        <v>3876</v>
      </c>
      <c r="Q6" s="145" t="s">
        <v>3876</v>
      </c>
      <c r="R6" s="145" t="s">
        <v>3876</v>
      </c>
      <c r="S6" s="145" t="s">
        <v>3876</v>
      </c>
      <c r="T6" s="145" t="s">
        <v>3876</v>
      </c>
      <c r="U6" s="145" t="s">
        <v>3876</v>
      </c>
      <c r="V6" s="145" t="s">
        <v>3876</v>
      </c>
      <c r="W6" s="145" t="s">
        <v>3876</v>
      </c>
      <c r="X6" s="145" t="s">
        <v>3876</v>
      </c>
      <c r="Y6" s="145" t="s">
        <v>3876</v>
      </c>
      <c r="Z6" s="145" t="s">
        <v>3876</v>
      </c>
      <c r="AA6" s="145" t="s">
        <v>3876</v>
      </c>
      <c r="AB6" s="156" t="s">
        <v>3876</v>
      </c>
      <c r="AC6" s="181"/>
    </row>
    <row r="7" spans="1:29" ht="15" x14ac:dyDescent="0.2">
      <c r="A7" s="154" t="s">
        <v>1220</v>
      </c>
      <c r="B7" s="155" t="s">
        <v>1222</v>
      </c>
      <c r="C7" s="145" t="s">
        <v>3876</v>
      </c>
      <c r="D7" s="145" t="s">
        <v>3876</v>
      </c>
      <c r="E7" s="145" t="s">
        <v>3876</v>
      </c>
      <c r="F7" s="145" t="s">
        <v>3876</v>
      </c>
      <c r="G7" s="145" t="s">
        <v>3876</v>
      </c>
      <c r="H7" s="145" t="s">
        <v>3876</v>
      </c>
      <c r="I7" s="145" t="s">
        <v>3876</v>
      </c>
      <c r="J7" s="145" t="s">
        <v>3876</v>
      </c>
      <c r="K7" s="145" t="s">
        <v>3876</v>
      </c>
      <c r="L7" s="145" t="s">
        <v>3876</v>
      </c>
      <c r="M7" s="145" t="s">
        <v>3876</v>
      </c>
      <c r="N7" s="145" t="s">
        <v>3876</v>
      </c>
      <c r="O7" s="145" t="s">
        <v>3876</v>
      </c>
      <c r="P7" s="145" t="s">
        <v>3876</v>
      </c>
      <c r="Q7" s="145" t="s">
        <v>3876</v>
      </c>
      <c r="R7" s="145" t="s">
        <v>3876</v>
      </c>
      <c r="S7" s="145" t="s">
        <v>3876</v>
      </c>
      <c r="T7" s="145" t="s">
        <v>3876</v>
      </c>
      <c r="U7" s="145" t="s">
        <v>3876</v>
      </c>
      <c r="V7" s="145" t="s">
        <v>3876</v>
      </c>
      <c r="W7" s="145" t="s">
        <v>3876</v>
      </c>
      <c r="X7" s="145" t="s">
        <v>3876</v>
      </c>
      <c r="Y7" s="145" t="s">
        <v>3876</v>
      </c>
      <c r="Z7" s="145" t="s">
        <v>3876</v>
      </c>
      <c r="AA7" s="145" t="s">
        <v>3876</v>
      </c>
      <c r="AB7" s="156" t="s">
        <v>3876</v>
      </c>
      <c r="AC7" s="181"/>
    </row>
    <row r="8" spans="1:29" ht="15" x14ac:dyDescent="0.2">
      <c r="A8" s="157" t="s">
        <v>1220</v>
      </c>
      <c r="B8" s="158" t="s">
        <v>1220</v>
      </c>
      <c r="C8" s="151" t="s">
        <v>3876</v>
      </c>
      <c r="D8" s="151" t="s">
        <v>3876</v>
      </c>
      <c r="E8" s="151" t="s">
        <v>3876</v>
      </c>
      <c r="F8" s="151" t="s">
        <v>3876</v>
      </c>
      <c r="G8" s="151" t="s">
        <v>3876</v>
      </c>
      <c r="H8" s="151" t="s">
        <v>3876</v>
      </c>
      <c r="I8" s="151" t="s">
        <v>3876</v>
      </c>
      <c r="J8" s="151" t="s">
        <v>3876</v>
      </c>
      <c r="K8" s="151" t="s">
        <v>3876</v>
      </c>
      <c r="L8" s="151" t="s">
        <v>3876</v>
      </c>
      <c r="M8" s="151" t="s">
        <v>3876</v>
      </c>
      <c r="N8" s="151" t="s">
        <v>3876</v>
      </c>
      <c r="O8" s="151" t="s">
        <v>3876</v>
      </c>
      <c r="P8" s="151" t="s">
        <v>3876</v>
      </c>
      <c r="Q8" s="151" t="s">
        <v>3876</v>
      </c>
      <c r="R8" s="151" t="s">
        <v>3876</v>
      </c>
      <c r="S8" s="151" t="s">
        <v>3876</v>
      </c>
      <c r="T8" s="151" t="s">
        <v>3876</v>
      </c>
      <c r="U8" s="151" t="s">
        <v>3876</v>
      </c>
      <c r="V8" s="151" t="s">
        <v>3876</v>
      </c>
      <c r="W8" s="151" t="s">
        <v>3876</v>
      </c>
      <c r="X8" s="151" t="s">
        <v>3876</v>
      </c>
      <c r="Y8" s="151" t="s">
        <v>3876</v>
      </c>
      <c r="Z8" s="151" t="s">
        <v>3876</v>
      </c>
      <c r="AA8" s="151" t="s">
        <v>3876</v>
      </c>
      <c r="AB8" s="159" t="s">
        <v>3876</v>
      </c>
      <c r="AC8" s="181"/>
    </row>
    <row r="9" spans="1:29" x14ac:dyDescent="0.2">
      <c r="A9" s="185" t="s">
        <v>3893</v>
      </c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</row>
    <row r="10" spans="1:29" x14ac:dyDescent="0.2">
      <c r="A10" s="99" t="s">
        <v>3892</v>
      </c>
      <c r="B10" s="99"/>
      <c r="C10" s="99"/>
      <c r="D10" s="99"/>
      <c r="E10" s="16"/>
      <c r="F10" s="99"/>
      <c r="G10" s="99"/>
      <c r="H10" s="99"/>
      <c r="I10" s="99"/>
      <c r="J10" s="16"/>
      <c r="K10" s="16"/>
      <c r="L10" s="99"/>
      <c r="M10" s="99"/>
      <c r="N10" s="99"/>
      <c r="O10" s="99"/>
      <c r="P10" s="99"/>
      <c r="Q10" s="16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</row>
    <row r="11" spans="1:29" x14ac:dyDescent="0.2">
      <c r="A11" s="179"/>
      <c r="B11" s="99"/>
      <c r="C11" s="99"/>
      <c r="D11" s="99"/>
      <c r="E11" s="16"/>
      <c r="F11" s="99"/>
      <c r="G11" s="99"/>
      <c r="H11" s="99"/>
      <c r="I11" s="99"/>
      <c r="J11" s="16"/>
      <c r="K11" s="16"/>
      <c r="L11" s="99"/>
      <c r="M11" s="99"/>
      <c r="N11" s="99"/>
      <c r="O11" s="99"/>
      <c r="P11" s="99"/>
      <c r="Q11" s="16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</row>
    <row r="12" spans="1:29" x14ac:dyDescent="0.2">
      <c r="A12" s="99"/>
      <c r="B12" s="99"/>
      <c r="C12" s="99"/>
      <c r="D12" s="99"/>
      <c r="E12" s="16"/>
      <c r="F12" s="99"/>
      <c r="G12" s="99"/>
      <c r="H12" s="99"/>
      <c r="I12" s="99"/>
      <c r="J12" s="16"/>
      <c r="K12" s="16"/>
      <c r="L12" s="99"/>
      <c r="M12" s="99"/>
      <c r="N12" s="99"/>
      <c r="O12" s="99"/>
      <c r="P12" s="99"/>
      <c r="Q12" s="16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</row>
    <row r="13" spans="1:29" x14ac:dyDescent="0.2">
      <c r="A13" s="99"/>
      <c r="B13" s="99"/>
      <c r="C13" s="99"/>
      <c r="D13" s="99"/>
      <c r="E13" s="16"/>
      <c r="F13" s="99"/>
      <c r="G13" s="99"/>
      <c r="H13" s="99"/>
      <c r="I13" s="99"/>
      <c r="J13" s="16"/>
      <c r="K13" s="16"/>
      <c r="L13" s="99"/>
      <c r="M13" s="99"/>
      <c r="N13" s="99"/>
      <c r="O13" s="99"/>
      <c r="P13" s="99"/>
      <c r="Q13" s="16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</row>
    <row r="14" spans="1:29" x14ac:dyDescent="0.2">
      <c r="A14" s="99"/>
      <c r="B14" s="99"/>
      <c r="C14" s="99"/>
      <c r="D14" s="99"/>
      <c r="E14" s="16"/>
      <c r="F14" s="99"/>
      <c r="G14" s="99"/>
      <c r="H14" s="99"/>
      <c r="I14" s="99"/>
      <c r="J14" s="16"/>
      <c r="K14" s="16"/>
      <c r="L14" s="99"/>
      <c r="M14" s="99"/>
      <c r="N14" s="99"/>
      <c r="O14" s="99"/>
      <c r="P14" s="99"/>
      <c r="Q14" s="16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</row>
    <row r="15" spans="1:29" x14ac:dyDescent="0.2">
      <c r="A15" s="99"/>
      <c r="B15" s="99"/>
      <c r="C15" s="99"/>
      <c r="D15" s="99"/>
      <c r="E15" s="16"/>
      <c r="F15" s="99"/>
      <c r="G15" s="99"/>
      <c r="H15" s="99"/>
      <c r="I15" s="99"/>
      <c r="J15" s="16"/>
      <c r="K15" s="16"/>
      <c r="L15" s="99"/>
      <c r="M15" s="99"/>
      <c r="N15" s="99"/>
      <c r="O15" s="99"/>
      <c r="P15" s="99"/>
      <c r="Q15" s="16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</row>
    <row r="16" spans="1:29" x14ac:dyDescent="0.2">
      <c r="A16" s="99"/>
      <c r="B16" s="99"/>
      <c r="C16" s="99"/>
      <c r="D16" s="99"/>
      <c r="E16" s="16"/>
      <c r="F16" s="99"/>
      <c r="G16" s="99"/>
      <c r="H16" s="99"/>
      <c r="I16" s="99"/>
      <c r="J16" s="16"/>
      <c r="K16" s="16"/>
      <c r="L16" s="99"/>
      <c r="M16" s="99"/>
      <c r="N16" s="99"/>
      <c r="O16" s="99"/>
      <c r="P16" s="99"/>
      <c r="Q16" s="16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</row>
    <row r="17" spans="1:28" x14ac:dyDescent="0.2">
      <c r="A17" s="99"/>
      <c r="B17" s="99"/>
      <c r="C17" s="99"/>
      <c r="D17" s="99"/>
      <c r="E17" s="16"/>
      <c r="F17" s="99"/>
      <c r="G17" s="99"/>
      <c r="H17" s="99"/>
      <c r="I17" s="99"/>
      <c r="J17" s="16"/>
      <c r="K17" s="16"/>
      <c r="L17" s="99"/>
      <c r="M17" s="99"/>
      <c r="N17" s="99"/>
      <c r="O17" s="99"/>
      <c r="P17" s="99"/>
      <c r="Q17" s="16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</row>
    <row r="18" spans="1:28" x14ac:dyDescent="0.2">
      <c r="A18" s="99"/>
      <c r="B18" s="99"/>
      <c r="C18" s="99"/>
      <c r="D18" s="99"/>
      <c r="E18" s="16"/>
      <c r="F18" s="99"/>
      <c r="G18" s="99"/>
      <c r="H18" s="99"/>
      <c r="I18" s="99"/>
      <c r="J18" s="16"/>
      <c r="K18" s="16"/>
      <c r="L18" s="99"/>
      <c r="M18" s="99"/>
      <c r="N18" s="99"/>
      <c r="O18" s="99"/>
      <c r="P18" s="99"/>
      <c r="Q18" s="16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</row>
    <row r="19" spans="1:28" x14ac:dyDescent="0.2">
      <c r="A19" s="99"/>
      <c r="B19" s="99"/>
      <c r="C19" s="99"/>
      <c r="D19" s="99"/>
      <c r="E19" s="16"/>
      <c r="F19" s="99"/>
      <c r="G19" s="99"/>
      <c r="H19" s="99"/>
      <c r="I19" s="99"/>
      <c r="J19" s="16"/>
      <c r="K19" s="16"/>
      <c r="L19" s="99"/>
      <c r="M19" s="99"/>
      <c r="N19" s="99"/>
      <c r="O19" s="99"/>
      <c r="P19" s="99"/>
      <c r="Q19" s="16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</row>
    <row r="20" spans="1:28" x14ac:dyDescent="0.2">
      <c r="A20" s="99"/>
      <c r="B20" s="99"/>
      <c r="C20" s="99"/>
      <c r="D20" s="99"/>
      <c r="E20" s="16"/>
      <c r="F20" s="99"/>
      <c r="G20" s="99"/>
      <c r="H20" s="99"/>
      <c r="I20" s="99"/>
      <c r="J20" s="16"/>
      <c r="K20" s="16"/>
      <c r="L20" s="99"/>
      <c r="M20" s="99"/>
      <c r="N20" s="99"/>
      <c r="O20" s="99"/>
      <c r="P20" s="99"/>
      <c r="Q20" s="16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</row>
    <row r="21" spans="1:28" x14ac:dyDescent="0.2">
      <c r="A21" s="98"/>
      <c r="B21" s="98"/>
      <c r="C21" s="98"/>
      <c r="D21" s="98"/>
      <c r="E21" s="16"/>
      <c r="F21" s="98"/>
      <c r="G21" s="98"/>
      <c r="H21" s="99"/>
      <c r="I21" s="99"/>
      <c r="J21" s="16"/>
      <c r="K21" s="16"/>
      <c r="L21" s="99"/>
      <c r="M21" s="99"/>
      <c r="N21" s="98"/>
      <c r="O21" s="99"/>
      <c r="P21" s="98"/>
      <c r="Q21" s="98"/>
      <c r="R21" s="99"/>
      <c r="S21" s="99"/>
      <c r="T21" s="98"/>
      <c r="U21" s="98"/>
      <c r="V21" s="98"/>
      <c r="W21" s="98"/>
      <c r="X21" s="98"/>
      <c r="Y21" s="98"/>
      <c r="Z21" s="98"/>
      <c r="AA21" s="98"/>
      <c r="AB21" s="98"/>
    </row>
    <row r="22" spans="1:28" x14ac:dyDescent="0.2">
      <c r="A22" s="98"/>
      <c r="B22" s="98"/>
      <c r="C22" s="98"/>
      <c r="D22" s="98"/>
      <c r="E22"/>
      <c r="F22" s="98"/>
      <c r="G22" s="98"/>
      <c r="H22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AB9"/>
    <mergeCell ref="AC2:AC8"/>
  </mergeCells>
  <dataValidations count="9">
    <dataValidation type="list" allowBlank="1" showInputMessage="1" showErrorMessage="1" sqref="J10:J21">
      <formula1>israel_abroad</formula1>
    </dataValidation>
    <dataValidation type="list" allowBlank="1" showInputMessage="1" showErrorMessage="1" sqref="O10:O21">
      <formula1>Holding_interest</formula1>
    </dataValidation>
    <dataValidation type="list" allowBlank="1" showInputMessage="1" showErrorMessage="1" sqref="M10:M21">
      <formula1>Underlying_Asset</formula1>
    </dataValidation>
    <dataValidation type="list" allowBlank="1" showInputMessage="1" showErrorMessage="1" sqref="R10:R21">
      <formula1>Valuation</formula1>
    </dataValidation>
    <dataValidation type="list" allowBlank="1" showInputMessage="1" showErrorMessage="1" sqref="S10:S21">
      <formula1>Dependence_Independence</formula1>
    </dataValidation>
    <dataValidation type="list" allowBlank="1" showInputMessage="1" showErrorMessage="1" sqref="K10:K21">
      <formula1>Country_list</formula1>
    </dataValidation>
    <dataValidation type="list" allowBlank="1" showInputMessage="1" showErrorMessage="1" sqref="H10:H21">
      <formula1>Type_of_Security_ID</formula1>
    </dataValidation>
    <dataValidation type="list" allowBlank="1" showInputMessage="1" showErrorMessage="1" sqref="E10:E21">
      <formula1>Issuer_Number_Type_2</formula1>
    </dataValidation>
    <dataValidation type="list" allowBlank="1" showInputMessage="1" showErrorMessage="1" sqref="L10:L21">
      <formula1>Industry_Sector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בחירה'!$C$964:$C$969</xm:f>
          </x14:formula1>
          <xm:sqref>I10:I21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P77"/>
  <sheetViews>
    <sheetView rightToLeft="1" workbookViewId="0"/>
  </sheetViews>
  <sheetFormatPr defaultColWidth="9" defaultRowHeight="14.25" x14ac:dyDescent="0.2"/>
  <cols>
    <col min="1" max="1" width="29.375" style="10" customWidth="1"/>
    <col min="2" max="2" width="11.125" style="10" customWidth="1"/>
    <col min="3" max="3" width="16" style="10" bestFit="1" customWidth="1"/>
    <col min="4" max="4" width="16.25" style="10" customWidth="1"/>
    <col min="5" max="5" width="17" style="10" customWidth="1"/>
    <col min="6" max="6" width="10.5" style="10" customWidth="1"/>
    <col min="7" max="7" width="14.125" style="10" bestFit="1" customWidth="1"/>
    <col min="8" max="8" width="24.125" style="10" customWidth="1"/>
    <col min="9" max="9" width="27" style="10" customWidth="1"/>
    <col min="10" max="10" width="25.375" style="10" customWidth="1"/>
    <col min="11" max="11" width="16.25" style="10" customWidth="1"/>
    <col min="12" max="12" width="17" style="10" customWidth="1"/>
    <col min="13" max="13" width="11.375" style="10" customWidth="1"/>
    <col min="14" max="14" width="14.5" style="10" bestFit="1" customWidth="1"/>
    <col min="15" max="15" width="24.125" style="10" customWidth="1"/>
    <col min="16" max="16" width="23" style="10" customWidth="1"/>
    <col min="17" max="17" width="26" style="10" customWidth="1"/>
    <col min="18" max="18" width="21" style="10" customWidth="1"/>
    <col min="19" max="19" width="10.625" style="10" customWidth="1"/>
    <col min="20" max="20" width="19.875" style="10" customWidth="1"/>
    <col min="21" max="21" width="8.875" style="10" customWidth="1"/>
    <col min="22" max="22" width="11.25" style="10" customWidth="1"/>
    <col min="23" max="23" width="10.75" style="10" customWidth="1"/>
    <col min="24" max="24" width="7.375" style="10" bestFit="1" customWidth="1"/>
    <col min="25" max="25" width="15.125" style="10" customWidth="1"/>
    <col min="26" max="26" width="19.625" style="10" customWidth="1"/>
    <col min="27" max="28" width="12.625" style="10" customWidth="1"/>
    <col min="29" max="29" width="10.75" style="10" customWidth="1"/>
    <col min="30" max="30" width="25.375" style="10" customWidth="1"/>
    <col min="31" max="31" width="10.25" style="10" customWidth="1"/>
    <col min="32" max="32" width="9.75" style="10" customWidth="1"/>
    <col min="33" max="33" width="15" style="10" customWidth="1"/>
    <col min="34" max="34" width="14.25" customWidth="1"/>
    <col min="35" max="35" width="31.75" style="10" customWidth="1"/>
    <col min="36" max="36" width="28.375" style="10" customWidth="1"/>
    <col min="37" max="37" width="25.875" style="10" customWidth="1"/>
    <col min="38" max="38" width="24.375" style="10" customWidth="1"/>
    <col min="39" max="39" width="19.5" style="10" customWidth="1"/>
    <col min="40" max="40" width="21.75" style="2" customWidth="1"/>
    <col min="41" max="41" width="20.125" style="2" customWidth="1"/>
    <col min="42" max="16384" width="9" style="10"/>
  </cols>
  <sheetData>
    <row r="1" spans="1:42" x14ac:dyDescent="0.2">
      <c r="A1" s="10" t="s">
        <v>3917</v>
      </c>
    </row>
    <row r="2" spans="1:42" ht="66.75" customHeight="1" x14ac:dyDescent="0.2">
      <c r="A2" s="139" t="s">
        <v>49</v>
      </c>
      <c r="B2" s="140" t="s">
        <v>50</v>
      </c>
      <c r="C2" s="140" t="s">
        <v>54</v>
      </c>
      <c r="D2" s="140" t="s">
        <v>120</v>
      </c>
      <c r="E2" s="140" t="s">
        <v>121</v>
      </c>
      <c r="F2" s="140" t="s">
        <v>61</v>
      </c>
      <c r="G2" s="140" t="s">
        <v>122</v>
      </c>
      <c r="H2" s="140" t="s">
        <v>123</v>
      </c>
      <c r="I2" s="140" t="s">
        <v>124</v>
      </c>
      <c r="J2" s="140" t="s">
        <v>125</v>
      </c>
      <c r="K2" s="140" t="s">
        <v>126</v>
      </c>
      <c r="L2" s="140" t="s">
        <v>127</v>
      </c>
      <c r="M2" s="140" t="s">
        <v>3891</v>
      </c>
      <c r="N2" s="140" t="s">
        <v>128</v>
      </c>
      <c r="O2" s="140" t="s">
        <v>129</v>
      </c>
      <c r="P2" s="140" t="s">
        <v>130</v>
      </c>
      <c r="Q2" s="140" t="s">
        <v>131</v>
      </c>
      <c r="R2" s="140" t="s">
        <v>132</v>
      </c>
      <c r="S2" s="140" t="s">
        <v>55</v>
      </c>
      <c r="T2" s="140" t="s">
        <v>69</v>
      </c>
      <c r="U2" s="140" t="s">
        <v>133</v>
      </c>
      <c r="V2" s="140" t="s">
        <v>134</v>
      </c>
      <c r="W2" s="140" t="s">
        <v>135</v>
      </c>
      <c r="X2" s="140" t="s">
        <v>136</v>
      </c>
      <c r="Y2" s="140" t="s">
        <v>56</v>
      </c>
      <c r="Z2" s="140" t="s">
        <v>137</v>
      </c>
      <c r="AA2" s="140" t="s">
        <v>138</v>
      </c>
      <c r="AB2" s="140" t="s">
        <v>139</v>
      </c>
      <c r="AC2" s="140" t="s">
        <v>140</v>
      </c>
      <c r="AD2" s="140" t="s">
        <v>141</v>
      </c>
      <c r="AE2" s="140" t="s">
        <v>142</v>
      </c>
      <c r="AF2" s="140" t="s">
        <v>85</v>
      </c>
      <c r="AG2" s="140" t="s">
        <v>143</v>
      </c>
      <c r="AH2" s="140" t="s">
        <v>144</v>
      </c>
      <c r="AI2" s="140" t="s">
        <v>145</v>
      </c>
      <c r="AJ2" s="140" t="s">
        <v>146</v>
      </c>
      <c r="AK2" s="140" t="s">
        <v>147</v>
      </c>
      <c r="AL2" s="140" t="s">
        <v>148</v>
      </c>
      <c r="AM2" s="140" t="s">
        <v>149</v>
      </c>
      <c r="AN2" s="140" t="s">
        <v>64</v>
      </c>
      <c r="AO2" s="141" t="s">
        <v>65</v>
      </c>
      <c r="AP2" s="181" t="s">
        <v>3894</v>
      </c>
    </row>
    <row r="3" spans="1:42" ht="15" x14ac:dyDescent="0.2">
      <c r="A3" s="142" t="s">
        <v>1205</v>
      </c>
      <c r="B3" s="143" t="s">
        <v>1206</v>
      </c>
      <c r="C3" s="143" t="s">
        <v>1016</v>
      </c>
      <c r="D3" s="143" t="s">
        <v>3630</v>
      </c>
      <c r="E3" s="143" t="s">
        <v>1213</v>
      </c>
      <c r="F3" s="143" t="s">
        <v>3631</v>
      </c>
      <c r="G3" s="144">
        <v>-69600</v>
      </c>
      <c r="H3" s="144">
        <v>-2.7849743999999999</v>
      </c>
      <c r="I3" s="146">
        <v>3.9408245329526015E-5</v>
      </c>
      <c r="J3" s="146">
        <v>-1.1274363631965588E-7</v>
      </c>
      <c r="K3" s="143" t="s">
        <v>3630</v>
      </c>
      <c r="L3" s="143" t="s">
        <v>1210</v>
      </c>
      <c r="M3" s="143" t="s">
        <v>3000</v>
      </c>
      <c r="N3" s="144">
        <v>281532</v>
      </c>
      <c r="O3" s="144">
        <v>4.4173743999999999</v>
      </c>
      <c r="P3" s="146">
        <v>-6.2507207989979287E-5</v>
      </c>
      <c r="Q3" s="146">
        <v>1.7882780281260687E-7</v>
      </c>
      <c r="R3" s="144">
        <v>1.6324000000000001</v>
      </c>
      <c r="S3" s="143" t="s">
        <v>204</v>
      </c>
      <c r="T3" s="143" t="s">
        <v>204</v>
      </c>
      <c r="U3" s="143" t="s">
        <v>746</v>
      </c>
      <c r="V3" s="143" t="s">
        <v>314</v>
      </c>
      <c r="W3" s="143" t="s">
        <v>928</v>
      </c>
      <c r="X3" s="143" t="s">
        <v>3632</v>
      </c>
      <c r="Y3" s="143" t="s">
        <v>339</v>
      </c>
      <c r="Z3" s="143" t="s">
        <v>3633</v>
      </c>
      <c r="AA3" s="143" t="s">
        <v>3634</v>
      </c>
      <c r="AB3" s="143" t="s">
        <v>1223</v>
      </c>
      <c r="AC3" s="143" t="s">
        <v>897</v>
      </c>
      <c r="AD3" s="143" t="s">
        <v>339</v>
      </c>
      <c r="AE3" s="143" t="s">
        <v>912</v>
      </c>
      <c r="AF3" s="143" t="s">
        <v>896</v>
      </c>
      <c r="AG3" s="143" t="s">
        <v>1223</v>
      </c>
      <c r="AH3" s="145" t="s">
        <v>3876</v>
      </c>
      <c r="AI3" s="144">
        <v>4.0014000000000003</v>
      </c>
      <c r="AJ3" s="145" t="s">
        <v>3876</v>
      </c>
      <c r="AK3" s="145" t="s">
        <v>3876</v>
      </c>
      <c r="AL3" s="145" t="s">
        <v>3876</v>
      </c>
      <c r="AM3" s="145" t="s">
        <v>3876</v>
      </c>
      <c r="AN3" s="146">
        <v>-0.44142906589365294</v>
      </c>
      <c r="AO3" s="147">
        <v>5.678108869638842E-5</v>
      </c>
      <c r="AP3" s="181"/>
    </row>
    <row r="4" spans="1:42" ht="15" x14ac:dyDescent="0.2">
      <c r="A4" s="142" t="s">
        <v>1205</v>
      </c>
      <c r="B4" s="143" t="s">
        <v>1206</v>
      </c>
      <c r="C4" s="143" t="s">
        <v>1016</v>
      </c>
      <c r="D4" s="143" t="s">
        <v>3635</v>
      </c>
      <c r="E4" s="143" t="s">
        <v>1211</v>
      </c>
      <c r="F4" s="143" t="s">
        <v>3636</v>
      </c>
      <c r="G4" s="144">
        <v>-1208000</v>
      </c>
      <c r="H4" s="144">
        <v>-44.973840000000003</v>
      </c>
      <c r="I4" s="146">
        <v>6.3639368467115903E-4</v>
      </c>
      <c r="J4" s="146">
        <v>-1.8206681759295141E-6</v>
      </c>
      <c r="K4" s="143" t="s">
        <v>3635</v>
      </c>
      <c r="L4" s="143" t="s">
        <v>1210</v>
      </c>
      <c r="M4" s="143" t="s">
        <v>3000</v>
      </c>
      <c r="N4" s="144">
        <v>4521544</v>
      </c>
      <c r="O4" s="144">
        <v>39.643340000000002</v>
      </c>
      <c r="P4" s="146">
        <v>-5.6096546826491899E-4</v>
      </c>
      <c r="Q4" s="146">
        <v>1.6048744675916831E-6</v>
      </c>
      <c r="R4" s="144">
        <v>-5.3304999999999998</v>
      </c>
      <c r="S4" s="143" t="s">
        <v>204</v>
      </c>
      <c r="T4" s="143" t="s">
        <v>204</v>
      </c>
      <c r="U4" s="143" t="s">
        <v>746</v>
      </c>
      <c r="V4" s="143" t="s">
        <v>314</v>
      </c>
      <c r="W4" s="143" t="s">
        <v>928</v>
      </c>
      <c r="X4" s="143" t="s">
        <v>3637</v>
      </c>
      <c r="Y4" s="143" t="s">
        <v>339</v>
      </c>
      <c r="Z4" s="143" t="s">
        <v>3633</v>
      </c>
      <c r="AA4" s="143" t="s">
        <v>3634</v>
      </c>
      <c r="AB4" s="143" t="s">
        <v>1223</v>
      </c>
      <c r="AC4" s="143" t="s">
        <v>897</v>
      </c>
      <c r="AD4" s="143" t="s">
        <v>339</v>
      </c>
      <c r="AE4" s="143" t="s">
        <v>912</v>
      </c>
      <c r="AF4" s="143" t="s">
        <v>896</v>
      </c>
      <c r="AG4" s="143" t="s">
        <v>1223</v>
      </c>
      <c r="AH4" s="145" t="s">
        <v>3876</v>
      </c>
      <c r="AI4" s="144">
        <v>3.7229999999999999</v>
      </c>
      <c r="AJ4" s="145" t="s">
        <v>3876</v>
      </c>
      <c r="AK4" s="145" t="s">
        <v>3876</v>
      </c>
      <c r="AL4" s="145" t="s">
        <v>3876</v>
      </c>
      <c r="AM4" s="145" t="s">
        <v>3876</v>
      </c>
      <c r="AN4" s="146">
        <v>1.4414290658936528</v>
      </c>
      <c r="AO4" s="147">
        <v>-1.8541124262935998E-4</v>
      </c>
      <c r="AP4" s="181"/>
    </row>
    <row r="5" spans="1:42" ht="15" x14ac:dyDescent="0.2">
      <c r="A5" s="142" t="s">
        <v>1205</v>
      </c>
      <c r="B5" s="143" t="s">
        <v>1205</v>
      </c>
      <c r="C5" s="143" t="s">
        <v>1016</v>
      </c>
      <c r="D5" s="143" t="s">
        <v>3638</v>
      </c>
      <c r="E5" s="143" t="s">
        <v>1213</v>
      </c>
      <c r="F5" s="143" t="s">
        <v>3639</v>
      </c>
      <c r="G5" s="144">
        <v>-7720000</v>
      </c>
      <c r="H5" s="144">
        <v>-312.64456000000001</v>
      </c>
      <c r="I5" s="146">
        <v>4.4240167957815754E-3</v>
      </c>
      <c r="J5" s="146">
        <v>-1.2656735577159645E-5</v>
      </c>
      <c r="K5" s="143" t="s">
        <v>3638</v>
      </c>
      <c r="L5" s="143" t="s">
        <v>1210</v>
      </c>
      <c r="M5" s="143" t="s">
        <v>3000</v>
      </c>
      <c r="N5" s="144">
        <v>31235120</v>
      </c>
      <c r="O5" s="144">
        <v>505.49886000000004</v>
      </c>
      <c r="P5" s="146">
        <v>-7.1529645258770515E-3</v>
      </c>
      <c r="Q5" s="146">
        <v>2.0464022804604829E-5</v>
      </c>
      <c r="R5" s="144">
        <v>192.85429999999999</v>
      </c>
      <c r="S5" s="143" t="s">
        <v>204</v>
      </c>
      <c r="T5" s="143" t="s">
        <v>204</v>
      </c>
      <c r="U5" s="143" t="s">
        <v>746</v>
      </c>
      <c r="V5" s="143" t="s">
        <v>314</v>
      </c>
      <c r="W5" s="143" t="s">
        <v>928</v>
      </c>
      <c r="X5" s="143" t="s">
        <v>3632</v>
      </c>
      <c r="Y5" s="143" t="s">
        <v>339</v>
      </c>
      <c r="Z5" s="143" t="s">
        <v>3640</v>
      </c>
      <c r="AA5" s="143" t="s">
        <v>3641</v>
      </c>
      <c r="AB5" s="143" t="s">
        <v>1223</v>
      </c>
      <c r="AC5" s="143" t="s">
        <v>897</v>
      </c>
      <c r="AD5" s="143" t="s">
        <v>339</v>
      </c>
      <c r="AE5" s="143" t="s">
        <v>912</v>
      </c>
      <c r="AF5" s="143" t="s">
        <v>896</v>
      </c>
      <c r="AG5" s="143" t="s">
        <v>1223</v>
      </c>
      <c r="AH5" s="145" t="s">
        <v>3876</v>
      </c>
      <c r="AI5" s="144">
        <v>4.0498000000000003</v>
      </c>
      <c r="AJ5" s="145" t="s">
        <v>3876</v>
      </c>
      <c r="AK5" s="145" t="s">
        <v>3876</v>
      </c>
      <c r="AL5" s="145" t="s">
        <v>3876</v>
      </c>
      <c r="AM5" s="145" t="s">
        <v>3876</v>
      </c>
      <c r="AN5" s="146">
        <v>-0.17417702952918276</v>
      </c>
      <c r="AO5" s="147">
        <v>1.9395791063495335E-4</v>
      </c>
      <c r="AP5" s="181"/>
    </row>
    <row r="6" spans="1:42" ht="15" x14ac:dyDescent="0.2">
      <c r="A6" s="142" t="s">
        <v>1205</v>
      </c>
      <c r="B6" s="143" t="s">
        <v>1205</v>
      </c>
      <c r="C6" s="143" t="s">
        <v>1016</v>
      </c>
      <c r="D6" s="143" t="s">
        <v>3642</v>
      </c>
      <c r="E6" s="143" t="s">
        <v>1216</v>
      </c>
      <c r="F6" s="143" t="s">
        <v>3643</v>
      </c>
      <c r="G6" s="144">
        <v>-150000</v>
      </c>
      <c r="H6" s="144">
        <v>-7.1060999999999996</v>
      </c>
      <c r="I6" s="146">
        <v>1.0055350316187639E-4</v>
      </c>
      <c r="J6" s="146">
        <v>-2.8767501563070265E-7</v>
      </c>
      <c r="K6" s="143" t="s">
        <v>3642</v>
      </c>
      <c r="L6" s="143" t="s">
        <v>1210</v>
      </c>
      <c r="M6" s="143" t="s">
        <v>3000</v>
      </c>
      <c r="N6" s="144">
        <v>714000</v>
      </c>
      <c r="O6" s="144">
        <v>10.3287</v>
      </c>
      <c r="P6" s="146">
        <v>-1.4615428548825273E-4</v>
      </c>
      <c r="Q6" s="146">
        <v>4.1813497332500785E-7</v>
      </c>
      <c r="R6" s="144">
        <v>3.2225999999999999</v>
      </c>
      <c r="S6" s="143" t="s">
        <v>204</v>
      </c>
      <c r="T6" s="143" t="s">
        <v>204</v>
      </c>
      <c r="U6" s="143" t="s">
        <v>746</v>
      </c>
      <c r="V6" s="143" t="s">
        <v>314</v>
      </c>
      <c r="W6" s="143" t="s">
        <v>928</v>
      </c>
      <c r="X6" s="143" t="s">
        <v>3644</v>
      </c>
      <c r="Y6" s="143" t="s">
        <v>339</v>
      </c>
      <c r="Z6" s="143" t="s">
        <v>3633</v>
      </c>
      <c r="AA6" s="143" t="s">
        <v>3634</v>
      </c>
      <c r="AB6" s="143" t="s">
        <v>1223</v>
      </c>
      <c r="AC6" s="143" t="s">
        <v>897</v>
      </c>
      <c r="AD6" s="143" t="s">
        <v>339</v>
      </c>
      <c r="AE6" s="143" t="s">
        <v>912</v>
      </c>
      <c r="AF6" s="143" t="s">
        <v>896</v>
      </c>
      <c r="AG6" s="143" t="s">
        <v>1223</v>
      </c>
      <c r="AH6" s="145" t="s">
        <v>3876</v>
      </c>
      <c r="AI6" s="144">
        <v>4.7374000000000001</v>
      </c>
      <c r="AJ6" s="145" t="s">
        <v>3876</v>
      </c>
      <c r="AK6" s="145" t="s">
        <v>3876</v>
      </c>
      <c r="AL6" s="145" t="s">
        <v>3876</v>
      </c>
      <c r="AM6" s="145" t="s">
        <v>3876</v>
      </c>
      <c r="AN6" s="146">
        <v>-2.9105211780468061E-3</v>
      </c>
      <c r="AO6" s="147">
        <v>3.2410623150405627E-6</v>
      </c>
      <c r="AP6" s="181"/>
    </row>
    <row r="7" spans="1:42" ht="15" x14ac:dyDescent="0.2">
      <c r="A7" s="142" t="s">
        <v>1205</v>
      </c>
      <c r="B7" s="143" t="s">
        <v>1205</v>
      </c>
      <c r="C7" s="143" t="s">
        <v>1016</v>
      </c>
      <c r="D7" s="143" t="s">
        <v>3635</v>
      </c>
      <c r="E7" s="143" t="s">
        <v>1211</v>
      </c>
      <c r="F7" s="143" t="s">
        <v>3636</v>
      </c>
      <c r="G7" s="144">
        <v>-36840000</v>
      </c>
      <c r="H7" s="144">
        <v>-1371.5532000000001</v>
      </c>
      <c r="I7" s="146">
        <v>1.9407900118613822E-2</v>
      </c>
      <c r="J7" s="146">
        <v>-5.5524350663280875E-5</v>
      </c>
      <c r="K7" s="143" t="s">
        <v>3635</v>
      </c>
      <c r="L7" s="143" t="s">
        <v>1210</v>
      </c>
      <c r="M7" s="143" t="s">
        <v>3000</v>
      </c>
      <c r="N7" s="144">
        <v>137892120</v>
      </c>
      <c r="O7" s="144">
        <v>1208.99</v>
      </c>
      <c r="P7" s="146">
        <v>-1.7107580780973661E-2</v>
      </c>
      <c r="Q7" s="146">
        <v>4.8943332791174232E-5</v>
      </c>
      <c r="R7" s="144">
        <v>-162.56320000000002</v>
      </c>
      <c r="S7" s="143" t="s">
        <v>204</v>
      </c>
      <c r="T7" s="143" t="s">
        <v>204</v>
      </c>
      <c r="U7" s="143" t="s">
        <v>746</v>
      </c>
      <c r="V7" s="143" t="s">
        <v>314</v>
      </c>
      <c r="W7" s="143" t="s">
        <v>928</v>
      </c>
      <c r="X7" s="143" t="s">
        <v>3637</v>
      </c>
      <c r="Y7" s="143" t="s">
        <v>339</v>
      </c>
      <c r="Z7" s="143" t="s">
        <v>3633</v>
      </c>
      <c r="AA7" s="143" t="s">
        <v>3634</v>
      </c>
      <c r="AB7" s="143" t="s">
        <v>1223</v>
      </c>
      <c r="AC7" s="143" t="s">
        <v>897</v>
      </c>
      <c r="AD7" s="143" t="s">
        <v>339</v>
      </c>
      <c r="AE7" s="143" t="s">
        <v>912</v>
      </c>
      <c r="AF7" s="143" t="s">
        <v>896</v>
      </c>
      <c r="AG7" s="143" t="s">
        <v>1223</v>
      </c>
      <c r="AH7" s="145" t="s">
        <v>3876</v>
      </c>
      <c r="AI7" s="144">
        <v>3.7229999999999999</v>
      </c>
      <c r="AJ7" s="145" t="s">
        <v>3876</v>
      </c>
      <c r="AK7" s="145" t="s">
        <v>3876</v>
      </c>
      <c r="AL7" s="145" t="s">
        <v>3876</v>
      </c>
      <c r="AM7" s="145" t="s">
        <v>3876</v>
      </c>
      <c r="AN7" s="146">
        <v>0.14681956400569229</v>
      </c>
      <c r="AO7" s="147">
        <v>-1.634935212286858E-4</v>
      </c>
      <c r="AP7" s="181"/>
    </row>
    <row r="8" spans="1:42" ht="15" x14ac:dyDescent="0.2">
      <c r="A8" s="142" t="s">
        <v>1205</v>
      </c>
      <c r="B8" s="143" t="s">
        <v>1205</v>
      </c>
      <c r="C8" s="143" t="s">
        <v>1016</v>
      </c>
      <c r="D8" s="143" t="s">
        <v>3645</v>
      </c>
      <c r="E8" s="143" t="s">
        <v>1211</v>
      </c>
      <c r="F8" s="143" t="s">
        <v>3646</v>
      </c>
      <c r="G8" s="144">
        <v>-26350000</v>
      </c>
      <c r="H8" s="144">
        <v>-981.274</v>
      </c>
      <c r="I8" s="146">
        <v>1.3885329261010554E-2</v>
      </c>
      <c r="J8" s="146">
        <v>-3.9724745400149463E-5</v>
      </c>
      <c r="K8" s="143" t="s">
        <v>3645</v>
      </c>
      <c r="L8" s="143" t="s">
        <v>1210</v>
      </c>
      <c r="M8" s="143" t="s">
        <v>3000</v>
      </c>
      <c r="N8" s="144">
        <v>97758500</v>
      </c>
      <c r="O8" s="144">
        <v>-159.47089999999992</v>
      </c>
      <c r="P8" s="146">
        <v>2.2565623404367046E-3</v>
      </c>
      <c r="Q8" s="146">
        <v>-6.455832826746344E-6</v>
      </c>
      <c r="R8" s="144">
        <v>-1140.7448999999999</v>
      </c>
      <c r="S8" s="143" t="s">
        <v>204</v>
      </c>
      <c r="T8" s="143" t="s">
        <v>204</v>
      </c>
      <c r="U8" s="143" t="s">
        <v>746</v>
      </c>
      <c r="V8" s="143" t="s">
        <v>314</v>
      </c>
      <c r="W8" s="143" t="s">
        <v>928</v>
      </c>
      <c r="X8" s="143" t="s">
        <v>3637</v>
      </c>
      <c r="Y8" s="143" t="s">
        <v>339</v>
      </c>
      <c r="Z8" s="143" t="s">
        <v>3640</v>
      </c>
      <c r="AA8" s="143" t="s">
        <v>3641</v>
      </c>
      <c r="AB8" s="143" t="s">
        <v>1223</v>
      </c>
      <c r="AC8" s="143" t="s">
        <v>897</v>
      </c>
      <c r="AD8" s="143" t="s">
        <v>339</v>
      </c>
      <c r="AE8" s="143" t="s">
        <v>912</v>
      </c>
      <c r="AF8" s="143" t="s">
        <v>896</v>
      </c>
      <c r="AG8" s="143" t="s">
        <v>1223</v>
      </c>
      <c r="AH8" s="145" t="s">
        <v>3876</v>
      </c>
      <c r="AI8" s="144">
        <v>3.7240000000000002</v>
      </c>
      <c r="AJ8" s="145" t="s">
        <v>3876</v>
      </c>
      <c r="AK8" s="145" t="s">
        <v>3876</v>
      </c>
      <c r="AL8" s="145" t="s">
        <v>3876</v>
      </c>
      <c r="AM8" s="145" t="s">
        <v>3876</v>
      </c>
      <c r="AN8" s="146">
        <v>1.0302679867015374</v>
      </c>
      <c r="AO8" s="147">
        <v>-1.1472731314506053E-3</v>
      </c>
      <c r="AP8" s="181"/>
    </row>
    <row r="9" spans="1:42" ht="15" x14ac:dyDescent="0.2">
      <c r="A9" s="142" t="s">
        <v>1220</v>
      </c>
      <c r="B9" s="143" t="s">
        <v>1221</v>
      </c>
      <c r="C9" s="143" t="s">
        <v>1016</v>
      </c>
      <c r="D9" s="143" t="s">
        <v>3630</v>
      </c>
      <c r="E9" s="143" t="s">
        <v>1213</v>
      </c>
      <c r="F9" s="143" t="s">
        <v>3631</v>
      </c>
      <c r="G9" s="144">
        <v>-1420000</v>
      </c>
      <c r="H9" s="144">
        <v>-56.819879999999998</v>
      </c>
      <c r="I9" s="146">
        <v>8.040187983897549E-4</v>
      </c>
      <c r="J9" s="146">
        <v>-2.3002293616941288E-6</v>
      </c>
      <c r="K9" s="143" t="s">
        <v>3630</v>
      </c>
      <c r="L9" s="143" t="s">
        <v>1210</v>
      </c>
      <c r="M9" s="143" t="s">
        <v>3000</v>
      </c>
      <c r="N9" s="144">
        <v>5743900</v>
      </c>
      <c r="O9" s="144">
        <v>90.125380000000007</v>
      </c>
      <c r="P9" s="146">
        <v>-1.2753018790609915E-3</v>
      </c>
      <c r="Q9" s="146">
        <v>3.6485301501840698E-6</v>
      </c>
      <c r="R9" s="144">
        <v>33.305500000000002</v>
      </c>
      <c r="S9" s="143" t="s">
        <v>204</v>
      </c>
      <c r="T9" s="143" t="s">
        <v>204</v>
      </c>
      <c r="U9" s="143" t="s">
        <v>746</v>
      </c>
      <c r="V9" s="143" t="s">
        <v>314</v>
      </c>
      <c r="W9" s="143" t="s">
        <v>928</v>
      </c>
      <c r="X9" s="143" t="s">
        <v>3632</v>
      </c>
      <c r="Y9" s="143" t="s">
        <v>339</v>
      </c>
      <c r="Z9" s="143" t="s">
        <v>3633</v>
      </c>
      <c r="AA9" s="143" t="s">
        <v>3634</v>
      </c>
      <c r="AB9" s="143" t="s">
        <v>1223</v>
      </c>
      <c r="AC9" s="143" t="s">
        <v>897</v>
      </c>
      <c r="AD9" s="143" t="s">
        <v>339</v>
      </c>
      <c r="AE9" s="143" t="s">
        <v>912</v>
      </c>
      <c r="AF9" s="143" t="s">
        <v>896</v>
      </c>
      <c r="AG9" s="143" t="s">
        <v>1223</v>
      </c>
      <c r="AH9" s="145" t="s">
        <v>3876</v>
      </c>
      <c r="AI9" s="144">
        <v>4.0014000000000003</v>
      </c>
      <c r="AJ9" s="145" t="s">
        <v>3876</v>
      </c>
      <c r="AK9" s="145" t="s">
        <v>3876</v>
      </c>
      <c r="AL9" s="145" t="s">
        <v>3876</v>
      </c>
      <c r="AM9" s="145" t="s">
        <v>3876</v>
      </c>
      <c r="AN9" s="146">
        <v>-0.21520345531102508</v>
      </c>
      <c r="AO9" s="147">
        <v>3.0323895558609964E-5</v>
      </c>
      <c r="AP9" s="181"/>
    </row>
    <row r="10" spans="1:42" ht="15" x14ac:dyDescent="0.2">
      <c r="A10" s="142" t="s">
        <v>1220</v>
      </c>
      <c r="B10" s="143" t="s">
        <v>1221</v>
      </c>
      <c r="C10" s="143" t="s">
        <v>1016</v>
      </c>
      <c r="D10" s="143" t="s">
        <v>3635</v>
      </c>
      <c r="E10" s="143" t="s">
        <v>1211</v>
      </c>
      <c r="F10" s="143" t="s">
        <v>3636</v>
      </c>
      <c r="G10" s="144">
        <v>-42620000</v>
      </c>
      <c r="H10" s="144">
        <v>-1586.7426</v>
      </c>
      <c r="I10" s="146">
        <v>2.2452896391295361E-2</v>
      </c>
      <c r="J10" s="146">
        <v>-6.4235825875923744E-5</v>
      </c>
      <c r="K10" s="143" t="s">
        <v>3635</v>
      </c>
      <c r="L10" s="143" t="s">
        <v>1210</v>
      </c>
      <c r="M10" s="143" t="s">
        <v>3000</v>
      </c>
      <c r="N10" s="144">
        <v>159526660</v>
      </c>
      <c r="O10" s="144">
        <v>1398.6741</v>
      </c>
      <c r="P10" s="146">
        <v>-1.979166920487815E-2</v>
      </c>
      <c r="Q10" s="146">
        <v>5.6622281361050216E-5</v>
      </c>
      <c r="R10" s="144">
        <v>-188.0685</v>
      </c>
      <c r="S10" s="143" t="s">
        <v>204</v>
      </c>
      <c r="T10" s="143" t="s">
        <v>204</v>
      </c>
      <c r="U10" s="143" t="s">
        <v>746</v>
      </c>
      <c r="V10" s="143" t="s">
        <v>314</v>
      </c>
      <c r="W10" s="143" t="s">
        <v>928</v>
      </c>
      <c r="X10" s="143" t="s">
        <v>3637</v>
      </c>
      <c r="Y10" s="143" t="s">
        <v>339</v>
      </c>
      <c r="Z10" s="143" t="s">
        <v>3633</v>
      </c>
      <c r="AA10" s="143" t="s">
        <v>3634</v>
      </c>
      <c r="AB10" s="143" t="s">
        <v>1223</v>
      </c>
      <c r="AC10" s="143" t="s">
        <v>897</v>
      </c>
      <c r="AD10" s="143" t="s">
        <v>339</v>
      </c>
      <c r="AE10" s="143" t="s">
        <v>912</v>
      </c>
      <c r="AF10" s="143" t="s">
        <v>896</v>
      </c>
      <c r="AG10" s="143" t="s">
        <v>1223</v>
      </c>
      <c r="AH10" s="145" t="s">
        <v>3876</v>
      </c>
      <c r="AI10" s="144">
        <v>3.7229999999999999</v>
      </c>
      <c r="AJ10" s="145" t="s">
        <v>3876</v>
      </c>
      <c r="AK10" s="145" t="s">
        <v>3876</v>
      </c>
      <c r="AL10" s="145" t="s">
        <v>3876</v>
      </c>
      <c r="AM10" s="145" t="s">
        <v>3876</v>
      </c>
      <c r="AN10" s="146">
        <v>1.2152034553110251</v>
      </c>
      <c r="AO10" s="147">
        <v>-1.7123192844676238E-4</v>
      </c>
      <c r="AP10" s="181"/>
    </row>
    <row r="11" spans="1:42" ht="15" x14ac:dyDescent="0.2">
      <c r="A11" s="142" t="s">
        <v>1220</v>
      </c>
      <c r="B11" s="143" t="s">
        <v>1220</v>
      </c>
      <c r="C11" s="143" t="s">
        <v>1016</v>
      </c>
      <c r="D11" s="143" t="s">
        <v>3647</v>
      </c>
      <c r="E11" s="143" t="s">
        <v>1213</v>
      </c>
      <c r="F11" s="143" t="s">
        <v>3648</v>
      </c>
      <c r="G11" s="144">
        <v>-179700000</v>
      </c>
      <c r="H11" s="144">
        <v>-7245.1446000000014</v>
      </c>
      <c r="I11" s="146">
        <v>0.1025210270674986</v>
      </c>
      <c r="J11" s="146">
        <v>-2.9330393409207601E-4</v>
      </c>
      <c r="K11" s="143" t="s">
        <v>3647</v>
      </c>
      <c r="L11" s="143" t="s">
        <v>1210</v>
      </c>
      <c r="M11" s="143" t="s">
        <v>3000</v>
      </c>
      <c r="N11" s="144">
        <v>723112800</v>
      </c>
      <c r="O11" s="144">
        <v>7856.5949000000019</v>
      </c>
      <c r="P11" s="146">
        <v>-0.11117323709471189</v>
      </c>
      <c r="Q11" s="146">
        <v>3.1805717069301014E-4</v>
      </c>
      <c r="R11" s="144">
        <v>611.45030000000008</v>
      </c>
      <c r="S11" s="143" t="s">
        <v>204</v>
      </c>
      <c r="T11" s="143" t="s">
        <v>204</v>
      </c>
      <c r="U11" s="143" t="s">
        <v>746</v>
      </c>
      <c r="V11" s="143" t="s">
        <v>314</v>
      </c>
      <c r="W11" s="143" t="s">
        <v>928</v>
      </c>
      <c r="X11" s="143" t="s">
        <v>3632</v>
      </c>
      <c r="Y11" s="143" t="s">
        <v>339</v>
      </c>
      <c r="Z11" s="143" t="s">
        <v>3649</v>
      </c>
      <c r="AA11" s="143" t="s">
        <v>3650</v>
      </c>
      <c r="AB11" s="143" t="s">
        <v>1223</v>
      </c>
      <c r="AC11" s="143" t="s">
        <v>897</v>
      </c>
      <c r="AD11" s="143" t="s">
        <v>339</v>
      </c>
      <c r="AE11" s="143" t="s">
        <v>912</v>
      </c>
      <c r="AF11" s="143" t="s">
        <v>896</v>
      </c>
      <c r="AG11" s="143" t="s">
        <v>1223</v>
      </c>
      <c r="AH11" s="145" t="s">
        <v>3876</v>
      </c>
      <c r="AI11" s="144">
        <v>4.0318000000000005</v>
      </c>
      <c r="AJ11" s="145" t="s">
        <v>3876</v>
      </c>
      <c r="AK11" s="145" t="s">
        <v>3876</v>
      </c>
      <c r="AL11" s="145" t="s">
        <v>3876</v>
      </c>
      <c r="AM11" s="145" t="s">
        <v>3876</v>
      </c>
      <c r="AN11" s="146">
        <v>-8.8099957680391177E-3</v>
      </c>
      <c r="AO11" s="147">
        <v>2.7095848440012156E-5</v>
      </c>
      <c r="AP11" s="181"/>
    </row>
    <row r="12" spans="1:42" ht="15" x14ac:dyDescent="0.2">
      <c r="A12" s="142" t="s">
        <v>1220</v>
      </c>
      <c r="B12" s="143" t="s">
        <v>1220</v>
      </c>
      <c r="C12" s="143" t="s">
        <v>1016</v>
      </c>
      <c r="D12" s="143" t="s">
        <v>3642</v>
      </c>
      <c r="E12" s="143" t="s">
        <v>1216</v>
      </c>
      <c r="F12" s="143" t="s">
        <v>3643</v>
      </c>
      <c r="G12" s="144">
        <v>-4800000</v>
      </c>
      <c r="H12" s="144">
        <v>-227.39519999999999</v>
      </c>
      <c r="I12" s="146">
        <v>3.2177121011800446E-3</v>
      </c>
      <c r="J12" s="146">
        <v>-9.2056005001824849E-6</v>
      </c>
      <c r="K12" s="143" t="s">
        <v>3642</v>
      </c>
      <c r="L12" s="143" t="s">
        <v>1210</v>
      </c>
      <c r="M12" s="143" t="s">
        <v>3000</v>
      </c>
      <c r="N12" s="144">
        <v>22848000</v>
      </c>
      <c r="O12" s="144">
        <v>330.51900000000001</v>
      </c>
      <c r="P12" s="146">
        <v>-4.676945625808844E-3</v>
      </c>
      <c r="Q12" s="146">
        <v>1.3380343436096342E-5</v>
      </c>
      <c r="R12" s="144">
        <v>103.1238</v>
      </c>
      <c r="S12" s="143" t="s">
        <v>204</v>
      </c>
      <c r="T12" s="143" t="s">
        <v>204</v>
      </c>
      <c r="U12" s="143" t="s">
        <v>746</v>
      </c>
      <c r="V12" s="143" t="s">
        <v>314</v>
      </c>
      <c r="W12" s="143" t="s">
        <v>928</v>
      </c>
      <c r="X12" s="143" t="s">
        <v>3644</v>
      </c>
      <c r="Y12" s="143" t="s">
        <v>339</v>
      </c>
      <c r="Z12" s="143" t="s">
        <v>3633</v>
      </c>
      <c r="AA12" s="143" t="s">
        <v>3634</v>
      </c>
      <c r="AB12" s="143" t="s">
        <v>1223</v>
      </c>
      <c r="AC12" s="143" t="s">
        <v>897</v>
      </c>
      <c r="AD12" s="143" t="s">
        <v>339</v>
      </c>
      <c r="AE12" s="143" t="s">
        <v>912</v>
      </c>
      <c r="AF12" s="143" t="s">
        <v>896</v>
      </c>
      <c r="AG12" s="143" t="s">
        <v>1223</v>
      </c>
      <c r="AH12" s="145" t="s">
        <v>3876</v>
      </c>
      <c r="AI12" s="144">
        <v>4.7374000000000001</v>
      </c>
      <c r="AJ12" s="145" t="s">
        <v>3876</v>
      </c>
      <c r="AK12" s="145" t="s">
        <v>3876</v>
      </c>
      <c r="AL12" s="145" t="s">
        <v>3876</v>
      </c>
      <c r="AM12" s="145" t="s">
        <v>3876</v>
      </c>
      <c r="AN12" s="146">
        <v>-1.4858454861764168E-3</v>
      </c>
      <c r="AO12" s="147">
        <v>4.569836939623557E-6</v>
      </c>
      <c r="AP12" s="181"/>
    </row>
    <row r="13" spans="1:42" ht="15" x14ac:dyDescent="0.2">
      <c r="A13" s="142" t="s">
        <v>1220</v>
      </c>
      <c r="B13" s="143" t="s">
        <v>1220</v>
      </c>
      <c r="C13" s="143" t="s">
        <v>1016</v>
      </c>
      <c r="D13" s="143" t="s">
        <v>3635</v>
      </c>
      <c r="E13" s="143" t="s">
        <v>1211</v>
      </c>
      <c r="F13" s="143" t="s">
        <v>3636</v>
      </c>
      <c r="G13" s="144">
        <v>-152800000</v>
      </c>
      <c r="H13" s="144">
        <v>-5688.7439999999997</v>
      </c>
      <c r="I13" s="146">
        <v>8.049747931933203E-2</v>
      </c>
      <c r="J13" s="146">
        <v>-2.3029643814737559E-4</v>
      </c>
      <c r="K13" s="143" t="s">
        <v>3635</v>
      </c>
      <c r="L13" s="143" t="s">
        <v>1210</v>
      </c>
      <c r="M13" s="143" t="s">
        <v>3000</v>
      </c>
      <c r="N13" s="144">
        <v>571930400</v>
      </c>
      <c r="O13" s="144">
        <v>5014.4861999999994</v>
      </c>
      <c r="P13" s="146">
        <v>-7.0956523826977591E-2</v>
      </c>
      <c r="Q13" s="146">
        <v>2.0300057640125279E-4</v>
      </c>
      <c r="R13" s="144">
        <v>-674.25780000000009</v>
      </c>
      <c r="S13" s="143" t="s">
        <v>204</v>
      </c>
      <c r="T13" s="143" t="s">
        <v>204</v>
      </c>
      <c r="U13" s="143" t="s">
        <v>746</v>
      </c>
      <c r="V13" s="143" t="s">
        <v>314</v>
      </c>
      <c r="W13" s="143" t="s">
        <v>928</v>
      </c>
      <c r="X13" s="143" t="s">
        <v>3637</v>
      </c>
      <c r="Y13" s="143" t="s">
        <v>339</v>
      </c>
      <c r="Z13" s="143" t="s">
        <v>3633</v>
      </c>
      <c r="AA13" s="143" t="s">
        <v>3634</v>
      </c>
      <c r="AB13" s="143" t="s">
        <v>1223</v>
      </c>
      <c r="AC13" s="143" t="s">
        <v>897</v>
      </c>
      <c r="AD13" s="143" t="s">
        <v>339</v>
      </c>
      <c r="AE13" s="143" t="s">
        <v>912</v>
      </c>
      <c r="AF13" s="143" t="s">
        <v>896</v>
      </c>
      <c r="AG13" s="143" t="s">
        <v>1223</v>
      </c>
      <c r="AH13" s="145" t="s">
        <v>3876</v>
      </c>
      <c r="AI13" s="144">
        <v>3.7229999999999999</v>
      </c>
      <c r="AJ13" s="145" t="s">
        <v>3876</v>
      </c>
      <c r="AK13" s="145" t="s">
        <v>3876</v>
      </c>
      <c r="AL13" s="145" t="s">
        <v>3876</v>
      </c>
      <c r="AM13" s="145" t="s">
        <v>3876</v>
      </c>
      <c r="AN13" s="146">
        <v>9.7149500055214635E-3</v>
      </c>
      <c r="AO13" s="147">
        <v>-2.9879107763804776E-5</v>
      </c>
      <c r="AP13" s="181"/>
    </row>
    <row r="14" spans="1:42" ht="15" x14ac:dyDescent="0.2">
      <c r="A14" s="142" t="s">
        <v>1220</v>
      </c>
      <c r="B14" s="143" t="s">
        <v>1220</v>
      </c>
      <c r="C14" s="143" t="s">
        <v>1016</v>
      </c>
      <c r="D14" s="143" t="s">
        <v>3651</v>
      </c>
      <c r="E14" s="143" t="s">
        <v>1211</v>
      </c>
      <c r="F14" s="143" t="s">
        <v>3652</v>
      </c>
      <c r="G14" s="144">
        <v>-200000000</v>
      </c>
      <c r="H14" s="144">
        <v>-7550</v>
      </c>
      <c r="I14" s="146">
        <v>0.10683482485078549</v>
      </c>
      <c r="J14" s="146">
        <v>-3.0564534245392059E-4</v>
      </c>
      <c r="K14" s="143" t="s">
        <v>3651</v>
      </c>
      <c r="L14" s="143" t="s">
        <v>1210</v>
      </c>
      <c r="M14" s="143" t="s">
        <v>3000</v>
      </c>
      <c r="N14" s="144">
        <v>748680000</v>
      </c>
      <c r="O14" s="144">
        <v>4855.6992</v>
      </c>
      <c r="P14" s="146">
        <v>-6.8709638882132343E-2</v>
      </c>
      <c r="Q14" s="146">
        <v>1.9657242977976533E-4</v>
      </c>
      <c r="R14" s="144">
        <v>-2694.3008</v>
      </c>
      <c r="S14" s="143" t="s">
        <v>204</v>
      </c>
      <c r="T14" s="143" t="s">
        <v>204</v>
      </c>
      <c r="U14" s="143" t="s">
        <v>746</v>
      </c>
      <c r="V14" s="143" t="s">
        <v>314</v>
      </c>
      <c r="W14" s="143" t="s">
        <v>928</v>
      </c>
      <c r="X14" s="143" t="s">
        <v>3637</v>
      </c>
      <c r="Y14" s="143" t="s">
        <v>339</v>
      </c>
      <c r="Z14" s="143" t="s">
        <v>3653</v>
      </c>
      <c r="AA14" s="143" t="s">
        <v>3654</v>
      </c>
      <c r="AB14" s="143" t="s">
        <v>1223</v>
      </c>
      <c r="AC14" s="143" t="s">
        <v>897</v>
      </c>
      <c r="AD14" s="143" t="s">
        <v>339</v>
      </c>
      <c r="AE14" s="143" t="s">
        <v>912</v>
      </c>
      <c r="AF14" s="143" t="s">
        <v>896</v>
      </c>
      <c r="AG14" s="143" t="s">
        <v>1223</v>
      </c>
      <c r="AH14" s="145" t="s">
        <v>3876</v>
      </c>
      <c r="AI14" s="144">
        <v>3.7749999999999999</v>
      </c>
      <c r="AJ14" s="145" t="s">
        <v>3876</v>
      </c>
      <c r="AK14" s="145" t="s">
        <v>3876</v>
      </c>
      <c r="AL14" s="145" t="s">
        <v>3876</v>
      </c>
      <c r="AM14" s="145" t="s">
        <v>3876</v>
      </c>
      <c r="AN14" s="146">
        <v>3.8820458407244414E-2</v>
      </c>
      <c r="AO14" s="147">
        <v>-1.1939543276405124E-4</v>
      </c>
      <c r="AP14" s="181"/>
    </row>
    <row r="15" spans="1:42" ht="15" x14ac:dyDescent="0.2">
      <c r="A15" s="142" t="s">
        <v>1220</v>
      </c>
      <c r="B15" s="143" t="s">
        <v>1220</v>
      </c>
      <c r="C15" s="143" t="s">
        <v>1016</v>
      </c>
      <c r="D15" s="143" t="s">
        <v>3645</v>
      </c>
      <c r="E15" s="143" t="s">
        <v>1211</v>
      </c>
      <c r="F15" s="143" t="s">
        <v>3646</v>
      </c>
      <c r="G15" s="144">
        <v>-319300000</v>
      </c>
      <c r="H15" s="144">
        <v>-11890.732</v>
      </c>
      <c r="I15" s="146">
        <v>0.16825751928048083</v>
      </c>
      <c r="J15" s="146">
        <v>-4.8137044426063469E-4</v>
      </c>
      <c r="K15" s="143" t="s">
        <v>3645</v>
      </c>
      <c r="L15" s="143" t="s">
        <v>1210</v>
      </c>
      <c r="M15" s="143" t="s">
        <v>3000</v>
      </c>
      <c r="N15" s="144">
        <v>1184603000</v>
      </c>
      <c r="O15" s="144">
        <v>-1932.4121999999988</v>
      </c>
      <c r="P15" s="146">
        <v>2.7344227672386878E-2</v>
      </c>
      <c r="Q15" s="146">
        <v>-7.8229508427964727E-5</v>
      </c>
      <c r="R15" s="144">
        <v>-13823.144199999999</v>
      </c>
      <c r="S15" s="143" t="s">
        <v>204</v>
      </c>
      <c r="T15" s="143" t="s">
        <v>204</v>
      </c>
      <c r="U15" s="143" t="s">
        <v>746</v>
      </c>
      <c r="V15" s="143" t="s">
        <v>314</v>
      </c>
      <c r="W15" s="143" t="s">
        <v>928</v>
      </c>
      <c r="X15" s="143" t="s">
        <v>3637</v>
      </c>
      <c r="Y15" s="143" t="s">
        <v>339</v>
      </c>
      <c r="Z15" s="143" t="s">
        <v>3640</v>
      </c>
      <c r="AA15" s="143" t="s">
        <v>3641</v>
      </c>
      <c r="AB15" s="143" t="s">
        <v>1223</v>
      </c>
      <c r="AC15" s="143" t="s">
        <v>897</v>
      </c>
      <c r="AD15" s="143" t="s">
        <v>339</v>
      </c>
      <c r="AE15" s="143" t="s">
        <v>912</v>
      </c>
      <c r="AF15" s="143" t="s">
        <v>896</v>
      </c>
      <c r="AG15" s="143" t="s">
        <v>1223</v>
      </c>
      <c r="AH15" s="145" t="s">
        <v>3876</v>
      </c>
      <c r="AI15" s="144">
        <v>3.7240000000000002</v>
      </c>
      <c r="AJ15" s="145" t="s">
        <v>3876</v>
      </c>
      <c r="AK15" s="145" t="s">
        <v>3876</v>
      </c>
      <c r="AL15" s="145" t="s">
        <v>3876</v>
      </c>
      <c r="AM15" s="145" t="s">
        <v>3876</v>
      </c>
      <c r="AN15" s="146">
        <v>0.19916884805278642</v>
      </c>
      <c r="AO15" s="147">
        <v>-6.1255976312588729E-4</v>
      </c>
      <c r="AP15" s="181"/>
    </row>
    <row r="16" spans="1:42" ht="15" x14ac:dyDescent="0.2">
      <c r="A16" s="142" t="s">
        <v>1220</v>
      </c>
      <c r="B16" s="143" t="s">
        <v>1220</v>
      </c>
      <c r="C16" s="143" t="s">
        <v>1016</v>
      </c>
      <c r="D16" s="143" t="s">
        <v>3655</v>
      </c>
      <c r="E16" s="143" t="s">
        <v>1211</v>
      </c>
      <c r="F16" s="143" t="s">
        <v>3656</v>
      </c>
      <c r="G16" s="144">
        <v>-230800000</v>
      </c>
      <c r="H16" s="144">
        <v>-8571.9120000000003</v>
      </c>
      <c r="I16" s="146">
        <v>0.12129519432534389</v>
      </c>
      <c r="J16" s="146">
        <v>-3.4701522897018162E-4</v>
      </c>
      <c r="K16" s="143" t="s">
        <v>3655</v>
      </c>
      <c r="L16" s="143" t="s">
        <v>1210</v>
      </c>
      <c r="M16" s="143" t="s">
        <v>3000</v>
      </c>
      <c r="N16" s="144">
        <v>851952040</v>
      </c>
      <c r="O16" s="144">
        <v>-6805.7204000000002</v>
      </c>
      <c r="P16" s="146">
        <v>9.6303039326810308E-2</v>
      </c>
      <c r="Q16" s="146">
        <v>-2.7551480030511697E-4</v>
      </c>
      <c r="R16" s="144">
        <v>-15377.6324</v>
      </c>
      <c r="S16" s="143" t="s">
        <v>204</v>
      </c>
      <c r="T16" s="143" t="s">
        <v>204</v>
      </c>
      <c r="U16" s="143" t="s">
        <v>746</v>
      </c>
      <c r="V16" s="143" t="s">
        <v>314</v>
      </c>
      <c r="W16" s="143" t="s">
        <v>928</v>
      </c>
      <c r="X16" s="143" t="s">
        <v>3637</v>
      </c>
      <c r="Y16" s="143" t="s">
        <v>339</v>
      </c>
      <c r="Z16" s="143" t="s">
        <v>3649</v>
      </c>
      <c r="AA16" s="143" t="s">
        <v>3650</v>
      </c>
      <c r="AB16" s="143" t="s">
        <v>1223</v>
      </c>
      <c r="AC16" s="143" t="s">
        <v>897</v>
      </c>
      <c r="AD16" s="143" t="s">
        <v>339</v>
      </c>
      <c r="AE16" s="143" t="s">
        <v>912</v>
      </c>
      <c r="AF16" s="143" t="s">
        <v>896</v>
      </c>
      <c r="AG16" s="143" t="s">
        <v>1223</v>
      </c>
      <c r="AH16" s="145" t="s">
        <v>3876</v>
      </c>
      <c r="AI16" s="144">
        <v>3.714</v>
      </c>
      <c r="AJ16" s="145" t="s">
        <v>3876</v>
      </c>
      <c r="AK16" s="145" t="s">
        <v>3876</v>
      </c>
      <c r="AL16" s="145" t="s">
        <v>3876</v>
      </c>
      <c r="AM16" s="145" t="s">
        <v>3876</v>
      </c>
      <c r="AN16" s="146">
        <v>0.22156647401151802</v>
      </c>
      <c r="AO16" s="147">
        <v>-6.8144545778144223E-4</v>
      </c>
      <c r="AP16" s="181"/>
    </row>
    <row r="17" spans="1:42" ht="15" x14ac:dyDescent="0.2">
      <c r="A17" s="142" t="s">
        <v>1220</v>
      </c>
      <c r="B17" s="143" t="s">
        <v>1220</v>
      </c>
      <c r="C17" s="143" t="s">
        <v>1016</v>
      </c>
      <c r="D17" s="143" t="s">
        <v>3657</v>
      </c>
      <c r="E17" s="143" t="s">
        <v>1211</v>
      </c>
      <c r="F17" s="143" t="s">
        <v>3658</v>
      </c>
      <c r="G17" s="144">
        <v>-221550000</v>
      </c>
      <c r="H17" s="144">
        <v>-8186.2725</v>
      </c>
      <c r="I17" s="146">
        <v>0.1158382766514307</v>
      </c>
      <c r="J17" s="146">
        <v>-3.3140345187862417E-4</v>
      </c>
      <c r="K17" s="143" t="s">
        <v>3657</v>
      </c>
      <c r="L17" s="143" t="s">
        <v>1210</v>
      </c>
      <c r="M17" s="143" t="s">
        <v>3000</v>
      </c>
      <c r="N17" s="144">
        <v>814639350</v>
      </c>
      <c r="O17" s="144">
        <v>-8349.2661000000007</v>
      </c>
      <c r="P17" s="146">
        <v>0.11814468628160277</v>
      </c>
      <c r="Q17" s="146">
        <v>-3.3800189355939205E-4</v>
      </c>
      <c r="R17" s="144">
        <v>-16535.5386</v>
      </c>
      <c r="S17" s="143" t="s">
        <v>204</v>
      </c>
      <c r="T17" s="143" t="s">
        <v>204</v>
      </c>
      <c r="U17" s="143" t="s">
        <v>746</v>
      </c>
      <c r="V17" s="143" t="s">
        <v>314</v>
      </c>
      <c r="W17" s="143" t="s">
        <v>928</v>
      </c>
      <c r="X17" s="143" t="s">
        <v>3637</v>
      </c>
      <c r="Y17" s="143" t="s">
        <v>339</v>
      </c>
      <c r="Z17" s="143" t="s">
        <v>3659</v>
      </c>
      <c r="AA17" s="143" t="s">
        <v>3660</v>
      </c>
      <c r="AB17" s="143" t="s">
        <v>1223</v>
      </c>
      <c r="AC17" s="143" t="s">
        <v>897</v>
      </c>
      <c r="AD17" s="143" t="s">
        <v>339</v>
      </c>
      <c r="AE17" s="143" t="s">
        <v>912</v>
      </c>
      <c r="AF17" s="143" t="s">
        <v>896</v>
      </c>
      <c r="AG17" s="143" t="s">
        <v>1223</v>
      </c>
      <c r="AH17" s="145" t="s">
        <v>3876</v>
      </c>
      <c r="AI17" s="144">
        <v>3.6949999999999998</v>
      </c>
      <c r="AJ17" s="145" t="s">
        <v>3876</v>
      </c>
      <c r="AK17" s="145" t="s">
        <v>3876</v>
      </c>
      <c r="AL17" s="145" t="s">
        <v>3876</v>
      </c>
      <c r="AM17" s="145" t="s">
        <v>3876</v>
      </c>
      <c r="AN17" s="146">
        <v>0.23825000523664377</v>
      </c>
      <c r="AO17" s="147">
        <v>-7.3275699588230933E-4</v>
      </c>
      <c r="AP17" s="181"/>
    </row>
    <row r="18" spans="1:42" ht="15" x14ac:dyDescent="0.2">
      <c r="A18" s="142" t="s">
        <v>1220</v>
      </c>
      <c r="B18" s="143" t="s">
        <v>1220</v>
      </c>
      <c r="C18" s="143" t="s">
        <v>1016</v>
      </c>
      <c r="D18" s="143" t="s">
        <v>3661</v>
      </c>
      <c r="E18" s="143" t="s">
        <v>1211</v>
      </c>
      <c r="F18" s="143" t="s">
        <v>3662</v>
      </c>
      <c r="G18" s="144">
        <v>-253200000</v>
      </c>
      <c r="H18" s="144">
        <v>-9338.0159999999996</v>
      </c>
      <c r="I18" s="146">
        <v>0.13213580182964668</v>
      </c>
      <c r="J18" s="146">
        <v>-3.7802928452452839E-4</v>
      </c>
      <c r="K18" s="143" t="s">
        <v>3661</v>
      </c>
      <c r="L18" s="143" t="s">
        <v>1210</v>
      </c>
      <c r="M18" s="143" t="s">
        <v>3000</v>
      </c>
      <c r="N18" s="144">
        <v>928003320</v>
      </c>
      <c r="O18" s="144">
        <v>-11675.832200000001</v>
      </c>
      <c r="P18" s="146">
        <v>0.16521662093697503</v>
      </c>
      <c r="Q18" s="146">
        <v>-4.7267069287463751E-4</v>
      </c>
      <c r="R18" s="144">
        <v>-21013.8482</v>
      </c>
      <c r="S18" s="143" t="s">
        <v>204</v>
      </c>
      <c r="T18" s="143" t="s">
        <v>204</v>
      </c>
      <c r="U18" s="143" t="s">
        <v>746</v>
      </c>
      <c r="V18" s="143" t="s">
        <v>314</v>
      </c>
      <c r="W18" s="143" t="s">
        <v>928</v>
      </c>
      <c r="X18" s="143" t="s">
        <v>3637</v>
      </c>
      <c r="Y18" s="143" t="s">
        <v>339</v>
      </c>
      <c r="Z18" s="143" t="s">
        <v>3663</v>
      </c>
      <c r="AA18" s="143" t="s">
        <v>3664</v>
      </c>
      <c r="AB18" s="143" t="s">
        <v>1223</v>
      </c>
      <c r="AC18" s="143" t="s">
        <v>897</v>
      </c>
      <c r="AD18" s="143" t="s">
        <v>339</v>
      </c>
      <c r="AE18" s="143" t="s">
        <v>912</v>
      </c>
      <c r="AF18" s="143" t="s">
        <v>896</v>
      </c>
      <c r="AG18" s="143" t="s">
        <v>1223</v>
      </c>
      <c r="AH18" s="145" t="s">
        <v>3876</v>
      </c>
      <c r="AI18" s="144">
        <v>3.6880000000000002</v>
      </c>
      <c r="AJ18" s="145" t="s">
        <v>3876</v>
      </c>
      <c r="AK18" s="145" t="s">
        <v>3876</v>
      </c>
      <c r="AL18" s="145" t="s">
        <v>3876</v>
      </c>
      <c r="AM18" s="145" t="s">
        <v>3876</v>
      </c>
      <c r="AN18" s="146">
        <v>0.30277510554050141</v>
      </c>
      <c r="AO18" s="147">
        <v>-9.3120911600166455E-4</v>
      </c>
      <c r="AP18" s="181"/>
    </row>
    <row r="19" spans="1:42" ht="15" x14ac:dyDescent="0.2">
      <c r="A19" s="154" t="s">
        <v>1205</v>
      </c>
      <c r="B19" s="155" t="s">
        <v>1215</v>
      </c>
      <c r="C19" s="145" t="s">
        <v>3876</v>
      </c>
      <c r="D19" s="145" t="s">
        <v>3876</v>
      </c>
      <c r="E19" s="145" t="s">
        <v>3876</v>
      </c>
      <c r="F19" s="145" t="s">
        <v>3876</v>
      </c>
      <c r="G19" s="145" t="s">
        <v>3876</v>
      </c>
      <c r="H19" s="145" t="s">
        <v>3876</v>
      </c>
      <c r="I19" s="145" t="s">
        <v>3876</v>
      </c>
      <c r="J19" s="145" t="s">
        <v>3876</v>
      </c>
      <c r="K19" s="145" t="s">
        <v>3876</v>
      </c>
      <c r="L19" s="145" t="s">
        <v>3876</v>
      </c>
      <c r="M19" s="145" t="s">
        <v>3876</v>
      </c>
      <c r="N19" s="145" t="s">
        <v>3876</v>
      </c>
      <c r="O19" s="145" t="s">
        <v>3876</v>
      </c>
      <c r="P19" s="145" t="s">
        <v>3876</v>
      </c>
      <c r="Q19" s="145" t="s">
        <v>3876</v>
      </c>
      <c r="R19" s="145" t="s">
        <v>3876</v>
      </c>
      <c r="S19" s="145" t="s">
        <v>3876</v>
      </c>
      <c r="T19" s="145" t="s">
        <v>3876</v>
      </c>
      <c r="U19" s="145" t="s">
        <v>3876</v>
      </c>
      <c r="V19" s="145" t="s">
        <v>3876</v>
      </c>
      <c r="W19" s="145" t="s">
        <v>3876</v>
      </c>
      <c r="X19" s="145" t="s">
        <v>3876</v>
      </c>
      <c r="Y19" s="145" t="s">
        <v>3876</v>
      </c>
      <c r="Z19" s="145" t="s">
        <v>3876</v>
      </c>
      <c r="AA19" s="145" t="s">
        <v>3876</v>
      </c>
      <c r="AB19" s="145" t="s">
        <v>3876</v>
      </c>
      <c r="AC19" s="145" t="s">
        <v>3876</v>
      </c>
      <c r="AD19" s="145" t="s">
        <v>3876</v>
      </c>
      <c r="AE19" s="145" t="s">
        <v>3876</v>
      </c>
      <c r="AF19" s="145" t="s">
        <v>3876</v>
      </c>
      <c r="AG19" s="145" t="s">
        <v>3876</v>
      </c>
      <c r="AH19" s="145" t="s">
        <v>3876</v>
      </c>
      <c r="AI19" s="145" t="s">
        <v>3876</v>
      </c>
      <c r="AJ19" s="145" t="s">
        <v>3876</v>
      </c>
      <c r="AK19" s="145" t="s">
        <v>3876</v>
      </c>
      <c r="AL19" s="145" t="s">
        <v>3876</v>
      </c>
      <c r="AM19" s="145" t="s">
        <v>3876</v>
      </c>
      <c r="AN19" s="145" t="s">
        <v>3876</v>
      </c>
      <c r="AO19" s="156" t="s">
        <v>3876</v>
      </c>
      <c r="AP19" s="181"/>
    </row>
    <row r="20" spans="1:42" ht="15" x14ac:dyDescent="0.2">
      <c r="A20" s="157" t="s">
        <v>1220</v>
      </c>
      <c r="B20" s="158" t="s">
        <v>1222</v>
      </c>
      <c r="C20" s="151" t="s">
        <v>3876</v>
      </c>
      <c r="D20" s="151" t="s">
        <v>3876</v>
      </c>
      <c r="E20" s="151" t="s">
        <v>3876</v>
      </c>
      <c r="F20" s="151" t="s">
        <v>3876</v>
      </c>
      <c r="G20" s="151" t="s">
        <v>3876</v>
      </c>
      <c r="H20" s="151" t="s">
        <v>3876</v>
      </c>
      <c r="I20" s="151" t="s">
        <v>3876</v>
      </c>
      <c r="J20" s="151" t="s">
        <v>3876</v>
      </c>
      <c r="K20" s="151" t="s">
        <v>3876</v>
      </c>
      <c r="L20" s="151" t="s">
        <v>3876</v>
      </c>
      <c r="M20" s="151" t="s">
        <v>3876</v>
      </c>
      <c r="N20" s="151" t="s">
        <v>3876</v>
      </c>
      <c r="O20" s="151" t="s">
        <v>3876</v>
      </c>
      <c r="P20" s="151" t="s">
        <v>3876</v>
      </c>
      <c r="Q20" s="151" t="s">
        <v>3876</v>
      </c>
      <c r="R20" s="151" t="s">
        <v>3876</v>
      </c>
      <c r="S20" s="151" t="s">
        <v>3876</v>
      </c>
      <c r="T20" s="151" t="s">
        <v>3876</v>
      </c>
      <c r="U20" s="151" t="s">
        <v>3876</v>
      </c>
      <c r="V20" s="151" t="s">
        <v>3876</v>
      </c>
      <c r="W20" s="151" t="s">
        <v>3876</v>
      </c>
      <c r="X20" s="151" t="s">
        <v>3876</v>
      </c>
      <c r="Y20" s="151" t="s">
        <v>3876</v>
      </c>
      <c r="Z20" s="151" t="s">
        <v>3876</v>
      </c>
      <c r="AA20" s="151" t="s">
        <v>3876</v>
      </c>
      <c r="AB20" s="151" t="s">
        <v>3876</v>
      </c>
      <c r="AC20" s="151" t="s">
        <v>3876</v>
      </c>
      <c r="AD20" s="151" t="s">
        <v>3876</v>
      </c>
      <c r="AE20" s="151" t="s">
        <v>3876</v>
      </c>
      <c r="AF20" s="151" t="s">
        <v>3876</v>
      </c>
      <c r="AG20" s="151" t="s">
        <v>3876</v>
      </c>
      <c r="AH20" s="151" t="s">
        <v>3876</v>
      </c>
      <c r="AI20" s="151" t="s">
        <v>3876</v>
      </c>
      <c r="AJ20" s="151" t="s">
        <v>3876</v>
      </c>
      <c r="AK20" s="151" t="s">
        <v>3876</v>
      </c>
      <c r="AL20" s="151" t="s">
        <v>3876</v>
      </c>
      <c r="AM20" s="151" t="s">
        <v>3876</v>
      </c>
      <c r="AN20" s="151" t="s">
        <v>3876</v>
      </c>
      <c r="AO20" s="159" t="s">
        <v>3876</v>
      </c>
      <c r="AP20" s="181"/>
    </row>
    <row r="21" spans="1:42" x14ac:dyDescent="0.2">
      <c r="A21" s="181" t="s">
        <v>3893</v>
      </c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  <c r="AA21" s="181"/>
      <c r="AB21" s="181"/>
      <c r="AC21" s="181"/>
      <c r="AD21" s="181"/>
      <c r="AE21" s="181"/>
      <c r="AF21" s="181"/>
      <c r="AG21" s="181"/>
      <c r="AH21" s="181"/>
      <c r="AI21" s="181"/>
      <c r="AJ21" s="181"/>
      <c r="AK21" s="181"/>
      <c r="AL21" s="181"/>
      <c r="AM21" s="181"/>
      <c r="AN21" s="181"/>
      <c r="AO21" s="181"/>
    </row>
    <row r="22" spans="1:42" customFormat="1" x14ac:dyDescent="0.2">
      <c r="A22" t="s">
        <v>3892</v>
      </c>
    </row>
    <row r="23" spans="1:42" x14ac:dyDescent="0.2">
      <c r="A23" s="101"/>
      <c r="B23" s="98"/>
      <c r="C23" s="101"/>
      <c r="D23" s="98"/>
      <c r="E23" s="101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/>
      <c r="T23" s="16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101"/>
      <c r="AF23" s="101"/>
      <c r="AG23" s="98"/>
      <c r="AI23" s="98"/>
      <c r="AJ23" s="98"/>
      <c r="AK23" s="98"/>
      <c r="AL23" s="98"/>
      <c r="AM23" s="98"/>
      <c r="AN23" s="98"/>
      <c r="AO23" s="98"/>
    </row>
    <row r="24" spans="1:42" x14ac:dyDescent="0.2">
      <c r="A24" s="98"/>
      <c r="B24" s="98"/>
      <c r="C24" s="101"/>
      <c r="D24" s="98"/>
      <c r="E24" s="101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/>
      <c r="T24" s="16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101"/>
      <c r="AF24" s="101"/>
      <c r="AG24" s="98"/>
      <c r="AI24" s="98"/>
      <c r="AJ24" s="98"/>
      <c r="AK24" s="98"/>
      <c r="AL24" s="98"/>
      <c r="AM24" s="98"/>
      <c r="AN24" s="98"/>
      <c r="AO24" s="98"/>
    </row>
    <row r="25" spans="1:42" x14ac:dyDescent="0.2">
      <c r="A25" s="98"/>
      <c r="B25" s="98"/>
      <c r="C25" s="101"/>
      <c r="D25" s="98"/>
      <c r="E25" s="101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/>
      <c r="T25" s="16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101"/>
      <c r="AF25" s="101"/>
      <c r="AG25" s="98"/>
      <c r="AI25" s="98"/>
      <c r="AJ25" s="98"/>
      <c r="AK25" s="98"/>
      <c r="AL25" s="98"/>
      <c r="AM25" s="98"/>
      <c r="AN25" s="98"/>
      <c r="AO25" s="98"/>
    </row>
    <row r="26" spans="1:42" x14ac:dyDescent="0.2">
      <c r="A26" s="98"/>
      <c r="B26" s="98"/>
      <c r="C26" s="101"/>
      <c r="D26" s="98"/>
      <c r="E26" s="101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/>
      <c r="T26" s="16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101"/>
      <c r="AF26" s="101"/>
      <c r="AG26" s="98"/>
      <c r="AI26" s="98"/>
      <c r="AJ26" s="98"/>
      <c r="AK26" s="98"/>
      <c r="AL26" s="98"/>
      <c r="AM26" s="98"/>
      <c r="AN26" s="98"/>
      <c r="AO26" s="98"/>
    </row>
    <row r="27" spans="1:42" x14ac:dyDescent="0.2">
      <c r="A27" s="98"/>
      <c r="B27" s="98"/>
      <c r="C27" s="101"/>
      <c r="D27" s="98"/>
      <c r="E27" s="101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16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101"/>
      <c r="AF27" s="101"/>
      <c r="AG27" s="98"/>
      <c r="AI27" s="98"/>
      <c r="AJ27" s="98"/>
      <c r="AK27" s="98"/>
      <c r="AL27" s="98"/>
      <c r="AM27" s="98"/>
      <c r="AN27" s="98"/>
      <c r="AO27" s="98"/>
    </row>
    <row r="28" spans="1:42" x14ac:dyDescent="0.2">
      <c r="A28" s="98"/>
      <c r="B28" s="98"/>
      <c r="C28" s="101"/>
      <c r="D28" s="98"/>
      <c r="E28" s="101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16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I28" s="98"/>
      <c r="AJ28" s="98"/>
      <c r="AK28" s="98"/>
      <c r="AL28" s="98"/>
      <c r="AM28" s="98"/>
      <c r="AN28" s="98"/>
      <c r="AO28" s="98"/>
    </row>
    <row r="29" spans="1:42" x14ac:dyDescent="0.2">
      <c r="A29" s="98"/>
      <c r="B29" s="98"/>
      <c r="C29" s="101"/>
      <c r="D29" s="98"/>
      <c r="E29" s="101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16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I29" s="98"/>
      <c r="AJ29" s="98"/>
      <c r="AK29" s="98"/>
      <c r="AL29" s="98"/>
      <c r="AM29" s="98"/>
      <c r="AN29" s="98"/>
      <c r="AO29" s="98"/>
    </row>
    <row r="30" spans="1:42" x14ac:dyDescent="0.2">
      <c r="A30" s="98"/>
      <c r="B30" s="98"/>
      <c r="C30" s="101"/>
      <c r="D30" s="98"/>
      <c r="E30" s="101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16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I30" s="98"/>
      <c r="AJ30" s="98"/>
      <c r="AK30" s="98"/>
      <c r="AL30" s="98"/>
      <c r="AM30" s="98"/>
      <c r="AN30" s="98"/>
      <c r="AO30" s="98"/>
    </row>
    <row r="31" spans="1:42" x14ac:dyDescent="0.2">
      <c r="A31" s="98"/>
      <c r="B31" s="98"/>
      <c r="C31" s="101"/>
      <c r="D31" s="98"/>
      <c r="E31" s="101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16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I31" s="98"/>
      <c r="AJ31" s="98"/>
      <c r="AK31" s="98"/>
      <c r="AL31" s="98"/>
      <c r="AM31" s="98"/>
      <c r="AN31" s="98"/>
      <c r="AO31" s="98"/>
    </row>
    <row r="32" spans="1:42" x14ac:dyDescent="0.2">
      <c r="A32" s="98"/>
      <c r="B32" s="98"/>
      <c r="C32" s="101"/>
      <c r="D32" s="98"/>
      <c r="E32" s="101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16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I32" s="98"/>
      <c r="AJ32" s="98"/>
      <c r="AK32" s="98"/>
      <c r="AL32" s="98"/>
      <c r="AM32" s="98"/>
      <c r="AN32" s="98"/>
      <c r="AO32" s="98"/>
    </row>
    <row r="33" spans="1:41" x14ac:dyDescent="0.2">
      <c r="A33" s="98"/>
      <c r="B33" s="98"/>
      <c r="C33" s="101"/>
      <c r="D33" s="98"/>
      <c r="E33" s="101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16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I33" s="98"/>
      <c r="AJ33" s="98"/>
      <c r="AK33" s="98"/>
      <c r="AL33" s="98"/>
      <c r="AM33" s="98"/>
      <c r="AN33" s="98"/>
      <c r="AO33" s="98"/>
    </row>
    <row r="34" spans="1:41" x14ac:dyDescent="0.2">
      <c r="C34" s="101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16"/>
    </row>
    <row r="35" spans="1:41" x14ac:dyDescent="0.2">
      <c r="C35" s="101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16"/>
    </row>
    <row r="36" spans="1:41" x14ac:dyDescent="0.2">
      <c r="C36" s="101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</row>
    <row r="37" spans="1:41" x14ac:dyDescent="0.2">
      <c r="C37" s="101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</row>
    <row r="38" spans="1:41" x14ac:dyDescent="0.2">
      <c r="C38" s="101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</row>
    <row r="39" spans="1:41" x14ac:dyDescent="0.2">
      <c r="C39" s="101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</row>
    <row r="40" spans="1:41" x14ac:dyDescent="0.2">
      <c r="C40" s="101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</row>
    <row r="41" spans="1:41" x14ac:dyDescent="0.2">
      <c r="C41" s="101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</row>
    <row r="42" spans="1:41" x14ac:dyDescent="0.2">
      <c r="C42" s="101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</row>
    <row r="43" spans="1:41" x14ac:dyDescent="0.2">
      <c r="C43" s="101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</row>
    <row r="44" spans="1:41" x14ac:dyDescent="0.2">
      <c r="C44" s="101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</row>
    <row r="45" spans="1:41" x14ac:dyDescent="0.2">
      <c r="C45" s="101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</row>
    <row r="46" spans="1:41" x14ac:dyDescent="0.2">
      <c r="C46" s="101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</row>
    <row r="47" spans="1:41" x14ac:dyDescent="0.2">
      <c r="C47" s="101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</row>
    <row r="48" spans="1:41" x14ac:dyDescent="0.2">
      <c r="C48" s="101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</row>
    <row r="49" spans="3:20" x14ac:dyDescent="0.2">
      <c r="C49" s="101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</row>
    <row r="50" spans="3:20" x14ac:dyDescent="0.2">
      <c r="C50" s="101"/>
    </row>
    <row r="51" spans="3:20" x14ac:dyDescent="0.2">
      <c r="C51" s="101"/>
    </row>
    <row r="52" spans="3:20" x14ac:dyDescent="0.2">
      <c r="C52" s="101"/>
    </row>
    <row r="53" spans="3:20" x14ac:dyDescent="0.2">
      <c r="C53" s="101"/>
    </row>
    <row r="54" spans="3:20" x14ac:dyDescent="0.2">
      <c r="C54" s="101"/>
    </row>
    <row r="55" spans="3:20" x14ac:dyDescent="0.2">
      <c r="C55" s="101"/>
    </row>
    <row r="56" spans="3:20" x14ac:dyDescent="0.2">
      <c r="C56" s="101"/>
    </row>
    <row r="57" spans="3:20" x14ac:dyDescent="0.2">
      <c r="C57" s="101"/>
    </row>
    <row r="58" spans="3:20" x14ac:dyDescent="0.2">
      <c r="C58" s="101"/>
    </row>
    <row r="59" spans="3:20" x14ac:dyDescent="0.2">
      <c r="C59" s="101"/>
    </row>
    <row r="60" spans="3:20" x14ac:dyDescent="0.2">
      <c r="C60" s="101"/>
    </row>
    <row r="61" spans="3:20" x14ac:dyDescent="0.2">
      <c r="C61" s="101"/>
    </row>
    <row r="62" spans="3:20" x14ac:dyDescent="0.2">
      <c r="C62" s="101"/>
    </row>
    <row r="63" spans="3:20" x14ac:dyDescent="0.2">
      <c r="C63" s="101"/>
    </row>
    <row r="64" spans="3:20" x14ac:dyDescent="0.2">
      <c r="C64" s="101"/>
    </row>
    <row r="65" spans="3:3" x14ac:dyDescent="0.2">
      <c r="C65" s="101"/>
    </row>
    <row r="66" spans="3:3" x14ac:dyDescent="0.2">
      <c r="C66" s="101"/>
    </row>
    <row r="67" spans="3:3" x14ac:dyDescent="0.2">
      <c r="C67" s="101"/>
    </row>
    <row r="68" spans="3:3" x14ac:dyDescent="0.2">
      <c r="C68" s="101"/>
    </row>
    <row r="69" spans="3:3" x14ac:dyDescent="0.2">
      <c r="C69" s="101"/>
    </row>
    <row r="70" spans="3:3" x14ac:dyDescent="0.2">
      <c r="C70" s="101"/>
    </row>
    <row r="71" spans="3:3" x14ac:dyDescent="0.2">
      <c r="C71" s="101"/>
    </row>
    <row r="72" spans="3:3" x14ac:dyDescent="0.2">
      <c r="C72" s="101"/>
    </row>
    <row r="73" spans="3:3" x14ac:dyDescent="0.2">
      <c r="C73" s="101"/>
    </row>
    <row r="74" spans="3:3" x14ac:dyDescent="0.2">
      <c r="C74" s="101"/>
    </row>
    <row r="75" spans="3:3" x14ac:dyDescent="0.2">
      <c r="C75" s="101"/>
    </row>
    <row r="76" spans="3:3" x14ac:dyDescent="0.2">
      <c r="C76" s="101"/>
    </row>
    <row r="77" spans="3:3" x14ac:dyDescent="0.2">
      <c r="C77" s="101"/>
    </row>
  </sheetData>
  <mergeCells count="2">
    <mergeCell ref="A21:AO21"/>
    <mergeCell ref="AP2:AP20"/>
  </mergeCells>
  <dataValidations count="14">
    <dataValidation type="list" allowBlank="1" showInputMessage="1" showErrorMessage="1" sqref="U23:U39 U3:U18">
      <formula1>Underlying_Asset</formula1>
    </dataValidation>
    <dataValidation type="list" allowBlank="1" showInputMessage="1" showErrorMessage="1" sqref="AG23:AG1048576 AG3:AG18 AB23:AB1048576 AB3:AB18">
      <formula1>Reset_frequency</formula1>
    </dataValidation>
    <dataValidation type="list" allowBlank="1" showInputMessage="1" showErrorMessage="1" sqref="S23:S26 S3:S18">
      <formula1>israel_abroad</formula1>
    </dataValidation>
    <dataValidation type="list" allowBlank="1" showInputMessage="1" showErrorMessage="1" sqref="Y23:Y216 AD23:AD1048576 Y3:Y18 AL23:AL1048576 AD3:AD18">
      <formula1>Holding_interest</formula1>
    </dataValidation>
    <dataValidation type="list" allowBlank="1" showInputMessage="1" showErrorMessage="1" sqref="AC23:AC62 AC3:AC18">
      <formula1>Delivery</formula1>
    </dataValidation>
    <dataValidation type="list" allowBlank="1" showInputMessage="1" showErrorMessage="1" sqref="E24:E33">
      <formula1>Currency_Abbreviation</formula1>
    </dataValidation>
    <dataValidation type="list" allowBlank="1" showInputMessage="1" showErrorMessage="1" sqref="V3:V18">
      <formula1>Leading_factor</formula1>
    </dataValidation>
    <dataValidation type="list" allowBlank="1" showInputMessage="1" showErrorMessage="1" sqref="T23:T35 T3:T18">
      <formula1>Country_list</formula1>
    </dataValidation>
    <dataValidation type="list" allowBlank="1" showInputMessage="1" showErrorMessage="1" sqref="W3:W18">
      <formula1>Additional_Factor</formula1>
    </dataValidation>
    <dataValidation allowBlank="1" showInputMessage="1" showErrorMessage="1" sqref="M3:M18 D3:D18 I3:K18 P3:Q18 Z3:Z18"/>
    <dataValidation type="list" allowBlank="1" showInputMessage="1" showErrorMessage="1" sqref="AF23:AF27">
      <formula1>Underlying_Interest_Rates_Der</formula1>
    </dataValidation>
    <dataValidation type="list" allowBlank="1" showInputMessage="1" showErrorMessage="1" sqref="AF3:AF18">
      <formula1>Underlying_Interest_Rates</formula1>
    </dataValidation>
    <dataValidation type="list" allowBlank="1" showInputMessage="1" showErrorMessage="1" sqref="C23:C77">
      <formula1>$C$835:$C$842</formula1>
    </dataValidation>
    <dataValidation type="list" allowBlank="1" showInputMessage="1" showErrorMessage="1" sqref="AE23:AE27 AE4:AE18">
      <formula1>$C$536:$C$537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'P:\Documents\[קובץ דיווח נכס בודד נגזרים.xlsx]אפשרויות בחירה'!#REF!</xm:f>
          </x14:formula1>
          <xm:sqref>C78:C1048576</xm:sqref>
        </x14:dataValidation>
        <x14:dataValidation type="list" allowBlank="1" showInputMessage="1" showErrorMessage="1">
          <x14:formula1>
            <xm:f>'אפשרויות בחירה'!$C$690:$C$691</xm:f>
          </x14:formula1>
          <xm:sqref>AE3</xm:sqref>
        </x14:dataValidation>
        <x14:dataValidation type="list" allowBlank="1" showInputMessage="1" showErrorMessage="1">
          <x14:formula1>
            <xm:f>'אפשרויות בחירה'!$C$977:$C$985</xm:f>
          </x14:formula1>
          <xm:sqref>C3:C18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B122"/>
  <sheetViews>
    <sheetView rightToLeft="1" topLeftCell="G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14" style="2" customWidth="1"/>
    <col min="4" max="4" width="16.75" style="2" customWidth="1"/>
    <col min="5" max="5" width="10.25" style="2" customWidth="1"/>
    <col min="6" max="6" width="11.875" style="2" customWidth="1"/>
    <col min="7" max="7" width="11.5" style="2" customWidth="1"/>
    <col min="8" max="8" width="41.875" style="2" bestFit="1" customWidth="1"/>
    <col min="9" max="9" width="10.625" style="2" customWidth="1"/>
    <col min="10" max="10" width="19.875" style="2" customWidth="1"/>
    <col min="11" max="11" width="13" style="2" bestFit="1" customWidth="1"/>
    <col min="12" max="12" width="15.125" style="2" customWidth="1"/>
    <col min="13" max="13" width="18" style="2" customWidth="1"/>
    <col min="14" max="14" width="22.375" style="2" customWidth="1"/>
    <col min="15" max="15" width="17.75" style="2" customWidth="1"/>
    <col min="16" max="16" width="6.375" style="2" bestFit="1" customWidth="1"/>
    <col min="17" max="17" width="12.25" style="2" bestFit="1" customWidth="1"/>
    <col min="18" max="18" width="17.125" style="2" customWidth="1"/>
    <col min="19" max="19" width="11.75" style="2" customWidth="1"/>
    <col min="20" max="20" width="6.5" style="2" customWidth="1"/>
    <col min="21" max="21" width="10.375" style="2" customWidth="1"/>
    <col min="22" max="22" width="11.125" style="2" customWidth="1"/>
    <col min="23" max="23" width="10.25" style="2" customWidth="1"/>
    <col min="24" max="24" width="9.75" style="2" customWidth="1"/>
    <col min="25" max="25" width="26.875" style="2" customWidth="1"/>
    <col min="26" max="26" width="12.25" style="2" customWidth="1"/>
    <col min="27" max="27" width="9.875" style="2" bestFit="1" customWidth="1"/>
    <col min="28" max="28" width="11.875" style="4" customWidth="1"/>
    <col min="29" max="29" width="9.875" style="2" customWidth="1"/>
    <col min="30" max="30" width="28.125" style="2" customWidth="1"/>
    <col min="31" max="31" width="18.125" style="2" customWidth="1"/>
    <col min="32" max="32" width="24.875" style="2" customWidth="1"/>
    <col min="33" max="33" width="9.75" style="2" customWidth="1"/>
    <col min="34" max="34" width="14.25" style="2" customWidth="1"/>
    <col min="35" max="35" width="10.75" style="2" customWidth="1"/>
    <col min="36" max="36" width="15.375" style="2" customWidth="1"/>
    <col min="37" max="38" width="14" style="2" customWidth="1"/>
    <col min="39" max="39" width="18.625" style="2" customWidth="1"/>
    <col min="40" max="40" width="16.375" style="2" customWidth="1"/>
    <col min="41" max="41" width="30" style="2" customWidth="1"/>
    <col min="42" max="42" width="31.375" style="2" customWidth="1"/>
    <col min="43" max="43" width="13.5" style="2" bestFit="1" customWidth="1"/>
    <col min="44" max="44" width="11" style="2" customWidth="1"/>
    <col min="45" max="45" width="10.5" style="2" customWidth="1"/>
    <col min="46" max="46" width="17.875" style="2" customWidth="1"/>
    <col min="47" max="47" width="21.125" style="2" customWidth="1"/>
    <col min="48" max="48" width="21.375" style="2" customWidth="1"/>
    <col min="49" max="49" width="24.625" style="2" customWidth="1"/>
    <col min="50" max="50" width="17.5" style="4" customWidth="1"/>
    <col min="51" max="51" width="22" style="2" customWidth="1"/>
    <col min="52" max="52" width="21.75" style="2" customWidth="1"/>
    <col min="53" max="53" width="20.125" style="2" customWidth="1"/>
    <col min="54" max="16384" width="9" style="2"/>
  </cols>
  <sheetData>
    <row r="1" spans="1:54" x14ac:dyDescent="0.2">
      <c r="A1" s="2" t="s">
        <v>3918</v>
      </c>
    </row>
    <row r="2" spans="1:54" ht="66.75" customHeight="1" x14ac:dyDescent="0.2">
      <c r="A2" s="139" t="s">
        <v>49</v>
      </c>
      <c r="B2" s="140" t="s">
        <v>50</v>
      </c>
      <c r="C2" s="140" t="s">
        <v>150</v>
      </c>
      <c r="D2" s="140" t="s">
        <v>151</v>
      </c>
      <c r="E2" s="140" t="s">
        <v>152</v>
      </c>
      <c r="F2" s="140" t="s">
        <v>153</v>
      </c>
      <c r="G2" s="140" t="s">
        <v>54</v>
      </c>
      <c r="H2" s="140" t="s">
        <v>154</v>
      </c>
      <c r="I2" s="140" t="s">
        <v>55</v>
      </c>
      <c r="J2" s="140" t="s">
        <v>69</v>
      </c>
      <c r="K2" s="140" t="s">
        <v>83</v>
      </c>
      <c r="L2" s="140" t="s">
        <v>56</v>
      </c>
      <c r="M2" s="140" t="s">
        <v>155</v>
      </c>
      <c r="N2" s="140" t="s">
        <v>156</v>
      </c>
      <c r="O2" s="140" t="s">
        <v>157</v>
      </c>
      <c r="P2" s="140" t="s">
        <v>71</v>
      </c>
      <c r="Q2" s="140" t="s">
        <v>58</v>
      </c>
      <c r="R2" s="140" t="s">
        <v>158</v>
      </c>
      <c r="S2" s="140" t="s">
        <v>59</v>
      </c>
      <c r="T2" s="140" t="s">
        <v>72</v>
      </c>
      <c r="U2" s="140" t="s">
        <v>159</v>
      </c>
      <c r="V2" s="140" t="s">
        <v>62</v>
      </c>
      <c r="W2" s="140" t="s">
        <v>98</v>
      </c>
      <c r="X2" s="140" t="s">
        <v>85</v>
      </c>
      <c r="Y2" s="140" t="s">
        <v>160</v>
      </c>
      <c r="Z2" s="140" t="s">
        <v>74</v>
      </c>
      <c r="AA2" s="140" t="s">
        <v>73</v>
      </c>
      <c r="AB2" s="140" t="s">
        <v>86</v>
      </c>
      <c r="AC2" s="140" t="s">
        <v>161</v>
      </c>
      <c r="AD2" s="140" t="s">
        <v>162</v>
      </c>
      <c r="AE2" s="140" t="s">
        <v>163</v>
      </c>
      <c r="AF2" s="140" t="s">
        <v>164</v>
      </c>
      <c r="AG2" s="140" t="s">
        <v>165</v>
      </c>
      <c r="AH2" s="140" t="s">
        <v>166</v>
      </c>
      <c r="AI2" s="140" t="s">
        <v>167</v>
      </c>
      <c r="AJ2" s="140" t="s">
        <v>168</v>
      </c>
      <c r="AK2" s="140" t="s">
        <v>103</v>
      </c>
      <c r="AL2" s="140" t="s">
        <v>105</v>
      </c>
      <c r="AM2" s="140" t="s">
        <v>104</v>
      </c>
      <c r="AN2" s="140" t="s">
        <v>106</v>
      </c>
      <c r="AO2" s="140" t="s">
        <v>107</v>
      </c>
      <c r="AP2" s="140" t="s">
        <v>169</v>
      </c>
      <c r="AQ2" s="140" t="s">
        <v>170</v>
      </c>
      <c r="AR2" s="140" t="s">
        <v>171</v>
      </c>
      <c r="AS2" s="140" t="s">
        <v>61</v>
      </c>
      <c r="AT2" s="140" t="s">
        <v>63</v>
      </c>
      <c r="AU2" s="140" t="s">
        <v>172</v>
      </c>
      <c r="AV2" s="140" t="s">
        <v>78</v>
      </c>
      <c r="AW2" s="140" t="s">
        <v>88</v>
      </c>
      <c r="AX2" s="140" t="s">
        <v>87</v>
      </c>
      <c r="AY2" s="140" t="s">
        <v>17</v>
      </c>
      <c r="AZ2" s="140" t="s">
        <v>64</v>
      </c>
      <c r="BA2" s="141" t="s">
        <v>65</v>
      </c>
      <c r="BB2" s="181" t="s">
        <v>3894</v>
      </c>
    </row>
    <row r="3" spans="1:54" ht="15" x14ac:dyDescent="0.2">
      <c r="A3" s="142" t="s">
        <v>1205</v>
      </c>
      <c r="B3" s="143" t="s">
        <v>1206</v>
      </c>
      <c r="C3" s="145" t="s">
        <v>3876</v>
      </c>
      <c r="D3" s="145" t="s">
        <v>3876</v>
      </c>
      <c r="E3" s="145" t="s">
        <v>3876</v>
      </c>
      <c r="F3" s="143" t="s">
        <v>3665</v>
      </c>
      <c r="G3" s="143" t="s">
        <v>1011</v>
      </c>
      <c r="H3" s="145" t="s">
        <v>3876</v>
      </c>
      <c r="I3" s="143" t="s">
        <v>204</v>
      </c>
      <c r="J3" s="145" t="s">
        <v>3876</v>
      </c>
      <c r="K3" s="143" t="s">
        <v>478</v>
      </c>
      <c r="L3" s="143" t="s">
        <v>339</v>
      </c>
      <c r="M3" s="143" t="s">
        <v>339</v>
      </c>
      <c r="N3" s="145" t="s">
        <v>3876</v>
      </c>
      <c r="O3" s="143" t="s">
        <v>3666</v>
      </c>
      <c r="P3" s="143" t="s">
        <v>1308</v>
      </c>
      <c r="Q3" s="143" t="s">
        <v>312</v>
      </c>
      <c r="R3" s="143" t="s">
        <v>408</v>
      </c>
      <c r="S3" s="143" t="s">
        <v>1210</v>
      </c>
      <c r="T3" s="144">
        <v>2.0856999999999997</v>
      </c>
      <c r="U3" s="165" t="s">
        <v>314</v>
      </c>
      <c r="V3" s="146">
        <v>5.3999999999999999E-2</v>
      </c>
      <c r="W3" s="145" t="s">
        <v>3876</v>
      </c>
      <c r="X3" s="145" t="s">
        <v>3876</v>
      </c>
      <c r="Y3" s="166">
        <v>0</v>
      </c>
      <c r="Z3" s="146">
        <v>5.6089808708110103E-2</v>
      </c>
      <c r="AA3" s="143" t="s">
        <v>1513</v>
      </c>
      <c r="AB3" s="143" t="s">
        <v>412</v>
      </c>
      <c r="AC3" s="145" t="s">
        <v>3876</v>
      </c>
      <c r="AD3" s="145" t="s">
        <v>3876</v>
      </c>
      <c r="AE3" s="145" t="s">
        <v>3876</v>
      </c>
      <c r="AF3" s="143" t="s">
        <v>3667</v>
      </c>
      <c r="AG3" s="145" t="s">
        <v>3876</v>
      </c>
      <c r="AH3" s="145" t="s">
        <v>3876</v>
      </c>
      <c r="AI3" s="145" t="s">
        <v>3876</v>
      </c>
      <c r="AJ3" s="145" t="s">
        <v>3876</v>
      </c>
      <c r="AK3" s="143" t="s">
        <v>314</v>
      </c>
      <c r="AL3" s="145" t="s">
        <v>3876</v>
      </c>
      <c r="AM3" s="143" t="s">
        <v>889</v>
      </c>
      <c r="AN3" s="160">
        <v>45473</v>
      </c>
      <c r="AO3" s="160">
        <v>45473</v>
      </c>
      <c r="AP3" s="145" t="s">
        <v>3876</v>
      </c>
      <c r="AQ3" s="144">
        <v>58522.67</v>
      </c>
      <c r="AR3" s="143" t="s">
        <v>3668</v>
      </c>
      <c r="AS3" s="145" t="s">
        <v>3876</v>
      </c>
      <c r="AT3" s="144">
        <v>59.105599999999995</v>
      </c>
      <c r="AU3" s="144">
        <v>59.105555799999998</v>
      </c>
      <c r="AV3" s="145" t="s">
        <v>3876</v>
      </c>
      <c r="AW3" s="145" t="s">
        <v>3876</v>
      </c>
      <c r="AX3" s="145" t="s">
        <v>3876</v>
      </c>
      <c r="AY3" s="145" t="s">
        <v>3876</v>
      </c>
      <c r="AZ3" s="146">
        <v>1</v>
      </c>
      <c r="BA3" s="147">
        <v>2.0558659466461391E-3</v>
      </c>
      <c r="BB3" s="181"/>
    </row>
    <row r="4" spans="1:54" ht="15" x14ac:dyDescent="0.2">
      <c r="A4" s="142" t="s">
        <v>1205</v>
      </c>
      <c r="B4" s="143" t="s">
        <v>1205</v>
      </c>
      <c r="C4" s="145" t="s">
        <v>3876</v>
      </c>
      <c r="D4" s="145" t="s">
        <v>3876</v>
      </c>
      <c r="E4" s="145" t="s">
        <v>3876</v>
      </c>
      <c r="F4" s="143" t="s">
        <v>3669</v>
      </c>
      <c r="G4" s="143" t="s">
        <v>1011</v>
      </c>
      <c r="H4" s="145" t="s">
        <v>3876</v>
      </c>
      <c r="I4" s="143" t="s">
        <v>204</v>
      </c>
      <c r="J4" s="145" t="s">
        <v>3876</v>
      </c>
      <c r="K4" s="143" t="s">
        <v>478</v>
      </c>
      <c r="L4" s="143" t="s">
        <v>339</v>
      </c>
      <c r="M4" s="143" t="s">
        <v>339</v>
      </c>
      <c r="N4" s="145" t="s">
        <v>3876</v>
      </c>
      <c r="O4" s="143" t="s">
        <v>3670</v>
      </c>
      <c r="P4" s="143" t="s">
        <v>1721</v>
      </c>
      <c r="Q4" s="143" t="s">
        <v>413</v>
      </c>
      <c r="R4" s="143" t="s">
        <v>408</v>
      </c>
      <c r="S4" s="143" t="s">
        <v>1210</v>
      </c>
      <c r="T4" s="144">
        <v>1.43</v>
      </c>
      <c r="U4" s="165" t="s">
        <v>314</v>
      </c>
      <c r="V4" s="146">
        <v>5.3999999999999999E-2</v>
      </c>
      <c r="W4" s="145" t="s">
        <v>3876</v>
      </c>
      <c r="X4" s="145" t="s">
        <v>3876</v>
      </c>
      <c r="Y4" s="166">
        <v>0</v>
      </c>
      <c r="Z4" s="146">
        <v>6.5799999999999997E-2</v>
      </c>
      <c r="AA4" s="143" t="s">
        <v>1513</v>
      </c>
      <c r="AB4" s="143" t="s">
        <v>412</v>
      </c>
      <c r="AC4" s="145" t="s">
        <v>3876</v>
      </c>
      <c r="AD4" s="145" t="s">
        <v>3876</v>
      </c>
      <c r="AE4" s="145" t="s">
        <v>3876</v>
      </c>
      <c r="AF4" s="143" t="s">
        <v>3671</v>
      </c>
      <c r="AG4" s="145" t="s">
        <v>3876</v>
      </c>
      <c r="AH4" s="145" t="s">
        <v>3876</v>
      </c>
      <c r="AI4" s="145" t="s">
        <v>3876</v>
      </c>
      <c r="AJ4" s="145" t="s">
        <v>3876</v>
      </c>
      <c r="AK4" s="143" t="s">
        <v>314</v>
      </c>
      <c r="AL4" s="145" t="s">
        <v>3876</v>
      </c>
      <c r="AM4" s="143" t="s">
        <v>889</v>
      </c>
      <c r="AN4" s="160">
        <v>45473</v>
      </c>
      <c r="AO4" s="160">
        <v>45473</v>
      </c>
      <c r="AP4" s="145" t="s">
        <v>3876</v>
      </c>
      <c r="AQ4" s="144">
        <v>3286603</v>
      </c>
      <c r="AR4" s="143" t="s">
        <v>3672</v>
      </c>
      <c r="AS4" s="145" t="s">
        <v>3876</v>
      </c>
      <c r="AT4" s="144">
        <v>3320.2217000000001</v>
      </c>
      <c r="AU4" s="144">
        <v>3320.2216620999998</v>
      </c>
      <c r="AV4" s="145" t="s">
        <v>3876</v>
      </c>
      <c r="AW4" s="145" t="s">
        <v>3876</v>
      </c>
      <c r="AX4" s="145" t="s">
        <v>3876</v>
      </c>
      <c r="AY4" s="145" t="s">
        <v>3876</v>
      </c>
      <c r="AZ4" s="146">
        <v>0.14345113538766596</v>
      </c>
      <c r="BA4" s="147">
        <v>3.3392225290513776E-3</v>
      </c>
      <c r="BB4" s="181"/>
    </row>
    <row r="5" spans="1:54" ht="15" x14ac:dyDescent="0.2">
      <c r="A5" s="142" t="s">
        <v>1205</v>
      </c>
      <c r="B5" s="143" t="s">
        <v>1205</v>
      </c>
      <c r="C5" s="145" t="s">
        <v>3876</v>
      </c>
      <c r="D5" s="145" t="s">
        <v>3876</v>
      </c>
      <c r="E5" s="145" t="s">
        <v>3876</v>
      </c>
      <c r="F5" s="143" t="s">
        <v>3673</v>
      </c>
      <c r="G5" s="143" t="s">
        <v>1012</v>
      </c>
      <c r="H5" s="143" t="s">
        <v>817</v>
      </c>
      <c r="I5" s="143" t="s">
        <v>204</v>
      </c>
      <c r="J5" s="145" t="s">
        <v>3876</v>
      </c>
      <c r="K5" s="143" t="s">
        <v>447</v>
      </c>
      <c r="L5" s="143" t="s">
        <v>339</v>
      </c>
      <c r="M5" s="143" t="s">
        <v>338</v>
      </c>
      <c r="N5" s="145" t="s">
        <v>3876</v>
      </c>
      <c r="O5" s="143" t="s">
        <v>3674</v>
      </c>
      <c r="P5" s="143" t="s">
        <v>3675</v>
      </c>
      <c r="Q5" s="143" t="s">
        <v>415</v>
      </c>
      <c r="R5" s="143" t="s">
        <v>408</v>
      </c>
      <c r="S5" s="143" t="s">
        <v>1210</v>
      </c>
      <c r="T5" s="144">
        <v>0.53</v>
      </c>
      <c r="U5" s="165" t="s">
        <v>823</v>
      </c>
      <c r="V5" s="146">
        <v>7.400000000000001E-2</v>
      </c>
      <c r="W5" s="145" t="s">
        <v>3876</v>
      </c>
      <c r="X5" s="145" t="s">
        <v>3876</v>
      </c>
      <c r="Y5" s="166">
        <v>0</v>
      </c>
      <c r="Z5" s="146">
        <v>7.5999999999999998E-2</v>
      </c>
      <c r="AA5" s="143" t="s">
        <v>3676</v>
      </c>
      <c r="AB5" s="143" t="s">
        <v>412</v>
      </c>
      <c r="AC5" s="145" t="s">
        <v>3876</v>
      </c>
      <c r="AD5" s="145" t="s">
        <v>3876</v>
      </c>
      <c r="AE5" s="167">
        <v>0.55000000000000004</v>
      </c>
      <c r="AF5" s="143" t="s">
        <v>3677</v>
      </c>
      <c r="AG5" s="145" t="s">
        <v>3876</v>
      </c>
      <c r="AH5" s="145" t="s">
        <v>3876</v>
      </c>
      <c r="AI5" s="145" t="s">
        <v>3876</v>
      </c>
      <c r="AJ5" s="143" t="s">
        <v>339</v>
      </c>
      <c r="AK5" s="143" t="s">
        <v>886</v>
      </c>
      <c r="AL5" s="145" t="s">
        <v>3876</v>
      </c>
      <c r="AM5" s="143" t="s">
        <v>889</v>
      </c>
      <c r="AN5" s="160">
        <v>45473</v>
      </c>
      <c r="AO5" s="160">
        <v>45473</v>
      </c>
      <c r="AP5" s="145" t="s">
        <v>3876</v>
      </c>
      <c r="AQ5" s="144">
        <v>2528000</v>
      </c>
      <c r="AR5" s="143" t="s">
        <v>3678</v>
      </c>
      <c r="AS5" s="145" t="s">
        <v>3876</v>
      </c>
      <c r="AT5" s="144">
        <v>2641.76</v>
      </c>
      <c r="AU5" s="144">
        <v>2641.76</v>
      </c>
      <c r="AV5" s="145" t="s">
        <v>3876</v>
      </c>
      <c r="AW5" s="145" t="s">
        <v>3876</v>
      </c>
      <c r="AX5" s="145" t="s">
        <v>3876</v>
      </c>
      <c r="AY5" s="145" t="s">
        <v>3876</v>
      </c>
      <c r="AZ5" s="146">
        <v>0.11413800341978206</v>
      </c>
      <c r="BA5" s="147">
        <v>2.6568781865009164E-3</v>
      </c>
      <c r="BB5" s="181"/>
    </row>
    <row r="6" spans="1:54" ht="15" x14ac:dyDescent="0.2">
      <c r="A6" s="142" t="s">
        <v>1205</v>
      </c>
      <c r="B6" s="143" t="s">
        <v>1205</v>
      </c>
      <c r="C6" s="145" t="s">
        <v>3876</v>
      </c>
      <c r="D6" s="145" t="s">
        <v>3876</v>
      </c>
      <c r="E6" s="145" t="s">
        <v>3876</v>
      </c>
      <c r="F6" s="143" t="s">
        <v>3679</v>
      </c>
      <c r="G6" s="143" t="s">
        <v>1012</v>
      </c>
      <c r="H6" s="143" t="s">
        <v>791</v>
      </c>
      <c r="I6" s="143" t="s">
        <v>204</v>
      </c>
      <c r="J6" s="145" t="s">
        <v>3876</v>
      </c>
      <c r="K6" s="143" t="s">
        <v>447</v>
      </c>
      <c r="L6" s="143" t="s">
        <v>339</v>
      </c>
      <c r="M6" s="143" t="s">
        <v>338</v>
      </c>
      <c r="N6" s="145" t="s">
        <v>3876</v>
      </c>
      <c r="O6" s="143" t="s">
        <v>3166</v>
      </c>
      <c r="P6" s="145" t="s">
        <v>3876</v>
      </c>
      <c r="Q6" s="143" t="s">
        <v>410</v>
      </c>
      <c r="R6" s="143" t="s">
        <v>410</v>
      </c>
      <c r="S6" s="143" t="s">
        <v>1210</v>
      </c>
      <c r="T6" s="144">
        <v>0.38</v>
      </c>
      <c r="U6" s="165" t="s">
        <v>823</v>
      </c>
      <c r="V6" s="146">
        <v>7.2499999999999995E-2</v>
      </c>
      <c r="W6" s="145" t="s">
        <v>3876</v>
      </c>
      <c r="X6" s="145" t="s">
        <v>3876</v>
      </c>
      <c r="Y6" s="166">
        <v>0</v>
      </c>
      <c r="Z6" s="146">
        <v>7.0400000000000004E-2</v>
      </c>
      <c r="AA6" s="143" t="s">
        <v>3680</v>
      </c>
      <c r="AB6" s="143" t="s">
        <v>412</v>
      </c>
      <c r="AC6" s="145" t="s">
        <v>3876</v>
      </c>
      <c r="AD6" s="145" t="s">
        <v>3876</v>
      </c>
      <c r="AE6" s="167">
        <v>0.88</v>
      </c>
      <c r="AF6" s="143" t="s">
        <v>3681</v>
      </c>
      <c r="AG6" s="145" t="s">
        <v>3876</v>
      </c>
      <c r="AH6" s="145" t="s">
        <v>3876</v>
      </c>
      <c r="AI6" s="145" t="s">
        <v>3876</v>
      </c>
      <c r="AJ6" s="143" t="s">
        <v>338</v>
      </c>
      <c r="AK6" s="143" t="s">
        <v>886</v>
      </c>
      <c r="AL6" s="145" t="s">
        <v>3876</v>
      </c>
      <c r="AM6" s="143" t="s">
        <v>889</v>
      </c>
      <c r="AN6" s="160">
        <v>45473</v>
      </c>
      <c r="AO6" s="160">
        <v>45473</v>
      </c>
      <c r="AP6" s="145" t="s">
        <v>3876</v>
      </c>
      <c r="AQ6" s="144">
        <v>2480000</v>
      </c>
      <c r="AR6" s="143" t="s">
        <v>3682</v>
      </c>
      <c r="AS6" s="145" t="s">
        <v>3876</v>
      </c>
      <c r="AT6" s="144">
        <v>2232</v>
      </c>
      <c r="AU6" s="144">
        <v>2232</v>
      </c>
      <c r="AV6" s="145" t="s">
        <v>3876</v>
      </c>
      <c r="AW6" s="145" t="s">
        <v>3876</v>
      </c>
      <c r="AX6" s="145" t="s">
        <v>3876</v>
      </c>
      <c r="AY6" s="145" t="s">
        <v>3876</v>
      </c>
      <c r="AZ6" s="146">
        <v>9.6434204330807322E-2</v>
      </c>
      <c r="BA6" s="147">
        <v>2.2447732240135536E-3</v>
      </c>
      <c r="BB6" s="181"/>
    </row>
    <row r="7" spans="1:54" ht="15" x14ac:dyDescent="0.2">
      <c r="A7" s="142" t="s">
        <v>1205</v>
      </c>
      <c r="B7" s="143" t="s">
        <v>1205</v>
      </c>
      <c r="C7" s="145" t="s">
        <v>3876</v>
      </c>
      <c r="D7" s="145" t="s">
        <v>3876</v>
      </c>
      <c r="E7" s="145" t="s">
        <v>3876</v>
      </c>
      <c r="F7" s="143" t="s">
        <v>3683</v>
      </c>
      <c r="G7" s="143" t="s">
        <v>1012</v>
      </c>
      <c r="H7" s="145" t="s">
        <v>3876</v>
      </c>
      <c r="I7" s="143" t="s">
        <v>204</v>
      </c>
      <c r="J7" s="145" t="s">
        <v>3876</v>
      </c>
      <c r="K7" s="143" t="s">
        <v>485</v>
      </c>
      <c r="L7" s="143" t="s">
        <v>339</v>
      </c>
      <c r="M7" s="143" t="s">
        <v>338</v>
      </c>
      <c r="N7" s="145" t="s">
        <v>3876</v>
      </c>
      <c r="O7" s="143" t="s">
        <v>3684</v>
      </c>
      <c r="P7" s="143" t="s">
        <v>1366</v>
      </c>
      <c r="Q7" s="143" t="s">
        <v>415</v>
      </c>
      <c r="R7" s="143" t="s">
        <v>408</v>
      </c>
      <c r="S7" s="143" t="s">
        <v>1210</v>
      </c>
      <c r="T7" s="144">
        <v>10.09</v>
      </c>
      <c r="U7" s="165" t="s">
        <v>824</v>
      </c>
      <c r="V7" s="146">
        <v>0.03</v>
      </c>
      <c r="W7" s="145" t="s">
        <v>3876</v>
      </c>
      <c r="X7" s="145" t="s">
        <v>3876</v>
      </c>
      <c r="Y7" s="166">
        <v>0</v>
      </c>
      <c r="Z7" s="146">
        <v>4.1599999999999998E-2</v>
      </c>
      <c r="AA7" s="143" t="s">
        <v>3685</v>
      </c>
      <c r="AB7" s="143" t="s">
        <v>412</v>
      </c>
      <c r="AC7" s="145" t="s">
        <v>3876</v>
      </c>
      <c r="AD7" s="145" t="s">
        <v>3876</v>
      </c>
      <c r="AE7" s="167">
        <v>0.75</v>
      </c>
      <c r="AF7" s="143" t="s">
        <v>3686</v>
      </c>
      <c r="AG7" s="145" t="s">
        <v>3876</v>
      </c>
      <c r="AH7" s="145" t="s">
        <v>3876</v>
      </c>
      <c r="AI7" s="145" t="s">
        <v>3876</v>
      </c>
      <c r="AJ7" s="143" t="s">
        <v>338</v>
      </c>
      <c r="AK7" s="143" t="s">
        <v>886</v>
      </c>
      <c r="AL7" s="145" t="s">
        <v>3876</v>
      </c>
      <c r="AM7" s="143" t="s">
        <v>889</v>
      </c>
      <c r="AN7" s="160">
        <v>45473</v>
      </c>
      <c r="AO7" s="160">
        <v>45473</v>
      </c>
      <c r="AP7" s="145" t="s">
        <v>3876</v>
      </c>
      <c r="AQ7" s="144">
        <v>1119493.4099999999</v>
      </c>
      <c r="AR7" s="143" t="s">
        <v>3687</v>
      </c>
      <c r="AS7" s="145" t="s">
        <v>3876</v>
      </c>
      <c r="AT7" s="144">
        <v>1134.4946</v>
      </c>
      <c r="AU7" s="144">
        <v>1134.4946217000002</v>
      </c>
      <c r="AV7" s="145" t="s">
        <v>3876</v>
      </c>
      <c r="AW7" s="145" t="s">
        <v>3876</v>
      </c>
      <c r="AX7" s="145" t="s">
        <v>3876</v>
      </c>
      <c r="AY7" s="145" t="s">
        <v>3876</v>
      </c>
      <c r="AZ7" s="146">
        <v>4.9016167634695851E-2</v>
      </c>
      <c r="BA7" s="147">
        <v>1.1409870741783501E-3</v>
      </c>
      <c r="BB7" s="181"/>
    </row>
    <row r="8" spans="1:54" ht="15" x14ac:dyDescent="0.2">
      <c r="A8" s="142" t="s">
        <v>1205</v>
      </c>
      <c r="B8" s="143" t="s">
        <v>1205</v>
      </c>
      <c r="C8" s="145" t="s">
        <v>3876</v>
      </c>
      <c r="D8" s="145" t="s">
        <v>3876</v>
      </c>
      <c r="E8" s="145" t="s">
        <v>3876</v>
      </c>
      <c r="F8" s="143" t="s">
        <v>3688</v>
      </c>
      <c r="G8" s="143" t="s">
        <v>1012</v>
      </c>
      <c r="H8" s="145" t="s">
        <v>3876</v>
      </c>
      <c r="I8" s="143" t="s">
        <v>204</v>
      </c>
      <c r="J8" s="145" t="s">
        <v>3876</v>
      </c>
      <c r="K8" s="143" t="s">
        <v>448</v>
      </c>
      <c r="L8" s="143" t="s">
        <v>339</v>
      </c>
      <c r="M8" s="143" t="s">
        <v>338</v>
      </c>
      <c r="N8" s="145" t="s">
        <v>3876</v>
      </c>
      <c r="O8" s="143" t="s">
        <v>3689</v>
      </c>
      <c r="P8" s="145" t="s">
        <v>3876</v>
      </c>
      <c r="Q8" s="143" t="s">
        <v>410</v>
      </c>
      <c r="R8" s="143" t="s">
        <v>410</v>
      </c>
      <c r="S8" s="143" t="s">
        <v>1210</v>
      </c>
      <c r="T8" s="144">
        <v>5.35</v>
      </c>
      <c r="U8" s="165" t="s">
        <v>823</v>
      </c>
      <c r="V8" s="146">
        <v>3.4764000000000003E-2</v>
      </c>
      <c r="W8" s="145" t="s">
        <v>3876</v>
      </c>
      <c r="X8" s="145" t="s">
        <v>3876</v>
      </c>
      <c r="Y8" s="166">
        <v>0</v>
      </c>
      <c r="Z8" s="146">
        <v>5.0500000000000003E-2</v>
      </c>
      <c r="AA8" s="143" t="s">
        <v>3690</v>
      </c>
      <c r="AB8" s="143" t="s">
        <v>412</v>
      </c>
      <c r="AC8" s="145" t="s">
        <v>3876</v>
      </c>
      <c r="AD8" s="145" t="s">
        <v>3876</v>
      </c>
      <c r="AE8" s="145" t="s">
        <v>3876</v>
      </c>
      <c r="AF8" s="145" t="s">
        <v>3876</v>
      </c>
      <c r="AG8" s="145" t="s">
        <v>3876</v>
      </c>
      <c r="AH8" s="145" t="s">
        <v>3876</v>
      </c>
      <c r="AI8" s="145" t="s">
        <v>3876</v>
      </c>
      <c r="AJ8" s="143" t="s">
        <v>339</v>
      </c>
      <c r="AK8" s="143" t="s">
        <v>886</v>
      </c>
      <c r="AL8" s="145" t="s">
        <v>3876</v>
      </c>
      <c r="AM8" s="143" t="s">
        <v>889</v>
      </c>
      <c r="AN8" s="160">
        <v>45473</v>
      </c>
      <c r="AO8" s="160">
        <v>45473</v>
      </c>
      <c r="AP8" s="145" t="s">
        <v>3876</v>
      </c>
      <c r="AQ8" s="144">
        <v>1004149.72</v>
      </c>
      <c r="AR8" s="143" t="s">
        <v>3691</v>
      </c>
      <c r="AS8" s="145" t="s">
        <v>3876</v>
      </c>
      <c r="AT8" s="144">
        <v>939.48249999999996</v>
      </c>
      <c r="AU8" s="144">
        <v>939.48247800000001</v>
      </c>
      <c r="AV8" s="145" t="s">
        <v>3876</v>
      </c>
      <c r="AW8" s="145" t="s">
        <v>3876</v>
      </c>
      <c r="AX8" s="145" t="s">
        <v>3876</v>
      </c>
      <c r="AY8" s="145" t="s">
        <v>3876</v>
      </c>
      <c r="AZ8" s="146">
        <v>4.0590611671931488E-2</v>
      </c>
      <c r="BA8" s="147">
        <v>9.4485892075095662E-4</v>
      </c>
      <c r="BB8" s="181"/>
    </row>
    <row r="9" spans="1:54" ht="15" x14ac:dyDescent="0.2">
      <c r="A9" s="142" t="s">
        <v>1205</v>
      </c>
      <c r="B9" s="143" t="s">
        <v>1205</v>
      </c>
      <c r="C9" s="145" t="s">
        <v>3876</v>
      </c>
      <c r="D9" s="145" t="s">
        <v>3876</v>
      </c>
      <c r="E9" s="145" t="s">
        <v>3876</v>
      </c>
      <c r="F9" s="143" t="s">
        <v>3692</v>
      </c>
      <c r="G9" s="143" t="s">
        <v>1012</v>
      </c>
      <c r="H9" s="145" t="s">
        <v>3876</v>
      </c>
      <c r="I9" s="143" t="s">
        <v>204</v>
      </c>
      <c r="J9" s="145" t="s">
        <v>3876</v>
      </c>
      <c r="K9" s="143" t="s">
        <v>440</v>
      </c>
      <c r="L9" s="143" t="s">
        <v>339</v>
      </c>
      <c r="M9" s="143" t="s">
        <v>338</v>
      </c>
      <c r="N9" s="145" t="s">
        <v>3876</v>
      </c>
      <c r="O9" s="143" t="s">
        <v>3693</v>
      </c>
      <c r="P9" s="143" t="s">
        <v>1366</v>
      </c>
      <c r="Q9" s="143" t="s">
        <v>415</v>
      </c>
      <c r="R9" s="143" t="s">
        <v>408</v>
      </c>
      <c r="S9" s="143" t="s">
        <v>1210</v>
      </c>
      <c r="T9" s="144">
        <v>8.1999999999999993</v>
      </c>
      <c r="U9" s="165" t="s">
        <v>824</v>
      </c>
      <c r="V9" s="146">
        <v>0</v>
      </c>
      <c r="W9" s="145" t="s">
        <v>3876</v>
      </c>
      <c r="X9" s="145" t="s">
        <v>3876</v>
      </c>
      <c r="Y9" s="166">
        <v>0</v>
      </c>
      <c r="Z9" s="146">
        <v>4.0099999999999997E-2</v>
      </c>
      <c r="AA9" s="143" t="s">
        <v>3694</v>
      </c>
      <c r="AB9" s="143" t="s">
        <v>412</v>
      </c>
      <c r="AC9" s="145" t="s">
        <v>3876</v>
      </c>
      <c r="AD9" s="145" t="s">
        <v>3876</v>
      </c>
      <c r="AE9" s="167">
        <v>0.75</v>
      </c>
      <c r="AF9" s="143" t="s">
        <v>3695</v>
      </c>
      <c r="AG9" s="145" t="s">
        <v>3876</v>
      </c>
      <c r="AH9" s="145" t="s">
        <v>3876</v>
      </c>
      <c r="AI9" s="145" t="s">
        <v>3876</v>
      </c>
      <c r="AJ9" s="143" t="s">
        <v>338</v>
      </c>
      <c r="AK9" s="143" t="s">
        <v>886</v>
      </c>
      <c r="AL9" s="145" t="s">
        <v>3876</v>
      </c>
      <c r="AM9" s="143" t="s">
        <v>889</v>
      </c>
      <c r="AN9" s="160">
        <v>45473</v>
      </c>
      <c r="AO9" s="160">
        <v>45473</v>
      </c>
      <c r="AP9" s="145" t="s">
        <v>3876</v>
      </c>
      <c r="AQ9" s="144">
        <v>920767.67</v>
      </c>
      <c r="AR9" s="143" t="s">
        <v>3696</v>
      </c>
      <c r="AS9" s="145" t="s">
        <v>3876</v>
      </c>
      <c r="AT9" s="144">
        <v>901.33950000000004</v>
      </c>
      <c r="AU9" s="144">
        <v>901.33947220000005</v>
      </c>
      <c r="AV9" s="145" t="s">
        <v>3876</v>
      </c>
      <c r="AW9" s="145" t="s">
        <v>3876</v>
      </c>
      <c r="AX9" s="145" t="s">
        <v>3876</v>
      </c>
      <c r="AY9" s="145" t="s">
        <v>3876</v>
      </c>
      <c r="AZ9" s="146">
        <v>3.8942632092288869E-2</v>
      </c>
      <c r="BA9" s="147">
        <v>9.0649763120878688E-4</v>
      </c>
      <c r="BB9" s="181"/>
    </row>
    <row r="10" spans="1:54" ht="15" x14ac:dyDescent="0.2">
      <c r="A10" s="142" t="s">
        <v>1205</v>
      </c>
      <c r="B10" s="143" t="s">
        <v>1205</v>
      </c>
      <c r="C10" s="145" t="s">
        <v>3876</v>
      </c>
      <c r="D10" s="145" t="s">
        <v>3876</v>
      </c>
      <c r="E10" s="145" t="s">
        <v>3876</v>
      </c>
      <c r="F10" s="143" t="s">
        <v>3697</v>
      </c>
      <c r="G10" s="143" t="s">
        <v>1012</v>
      </c>
      <c r="H10" s="143" t="s">
        <v>3698</v>
      </c>
      <c r="I10" s="143" t="s">
        <v>204</v>
      </c>
      <c r="J10" s="145" t="s">
        <v>3876</v>
      </c>
      <c r="K10" s="143" t="s">
        <v>443</v>
      </c>
      <c r="L10" s="143" t="s">
        <v>339</v>
      </c>
      <c r="M10" s="143" t="s">
        <v>338</v>
      </c>
      <c r="N10" s="145" t="s">
        <v>3876</v>
      </c>
      <c r="O10" s="143" t="s">
        <v>3699</v>
      </c>
      <c r="P10" s="145" t="s">
        <v>3876</v>
      </c>
      <c r="Q10" s="143" t="s">
        <v>410</v>
      </c>
      <c r="R10" s="143" t="s">
        <v>410</v>
      </c>
      <c r="S10" s="143" t="s">
        <v>1210</v>
      </c>
      <c r="T10" s="144">
        <v>2.25</v>
      </c>
      <c r="U10" s="165" t="s">
        <v>823</v>
      </c>
      <c r="V10" s="146">
        <v>0.09</v>
      </c>
      <c r="W10" s="145" t="s">
        <v>3876</v>
      </c>
      <c r="X10" s="145" t="s">
        <v>3876</v>
      </c>
      <c r="Y10" s="166">
        <v>0.03</v>
      </c>
      <c r="Z10" s="146">
        <v>8.48E-2</v>
      </c>
      <c r="AA10" s="143" t="s">
        <v>3700</v>
      </c>
      <c r="AB10" s="143" t="s">
        <v>412</v>
      </c>
      <c r="AC10" s="145" t="s">
        <v>3876</v>
      </c>
      <c r="AD10" s="145" t="s">
        <v>3876</v>
      </c>
      <c r="AE10" s="167">
        <v>0.76</v>
      </c>
      <c r="AF10" s="143" t="s">
        <v>3701</v>
      </c>
      <c r="AG10" s="145" t="s">
        <v>3876</v>
      </c>
      <c r="AH10" s="145" t="s">
        <v>3876</v>
      </c>
      <c r="AI10" s="145" t="s">
        <v>3876</v>
      </c>
      <c r="AJ10" s="143" t="s">
        <v>339</v>
      </c>
      <c r="AK10" s="143" t="s">
        <v>886</v>
      </c>
      <c r="AL10" s="145" t="s">
        <v>3876</v>
      </c>
      <c r="AM10" s="143" t="s">
        <v>889</v>
      </c>
      <c r="AN10" s="160">
        <v>45473</v>
      </c>
      <c r="AO10" s="160">
        <v>45473</v>
      </c>
      <c r="AP10" s="145" t="s">
        <v>3876</v>
      </c>
      <c r="AQ10" s="144">
        <v>881964.35</v>
      </c>
      <c r="AR10" s="143" t="s">
        <v>3702</v>
      </c>
      <c r="AS10" s="145" t="s">
        <v>3876</v>
      </c>
      <c r="AT10" s="144">
        <v>897.66330000000005</v>
      </c>
      <c r="AU10" s="144">
        <v>897.66331539999999</v>
      </c>
      <c r="AV10" s="145" t="s">
        <v>3876</v>
      </c>
      <c r="AW10" s="145" t="s">
        <v>3876</v>
      </c>
      <c r="AX10" s="145" t="s">
        <v>3876</v>
      </c>
      <c r="AY10" s="145" t="s">
        <v>3876</v>
      </c>
      <c r="AZ10" s="146">
        <v>3.878380267941154E-2</v>
      </c>
      <c r="BA10" s="147">
        <v>9.0280043667405763E-4</v>
      </c>
      <c r="BB10" s="181"/>
    </row>
    <row r="11" spans="1:54" ht="15" x14ac:dyDescent="0.2">
      <c r="A11" s="142" t="s">
        <v>1205</v>
      </c>
      <c r="B11" s="143" t="s">
        <v>1205</v>
      </c>
      <c r="C11" s="145" t="s">
        <v>3876</v>
      </c>
      <c r="D11" s="145" t="s">
        <v>3876</v>
      </c>
      <c r="E11" s="145" t="s">
        <v>3876</v>
      </c>
      <c r="F11" s="143" t="s">
        <v>3703</v>
      </c>
      <c r="G11" s="143" t="s">
        <v>1012</v>
      </c>
      <c r="H11" s="145" t="s">
        <v>3876</v>
      </c>
      <c r="I11" s="143" t="s">
        <v>204</v>
      </c>
      <c r="J11" s="145" t="s">
        <v>3876</v>
      </c>
      <c r="K11" s="143" t="s">
        <v>440</v>
      </c>
      <c r="L11" s="143" t="s">
        <v>339</v>
      </c>
      <c r="M11" s="143" t="s">
        <v>338</v>
      </c>
      <c r="N11" s="145" t="s">
        <v>3876</v>
      </c>
      <c r="O11" s="143" t="s">
        <v>3704</v>
      </c>
      <c r="P11" s="143" t="s">
        <v>1396</v>
      </c>
      <c r="Q11" s="143" t="s">
        <v>415</v>
      </c>
      <c r="R11" s="143" t="s">
        <v>408</v>
      </c>
      <c r="S11" s="143" t="s">
        <v>1210</v>
      </c>
      <c r="T11" s="144">
        <v>3.9</v>
      </c>
      <c r="U11" s="165" t="s">
        <v>824</v>
      </c>
      <c r="V11" s="146">
        <v>0</v>
      </c>
      <c r="W11" s="145" t="s">
        <v>3876</v>
      </c>
      <c r="X11" s="145" t="s">
        <v>3876</v>
      </c>
      <c r="Y11" s="166">
        <v>0</v>
      </c>
      <c r="Z11" s="146">
        <v>0.03</v>
      </c>
      <c r="AA11" s="143" t="s">
        <v>1768</v>
      </c>
      <c r="AB11" s="143" t="s">
        <v>412</v>
      </c>
      <c r="AC11" s="145" t="s">
        <v>3876</v>
      </c>
      <c r="AD11" s="145" t="s">
        <v>3876</v>
      </c>
      <c r="AE11" s="167">
        <v>0.75</v>
      </c>
      <c r="AF11" s="143" t="s">
        <v>3695</v>
      </c>
      <c r="AG11" s="145" t="s">
        <v>3876</v>
      </c>
      <c r="AH11" s="145" t="s">
        <v>3876</v>
      </c>
      <c r="AI11" s="145" t="s">
        <v>3876</v>
      </c>
      <c r="AJ11" s="143" t="s">
        <v>338</v>
      </c>
      <c r="AK11" s="143" t="s">
        <v>886</v>
      </c>
      <c r="AL11" s="145" t="s">
        <v>3876</v>
      </c>
      <c r="AM11" s="143" t="s">
        <v>889</v>
      </c>
      <c r="AN11" s="160">
        <v>45473</v>
      </c>
      <c r="AO11" s="160">
        <v>45473</v>
      </c>
      <c r="AP11" s="145" t="s">
        <v>3876</v>
      </c>
      <c r="AQ11" s="144">
        <v>742237.56</v>
      </c>
      <c r="AR11" s="143" t="s">
        <v>3705</v>
      </c>
      <c r="AS11" s="145" t="s">
        <v>3876</v>
      </c>
      <c r="AT11" s="144">
        <v>854.53809999999999</v>
      </c>
      <c r="AU11" s="144">
        <v>854.53810279999993</v>
      </c>
      <c r="AV11" s="145" t="s">
        <v>3876</v>
      </c>
      <c r="AW11" s="145" t="s">
        <v>3876</v>
      </c>
      <c r="AX11" s="145" t="s">
        <v>3876</v>
      </c>
      <c r="AY11" s="145" t="s">
        <v>3876</v>
      </c>
      <c r="AZ11" s="146">
        <v>3.6920565419612805E-2</v>
      </c>
      <c r="BA11" s="147">
        <v>8.5942842837259648E-4</v>
      </c>
      <c r="BB11" s="181"/>
    </row>
    <row r="12" spans="1:54" ht="15" x14ac:dyDescent="0.2">
      <c r="A12" s="142" t="s">
        <v>1205</v>
      </c>
      <c r="B12" s="143" t="s">
        <v>1205</v>
      </c>
      <c r="C12" s="145" t="s">
        <v>3876</v>
      </c>
      <c r="D12" s="145" t="s">
        <v>3876</v>
      </c>
      <c r="E12" s="145" t="s">
        <v>3876</v>
      </c>
      <c r="F12" s="143" t="s">
        <v>3706</v>
      </c>
      <c r="G12" s="143" t="s">
        <v>1012</v>
      </c>
      <c r="H12" s="145" t="s">
        <v>3876</v>
      </c>
      <c r="I12" s="143" t="s">
        <v>204</v>
      </c>
      <c r="J12" s="145" t="s">
        <v>3876</v>
      </c>
      <c r="K12" s="143" t="s">
        <v>448</v>
      </c>
      <c r="L12" s="143" t="s">
        <v>339</v>
      </c>
      <c r="M12" s="143" t="s">
        <v>338</v>
      </c>
      <c r="N12" s="145" t="s">
        <v>3876</v>
      </c>
      <c r="O12" s="143" t="s">
        <v>3689</v>
      </c>
      <c r="P12" s="145" t="s">
        <v>3876</v>
      </c>
      <c r="Q12" s="143" t="s">
        <v>410</v>
      </c>
      <c r="R12" s="143" t="s">
        <v>410</v>
      </c>
      <c r="S12" s="143" t="s">
        <v>1210</v>
      </c>
      <c r="T12" s="144">
        <v>6.9</v>
      </c>
      <c r="U12" s="165" t="s">
        <v>823</v>
      </c>
      <c r="V12" s="146">
        <v>5.2093E-2</v>
      </c>
      <c r="W12" s="145" t="s">
        <v>3876</v>
      </c>
      <c r="X12" s="145" t="s">
        <v>3876</v>
      </c>
      <c r="Y12" s="166">
        <v>0</v>
      </c>
      <c r="Z12" s="146">
        <v>6.4299999999999996E-2</v>
      </c>
      <c r="AA12" s="143" t="s">
        <v>3707</v>
      </c>
      <c r="AB12" s="143" t="s">
        <v>412</v>
      </c>
      <c r="AC12" s="145" t="s">
        <v>3876</v>
      </c>
      <c r="AD12" s="145" t="s">
        <v>3876</v>
      </c>
      <c r="AE12" s="145" t="s">
        <v>3876</v>
      </c>
      <c r="AF12" s="145" t="s">
        <v>3876</v>
      </c>
      <c r="AG12" s="145" t="s">
        <v>3876</v>
      </c>
      <c r="AH12" s="145" t="s">
        <v>3876</v>
      </c>
      <c r="AI12" s="145" t="s">
        <v>3876</v>
      </c>
      <c r="AJ12" s="143" t="s">
        <v>339</v>
      </c>
      <c r="AK12" s="143" t="s">
        <v>886</v>
      </c>
      <c r="AL12" s="145" t="s">
        <v>3876</v>
      </c>
      <c r="AM12" s="143" t="s">
        <v>889</v>
      </c>
      <c r="AN12" s="160">
        <v>45473</v>
      </c>
      <c r="AO12" s="160">
        <v>45473</v>
      </c>
      <c r="AP12" s="145" t="s">
        <v>3876</v>
      </c>
      <c r="AQ12" s="144">
        <v>859583</v>
      </c>
      <c r="AR12" s="143" t="s">
        <v>3708</v>
      </c>
      <c r="AS12" s="145" t="s">
        <v>3876</v>
      </c>
      <c r="AT12" s="144">
        <v>826.57500000000005</v>
      </c>
      <c r="AU12" s="144">
        <v>826.57501279999997</v>
      </c>
      <c r="AV12" s="145" t="s">
        <v>3876</v>
      </c>
      <c r="AW12" s="145" t="s">
        <v>3876</v>
      </c>
      <c r="AX12" s="145" t="s">
        <v>3876</v>
      </c>
      <c r="AY12" s="145" t="s">
        <v>3876</v>
      </c>
      <c r="AZ12" s="146">
        <v>3.5712412042605231E-2</v>
      </c>
      <c r="BA12" s="147">
        <v>8.3130531199466866E-4</v>
      </c>
      <c r="BB12" s="181"/>
    </row>
    <row r="13" spans="1:54" ht="15" x14ac:dyDescent="0.2">
      <c r="A13" s="142" t="s">
        <v>1205</v>
      </c>
      <c r="B13" s="143" t="s">
        <v>1205</v>
      </c>
      <c r="C13" s="145" t="s">
        <v>3876</v>
      </c>
      <c r="D13" s="145" t="s">
        <v>3876</v>
      </c>
      <c r="E13" s="145" t="s">
        <v>3876</v>
      </c>
      <c r="F13" s="143" t="s">
        <v>3709</v>
      </c>
      <c r="G13" s="143" t="s">
        <v>1012</v>
      </c>
      <c r="H13" s="143" t="s">
        <v>812</v>
      </c>
      <c r="I13" s="143" t="s">
        <v>204</v>
      </c>
      <c r="J13" s="145" t="s">
        <v>3876</v>
      </c>
      <c r="K13" s="143" t="s">
        <v>454</v>
      </c>
      <c r="L13" s="143" t="s">
        <v>339</v>
      </c>
      <c r="M13" s="143" t="s">
        <v>338</v>
      </c>
      <c r="N13" s="145" t="s">
        <v>3876</v>
      </c>
      <c r="O13" s="143" t="s">
        <v>3710</v>
      </c>
      <c r="P13" s="143" t="s">
        <v>1389</v>
      </c>
      <c r="Q13" s="143" t="s">
        <v>413</v>
      </c>
      <c r="R13" s="143" t="s">
        <v>408</v>
      </c>
      <c r="S13" s="143" t="s">
        <v>1211</v>
      </c>
      <c r="T13" s="144">
        <v>2.69</v>
      </c>
      <c r="U13" s="165" t="s">
        <v>823</v>
      </c>
      <c r="V13" s="146">
        <v>0.110153</v>
      </c>
      <c r="W13" s="145" t="s">
        <v>3876</v>
      </c>
      <c r="X13" s="145" t="s">
        <v>3876</v>
      </c>
      <c r="Y13" s="166">
        <v>5.6783E-2</v>
      </c>
      <c r="Z13" s="146">
        <v>0.1008</v>
      </c>
      <c r="AA13" s="143" t="s">
        <v>3711</v>
      </c>
      <c r="AB13" s="143" t="s">
        <v>412</v>
      </c>
      <c r="AC13" s="145" t="s">
        <v>3876</v>
      </c>
      <c r="AD13" s="145" t="s">
        <v>3876</v>
      </c>
      <c r="AE13" s="167">
        <v>0.76</v>
      </c>
      <c r="AF13" s="143" t="s">
        <v>3710</v>
      </c>
      <c r="AG13" s="145" t="s">
        <v>3876</v>
      </c>
      <c r="AH13" s="145" t="s">
        <v>3876</v>
      </c>
      <c r="AI13" s="145" t="s">
        <v>3876</v>
      </c>
      <c r="AJ13" s="143" t="s">
        <v>339</v>
      </c>
      <c r="AK13" s="143" t="s">
        <v>886</v>
      </c>
      <c r="AL13" s="145" t="s">
        <v>3876</v>
      </c>
      <c r="AM13" s="143" t="s">
        <v>889</v>
      </c>
      <c r="AN13" s="160">
        <v>45473</v>
      </c>
      <c r="AO13" s="160">
        <v>45473</v>
      </c>
      <c r="AP13" s="145" t="s">
        <v>3876</v>
      </c>
      <c r="AQ13" s="144">
        <v>214052.76</v>
      </c>
      <c r="AR13" s="143" t="s">
        <v>3712</v>
      </c>
      <c r="AS13" s="143" t="s">
        <v>1212</v>
      </c>
      <c r="AT13" s="144">
        <v>811.38319999999999</v>
      </c>
      <c r="AU13" s="144">
        <v>215.8508032</v>
      </c>
      <c r="AV13" s="145" t="s">
        <v>3876</v>
      </c>
      <c r="AW13" s="145" t="s">
        <v>3876</v>
      </c>
      <c r="AX13" s="145" t="s">
        <v>3876</v>
      </c>
      <c r="AY13" s="145" t="s">
        <v>3876</v>
      </c>
      <c r="AZ13" s="146">
        <v>3.5056044052951693E-2</v>
      </c>
      <c r="BA13" s="147">
        <v>8.1602652892699755E-4</v>
      </c>
      <c r="BB13" s="181"/>
    </row>
    <row r="14" spans="1:54" ht="15" x14ac:dyDescent="0.2">
      <c r="A14" s="142" t="s">
        <v>1205</v>
      </c>
      <c r="B14" s="143" t="s">
        <v>1205</v>
      </c>
      <c r="C14" s="145" t="s">
        <v>3876</v>
      </c>
      <c r="D14" s="145" t="s">
        <v>3876</v>
      </c>
      <c r="E14" s="145" t="s">
        <v>3876</v>
      </c>
      <c r="F14" s="143" t="s">
        <v>3713</v>
      </c>
      <c r="G14" s="143" t="s">
        <v>1012</v>
      </c>
      <c r="H14" s="145" t="s">
        <v>3876</v>
      </c>
      <c r="I14" s="143" t="s">
        <v>204</v>
      </c>
      <c r="J14" s="145" t="s">
        <v>3876</v>
      </c>
      <c r="K14" s="143" t="s">
        <v>451</v>
      </c>
      <c r="L14" s="143" t="s">
        <v>339</v>
      </c>
      <c r="M14" s="143" t="s">
        <v>338</v>
      </c>
      <c r="N14" s="145" t="s">
        <v>3876</v>
      </c>
      <c r="O14" s="143" t="s">
        <v>3714</v>
      </c>
      <c r="P14" s="145" t="s">
        <v>3876</v>
      </c>
      <c r="Q14" s="143" t="s">
        <v>410</v>
      </c>
      <c r="R14" s="143" t="s">
        <v>410</v>
      </c>
      <c r="S14" s="143" t="s">
        <v>1211</v>
      </c>
      <c r="T14" s="144">
        <v>0.01</v>
      </c>
      <c r="U14" s="165" t="s">
        <v>314</v>
      </c>
      <c r="V14" s="143" t="s">
        <v>1266</v>
      </c>
      <c r="W14" s="145" t="s">
        <v>3876</v>
      </c>
      <c r="X14" s="145" t="s">
        <v>3876</v>
      </c>
      <c r="Y14" s="166">
        <v>0</v>
      </c>
      <c r="Z14" s="146">
        <v>1E-4</v>
      </c>
      <c r="AA14" s="143" t="s">
        <v>3714</v>
      </c>
      <c r="AB14" s="143" t="s">
        <v>412</v>
      </c>
      <c r="AC14" s="145" t="s">
        <v>3876</v>
      </c>
      <c r="AD14" s="145" t="s">
        <v>3876</v>
      </c>
      <c r="AE14" s="145" t="s">
        <v>3876</v>
      </c>
      <c r="AF14" s="145" t="s">
        <v>3876</v>
      </c>
      <c r="AG14" s="145" t="s">
        <v>3876</v>
      </c>
      <c r="AH14" s="145" t="s">
        <v>3876</v>
      </c>
      <c r="AI14" s="145" t="s">
        <v>3876</v>
      </c>
      <c r="AJ14" s="145" t="s">
        <v>3876</v>
      </c>
      <c r="AK14" s="143" t="s">
        <v>886</v>
      </c>
      <c r="AL14" s="145" t="s">
        <v>3876</v>
      </c>
      <c r="AM14" s="143" t="s">
        <v>889</v>
      </c>
      <c r="AN14" s="160">
        <v>45473</v>
      </c>
      <c r="AO14" s="160">
        <v>45473</v>
      </c>
      <c r="AP14" s="145" t="s">
        <v>3876</v>
      </c>
      <c r="AQ14" s="144">
        <v>143197</v>
      </c>
      <c r="AR14" s="143" t="s">
        <v>3715</v>
      </c>
      <c r="AS14" s="143" t="s">
        <v>1212</v>
      </c>
      <c r="AT14" s="144">
        <v>801.7428000000001</v>
      </c>
      <c r="AU14" s="144">
        <v>213.28620359999999</v>
      </c>
      <c r="AV14" s="145" t="s">
        <v>3876</v>
      </c>
      <c r="AW14" s="145" t="s">
        <v>3876</v>
      </c>
      <c r="AX14" s="145" t="s">
        <v>3876</v>
      </c>
      <c r="AY14" s="145" t="s">
        <v>3876</v>
      </c>
      <c r="AZ14" s="146">
        <v>3.4639530822666763E-2</v>
      </c>
      <c r="BA14" s="147">
        <v>8.063310297700422E-4</v>
      </c>
      <c r="BB14" s="181"/>
    </row>
    <row r="15" spans="1:54" ht="15" x14ac:dyDescent="0.2">
      <c r="A15" s="142" t="s">
        <v>1205</v>
      </c>
      <c r="B15" s="143" t="s">
        <v>1205</v>
      </c>
      <c r="C15" s="145" t="s">
        <v>3876</v>
      </c>
      <c r="D15" s="145" t="s">
        <v>3876</v>
      </c>
      <c r="E15" s="145" t="s">
        <v>3876</v>
      </c>
      <c r="F15" s="143" t="s">
        <v>3716</v>
      </c>
      <c r="G15" s="143" t="s">
        <v>1012</v>
      </c>
      <c r="H15" s="145" t="s">
        <v>3876</v>
      </c>
      <c r="I15" s="143" t="s">
        <v>204</v>
      </c>
      <c r="J15" s="145" t="s">
        <v>3876</v>
      </c>
      <c r="K15" s="143" t="s">
        <v>485</v>
      </c>
      <c r="L15" s="143" t="s">
        <v>339</v>
      </c>
      <c r="M15" s="143" t="s">
        <v>338</v>
      </c>
      <c r="N15" s="145" t="s">
        <v>3876</v>
      </c>
      <c r="O15" s="143" t="s">
        <v>3717</v>
      </c>
      <c r="P15" s="143" t="s">
        <v>1721</v>
      </c>
      <c r="Q15" s="143" t="s">
        <v>413</v>
      </c>
      <c r="R15" s="143" t="s">
        <v>408</v>
      </c>
      <c r="S15" s="143" t="s">
        <v>1210</v>
      </c>
      <c r="T15" s="144">
        <v>5.8</v>
      </c>
      <c r="U15" s="165" t="s">
        <v>824</v>
      </c>
      <c r="V15" s="146">
        <v>3.4099999999999998E-2</v>
      </c>
      <c r="W15" s="145" t="s">
        <v>3876</v>
      </c>
      <c r="X15" s="145" t="s">
        <v>3876</v>
      </c>
      <c r="Y15" s="166">
        <v>0</v>
      </c>
      <c r="Z15" s="146">
        <v>3.5400000000000001E-2</v>
      </c>
      <c r="AA15" s="143" t="s">
        <v>3718</v>
      </c>
      <c r="AB15" s="143" t="s">
        <v>412</v>
      </c>
      <c r="AC15" s="145" t="s">
        <v>3876</v>
      </c>
      <c r="AD15" s="145" t="s">
        <v>3876</v>
      </c>
      <c r="AE15" s="145" t="s">
        <v>3876</v>
      </c>
      <c r="AF15" s="145" t="s">
        <v>3876</v>
      </c>
      <c r="AG15" s="145" t="s">
        <v>3876</v>
      </c>
      <c r="AH15" s="145" t="s">
        <v>3876</v>
      </c>
      <c r="AI15" s="145" t="s">
        <v>3876</v>
      </c>
      <c r="AJ15" s="145" t="s">
        <v>3876</v>
      </c>
      <c r="AK15" s="143" t="s">
        <v>886</v>
      </c>
      <c r="AL15" s="145" t="s">
        <v>3876</v>
      </c>
      <c r="AM15" s="143" t="s">
        <v>889</v>
      </c>
      <c r="AN15" s="160">
        <v>45473</v>
      </c>
      <c r="AO15" s="160">
        <v>45473</v>
      </c>
      <c r="AP15" s="145" t="s">
        <v>3876</v>
      </c>
      <c r="AQ15" s="144">
        <v>678565.5</v>
      </c>
      <c r="AR15" s="143" t="s">
        <v>3719</v>
      </c>
      <c r="AS15" s="145" t="s">
        <v>3876</v>
      </c>
      <c r="AT15" s="144">
        <v>775.53250000000003</v>
      </c>
      <c r="AU15" s="144">
        <v>775.53251</v>
      </c>
      <c r="AV15" s="145" t="s">
        <v>3876</v>
      </c>
      <c r="AW15" s="145" t="s">
        <v>3876</v>
      </c>
      <c r="AX15" s="145" t="s">
        <v>3876</v>
      </c>
      <c r="AY15" s="145" t="s">
        <v>3876</v>
      </c>
      <c r="AZ15" s="146">
        <v>3.350710597208878E-2</v>
      </c>
      <c r="BA15" s="147">
        <v>7.7997070460922259E-4</v>
      </c>
      <c r="BB15" s="181"/>
    </row>
    <row r="16" spans="1:54" ht="15" x14ac:dyDescent="0.2">
      <c r="A16" s="142" t="s">
        <v>1205</v>
      </c>
      <c r="B16" s="143" t="s">
        <v>1205</v>
      </c>
      <c r="C16" s="145" t="s">
        <v>3876</v>
      </c>
      <c r="D16" s="145" t="s">
        <v>3876</v>
      </c>
      <c r="E16" s="145" t="s">
        <v>3876</v>
      </c>
      <c r="F16" s="143" t="s">
        <v>3720</v>
      </c>
      <c r="G16" s="143" t="s">
        <v>1012</v>
      </c>
      <c r="H16" s="145" t="s">
        <v>3876</v>
      </c>
      <c r="I16" s="143" t="s">
        <v>204</v>
      </c>
      <c r="J16" s="145" t="s">
        <v>3876</v>
      </c>
      <c r="K16" s="143" t="s">
        <v>443</v>
      </c>
      <c r="L16" s="143" t="s">
        <v>339</v>
      </c>
      <c r="M16" s="143" t="s">
        <v>338</v>
      </c>
      <c r="N16" s="145" t="s">
        <v>3876</v>
      </c>
      <c r="O16" s="143" t="s">
        <v>3721</v>
      </c>
      <c r="P16" s="145" t="s">
        <v>3876</v>
      </c>
      <c r="Q16" s="143" t="s">
        <v>410</v>
      </c>
      <c r="R16" s="143" t="s">
        <v>410</v>
      </c>
      <c r="S16" s="143" t="s">
        <v>1210</v>
      </c>
      <c r="T16" s="144">
        <v>3.12</v>
      </c>
      <c r="U16" s="165" t="s">
        <v>823</v>
      </c>
      <c r="V16" s="146">
        <v>8.5000000000000006E-2</v>
      </c>
      <c r="W16" s="145" t="s">
        <v>3876</v>
      </c>
      <c r="X16" s="145" t="s">
        <v>3876</v>
      </c>
      <c r="Y16" s="166">
        <v>0</v>
      </c>
      <c r="Z16" s="146">
        <v>7.9899999999999999E-2</v>
      </c>
      <c r="AA16" s="143" t="s">
        <v>3722</v>
      </c>
      <c r="AB16" s="143" t="s">
        <v>412</v>
      </c>
      <c r="AC16" s="145" t="s">
        <v>3876</v>
      </c>
      <c r="AD16" s="145" t="s">
        <v>3876</v>
      </c>
      <c r="AE16" s="167">
        <v>0.17</v>
      </c>
      <c r="AF16" s="143" t="s">
        <v>3723</v>
      </c>
      <c r="AG16" s="145" t="s">
        <v>3876</v>
      </c>
      <c r="AH16" s="145" t="s">
        <v>3876</v>
      </c>
      <c r="AI16" s="145" t="s">
        <v>3876</v>
      </c>
      <c r="AJ16" s="143" t="s">
        <v>338</v>
      </c>
      <c r="AK16" s="143" t="s">
        <v>886</v>
      </c>
      <c r="AL16" s="145" t="s">
        <v>3876</v>
      </c>
      <c r="AM16" s="143" t="s">
        <v>889</v>
      </c>
      <c r="AN16" s="160">
        <v>45473</v>
      </c>
      <c r="AO16" s="160">
        <v>45473</v>
      </c>
      <c r="AP16" s="145" t="s">
        <v>3876</v>
      </c>
      <c r="AQ16" s="144">
        <v>632000</v>
      </c>
      <c r="AR16" s="143" t="s">
        <v>3724</v>
      </c>
      <c r="AS16" s="145" t="s">
        <v>3876</v>
      </c>
      <c r="AT16" s="144">
        <v>651.14959999999996</v>
      </c>
      <c r="AU16" s="144">
        <v>651.14959999999996</v>
      </c>
      <c r="AV16" s="145" t="s">
        <v>3876</v>
      </c>
      <c r="AW16" s="145" t="s">
        <v>3876</v>
      </c>
      <c r="AX16" s="145" t="s">
        <v>3876</v>
      </c>
      <c r="AY16" s="145" t="s">
        <v>3876</v>
      </c>
      <c r="AZ16" s="146">
        <v>2.8133106441005133E-2</v>
      </c>
      <c r="BA16" s="147">
        <v>6.5487597979710388E-4</v>
      </c>
      <c r="BB16" s="181"/>
    </row>
    <row r="17" spans="1:54" ht="15" x14ac:dyDescent="0.2">
      <c r="A17" s="142" t="s">
        <v>1205</v>
      </c>
      <c r="B17" s="143" t="s">
        <v>1205</v>
      </c>
      <c r="C17" s="145" t="s">
        <v>3876</v>
      </c>
      <c r="D17" s="145" t="s">
        <v>3876</v>
      </c>
      <c r="E17" s="145" t="s">
        <v>3876</v>
      </c>
      <c r="F17" s="143" t="s">
        <v>3725</v>
      </c>
      <c r="G17" s="143" t="s">
        <v>1012</v>
      </c>
      <c r="H17" s="145" t="s">
        <v>3876</v>
      </c>
      <c r="I17" s="143" t="s">
        <v>204</v>
      </c>
      <c r="J17" s="145" t="s">
        <v>3876</v>
      </c>
      <c r="K17" s="143" t="s">
        <v>443</v>
      </c>
      <c r="L17" s="143" t="s">
        <v>339</v>
      </c>
      <c r="M17" s="143" t="s">
        <v>338</v>
      </c>
      <c r="N17" s="145" t="s">
        <v>3876</v>
      </c>
      <c r="O17" s="143" t="s">
        <v>3726</v>
      </c>
      <c r="P17" s="145" t="s">
        <v>3876</v>
      </c>
      <c r="Q17" s="143" t="s">
        <v>410</v>
      </c>
      <c r="R17" s="143" t="s">
        <v>410</v>
      </c>
      <c r="S17" s="143" t="s">
        <v>1210</v>
      </c>
      <c r="T17" s="144">
        <v>1.34</v>
      </c>
      <c r="U17" s="165" t="s">
        <v>824</v>
      </c>
      <c r="V17" s="146">
        <v>9.0439000000000005E-2</v>
      </c>
      <c r="W17" s="145" t="s">
        <v>3876</v>
      </c>
      <c r="X17" s="145" t="s">
        <v>3876</v>
      </c>
      <c r="Y17" s="166">
        <v>0</v>
      </c>
      <c r="Z17" s="146">
        <v>7.7799999999999994E-2</v>
      </c>
      <c r="AA17" s="143" t="s">
        <v>3727</v>
      </c>
      <c r="AB17" s="143" t="s">
        <v>412</v>
      </c>
      <c r="AC17" s="145" t="s">
        <v>3876</v>
      </c>
      <c r="AD17" s="145" t="s">
        <v>3876</v>
      </c>
      <c r="AE17" s="167">
        <v>0</v>
      </c>
      <c r="AF17" s="143" t="s">
        <v>3728</v>
      </c>
      <c r="AG17" s="145" t="s">
        <v>3876</v>
      </c>
      <c r="AH17" s="145" t="s">
        <v>3876</v>
      </c>
      <c r="AI17" s="145" t="s">
        <v>3876</v>
      </c>
      <c r="AJ17" s="145" t="s">
        <v>3876</v>
      </c>
      <c r="AK17" s="143" t="s">
        <v>886</v>
      </c>
      <c r="AL17" s="145" t="s">
        <v>3876</v>
      </c>
      <c r="AM17" s="143" t="s">
        <v>889</v>
      </c>
      <c r="AN17" s="160">
        <v>45473</v>
      </c>
      <c r="AO17" s="160">
        <v>45473</v>
      </c>
      <c r="AP17" s="145" t="s">
        <v>3876</v>
      </c>
      <c r="AQ17" s="144">
        <v>590267.04</v>
      </c>
      <c r="AR17" s="143" t="s">
        <v>3729</v>
      </c>
      <c r="AS17" s="145" t="s">
        <v>3876</v>
      </c>
      <c r="AT17" s="144">
        <v>649.11669999999992</v>
      </c>
      <c r="AU17" s="144">
        <v>649.11666389999993</v>
      </c>
      <c r="AV17" s="145" t="s">
        <v>3876</v>
      </c>
      <c r="AW17" s="145" t="s">
        <v>3876</v>
      </c>
      <c r="AX17" s="145" t="s">
        <v>3876</v>
      </c>
      <c r="AY17" s="145" t="s">
        <v>3876</v>
      </c>
      <c r="AZ17" s="146">
        <v>2.8045272849420863E-2</v>
      </c>
      <c r="BA17" s="147">
        <v>6.528314096580592E-4</v>
      </c>
      <c r="BB17" s="181"/>
    </row>
    <row r="18" spans="1:54" ht="15" x14ac:dyDescent="0.2">
      <c r="A18" s="142" t="s">
        <v>1205</v>
      </c>
      <c r="B18" s="143" t="s">
        <v>1205</v>
      </c>
      <c r="C18" s="145" t="s">
        <v>3876</v>
      </c>
      <c r="D18" s="145" t="s">
        <v>3876</v>
      </c>
      <c r="E18" s="145" t="s">
        <v>3876</v>
      </c>
      <c r="F18" s="143" t="s">
        <v>3730</v>
      </c>
      <c r="G18" s="143" t="s">
        <v>1012</v>
      </c>
      <c r="H18" s="145" t="s">
        <v>3876</v>
      </c>
      <c r="I18" s="143" t="s">
        <v>204</v>
      </c>
      <c r="J18" s="145" t="s">
        <v>3876</v>
      </c>
      <c r="K18" s="143" t="s">
        <v>484</v>
      </c>
      <c r="L18" s="143" t="s">
        <v>339</v>
      </c>
      <c r="M18" s="143" t="s">
        <v>338</v>
      </c>
      <c r="N18" s="145" t="s">
        <v>3876</v>
      </c>
      <c r="O18" s="143" t="s">
        <v>3731</v>
      </c>
      <c r="P18" s="145" t="s">
        <v>3876</v>
      </c>
      <c r="Q18" s="143" t="s">
        <v>410</v>
      </c>
      <c r="R18" s="143" t="s">
        <v>410</v>
      </c>
      <c r="S18" s="143" t="s">
        <v>1210</v>
      </c>
      <c r="T18" s="144">
        <v>4.88</v>
      </c>
      <c r="U18" s="165" t="s">
        <v>824</v>
      </c>
      <c r="V18" s="146">
        <v>0</v>
      </c>
      <c r="W18" s="145" t="s">
        <v>3876</v>
      </c>
      <c r="X18" s="145" t="s">
        <v>3876</v>
      </c>
      <c r="Y18" s="166">
        <v>0</v>
      </c>
      <c r="Z18" s="146">
        <v>3.6499999999999998E-2</v>
      </c>
      <c r="AA18" s="143" t="s">
        <v>1774</v>
      </c>
      <c r="AB18" s="143" t="s">
        <v>412</v>
      </c>
      <c r="AC18" s="145" t="s">
        <v>3876</v>
      </c>
      <c r="AD18" s="145" t="s">
        <v>3876</v>
      </c>
      <c r="AE18" s="145" t="s">
        <v>3876</v>
      </c>
      <c r="AF18" s="143" t="s">
        <v>3732</v>
      </c>
      <c r="AG18" s="145" t="s">
        <v>3876</v>
      </c>
      <c r="AH18" s="145" t="s">
        <v>3876</v>
      </c>
      <c r="AI18" s="145" t="s">
        <v>3876</v>
      </c>
      <c r="AJ18" s="145" t="s">
        <v>3876</v>
      </c>
      <c r="AK18" s="143" t="s">
        <v>886</v>
      </c>
      <c r="AL18" s="145" t="s">
        <v>3876</v>
      </c>
      <c r="AM18" s="143" t="s">
        <v>889</v>
      </c>
      <c r="AN18" s="160">
        <v>45473</v>
      </c>
      <c r="AO18" s="160">
        <v>45473</v>
      </c>
      <c r="AP18" s="145" t="s">
        <v>3876</v>
      </c>
      <c r="AQ18" s="144">
        <v>547381.81999999995</v>
      </c>
      <c r="AR18" s="143" t="s">
        <v>3733</v>
      </c>
      <c r="AS18" s="145" t="s">
        <v>3876</v>
      </c>
      <c r="AT18" s="144">
        <v>614.7645</v>
      </c>
      <c r="AU18" s="144">
        <v>614.76452200000006</v>
      </c>
      <c r="AV18" s="145" t="s">
        <v>3876</v>
      </c>
      <c r="AW18" s="145" t="s">
        <v>3876</v>
      </c>
      <c r="AX18" s="145" t="s">
        <v>3876</v>
      </c>
      <c r="AY18" s="145" t="s">
        <v>3876</v>
      </c>
      <c r="AZ18" s="146">
        <v>2.6561078644233571E-2</v>
      </c>
      <c r="BA18" s="147">
        <v>6.1828267838412714E-4</v>
      </c>
      <c r="BB18" s="181"/>
    </row>
    <row r="19" spans="1:54" ht="15" x14ac:dyDescent="0.2">
      <c r="A19" s="142" t="s">
        <v>1205</v>
      </c>
      <c r="B19" s="143" t="s">
        <v>1205</v>
      </c>
      <c r="C19" s="145" t="s">
        <v>3876</v>
      </c>
      <c r="D19" s="145" t="s">
        <v>3876</v>
      </c>
      <c r="E19" s="145" t="s">
        <v>3876</v>
      </c>
      <c r="F19" s="143" t="s">
        <v>3734</v>
      </c>
      <c r="G19" s="143" t="s">
        <v>1012</v>
      </c>
      <c r="H19" s="145" t="s">
        <v>3876</v>
      </c>
      <c r="I19" s="143" t="s">
        <v>204</v>
      </c>
      <c r="J19" s="145" t="s">
        <v>3876</v>
      </c>
      <c r="K19" s="143" t="s">
        <v>448</v>
      </c>
      <c r="L19" s="143" t="s">
        <v>339</v>
      </c>
      <c r="M19" s="143" t="s">
        <v>338</v>
      </c>
      <c r="N19" s="145" t="s">
        <v>3876</v>
      </c>
      <c r="O19" s="143" t="s">
        <v>3689</v>
      </c>
      <c r="P19" s="145" t="s">
        <v>3876</v>
      </c>
      <c r="Q19" s="143" t="s">
        <v>410</v>
      </c>
      <c r="R19" s="143" t="s">
        <v>410</v>
      </c>
      <c r="S19" s="143" t="s">
        <v>1210</v>
      </c>
      <c r="T19" s="144">
        <v>6.81</v>
      </c>
      <c r="U19" s="165" t="s">
        <v>824</v>
      </c>
      <c r="V19" s="146">
        <v>1.7982999999999999E-2</v>
      </c>
      <c r="W19" s="145" t="s">
        <v>3876</v>
      </c>
      <c r="X19" s="145" t="s">
        <v>3876</v>
      </c>
      <c r="Y19" s="166">
        <v>0</v>
      </c>
      <c r="Z19" s="146">
        <v>4.9799999999999997E-2</v>
      </c>
      <c r="AA19" s="143" t="s">
        <v>3707</v>
      </c>
      <c r="AB19" s="143" t="s">
        <v>412</v>
      </c>
      <c r="AC19" s="145" t="s">
        <v>3876</v>
      </c>
      <c r="AD19" s="145" t="s">
        <v>3876</v>
      </c>
      <c r="AE19" s="145" t="s">
        <v>3876</v>
      </c>
      <c r="AF19" s="145" t="s">
        <v>3876</v>
      </c>
      <c r="AG19" s="145" t="s">
        <v>3876</v>
      </c>
      <c r="AH19" s="145" t="s">
        <v>3876</v>
      </c>
      <c r="AI19" s="145" t="s">
        <v>3876</v>
      </c>
      <c r="AJ19" s="143" t="s">
        <v>339</v>
      </c>
      <c r="AK19" s="143" t="s">
        <v>886</v>
      </c>
      <c r="AL19" s="145" t="s">
        <v>3876</v>
      </c>
      <c r="AM19" s="143" t="s">
        <v>889</v>
      </c>
      <c r="AN19" s="160">
        <v>45473</v>
      </c>
      <c r="AO19" s="160">
        <v>45473</v>
      </c>
      <c r="AP19" s="145" t="s">
        <v>3876</v>
      </c>
      <c r="AQ19" s="144">
        <v>452874.35</v>
      </c>
      <c r="AR19" s="143" t="s">
        <v>3735</v>
      </c>
      <c r="AS19" s="145" t="s">
        <v>3876</v>
      </c>
      <c r="AT19" s="144">
        <v>567.85910000000001</v>
      </c>
      <c r="AU19" s="144">
        <v>567.85914749999995</v>
      </c>
      <c r="AV19" s="145" t="s">
        <v>3876</v>
      </c>
      <c r="AW19" s="145" t="s">
        <v>3876</v>
      </c>
      <c r="AX19" s="145" t="s">
        <v>3876</v>
      </c>
      <c r="AY19" s="145" t="s">
        <v>3876</v>
      </c>
      <c r="AZ19" s="146">
        <v>2.4534518395052801E-2</v>
      </c>
      <c r="BA19" s="147">
        <v>5.7110887510779392E-4</v>
      </c>
      <c r="BB19" s="181"/>
    </row>
    <row r="20" spans="1:54" ht="15" x14ac:dyDescent="0.2">
      <c r="A20" s="142" t="s">
        <v>1205</v>
      </c>
      <c r="B20" s="143" t="s">
        <v>1205</v>
      </c>
      <c r="C20" s="145" t="s">
        <v>3876</v>
      </c>
      <c r="D20" s="145" t="s">
        <v>3876</v>
      </c>
      <c r="E20" s="145" t="s">
        <v>3876</v>
      </c>
      <c r="F20" s="143" t="s">
        <v>3736</v>
      </c>
      <c r="G20" s="143" t="s">
        <v>1012</v>
      </c>
      <c r="H20" s="143" t="s">
        <v>817</v>
      </c>
      <c r="I20" s="143" t="s">
        <v>204</v>
      </c>
      <c r="J20" s="145" t="s">
        <v>3876</v>
      </c>
      <c r="K20" s="143" t="s">
        <v>446</v>
      </c>
      <c r="L20" s="143" t="s">
        <v>339</v>
      </c>
      <c r="M20" s="143" t="s">
        <v>338</v>
      </c>
      <c r="N20" s="145" t="s">
        <v>3876</v>
      </c>
      <c r="O20" s="143" t="s">
        <v>3737</v>
      </c>
      <c r="P20" s="145" t="s">
        <v>3876</v>
      </c>
      <c r="Q20" s="143" t="s">
        <v>410</v>
      </c>
      <c r="R20" s="143" t="s">
        <v>410</v>
      </c>
      <c r="S20" s="143" t="s">
        <v>1210</v>
      </c>
      <c r="T20" s="144">
        <v>1.71</v>
      </c>
      <c r="U20" s="165" t="s">
        <v>824</v>
      </c>
      <c r="V20" s="146">
        <v>0.08</v>
      </c>
      <c r="W20" s="145" t="s">
        <v>3876</v>
      </c>
      <c r="X20" s="145" t="s">
        <v>3876</v>
      </c>
      <c r="Y20" s="166">
        <v>0</v>
      </c>
      <c r="Z20" s="146">
        <v>0.25140000000000001</v>
      </c>
      <c r="AA20" s="143" t="s">
        <v>1419</v>
      </c>
      <c r="AB20" s="143" t="s">
        <v>412</v>
      </c>
      <c r="AC20" s="145" t="s">
        <v>3876</v>
      </c>
      <c r="AD20" s="145" t="s">
        <v>3876</v>
      </c>
      <c r="AE20" s="167">
        <v>0.72</v>
      </c>
      <c r="AF20" s="143" t="s">
        <v>3738</v>
      </c>
      <c r="AG20" s="145" t="s">
        <v>3876</v>
      </c>
      <c r="AH20" s="145" t="s">
        <v>3876</v>
      </c>
      <c r="AI20" s="145" t="s">
        <v>3876</v>
      </c>
      <c r="AJ20" s="143" t="s">
        <v>338</v>
      </c>
      <c r="AK20" s="143" t="s">
        <v>886</v>
      </c>
      <c r="AL20" s="145" t="s">
        <v>3876</v>
      </c>
      <c r="AM20" s="143" t="s">
        <v>889</v>
      </c>
      <c r="AN20" s="160">
        <v>45473</v>
      </c>
      <c r="AO20" s="160">
        <v>45473</v>
      </c>
      <c r="AP20" s="145" t="s">
        <v>3876</v>
      </c>
      <c r="AQ20" s="144">
        <v>592941</v>
      </c>
      <c r="AR20" s="143" t="s">
        <v>3739</v>
      </c>
      <c r="AS20" s="145" t="s">
        <v>3876</v>
      </c>
      <c r="AT20" s="144">
        <v>457.09820000000002</v>
      </c>
      <c r="AU20" s="144">
        <v>457.09821689999995</v>
      </c>
      <c r="AV20" s="145" t="s">
        <v>3876</v>
      </c>
      <c r="AW20" s="145" t="s">
        <v>3876</v>
      </c>
      <c r="AX20" s="145" t="s">
        <v>3876</v>
      </c>
      <c r="AY20" s="145" t="s">
        <v>3876</v>
      </c>
      <c r="AZ20" s="146">
        <v>1.9749060415673068E-2</v>
      </c>
      <c r="BA20" s="147">
        <v>4.5971408514402314E-4</v>
      </c>
      <c r="BB20" s="181"/>
    </row>
    <row r="21" spans="1:54" ht="15" x14ac:dyDescent="0.2">
      <c r="A21" s="142" t="s">
        <v>1205</v>
      </c>
      <c r="B21" s="143" t="s">
        <v>1205</v>
      </c>
      <c r="C21" s="145" t="s">
        <v>3876</v>
      </c>
      <c r="D21" s="145" t="s">
        <v>3876</v>
      </c>
      <c r="E21" s="145" t="s">
        <v>3876</v>
      </c>
      <c r="F21" s="143" t="s">
        <v>3740</v>
      </c>
      <c r="G21" s="143" t="s">
        <v>1012</v>
      </c>
      <c r="H21" s="145" t="s">
        <v>3876</v>
      </c>
      <c r="I21" s="143" t="s">
        <v>204</v>
      </c>
      <c r="J21" s="145" t="s">
        <v>3876</v>
      </c>
      <c r="K21" s="143" t="s">
        <v>443</v>
      </c>
      <c r="L21" s="143" t="s">
        <v>339</v>
      </c>
      <c r="M21" s="143" t="s">
        <v>338</v>
      </c>
      <c r="N21" s="145" t="s">
        <v>3876</v>
      </c>
      <c r="O21" s="143" t="s">
        <v>3741</v>
      </c>
      <c r="P21" s="143" t="s">
        <v>2028</v>
      </c>
      <c r="Q21" s="143" t="s">
        <v>312</v>
      </c>
      <c r="R21" s="143" t="s">
        <v>408</v>
      </c>
      <c r="S21" s="143" t="s">
        <v>1210</v>
      </c>
      <c r="T21" s="144">
        <v>7.0000000000000007E-2</v>
      </c>
      <c r="U21" s="165" t="s">
        <v>823</v>
      </c>
      <c r="V21" s="146">
        <v>8.3000000000000004E-2</v>
      </c>
      <c r="W21" s="145" t="s">
        <v>3876</v>
      </c>
      <c r="X21" s="145" t="s">
        <v>3876</v>
      </c>
      <c r="Y21" s="166">
        <v>0</v>
      </c>
      <c r="Z21" s="146">
        <v>8.3900000000000002E-2</v>
      </c>
      <c r="AA21" s="143" t="s">
        <v>3742</v>
      </c>
      <c r="AB21" s="143" t="s">
        <v>412</v>
      </c>
      <c r="AC21" s="145" t="s">
        <v>3876</v>
      </c>
      <c r="AD21" s="145" t="s">
        <v>3876</v>
      </c>
      <c r="AE21" s="168">
        <v>0.75</v>
      </c>
      <c r="AF21" s="143" t="s">
        <v>3743</v>
      </c>
      <c r="AG21" s="145" t="s">
        <v>3876</v>
      </c>
      <c r="AH21" s="145" t="s">
        <v>3876</v>
      </c>
      <c r="AI21" s="145" t="s">
        <v>3876</v>
      </c>
      <c r="AJ21" s="143" t="s">
        <v>338</v>
      </c>
      <c r="AK21" s="143" t="s">
        <v>886</v>
      </c>
      <c r="AL21" s="145" t="s">
        <v>3876</v>
      </c>
      <c r="AM21" s="143" t="s">
        <v>889</v>
      </c>
      <c r="AN21" s="160">
        <v>45473</v>
      </c>
      <c r="AO21" s="160">
        <v>45473</v>
      </c>
      <c r="AP21" s="145" t="s">
        <v>3876</v>
      </c>
      <c r="AQ21" s="144">
        <v>421333.34</v>
      </c>
      <c r="AR21" s="143" t="s">
        <v>1535</v>
      </c>
      <c r="AS21" s="145" t="s">
        <v>3876</v>
      </c>
      <c r="AT21" s="144">
        <v>427.48480000000001</v>
      </c>
      <c r="AU21" s="144">
        <v>427.4848068</v>
      </c>
      <c r="AV21" s="145" t="s">
        <v>3876</v>
      </c>
      <c r="AW21" s="145" t="s">
        <v>3876</v>
      </c>
      <c r="AX21" s="145" t="s">
        <v>3876</v>
      </c>
      <c r="AY21" s="145" t="s">
        <v>3876</v>
      </c>
      <c r="AZ21" s="146">
        <v>1.8469604481987124E-2</v>
      </c>
      <c r="BA21" s="147">
        <v>4.2993120425467534E-4</v>
      </c>
      <c r="BB21" s="181"/>
    </row>
    <row r="22" spans="1:54" ht="15" x14ac:dyDescent="0.2">
      <c r="A22" s="142" t="s">
        <v>1205</v>
      </c>
      <c r="B22" s="143" t="s">
        <v>1205</v>
      </c>
      <c r="C22" s="145" t="s">
        <v>3876</v>
      </c>
      <c r="D22" s="145" t="s">
        <v>3876</v>
      </c>
      <c r="E22" s="145" t="s">
        <v>3876</v>
      </c>
      <c r="F22" s="143" t="s">
        <v>3744</v>
      </c>
      <c r="G22" s="143" t="s">
        <v>1012</v>
      </c>
      <c r="H22" s="143" t="s">
        <v>784</v>
      </c>
      <c r="I22" s="143" t="s">
        <v>204</v>
      </c>
      <c r="J22" s="145" t="s">
        <v>3876</v>
      </c>
      <c r="K22" s="143" t="s">
        <v>443</v>
      </c>
      <c r="L22" s="143" t="s">
        <v>339</v>
      </c>
      <c r="M22" s="143" t="s">
        <v>338</v>
      </c>
      <c r="N22" s="145" t="s">
        <v>3876</v>
      </c>
      <c r="O22" s="143" t="s">
        <v>3745</v>
      </c>
      <c r="P22" s="145" t="s">
        <v>3876</v>
      </c>
      <c r="Q22" s="143" t="s">
        <v>410</v>
      </c>
      <c r="R22" s="143" t="s">
        <v>410</v>
      </c>
      <c r="S22" s="143" t="s">
        <v>1210</v>
      </c>
      <c r="T22" s="144">
        <v>2.17</v>
      </c>
      <c r="U22" s="169" t="s">
        <v>823</v>
      </c>
      <c r="V22" s="146">
        <v>8.2500000000000004E-2</v>
      </c>
      <c r="W22" s="145" t="s">
        <v>3876</v>
      </c>
      <c r="X22" s="145" t="s">
        <v>3876</v>
      </c>
      <c r="Y22" s="166">
        <v>0</v>
      </c>
      <c r="Z22" s="146">
        <v>7.0699999999999999E-2</v>
      </c>
      <c r="AA22" s="143" t="s">
        <v>3746</v>
      </c>
      <c r="AB22" s="143" t="s">
        <v>412</v>
      </c>
      <c r="AC22" s="145" t="s">
        <v>3876</v>
      </c>
      <c r="AD22" s="145" t="s">
        <v>3876</v>
      </c>
      <c r="AE22" s="168">
        <v>0.62</v>
      </c>
      <c r="AF22" s="143" t="s">
        <v>3747</v>
      </c>
      <c r="AG22" s="145" t="s">
        <v>3876</v>
      </c>
      <c r="AH22" s="145" t="s">
        <v>3876</v>
      </c>
      <c r="AI22" s="145" t="s">
        <v>3876</v>
      </c>
      <c r="AJ22" s="143" t="s">
        <v>338</v>
      </c>
      <c r="AK22" s="143" t="s">
        <v>886</v>
      </c>
      <c r="AL22" s="145" t="s">
        <v>3876</v>
      </c>
      <c r="AM22" s="143" t="s">
        <v>889</v>
      </c>
      <c r="AN22" s="160">
        <v>45473</v>
      </c>
      <c r="AO22" s="160">
        <v>45473</v>
      </c>
      <c r="AP22" s="145" t="s">
        <v>3876</v>
      </c>
      <c r="AQ22" s="144">
        <v>362518</v>
      </c>
      <c r="AR22" s="143" t="s">
        <v>3748</v>
      </c>
      <c r="AS22" s="145" t="s">
        <v>3876</v>
      </c>
      <c r="AT22" s="144">
        <v>380.31759999999997</v>
      </c>
      <c r="AU22" s="144">
        <v>380.31763380000001</v>
      </c>
      <c r="AV22" s="145" t="s">
        <v>3876</v>
      </c>
      <c r="AW22" s="145" t="s">
        <v>3876</v>
      </c>
      <c r="AX22" s="145" t="s">
        <v>3876</v>
      </c>
      <c r="AY22" s="145" t="s">
        <v>3876</v>
      </c>
      <c r="AZ22" s="146">
        <v>1.643173315792041E-2</v>
      </c>
      <c r="BA22" s="147">
        <v>3.8249410437922584E-4</v>
      </c>
      <c r="BB22" s="181"/>
    </row>
    <row r="23" spans="1:54" ht="15" x14ac:dyDescent="0.2">
      <c r="A23" s="142" t="s">
        <v>1205</v>
      </c>
      <c r="B23" s="143" t="s">
        <v>1205</v>
      </c>
      <c r="C23" s="145" t="s">
        <v>3876</v>
      </c>
      <c r="D23" s="145" t="s">
        <v>3876</v>
      </c>
      <c r="E23" s="145" t="s">
        <v>3876</v>
      </c>
      <c r="F23" s="143" t="s">
        <v>3749</v>
      </c>
      <c r="G23" s="143" t="s">
        <v>1012</v>
      </c>
      <c r="H23" s="145" t="s">
        <v>3876</v>
      </c>
      <c r="I23" s="143" t="s">
        <v>204</v>
      </c>
      <c r="J23" s="145" t="s">
        <v>3876</v>
      </c>
      <c r="K23" s="143" t="s">
        <v>448</v>
      </c>
      <c r="L23" s="143" t="s">
        <v>339</v>
      </c>
      <c r="M23" s="143" t="s">
        <v>338</v>
      </c>
      <c r="N23" s="145" t="s">
        <v>3876</v>
      </c>
      <c r="O23" s="143" t="s">
        <v>3689</v>
      </c>
      <c r="P23" s="145" t="s">
        <v>3876</v>
      </c>
      <c r="Q23" s="143" t="s">
        <v>410</v>
      </c>
      <c r="R23" s="143" t="s">
        <v>410</v>
      </c>
      <c r="S23" s="143" t="s">
        <v>1210</v>
      </c>
      <c r="T23" s="144">
        <v>6.35</v>
      </c>
      <c r="U23" s="169" t="s">
        <v>824</v>
      </c>
      <c r="V23" s="146">
        <v>2.3505000000000002E-2</v>
      </c>
      <c r="W23" s="145" t="s">
        <v>3876</v>
      </c>
      <c r="X23" s="145" t="s">
        <v>3876</v>
      </c>
      <c r="Y23" s="166">
        <v>0</v>
      </c>
      <c r="Z23" s="146">
        <v>2.3400000000000001E-2</v>
      </c>
      <c r="AA23" s="143" t="s">
        <v>3707</v>
      </c>
      <c r="AB23" s="143" t="s">
        <v>412</v>
      </c>
      <c r="AC23" s="145" t="s">
        <v>3876</v>
      </c>
      <c r="AD23" s="145" t="s">
        <v>3876</v>
      </c>
      <c r="AE23" s="145" t="s">
        <v>3876</v>
      </c>
      <c r="AF23" s="145" t="s">
        <v>3876</v>
      </c>
      <c r="AG23" s="145" t="s">
        <v>3876</v>
      </c>
      <c r="AH23" s="145" t="s">
        <v>3876</v>
      </c>
      <c r="AI23" s="145" t="s">
        <v>3876</v>
      </c>
      <c r="AJ23" s="143" t="s">
        <v>339</v>
      </c>
      <c r="AK23" s="143" t="s">
        <v>886</v>
      </c>
      <c r="AL23" s="145" t="s">
        <v>3876</v>
      </c>
      <c r="AM23" s="143" t="s">
        <v>889</v>
      </c>
      <c r="AN23" s="160">
        <v>45473</v>
      </c>
      <c r="AO23" s="160">
        <v>45473</v>
      </c>
      <c r="AP23" s="145" t="s">
        <v>3876</v>
      </c>
      <c r="AQ23" s="144">
        <v>289556.92</v>
      </c>
      <c r="AR23" s="143" t="s">
        <v>3750</v>
      </c>
      <c r="AS23" s="145" t="s">
        <v>3876</v>
      </c>
      <c r="AT23" s="144">
        <v>334.93049999999999</v>
      </c>
      <c r="AU23" s="144">
        <v>334.9304894</v>
      </c>
      <c r="AV23" s="145" t="s">
        <v>3876</v>
      </c>
      <c r="AW23" s="145" t="s">
        <v>3876</v>
      </c>
      <c r="AX23" s="145" t="s">
        <v>3876</v>
      </c>
      <c r="AY23" s="145" t="s">
        <v>3876</v>
      </c>
      <c r="AZ23" s="146">
        <v>1.4470768480262216E-2</v>
      </c>
      <c r="BA23" s="147">
        <v>3.3684721972673099E-4</v>
      </c>
      <c r="BB23" s="181"/>
    </row>
    <row r="24" spans="1:54" ht="15" x14ac:dyDescent="0.2">
      <c r="A24" s="142" t="s">
        <v>1205</v>
      </c>
      <c r="B24" s="143" t="s">
        <v>1205</v>
      </c>
      <c r="C24" s="145" t="s">
        <v>3876</v>
      </c>
      <c r="D24" s="145" t="s">
        <v>3876</v>
      </c>
      <c r="E24" s="145" t="s">
        <v>3876</v>
      </c>
      <c r="F24" s="143" t="s">
        <v>3751</v>
      </c>
      <c r="G24" s="143" t="s">
        <v>1012</v>
      </c>
      <c r="H24" s="143" t="s">
        <v>812</v>
      </c>
      <c r="I24" s="143" t="s">
        <v>204</v>
      </c>
      <c r="J24" s="145" t="s">
        <v>3876</v>
      </c>
      <c r="K24" s="143" t="s">
        <v>454</v>
      </c>
      <c r="L24" s="143" t="s">
        <v>339</v>
      </c>
      <c r="M24" s="143" t="s">
        <v>338</v>
      </c>
      <c r="N24" s="145" t="s">
        <v>3876</v>
      </c>
      <c r="O24" s="143" t="s">
        <v>3752</v>
      </c>
      <c r="P24" s="143" t="s">
        <v>1389</v>
      </c>
      <c r="Q24" s="143" t="s">
        <v>413</v>
      </c>
      <c r="R24" s="143" t="s">
        <v>408</v>
      </c>
      <c r="S24" s="143" t="s">
        <v>1211</v>
      </c>
      <c r="T24" s="144">
        <v>2.68</v>
      </c>
      <c r="U24" s="169" t="s">
        <v>823</v>
      </c>
      <c r="V24" s="146">
        <v>0.107045</v>
      </c>
      <c r="W24" s="145" t="s">
        <v>3876</v>
      </c>
      <c r="X24" s="145" t="s">
        <v>3876</v>
      </c>
      <c r="Y24" s="166">
        <v>5.3644999999999998E-2</v>
      </c>
      <c r="Z24" s="146">
        <v>9.9500000000000005E-2</v>
      </c>
      <c r="AA24" s="143" t="s">
        <v>3711</v>
      </c>
      <c r="AB24" s="143" t="s">
        <v>412</v>
      </c>
      <c r="AC24" s="145" t="s">
        <v>3876</v>
      </c>
      <c r="AD24" s="145" t="s">
        <v>3876</v>
      </c>
      <c r="AE24" s="168">
        <v>0.76</v>
      </c>
      <c r="AF24" s="143" t="s">
        <v>3710</v>
      </c>
      <c r="AG24" s="145" t="s">
        <v>3876</v>
      </c>
      <c r="AH24" s="145" t="s">
        <v>3876</v>
      </c>
      <c r="AI24" s="145" t="s">
        <v>3876</v>
      </c>
      <c r="AJ24" s="143" t="s">
        <v>339</v>
      </c>
      <c r="AK24" s="143" t="s">
        <v>886</v>
      </c>
      <c r="AL24" s="145" t="s">
        <v>3876</v>
      </c>
      <c r="AM24" s="143" t="s">
        <v>889</v>
      </c>
      <c r="AN24" s="160">
        <v>45473</v>
      </c>
      <c r="AO24" s="160">
        <v>45473</v>
      </c>
      <c r="AP24" s="145" t="s">
        <v>3876</v>
      </c>
      <c r="AQ24" s="144">
        <v>80708.820000000007</v>
      </c>
      <c r="AR24" s="143" t="s">
        <v>3753</v>
      </c>
      <c r="AS24" s="143" t="s">
        <v>1212</v>
      </c>
      <c r="AT24" s="144">
        <v>302.899</v>
      </c>
      <c r="AU24" s="144">
        <v>80.579685900000001</v>
      </c>
      <c r="AV24" s="145" t="s">
        <v>3876</v>
      </c>
      <c r="AW24" s="145" t="s">
        <v>3876</v>
      </c>
      <c r="AX24" s="145" t="s">
        <v>3876</v>
      </c>
      <c r="AY24" s="145" t="s">
        <v>3876</v>
      </c>
      <c r="AZ24" s="146">
        <v>1.308684043141947E-2</v>
      </c>
      <c r="BA24" s="147">
        <v>3.046324609742593E-4</v>
      </c>
      <c r="BB24" s="181"/>
    </row>
    <row r="25" spans="1:54" ht="15" x14ac:dyDescent="0.2">
      <c r="A25" s="142" t="s">
        <v>1205</v>
      </c>
      <c r="B25" s="143" t="s">
        <v>1205</v>
      </c>
      <c r="C25" s="145" t="s">
        <v>3876</v>
      </c>
      <c r="D25" s="145" t="s">
        <v>3876</v>
      </c>
      <c r="E25" s="145" t="s">
        <v>3876</v>
      </c>
      <c r="F25" s="143" t="s">
        <v>3754</v>
      </c>
      <c r="G25" s="143" t="s">
        <v>1012</v>
      </c>
      <c r="H25" s="143" t="s">
        <v>812</v>
      </c>
      <c r="I25" s="143" t="s">
        <v>204</v>
      </c>
      <c r="J25" s="145" t="s">
        <v>3876</v>
      </c>
      <c r="K25" s="143" t="s">
        <v>454</v>
      </c>
      <c r="L25" s="143" t="s">
        <v>339</v>
      </c>
      <c r="M25" s="143" t="s">
        <v>338</v>
      </c>
      <c r="N25" s="145" t="s">
        <v>3876</v>
      </c>
      <c r="O25" s="143" t="s">
        <v>3064</v>
      </c>
      <c r="P25" s="143" t="s">
        <v>1389</v>
      </c>
      <c r="Q25" s="143" t="s">
        <v>413</v>
      </c>
      <c r="R25" s="143" t="s">
        <v>408</v>
      </c>
      <c r="S25" s="143" t="s">
        <v>1211</v>
      </c>
      <c r="T25" s="144">
        <v>2.68</v>
      </c>
      <c r="U25" s="169" t="s">
        <v>823</v>
      </c>
      <c r="V25" s="146">
        <v>0.107045</v>
      </c>
      <c r="W25" s="145" t="s">
        <v>3876</v>
      </c>
      <c r="X25" s="145" t="s">
        <v>3876</v>
      </c>
      <c r="Y25" s="166">
        <v>5.3644999999999998E-2</v>
      </c>
      <c r="Z25" s="146">
        <v>9.9400000000000002E-2</v>
      </c>
      <c r="AA25" s="143" t="s">
        <v>3711</v>
      </c>
      <c r="AB25" s="143" t="s">
        <v>412</v>
      </c>
      <c r="AC25" s="145" t="s">
        <v>3876</v>
      </c>
      <c r="AD25" s="145" t="s">
        <v>3876</v>
      </c>
      <c r="AE25" s="168">
        <v>0.76</v>
      </c>
      <c r="AF25" s="143" t="s">
        <v>3710</v>
      </c>
      <c r="AG25" s="145" t="s">
        <v>3876</v>
      </c>
      <c r="AH25" s="145" t="s">
        <v>3876</v>
      </c>
      <c r="AI25" s="145" t="s">
        <v>3876</v>
      </c>
      <c r="AJ25" s="143" t="s">
        <v>339</v>
      </c>
      <c r="AK25" s="143" t="s">
        <v>886</v>
      </c>
      <c r="AL25" s="145" t="s">
        <v>3876</v>
      </c>
      <c r="AM25" s="143" t="s">
        <v>889</v>
      </c>
      <c r="AN25" s="160">
        <v>45473</v>
      </c>
      <c r="AO25" s="160">
        <v>45473</v>
      </c>
      <c r="AP25" s="145" t="s">
        <v>3876</v>
      </c>
      <c r="AQ25" s="144">
        <v>79862.73</v>
      </c>
      <c r="AR25" s="143" t="s">
        <v>1433</v>
      </c>
      <c r="AS25" s="143" t="s">
        <v>1212</v>
      </c>
      <c r="AT25" s="144">
        <v>299.81370000000004</v>
      </c>
      <c r="AU25" s="144">
        <v>79.758908500000004</v>
      </c>
      <c r="AV25" s="145" t="s">
        <v>3876</v>
      </c>
      <c r="AW25" s="145" t="s">
        <v>3876</v>
      </c>
      <c r="AX25" s="145" t="s">
        <v>3876</v>
      </c>
      <c r="AY25" s="145" t="s">
        <v>3876</v>
      </c>
      <c r="AZ25" s="146">
        <v>1.2953539051185025E-2</v>
      </c>
      <c r="BA25" s="147">
        <v>3.0152950211074397E-4</v>
      </c>
      <c r="BB25" s="181"/>
    </row>
    <row r="26" spans="1:54" ht="15" x14ac:dyDescent="0.2">
      <c r="A26" s="142" t="s">
        <v>1205</v>
      </c>
      <c r="B26" s="143" t="s">
        <v>1205</v>
      </c>
      <c r="C26" s="145" t="s">
        <v>3876</v>
      </c>
      <c r="D26" s="145" t="s">
        <v>3876</v>
      </c>
      <c r="E26" s="145" t="s">
        <v>3876</v>
      </c>
      <c r="F26" s="143" t="s">
        <v>3755</v>
      </c>
      <c r="G26" s="143" t="s">
        <v>1012</v>
      </c>
      <c r="H26" s="143" t="s">
        <v>801</v>
      </c>
      <c r="I26" s="143" t="s">
        <v>204</v>
      </c>
      <c r="J26" s="145" t="s">
        <v>3876</v>
      </c>
      <c r="K26" s="143" t="s">
        <v>443</v>
      </c>
      <c r="L26" s="143" t="s">
        <v>339</v>
      </c>
      <c r="M26" s="143" t="s">
        <v>338</v>
      </c>
      <c r="N26" s="145" t="s">
        <v>3876</v>
      </c>
      <c r="O26" s="143" t="s">
        <v>3710</v>
      </c>
      <c r="P26" s="145" t="s">
        <v>3876</v>
      </c>
      <c r="Q26" s="143" t="s">
        <v>410</v>
      </c>
      <c r="R26" s="143" t="s">
        <v>410</v>
      </c>
      <c r="S26" s="143" t="s">
        <v>1210</v>
      </c>
      <c r="T26" s="144">
        <v>2.2999999999999998</v>
      </c>
      <c r="U26" s="170" t="s">
        <v>824</v>
      </c>
      <c r="V26" s="146">
        <v>4.7500000000000001E-2</v>
      </c>
      <c r="W26" s="145" t="s">
        <v>3876</v>
      </c>
      <c r="X26" s="145" t="s">
        <v>3876</v>
      </c>
      <c r="Y26" s="166">
        <v>4.7500000000000001E-2</v>
      </c>
      <c r="Z26" s="146">
        <v>5.5199999999999999E-2</v>
      </c>
      <c r="AA26" s="143" t="s">
        <v>3700</v>
      </c>
      <c r="AB26" s="143" t="s">
        <v>412</v>
      </c>
      <c r="AC26" s="145" t="s">
        <v>3876</v>
      </c>
      <c r="AD26" s="145" t="s">
        <v>3876</v>
      </c>
      <c r="AE26" s="171">
        <v>0.17</v>
      </c>
      <c r="AF26" s="143" t="s">
        <v>3701</v>
      </c>
      <c r="AG26" s="145" t="s">
        <v>3876</v>
      </c>
      <c r="AH26" s="145" t="s">
        <v>3876</v>
      </c>
      <c r="AI26" s="145" t="s">
        <v>3876</v>
      </c>
      <c r="AJ26" s="143" t="s">
        <v>339</v>
      </c>
      <c r="AK26" s="143" t="s">
        <v>886</v>
      </c>
      <c r="AL26" s="145" t="s">
        <v>3876</v>
      </c>
      <c r="AM26" s="143" t="s">
        <v>889</v>
      </c>
      <c r="AN26" s="163">
        <v>45473</v>
      </c>
      <c r="AO26" s="163">
        <v>45473</v>
      </c>
      <c r="AP26" s="145" t="s">
        <v>3876</v>
      </c>
      <c r="AQ26" s="144">
        <v>268083.99</v>
      </c>
      <c r="AR26" s="143" t="s">
        <v>3756</v>
      </c>
      <c r="AS26" s="145" t="s">
        <v>3876</v>
      </c>
      <c r="AT26" s="144">
        <v>291.24640000000005</v>
      </c>
      <c r="AU26" s="144">
        <v>291.24644669999998</v>
      </c>
      <c r="AV26" s="145" t="s">
        <v>3876</v>
      </c>
      <c r="AW26" s="145" t="s">
        <v>3876</v>
      </c>
      <c r="AX26" s="145" t="s">
        <v>3876</v>
      </c>
      <c r="AY26" s="145" t="s">
        <v>3876</v>
      </c>
      <c r="AZ26" s="146">
        <v>1.2583386807867839E-2</v>
      </c>
      <c r="BA26" s="147">
        <v>2.9291318334321795E-4</v>
      </c>
      <c r="BB26" s="181"/>
    </row>
    <row r="27" spans="1:54" ht="15" x14ac:dyDescent="0.2">
      <c r="A27" s="142" t="s">
        <v>1205</v>
      </c>
      <c r="B27" s="143" t="s">
        <v>1205</v>
      </c>
      <c r="C27" s="145" t="s">
        <v>3876</v>
      </c>
      <c r="D27" s="145" t="s">
        <v>3876</v>
      </c>
      <c r="E27" s="145" t="s">
        <v>3876</v>
      </c>
      <c r="F27" s="143" t="s">
        <v>3757</v>
      </c>
      <c r="G27" s="143" t="s">
        <v>1012</v>
      </c>
      <c r="H27" s="143" t="s">
        <v>812</v>
      </c>
      <c r="I27" s="143" t="s">
        <v>204</v>
      </c>
      <c r="J27" s="145" t="s">
        <v>3876</v>
      </c>
      <c r="K27" s="143" t="s">
        <v>454</v>
      </c>
      <c r="L27" s="143" t="s">
        <v>339</v>
      </c>
      <c r="M27" s="143" t="s">
        <v>338</v>
      </c>
      <c r="N27" s="145" t="s">
        <v>3876</v>
      </c>
      <c r="O27" s="143" t="s">
        <v>3758</v>
      </c>
      <c r="P27" s="143" t="s">
        <v>1389</v>
      </c>
      <c r="Q27" s="143" t="s">
        <v>413</v>
      </c>
      <c r="R27" s="143" t="s">
        <v>408</v>
      </c>
      <c r="S27" s="143" t="s">
        <v>1211</v>
      </c>
      <c r="T27" s="144">
        <v>2.54</v>
      </c>
      <c r="U27" s="170" t="s">
        <v>823</v>
      </c>
      <c r="V27" s="146">
        <v>0.10489999999999999</v>
      </c>
      <c r="W27" s="145" t="s">
        <v>3876</v>
      </c>
      <c r="X27" s="145" t="s">
        <v>3876</v>
      </c>
      <c r="Y27" s="166">
        <v>0</v>
      </c>
      <c r="Z27" s="146">
        <v>8.4500000000000006E-2</v>
      </c>
      <c r="AA27" s="143" t="s">
        <v>1542</v>
      </c>
      <c r="AB27" s="143" t="s">
        <v>412</v>
      </c>
      <c r="AC27" s="145" t="s">
        <v>3876</v>
      </c>
      <c r="AD27" s="145" t="s">
        <v>3876</v>
      </c>
      <c r="AE27" s="145" t="s">
        <v>3876</v>
      </c>
      <c r="AF27" s="145" t="s">
        <v>3876</v>
      </c>
      <c r="AG27" s="145" t="s">
        <v>3876</v>
      </c>
      <c r="AH27" s="145" t="s">
        <v>3876</v>
      </c>
      <c r="AI27" s="145" t="s">
        <v>3876</v>
      </c>
      <c r="AJ27" s="143" t="s">
        <v>339</v>
      </c>
      <c r="AK27" s="143" t="s">
        <v>886</v>
      </c>
      <c r="AL27" s="145" t="s">
        <v>3876</v>
      </c>
      <c r="AM27" s="143" t="s">
        <v>889</v>
      </c>
      <c r="AN27" s="163">
        <v>44861</v>
      </c>
      <c r="AO27" s="163">
        <v>44861</v>
      </c>
      <c r="AP27" s="145" t="s">
        <v>3876</v>
      </c>
      <c r="AQ27" s="144">
        <v>75877</v>
      </c>
      <c r="AR27" s="143" t="s">
        <v>1504</v>
      </c>
      <c r="AS27" s="143" t="s">
        <v>1212</v>
      </c>
      <c r="AT27" s="144">
        <v>285.22159999999997</v>
      </c>
      <c r="AU27" s="144">
        <v>75.876999999999995</v>
      </c>
      <c r="AV27" s="145" t="s">
        <v>3876</v>
      </c>
      <c r="AW27" s="145" t="s">
        <v>3876</v>
      </c>
      <c r="AX27" s="145" t="s">
        <v>3876</v>
      </c>
      <c r="AY27" s="145" t="s">
        <v>3876</v>
      </c>
      <c r="AZ27" s="146">
        <v>1.2323083423221585E-2</v>
      </c>
      <c r="BA27" s="147">
        <v>2.8685390103743406E-4</v>
      </c>
      <c r="BB27" s="181"/>
    </row>
    <row r="28" spans="1:54" ht="15" x14ac:dyDescent="0.2">
      <c r="A28" s="142" t="s">
        <v>1205</v>
      </c>
      <c r="B28" s="143" t="s">
        <v>1205</v>
      </c>
      <c r="C28" s="145" t="s">
        <v>3876</v>
      </c>
      <c r="D28" s="145" t="s">
        <v>3876</v>
      </c>
      <c r="E28" s="145" t="s">
        <v>3876</v>
      </c>
      <c r="F28" s="143" t="s">
        <v>3759</v>
      </c>
      <c r="G28" s="143" t="s">
        <v>1012</v>
      </c>
      <c r="H28" s="145" t="s">
        <v>3876</v>
      </c>
      <c r="I28" s="143" t="s">
        <v>204</v>
      </c>
      <c r="J28" s="145" t="s">
        <v>3876</v>
      </c>
      <c r="K28" s="143" t="s">
        <v>448</v>
      </c>
      <c r="L28" s="143" t="s">
        <v>339</v>
      </c>
      <c r="M28" s="143" t="s">
        <v>338</v>
      </c>
      <c r="N28" s="145" t="s">
        <v>3876</v>
      </c>
      <c r="O28" s="143" t="s">
        <v>3689</v>
      </c>
      <c r="P28" s="145" t="s">
        <v>3876</v>
      </c>
      <c r="Q28" s="143" t="s">
        <v>410</v>
      </c>
      <c r="R28" s="143" t="s">
        <v>410</v>
      </c>
      <c r="S28" s="143" t="s">
        <v>1210</v>
      </c>
      <c r="T28" s="144">
        <v>6.49</v>
      </c>
      <c r="U28" s="170" t="s">
        <v>823</v>
      </c>
      <c r="V28" s="146">
        <v>3.2063000000000001E-2</v>
      </c>
      <c r="W28" s="145" t="s">
        <v>3876</v>
      </c>
      <c r="X28" s="145" t="s">
        <v>3876</v>
      </c>
      <c r="Y28" s="166">
        <v>0</v>
      </c>
      <c r="Z28" s="146">
        <v>6.3600000000000004E-2</v>
      </c>
      <c r="AA28" s="143" t="s">
        <v>3707</v>
      </c>
      <c r="AB28" s="143" t="s">
        <v>412</v>
      </c>
      <c r="AC28" s="145" t="s">
        <v>3876</v>
      </c>
      <c r="AD28" s="145" t="s">
        <v>3876</v>
      </c>
      <c r="AE28" s="145" t="s">
        <v>3876</v>
      </c>
      <c r="AF28" s="145" t="s">
        <v>3876</v>
      </c>
      <c r="AG28" s="145" t="s">
        <v>3876</v>
      </c>
      <c r="AH28" s="145" t="s">
        <v>3876</v>
      </c>
      <c r="AI28" s="145" t="s">
        <v>3876</v>
      </c>
      <c r="AJ28" s="143" t="s">
        <v>339</v>
      </c>
      <c r="AK28" s="143" t="s">
        <v>886</v>
      </c>
      <c r="AL28" s="145" t="s">
        <v>3876</v>
      </c>
      <c r="AM28" s="143" t="s">
        <v>889</v>
      </c>
      <c r="AN28" s="163">
        <v>45473</v>
      </c>
      <c r="AO28" s="163">
        <v>45473</v>
      </c>
      <c r="AP28" s="145" t="s">
        <v>3876</v>
      </c>
      <c r="AQ28" s="144">
        <v>229094.8</v>
      </c>
      <c r="AR28" s="143" t="s">
        <v>3760</v>
      </c>
      <c r="AS28" s="145" t="s">
        <v>3876</v>
      </c>
      <c r="AT28" s="144">
        <v>264.4212</v>
      </c>
      <c r="AU28" s="144">
        <v>264.4212182</v>
      </c>
      <c r="AV28" s="145" t="s">
        <v>3876</v>
      </c>
      <c r="AW28" s="145" t="s">
        <v>3876</v>
      </c>
      <c r="AX28" s="145" t="s">
        <v>3876</v>
      </c>
      <c r="AY28" s="145" t="s">
        <v>3876</v>
      </c>
      <c r="AZ28" s="146">
        <v>1.1424395063370259E-2</v>
      </c>
      <c r="BA28" s="147">
        <v>2.6593444013737208E-4</v>
      </c>
      <c r="BB28" s="181"/>
    </row>
    <row r="29" spans="1:54" ht="15" x14ac:dyDescent="0.2">
      <c r="A29" s="142" t="s">
        <v>1205</v>
      </c>
      <c r="B29" s="143" t="s">
        <v>1205</v>
      </c>
      <c r="C29" s="145" t="s">
        <v>3876</v>
      </c>
      <c r="D29" s="145" t="s">
        <v>3876</v>
      </c>
      <c r="E29" s="145" t="s">
        <v>3876</v>
      </c>
      <c r="F29" s="143" t="s">
        <v>3761</v>
      </c>
      <c r="G29" s="143" t="s">
        <v>1012</v>
      </c>
      <c r="H29" s="145" t="s">
        <v>3876</v>
      </c>
      <c r="I29" s="143" t="s">
        <v>204</v>
      </c>
      <c r="J29" s="145" t="s">
        <v>3876</v>
      </c>
      <c r="K29" s="143" t="s">
        <v>440</v>
      </c>
      <c r="L29" s="143" t="s">
        <v>339</v>
      </c>
      <c r="M29" s="143" t="s">
        <v>338</v>
      </c>
      <c r="N29" s="145" t="s">
        <v>3876</v>
      </c>
      <c r="O29" s="143" t="s">
        <v>3762</v>
      </c>
      <c r="P29" s="143" t="s">
        <v>1366</v>
      </c>
      <c r="Q29" s="143" t="s">
        <v>415</v>
      </c>
      <c r="R29" s="143" t="s">
        <v>408</v>
      </c>
      <c r="S29" s="143" t="s">
        <v>1211</v>
      </c>
      <c r="T29" s="144">
        <v>1.28</v>
      </c>
      <c r="U29" s="170" t="s">
        <v>823</v>
      </c>
      <c r="V29" s="146">
        <v>0</v>
      </c>
      <c r="W29" s="145" t="s">
        <v>3876</v>
      </c>
      <c r="X29" s="145" t="s">
        <v>3876</v>
      </c>
      <c r="Y29" s="166">
        <v>0</v>
      </c>
      <c r="Z29" s="146">
        <v>8.48E-2</v>
      </c>
      <c r="AA29" s="143" t="s">
        <v>1513</v>
      </c>
      <c r="AB29" s="143" t="s">
        <v>412</v>
      </c>
      <c r="AC29" s="145" t="s">
        <v>3876</v>
      </c>
      <c r="AD29" s="145" t="s">
        <v>3876</v>
      </c>
      <c r="AE29" s="171">
        <v>0.35</v>
      </c>
      <c r="AF29" s="143" t="s">
        <v>3763</v>
      </c>
      <c r="AG29" s="145" t="s">
        <v>3876</v>
      </c>
      <c r="AH29" s="145" t="s">
        <v>3876</v>
      </c>
      <c r="AI29" s="145" t="s">
        <v>3876</v>
      </c>
      <c r="AJ29" s="143" t="s">
        <v>338</v>
      </c>
      <c r="AK29" s="143" t="s">
        <v>886</v>
      </c>
      <c r="AL29" s="145" t="s">
        <v>3876</v>
      </c>
      <c r="AM29" s="143" t="s">
        <v>889</v>
      </c>
      <c r="AN29" s="163">
        <v>45473</v>
      </c>
      <c r="AO29" s="163">
        <v>45473</v>
      </c>
      <c r="AP29" s="145" t="s">
        <v>3876</v>
      </c>
      <c r="AQ29" s="144">
        <v>64808.72</v>
      </c>
      <c r="AR29" s="143" t="s">
        <v>3764</v>
      </c>
      <c r="AS29" s="143" t="s">
        <v>1212</v>
      </c>
      <c r="AT29" s="144">
        <v>246.66120000000001</v>
      </c>
      <c r="AU29" s="144">
        <v>65.618829000000005</v>
      </c>
      <c r="AV29" s="145" t="s">
        <v>3876</v>
      </c>
      <c r="AW29" s="145" t="s">
        <v>3876</v>
      </c>
      <c r="AX29" s="145" t="s">
        <v>3876</v>
      </c>
      <c r="AY29" s="145" t="s">
        <v>3876</v>
      </c>
      <c r="AZ29" s="146">
        <v>1.0657067410428876E-2</v>
      </c>
      <c r="BA29" s="147">
        <v>2.4807276355362376E-4</v>
      </c>
      <c r="BB29" s="181"/>
    </row>
    <row r="30" spans="1:54" ht="15" x14ac:dyDescent="0.2">
      <c r="A30" s="142" t="s">
        <v>1205</v>
      </c>
      <c r="B30" s="143" t="s">
        <v>1205</v>
      </c>
      <c r="C30" s="145" t="s">
        <v>3876</v>
      </c>
      <c r="D30" s="145" t="s">
        <v>3876</v>
      </c>
      <c r="E30" s="145" t="s">
        <v>3876</v>
      </c>
      <c r="F30" s="143" t="s">
        <v>3765</v>
      </c>
      <c r="G30" s="143" t="s">
        <v>1012</v>
      </c>
      <c r="H30" s="143" t="s">
        <v>812</v>
      </c>
      <c r="I30" s="143" t="s">
        <v>204</v>
      </c>
      <c r="J30" s="145" t="s">
        <v>3876</v>
      </c>
      <c r="K30" s="143" t="s">
        <v>454</v>
      </c>
      <c r="L30" s="143" t="s">
        <v>339</v>
      </c>
      <c r="M30" s="143" t="s">
        <v>338</v>
      </c>
      <c r="N30" s="145" t="s">
        <v>3876</v>
      </c>
      <c r="O30" s="143" t="s">
        <v>3766</v>
      </c>
      <c r="P30" s="143" t="s">
        <v>1389</v>
      </c>
      <c r="Q30" s="143" t="s">
        <v>413</v>
      </c>
      <c r="R30" s="143" t="s">
        <v>408</v>
      </c>
      <c r="S30" s="143" t="s">
        <v>1211</v>
      </c>
      <c r="T30" s="144">
        <v>2.67</v>
      </c>
      <c r="U30" s="170" t="s">
        <v>823</v>
      </c>
      <c r="V30" s="146">
        <v>0.107045</v>
      </c>
      <c r="W30" s="145" t="s">
        <v>3876</v>
      </c>
      <c r="X30" s="145" t="s">
        <v>3876</v>
      </c>
      <c r="Y30" s="166">
        <v>5.3644999999999998E-2</v>
      </c>
      <c r="Z30" s="146">
        <v>9.9900000000000003E-2</v>
      </c>
      <c r="AA30" s="143" t="s">
        <v>3711</v>
      </c>
      <c r="AB30" s="143" t="s">
        <v>412</v>
      </c>
      <c r="AC30" s="145" t="s">
        <v>3876</v>
      </c>
      <c r="AD30" s="145" t="s">
        <v>3876</v>
      </c>
      <c r="AE30" s="171">
        <v>0.76</v>
      </c>
      <c r="AF30" s="143" t="s">
        <v>3710</v>
      </c>
      <c r="AG30" s="145" t="s">
        <v>3876</v>
      </c>
      <c r="AH30" s="145" t="s">
        <v>3876</v>
      </c>
      <c r="AI30" s="145" t="s">
        <v>3876</v>
      </c>
      <c r="AJ30" s="143" t="s">
        <v>339</v>
      </c>
      <c r="AK30" s="143" t="s">
        <v>886</v>
      </c>
      <c r="AL30" s="145" t="s">
        <v>3876</v>
      </c>
      <c r="AM30" s="143" t="s">
        <v>889</v>
      </c>
      <c r="AN30" s="163">
        <v>45473</v>
      </c>
      <c r="AO30" s="163">
        <v>45473</v>
      </c>
      <c r="AP30" s="145" t="s">
        <v>3876</v>
      </c>
      <c r="AQ30" s="144">
        <v>44340.47</v>
      </c>
      <c r="AR30" s="143" t="s">
        <v>3767</v>
      </c>
      <c r="AS30" s="143" t="s">
        <v>1212</v>
      </c>
      <c r="AT30" s="144">
        <v>166.24250000000001</v>
      </c>
      <c r="AU30" s="144">
        <v>44.225184799999994</v>
      </c>
      <c r="AV30" s="145" t="s">
        <v>3876</v>
      </c>
      <c r="AW30" s="145" t="s">
        <v>3876</v>
      </c>
      <c r="AX30" s="145" t="s">
        <v>3876</v>
      </c>
      <c r="AY30" s="145" t="s">
        <v>3876</v>
      </c>
      <c r="AZ30" s="146">
        <v>7.182553888881788E-3</v>
      </c>
      <c r="BA30" s="147">
        <v>1.6719383710044741E-4</v>
      </c>
      <c r="BB30" s="181"/>
    </row>
    <row r="31" spans="1:54" ht="15" x14ac:dyDescent="0.2">
      <c r="A31" s="142" t="s">
        <v>1205</v>
      </c>
      <c r="B31" s="143" t="s">
        <v>1205</v>
      </c>
      <c r="C31" s="145" t="s">
        <v>3876</v>
      </c>
      <c r="D31" s="145" t="s">
        <v>3876</v>
      </c>
      <c r="E31" s="145" t="s">
        <v>3876</v>
      </c>
      <c r="F31" s="143" t="s">
        <v>3768</v>
      </c>
      <c r="G31" s="143" t="s">
        <v>1012</v>
      </c>
      <c r="H31" s="145" t="s">
        <v>3876</v>
      </c>
      <c r="I31" s="143" t="s">
        <v>204</v>
      </c>
      <c r="J31" s="145" t="s">
        <v>3876</v>
      </c>
      <c r="K31" s="143" t="s">
        <v>440</v>
      </c>
      <c r="L31" s="143" t="s">
        <v>339</v>
      </c>
      <c r="M31" s="143" t="s">
        <v>338</v>
      </c>
      <c r="N31" s="145" t="s">
        <v>3876</v>
      </c>
      <c r="O31" s="143" t="s">
        <v>3769</v>
      </c>
      <c r="P31" s="143" t="s">
        <v>1617</v>
      </c>
      <c r="Q31" s="143" t="s">
        <v>415</v>
      </c>
      <c r="R31" s="143" t="s">
        <v>408</v>
      </c>
      <c r="S31" s="143" t="s">
        <v>1210</v>
      </c>
      <c r="T31" s="144">
        <v>8.09</v>
      </c>
      <c r="U31" s="170" t="s">
        <v>824</v>
      </c>
      <c r="V31" s="146">
        <v>0</v>
      </c>
      <c r="W31" s="145" t="s">
        <v>3876</v>
      </c>
      <c r="X31" s="145" t="s">
        <v>3876</v>
      </c>
      <c r="Y31" s="166">
        <v>0</v>
      </c>
      <c r="Z31" s="146">
        <v>4.02E-2</v>
      </c>
      <c r="AA31" s="143" t="s">
        <v>3694</v>
      </c>
      <c r="AB31" s="143" t="s">
        <v>412</v>
      </c>
      <c r="AC31" s="145" t="s">
        <v>3876</v>
      </c>
      <c r="AD31" s="145" t="s">
        <v>3876</v>
      </c>
      <c r="AE31" s="171">
        <v>0.75</v>
      </c>
      <c r="AF31" s="143" t="s">
        <v>3695</v>
      </c>
      <c r="AG31" s="145" t="s">
        <v>3876</v>
      </c>
      <c r="AH31" s="145" t="s">
        <v>3876</v>
      </c>
      <c r="AI31" s="145" t="s">
        <v>3876</v>
      </c>
      <c r="AJ31" s="143" t="s">
        <v>338</v>
      </c>
      <c r="AK31" s="143" t="s">
        <v>886</v>
      </c>
      <c r="AL31" s="145" t="s">
        <v>3876</v>
      </c>
      <c r="AM31" s="143" t="s">
        <v>889</v>
      </c>
      <c r="AN31" s="163">
        <v>45473</v>
      </c>
      <c r="AO31" s="163">
        <v>45473</v>
      </c>
      <c r="AP31" s="145" t="s">
        <v>3876</v>
      </c>
      <c r="AQ31" s="144">
        <v>142401.98000000001</v>
      </c>
      <c r="AR31" s="143" t="s">
        <v>3770</v>
      </c>
      <c r="AS31" s="145" t="s">
        <v>3876</v>
      </c>
      <c r="AT31" s="144">
        <v>140.3656</v>
      </c>
      <c r="AU31" s="144">
        <v>140.36563169999999</v>
      </c>
      <c r="AV31" s="145" t="s">
        <v>3876</v>
      </c>
      <c r="AW31" s="145" t="s">
        <v>3876</v>
      </c>
      <c r="AX31" s="145" t="s">
        <v>3876</v>
      </c>
      <c r="AY31" s="145" t="s">
        <v>3876</v>
      </c>
      <c r="AZ31" s="146">
        <v>6.0645376375584974E-3</v>
      </c>
      <c r="BA31" s="147">
        <v>1.411689119984235E-4</v>
      </c>
      <c r="BB31" s="181"/>
    </row>
    <row r="32" spans="1:54" ht="15" x14ac:dyDescent="0.2">
      <c r="A32" s="142" t="s">
        <v>1205</v>
      </c>
      <c r="B32" s="143" t="s">
        <v>1205</v>
      </c>
      <c r="C32" s="145" t="s">
        <v>3876</v>
      </c>
      <c r="D32" s="145" t="s">
        <v>3876</v>
      </c>
      <c r="E32" s="145" t="s">
        <v>3876</v>
      </c>
      <c r="F32" s="143" t="s">
        <v>3771</v>
      </c>
      <c r="G32" s="143" t="s">
        <v>1012</v>
      </c>
      <c r="H32" s="143" t="s">
        <v>784</v>
      </c>
      <c r="I32" s="143" t="s">
        <v>204</v>
      </c>
      <c r="J32" s="145" t="s">
        <v>3876</v>
      </c>
      <c r="K32" s="143" t="s">
        <v>443</v>
      </c>
      <c r="L32" s="143" t="s">
        <v>339</v>
      </c>
      <c r="M32" s="143" t="s">
        <v>338</v>
      </c>
      <c r="N32" s="145" t="s">
        <v>3876</v>
      </c>
      <c r="O32" s="143" t="s">
        <v>3745</v>
      </c>
      <c r="P32" s="145" t="s">
        <v>3876</v>
      </c>
      <c r="Q32" s="143" t="s">
        <v>410</v>
      </c>
      <c r="R32" s="143" t="s">
        <v>410</v>
      </c>
      <c r="S32" s="143" t="s">
        <v>1210</v>
      </c>
      <c r="T32" s="144">
        <v>2.17</v>
      </c>
      <c r="U32" s="170" t="s">
        <v>823</v>
      </c>
      <c r="V32" s="146">
        <v>8.2500000000000004E-2</v>
      </c>
      <c r="W32" s="145" t="s">
        <v>3876</v>
      </c>
      <c r="X32" s="145" t="s">
        <v>3876</v>
      </c>
      <c r="Y32" s="166">
        <v>2.2499999999999999E-2</v>
      </c>
      <c r="Z32" s="146">
        <v>7.0400000000000004E-2</v>
      </c>
      <c r="AA32" s="143" t="s">
        <v>3746</v>
      </c>
      <c r="AB32" s="143" t="s">
        <v>412</v>
      </c>
      <c r="AC32" s="145" t="s">
        <v>3876</v>
      </c>
      <c r="AD32" s="145" t="s">
        <v>3876</v>
      </c>
      <c r="AE32" s="171">
        <v>0.62</v>
      </c>
      <c r="AF32" s="143" t="s">
        <v>3747</v>
      </c>
      <c r="AG32" s="145" t="s">
        <v>3876</v>
      </c>
      <c r="AH32" s="145" t="s">
        <v>3876</v>
      </c>
      <c r="AI32" s="145" t="s">
        <v>3876</v>
      </c>
      <c r="AJ32" s="143" t="s">
        <v>338</v>
      </c>
      <c r="AK32" s="143" t="s">
        <v>886</v>
      </c>
      <c r="AL32" s="145" t="s">
        <v>3876</v>
      </c>
      <c r="AM32" s="143" t="s">
        <v>889</v>
      </c>
      <c r="AN32" s="163">
        <v>45473</v>
      </c>
      <c r="AO32" s="163">
        <v>45473</v>
      </c>
      <c r="AP32" s="145" t="s">
        <v>3876</v>
      </c>
      <c r="AQ32" s="144">
        <v>106048</v>
      </c>
      <c r="AR32" s="143" t="s">
        <v>3772</v>
      </c>
      <c r="AS32" s="145" t="s">
        <v>3876</v>
      </c>
      <c r="AT32" s="144">
        <v>111.30800000000001</v>
      </c>
      <c r="AU32" s="144">
        <v>111.3079808</v>
      </c>
      <c r="AV32" s="145" t="s">
        <v>3876</v>
      </c>
      <c r="AW32" s="145" t="s">
        <v>3876</v>
      </c>
      <c r="AX32" s="145" t="s">
        <v>3876</v>
      </c>
      <c r="AY32" s="145" t="s">
        <v>3876</v>
      </c>
      <c r="AZ32" s="146">
        <v>4.8090934427046494E-3</v>
      </c>
      <c r="BA32" s="147">
        <v>1.119449708417808E-4</v>
      </c>
      <c r="BB32" s="181"/>
    </row>
    <row r="33" spans="1:54" ht="15" x14ac:dyDescent="0.2">
      <c r="A33" s="142" t="s">
        <v>1205</v>
      </c>
      <c r="B33" s="143" t="s">
        <v>1205</v>
      </c>
      <c r="C33" s="145" t="s">
        <v>3876</v>
      </c>
      <c r="D33" s="145" t="s">
        <v>3876</v>
      </c>
      <c r="E33" s="145" t="s">
        <v>3876</v>
      </c>
      <c r="F33" s="143" t="s">
        <v>3773</v>
      </c>
      <c r="G33" s="143" t="s">
        <v>1012</v>
      </c>
      <c r="H33" s="145" t="s">
        <v>3876</v>
      </c>
      <c r="I33" s="143" t="s">
        <v>204</v>
      </c>
      <c r="J33" s="145" t="s">
        <v>3876</v>
      </c>
      <c r="K33" s="143" t="s">
        <v>440</v>
      </c>
      <c r="L33" s="143" t="s">
        <v>339</v>
      </c>
      <c r="M33" s="143" t="s">
        <v>338</v>
      </c>
      <c r="N33" s="145" t="s">
        <v>3876</v>
      </c>
      <c r="O33" s="143" t="s">
        <v>3774</v>
      </c>
      <c r="P33" s="143" t="s">
        <v>1617</v>
      </c>
      <c r="Q33" s="143" t="s">
        <v>415</v>
      </c>
      <c r="R33" s="143" t="s">
        <v>408</v>
      </c>
      <c r="S33" s="143" t="s">
        <v>1210</v>
      </c>
      <c r="T33" s="144">
        <v>8.1300000000000008</v>
      </c>
      <c r="U33" s="170" t="s">
        <v>824</v>
      </c>
      <c r="V33" s="146">
        <v>0</v>
      </c>
      <c r="W33" s="145" t="s">
        <v>3876</v>
      </c>
      <c r="X33" s="145" t="s">
        <v>3876</v>
      </c>
      <c r="Y33" s="166">
        <v>0</v>
      </c>
      <c r="Z33" s="146">
        <v>4.02E-2</v>
      </c>
      <c r="AA33" s="143" t="s">
        <v>3694</v>
      </c>
      <c r="AB33" s="143" t="s">
        <v>412</v>
      </c>
      <c r="AC33" s="145" t="s">
        <v>3876</v>
      </c>
      <c r="AD33" s="145" t="s">
        <v>3876</v>
      </c>
      <c r="AE33" s="171">
        <v>0.75</v>
      </c>
      <c r="AF33" s="145" t="s">
        <v>3876</v>
      </c>
      <c r="AG33" s="145" t="s">
        <v>3876</v>
      </c>
      <c r="AH33" s="145" t="s">
        <v>3876</v>
      </c>
      <c r="AI33" s="145" t="s">
        <v>3876</v>
      </c>
      <c r="AJ33" s="143" t="s">
        <v>338</v>
      </c>
      <c r="AK33" s="143" t="s">
        <v>886</v>
      </c>
      <c r="AL33" s="145" t="s">
        <v>3876</v>
      </c>
      <c r="AM33" s="143" t="s">
        <v>889</v>
      </c>
      <c r="AN33" s="163">
        <v>45473</v>
      </c>
      <c r="AO33" s="163">
        <v>45473</v>
      </c>
      <c r="AP33" s="145" t="s">
        <v>3876</v>
      </c>
      <c r="AQ33" s="144">
        <v>103135.03999999999</v>
      </c>
      <c r="AR33" s="143" t="s">
        <v>3775</v>
      </c>
      <c r="AS33" s="145" t="s">
        <v>3876</v>
      </c>
      <c r="AT33" s="144">
        <v>102.14489999999999</v>
      </c>
      <c r="AU33" s="144">
        <v>102.14494359999999</v>
      </c>
      <c r="AV33" s="145" t="s">
        <v>3876</v>
      </c>
      <c r="AW33" s="145" t="s">
        <v>3876</v>
      </c>
      <c r="AX33" s="145" t="s">
        <v>3876</v>
      </c>
      <c r="AY33" s="145" t="s">
        <v>3876</v>
      </c>
      <c r="AZ33" s="146">
        <v>4.4132017759964774E-3</v>
      </c>
      <c r="BA33" s="147">
        <v>1.0272949569783645E-4</v>
      </c>
      <c r="BB33" s="181"/>
    </row>
    <row r="34" spans="1:54" ht="15" x14ac:dyDescent="0.2">
      <c r="A34" s="142" t="s">
        <v>1205</v>
      </c>
      <c r="B34" s="143" t="s">
        <v>1205</v>
      </c>
      <c r="C34" s="145" t="s">
        <v>3876</v>
      </c>
      <c r="D34" s="145" t="s">
        <v>3876</v>
      </c>
      <c r="E34" s="145" t="s">
        <v>3876</v>
      </c>
      <c r="F34" s="143" t="s">
        <v>3776</v>
      </c>
      <c r="G34" s="143" t="s">
        <v>1012</v>
      </c>
      <c r="H34" s="143" t="s">
        <v>784</v>
      </c>
      <c r="I34" s="143" t="s">
        <v>204</v>
      </c>
      <c r="J34" s="145" t="s">
        <v>3876</v>
      </c>
      <c r="K34" s="143" t="s">
        <v>443</v>
      </c>
      <c r="L34" s="143" t="s">
        <v>339</v>
      </c>
      <c r="M34" s="143" t="s">
        <v>338</v>
      </c>
      <c r="N34" s="145" t="s">
        <v>3876</v>
      </c>
      <c r="O34" s="143" t="s">
        <v>3777</v>
      </c>
      <c r="P34" s="145" t="s">
        <v>3876</v>
      </c>
      <c r="Q34" s="143" t="s">
        <v>410</v>
      </c>
      <c r="R34" s="143" t="s">
        <v>410</v>
      </c>
      <c r="S34" s="143" t="s">
        <v>1210</v>
      </c>
      <c r="T34" s="144">
        <v>2.17</v>
      </c>
      <c r="U34" s="170" t="s">
        <v>823</v>
      </c>
      <c r="V34" s="146">
        <v>8.2500000000000004E-2</v>
      </c>
      <c r="W34" s="145" t="s">
        <v>3876</v>
      </c>
      <c r="X34" s="145" t="s">
        <v>3876</v>
      </c>
      <c r="Y34" s="166">
        <v>2.2499999999999999E-2</v>
      </c>
      <c r="Z34" s="146">
        <v>7.0099999999999996E-2</v>
      </c>
      <c r="AA34" s="143" t="s">
        <v>3746</v>
      </c>
      <c r="AB34" s="143" t="s">
        <v>412</v>
      </c>
      <c r="AC34" s="145" t="s">
        <v>3876</v>
      </c>
      <c r="AD34" s="145" t="s">
        <v>3876</v>
      </c>
      <c r="AE34" s="171">
        <v>0.62</v>
      </c>
      <c r="AF34" s="143" t="s">
        <v>3778</v>
      </c>
      <c r="AG34" s="145" t="s">
        <v>3876</v>
      </c>
      <c r="AH34" s="145" t="s">
        <v>3876</v>
      </c>
      <c r="AI34" s="145" t="s">
        <v>3876</v>
      </c>
      <c r="AJ34" s="143" t="s">
        <v>338</v>
      </c>
      <c r="AK34" s="143" t="s">
        <v>886</v>
      </c>
      <c r="AL34" s="145" t="s">
        <v>3876</v>
      </c>
      <c r="AM34" s="143" t="s">
        <v>889</v>
      </c>
      <c r="AN34" s="163">
        <v>45473</v>
      </c>
      <c r="AO34" s="163">
        <v>45473</v>
      </c>
      <c r="AP34" s="145" t="s">
        <v>3876</v>
      </c>
      <c r="AQ34" s="144">
        <v>84993</v>
      </c>
      <c r="AR34" s="143" t="s">
        <v>3779</v>
      </c>
      <c r="AS34" s="145" t="s">
        <v>3876</v>
      </c>
      <c r="AT34" s="144">
        <v>89.259600000000006</v>
      </c>
      <c r="AU34" s="144">
        <v>89.259648599999991</v>
      </c>
      <c r="AV34" s="145" t="s">
        <v>3876</v>
      </c>
      <c r="AW34" s="145" t="s">
        <v>3876</v>
      </c>
      <c r="AX34" s="145" t="s">
        <v>3876</v>
      </c>
      <c r="AY34" s="145" t="s">
        <v>3876</v>
      </c>
      <c r="AZ34" s="146">
        <v>3.8564888851202773E-3</v>
      </c>
      <c r="BA34" s="147">
        <v>8.9770461094148245E-5</v>
      </c>
      <c r="BB34" s="181"/>
    </row>
    <row r="35" spans="1:54" ht="15" x14ac:dyDescent="0.2">
      <c r="A35" s="142" t="s">
        <v>1205</v>
      </c>
      <c r="B35" s="143" t="s">
        <v>1205</v>
      </c>
      <c r="C35" s="145" t="s">
        <v>3876</v>
      </c>
      <c r="D35" s="145" t="s">
        <v>3876</v>
      </c>
      <c r="E35" s="145" t="s">
        <v>3876</v>
      </c>
      <c r="F35" s="143" t="s">
        <v>3780</v>
      </c>
      <c r="G35" s="143" t="s">
        <v>1012</v>
      </c>
      <c r="H35" s="143" t="s">
        <v>784</v>
      </c>
      <c r="I35" s="143" t="s">
        <v>204</v>
      </c>
      <c r="J35" s="145" t="s">
        <v>3876</v>
      </c>
      <c r="K35" s="143" t="s">
        <v>443</v>
      </c>
      <c r="L35" s="143" t="s">
        <v>339</v>
      </c>
      <c r="M35" s="143" t="s">
        <v>338</v>
      </c>
      <c r="N35" s="145" t="s">
        <v>3876</v>
      </c>
      <c r="O35" s="143" t="s">
        <v>3781</v>
      </c>
      <c r="P35" s="145" t="s">
        <v>3876</v>
      </c>
      <c r="Q35" s="143" t="s">
        <v>410</v>
      </c>
      <c r="R35" s="143" t="s">
        <v>410</v>
      </c>
      <c r="S35" s="143" t="s">
        <v>1210</v>
      </c>
      <c r="T35" s="144">
        <v>2.17</v>
      </c>
      <c r="U35" s="170" t="s">
        <v>823</v>
      </c>
      <c r="V35" s="146">
        <v>8.2500000000000004E-2</v>
      </c>
      <c r="W35" s="145" t="s">
        <v>3876</v>
      </c>
      <c r="X35" s="145" t="s">
        <v>3876</v>
      </c>
      <c r="Y35" s="166">
        <v>2.2499999999999999E-2</v>
      </c>
      <c r="Z35" s="146">
        <v>7.1400000000000005E-2</v>
      </c>
      <c r="AA35" s="143" t="s">
        <v>3746</v>
      </c>
      <c r="AB35" s="143" t="s">
        <v>412</v>
      </c>
      <c r="AC35" s="145" t="s">
        <v>3876</v>
      </c>
      <c r="AD35" s="145" t="s">
        <v>3876</v>
      </c>
      <c r="AE35" s="171">
        <v>0.62</v>
      </c>
      <c r="AF35" s="143" t="s">
        <v>3747</v>
      </c>
      <c r="AG35" s="145" t="s">
        <v>3876</v>
      </c>
      <c r="AH35" s="145" t="s">
        <v>3876</v>
      </c>
      <c r="AI35" s="145" t="s">
        <v>3876</v>
      </c>
      <c r="AJ35" s="143" t="s">
        <v>338</v>
      </c>
      <c r="AK35" s="143" t="s">
        <v>886</v>
      </c>
      <c r="AL35" s="145" t="s">
        <v>3876</v>
      </c>
      <c r="AM35" s="143" t="s">
        <v>889</v>
      </c>
      <c r="AN35" s="163">
        <v>45473</v>
      </c>
      <c r="AO35" s="163">
        <v>45473</v>
      </c>
      <c r="AP35" s="145" t="s">
        <v>3876</v>
      </c>
      <c r="AQ35" s="144">
        <v>82160</v>
      </c>
      <c r="AR35" s="143" t="s">
        <v>3782</v>
      </c>
      <c r="AS35" s="145" t="s">
        <v>3876</v>
      </c>
      <c r="AT35" s="144">
        <v>86.062600000000003</v>
      </c>
      <c r="AU35" s="144">
        <v>86.062600000000003</v>
      </c>
      <c r="AV35" s="145" t="s">
        <v>3876</v>
      </c>
      <c r="AW35" s="145" t="s">
        <v>3876</v>
      </c>
      <c r="AX35" s="145" t="s">
        <v>3876</v>
      </c>
      <c r="AY35" s="145" t="s">
        <v>3876</v>
      </c>
      <c r="AZ35" s="146">
        <v>3.7183594774375171E-3</v>
      </c>
      <c r="BA35" s="147">
        <v>8.6555116518364185E-5</v>
      </c>
      <c r="BB35" s="181"/>
    </row>
    <row r="36" spans="1:54" ht="15" x14ac:dyDescent="0.2">
      <c r="A36" s="142" t="s">
        <v>1205</v>
      </c>
      <c r="B36" s="143" t="s">
        <v>1205</v>
      </c>
      <c r="C36" s="145" t="s">
        <v>3876</v>
      </c>
      <c r="D36" s="145" t="s">
        <v>3876</v>
      </c>
      <c r="E36" s="145" t="s">
        <v>3876</v>
      </c>
      <c r="F36" s="143" t="s">
        <v>3783</v>
      </c>
      <c r="G36" s="143" t="s">
        <v>1012</v>
      </c>
      <c r="H36" s="143" t="s">
        <v>784</v>
      </c>
      <c r="I36" s="143" t="s">
        <v>204</v>
      </c>
      <c r="J36" s="145" t="s">
        <v>3876</v>
      </c>
      <c r="K36" s="143" t="s">
        <v>443</v>
      </c>
      <c r="L36" s="143" t="s">
        <v>339</v>
      </c>
      <c r="M36" s="143" t="s">
        <v>338</v>
      </c>
      <c r="N36" s="145" t="s">
        <v>3876</v>
      </c>
      <c r="O36" s="143" t="s">
        <v>3784</v>
      </c>
      <c r="P36" s="145" t="s">
        <v>3876</v>
      </c>
      <c r="Q36" s="143" t="s">
        <v>410</v>
      </c>
      <c r="R36" s="143" t="s">
        <v>410</v>
      </c>
      <c r="S36" s="143" t="s">
        <v>1210</v>
      </c>
      <c r="T36" s="144">
        <v>0.87</v>
      </c>
      <c r="U36" s="170" t="s">
        <v>823</v>
      </c>
      <c r="V36" s="146">
        <v>7.0000000000000007E-2</v>
      </c>
      <c r="W36" s="145" t="s">
        <v>3876</v>
      </c>
      <c r="X36" s="145" t="s">
        <v>3876</v>
      </c>
      <c r="Y36" s="166">
        <v>0.02</v>
      </c>
      <c r="Z36" s="146">
        <v>9.0700000000000003E-2</v>
      </c>
      <c r="AA36" s="143" t="s">
        <v>3785</v>
      </c>
      <c r="AB36" s="143" t="s">
        <v>412</v>
      </c>
      <c r="AC36" s="145" t="s">
        <v>3876</v>
      </c>
      <c r="AD36" s="145" t="s">
        <v>3876</v>
      </c>
      <c r="AE36" s="171">
        <v>0.67</v>
      </c>
      <c r="AF36" s="143" t="s">
        <v>3747</v>
      </c>
      <c r="AG36" s="145" t="s">
        <v>3876</v>
      </c>
      <c r="AH36" s="145" t="s">
        <v>3876</v>
      </c>
      <c r="AI36" s="145" t="s">
        <v>3876</v>
      </c>
      <c r="AJ36" s="143" t="s">
        <v>338</v>
      </c>
      <c r="AK36" s="143" t="s">
        <v>886</v>
      </c>
      <c r="AL36" s="145" t="s">
        <v>3876</v>
      </c>
      <c r="AM36" s="143" t="s">
        <v>889</v>
      </c>
      <c r="AN36" s="163">
        <v>45473</v>
      </c>
      <c r="AO36" s="163">
        <v>45473</v>
      </c>
      <c r="AP36" s="145" t="s">
        <v>3876</v>
      </c>
      <c r="AQ36" s="144">
        <v>80426.039999999994</v>
      </c>
      <c r="AR36" s="143" t="s">
        <v>3786</v>
      </c>
      <c r="AS36" s="145" t="s">
        <v>3876</v>
      </c>
      <c r="AT36" s="144">
        <v>81.2303</v>
      </c>
      <c r="AU36" s="144">
        <v>81.230300400000004</v>
      </c>
      <c r="AV36" s="145" t="s">
        <v>3876</v>
      </c>
      <c r="AW36" s="145" t="s">
        <v>3876</v>
      </c>
      <c r="AX36" s="145" t="s">
        <v>3876</v>
      </c>
      <c r="AY36" s="145" t="s">
        <v>3876</v>
      </c>
      <c r="AZ36" s="146">
        <v>3.5095785782376611E-3</v>
      </c>
      <c r="BA36" s="147">
        <v>8.1695162776208538E-5</v>
      </c>
      <c r="BB36" s="181"/>
    </row>
    <row r="37" spans="1:54" ht="15" x14ac:dyDescent="0.2">
      <c r="A37" s="142" t="s">
        <v>1205</v>
      </c>
      <c r="B37" s="143" t="s">
        <v>1205</v>
      </c>
      <c r="C37" s="145" t="s">
        <v>3876</v>
      </c>
      <c r="D37" s="145" t="s">
        <v>3876</v>
      </c>
      <c r="E37" s="145" t="s">
        <v>3876</v>
      </c>
      <c r="F37" s="143" t="s">
        <v>3787</v>
      </c>
      <c r="G37" s="143" t="s">
        <v>1012</v>
      </c>
      <c r="H37" s="145" t="s">
        <v>3876</v>
      </c>
      <c r="I37" s="143" t="s">
        <v>204</v>
      </c>
      <c r="J37" s="145" t="s">
        <v>3876</v>
      </c>
      <c r="K37" s="143" t="s">
        <v>485</v>
      </c>
      <c r="L37" s="143" t="s">
        <v>339</v>
      </c>
      <c r="M37" s="143" t="s">
        <v>338</v>
      </c>
      <c r="N37" s="145" t="s">
        <v>3876</v>
      </c>
      <c r="O37" s="143" t="s">
        <v>3684</v>
      </c>
      <c r="P37" s="143" t="s">
        <v>1366</v>
      </c>
      <c r="Q37" s="143" t="s">
        <v>415</v>
      </c>
      <c r="R37" s="143" t="s">
        <v>408</v>
      </c>
      <c r="S37" s="143" t="s">
        <v>1210</v>
      </c>
      <c r="T37" s="144">
        <v>10.09</v>
      </c>
      <c r="U37" s="170" t="s">
        <v>824</v>
      </c>
      <c r="V37" s="146">
        <v>0.03</v>
      </c>
      <c r="W37" s="145" t="s">
        <v>3876</v>
      </c>
      <c r="X37" s="145" t="s">
        <v>3876</v>
      </c>
      <c r="Y37" s="166">
        <v>0</v>
      </c>
      <c r="Z37" s="146">
        <v>4.1599999999999998E-2</v>
      </c>
      <c r="AA37" s="143" t="s">
        <v>3685</v>
      </c>
      <c r="AB37" s="143" t="s">
        <v>412</v>
      </c>
      <c r="AC37" s="145" t="s">
        <v>3876</v>
      </c>
      <c r="AD37" s="145" t="s">
        <v>3876</v>
      </c>
      <c r="AE37" s="171">
        <v>0.75</v>
      </c>
      <c r="AF37" s="143" t="s">
        <v>3686</v>
      </c>
      <c r="AG37" s="145" t="s">
        <v>3876</v>
      </c>
      <c r="AH37" s="145" t="s">
        <v>3876</v>
      </c>
      <c r="AI37" s="145" t="s">
        <v>3876</v>
      </c>
      <c r="AJ37" s="143" t="s">
        <v>338</v>
      </c>
      <c r="AK37" s="143" t="s">
        <v>886</v>
      </c>
      <c r="AL37" s="145" t="s">
        <v>3876</v>
      </c>
      <c r="AM37" s="143" t="s">
        <v>889</v>
      </c>
      <c r="AN37" s="163">
        <v>45473</v>
      </c>
      <c r="AO37" s="163">
        <v>45473</v>
      </c>
      <c r="AP37" s="145" t="s">
        <v>3876</v>
      </c>
      <c r="AQ37" s="144">
        <v>72507.520000000004</v>
      </c>
      <c r="AR37" s="143" t="s">
        <v>3687</v>
      </c>
      <c r="AS37" s="145" t="s">
        <v>3876</v>
      </c>
      <c r="AT37" s="144">
        <v>73.479100000000003</v>
      </c>
      <c r="AU37" s="144">
        <v>73.479120800000004</v>
      </c>
      <c r="AV37" s="145" t="s">
        <v>3876</v>
      </c>
      <c r="AW37" s="145" t="s">
        <v>3876</v>
      </c>
      <c r="AX37" s="145" t="s">
        <v>3876</v>
      </c>
      <c r="AY37" s="145" t="s">
        <v>3876</v>
      </c>
      <c r="AZ37" s="146">
        <v>3.1746866246368187E-3</v>
      </c>
      <c r="BA37" s="147">
        <v>7.3899624921175915E-5</v>
      </c>
      <c r="BB37" s="181"/>
    </row>
    <row r="38" spans="1:54" ht="15" x14ac:dyDescent="0.2">
      <c r="A38" s="142" t="s">
        <v>1205</v>
      </c>
      <c r="B38" s="143" t="s">
        <v>1205</v>
      </c>
      <c r="C38" s="145" t="s">
        <v>3876</v>
      </c>
      <c r="D38" s="145" t="s">
        <v>3876</v>
      </c>
      <c r="E38" s="145" t="s">
        <v>3876</v>
      </c>
      <c r="F38" s="143" t="s">
        <v>3788</v>
      </c>
      <c r="G38" s="143" t="s">
        <v>1012</v>
      </c>
      <c r="H38" s="143" t="s">
        <v>784</v>
      </c>
      <c r="I38" s="143" t="s">
        <v>204</v>
      </c>
      <c r="J38" s="145" t="s">
        <v>3876</v>
      </c>
      <c r="K38" s="143" t="s">
        <v>443</v>
      </c>
      <c r="L38" s="143" t="s">
        <v>339</v>
      </c>
      <c r="M38" s="143" t="s">
        <v>338</v>
      </c>
      <c r="N38" s="145" t="s">
        <v>3876</v>
      </c>
      <c r="O38" s="143" t="s">
        <v>3789</v>
      </c>
      <c r="P38" s="145" t="s">
        <v>3876</v>
      </c>
      <c r="Q38" s="143" t="s">
        <v>410</v>
      </c>
      <c r="R38" s="143" t="s">
        <v>410</v>
      </c>
      <c r="S38" s="143" t="s">
        <v>1210</v>
      </c>
      <c r="T38" s="144">
        <v>2.17</v>
      </c>
      <c r="U38" s="170" t="s">
        <v>823</v>
      </c>
      <c r="V38" s="146">
        <v>8.2500000000000004E-2</v>
      </c>
      <c r="W38" s="145" t="s">
        <v>3876</v>
      </c>
      <c r="X38" s="145" t="s">
        <v>3876</v>
      </c>
      <c r="Y38" s="166">
        <v>2.2499999999999999E-2</v>
      </c>
      <c r="Z38" s="146">
        <v>7.2599999999999998E-2</v>
      </c>
      <c r="AA38" s="143" t="s">
        <v>3746</v>
      </c>
      <c r="AB38" s="143" t="s">
        <v>412</v>
      </c>
      <c r="AC38" s="145" t="s">
        <v>3876</v>
      </c>
      <c r="AD38" s="145" t="s">
        <v>3876</v>
      </c>
      <c r="AE38" s="171">
        <v>0.62</v>
      </c>
      <c r="AF38" s="143" t="s">
        <v>3747</v>
      </c>
      <c r="AG38" s="145" t="s">
        <v>3876</v>
      </c>
      <c r="AH38" s="145" t="s">
        <v>3876</v>
      </c>
      <c r="AI38" s="145" t="s">
        <v>3876</v>
      </c>
      <c r="AJ38" s="143" t="s">
        <v>338</v>
      </c>
      <c r="AK38" s="143" t="s">
        <v>886</v>
      </c>
      <c r="AL38" s="145" t="s">
        <v>3876</v>
      </c>
      <c r="AM38" s="143" t="s">
        <v>889</v>
      </c>
      <c r="AN38" s="163">
        <v>45473</v>
      </c>
      <c r="AO38" s="163">
        <v>45473</v>
      </c>
      <c r="AP38" s="145" t="s">
        <v>3876</v>
      </c>
      <c r="AQ38" s="144">
        <v>57512</v>
      </c>
      <c r="AR38" s="143" t="s">
        <v>3678</v>
      </c>
      <c r="AS38" s="145" t="s">
        <v>3876</v>
      </c>
      <c r="AT38" s="144">
        <v>60.1</v>
      </c>
      <c r="AU38" s="144">
        <v>60.10004</v>
      </c>
      <c r="AV38" s="145" t="s">
        <v>3876</v>
      </c>
      <c r="AW38" s="145" t="s">
        <v>3876</v>
      </c>
      <c r="AX38" s="145" t="s">
        <v>3876</v>
      </c>
      <c r="AY38" s="145" t="s">
        <v>3876</v>
      </c>
      <c r="AZ38" s="146">
        <v>2.5966395778000417E-3</v>
      </c>
      <c r="BA38" s="147">
        <v>6.0443978742895849E-5</v>
      </c>
      <c r="BB38" s="181"/>
    </row>
    <row r="39" spans="1:54" ht="15" x14ac:dyDescent="0.2">
      <c r="A39" s="142" t="s">
        <v>1205</v>
      </c>
      <c r="B39" s="143" t="s">
        <v>1205</v>
      </c>
      <c r="C39" s="145" t="s">
        <v>3876</v>
      </c>
      <c r="D39" s="145" t="s">
        <v>3876</v>
      </c>
      <c r="E39" s="145" t="s">
        <v>3876</v>
      </c>
      <c r="F39" s="143" t="s">
        <v>3790</v>
      </c>
      <c r="G39" s="143" t="s">
        <v>1012</v>
      </c>
      <c r="H39" s="145" t="s">
        <v>3876</v>
      </c>
      <c r="I39" s="143" t="s">
        <v>204</v>
      </c>
      <c r="J39" s="145" t="s">
        <v>3876</v>
      </c>
      <c r="K39" s="143" t="s">
        <v>444</v>
      </c>
      <c r="L39" s="143" t="s">
        <v>339</v>
      </c>
      <c r="M39" s="143" t="s">
        <v>338</v>
      </c>
      <c r="N39" s="145" t="s">
        <v>3876</v>
      </c>
      <c r="O39" s="143" t="s">
        <v>3714</v>
      </c>
      <c r="P39" s="145" t="s">
        <v>3876</v>
      </c>
      <c r="Q39" s="143" t="s">
        <v>410</v>
      </c>
      <c r="R39" s="143" t="s">
        <v>410</v>
      </c>
      <c r="S39" s="143" t="s">
        <v>1211</v>
      </c>
      <c r="T39" s="144">
        <v>0.01</v>
      </c>
      <c r="U39" s="170" t="s">
        <v>314</v>
      </c>
      <c r="V39" s="143" t="s">
        <v>1266</v>
      </c>
      <c r="W39" s="145" t="s">
        <v>3876</v>
      </c>
      <c r="X39" s="145" t="s">
        <v>3876</v>
      </c>
      <c r="Y39" s="166">
        <v>0</v>
      </c>
      <c r="Z39" s="146">
        <v>1E-4</v>
      </c>
      <c r="AA39" s="143" t="s">
        <v>3714</v>
      </c>
      <c r="AB39" s="143" t="s">
        <v>412</v>
      </c>
      <c r="AC39" s="145" t="s">
        <v>3876</v>
      </c>
      <c r="AD39" s="145" t="s">
        <v>3876</v>
      </c>
      <c r="AE39" s="145" t="s">
        <v>3876</v>
      </c>
      <c r="AF39" s="145" t="s">
        <v>3876</v>
      </c>
      <c r="AG39" s="145" t="s">
        <v>3876</v>
      </c>
      <c r="AH39" s="145" t="s">
        <v>3876</v>
      </c>
      <c r="AI39" s="145" t="s">
        <v>3876</v>
      </c>
      <c r="AJ39" s="145" t="s">
        <v>3876</v>
      </c>
      <c r="AK39" s="143" t="s">
        <v>886</v>
      </c>
      <c r="AL39" s="145" t="s">
        <v>3876</v>
      </c>
      <c r="AM39" s="143" t="s">
        <v>889</v>
      </c>
      <c r="AN39" s="163">
        <v>45250</v>
      </c>
      <c r="AO39" s="163">
        <v>45250</v>
      </c>
      <c r="AP39" s="145" t="s">
        <v>3876</v>
      </c>
      <c r="AQ39" s="144">
        <v>24683.43</v>
      </c>
      <c r="AR39" s="143" t="s">
        <v>3791</v>
      </c>
      <c r="AS39" s="143" t="s">
        <v>1212</v>
      </c>
      <c r="AT39" s="144">
        <v>51.204599999999999</v>
      </c>
      <c r="AU39" s="144">
        <v>13.6218717</v>
      </c>
      <c r="AV39" s="145" t="s">
        <v>3876</v>
      </c>
      <c r="AW39" s="145" t="s">
        <v>3876</v>
      </c>
      <c r="AX39" s="145" t="s">
        <v>3876</v>
      </c>
      <c r="AY39" s="145" t="s">
        <v>3876</v>
      </c>
      <c r="AZ39" s="146">
        <v>2.2123102087631664E-3</v>
      </c>
      <c r="BA39" s="147">
        <v>5.1497648104272139E-5</v>
      </c>
      <c r="BB39" s="181"/>
    </row>
    <row r="40" spans="1:54" ht="15" x14ac:dyDescent="0.2">
      <c r="A40" s="142" t="s">
        <v>1205</v>
      </c>
      <c r="B40" s="143" t="s">
        <v>1205</v>
      </c>
      <c r="C40" s="145" t="s">
        <v>3876</v>
      </c>
      <c r="D40" s="145" t="s">
        <v>3876</v>
      </c>
      <c r="E40" s="145" t="s">
        <v>3876</v>
      </c>
      <c r="F40" s="143" t="s">
        <v>3792</v>
      </c>
      <c r="G40" s="143" t="s">
        <v>1012</v>
      </c>
      <c r="H40" s="143" t="s">
        <v>784</v>
      </c>
      <c r="I40" s="143" t="s">
        <v>204</v>
      </c>
      <c r="J40" s="145" t="s">
        <v>3876</v>
      </c>
      <c r="K40" s="143" t="s">
        <v>443</v>
      </c>
      <c r="L40" s="143" t="s">
        <v>339</v>
      </c>
      <c r="M40" s="143" t="s">
        <v>338</v>
      </c>
      <c r="N40" s="145" t="s">
        <v>3876</v>
      </c>
      <c r="O40" s="143" t="s">
        <v>3793</v>
      </c>
      <c r="P40" s="145" t="s">
        <v>3876</v>
      </c>
      <c r="Q40" s="143" t="s">
        <v>410</v>
      </c>
      <c r="R40" s="143" t="s">
        <v>410</v>
      </c>
      <c r="S40" s="143" t="s">
        <v>1210</v>
      </c>
      <c r="T40" s="144">
        <v>2.16</v>
      </c>
      <c r="U40" s="170" t="s">
        <v>823</v>
      </c>
      <c r="V40" s="146">
        <v>8.2500000000000004E-2</v>
      </c>
      <c r="W40" s="145" t="s">
        <v>3876</v>
      </c>
      <c r="X40" s="145" t="s">
        <v>3876</v>
      </c>
      <c r="Y40" s="166">
        <v>0</v>
      </c>
      <c r="Z40" s="146">
        <v>8.5599999999999996E-2</v>
      </c>
      <c r="AA40" s="143" t="s">
        <v>3794</v>
      </c>
      <c r="AB40" s="143" t="s">
        <v>412</v>
      </c>
      <c r="AC40" s="145" t="s">
        <v>3876</v>
      </c>
      <c r="AD40" s="145" t="s">
        <v>3876</v>
      </c>
      <c r="AE40" s="171">
        <v>0.62</v>
      </c>
      <c r="AF40" s="143" t="s">
        <v>3778</v>
      </c>
      <c r="AG40" s="145" t="s">
        <v>3876</v>
      </c>
      <c r="AH40" s="145" t="s">
        <v>3876</v>
      </c>
      <c r="AI40" s="145" t="s">
        <v>3876</v>
      </c>
      <c r="AJ40" s="143" t="s">
        <v>338</v>
      </c>
      <c r="AK40" s="143" t="s">
        <v>886</v>
      </c>
      <c r="AL40" s="145" t="s">
        <v>3876</v>
      </c>
      <c r="AM40" s="143" t="s">
        <v>889</v>
      </c>
      <c r="AN40" s="163">
        <v>45473</v>
      </c>
      <c r="AO40" s="163">
        <v>45473</v>
      </c>
      <c r="AP40" s="145" t="s">
        <v>3876</v>
      </c>
      <c r="AQ40" s="144">
        <v>47596</v>
      </c>
      <c r="AR40" s="143" t="s">
        <v>3795</v>
      </c>
      <c r="AS40" s="145" t="s">
        <v>3876</v>
      </c>
      <c r="AT40" s="144">
        <v>48.462199999999996</v>
      </c>
      <c r="AU40" s="144">
        <v>48.4622472</v>
      </c>
      <c r="AV40" s="145" t="s">
        <v>3876</v>
      </c>
      <c r="AW40" s="145" t="s">
        <v>3876</v>
      </c>
      <c r="AX40" s="145" t="s">
        <v>3876</v>
      </c>
      <c r="AY40" s="145" t="s">
        <v>3876</v>
      </c>
      <c r="AZ40" s="146">
        <v>2.0938253802934119E-3</v>
      </c>
      <c r="BA40" s="147">
        <v>4.8739585524231993E-5</v>
      </c>
      <c r="BB40" s="181"/>
    </row>
    <row r="41" spans="1:54" ht="15" x14ac:dyDescent="0.2">
      <c r="A41" s="142" t="s">
        <v>1205</v>
      </c>
      <c r="B41" s="143" t="s">
        <v>1205</v>
      </c>
      <c r="C41" s="145" t="s">
        <v>3876</v>
      </c>
      <c r="D41" s="145" t="s">
        <v>3876</v>
      </c>
      <c r="E41" s="145" t="s">
        <v>3876</v>
      </c>
      <c r="F41" s="143" t="s">
        <v>3796</v>
      </c>
      <c r="G41" s="143" t="s">
        <v>1012</v>
      </c>
      <c r="H41" s="143" t="s">
        <v>784</v>
      </c>
      <c r="I41" s="143" t="s">
        <v>204</v>
      </c>
      <c r="J41" s="145" t="s">
        <v>3876</v>
      </c>
      <c r="K41" s="143" t="s">
        <v>443</v>
      </c>
      <c r="L41" s="143" t="s">
        <v>339</v>
      </c>
      <c r="M41" s="143" t="s">
        <v>338</v>
      </c>
      <c r="N41" s="145" t="s">
        <v>3876</v>
      </c>
      <c r="O41" s="143" t="s">
        <v>3797</v>
      </c>
      <c r="P41" s="145" t="s">
        <v>3876</v>
      </c>
      <c r="Q41" s="143" t="s">
        <v>410</v>
      </c>
      <c r="R41" s="143" t="s">
        <v>410</v>
      </c>
      <c r="S41" s="143" t="s">
        <v>1210</v>
      </c>
      <c r="T41" s="144">
        <v>0.87</v>
      </c>
      <c r="U41" s="170" t="s">
        <v>823</v>
      </c>
      <c r="V41" s="146">
        <v>7.0000000000000007E-2</v>
      </c>
      <c r="W41" s="145" t="s">
        <v>3876</v>
      </c>
      <c r="X41" s="145" t="s">
        <v>3876</v>
      </c>
      <c r="Y41" s="166">
        <v>0</v>
      </c>
      <c r="Z41" s="146">
        <v>7.7700000000000005E-2</v>
      </c>
      <c r="AA41" s="143" t="s">
        <v>3785</v>
      </c>
      <c r="AB41" s="143" t="s">
        <v>412</v>
      </c>
      <c r="AC41" s="145" t="s">
        <v>3876</v>
      </c>
      <c r="AD41" s="145" t="s">
        <v>3876</v>
      </c>
      <c r="AE41" s="171">
        <v>0.67</v>
      </c>
      <c r="AF41" s="143" t="s">
        <v>3667</v>
      </c>
      <c r="AG41" s="145" t="s">
        <v>3876</v>
      </c>
      <c r="AH41" s="145" t="s">
        <v>3876</v>
      </c>
      <c r="AI41" s="145" t="s">
        <v>3876</v>
      </c>
      <c r="AJ41" s="143" t="s">
        <v>338</v>
      </c>
      <c r="AK41" s="143" t="s">
        <v>886</v>
      </c>
      <c r="AL41" s="145" t="s">
        <v>3876</v>
      </c>
      <c r="AM41" s="143" t="s">
        <v>889</v>
      </c>
      <c r="AN41" s="163">
        <v>45473</v>
      </c>
      <c r="AO41" s="163">
        <v>45473</v>
      </c>
      <c r="AP41" s="145" t="s">
        <v>3876</v>
      </c>
      <c r="AQ41" s="144">
        <v>43520</v>
      </c>
      <c r="AR41" s="143" t="s">
        <v>3798</v>
      </c>
      <c r="AS41" s="145" t="s">
        <v>3876</v>
      </c>
      <c r="AT41" s="144">
        <v>44.416499999999999</v>
      </c>
      <c r="AU41" s="144">
        <v>44.416511999999997</v>
      </c>
      <c r="AV41" s="145" t="s">
        <v>3876</v>
      </c>
      <c r="AW41" s="145" t="s">
        <v>3876</v>
      </c>
      <c r="AX41" s="145" t="s">
        <v>3876</v>
      </c>
      <c r="AY41" s="145" t="s">
        <v>3876</v>
      </c>
      <c r="AZ41" s="146">
        <v>1.9190282230599261E-3</v>
      </c>
      <c r="BA41" s="147">
        <v>4.4670697509711784E-5</v>
      </c>
      <c r="BB41" s="181"/>
    </row>
    <row r="42" spans="1:54" ht="15" x14ac:dyDescent="0.2">
      <c r="A42" s="142" t="s">
        <v>1205</v>
      </c>
      <c r="B42" s="143" t="s">
        <v>1205</v>
      </c>
      <c r="C42" s="145" t="s">
        <v>3876</v>
      </c>
      <c r="D42" s="145" t="s">
        <v>3876</v>
      </c>
      <c r="E42" s="145" t="s">
        <v>3876</v>
      </c>
      <c r="F42" s="143" t="s">
        <v>3799</v>
      </c>
      <c r="G42" s="143" t="s">
        <v>1012</v>
      </c>
      <c r="H42" s="145" t="s">
        <v>3876</v>
      </c>
      <c r="I42" s="143" t="s">
        <v>204</v>
      </c>
      <c r="J42" s="145" t="s">
        <v>3876</v>
      </c>
      <c r="K42" s="143" t="s">
        <v>485</v>
      </c>
      <c r="L42" s="143" t="s">
        <v>339</v>
      </c>
      <c r="M42" s="143" t="s">
        <v>338</v>
      </c>
      <c r="N42" s="145" t="s">
        <v>3876</v>
      </c>
      <c r="O42" s="143" t="s">
        <v>3800</v>
      </c>
      <c r="P42" s="143" t="s">
        <v>1721</v>
      </c>
      <c r="Q42" s="143" t="s">
        <v>413</v>
      </c>
      <c r="R42" s="143" t="s">
        <v>408</v>
      </c>
      <c r="S42" s="143" t="s">
        <v>1210</v>
      </c>
      <c r="T42" s="144">
        <v>5.89</v>
      </c>
      <c r="U42" s="170" t="s">
        <v>824</v>
      </c>
      <c r="V42" s="146">
        <v>3.3099999999999997E-2</v>
      </c>
      <c r="W42" s="145" t="s">
        <v>3876</v>
      </c>
      <c r="X42" s="145" t="s">
        <v>3876</v>
      </c>
      <c r="Y42" s="166">
        <v>0</v>
      </c>
      <c r="Z42" s="146">
        <v>3.44E-2</v>
      </c>
      <c r="AA42" s="143" t="s">
        <v>3718</v>
      </c>
      <c r="AB42" s="143" t="s">
        <v>412</v>
      </c>
      <c r="AC42" s="145" t="s">
        <v>3876</v>
      </c>
      <c r="AD42" s="145" t="s">
        <v>3876</v>
      </c>
      <c r="AE42" s="145" t="s">
        <v>3876</v>
      </c>
      <c r="AF42" s="145" t="s">
        <v>3876</v>
      </c>
      <c r="AG42" s="145" t="s">
        <v>3876</v>
      </c>
      <c r="AH42" s="145" t="s">
        <v>3876</v>
      </c>
      <c r="AI42" s="145" t="s">
        <v>3876</v>
      </c>
      <c r="AJ42" s="145" t="s">
        <v>3876</v>
      </c>
      <c r="AK42" s="143" t="s">
        <v>886</v>
      </c>
      <c r="AL42" s="145" t="s">
        <v>3876</v>
      </c>
      <c r="AM42" s="143" t="s">
        <v>889</v>
      </c>
      <c r="AN42" s="163">
        <v>45473</v>
      </c>
      <c r="AO42" s="163">
        <v>45473</v>
      </c>
      <c r="AP42" s="145" t="s">
        <v>3876</v>
      </c>
      <c r="AQ42" s="144">
        <v>27803.95</v>
      </c>
      <c r="AR42" s="143" t="s">
        <v>3801</v>
      </c>
      <c r="AS42" s="145" t="s">
        <v>3876</v>
      </c>
      <c r="AT42" s="144">
        <v>31.604700000000001</v>
      </c>
      <c r="AU42" s="144">
        <v>31.604749999999999</v>
      </c>
      <c r="AV42" s="145" t="s">
        <v>3876</v>
      </c>
      <c r="AW42" s="145" t="s">
        <v>3876</v>
      </c>
      <c r="AX42" s="145" t="s">
        <v>3876</v>
      </c>
      <c r="AY42" s="145" t="s">
        <v>3876</v>
      </c>
      <c r="AZ42" s="146">
        <v>1.3654923458552353E-3</v>
      </c>
      <c r="BA42" s="147">
        <v>3.1785616699406495E-5</v>
      </c>
      <c r="BB42" s="181"/>
    </row>
    <row r="43" spans="1:54" ht="15" x14ac:dyDescent="0.2">
      <c r="A43" s="142" t="s">
        <v>1205</v>
      </c>
      <c r="B43" s="143" t="s">
        <v>1205</v>
      </c>
      <c r="C43" s="145" t="s">
        <v>3876</v>
      </c>
      <c r="D43" s="145" t="s">
        <v>3876</v>
      </c>
      <c r="E43" s="145" t="s">
        <v>3876</v>
      </c>
      <c r="F43" s="143" t="s">
        <v>3802</v>
      </c>
      <c r="G43" s="143" t="s">
        <v>1012</v>
      </c>
      <c r="H43" s="143" t="s">
        <v>784</v>
      </c>
      <c r="I43" s="143" t="s">
        <v>204</v>
      </c>
      <c r="J43" s="145" t="s">
        <v>3876</v>
      </c>
      <c r="K43" s="143" t="s">
        <v>443</v>
      </c>
      <c r="L43" s="143" t="s">
        <v>339</v>
      </c>
      <c r="M43" s="143" t="s">
        <v>338</v>
      </c>
      <c r="N43" s="145" t="s">
        <v>3876</v>
      </c>
      <c r="O43" s="143" t="s">
        <v>3803</v>
      </c>
      <c r="P43" s="145" t="s">
        <v>3876</v>
      </c>
      <c r="Q43" s="143" t="s">
        <v>410</v>
      </c>
      <c r="R43" s="143" t="s">
        <v>410</v>
      </c>
      <c r="S43" s="143" t="s">
        <v>1210</v>
      </c>
      <c r="T43" s="144">
        <v>0.87</v>
      </c>
      <c r="U43" s="170" t="s">
        <v>823</v>
      </c>
      <c r="V43" s="146">
        <v>7.0000000000000007E-2</v>
      </c>
      <c r="W43" s="145" t="s">
        <v>3876</v>
      </c>
      <c r="X43" s="145" t="s">
        <v>3876</v>
      </c>
      <c r="Y43" s="166">
        <v>0</v>
      </c>
      <c r="Z43" s="146">
        <v>6.9400000000000003E-2</v>
      </c>
      <c r="AA43" s="143" t="s">
        <v>3785</v>
      </c>
      <c r="AB43" s="143" t="s">
        <v>412</v>
      </c>
      <c r="AC43" s="145" t="s">
        <v>3876</v>
      </c>
      <c r="AD43" s="145" t="s">
        <v>3876</v>
      </c>
      <c r="AE43" s="171">
        <v>0.67</v>
      </c>
      <c r="AF43" s="143" t="s">
        <v>3667</v>
      </c>
      <c r="AG43" s="145" t="s">
        <v>3876</v>
      </c>
      <c r="AH43" s="145" t="s">
        <v>3876</v>
      </c>
      <c r="AI43" s="145" t="s">
        <v>3876</v>
      </c>
      <c r="AJ43" s="143" t="s">
        <v>338</v>
      </c>
      <c r="AK43" s="143" t="s">
        <v>886</v>
      </c>
      <c r="AL43" s="145" t="s">
        <v>3876</v>
      </c>
      <c r="AM43" s="143" t="s">
        <v>889</v>
      </c>
      <c r="AN43" s="163">
        <v>45473</v>
      </c>
      <c r="AO43" s="163">
        <v>45473</v>
      </c>
      <c r="AP43" s="145" t="s">
        <v>3876</v>
      </c>
      <c r="AQ43" s="144">
        <v>16749</v>
      </c>
      <c r="AR43" s="143" t="s">
        <v>3804</v>
      </c>
      <c r="AS43" s="145" t="s">
        <v>3876</v>
      </c>
      <c r="AT43" s="144">
        <v>17.209599999999998</v>
      </c>
      <c r="AU43" s="144">
        <v>17.209597500000001</v>
      </c>
      <c r="AV43" s="145" t="s">
        <v>3876</v>
      </c>
      <c r="AW43" s="145" t="s">
        <v>3876</v>
      </c>
      <c r="AX43" s="145" t="s">
        <v>3876</v>
      </c>
      <c r="AY43" s="145" t="s">
        <v>3876</v>
      </c>
      <c r="AZ43" s="146">
        <v>7.4354562803134001E-4</v>
      </c>
      <c r="BA43" s="147">
        <v>1.7308084078875716E-5</v>
      </c>
      <c r="BB43" s="181"/>
    </row>
    <row r="44" spans="1:54" ht="15" x14ac:dyDescent="0.2">
      <c r="A44" s="142" t="s">
        <v>1205</v>
      </c>
      <c r="B44" s="143" t="s">
        <v>1205</v>
      </c>
      <c r="C44" s="145" t="s">
        <v>3876</v>
      </c>
      <c r="D44" s="145" t="s">
        <v>3876</v>
      </c>
      <c r="E44" s="145" t="s">
        <v>3876</v>
      </c>
      <c r="F44" s="143" t="s">
        <v>3805</v>
      </c>
      <c r="G44" s="143" t="s">
        <v>1012</v>
      </c>
      <c r="H44" s="143" t="s">
        <v>784</v>
      </c>
      <c r="I44" s="143" t="s">
        <v>204</v>
      </c>
      <c r="J44" s="145" t="s">
        <v>3876</v>
      </c>
      <c r="K44" s="143" t="s">
        <v>443</v>
      </c>
      <c r="L44" s="143" t="s">
        <v>339</v>
      </c>
      <c r="M44" s="143" t="s">
        <v>338</v>
      </c>
      <c r="N44" s="145" t="s">
        <v>3876</v>
      </c>
      <c r="O44" s="143" t="s">
        <v>3781</v>
      </c>
      <c r="P44" s="145" t="s">
        <v>3876</v>
      </c>
      <c r="Q44" s="143" t="s">
        <v>410</v>
      </c>
      <c r="R44" s="143" t="s">
        <v>410</v>
      </c>
      <c r="S44" s="143" t="s">
        <v>1210</v>
      </c>
      <c r="T44" s="144">
        <v>0.87</v>
      </c>
      <c r="U44" s="170" t="s">
        <v>823</v>
      </c>
      <c r="V44" s="146">
        <v>7.0000000000000007E-2</v>
      </c>
      <c r="W44" s="145" t="s">
        <v>3876</v>
      </c>
      <c r="X44" s="145" t="s">
        <v>3876</v>
      </c>
      <c r="Y44" s="166">
        <v>0</v>
      </c>
      <c r="Z44" s="146">
        <v>7.1199999999999999E-2</v>
      </c>
      <c r="AA44" s="143" t="s">
        <v>3806</v>
      </c>
      <c r="AB44" s="143" t="s">
        <v>412</v>
      </c>
      <c r="AC44" s="145" t="s">
        <v>3876</v>
      </c>
      <c r="AD44" s="145" t="s">
        <v>3876</v>
      </c>
      <c r="AE44" s="171">
        <v>0.67</v>
      </c>
      <c r="AF44" s="143" t="s">
        <v>3667</v>
      </c>
      <c r="AG44" s="145" t="s">
        <v>3876</v>
      </c>
      <c r="AH44" s="145" t="s">
        <v>3876</v>
      </c>
      <c r="AI44" s="145" t="s">
        <v>3876</v>
      </c>
      <c r="AJ44" s="143" t="s">
        <v>338</v>
      </c>
      <c r="AK44" s="143" t="s">
        <v>886</v>
      </c>
      <c r="AL44" s="145" t="s">
        <v>3876</v>
      </c>
      <c r="AM44" s="143" t="s">
        <v>889</v>
      </c>
      <c r="AN44" s="163">
        <v>45473</v>
      </c>
      <c r="AO44" s="163">
        <v>45473</v>
      </c>
      <c r="AP44" s="145" t="s">
        <v>3876</v>
      </c>
      <c r="AQ44" s="144">
        <v>16131</v>
      </c>
      <c r="AR44" s="143" t="s">
        <v>3807</v>
      </c>
      <c r="AS44" s="145" t="s">
        <v>3876</v>
      </c>
      <c r="AT44" s="144">
        <v>16.5504</v>
      </c>
      <c r="AU44" s="144">
        <v>16.550405999999999</v>
      </c>
      <c r="AV44" s="145" t="s">
        <v>3876</v>
      </c>
      <c r="AW44" s="145" t="s">
        <v>3876</v>
      </c>
      <c r="AX44" s="145" t="s">
        <v>3876</v>
      </c>
      <c r="AY44" s="145" t="s">
        <v>3876</v>
      </c>
      <c r="AZ44" s="146">
        <v>7.1506506897930976E-4</v>
      </c>
      <c r="BA44" s="147">
        <v>1.6645120177129598E-5</v>
      </c>
      <c r="BB44" s="181"/>
    </row>
    <row r="45" spans="1:54" ht="15" x14ac:dyDescent="0.2">
      <c r="A45" s="142" t="s">
        <v>1205</v>
      </c>
      <c r="B45" s="143" t="s">
        <v>1205</v>
      </c>
      <c r="C45" s="145" t="s">
        <v>3876</v>
      </c>
      <c r="D45" s="145" t="s">
        <v>3876</v>
      </c>
      <c r="E45" s="145" t="s">
        <v>3876</v>
      </c>
      <c r="F45" s="143" t="s">
        <v>3808</v>
      </c>
      <c r="G45" s="143" t="s">
        <v>1012</v>
      </c>
      <c r="H45" s="143" t="s">
        <v>784</v>
      </c>
      <c r="I45" s="143" t="s">
        <v>204</v>
      </c>
      <c r="J45" s="145" t="s">
        <v>3876</v>
      </c>
      <c r="K45" s="143" t="s">
        <v>443</v>
      </c>
      <c r="L45" s="143" t="s">
        <v>339</v>
      </c>
      <c r="M45" s="143" t="s">
        <v>338</v>
      </c>
      <c r="N45" s="145" t="s">
        <v>3876</v>
      </c>
      <c r="O45" s="143" t="s">
        <v>3809</v>
      </c>
      <c r="P45" s="145" t="s">
        <v>3876</v>
      </c>
      <c r="Q45" s="143" t="s">
        <v>410</v>
      </c>
      <c r="R45" s="143" t="s">
        <v>410</v>
      </c>
      <c r="S45" s="143" t="s">
        <v>1210</v>
      </c>
      <c r="T45" s="144">
        <v>0.87</v>
      </c>
      <c r="U45" s="170" t="s">
        <v>823</v>
      </c>
      <c r="V45" s="146">
        <v>7.0000000000000007E-2</v>
      </c>
      <c r="W45" s="145" t="s">
        <v>3876</v>
      </c>
      <c r="X45" s="145" t="s">
        <v>3876</v>
      </c>
      <c r="Y45" s="166">
        <v>0</v>
      </c>
      <c r="Z45" s="146">
        <v>7.0499999999999993E-2</v>
      </c>
      <c r="AA45" s="143" t="s">
        <v>3785</v>
      </c>
      <c r="AB45" s="143" t="s">
        <v>412</v>
      </c>
      <c r="AC45" s="145" t="s">
        <v>3876</v>
      </c>
      <c r="AD45" s="145" t="s">
        <v>3876</v>
      </c>
      <c r="AE45" s="171">
        <v>0.67</v>
      </c>
      <c r="AF45" s="143" t="s">
        <v>3667</v>
      </c>
      <c r="AG45" s="145" t="s">
        <v>3876</v>
      </c>
      <c r="AH45" s="145" t="s">
        <v>3876</v>
      </c>
      <c r="AI45" s="145" t="s">
        <v>3876</v>
      </c>
      <c r="AJ45" s="143" t="s">
        <v>338</v>
      </c>
      <c r="AK45" s="143" t="s">
        <v>886</v>
      </c>
      <c r="AL45" s="145" t="s">
        <v>3876</v>
      </c>
      <c r="AM45" s="143" t="s">
        <v>889</v>
      </c>
      <c r="AN45" s="163">
        <v>45473</v>
      </c>
      <c r="AO45" s="163">
        <v>45473</v>
      </c>
      <c r="AP45" s="145" t="s">
        <v>3876</v>
      </c>
      <c r="AQ45" s="144">
        <v>14515</v>
      </c>
      <c r="AR45" s="143" t="s">
        <v>3810</v>
      </c>
      <c r="AS45" s="145" t="s">
        <v>3876</v>
      </c>
      <c r="AT45" s="144">
        <v>14.9011</v>
      </c>
      <c r="AU45" s="144">
        <v>14.901099</v>
      </c>
      <c r="AV45" s="145" t="s">
        <v>3876</v>
      </c>
      <c r="AW45" s="145" t="s">
        <v>3876</v>
      </c>
      <c r="AX45" s="145" t="s">
        <v>3876</v>
      </c>
      <c r="AY45" s="145" t="s">
        <v>3876</v>
      </c>
      <c r="AZ45" s="146">
        <v>6.4380628392454687E-4</v>
      </c>
      <c r="BA45" s="147">
        <v>1.4986374571494239E-5</v>
      </c>
      <c r="BB45" s="181"/>
    </row>
    <row r="46" spans="1:54" ht="15" x14ac:dyDescent="0.2">
      <c r="A46" s="142" t="s">
        <v>1205</v>
      </c>
      <c r="B46" s="143" t="s">
        <v>1205</v>
      </c>
      <c r="C46" s="145" t="s">
        <v>3876</v>
      </c>
      <c r="D46" s="145" t="s">
        <v>3876</v>
      </c>
      <c r="E46" s="145" t="s">
        <v>3876</v>
      </c>
      <c r="F46" s="143" t="s">
        <v>3811</v>
      </c>
      <c r="G46" s="143" t="s">
        <v>1012</v>
      </c>
      <c r="H46" s="143" t="s">
        <v>793</v>
      </c>
      <c r="I46" s="143" t="s">
        <v>204</v>
      </c>
      <c r="J46" s="145" t="s">
        <v>3876</v>
      </c>
      <c r="K46" s="143" t="s">
        <v>447</v>
      </c>
      <c r="L46" s="143" t="s">
        <v>339</v>
      </c>
      <c r="M46" s="143" t="s">
        <v>338</v>
      </c>
      <c r="N46" s="145" t="s">
        <v>3876</v>
      </c>
      <c r="O46" s="143" t="s">
        <v>3812</v>
      </c>
      <c r="P46" s="145" t="s">
        <v>3876</v>
      </c>
      <c r="Q46" s="143" t="s">
        <v>410</v>
      </c>
      <c r="R46" s="143" t="s">
        <v>410</v>
      </c>
      <c r="S46" s="143" t="s">
        <v>1210</v>
      </c>
      <c r="T46" s="144">
        <v>0.01</v>
      </c>
      <c r="U46" s="170" t="s">
        <v>824</v>
      </c>
      <c r="V46" s="146">
        <v>0</v>
      </c>
      <c r="W46" s="145" t="s">
        <v>3876</v>
      </c>
      <c r="X46" s="145" t="s">
        <v>3876</v>
      </c>
      <c r="Y46" s="166">
        <v>0</v>
      </c>
      <c r="Z46" s="146">
        <v>1E-4</v>
      </c>
      <c r="AA46" s="143" t="s">
        <v>3813</v>
      </c>
      <c r="AB46" s="143" t="s">
        <v>412</v>
      </c>
      <c r="AC46" s="145" t="s">
        <v>3876</v>
      </c>
      <c r="AD46" s="145" t="s">
        <v>3876</v>
      </c>
      <c r="AE46" s="145" t="s">
        <v>3876</v>
      </c>
      <c r="AF46" s="143" t="s">
        <v>3732</v>
      </c>
      <c r="AG46" s="145" t="s">
        <v>3876</v>
      </c>
      <c r="AH46" s="145" t="s">
        <v>3876</v>
      </c>
      <c r="AI46" s="145" t="s">
        <v>3876</v>
      </c>
      <c r="AJ46" s="145" t="s">
        <v>3876</v>
      </c>
      <c r="AK46" s="143" t="s">
        <v>314</v>
      </c>
      <c r="AL46" s="145" t="s">
        <v>3876</v>
      </c>
      <c r="AM46" s="143" t="s">
        <v>888</v>
      </c>
      <c r="AN46" s="163">
        <v>45473</v>
      </c>
      <c r="AO46" s="163">
        <v>45473</v>
      </c>
      <c r="AP46" s="145" t="s">
        <v>3876</v>
      </c>
      <c r="AQ46" s="144">
        <v>357722.44</v>
      </c>
      <c r="AR46" s="143" t="s">
        <v>3814</v>
      </c>
      <c r="AS46" s="145" t="s">
        <v>3876</v>
      </c>
      <c r="AT46" s="144">
        <v>13.8439</v>
      </c>
      <c r="AU46" s="144">
        <v>13.8438584</v>
      </c>
      <c r="AV46" s="145" t="s">
        <v>3876</v>
      </c>
      <c r="AW46" s="145" t="s">
        <v>3876</v>
      </c>
      <c r="AX46" s="145" t="s">
        <v>3876</v>
      </c>
      <c r="AY46" s="145" t="s">
        <v>3876</v>
      </c>
      <c r="AZ46" s="146">
        <v>5.9812789980847713E-4</v>
      </c>
      <c r="BA46" s="147">
        <v>1.3923083654215398E-5</v>
      </c>
      <c r="BB46" s="181"/>
    </row>
    <row r="47" spans="1:54" ht="15" x14ac:dyDescent="0.2">
      <c r="A47" s="142" t="s">
        <v>1205</v>
      </c>
      <c r="B47" s="143" t="s">
        <v>1205</v>
      </c>
      <c r="C47" s="145" t="s">
        <v>3876</v>
      </c>
      <c r="D47" s="145" t="s">
        <v>3876</v>
      </c>
      <c r="E47" s="145" t="s">
        <v>3876</v>
      </c>
      <c r="F47" s="143" t="s">
        <v>3815</v>
      </c>
      <c r="G47" s="143" t="s">
        <v>1012</v>
      </c>
      <c r="H47" s="143" t="s">
        <v>784</v>
      </c>
      <c r="I47" s="143" t="s">
        <v>204</v>
      </c>
      <c r="J47" s="145" t="s">
        <v>3876</v>
      </c>
      <c r="K47" s="143" t="s">
        <v>443</v>
      </c>
      <c r="L47" s="143" t="s">
        <v>339</v>
      </c>
      <c r="M47" s="143" t="s">
        <v>338</v>
      </c>
      <c r="N47" s="145" t="s">
        <v>3876</v>
      </c>
      <c r="O47" s="143" t="s">
        <v>3816</v>
      </c>
      <c r="P47" s="145" t="s">
        <v>3876</v>
      </c>
      <c r="Q47" s="143" t="s">
        <v>410</v>
      </c>
      <c r="R47" s="143" t="s">
        <v>410</v>
      </c>
      <c r="S47" s="143" t="s">
        <v>1210</v>
      </c>
      <c r="T47" s="144">
        <v>0.87</v>
      </c>
      <c r="U47" s="170" t="s">
        <v>823</v>
      </c>
      <c r="V47" s="146">
        <v>7.0000000000000007E-2</v>
      </c>
      <c r="W47" s="145" t="s">
        <v>3876</v>
      </c>
      <c r="X47" s="145" t="s">
        <v>3876</v>
      </c>
      <c r="Y47" s="166">
        <v>0</v>
      </c>
      <c r="Z47" s="146">
        <v>7.1599999999999997E-2</v>
      </c>
      <c r="AA47" s="143" t="s">
        <v>3806</v>
      </c>
      <c r="AB47" s="143" t="s">
        <v>412</v>
      </c>
      <c r="AC47" s="145" t="s">
        <v>3876</v>
      </c>
      <c r="AD47" s="145" t="s">
        <v>3876</v>
      </c>
      <c r="AE47" s="171">
        <v>0.67</v>
      </c>
      <c r="AF47" s="143" t="s">
        <v>3667</v>
      </c>
      <c r="AG47" s="145" t="s">
        <v>3876</v>
      </c>
      <c r="AH47" s="145" t="s">
        <v>3876</v>
      </c>
      <c r="AI47" s="145" t="s">
        <v>3876</v>
      </c>
      <c r="AJ47" s="143" t="s">
        <v>338</v>
      </c>
      <c r="AK47" s="143" t="s">
        <v>886</v>
      </c>
      <c r="AL47" s="145" t="s">
        <v>3876</v>
      </c>
      <c r="AM47" s="143" t="s">
        <v>889</v>
      </c>
      <c r="AN47" s="163">
        <v>45473</v>
      </c>
      <c r="AO47" s="163">
        <v>45473</v>
      </c>
      <c r="AP47" s="145" t="s">
        <v>3876</v>
      </c>
      <c r="AQ47" s="144">
        <v>10750</v>
      </c>
      <c r="AR47" s="143" t="s">
        <v>3817</v>
      </c>
      <c r="AS47" s="145" t="s">
        <v>3876</v>
      </c>
      <c r="AT47" s="144">
        <v>11.026299999999999</v>
      </c>
      <c r="AU47" s="144">
        <v>11.026275</v>
      </c>
      <c r="AV47" s="145" t="s">
        <v>3876</v>
      </c>
      <c r="AW47" s="145" t="s">
        <v>3876</v>
      </c>
      <c r="AX47" s="145" t="s">
        <v>3876</v>
      </c>
      <c r="AY47" s="145" t="s">
        <v>3876</v>
      </c>
      <c r="AZ47" s="146">
        <v>4.7639339442548048E-4</v>
      </c>
      <c r="BA47" s="147">
        <v>1.1089375842567226E-5</v>
      </c>
      <c r="BB47" s="181"/>
    </row>
    <row r="48" spans="1:54" ht="15" x14ac:dyDescent="0.2">
      <c r="A48" s="142" t="s">
        <v>1205</v>
      </c>
      <c r="B48" s="143" t="s">
        <v>1205</v>
      </c>
      <c r="C48" s="145" t="s">
        <v>3876</v>
      </c>
      <c r="D48" s="145" t="s">
        <v>3876</v>
      </c>
      <c r="E48" s="145" t="s">
        <v>3876</v>
      </c>
      <c r="F48" s="143" t="s">
        <v>3818</v>
      </c>
      <c r="G48" s="143" t="s">
        <v>1012</v>
      </c>
      <c r="H48" s="143" t="s">
        <v>784</v>
      </c>
      <c r="I48" s="143" t="s">
        <v>204</v>
      </c>
      <c r="J48" s="145" t="s">
        <v>3876</v>
      </c>
      <c r="K48" s="143" t="s">
        <v>443</v>
      </c>
      <c r="L48" s="143" t="s">
        <v>339</v>
      </c>
      <c r="M48" s="143" t="s">
        <v>338</v>
      </c>
      <c r="N48" s="145" t="s">
        <v>3876</v>
      </c>
      <c r="O48" s="143" t="s">
        <v>3819</v>
      </c>
      <c r="P48" s="145" t="s">
        <v>3876</v>
      </c>
      <c r="Q48" s="143" t="s">
        <v>410</v>
      </c>
      <c r="R48" s="143" t="s">
        <v>410</v>
      </c>
      <c r="S48" s="143" t="s">
        <v>1210</v>
      </c>
      <c r="T48" s="144">
        <v>0.87</v>
      </c>
      <c r="U48" s="170" t="s">
        <v>823</v>
      </c>
      <c r="V48" s="146">
        <v>7.0000000000000007E-2</v>
      </c>
      <c r="W48" s="145" t="s">
        <v>3876</v>
      </c>
      <c r="X48" s="145" t="s">
        <v>3876</v>
      </c>
      <c r="Y48" s="166">
        <v>0</v>
      </c>
      <c r="Z48" s="146">
        <v>7.1999999999999995E-2</v>
      </c>
      <c r="AA48" s="143" t="s">
        <v>3785</v>
      </c>
      <c r="AB48" s="143" t="s">
        <v>412</v>
      </c>
      <c r="AC48" s="145" t="s">
        <v>3876</v>
      </c>
      <c r="AD48" s="145" t="s">
        <v>3876</v>
      </c>
      <c r="AE48" s="171">
        <v>0.67</v>
      </c>
      <c r="AF48" s="143" t="s">
        <v>3667</v>
      </c>
      <c r="AG48" s="145" t="s">
        <v>3876</v>
      </c>
      <c r="AH48" s="145" t="s">
        <v>3876</v>
      </c>
      <c r="AI48" s="145" t="s">
        <v>3876</v>
      </c>
      <c r="AJ48" s="143" t="s">
        <v>338</v>
      </c>
      <c r="AK48" s="143" t="s">
        <v>886</v>
      </c>
      <c r="AL48" s="145" t="s">
        <v>3876</v>
      </c>
      <c r="AM48" s="143" t="s">
        <v>889</v>
      </c>
      <c r="AN48" s="163">
        <v>45473</v>
      </c>
      <c r="AO48" s="163">
        <v>45473</v>
      </c>
      <c r="AP48" s="145" t="s">
        <v>3876</v>
      </c>
      <c r="AQ48" s="144">
        <v>10726.46</v>
      </c>
      <c r="AR48" s="143" t="s">
        <v>3820</v>
      </c>
      <c r="AS48" s="145" t="s">
        <v>3876</v>
      </c>
      <c r="AT48" s="144">
        <v>10.9978</v>
      </c>
      <c r="AU48" s="144">
        <v>10.9978394</v>
      </c>
      <c r="AV48" s="145" t="s">
        <v>3876</v>
      </c>
      <c r="AW48" s="145" t="s">
        <v>3876</v>
      </c>
      <c r="AX48" s="145" t="s">
        <v>3876</v>
      </c>
      <c r="AY48" s="145" t="s">
        <v>3876</v>
      </c>
      <c r="AZ48" s="146">
        <v>4.7516482776053008E-4</v>
      </c>
      <c r="BA48" s="147">
        <v>1.106077755036858E-5</v>
      </c>
      <c r="BB48" s="181"/>
    </row>
    <row r="49" spans="1:54" ht="15" x14ac:dyDescent="0.2">
      <c r="A49" s="142" t="s">
        <v>1205</v>
      </c>
      <c r="B49" s="143" t="s">
        <v>1205</v>
      </c>
      <c r="C49" s="145" t="s">
        <v>3876</v>
      </c>
      <c r="D49" s="145" t="s">
        <v>3876</v>
      </c>
      <c r="E49" s="145" t="s">
        <v>3876</v>
      </c>
      <c r="F49" s="143" t="s">
        <v>3821</v>
      </c>
      <c r="G49" s="143" t="s">
        <v>1012</v>
      </c>
      <c r="H49" s="143" t="s">
        <v>784</v>
      </c>
      <c r="I49" s="143" t="s">
        <v>204</v>
      </c>
      <c r="J49" s="145" t="s">
        <v>3876</v>
      </c>
      <c r="K49" s="143" t="s">
        <v>443</v>
      </c>
      <c r="L49" s="143" t="s">
        <v>339</v>
      </c>
      <c r="M49" s="143" t="s">
        <v>338</v>
      </c>
      <c r="N49" s="145" t="s">
        <v>3876</v>
      </c>
      <c r="O49" s="143" t="s">
        <v>3822</v>
      </c>
      <c r="P49" s="145" t="s">
        <v>3876</v>
      </c>
      <c r="Q49" s="143" t="s">
        <v>410</v>
      </c>
      <c r="R49" s="143" t="s">
        <v>410</v>
      </c>
      <c r="S49" s="143" t="s">
        <v>1210</v>
      </c>
      <c r="T49" s="144">
        <v>0.87</v>
      </c>
      <c r="U49" s="170" t="s">
        <v>823</v>
      </c>
      <c r="V49" s="146">
        <v>7.0000000000000007E-2</v>
      </c>
      <c r="W49" s="145" t="s">
        <v>3876</v>
      </c>
      <c r="X49" s="145" t="s">
        <v>3876</v>
      </c>
      <c r="Y49" s="166">
        <v>0</v>
      </c>
      <c r="Z49" s="146">
        <v>7.2599999999999998E-2</v>
      </c>
      <c r="AA49" s="143" t="s">
        <v>3806</v>
      </c>
      <c r="AB49" s="143" t="s">
        <v>412</v>
      </c>
      <c r="AC49" s="145" t="s">
        <v>3876</v>
      </c>
      <c r="AD49" s="145" t="s">
        <v>3876</v>
      </c>
      <c r="AE49" s="171">
        <v>0.67</v>
      </c>
      <c r="AF49" s="143" t="s">
        <v>3823</v>
      </c>
      <c r="AG49" s="145" t="s">
        <v>3876</v>
      </c>
      <c r="AH49" s="145" t="s">
        <v>3876</v>
      </c>
      <c r="AI49" s="145" t="s">
        <v>3876</v>
      </c>
      <c r="AJ49" s="143" t="s">
        <v>338</v>
      </c>
      <c r="AK49" s="143" t="s">
        <v>886</v>
      </c>
      <c r="AL49" s="145" t="s">
        <v>3876</v>
      </c>
      <c r="AM49" s="143" t="s">
        <v>889</v>
      </c>
      <c r="AN49" s="163">
        <v>45473</v>
      </c>
      <c r="AO49" s="163">
        <v>45473</v>
      </c>
      <c r="AP49" s="145" t="s">
        <v>3876</v>
      </c>
      <c r="AQ49" s="144">
        <v>8063</v>
      </c>
      <c r="AR49" s="143" t="s">
        <v>3824</v>
      </c>
      <c r="AS49" s="145" t="s">
        <v>3876</v>
      </c>
      <c r="AT49" s="144">
        <v>8.2629999999999999</v>
      </c>
      <c r="AU49" s="144">
        <v>8.262962400000001</v>
      </c>
      <c r="AV49" s="145" t="s">
        <v>3876</v>
      </c>
      <c r="AW49" s="145" t="s">
        <v>3876</v>
      </c>
      <c r="AX49" s="145" t="s">
        <v>3876</v>
      </c>
      <c r="AY49" s="145" t="s">
        <v>3876</v>
      </c>
      <c r="AZ49" s="146">
        <v>3.5700367583305466E-4</v>
      </c>
      <c r="BA49" s="147">
        <v>8.3102494384188049E-6</v>
      </c>
      <c r="BB49" s="181"/>
    </row>
    <row r="50" spans="1:54" ht="15" x14ac:dyDescent="0.2">
      <c r="A50" s="142" t="s">
        <v>1205</v>
      </c>
      <c r="B50" s="143" t="s">
        <v>1205</v>
      </c>
      <c r="C50" s="145" t="s">
        <v>3876</v>
      </c>
      <c r="D50" s="145" t="s">
        <v>3876</v>
      </c>
      <c r="E50" s="145" t="s">
        <v>3876</v>
      </c>
      <c r="F50" s="143" t="s">
        <v>3825</v>
      </c>
      <c r="G50" s="143" t="s">
        <v>1012</v>
      </c>
      <c r="H50" s="143" t="s">
        <v>784</v>
      </c>
      <c r="I50" s="143" t="s">
        <v>204</v>
      </c>
      <c r="J50" s="145" t="s">
        <v>3876</v>
      </c>
      <c r="K50" s="143" t="s">
        <v>443</v>
      </c>
      <c r="L50" s="143" t="s">
        <v>339</v>
      </c>
      <c r="M50" s="143" t="s">
        <v>338</v>
      </c>
      <c r="N50" s="145" t="s">
        <v>3876</v>
      </c>
      <c r="O50" s="143" t="s">
        <v>3826</v>
      </c>
      <c r="P50" s="145" t="s">
        <v>3876</v>
      </c>
      <c r="Q50" s="143" t="s">
        <v>410</v>
      </c>
      <c r="R50" s="143" t="s">
        <v>410</v>
      </c>
      <c r="S50" s="143" t="s">
        <v>1210</v>
      </c>
      <c r="T50" s="144">
        <v>0.87</v>
      </c>
      <c r="U50" s="170" t="s">
        <v>823</v>
      </c>
      <c r="V50" s="146">
        <v>7.0000000000000007E-2</v>
      </c>
      <c r="W50" s="145" t="s">
        <v>3876</v>
      </c>
      <c r="X50" s="145" t="s">
        <v>3876</v>
      </c>
      <c r="Y50" s="166">
        <v>0</v>
      </c>
      <c r="Z50" s="146">
        <v>7.3400000000000007E-2</v>
      </c>
      <c r="AA50" s="143" t="s">
        <v>3785</v>
      </c>
      <c r="AB50" s="143" t="s">
        <v>412</v>
      </c>
      <c r="AC50" s="145" t="s">
        <v>3876</v>
      </c>
      <c r="AD50" s="145" t="s">
        <v>3876</v>
      </c>
      <c r="AE50" s="171">
        <v>0.67</v>
      </c>
      <c r="AF50" s="143" t="s">
        <v>3667</v>
      </c>
      <c r="AG50" s="145" t="s">
        <v>3876</v>
      </c>
      <c r="AH50" s="145" t="s">
        <v>3876</v>
      </c>
      <c r="AI50" s="145" t="s">
        <v>3876</v>
      </c>
      <c r="AJ50" s="143" t="s">
        <v>338</v>
      </c>
      <c r="AK50" s="143" t="s">
        <v>886</v>
      </c>
      <c r="AL50" s="145" t="s">
        <v>3876</v>
      </c>
      <c r="AM50" s="143" t="s">
        <v>889</v>
      </c>
      <c r="AN50" s="163">
        <v>45473</v>
      </c>
      <c r="AO50" s="163">
        <v>45473</v>
      </c>
      <c r="AP50" s="145" t="s">
        <v>3876</v>
      </c>
      <c r="AQ50" s="144">
        <v>8064</v>
      </c>
      <c r="AR50" s="143" t="s">
        <v>3827</v>
      </c>
      <c r="AS50" s="145" t="s">
        <v>3876</v>
      </c>
      <c r="AT50" s="144">
        <v>8.2591000000000001</v>
      </c>
      <c r="AU50" s="144">
        <v>8.2591488000000002</v>
      </c>
      <c r="AV50" s="145" t="s">
        <v>3876</v>
      </c>
      <c r="AW50" s="145" t="s">
        <v>3876</v>
      </c>
      <c r="AX50" s="145" t="s">
        <v>3876</v>
      </c>
      <c r="AY50" s="145" t="s">
        <v>3876</v>
      </c>
      <c r="AZ50" s="146">
        <v>3.5683890814414967E-4</v>
      </c>
      <c r="BA50" s="147">
        <v>8.3064140140607848E-6</v>
      </c>
      <c r="BB50" s="181"/>
    </row>
    <row r="51" spans="1:54" ht="15" x14ac:dyDescent="0.2">
      <c r="A51" s="142" t="s">
        <v>1205</v>
      </c>
      <c r="B51" s="143" t="s">
        <v>1205</v>
      </c>
      <c r="C51" s="145" t="s">
        <v>3876</v>
      </c>
      <c r="D51" s="145" t="s">
        <v>3876</v>
      </c>
      <c r="E51" s="145" t="s">
        <v>3876</v>
      </c>
      <c r="F51" s="143" t="s">
        <v>3828</v>
      </c>
      <c r="G51" s="143" t="s">
        <v>1012</v>
      </c>
      <c r="H51" s="143" t="s">
        <v>784</v>
      </c>
      <c r="I51" s="143" t="s">
        <v>204</v>
      </c>
      <c r="J51" s="145" t="s">
        <v>3876</v>
      </c>
      <c r="K51" s="143" t="s">
        <v>443</v>
      </c>
      <c r="L51" s="143" t="s">
        <v>339</v>
      </c>
      <c r="M51" s="143" t="s">
        <v>338</v>
      </c>
      <c r="N51" s="145" t="s">
        <v>3876</v>
      </c>
      <c r="O51" s="143" t="s">
        <v>3829</v>
      </c>
      <c r="P51" s="145" t="s">
        <v>3876</v>
      </c>
      <c r="Q51" s="143" t="s">
        <v>410</v>
      </c>
      <c r="R51" s="143" t="s">
        <v>410</v>
      </c>
      <c r="S51" s="143" t="s">
        <v>1210</v>
      </c>
      <c r="T51" s="144">
        <v>0.87</v>
      </c>
      <c r="U51" s="170" t="s">
        <v>823</v>
      </c>
      <c r="V51" s="146">
        <v>7.0000000000000007E-2</v>
      </c>
      <c r="W51" s="145" t="s">
        <v>3876</v>
      </c>
      <c r="X51" s="145" t="s">
        <v>3876</v>
      </c>
      <c r="Y51" s="166">
        <v>0</v>
      </c>
      <c r="Z51" s="146">
        <v>7.9799999999999996E-2</v>
      </c>
      <c r="AA51" s="143" t="s">
        <v>3785</v>
      </c>
      <c r="AB51" s="143" t="s">
        <v>412</v>
      </c>
      <c r="AC51" s="145" t="s">
        <v>3876</v>
      </c>
      <c r="AD51" s="145" t="s">
        <v>3876</v>
      </c>
      <c r="AE51" s="171">
        <v>0.67</v>
      </c>
      <c r="AF51" s="143" t="s">
        <v>3667</v>
      </c>
      <c r="AG51" s="145" t="s">
        <v>3876</v>
      </c>
      <c r="AH51" s="145" t="s">
        <v>3876</v>
      </c>
      <c r="AI51" s="145" t="s">
        <v>3876</v>
      </c>
      <c r="AJ51" s="143" t="s">
        <v>338</v>
      </c>
      <c r="AK51" s="143" t="s">
        <v>886</v>
      </c>
      <c r="AL51" s="145" t="s">
        <v>3876</v>
      </c>
      <c r="AM51" s="143" t="s">
        <v>889</v>
      </c>
      <c r="AN51" s="163">
        <v>45473</v>
      </c>
      <c r="AO51" s="163">
        <v>45473</v>
      </c>
      <c r="AP51" s="145" t="s">
        <v>3876</v>
      </c>
      <c r="AQ51" s="144">
        <v>8059</v>
      </c>
      <c r="AR51" s="143" t="s">
        <v>3830</v>
      </c>
      <c r="AS51" s="145" t="s">
        <v>3876</v>
      </c>
      <c r="AT51" s="144">
        <v>8.2112999999999996</v>
      </c>
      <c r="AU51" s="144">
        <v>8.2113151000000002</v>
      </c>
      <c r="AV51" s="145" t="s">
        <v>3876</v>
      </c>
      <c r="AW51" s="145" t="s">
        <v>3876</v>
      </c>
      <c r="AX51" s="145" t="s">
        <v>3876</v>
      </c>
      <c r="AY51" s="145" t="s">
        <v>3876</v>
      </c>
      <c r="AZ51" s="146">
        <v>3.5477223932708045E-4</v>
      </c>
      <c r="BA51" s="147">
        <v>8.2583065727680004E-6</v>
      </c>
      <c r="BB51" s="181"/>
    </row>
    <row r="52" spans="1:54" ht="15" x14ac:dyDescent="0.2">
      <c r="A52" s="142" t="s">
        <v>1205</v>
      </c>
      <c r="B52" s="143" t="s">
        <v>1205</v>
      </c>
      <c r="C52" s="145" t="s">
        <v>3876</v>
      </c>
      <c r="D52" s="145" t="s">
        <v>3876</v>
      </c>
      <c r="E52" s="145" t="s">
        <v>3876</v>
      </c>
      <c r="F52" s="143" t="s">
        <v>3831</v>
      </c>
      <c r="G52" s="143" t="s">
        <v>1012</v>
      </c>
      <c r="H52" s="143" t="s">
        <v>784</v>
      </c>
      <c r="I52" s="143" t="s">
        <v>204</v>
      </c>
      <c r="J52" s="145" t="s">
        <v>3876</v>
      </c>
      <c r="K52" s="143" t="s">
        <v>443</v>
      </c>
      <c r="L52" s="143" t="s">
        <v>339</v>
      </c>
      <c r="M52" s="143" t="s">
        <v>338</v>
      </c>
      <c r="N52" s="145" t="s">
        <v>3876</v>
      </c>
      <c r="O52" s="143" t="s">
        <v>3832</v>
      </c>
      <c r="P52" s="145" t="s">
        <v>3876</v>
      </c>
      <c r="Q52" s="143" t="s">
        <v>410</v>
      </c>
      <c r="R52" s="143" t="s">
        <v>410</v>
      </c>
      <c r="S52" s="143" t="s">
        <v>1210</v>
      </c>
      <c r="T52" s="144">
        <v>0.87</v>
      </c>
      <c r="U52" s="170" t="s">
        <v>823</v>
      </c>
      <c r="V52" s="146">
        <v>7.0000000000000007E-2</v>
      </c>
      <c r="W52" s="145" t="s">
        <v>3876</v>
      </c>
      <c r="X52" s="145" t="s">
        <v>3876</v>
      </c>
      <c r="Y52" s="166">
        <v>0</v>
      </c>
      <c r="Z52" s="146">
        <v>8.2900000000000001E-2</v>
      </c>
      <c r="AA52" s="143" t="s">
        <v>3785</v>
      </c>
      <c r="AB52" s="143" t="s">
        <v>412</v>
      </c>
      <c r="AC52" s="145" t="s">
        <v>3876</v>
      </c>
      <c r="AD52" s="145" t="s">
        <v>3876</v>
      </c>
      <c r="AE52" s="171">
        <v>0.67</v>
      </c>
      <c r="AF52" s="143" t="s">
        <v>3667</v>
      </c>
      <c r="AG52" s="145" t="s">
        <v>3876</v>
      </c>
      <c r="AH52" s="145" t="s">
        <v>3876</v>
      </c>
      <c r="AI52" s="145" t="s">
        <v>3876</v>
      </c>
      <c r="AJ52" s="143" t="s">
        <v>338</v>
      </c>
      <c r="AK52" s="143" t="s">
        <v>886</v>
      </c>
      <c r="AL52" s="145" t="s">
        <v>3876</v>
      </c>
      <c r="AM52" s="143" t="s">
        <v>889</v>
      </c>
      <c r="AN52" s="163">
        <v>45473</v>
      </c>
      <c r="AO52" s="163">
        <v>45473</v>
      </c>
      <c r="AP52" s="145" t="s">
        <v>3876</v>
      </c>
      <c r="AQ52" s="144">
        <v>8058</v>
      </c>
      <c r="AR52" s="143" t="s">
        <v>3833</v>
      </c>
      <c r="AS52" s="145" t="s">
        <v>3876</v>
      </c>
      <c r="AT52" s="144">
        <v>8.1628000000000007</v>
      </c>
      <c r="AU52" s="144">
        <v>8.1627539999999996</v>
      </c>
      <c r="AV52" s="145" t="s">
        <v>3876</v>
      </c>
      <c r="AW52" s="145" t="s">
        <v>3876</v>
      </c>
      <c r="AX52" s="145" t="s">
        <v>3876</v>
      </c>
      <c r="AY52" s="145" t="s">
        <v>3876</v>
      </c>
      <c r="AZ52" s="146">
        <v>3.5267414298302633E-4</v>
      </c>
      <c r="BA52" s="147">
        <v>8.2094675687318695E-6</v>
      </c>
      <c r="BB52" s="181"/>
    </row>
    <row r="53" spans="1:54" ht="15" x14ac:dyDescent="0.2">
      <c r="A53" s="142" t="s">
        <v>1205</v>
      </c>
      <c r="B53" s="143" t="s">
        <v>1205</v>
      </c>
      <c r="C53" s="145" t="s">
        <v>3876</v>
      </c>
      <c r="D53" s="145" t="s">
        <v>3876</v>
      </c>
      <c r="E53" s="145" t="s">
        <v>3876</v>
      </c>
      <c r="F53" s="143" t="s">
        <v>3834</v>
      </c>
      <c r="G53" s="143" t="s">
        <v>1012</v>
      </c>
      <c r="H53" s="145" t="s">
        <v>3876</v>
      </c>
      <c r="I53" s="143" t="s">
        <v>204</v>
      </c>
      <c r="J53" s="145" t="s">
        <v>3876</v>
      </c>
      <c r="K53" s="143" t="s">
        <v>454</v>
      </c>
      <c r="L53" s="143" t="s">
        <v>339</v>
      </c>
      <c r="M53" s="143" t="s">
        <v>338</v>
      </c>
      <c r="N53" s="145" t="s">
        <v>3876</v>
      </c>
      <c r="O53" s="143" t="s">
        <v>3835</v>
      </c>
      <c r="P53" s="143" t="s">
        <v>1721</v>
      </c>
      <c r="Q53" s="143" t="s">
        <v>413</v>
      </c>
      <c r="R53" s="143" t="s">
        <v>408</v>
      </c>
      <c r="S53" s="143" t="s">
        <v>1210</v>
      </c>
      <c r="T53" s="144">
        <v>5.89</v>
      </c>
      <c r="U53" s="170" t="s">
        <v>824</v>
      </c>
      <c r="V53" s="146">
        <v>3.3099999999999997E-2</v>
      </c>
      <c r="W53" s="145" t="s">
        <v>3876</v>
      </c>
      <c r="X53" s="145" t="s">
        <v>3876</v>
      </c>
      <c r="Y53" s="166">
        <v>0</v>
      </c>
      <c r="Z53" s="146">
        <v>3.44E-2</v>
      </c>
      <c r="AA53" s="143" t="s">
        <v>3718</v>
      </c>
      <c r="AB53" s="143" t="s">
        <v>412</v>
      </c>
      <c r="AC53" s="145" t="s">
        <v>3876</v>
      </c>
      <c r="AD53" s="145" t="s">
        <v>3876</v>
      </c>
      <c r="AE53" s="145" t="s">
        <v>3876</v>
      </c>
      <c r="AF53" s="145" t="s">
        <v>3876</v>
      </c>
      <c r="AG53" s="145" t="s">
        <v>3876</v>
      </c>
      <c r="AH53" s="145" t="s">
        <v>3876</v>
      </c>
      <c r="AI53" s="145" t="s">
        <v>3876</v>
      </c>
      <c r="AJ53" s="145" t="s">
        <v>3876</v>
      </c>
      <c r="AK53" s="143" t="s">
        <v>886</v>
      </c>
      <c r="AL53" s="145" t="s">
        <v>3876</v>
      </c>
      <c r="AM53" s="143" t="s">
        <v>889</v>
      </c>
      <c r="AN53" s="163">
        <v>45473</v>
      </c>
      <c r="AO53" s="163">
        <v>45473</v>
      </c>
      <c r="AP53" s="145" t="s">
        <v>3876</v>
      </c>
      <c r="AQ53" s="144">
        <v>6878.1</v>
      </c>
      <c r="AR53" s="143" t="s">
        <v>3836</v>
      </c>
      <c r="AS53" s="145" t="s">
        <v>3876</v>
      </c>
      <c r="AT53" s="144">
        <v>7.8423999999999996</v>
      </c>
      <c r="AU53" s="144">
        <v>7.8424095999999999</v>
      </c>
      <c r="AV53" s="145" t="s">
        <v>3876</v>
      </c>
      <c r="AW53" s="145" t="s">
        <v>3876</v>
      </c>
      <c r="AX53" s="145" t="s">
        <v>3876</v>
      </c>
      <c r="AY53" s="145" t="s">
        <v>3876</v>
      </c>
      <c r="AZ53" s="146">
        <v>3.388335715685345E-4</v>
      </c>
      <c r="BA53" s="147">
        <v>7.8872899313271994E-6</v>
      </c>
      <c r="BB53" s="181"/>
    </row>
    <row r="54" spans="1:54" ht="15" x14ac:dyDescent="0.2">
      <c r="A54" s="142" t="s">
        <v>1205</v>
      </c>
      <c r="B54" s="143" t="s">
        <v>1205</v>
      </c>
      <c r="C54" s="145" t="s">
        <v>3876</v>
      </c>
      <c r="D54" s="145" t="s">
        <v>3876</v>
      </c>
      <c r="E54" s="145" t="s">
        <v>3876</v>
      </c>
      <c r="F54" s="143" t="s">
        <v>3837</v>
      </c>
      <c r="G54" s="143" t="s">
        <v>1012</v>
      </c>
      <c r="H54" s="143" t="s">
        <v>784</v>
      </c>
      <c r="I54" s="143" t="s">
        <v>204</v>
      </c>
      <c r="J54" s="145" t="s">
        <v>3876</v>
      </c>
      <c r="K54" s="143" t="s">
        <v>443</v>
      </c>
      <c r="L54" s="143" t="s">
        <v>339</v>
      </c>
      <c r="M54" s="143" t="s">
        <v>338</v>
      </c>
      <c r="N54" s="145" t="s">
        <v>3876</v>
      </c>
      <c r="O54" s="143" t="s">
        <v>3838</v>
      </c>
      <c r="P54" s="145" t="s">
        <v>3876</v>
      </c>
      <c r="Q54" s="143" t="s">
        <v>410</v>
      </c>
      <c r="R54" s="143" t="s">
        <v>410</v>
      </c>
      <c r="S54" s="143" t="s">
        <v>1210</v>
      </c>
      <c r="T54" s="144">
        <v>0.87</v>
      </c>
      <c r="U54" s="170" t="s">
        <v>823</v>
      </c>
      <c r="V54" s="146">
        <v>7.0000000000000007E-2</v>
      </c>
      <c r="W54" s="145" t="s">
        <v>3876</v>
      </c>
      <c r="X54" s="145" t="s">
        <v>3876</v>
      </c>
      <c r="Y54" s="166">
        <v>0</v>
      </c>
      <c r="Z54" s="146">
        <v>7.1900000000000006E-2</v>
      </c>
      <c r="AA54" s="143" t="s">
        <v>3806</v>
      </c>
      <c r="AB54" s="143" t="s">
        <v>412</v>
      </c>
      <c r="AC54" s="145" t="s">
        <v>3876</v>
      </c>
      <c r="AD54" s="145" t="s">
        <v>3876</v>
      </c>
      <c r="AE54" s="171">
        <v>0.67</v>
      </c>
      <c r="AF54" s="143" t="s">
        <v>3667</v>
      </c>
      <c r="AG54" s="145" t="s">
        <v>3876</v>
      </c>
      <c r="AH54" s="145" t="s">
        <v>3876</v>
      </c>
      <c r="AI54" s="145" t="s">
        <v>3876</v>
      </c>
      <c r="AJ54" s="143" t="s">
        <v>338</v>
      </c>
      <c r="AK54" s="143" t="s">
        <v>886</v>
      </c>
      <c r="AL54" s="145" t="s">
        <v>3876</v>
      </c>
      <c r="AM54" s="143" t="s">
        <v>889</v>
      </c>
      <c r="AN54" s="163">
        <v>45473</v>
      </c>
      <c r="AO54" s="163">
        <v>45473</v>
      </c>
      <c r="AP54" s="145" t="s">
        <v>3876</v>
      </c>
      <c r="AQ54" s="144">
        <v>6987</v>
      </c>
      <c r="AR54" s="143" t="s">
        <v>3839</v>
      </c>
      <c r="AS54" s="145" t="s">
        <v>3876</v>
      </c>
      <c r="AT54" s="144">
        <v>7.1645000000000003</v>
      </c>
      <c r="AU54" s="144">
        <v>7.1644698</v>
      </c>
      <c r="AV54" s="145" t="s">
        <v>3876</v>
      </c>
      <c r="AW54" s="145" t="s">
        <v>3876</v>
      </c>
      <c r="AX54" s="145" t="s">
        <v>3876</v>
      </c>
      <c r="AY54" s="145" t="s">
        <v>3876</v>
      </c>
      <c r="AZ54" s="146">
        <v>3.095429859386641E-4</v>
      </c>
      <c r="BA54" s="147">
        <v>7.2054704172462998E-6</v>
      </c>
      <c r="BB54" s="181"/>
    </row>
    <row r="55" spans="1:54" ht="15" x14ac:dyDescent="0.2">
      <c r="A55" s="142" t="s">
        <v>1205</v>
      </c>
      <c r="B55" s="143" t="s">
        <v>1205</v>
      </c>
      <c r="C55" s="145" t="s">
        <v>3876</v>
      </c>
      <c r="D55" s="145" t="s">
        <v>3876</v>
      </c>
      <c r="E55" s="145" t="s">
        <v>3876</v>
      </c>
      <c r="F55" s="143" t="s">
        <v>3840</v>
      </c>
      <c r="G55" s="143" t="s">
        <v>1012</v>
      </c>
      <c r="H55" s="143" t="s">
        <v>784</v>
      </c>
      <c r="I55" s="143" t="s">
        <v>204</v>
      </c>
      <c r="J55" s="145" t="s">
        <v>3876</v>
      </c>
      <c r="K55" s="143" t="s">
        <v>443</v>
      </c>
      <c r="L55" s="143" t="s">
        <v>339</v>
      </c>
      <c r="M55" s="143" t="s">
        <v>338</v>
      </c>
      <c r="N55" s="145" t="s">
        <v>3876</v>
      </c>
      <c r="O55" s="143" t="s">
        <v>3841</v>
      </c>
      <c r="P55" s="145" t="s">
        <v>3876</v>
      </c>
      <c r="Q55" s="143" t="s">
        <v>410</v>
      </c>
      <c r="R55" s="143" t="s">
        <v>410</v>
      </c>
      <c r="S55" s="143" t="s">
        <v>1210</v>
      </c>
      <c r="T55" s="144">
        <v>0.87</v>
      </c>
      <c r="U55" s="170" t="s">
        <v>823</v>
      </c>
      <c r="V55" s="146">
        <v>7.0000000000000007E-2</v>
      </c>
      <c r="W55" s="145" t="s">
        <v>3876</v>
      </c>
      <c r="X55" s="145" t="s">
        <v>3876</v>
      </c>
      <c r="Y55" s="166">
        <v>0</v>
      </c>
      <c r="Z55" s="146">
        <v>7.7799999999999994E-2</v>
      </c>
      <c r="AA55" s="143" t="s">
        <v>3785</v>
      </c>
      <c r="AB55" s="143" t="s">
        <v>412</v>
      </c>
      <c r="AC55" s="145" t="s">
        <v>3876</v>
      </c>
      <c r="AD55" s="145" t="s">
        <v>3876</v>
      </c>
      <c r="AE55" s="171">
        <v>0.67</v>
      </c>
      <c r="AF55" s="143" t="s">
        <v>3667</v>
      </c>
      <c r="AG55" s="145" t="s">
        <v>3876</v>
      </c>
      <c r="AH55" s="145" t="s">
        <v>3876</v>
      </c>
      <c r="AI55" s="145" t="s">
        <v>3876</v>
      </c>
      <c r="AJ55" s="143" t="s">
        <v>338</v>
      </c>
      <c r="AK55" s="143" t="s">
        <v>886</v>
      </c>
      <c r="AL55" s="145" t="s">
        <v>3876</v>
      </c>
      <c r="AM55" s="143" t="s">
        <v>889</v>
      </c>
      <c r="AN55" s="163">
        <v>45473</v>
      </c>
      <c r="AO55" s="163">
        <v>45473</v>
      </c>
      <c r="AP55" s="145" t="s">
        <v>3876</v>
      </c>
      <c r="AQ55" s="144">
        <v>5910</v>
      </c>
      <c r="AR55" s="143" t="s">
        <v>3842</v>
      </c>
      <c r="AS55" s="145" t="s">
        <v>3876</v>
      </c>
      <c r="AT55" s="144">
        <v>6.0312000000000001</v>
      </c>
      <c r="AU55" s="144">
        <v>6.031155</v>
      </c>
      <c r="AV55" s="145" t="s">
        <v>3876</v>
      </c>
      <c r="AW55" s="145" t="s">
        <v>3876</v>
      </c>
      <c r="AX55" s="145" t="s">
        <v>3876</v>
      </c>
      <c r="AY55" s="145" t="s">
        <v>3876</v>
      </c>
      <c r="AZ55" s="146">
        <v>2.6057779284084686E-4</v>
      </c>
      <c r="BA55" s="147">
        <v>6.0656699166108716E-6</v>
      </c>
      <c r="BB55" s="181"/>
    </row>
    <row r="56" spans="1:54" ht="15" x14ac:dyDescent="0.2">
      <c r="A56" s="142" t="s">
        <v>1205</v>
      </c>
      <c r="B56" s="143" t="s">
        <v>1205</v>
      </c>
      <c r="C56" s="145" t="s">
        <v>3876</v>
      </c>
      <c r="D56" s="145" t="s">
        <v>3876</v>
      </c>
      <c r="E56" s="145" t="s">
        <v>3876</v>
      </c>
      <c r="F56" s="143" t="s">
        <v>3843</v>
      </c>
      <c r="G56" s="143" t="s">
        <v>1012</v>
      </c>
      <c r="H56" s="143" t="s">
        <v>784</v>
      </c>
      <c r="I56" s="143" t="s">
        <v>204</v>
      </c>
      <c r="J56" s="145" t="s">
        <v>3876</v>
      </c>
      <c r="K56" s="143" t="s">
        <v>443</v>
      </c>
      <c r="L56" s="143" t="s">
        <v>339</v>
      </c>
      <c r="M56" s="143" t="s">
        <v>338</v>
      </c>
      <c r="N56" s="145" t="s">
        <v>3876</v>
      </c>
      <c r="O56" s="143" t="s">
        <v>3844</v>
      </c>
      <c r="P56" s="145" t="s">
        <v>3876</v>
      </c>
      <c r="Q56" s="143" t="s">
        <v>410</v>
      </c>
      <c r="R56" s="143" t="s">
        <v>410</v>
      </c>
      <c r="S56" s="143" t="s">
        <v>1210</v>
      </c>
      <c r="T56" s="144">
        <v>0.87</v>
      </c>
      <c r="U56" s="170" t="s">
        <v>823</v>
      </c>
      <c r="V56" s="146">
        <v>7.0000000000000007E-2</v>
      </c>
      <c r="W56" s="145" t="s">
        <v>3876</v>
      </c>
      <c r="X56" s="145" t="s">
        <v>3876</v>
      </c>
      <c r="Y56" s="166">
        <v>0</v>
      </c>
      <c r="Z56" s="146">
        <v>7.0999999999999994E-2</v>
      </c>
      <c r="AA56" s="143" t="s">
        <v>3806</v>
      </c>
      <c r="AB56" s="143" t="s">
        <v>412</v>
      </c>
      <c r="AC56" s="145" t="s">
        <v>3876</v>
      </c>
      <c r="AD56" s="145" t="s">
        <v>3876</v>
      </c>
      <c r="AE56" s="171">
        <v>0.67</v>
      </c>
      <c r="AF56" s="143" t="s">
        <v>3667</v>
      </c>
      <c r="AG56" s="145" t="s">
        <v>3876</v>
      </c>
      <c r="AH56" s="145" t="s">
        <v>3876</v>
      </c>
      <c r="AI56" s="145" t="s">
        <v>3876</v>
      </c>
      <c r="AJ56" s="143" t="s">
        <v>338</v>
      </c>
      <c r="AK56" s="143" t="s">
        <v>886</v>
      </c>
      <c r="AL56" s="145" t="s">
        <v>3876</v>
      </c>
      <c r="AM56" s="143" t="s">
        <v>889</v>
      </c>
      <c r="AN56" s="163">
        <v>45473</v>
      </c>
      <c r="AO56" s="163">
        <v>45473</v>
      </c>
      <c r="AP56" s="145" t="s">
        <v>3876</v>
      </c>
      <c r="AQ56" s="144">
        <v>5362.48</v>
      </c>
      <c r="AR56" s="143" t="s">
        <v>3845</v>
      </c>
      <c r="AS56" s="145" t="s">
        <v>3876</v>
      </c>
      <c r="AT56" s="144">
        <v>5.5030000000000001</v>
      </c>
      <c r="AU56" s="144">
        <v>5.5029769999999996</v>
      </c>
      <c r="AV56" s="145" t="s">
        <v>3876</v>
      </c>
      <c r="AW56" s="145" t="s">
        <v>3876</v>
      </c>
      <c r="AX56" s="145" t="s">
        <v>3876</v>
      </c>
      <c r="AY56" s="145" t="s">
        <v>3876</v>
      </c>
      <c r="AZ56" s="146">
        <v>2.3775770884019363E-4</v>
      </c>
      <c r="BA56" s="147">
        <v>5.5344692509354286E-6</v>
      </c>
      <c r="BB56" s="181"/>
    </row>
    <row r="57" spans="1:54" ht="15" x14ac:dyDescent="0.2">
      <c r="A57" s="142" t="s">
        <v>1205</v>
      </c>
      <c r="B57" s="143" t="s">
        <v>1205</v>
      </c>
      <c r="C57" s="145" t="s">
        <v>3876</v>
      </c>
      <c r="D57" s="145" t="s">
        <v>3876</v>
      </c>
      <c r="E57" s="145" t="s">
        <v>3876</v>
      </c>
      <c r="F57" s="143" t="s">
        <v>3846</v>
      </c>
      <c r="G57" s="143" t="s">
        <v>1012</v>
      </c>
      <c r="H57" s="143" t="s">
        <v>817</v>
      </c>
      <c r="I57" s="143" t="s">
        <v>204</v>
      </c>
      <c r="J57" s="145" t="s">
        <v>3876</v>
      </c>
      <c r="K57" s="143" t="s">
        <v>446</v>
      </c>
      <c r="L57" s="143" t="s">
        <v>339</v>
      </c>
      <c r="M57" s="143" t="s">
        <v>338</v>
      </c>
      <c r="N57" s="145" t="s">
        <v>3876</v>
      </c>
      <c r="O57" s="143" t="s">
        <v>3847</v>
      </c>
      <c r="P57" s="145" t="s">
        <v>3876</v>
      </c>
      <c r="Q57" s="143" t="s">
        <v>410</v>
      </c>
      <c r="R57" s="143" t="s">
        <v>410</v>
      </c>
      <c r="S57" s="143" t="s">
        <v>1210</v>
      </c>
      <c r="T57" s="144">
        <v>0.25</v>
      </c>
      <c r="U57" s="170" t="s">
        <v>823</v>
      </c>
      <c r="V57" s="146">
        <v>0.13500000000000001</v>
      </c>
      <c r="W57" s="145" t="s">
        <v>3876</v>
      </c>
      <c r="X57" s="145" t="s">
        <v>3876</v>
      </c>
      <c r="Y57" s="166">
        <v>0</v>
      </c>
      <c r="Z57" s="146">
        <v>0.15190000000000001</v>
      </c>
      <c r="AA57" s="143" t="s">
        <v>3848</v>
      </c>
      <c r="AB57" s="143" t="s">
        <v>412</v>
      </c>
      <c r="AC57" s="145" t="s">
        <v>3876</v>
      </c>
      <c r="AD57" s="145" t="s">
        <v>3876</v>
      </c>
      <c r="AE57" s="171">
        <v>0.72</v>
      </c>
      <c r="AF57" s="143" t="s">
        <v>3738</v>
      </c>
      <c r="AG57" s="145" t="s">
        <v>3876</v>
      </c>
      <c r="AH57" s="145" t="s">
        <v>3876</v>
      </c>
      <c r="AI57" s="145" t="s">
        <v>3876</v>
      </c>
      <c r="AJ57" s="143" t="s">
        <v>338</v>
      </c>
      <c r="AK57" s="143" t="s">
        <v>886</v>
      </c>
      <c r="AL57" s="145" t="s">
        <v>3876</v>
      </c>
      <c r="AM57" s="143" t="s">
        <v>889</v>
      </c>
      <c r="AN57" s="163">
        <v>45379</v>
      </c>
      <c r="AO57" s="163">
        <v>45379</v>
      </c>
      <c r="AP57" s="145" t="s">
        <v>3876</v>
      </c>
      <c r="AQ57" s="144">
        <v>4212</v>
      </c>
      <c r="AR57" s="143" t="s">
        <v>3849</v>
      </c>
      <c r="AS57" s="145" t="s">
        <v>3876</v>
      </c>
      <c r="AT57" s="144">
        <v>4.6555</v>
      </c>
      <c r="AU57" s="144">
        <v>4.6555235999999995</v>
      </c>
      <c r="AV57" s="145" t="s">
        <v>3876</v>
      </c>
      <c r="AW57" s="145" t="s">
        <v>3876</v>
      </c>
      <c r="AX57" s="145" t="s">
        <v>3876</v>
      </c>
      <c r="AY57" s="145" t="s">
        <v>3876</v>
      </c>
      <c r="AZ57" s="146">
        <v>2.0114324108839413E-4</v>
      </c>
      <c r="BA57" s="147">
        <v>4.6821660936573412E-6</v>
      </c>
      <c r="BB57" s="181"/>
    </row>
    <row r="58" spans="1:54" ht="15" x14ac:dyDescent="0.2">
      <c r="A58" s="142" t="s">
        <v>1205</v>
      </c>
      <c r="B58" s="143" t="s">
        <v>1205</v>
      </c>
      <c r="C58" s="145" t="s">
        <v>3876</v>
      </c>
      <c r="D58" s="145" t="s">
        <v>3876</v>
      </c>
      <c r="E58" s="145" t="s">
        <v>3876</v>
      </c>
      <c r="F58" s="143" t="s">
        <v>3850</v>
      </c>
      <c r="G58" s="143" t="s">
        <v>1012</v>
      </c>
      <c r="H58" s="143" t="s">
        <v>793</v>
      </c>
      <c r="I58" s="143" t="s">
        <v>204</v>
      </c>
      <c r="J58" s="145" t="s">
        <v>3876</v>
      </c>
      <c r="K58" s="143" t="s">
        <v>447</v>
      </c>
      <c r="L58" s="143" t="s">
        <v>339</v>
      </c>
      <c r="M58" s="143" t="s">
        <v>338</v>
      </c>
      <c r="N58" s="145" t="s">
        <v>3876</v>
      </c>
      <c r="O58" s="143" t="s">
        <v>3812</v>
      </c>
      <c r="P58" s="145" t="s">
        <v>3876</v>
      </c>
      <c r="Q58" s="143" t="s">
        <v>410</v>
      </c>
      <c r="R58" s="143" t="s">
        <v>410</v>
      </c>
      <c r="S58" s="143" t="s">
        <v>1210</v>
      </c>
      <c r="T58" s="144">
        <v>0.01</v>
      </c>
      <c r="U58" s="170" t="s">
        <v>823</v>
      </c>
      <c r="V58" s="146">
        <v>0</v>
      </c>
      <c r="W58" s="145" t="s">
        <v>3876</v>
      </c>
      <c r="X58" s="145" t="s">
        <v>3876</v>
      </c>
      <c r="Y58" s="166">
        <v>0</v>
      </c>
      <c r="Z58" s="146">
        <v>1E-4</v>
      </c>
      <c r="AA58" s="143" t="s">
        <v>3851</v>
      </c>
      <c r="AB58" s="143" t="s">
        <v>412</v>
      </c>
      <c r="AC58" s="145" t="s">
        <v>3876</v>
      </c>
      <c r="AD58" s="145" t="s">
        <v>3876</v>
      </c>
      <c r="AE58" s="145" t="s">
        <v>3876</v>
      </c>
      <c r="AF58" s="143" t="s">
        <v>3732</v>
      </c>
      <c r="AG58" s="145" t="s">
        <v>3876</v>
      </c>
      <c r="AH58" s="145" t="s">
        <v>3876</v>
      </c>
      <c r="AI58" s="145" t="s">
        <v>3876</v>
      </c>
      <c r="AJ58" s="145" t="s">
        <v>3876</v>
      </c>
      <c r="AK58" s="143" t="s">
        <v>314</v>
      </c>
      <c r="AL58" s="145" t="s">
        <v>3876</v>
      </c>
      <c r="AM58" s="143" t="s">
        <v>888</v>
      </c>
      <c r="AN58" s="163">
        <v>45473</v>
      </c>
      <c r="AO58" s="163">
        <v>45473</v>
      </c>
      <c r="AP58" s="145" t="s">
        <v>3876</v>
      </c>
      <c r="AQ58" s="144">
        <v>27498.73</v>
      </c>
      <c r="AR58" s="143" t="s">
        <v>3852</v>
      </c>
      <c r="AS58" s="145" t="s">
        <v>3876</v>
      </c>
      <c r="AT58" s="144">
        <v>1.0944</v>
      </c>
      <c r="AU58" s="144">
        <v>1.0944495000000001</v>
      </c>
      <c r="AV58" s="145" t="s">
        <v>3876</v>
      </c>
      <c r="AW58" s="145" t="s">
        <v>3876</v>
      </c>
      <c r="AX58" s="145" t="s">
        <v>3876</v>
      </c>
      <c r="AY58" s="145" t="s">
        <v>3876</v>
      </c>
      <c r="AZ58" s="146">
        <v>4.7286004604290549E-5</v>
      </c>
      <c r="BA58" s="147">
        <v>1.1007127371753824E-6</v>
      </c>
      <c r="BB58" s="181"/>
    </row>
    <row r="59" spans="1:54" ht="15" x14ac:dyDescent="0.2">
      <c r="A59" s="142" t="s">
        <v>1220</v>
      </c>
      <c r="B59" s="143" t="s">
        <v>1221</v>
      </c>
      <c r="C59" s="145" t="s">
        <v>3876</v>
      </c>
      <c r="D59" s="145" t="s">
        <v>3876</v>
      </c>
      <c r="E59" s="145" t="s">
        <v>3876</v>
      </c>
      <c r="F59" s="143" t="s">
        <v>3853</v>
      </c>
      <c r="G59" s="143" t="s">
        <v>1011</v>
      </c>
      <c r="H59" s="145" t="s">
        <v>3876</v>
      </c>
      <c r="I59" s="143" t="s">
        <v>204</v>
      </c>
      <c r="J59" s="145" t="s">
        <v>3876</v>
      </c>
      <c r="K59" s="143" t="s">
        <v>478</v>
      </c>
      <c r="L59" s="143" t="s">
        <v>339</v>
      </c>
      <c r="M59" s="143" t="s">
        <v>339</v>
      </c>
      <c r="N59" s="145" t="s">
        <v>3876</v>
      </c>
      <c r="O59" s="143" t="s">
        <v>3854</v>
      </c>
      <c r="P59" s="143" t="s">
        <v>1308</v>
      </c>
      <c r="Q59" s="143" t="s">
        <v>312</v>
      </c>
      <c r="R59" s="143" t="s">
        <v>408</v>
      </c>
      <c r="S59" s="143" t="s">
        <v>1210</v>
      </c>
      <c r="T59" s="144">
        <v>2.0449999999999999</v>
      </c>
      <c r="U59" s="170" t="s">
        <v>314</v>
      </c>
      <c r="V59" s="146">
        <v>5.3999999999999999E-2</v>
      </c>
      <c r="W59" s="145" t="s">
        <v>3876</v>
      </c>
      <c r="X59" s="145" t="s">
        <v>3876</v>
      </c>
      <c r="Y59" s="166">
        <v>0</v>
      </c>
      <c r="Z59" s="146">
        <v>5.6242206315781897E-2</v>
      </c>
      <c r="AA59" s="143" t="s">
        <v>1513</v>
      </c>
      <c r="AB59" s="143" t="s">
        <v>412</v>
      </c>
      <c r="AC59" s="145" t="s">
        <v>3876</v>
      </c>
      <c r="AD59" s="145" t="s">
        <v>3876</v>
      </c>
      <c r="AE59" s="145" t="s">
        <v>3876</v>
      </c>
      <c r="AF59" s="143" t="s">
        <v>3671</v>
      </c>
      <c r="AG59" s="145" t="s">
        <v>3876</v>
      </c>
      <c r="AH59" s="145" t="s">
        <v>3876</v>
      </c>
      <c r="AI59" s="145" t="s">
        <v>3876</v>
      </c>
      <c r="AJ59" s="145" t="s">
        <v>3876</v>
      </c>
      <c r="AK59" s="143" t="s">
        <v>314</v>
      </c>
      <c r="AL59" s="145" t="s">
        <v>3876</v>
      </c>
      <c r="AM59" s="143" t="s">
        <v>889</v>
      </c>
      <c r="AN59" s="163">
        <v>45473</v>
      </c>
      <c r="AO59" s="163">
        <v>45473</v>
      </c>
      <c r="AP59" s="145" t="s">
        <v>3876</v>
      </c>
      <c r="AQ59" s="144">
        <v>5222529.63</v>
      </c>
      <c r="AR59" s="143" t="s">
        <v>3855</v>
      </c>
      <c r="AS59" s="145" t="s">
        <v>3876</v>
      </c>
      <c r="AT59" s="144">
        <v>5276.2799000000005</v>
      </c>
      <c r="AU59" s="144">
        <v>5276.2799050000003</v>
      </c>
      <c r="AV59" s="145" t="s">
        <v>3876</v>
      </c>
      <c r="AW59" s="145" t="s">
        <v>3876</v>
      </c>
      <c r="AX59" s="145" t="s">
        <v>3876</v>
      </c>
      <c r="AY59" s="145" t="s">
        <v>3876</v>
      </c>
      <c r="AZ59" s="146">
        <v>1</v>
      </c>
      <c r="BA59" s="147">
        <v>4.8039279618035816E-3</v>
      </c>
      <c r="BB59" s="181"/>
    </row>
    <row r="60" spans="1:54" ht="15" x14ac:dyDescent="0.2">
      <c r="A60" s="142" t="s">
        <v>1220</v>
      </c>
      <c r="B60" s="143" t="s">
        <v>1220</v>
      </c>
      <c r="C60" s="145" t="s">
        <v>3876</v>
      </c>
      <c r="D60" s="145" t="s">
        <v>3876</v>
      </c>
      <c r="E60" s="145" t="s">
        <v>3876</v>
      </c>
      <c r="F60" s="143" t="s">
        <v>3856</v>
      </c>
      <c r="G60" s="143" t="s">
        <v>1011</v>
      </c>
      <c r="H60" s="145" t="s">
        <v>3876</v>
      </c>
      <c r="I60" s="143" t="s">
        <v>204</v>
      </c>
      <c r="J60" s="145" t="s">
        <v>3876</v>
      </c>
      <c r="K60" s="143" t="s">
        <v>478</v>
      </c>
      <c r="L60" s="143" t="s">
        <v>339</v>
      </c>
      <c r="M60" s="143" t="s">
        <v>339</v>
      </c>
      <c r="N60" s="145" t="s">
        <v>3876</v>
      </c>
      <c r="O60" s="143" t="s">
        <v>3670</v>
      </c>
      <c r="P60" s="143" t="s">
        <v>1721</v>
      </c>
      <c r="Q60" s="143" t="s">
        <v>413</v>
      </c>
      <c r="R60" s="143" t="s">
        <v>408</v>
      </c>
      <c r="S60" s="143" t="s">
        <v>1210</v>
      </c>
      <c r="T60" s="144">
        <v>1.6215999999999999</v>
      </c>
      <c r="U60" s="170" t="s">
        <v>314</v>
      </c>
      <c r="V60" s="146">
        <v>5.3999999999999999E-2</v>
      </c>
      <c r="W60" s="145" t="s">
        <v>3876</v>
      </c>
      <c r="X60" s="145" t="s">
        <v>3876</v>
      </c>
      <c r="Y60" s="166">
        <v>0</v>
      </c>
      <c r="Z60" s="146">
        <v>5.9959861645341797E-2</v>
      </c>
      <c r="AA60" s="143" t="s">
        <v>1513</v>
      </c>
      <c r="AB60" s="143" t="s">
        <v>412</v>
      </c>
      <c r="AC60" s="145" t="s">
        <v>3876</v>
      </c>
      <c r="AD60" s="145" t="s">
        <v>3876</v>
      </c>
      <c r="AE60" s="145" t="s">
        <v>3876</v>
      </c>
      <c r="AF60" s="143" t="s">
        <v>3857</v>
      </c>
      <c r="AG60" s="145" t="s">
        <v>3876</v>
      </c>
      <c r="AH60" s="145" t="s">
        <v>3876</v>
      </c>
      <c r="AI60" s="145" t="s">
        <v>3876</v>
      </c>
      <c r="AJ60" s="145" t="s">
        <v>3876</v>
      </c>
      <c r="AK60" s="143" t="s">
        <v>314</v>
      </c>
      <c r="AL60" s="145" t="s">
        <v>3876</v>
      </c>
      <c r="AM60" s="143" t="s">
        <v>889</v>
      </c>
      <c r="AN60" s="163">
        <v>45473</v>
      </c>
      <c r="AO60" s="163">
        <v>45473</v>
      </c>
      <c r="AP60" s="145" t="s">
        <v>3876</v>
      </c>
      <c r="AQ60" s="144">
        <v>105304064.09999999</v>
      </c>
      <c r="AR60" s="143" t="s">
        <v>3858</v>
      </c>
      <c r="AS60" s="145" t="s">
        <v>3876</v>
      </c>
      <c r="AT60" s="144">
        <v>106783.90209999999</v>
      </c>
      <c r="AU60" s="144">
        <v>106783.9021128</v>
      </c>
      <c r="AV60" s="145" t="s">
        <v>3876</v>
      </c>
      <c r="AW60" s="145" t="s">
        <v>3876</v>
      </c>
      <c r="AX60" s="145" t="s">
        <v>3876</v>
      </c>
      <c r="AY60" s="145" t="s">
        <v>3876</v>
      </c>
      <c r="AZ60" s="146">
        <v>0.18466354503112897</v>
      </c>
      <c r="BA60" s="147">
        <v>4.7320291838648144E-3</v>
      </c>
      <c r="BB60" s="181"/>
    </row>
    <row r="61" spans="1:54" ht="15" x14ac:dyDescent="0.2">
      <c r="A61" s="142" t="s">
        <v>1220</v>
      </c>
      <c r="B61" s="143" t="s">
        <v>1220</v>
      </c>
      <c r="C61" s="145" t="s">
        <v>3876</v>
      </c>
      <c r="D61" s="145" t="s">
        <v>3876</v>
      </c>
      <c r="E61" s="145" t="s">
        <v>3876</v>
      </c>
      <c r="F61" s="143" t="s">
        <v>3673</v>
      </c>
      <c r="G61" s="143" t="s">
        <v>1012</v>
      </c>
      <c r="H61" s="143" t="s">
        <v>817</v>
      </c>
      <c r="I61" s="143" t="s">
        <v>204</v>
      </c>
      <c r="J61" s="145" t="s">
        <v>3876</v>
      </c>
      <c r="K61" s="143" t="s">
        <v>447</v>
      </c>
      <c r="L61" s="143" t="s">
        <v>339</v>
      </c>
      <c r="M61" s="143" t="s">
        <v>338</v>
      </c>
      <c r="N61" s="145" t="s">
        <v>3876</v>
      </c>
      <c r="O61" s="143" t="s">
        <v>3674</v>
      </c>
      <c r="P61" s="143" t="s">
        <v>3675</v>
      </c>
      <c r="Q61" s="143" t="s">
        <v>415</v>
      </c>
      <c r="R61" s="143" t="s">
        <v>408</v>
      </c>
      <c r="S61" s="143" t="s">
        <v>1210</v>
      </c>
      <c r="T61" s="144">
        <v>0.53</v>
      </c>
      <c r="U61" s="170" t="s">
        <v>823</v>
      </c>
      <c r="V61" s="146">
        <v>7.400000000000001E-2</v>
      </c>
      <c r="W61" s="145" t="s">
        <v>3876</v>
      </c>
      <c r="X61" s="145" t="s">
        <v>3876</v>
      </c>
      <c r="Y61" s="166">
        <v>0</v>
      </c>
      <c r="Z61" s="146">
        <v>7.5999999999999998E-2</v>
      </c>
      <c r="AA61" s="143" t="s">
        <v>3676</v>
      </c>
      <c r="AB61" s="143" t="s">
        <v>412</v>
      </c>
      <c r="AC61" s="145" t="s">
        <v>3876</v>
      </c>
      <c r="AD61" s="145" t="s">
        <v>3876</v>
      </c>
      <c r="AE61" s="171">
        <v>0.55000000000000004</v>
      </c>
      <c r="AF61" s="143" t="s">
        <v>3677</v>
      </c>
      <c r="AG61" s="145" t="s">
        <v>3876</v>
      </c>
      <c r="AH61" s="145" t="s">
        <v>3876</v>
      </c>
      <c r="AI61" s="145" t="s">
        <v>3876</v>
      </c>
      <c r="AJ61" s="143" t="s">
        <v>339</v>
      </c>
      <c r="AK61" s="143" t="s">
        <v>886</v>
      </c>
      <c r="AL61" s="145" t="s">
        <v>3876</v>
      </c>
      <c r="AM61" s="143" t="s">
        <v>889</v>
      </c>
      <c r="AN61" s="163">
        <v>45473</v>
      </c>
      <c r="AO61" s="163">
        <v>45473</v>
      </c>
      <c r="AP61" s="145" t="s">
        <v>3876</v>
      </c>
      <c r="AQ61" s="144">
        <v>60256000</v>
      </c>
      <c r="AR61" s="143" t="s">
        <v>3678</v>
      </c>
      <c r="AS61" s="145" t="s">
        <v>3876</v>
      </c>
      <c r="AT61" s="144">
        <v>62967.519999999997</v>
      </c>
      <c r="AU61" s="144">
        <v>62967.519999999997</v>
      </c>
      <c r="AV61" s="145" t="s">
        <v>3876</v>
      </c>
      <c r="AW61" s="145" t="s">
        <v>3876</v>
      </c>
      <c r="AX61" s="145" t="s">
        <v>3876</v>
      </c>
      <c r="AY61" s="145" t="s">
        <v>3876</v>
      </c>
      <c r="AZ61" s="146">
        <v>0.10889099606732798</v>
      </c>
      <c r="BA61" s="147">
        <v>2.7903470128001935E-3</v>
      </c>
      <c r="BB61" s="181"/>
    </row>
    <row r="62" spans="1:54" ht="15" x14ac:dyDescent="0.2">
      <c r="A62" s="142" t="s">
        <v>1220</v>
      </c>
      <c r="B62" s="143" t="s">
        <v>1220</v>
      </c>
      <c r="C62" s="145" t="s">
        <v>3876</v>
      </c>
      <c r="D62" s="145" t="s">
        <v>3876</v>
      </c>
      <c r="E62" s="145" t="s">
        <v>3876</v>
      </c>
      <c r="F62" s="143" t="s">
        <v>3679</v>
      </c>
      <c r="G62" s="143" t="s">
        <v>1012</v>
      </c>
      <c r="H62" s="143" t="s">
        <v>791</v>
      </c>
      <c r="I62" s="143" t="s">
        <v>204</v>
      </c>
      <c r="J62" s="145" t="s">
        <v>3876</v>
      </c>
      <c r="K62" s="143" t="s">
        <v>447</v>
      </c>
      <c r="L62" s="143" t="s">
        <v>339</v>
      </c>
      <c r="M62" s="143" t="s">
        <v>338</v>
      </c>
      <c r="N62" s="145" t="s">
        <v>3876</v>
      </c>
      <c r="O62" s="143" t="s">
        <v>3166</v>
      </c>
      <c r="P62" s="145" t="s">
        <v>3876</v>
      </c>
      <c r="Q62" s="143" t="s">
        <v>410</v>
      </c>
      <c r="R62" s="143" t="s">
        <v>410</v>
      </c>
      <c r="S62" s="143" t="s">
        <v>1210</v>
      </c>
      <c r="T62" s="144">
        <v>0.38</v>
      </c>
      <c r="U62" s="170" t="s">
        <v>823</v>
      </c>
      <c r="V62" s="146">
        <v>7.2499999999999995E-2</v>
      </c>
      <c r="W62" s="145" t="s">
        <v>3876</v>
      </c>
      <c r="X62" s="145" t="s">
        <v>3876</v>
      </c>
      <c r="Y62" s="166">
        <v>0</v>
      </c>
      <c r="Z62" s="146">
        <v>7.0400000000000004E-2</v>
      </c>
      <c r="AA62" s="143" t="s">
        <v>3680</v>
      </c>
      <c r="AB62" s="143" t="s">
        <v>412</v>
      </c>
      <c r="AC62" s="145" t="s">
        <v>3876</v>
      </c>
      <c r="AD62" s="145" t="s">
        <v>3876</v>
      </c>
      <c r="AE62" s="171">
        <v>0.88</v>
      </c>
      <c r="AF62" s="143" t="s">
        <v>3681</v>
      </c>
      <c r="AG62" s="145" t="s">
        <v>3876</v>
      </c>
      <c r="AH62" s="145" t="s">
        <v>3876</v>
      </c>
      <c r="AI62" s="145" t="s">
        <v>3876</v>
      </c>
      <c r="AJ62" s="143" t="s">
        <v>338</v>
      </c>
      <c r="AK62" s="143" t="s">
        <v>886</v>
      </c>
      <c r="AL62" s="145" t="s">
        <v>3876</v>
      </c>
      <c r="AM62" s="143" t="s">
        <v>889</v>
      </c>
      <c r="AN62" s="163">
        <v>45473</v>
      </c>
      <c r="AO62" s="163">
        <v>45473</v>
      </c>
      <c r="AP62" s="145" t="s">
        <v>3876</v>
      </c>
      <c r="AQ62" s="144">
        <v>54343000</v>
      </c>
      <c r="AR62" s="143" t="s">
        <v>3682</v>
      </c>
      <c r="AS62" s="145" t="s">
        <v>3876</v>
      </c>
      <c r="AT62" s="144">
        <v>48908.7</v>
      </c>
      <c r="AU62" s="144">
        <v>48908.7</v>
      </c>
      <c r="AV62" s="145" t="s">
        <v>3876</v>
      </c>
      <c r="AW62" s="145" t="s">
        <v>3876</v>
      </c>
      <c r="AX62" s="145" t="s">
        <v>3876</v>
      </c>
      <c r="AY62" s="145" t="s">
        <v>3876</v>
      </c>
      <c r="AZ62" s="146">
        <v>8.4578796486793895E-2</v>
      </c>
      <c r="BA62" s="147">
        <v>2.1673434962174282E-3</v>
      </c>
      <c r="BB62" s="181"/>
    </row>
    <row r="63" spans="1:54" ht="15" x14ac:dyDescent="0.2">
      <c r="A63" s="142" t="s">
        <v>1220</v>
      </c>
      <c r="B63" s="143" t="s">
        <v>1220</v>
      </c>
      <c r="C63" s="145" t="s">
        <v>3876</v>
      </c>
      <c r="D63" s="145" t="s">
        <v>3876</v>
      </c>
      <c r="E63" s="145" t="s">
        <v>3876</v>
      </c>
      <c r="F63" s="143" t="s">
        <v>3683</v>
      </c>
      <c r="G63" s="143" t="s">
        <v>1012</v>
      </c>
      <c r="H63" s="145" t="s">
        <v>3876</v>
      </c>
      <c r="I63" s="143" t="s">
        <v>204</v>
      </c>
      <c r="J63" s="145" t="s">
        <v>3876</v>
      </c>
      <c r="K63" s="143" t="s">
        <v>485</v>
      </c>
      <c r="L63" s="143" t="s">
        <v>339</v>
      </c>
      <c r="M63" s="143" t="s">
        <v>338</v>
      </c>
      <c r="N63" s="145" t="s">
        <v>3876</v>
      </c>
      <c r="O63" s="143" t="s">
        <v>3684</v>
      </c>
      <c r="P63" s="143" t="s">
        <v>1366</v>
      </c>
      <c r="Q63" s="143" t="s">
        <v>415</v>
      </c>
      <c r="R63" s="143" t="s">
        <v>408</v>
      </c>
      <c r="S63" s="143" t="s">
        <v>1210</v>
      </c>
      <c r="T63" s="144">
        <v>10.09</v>
      </c>
      <c r="U63" s="170" t="s">
        <v>824</v>
      </c>
      <c r="V63" s="146">
        <v>0.03</v>
      </c>
      <c r="W63" s="145" t="s">
        <v>3876</v>
      </c>
      <c r="X63" s="145" t="s">
        <v>3876</v>
      </c>
      <c r="Y63" s="166">
        <v>0</v>
      </c>
      <c r="Z63" s="146">
        <v>4.1599999999999998E-2</v>
      </c>
      <c r="AA63" s="143" t="s">
        <v>3685</v>
      </c>
      <c r="AB63" s="143" t="s">
        <v>412</v>
      </c>
      <c r="AC63" s="145" t="s">
        <v>3876</v>
      </c>
      <c r="AD63" s="145" t="s">
        <v>3876</v>
      </c>
      <c r="AE63" s="171">
        <v>0.75</v>
      </c>
      <c r="AF63" s="143" t="s">
        <v>3686</v>
      </c>
      <c r="AG63" s="145" t="s">
        <v>3876</v>
      </c>
      <c r="AH63" s="145" t="s">
        <v>3876</v>
      </c>
      <c r="AI63" s="145" t="s">
        <v>3876</v>
      </c>
      <c r="AJ63" s="143" t="s">
        <v>338</v>
      </c>
      <c r="AK63" s="143" t="s">
        <v>886</v>
      </c>
      <c r="AL63" s="145" t="s">
        <v>3876</v>
      </c>
      <c r="AM63" s="143" t="s">
        <v>889</v>
      </c>
      <c r="AN63" s="163">
        <v>45473</v>
      </c>
      <c r="AO63" s="163">
        <v>45473</v>
      </c>
      <c r="AP63" s="145" t="s">
        <v>3876</v>
      </c>
      <c r="AQ63" s="144">
        <v>29240393.07</v>
      </c>
      <c r="AR63" s="143" t="s">
        <v>3687</v>
      </c>
      <c r="AS63" s="145" t="s">
        <v>3876</v>
      </c>
      <c r="AT63" s="144">
        <v>29632.2143</v>
      </c>
      <c r="AU63" s="144">
        <v>29632.214337099998</v>
      </c>
      <c r="AV63" s="145" t="s">
        <v>3876</v>
      </c>
      <c r="AW63" s="145" t="s">
        <v>3876</v>
      </c>
      <c r="AX63" s="145" t="s">
        <v>3876</v>
      </c>
      <c r="AY63" s="145" t="s">
        <v>3876</v>
      </c>
      <c r="AZ63" s="146">
        <v>5.1243582959143281E-2</v>
      </c>
      <c r="BA63" s="147">
        <v>1.31312398452866E-3</v>
      </c>
      <c r="BB63" s="181"/>
    </row>
    <row r="64" spans="1:54" ht="15" x14ac:dyDescent="0.2">
      <c r="A64" s="142" t="s">
        <v>1220</v>
      </c>
      <c r="B64" s="143" t="s">
        <v>1220</v>
      </c>
      <c r="C64" s="145" t="s">
        <v>3876</v>
      </c>
      <c r="D64" s="145" t="s">
        <v>3876</v>
      </c>
      <c r="E64" s="145" t="s">
        <v>3876</v>
      </c>
      <c r="F64" s="143" t="s">
        <v>3688</v>
      </c>
      <c r="G64" s="143" t="s">
        <v>1012</v>
      </c>
      <c r="H64" s="145" t="s">
        <v>3876</v>
      </c>
      <c r="I64" s="143" t="s">
        <v>204</v>
      </c>
      <c r="J64" s="145" t="s">
        <v>3876</v>
      </c>
      <c r="K64" s="143" t="s">
        <v>448</v>
      </c>
      <c r="L64" s="143" t="s">
        <v>339</v>
      </c>
      <c r="M64" s="143" t="s">
        <v>338</v>
      </c>
      <c r="N64" s="145" t="s">
        <v>3876</v>
      </c>
      <c r="O64" s="143" t="s">
        <v>3689</v>
      </c>
      <c r="P64" s="145" t="s">
        <v>3876</v>
      </c>
      <c r="Q64" s="143" t="s">
        <v>410</v>
      </c>
      <c r="R64" s="143" t="s">
        <v>410</v>
      </c>
      <c r="S64" s="143" t="s">
        <v>1210</v>
      </c>
      <c r="T64" s="144">
        <v>5.35</v>
      </c>
      <c r="U64" s="170" t="s">
        <v>823</v>
      </c>
      <c r="V64" s="146">
        <v>3.4764000000000003E-2</v>
      </c>
      <c r="W64" s="145" t="s">
        <v>3876</v>
      </c>
      <c r="X64" s="145" t="s">
        <v>3876</v>
      </c>
      <c r="Y64" s="166">
        <v>0</v>
      </c>
      <c r="Z64" s="146">
        <v>5.0500000000000003E-2</v>
      </c>
      <c r="AA64" s="143" t="s">
        <v>3690</v>
      </c>
      <c r="AB64" s="143" t="s">
        <v>412</v>
      </c>
      <c r="AC64" s="145" t="s">
        <v>3876</v>
      </c>
      <c r="AD64" s="145" t="s">
        <v>3876</v>
      </c>
      <c r="AE64" s="145" t="s">
        <v>3876</v>
      </c>
      <c r="AF64" s="145" t="s">
        <v>3876</v>
      </c>
      <c r="AG64" s="145" t="s">
        <v>3876</v>
      </c>
      <c r="AH64" s="145" t="s">
        <v>3876</v>
      </c>
      <c r="AI64" s="145" t="s">
        <v>3876</v>
      </c>
      <c r="AJ64" s="143" t="s">
        <v>339</v>
      </c>
      <c r="AK64" s="143" t="s">
        <v>886</v>
      </c>
      <c r="AL64" s="145" t="s">
        <v>3876</v>
      </c>
      <c r="AM64" s="143" t="s">
        <v>889</v>
      </c>
      <c r="AN64" s="163">
        <v>45473</v>
      </c>
      <c r="AO64" s="163">
        <v>45473</v>
      </c>
      <c r="AP64" s="145" t="s">
        <v>3876</v>
      </c>
      <c r="AQ64" s="144">
        <v>23653393.699999999</v>
      </c>
      <c r="AR64" s="143" t="s">
        <v>3691</v>
      </c>
      <c r="AS64" s="145" t="s">
        <v>3876</v>
      </c>
      <c r="AT64" s="144">
        <v>22130.115100000003</v>
      </c>
      <c r="AU64" s="144">
        <v>22130.115145700001</v>
      </c>
      <c r="AV64" s="145" t="s">
        <v>3876</v>
      </c>
      <c r="AW64" s="145" t="s">
        <v>3876</v>
      </c>
      <c r="AX64" s="145" t="s">
        <v>3876</v>
      </c>
      <c r="AY64" s="145" t="s">
        <v>3876</v>
      </c>
      <c r="AZ64" s="146">
        <v>3.827005226348619E-2</v>
      </c>
      <c r="BA64" s="147">
        <v>9.8067544489260678E-4</v>
      </c>
      <c r="BB64" s="181"/>
    </row>
    <row r="65" spans="1:54" ht="15" x14ac:dyDescent="0.2">
      <c r="A65" s="142" t="s">
        <v>1220</v>
      </c>
      <c r="B65" s="143" t="s">
        <v>1220</v>
      </c>
      <c r="C65" s="145" t="s">
        <v>3876</v>
      </c>
      <c r="D65" s="145" t="s">
        <v>3876</v>
      </c>
      <c r="E65" s="145" t="s">
        <v>3876</v>
      </c>
      <c r="F65" s="143" t="s">
        <v>3703</v>
      </c>
      <c r="G65" s="143" t="s">
        <v>1012</v>
      </c>
      <c r="H65" s="145" t="s">
        <v>3876</v>
      </c>
      <c r="I65" s="143" t="s">
        <v>204</v>
      </c>
      <c r="J65" s="145" t="s">
        <v>3876</v>
      </c>
      <c r="K65" s="143" t="s">
        <v>440</v>
      </c>
      <c r="L65" s="143" t="s">
        <v>339</v>
      </c>
      <c r="M65" s="143" t="s">
        <v>338</v>
      </c>
      <c r="N65" s="145" t="s">
        <v>3876</v>
      </c>
      <c r="O65" s="143" t="s">
        <v>3704</v>
      </c>
      <c r="P65" s="143" t="s">
        <v>1396</v>
      </c>
      <c r="Q65" s="143" t="s">
        <v>415</v>
      </c>
      <c r="R65" s="143" t="s">
        <v>408</v>
      </c>
      <c r="S65" s="143" t="s">
        <v>1210</v>
      </c>
      <c r="T65" s="144">
        <v>3.9</v>
      </c>
      <c r="U65" s="170" t="s">
        <v>824</v>
      </c>
      <c r="V65" s="146">
        <v>0</v>
      </c>
      <c r="W65" s="145" t="s">
        <v>3876</v>
      </c>
      <c r="X65" s="145" t="s">
        <v>3876</v>
      </c>
      <c r="Y65" s="166">
        <v>0</v>
      </c>
      <c r="Z65" s="146">
        <v>0.03</v>
      </c>
      <c r="AA65" s="143" t="s">
        <v>1768</v>
      </c>
      <c r="AB65" s="143" t="s">
        <v>412</v>
      </c>
      <c r="AC65" s="145" t="s">
        <v>3876</v>
      </c>
      <c r="AD65" s="145" t="s">
        <v>3876</v>
      </c>
      <c r="AE65" s="171">
        <v>0.75</v>
      </c>
      <c r="AF65" s="143" t="s">
        <v>3695</v>
      </c>
      <c r="AG65" s="145" t="s">
        <v>3876</v>
      </c>
      <c r="AH65" s="145" t="s">
        <v>3876</v>
      </c>
      <c r="AI65" s="145" t="s">
        <v>3876</v>
      </c>
      <c r="AJ65" s="143" t="s">
        <v>338</v>
      </c>
      <c r="AK65" s="143" t="s">
        <v>886</v>
      </c>
      <c r="AL65" s="145" t="s">
        <v>3876</v>
      </c>
      <c r="AM65" s="143" t="s">
        <v>889</v>
      </c>
      <c r="AN65" s="163">
        <v>45473</v>
      </c>
      <c r="AO65" s="163">
        <v>45473</v>
      </c>
      <c r="AP65" s="145" t="s">
        <v>3876</v>
      </c>
      <c r="AQ65" s="144">
        <v>18863499.73</v>
      </c>
      <c r="AR65" s="143" t="s">
        <v>3705</v>
      </c>
      <c r="AS65" s="145" t="s">
        <v>3876</v>
      </c>
      <c r="AT65" s="144">
        <v>21717.547200000001</v>
      </c>
      <c r="AU65" s="144">
        <v>21717.547239099997</v>
      </c>
      <c r="AV65" s="145" t="s">
        <v>3876</v>
      </c>
      <c r="AW65" s="145" t="s">
        <v>3876</v>
      </c>
      <c r="AX65" s="145" t="s">
        <v>3876</v>
      </c>
      <c r="AY65" s="145" t="s">
        <v>3876</v>
      </c>
      <c r="AZ65" s="146">
        <v>3.7556590302590662E-2</v>
      </c>
      <c r="BA65" s="147">
        <v>9.6239288230037486E-4</v>
      </c>
      <c r="BB65" s="181"/>
    </row>
    <row r="66" spans="1:54" ht="15" x14ac:dyDescent="0.2">
      <c r="A66" s="142" t="s">
        <v>1220</v>
      </c>
      <c r="B66" s="143" t="s">
        <v>1220</v>
      </c>
      <c r="C66" s="145" t="s">
        <v>3876</v>
      </c>
      <c r="D66" s="145" t="s">
        <v>3876</v>
      </c>
      <c r="E66" s="145" t="s">
        <v>3876</v>
      </c>
      <c r="F66" s="143" t="s">
        <v>3697</v>
      </c>
      <c r="G66" s="143" t="s">
        <v>1012</v>
      </c>
      <c r="H66" s="143" t="s">
        <v>3698</v>
      </c>
      <c r="I66" s="143" t="s">
        <v>204</v>
      </c>
      <c r="J66" s="145" t="s">
        <v>3876</v>
      </c>
      <c r="K66" s="143" t="s">
        <v>443</v>
      </c>
      <c r="L66" s="143" t="s">
        <v>339</v>
      </c>
      <c r="M66" s="143" t="s">
        <v>338</v>
      </c>
      <c r="N66" s="145" t="s">
        <v>3876</v>
      </c>
      <c r="O66" s="143" t="s">
        <v>3699</v>
      </c>
      <c r="P66" s="145" t="s">
        <v>3876</v>
      </c>
      <c r="Q66" s="143" t="s">
        <v>410</v>
      </c>
      <c r="R66" s="143" t="s">
        <v>410</v>
      </c>
      <c r="S66" s="143" t="s">
        <v>1210</v>
      </c>
      <c r="T66" s="144">
        <v>2.25</v>
      </c>
      <c r="U66" s="170" t="s">
        <v>823</v>
      </c>
      <c r="V66" s="146">
        <v>0.09</v>
      </c>
      <c r="W66" s="145" t="s">
        <v>3876</v>
      </c>
      <c r="X66" s="145" t="s">
        <v>3876</v>
      </c>
      <c r="Y66" s="166">
        <v>0.03</v>
      </c>
      <c r="Z66" s="146">
        <v>8.48E-2</v>
      </c>
      <c r="AA66" s="143" t="s">
        <v>3700</v>
      </c>
      <c r="AB66" s="143" t="s">
        <v>412</v>
      </c>
      <c r="AC66" s="145" t="s">
        <v>3876</v>
      </c>
      <c r="AD66" s="145" t="s">
        <v>3876</v>
      </c>
      <c r="AE66" s="171">
        <v>0.76</v>
      </c>
      <c r="AF66" s="143" t="s">
        <v>3701</v>
      </c>
      <c r="AG66" s="145" t="s">
        <v>3876</v>
      </c>
      <c r="AH66" s="145" t="s">
        <v>3876</v>
      </c>
      <c r="AI66" s="145" t="s">
        <v>3876</v>
      </c>
      <c r="AJ66" s="143" t="s">
        <v>339</v>
      </c>
      <c r="AK66" s="143" t="s">
        <v>886</v>
      </c>
      <c r="AL66" s="145" t="s">
        <v>3876</v>
      </c>
      <c r="AM66" s="143" t="s">
        <v>889</v>
      </c>
      <c r="AN66" s="163">
        <v>45473</v>
      </c>
      <c r="AO66" s="163">
        <v>45473</v>
      </c>
      <c r="AP66" s="145" t="s">
        <v>3876</v>
      </c>
      <c r="AQ66" s="144">
        <v>20726221.879999999</v>
      </c>
      <c r="AR66" s="143" t="s">
        <v>3702</v>
      </c>
      <c r="AS66" s="145" t="s">
        <v>3876</v>
      </c>
      <c r="AT66" s="144">
        <v>21095.1486</v>
      </c>
      <c r="AU66" s="144">
        <v>21095.1486295</v>
      </c>
      <c r="AV66" s="145" t="s">
        <v>3876</v>
      </c>
      <c r="AW66" s="145" t="s">
        <v>3876</v>
      </c>
      <c r="AX66" s="145" t="s">
        <v>3876</v>
      </c>
      <c r="AY66" s="145" t="s">
        <v>3876</v>
      </c>
      <c r="AZ66" s="146">
        <v>3.648026389558718E-2</v>
      </c>
      <c r="BA66" s="147">
        <v>9.3481186749614666E-4</v>
      </c>
      <c r="BB66" s="181"/>
    </row>
    <row r="67" spans="1:54" ht="15" x14ac:dyDescent="0.2">
      <c r="A67" s="142" t="s">
        <v>1220</v>
      </c>
      <c r="B67" s="143" t="s">
        <v>1220</v>
      </c>
      <c r="C67" s="145" t="s">
        <v>3876</v>
      </c>
      <c r="D67" s="145" t="s">
        <v>3876</v>
      </c>
      <c r="E67" s="145" t="s">
        <v>3876</v>
      </c>
      <c r="F67" s="143" t="s">
        <v>3716</v>
      </c>
      <c r="G67" s="143" t="s">
        <v>1012</v>
      </c>
      <c r="H67" s="145" t="s">
        <v>3876</v>
      </c>
      <c r="I67" s="143" t="s">
        <v>204</v>
      </c>
      <c r="J67" s="145" t="s">
        <v>3876</v>
      </c>
      <c r="K67" s="143" t="s">
        <v>485</v>
      </c>
      <c r="L67" s="143" t="s">
        <v>339</v>
      </c>
      <c r="M67" s="143" t="s">
        <v>338</v>
      </c>
      <c r="N67" s="145" t="s">
        <v>3876</v>
      </c>
      <c r="O67" s="143" t="s">
        <v>3717</v>
      </c>
      <c r="P67" s="143" t="s">
        <v>1721</v>
      </c>
      <c r="Q67" s="143" t="s">
        <v>413</v>
      </c>
      <c r="R67" s="143" t="s">
        <v>408</v>
      </c>
      <c r="S67" s="143" t="s">
        <v>1210</v>
      </c>
      <c r="T67" s="144">
        <v>5.8</v>
      </c>
      <c r="U67" s="170" t="s">
        <v>824</v>
      </c>
      <c r="V67" s="146">
        <v>3.4099999999999998E-2</v>
      </c>
      <c r="W67" s="145" t="s">
        <v>3876</v>
      </c>
      <c r="X67" s="145" t="s">
        <v>3876</v>
      </c>
      <c r="Y67" s="166">
        <v>0</v>
      </c>
      <c r="Z67" s="146">
        <v>3.5400000000000001E-2</v>
      </c>
      <c r="AA67" s="143" t="s">
        <v>3718</v>
      </c>
      <c r="AB67" s="143" t="s">
        <v>412</v>
      </c>
      <c r="AC67" s="145" t="s">
        <v>3876</v>
      </c>
      <c r="AD67" s="145" t="s">
        <v>3876</v>
      </c>
      <c r="AE67" s="145" t="s">
        <v>3876</v>
      </c>
      <c r="AF67" s="145" t="s">
        <v>3876</v>
      </c>
      <c r="AG67" s="145" t="s">
        <v>3876</v>
      </c>
      <c r="AH67" s="145" t="s">
        <v>3876</v>
      </c>
      <c r="AI67" s="145" t="s">
        <v>3876</v>
      </c>
      <c r="AJ67" s="145" t="s">
        <v>3876</v>
      </c>
      <c r="AK67" s="143" t="s">
        <v>886</v>
      </c>
      <c r="AL67" s="145" t="s">
        <v>3876</v>
      </c>
      <c r="AM67" s="143" t="s">
        <v>889</v>
      </c>
      <c r="AN67" s="163">
        <v>45473</v>
      </c>
      <c r="AO67" s="163">
        <v>45473</v>
      </c>
      <c r="AP67" s="145" t="s">
        <v>3876</v>
      </c>
      <c r="AQ67" s="144">
        <v>18003773.640000001</v>
      </c>
      <c r="AR67" s="143" t="s">
        <v>3719</v>
      </c>
      <c r="AS67" s="145" t="s">
        <v>3876</v>
      </c>
      <c r="AT67" s="144">
        <v>20576.512899999998</v>
      </c>
      <c r="AU67" s="144">
        <v>20576.512893200001</v>
      </c>
      <c r="AV67" s="145" t="s">
        <v>3876</v>
      </c>
      <c r="AW67" s="145" t="s">
        <v>3876</v>
      </c>
      <c r="AX67" s="145" t="s">
        <v>3876</v>
      </c>
      <c r="AY67" s="145" t="s">
        <v>3876</v>
      </c>
      <c r="AZ67" s="146">
        <v>3.5583376707991256E-2</v>
      </c>
      <c r="BA67" s="147">
        <v>9.118290078005694E-4</v>
      </c>
      <c r="BB67" s="181"/>
    </row>
    <row r="68" spans="1:54" ht="15" x14ac:dyDescent="0.2">
      <c r="A68" s="142" t="s">
        <v>1220</v>
      </c>
      <c r="B68" s="143" t="s">
        <v>1220</v>
      </c>
      <c r="C68" s="145" t="s">
        <v>3876</v>
      </c>
      <c r="D68" s="145" t="s">
        <v>3876</v>
      </c>
      <c r="E68" s="145" t="s">
        <v>3876</v>
      </c>
      <c r="F68" s="143" t="s">
        <v>3692</v>
      </c>
      <c r="G68" s="143" t="s">
        <v>1012</v>
      </c>
      <c r="H68" s="145" t="s">
        <v>3876</v>
      </c>
      <c r="I68" s="143" t="s">
        <v>204</v>
      </c>
      <c r="J68" s="145" t="s">
        <v>3876</v>
      </c>
      <c r="K68" s="143" t="s">
        <v>440</v>
      </c>
      <c r="L68" s="143" t="s">
        <v>339</v>
      </c>
      <c r="M68" s="143" t="s">
        <v>338</v>
      </c>
      <c r="N68" s="145" t="s">
        <v>3876</v>
      </c>
      <c r="O68" s="143" t="s">
        <v>3693</v>
      </c>
      <c r="P68" s="143" t="s">
        <v>1366</v>
      </c>
      <c r="Q68" s="143" t="s">
        <v>415</v>
      </c>
      <c r="R68" s="143" t="s">
        <v>408</v>
      </c>
      <c r="S68" s="143" t="s">
        <v>1210</v>
      </c>
      <c r="T68" s="144">
        <v>8.1999999999999993</v>
      </c>
      <c r="U68" s="170" t="s">
        <v>824</v>
      </c>
      <c r="V68" s="146">
        <v>0</v>
      </c>
      <c r="W68" s="145" t="s">
        <v>3876</v>
      </c>
      <c r="X68" s="145" t="s">
        <v>3876</v>
      </c>
      <c r="Y68" s="166">
        <v>0</v>
      </c>
      <c r="Z68" s="146">
        <v>4.0099999999999997E-2</v>
      </c>
      <c r="AA68" s="143" t="s">
        <v>3694</v>
      </c>
      <c r="AB68" s="143" t="s">
        <v>412</v>
      </c>
      <c r="AC68" s="145" t="s">
        <v>3876</v>
      </c>
      <c r="AD68" s="145" t="s">
        <v>3876</v>
      </c>
      <c r="AE68" s="171">
        <v>0.75</v>
      </c>
      <c r="AF68" s="143" t="s">
        <v>3695</v>
      </c>
      <c r="AG68" s="145" t="s">
        <v>3876</v>
      </c>
      <c r="AH68" s="145" t="s">
        <v>3876</v>
      </c>
      <c r="AI68" s="145" t="s">
        <v>3876</v>
      </c>
      <c r="AJ68" s="143" t="s">
        <v>338</v>
      </c>
      <c r="AK68" s="143" t="s">
        <v>886</v>
      </c>
      <c r="AL68" s="145" t="s">
        <v>3876</v>
      </c>
      <c r="AM68" s="143" t="s">
        <v>889</v>
      </c>
      <c r="AN68" s="163">
        <v>45473</v>
      </c>
      <c r="AO68" s="163">
        <v>45473</v>
      </c>
      <c r="AP68" s="145" t="s">
        <v>3876</v>
      </c>
      <c r="AQ68" s="144">
        <v>20015826.18</v>
      </c>
      <c r="AR68" s="143" t="s">
        <v>3696</v>
      </c>
      <c r="AS68" s="145" t="s">
        <v>3876</v>
      </c>
      <c r="AT68" s="144">
        <v>19593.492200000001</v>
      </c>
      <c r="AU68" s="144">
        <v>19593.492247599999</v>
      </c>
      <c r="AV68" s="145" t="s">
        <v>3876</v>
      </c>
      <c r="AW68" s="145" t="s">
        <v>3876</v>
      </c>
      <c r="AX68" s="145" t="s">
        <v>3876</v>
      </c>
      <c r="AY68" s="145" t="s">
        <v>3876</v>
      </c>
      <c r="AZ68" s="146">
        <v>3.3883419376828733E-2</v>
      </c>
      <c r="BA68" s="147">
        <v>8.6826736329174135E-4</v>
      </c>
      <c r="BB68" s="181"/>
    </row>
    <row r="69" spans="1:54" ht="15" x14ac:dyDescent="0.2">
      <c r="A69" s="142" t="s">
        <v>1220</v>
      </c>
      <c r="B69" s="143" t="s">
        <v>1220</v>
      </c>
      <c r="C69" s="145" t="s">
        <v>3876</v>
      </c>
      <c r="D69" s="145" t="s">
        <v>3876</v>
      </c>
      <c r="E69" s="145" t="s">
        <v>3876</v>
      </c>
      <c r="F69" s="143" t="s">
        <v>3706</v>
      </c>
      <c r="G69" s="143" t="s">
        <v>1012</v>
      </c>
      <c r="H69" s="145" t="s">
        <v>3876</v>
      </c>
      <c r="I69" s="143" t="s">
        <v>204</v>
      </c>
      <c r="J69" s="145" t="s">
        <v>3876</v>
      </c>
      <c r="K69" s="143" t="s">
        <v>448</v>
      </c>
      <c r="L69" s="143" t="s">
        <v>339</v>
      </c>
      <c r="M69" s="143" t="s">
        <v>338</v>
      </c>
      <c r="N69" s="145" t="s">
        <v>3876</v>
      </c>
      <c r="O69" s="143" t="s">
        <v>3689</v>
      </c>
      <c r="P69" s="145" t="s">
        <v>3876</v>
      </c>
      <c r="Q69" s="143" t="s">
        <v>410</v>
      </c>
      <c r="R69" s="143" t="s">
        <v>410</v>
      </c>
      <c r="S69" s="143" t="s">
        <v>1210</v>
      </c>
      <c r="T69" s="144">
        <v>6.9</v>
      </c>
      <c r="U69" s="170" t="s">
        <v>823</v>
      </c>
      <c r="V69" s="146">
        <v>5.2093E-2</v>
      </c>
      <c r="W69" s="145" t="s">
        <v>3876</v>
      </c>
      <c r="X69" s="145" t="s">
        <v>3876</v>
      </c>
      <c r="Y69" s="166">
        <v>0</v>
      </c>
      <c r="Z69" s="146">
        <v>6.4299999999999996E-2</v>
      </c>
      <c r="AA69" s="143" t="s">
        <v>3707</v>
      </c>
      <c r="AB69" s="143" t="s">
        <v>412</v>
      </c>
      <c r="AC69" s="145" t="s">
        <v>3876</v>
      </c>
      <c r="AD69" s="145" t="s">
        <v>3876</v>
      </c>
      <c r="AE69" s="145" t="s">
        <v>3876</v>
      </c>
      <c r="AF69" s="145" t="s">
        <v>3876</v>
      </c>
      <c r="AG69" s="145" t="s">
        <v>3876</v>
      </c>
      <c r="AH69" s="145" t="s">
        <v>3876</v>
      </c>
      <c r="AI69" s="145" t="s">
        <v>3876</v>
      </c>
      <c r="AJ69" s="143" t="s">
        <v>339</v>
      </c>
      <c r="AK69" s="143" t="s">
        <v>886</v>
      </c>
      <c r="AL69" s="145" t="s">
        <v>3876</v>
      </c>
      <c r="AM69" s="143" t="s">
        <v>889</v>
      </c>
      <c r="AN69" s="163">
        <v>45473</v>
      </c>
      <c r="AO69" s="163">
        <v>45473</v>
      </c>
      <c r="AP69" s="145" t="s">
        <v>3876</v>
      </c>
      <c r="AQ69" s="144">
        <v>20248059.190000001</v>
      </c>
      <c r="AR69" s="143" t="s">
        <v>3708</v>
      </c>
      <c r="AS69" s="145" t="s">
        <v>3876</v>
      </c>
      <c r="AT69" s="144">
        <v>19470.5337</v>
      </c>
      <c r="AU69" s="144">
        <v>19470.533717099999</v>
      </c>
      <c r="AV69" s="145" t="s">
        <v>3876</v>
      </c>
      <c r="AW69" s="145" t="s">
        <v>3876</v>
      </c>
      <c r="AX69" s="145" t="s">
        <v>3876</v>
      </c>
      <c r="AY69" s="145" t="s">
        <v>3876</v>
      </c>
      <c r="AZ69" s="146">
        <v>3.3670784722313163E-2</v>
      </c>
      <c r="BA69" s="147">
        <v>8.6281857051296598E-4</v>
      </c>
      <c r="BB69" s="181"/>
    </row>
    <row r="70" spans="1:54" ht="15" x14ac:dyDescent="0.2">
      <c r="A70" s="142" t="s">
        <v>1220</v>
      </c>
      <c r="B70" s="143" t="s">
        <v>1220</v>
      </c>
      <c r="C70" s="145" t="s">
        <v>3876</v>
      </c>
      <c r="D70" s="145" t="s">
        <v>3876</v>
      </c>
      <c r="E70" s="145" t="s">
        <v>3876</v>
      </c>
      <c r="F70" s="143" t="s">
        <v>3713</v>
      </c>
      <c r="G70" s="143" t="s">
        <v>1012</v>
      </c>
      <c r="H70" s="145" t="s">
        <v>3876</v>
      </c>
      <c r="I70" s="143" t="s">
        <v>204</v>
      </c>
      <c r="J70" s="145" t="s">
        <v>3876</v>
      </c>
      <c r="K70" s="143" t="s">
        <v>451</v>
      </c>
      <c r="L70" s="143" t="s">
        <v>339</v>
      </c>
      <c r="M70" s="143" t="s">
        <v>338</v>
      </c>
      <c r="N70" s="145" t="s">
        <v>3876</v>
      </c>
      <c r="O70" s="143" t="s">
        <v>3714</v>
      </c>
      <c r="P70" s="145" t="s">
        <v>3876</v>
      </c>
      <c r="Q70" s="143" t="s">
        <v>410</v>
      </c>
      <c r="R70" s="143" t="s">
        <v>410</v>
      </c>
      <c r="S70" s="143" t="s">
        <v>1211</v>
      </c>
      <c r="T70" s="144">
        <v>0.01</v>
      </c>
      <c r="U70" s="170" t="s">
        <v>314</v>
      </c>
      <c r="V70" s="143" t="s">
        <v>1266</v>
      </c>
      <c r="W70" s="145" t="s">
        <v>3876</v>
      </c>
      <c r="X70" s="145" t="s">
        <v>3876</v>
      </c>
      <c r="Y70" s="166">
        <v>0</v>
      </c>
      <c r="Z70" s="146">
        <v>1E-4</v>
      </c>
      <c r="AA70" s="143" t="s">
        <v>3714</v>
      </c>
      <c r="AB70" s="143" t="s">
        <v>412</v>
      </c>
      <c r="AC70" s="145" t="s">
        <v>3876</v>
      </c>
      <c r="AD70" s="145" t="s">
        <v>3876</v>
      </c>
      <c r="AE70" s="145" t="s">
        <v>3876</v>
      </c>
      <c r="AF70" s="145" t="s">
        <v>3876</v>
      </c>
      <c r="AG70" s="145" t="s">
        <v>3876</v>
      </c>
      <c r="AH70" s="145" t="s">
        <v>3876</v>
      </c>
      <c r="AI70" s="145" t="s">
        <v>3876</v>
      </c>
      <c r="AJ70" s="145" t="s">
        <v>3876</v>
      </c>
      <c r="AK70" s="143" t="s">
        <v>886</v>
      </c>
      <c r="AL70" s="145" t="s">
        <v>3876</v>
      </c>
      <c r="AM70" s="143" t="s">
        <v>889</v>
      </c>
      <c r="AN70" s="163">
        <v>45473</v>
      </c>
      <c r="AO70" s="163">
        <v>45473</v>
      </c>
      <c r="AP70" s="145" t="s">
        <v>3876</v>
      </c>
      <c r="AQ70" s="144">
        <v>3477449.87</v>
      </c>
      <c r="AR70" s="143" t="s">
        <v>3715</v>
      </c>
      <c r="AS70" s="143" t="s">
        <v>1212</v>
      </c>
      <c r="AT70" s="144">
        <v>19469.825000000001</v>
      </c>
      <c r="AU70" s="144">
        <v>5179.5224834000001</v>
      </c>
      <c r="AV70" s="145" t="s">
        <v>3876</v>
      </c>
      <c r="AW70" s="145" t="s">
        <v>3876</v>
      </c>
      <c r="AX70" s="145" t="s">
        <v>3876</v>
      </c>
      <c r="AY70" s="145" t="s">
        <v>3876</v>
      </c>
      <c r="AZ70" s="146">
        <v>3.3669559149521654E-2</v>
      </c>
      <c r="BA70" s="147">
        <v>8.6278716503867267E-4</v>
      </c>
      <c r="BB70" s="181"/>
    </row>
    <row r="71" spans="1:54" ht="15" x14ac:dyDescent="0.2">
      <c r="A71" s="142" t="s">
        <v>1220</v>
      </c>
      <c r="B71" s="143" t="s">
        <v>1220</v>
      </c>
      <c r="C71" s="145" t="s">
        <v>3876</v>
      </c>
      <c r="D71" s="145" t="s">
        <v>3876</v>
      </c>
      <c r="E71" s="145" t="s">
        <v>3876</v>
      </c>
      <c r="F71" s="143" t="s">
        <v>3709</v>
      </c>
      <c r="G71" s="143" t="s">
        <v>1012</v>
      </c>
      <c r="H71" s="143" t="s">
        <v>812</v>
      </c>
      <c r="I71" s="143" t="s">
        <v>204</v>
      </c>
      <c r="J71" s="145" t="s">
        <v>3876</v>
      </c>
      <c r="K71" s="143" t="s">
        <v>454</v>
      </c>
      <c r="L71" s="143" t="s">
        <v>339</v>
      </c>
      <c r="M71" s="143" t="s">
        <v>338</v>
      </c>
      <c r="N71" s="145" t="s">
        <v>3876</v>
      </c>
      <c r="O71" s="143" t="s">
        <v>3710</v>
      </c>
      <c r="P71" s="143" t="s">
        <v>1389</v>
      </c>
      <c r="Q71" s="143" t="s">
        <v>413</v>
      </c>
      <c r="R71" s="143" t="s">
        <v>408</v>
      </c>
      <c r="S71" s="143" t="s">
        <v>1211</v>
      </c>
      <c r="T71" s="144">
        <v>2.69</v>
      </c>
      <c r="U71" s="170" t="s">
        <v>823</v>
      </c>
      <c r="V71" s="146">
        <v>0.110153</v>
      </c>
      <c r="W71" s="145" t="s">
        <v>3876</v>
      </c>
      <c r="X71" s="145" t="s">
        <v>3876</v>
      </c>
      <c r="Y71" s="166">
        <v>5.6783E-2</v>
      </c>
      <c r="Z71" s="146">
        <v>0.1008</v>
      </c>
      <c r="AA71" s="143" t="s">
        <v>3711</v>
      </c>
      <c r="AB71" s="143" t="s">
        <v>412</v>
      </c>
      <c r="AC71" s="145" t="s">
        <v>3876</v>
      </c>
      <c r="AD71" s="145" t="s">
        <v>3876</v>
      </c>
      <c r="AE71" s="171">
        <v>0.76</v>
      </c>
      <c r="AF71" s="143" t="s">
        <v>3710</v>
      </c>
      <c r="AG71" s="145" t="s">
        <v>3876</v>
      </c>
      <c r="AH71" s="145" t="s">
        <v>3876</v>
      </c>
      <c r="AI71" s="145" t="s">
        <v>3876</v>
      </c>
      <c r="AJ71" s="143" t="s">
        <v>339</v>
      </c>
      <c r="AK71" s="143" t="s">
        <v>886</v>
      </c>
      <c r="AL71" s="145" t="s">
        <v>3876</v>
      </c>
      <c r="AM71" s="143" t="s">
        <v>889</v>
      </c>
      <c r="AN71" s="163">
        <v>45473</v>
      </c>
      <c r="AO71" s="163">
        <v>45473</v>
      </c>
      <c r="AP71" s="145" t="s">
        <v>3876</v>
      </c>
      <c r="AQ71" s="144">
        <v>4714342.57</v>
      </c>
      <c r="AR71" s="143" t="s">
        <v>3712</v>
      </c>
      <c r="AS71" s="143" t="s">
        <v>1212</v>
      </c>
      <c r="AT71" s="144">
        <v>17870.071899999999</v>
      </c>
      <c r="AU71" s="144">
        <v>4753.9430476000007</v>
      </c>
      <c r="AV71" s="145" t="s">
        <v>3876</v>
      </c>
      <c r="AW71" s="145" t="s">
        <v>3876</v>
      </c>
      <c r="AX71" s="145" t="s">
        <v>3876</v>
      </c>
      <c r="AY71" s="145" t="s">
        <v>3876</v>
      </c>
      <c r="AZ71" s="146">
        <v>3.0903074008875001E-2</v>
      </c>
      <c r="BA71" s="147">
        <v>7.9189559615829865E-4</v>
      </c>
      <c r="BB71" s="181"/>
    </row>
    <row r="72" spans="1:54" ht="15" x14ac:dyDescent="0.2">
      <c r="A72" s="142" t="s">
        <v>1220</v>
      </c>
      <c r="B72" s="143" t="s">
        <v>1220</v>
      </c>
      <c r="C72" s="145" t="s">
        <v>3876</v>
      </c>
      <c r="D72" s="145" t="s">
        <v>3876</v>
      </c>
      <c r="E72" s="145" t="s">
        <v>3876</v>
      </c>
      <c r="F72" s="143" t="s">
        <v>3720</v>
      </c>
      <c r="G72" s="143" t="s">
        <v>1012</v>
      </c>
      <c r="H72" s="145" t="s">
        <v>3876</v>
      </c>
      <c r="I72" s="143" t="s">
        <v>204</v>
      </c>
      <c r="J72" s="145" t="s">
        <v>3876</v>
      </c>
      <c r="K72" s="143" t="s">
        <v>443</v>
      </c>
      <c r="L72" s="143" t="s">
        <v>339</v>
      </c>
      <c r="M72" s="143" t="s">
        <v>338</v>
      </c>
      <c r="N72" s="145" t="s">
        <v>3876</v>
      </c>
      <c r="O72" s="143" t="s">
        <v>3721</v>
      </c>
      <c r="P72" s="145" t="s">
        <v>3876</v>
      </c>
      <c r="Q72" s="143" t="s">
        <v>410</v>
      </c>
      <c r="R72" s="143" t="s">
        <v>410</v>
      </c>
      <c r="S72" s="143" t="s">
        <v>1210</v>
      </c>
      <c r="T72" s="144">
        <v>3.12</v>
      </c>
      <c r="U72" s="170" t="s">
        <v>823</v>
      </c>
      <c r="V72" s="146">
        <v>8.5000000000000006E-2</v>
      </c>
      <c r="W72" s="145" t="s">
        <v>3876</v>
      </c>
      <c r="X72" s="145" t="s">
        <v>3876</v>
      </c>
      <c r="Y72" s="166">
        <v>0</v>
      </c>
      <c r="Z72" s="146">
        <v>7.9899999999999999E-2</v>
      </c>
      <c r="AA72" s="143" t="s">
        <v>3722</v>
      </c>
      <c r="AB72" s="143" t="s">
        <v>412</v>
      </c>
      <c r="AC72" s="145" t="s">
        <v>3876</v>
      </c>
      <c r="AD72" s="145" t="s">
        <v>3876</v>
      </c>
      <c r="AE72" s="171">
        <v>0.17</v>
      </c>
      <c r="AF72" s="143" t="s">
        <v>3723</v>
      </c>
      <c r="AG72" s="145" t="s">
        <v>3876</v>
      </c>
      <c r="AH72" s="145" t="s">
        <v>3876</v>
      </c>
      <c r="AI72" s="145" t="s">
        <v>3876</v>
      </c>
      <c r="AJ72" s="143" t="s">
        <v>338</v>
      </c>
      <c r="AK72" s="143" t="s">
        <v>886</v>
      </c>
      <c r="AL72" s="145" t="s">
        <v>3876</v>
      </c>
      <c r="AM72" s="143" t="s">
        <v>889</v>
      </c>
      <c r="AN72" s="163">
        <v>45473</v>
      </c>
      <c r="AO72" s="163">
        <v>45473</v>
      </c>
      <c r="AP72" s="145" t="s">
        <v>3876</v>
      </c>
      <c r="AQ72" s="144">
        <v>15064000</v>
      </c>
      <c r="AR72" s="143" t="s">
        <v>3724</v>
      </c>
      <c r="AS72" s="145" t="s">
        <v>3876</v>
      </c>
      <c r="AT72" s="144">
        <v>15520.439199999999</v>
      </c>
      <c r="AU72" s="144">
        <v>15520.439200000001</v>
      </c>
      <c r="AV72" s="145" t="s">
        <v>3876</v>
      </c>
      <c r="AW72" s="145" t="s">
        <v>3876</v>
      </c>
      <c r="AX72" s="145" t="s">
        <v>3876</v>
      </c>
      <c r="AY72" s="145" t="s">
        <v>3876</v>
      </c>
      <c r="AZ72" s="146">
        <v>2.6839806997169383E-2</v>
      </c>
      <c r="BA72" s="147">
        <v>6.8777381035599024E-4</v>
      </c>
      <c r="BB72" s="181"/>
    </row>
    <row r="73" spans="1:54" ht="15" x14ac:dyDescent="0.2">
      <c r="A73" s="142" t="s">
        <v>1220</v>
      </c>
      <c r="B73" s="143" t="s">
        <v>1220</v>
      </c>
      <c r="C73" s="145" t="s">
        <v>3876</v>
      </c>
      <c r="D73" s="145" t="s">
        <v>3876</v>
      </c>
      <c r="E73" s="145" t="s">
        <v>3876</v>
      </c>
      <c r="F73" s="143" t="s">
        <v>3725</v>
      </c>
      <c r="G73" s="143" t="s">
        <v>1012</v>
      </c>
      <c r="H73" s="145" t="s">
        <v>3876</v>
      </c>
      <c r="I73" s="143" t="s">
        <v>204</v>
      </c>
      <c r="J73" s="145" t="s">
        <v>3876</v>
      </c>
      <c r="K73" s="143" t="s">
        <v>443</v>
      </c>
      <c r="L73" s="143" t="s">
        <v>339</v>
      </c>
      <c r="M73" s="143" t="s">
        <v>338</v>
      </c>
      <c r="N73" s="145" t="s">
        <v>3876</v>
      </c>
      <c r="O73" s="143" t="s">
        <v>3726</v>
      </c>
      <c r="P73" s="145" t="s">
        <v>3876</v>
      </c>
      <c r="Q73" s="143" t="s">
        <v>410</v>
      </c>
      <c r="R73" s="143" t="s">
        <v>410</v>
      </c>
      <c r="S73" s="143" t="s">
        <v>1210</v>
      </c>
      <c r="T73" s="144">
        <v>1.34</v>
      </c>
      <c r="U73" s="170" t="s">
        <v>824</v>
      </c>
      <c r="V73" s="146">
        <v>9.0439000000000005E-2</v>
      </c>
      <c r="W73" s="145" t="s">
        <v>3876</v>
      </c>
      <c r="X73" s="145" t="s">
        <v>3876</v>
      </c>
      <c r="Y73" s="166">
        <v>0</v>
      </c>
      <c r="Z73" s="146">
        <v>7.7799999999999994E-2</v>
      </c>
      <c r="AA73" s="143" t="s">
        <v>3727</v>
      </c>
      <c r="AB73" s="143" t="s">
        <v>412</v>
      </c>
      <c r="AC73" s="145" t="s">
        <v>3876</v>
      </c>
      <c r="AD73" s="145" t="s">
        <v>3876</v>
      </c>
      <c r="AE73" s="171">
        <v>0</v>
      </c>
      <c r="AF73" s="143" t="s">
        <v>3728</v>
      </c>
      <c r="AG73" s="145" t="s">
        <v>3876</v>
      </c>
      <c r="AH73" s="145" t="s">
        <v>3876</v>
      </c>
      <c r="AI73" s="145" t="s">
        <v>3876</v>
      </c>
      <c r="AJ73" s="145" t="s">
        <v>3876</v>
      </c>
      <c r="AK73" s="143" t="s">
        <v>886</v>
      </c>
      <c r="AL73" s="145" t="s">
        <v>3876</v>
      </c>
      <c r="AM73" s="143" t="s">
        <v>889</v>
      </c>
      <c r="AN73" s="163">
        <v>45473</v>
      </c>
      <c r="AO73" s="163">
        <v>45473</v>
      </c>
      <c r="AP73" s="145" t="s">
        <v>3876</v>
      </c>
      <c r="AQ73" s="144">
        <v>14069276.43</v>
      </c>
      <c r="AR73" s="143" t="s">
        <v>3729</v>
      </c>
      <c r="AS73" s="145" t="s">
        <v>3876</v>
      </c>
      <c r="AT73" s="144">
        <v>15471.9833</v>
      </c>
      <c r="AU73" s="144">
        <v>15471.983290100001</v>
      </c>
      <c r="AV73" s="145" t="s">
        <v>3876</v>
      </c>
      <c r="AW73" s="145" t="s">
        <v>3876</v>
      </c>
      <c r="AX73" s="145" t="s">
        <v>3876</v>
      </c>
      <c r="AY73" s="145" t="s">
        <v>3876</v>
      </c>
      <c r="AZ73" s="146">
        <v>2.6756011219639674E-2</v>
      </c>
      <c r="BA73" s="147">
        <v>6.8562653183012643E-4</v>
      </c>
      <c r="BB73" s="181"/>
    </row>
    <row r="74" spans="1:54" ht="15" x14ac:dyDescent="0.2">
      <c r="A74" s="142" t="s">
        <v>1220</v>
      </c>
      <c r="B74" s="143" t="s">
        <v>1220</v>
      </c>
      <c r="C74" s="145" t="s">
        <v>3876</v>
      </c>
      <c r="D74" s="145" t="s">
        <v>3876</v>
      </c>
      <c r="E74" s="145" t="s">
        <v>3876</v>
      </c>
      <c r="F74" s="143" t="s">
        <v>3730</v>
      </c>
      <c r="G74" s="143" t="s">
        <v>1012</v>
      </c>
      <c r="H74" s="145" t="s">
        <v>3876</v>
      </c>
      <c r="I74" s="143" t="s">
        <v>204</v>
      </c>
      <c r="J74" s="145" t="s">
        <v>3876</v>
      </c>
      <c r="K74" s="143" t="s">
        <v>484</v>
      </c>
      <c r="L74" s="143" t="s">
        <v>339</v>
      </c>
      <c r="M74" s="143" t="s">
        <v>338</v>
      </c>
      <c r="N74" s="145" t="s">
        <v>3876</v>
      </c>
      <c r="O74" s="143" t="s">
        <v>3731</v>
      </c>
      <c r="P74" s="145" t="s">
        <v>3876</v>
      </c>
      <c r="Q74" s="143" t="s">
        <v>410</v>
      </c>
      <c r="R74" s="143" t="s">
        <v>410</v>
      </c>
      <c r="S74" s="143" t="s">
        <v>1210</v>
      </c>
      <c r="T74" s="144">
        <v>4.88</v>
      </c>
      <c r="U74" s="170" t="s">
        <v>824</v>
      </c>
      <c r="V74" s="146">
        <v>0</v>
      </c>
      <c r="W74" s="145" t="s">
        <v>3876</v>
      </c>
      <c r="X74" s="145" t="s">
        <v>3876</v>
      </c>
      <c r="Y74" s="166">
        <v>0</v>
      </c>
      <c r="Z74" s="146">
        <v>3.6499999999999998E-2</v>
      </c>
      <c r="AA74" s="143" t="s">
        <v>1774</v>
      </c>
      <c r="AB74" s="143" t="s">
        <v>412</v>
      </c>
      <c r="AC74" s="145" t="s">
        <v>3876</v>
      </c>
      <c r="AD74" s="145" t="s">
        <v>3876</v>
      </c>
      <c r="AE74" s="145" t="s">
        <v>3876</v>
      </c>
      <c r="AF74" s="143" t="s">
        <v>3732</v>
      </c>
      <c r="AG74" s="145" t="s">
        <v>3876</v>
      </c>
      <c r="AH74" s="145" t="s">
        <v>3876</v>
      </c>
      <c r="AI74" s="145" t="s">
        <v>3876</v>
      </c>
      <c r="AJ74" s="145" t="s">
        <v>3876</v>
      </c>
      <c r="AK74" s="143" t="s">
        <v>886</v>
      </c>
      <c r="AL74" s="145" t="s">
        <v>3876</v>
      </c>
      <c r="AM74" s="143" t="s">
        <v>889</v>
      </c>
      <c r="AN74" s="163">
        <v>45473</v>
      </c>
      <c r="AO74" s="163">
        <v>45473</v>
      </c>
      <c r="AP74" s="145" t="s">
        <v>3876</v>
      </c>
      <c r="AQ74" s="144">
        <v>12916613.99</v>
      </c>
      <c r="AR74" s="143" t="s">
        <v>3733</v>
      </c>
      <c r="AS74" s="145" t="s">
        <v>3876</v>
      </c>
      <c r="AT74" s="144">
        <v>14506.6492</v>
      </c>
      <c r="AU74" s="144">
        <v>14506.649172200001</v>
      </c>
      <c r="AV74" s="145" t="s">
        <v>3876</v>
      </c>
      <c r="AW74" s="145" t="s">
        <v>3876</v>
      </c>
      <c r="AX74" s="145" t="s">
        <v>3876</v>
      </c>
      <c r="AY74" s="145" t="s">
        <v>3876</v>
      </c>
      <c r="AZ74" s="146">
        <v>2.5086639555706836E-2</v>
      </c>
      <c r="BA74" s="147">
        <v>6.4284864932432099E-4</v>
      </c>
      <c r="BB74" s="181"/>
    </row>
    <row r="75" spans="1:54" ht="15" x14ac:dyDescent="0.2">
      <c r="A75" s="142" t="s">
        <v>1220</v>
      </c>
      <c r="B75" s="143" t="s">
        <v>1220</v>
      </c>
      <c r="C75" s="145" t="s">
        <v>3876</v>
      </c>
      <c r="D75" s="145" t="s">
        <v>3876</v>
      </c>
      <c r="E75" s="145" t="s">
        <v>3876</v>
      </c>
      <c r="F75" s="143" t="s">
        <v>3734</v>
      </c>
      <c r="G75" s="143" t="s">
        <v>1012</v>
      </c>
      <c r="H75" s="145" t="s">
        <v>3876</v>
      </c>
      <c r="I75" s="143" t="s">
        <v>204</v>
      </c>
      <c r="J75" s="145" t="s">
        <v>3876</v>
      </c>
      <c r="K75" s="143" t="s">
        <v>448</v>
      </c>
      <c r="L75" s="143" t="s">
        <v>339</v>
      </c>
      <c r="M75" s="143" t="s">
        <v>338</v>
      </c>
      <c r="N75" s="145" t="s">
        <v>3876</v>
      </c>
      <c r="O75" s="143" t="s">
        <v>3689</v>
      </c>
      <c r="P75" s="145" t="s">
        <v>3876</v>
      </c>
      <c r="Q75" s="143" t="s">
        <v>410</v>
      </c>
      <c r="R75" s="143" t="s">
        <v>410</v>
      </c>
      <c r="S75" s="143" t="s">
        <v>1210</v>
      </c>
      <c r="T75" s="144">
        <v>6.81</v>
      </c>
      <c r="U75" s="170" t="s">
        <v>824</v>
      </c>
      <c r="V75" s="146">
        <v>1.7982999999999999E-2</v>
      </c>
      <c r="W75" s="145" t="s">
        <v>3876</v>
      </c>
      <c r="X75" s="145" t="s">
        <v>3876</v>
      </c>
      <c r="Y75" s="166">
        <v>0</v>
      </c>
      <c r="Z75" s="146">
        <v>4.9799999999999997E-2</v>
      </c>
      <c r="AA75" s="143" t="s">
        <v>3707</v>
      </c>
      <c r="AB75" s="143" t="s">
        <v>412</v>
      </c>
      <c r="AC75" s="145" t="s">
        <v>3876</v>
      </c>
      <c r="AD75" s="145" t="s">
        <v>3876</v>
      </c>
      <c r="AE75" s="145" t="s">
        <v>3876</v>
      </c>
      <c r="AF75" s="145" t="s">
        <v>3876</v>
      </c>
      <c r="AG75" s="145" t="s">
        <v>3876</v>
      </c>
      <c r="AH75" s="145" t="s">
        <v>3876</v>
      </c>
      <c r="AI75" s="145" t="s">
        <v>3876</v>
      </c>
      <c r="AJ75" s="143" t="s">
        <v>339</v>
      </c>
      <c r="AK75" s="143" t="s">
        <v>886</v>
      </c>
      <c r="AL75" s="145" t="s">
        <v>3876</v>
      </c>
      <c r="AM75" s="143" t="s">
        <v>889</v>
      </c>
      <c r="AN75" s="163">
        <v>45473</v>
      </c>
      <c r="AO75" s="163">
        <v>45473</v>
      </c>
      <c r="AP75" s="145" t="s">
        <v>3876</v>
      </c>
      <c r="AQ75" s="144">
        <v>10667763.73</v>
      </c>
      <c r="AR75" s="143" t="s">
        <v>3735</v>
      </c>
      <c r="AS75" s="145" t="s">
        <v>3876</v>
      </c>
      <c r="AT75" s="144">
        <v>13376.3089</v>
      </c>
      <c r="AU75" s="144">
        <v>13376.308940999999</v>
      </c>
      <c r="AV75" s="145" t="s">
        <v>3876</v>
      </c>
      <c r="AW75" s="145" t="s">
        <v>3876</v>
      </c>
      <c r="AX75" s="145" t="s">
        <v>3876</v>
      </c>
      <c r="AY75" s="145" t="s">
        <v>3876</v>
      </c>
      <c r="AZ75" s="146">
        <v>2.3131919508580186E-2</v>
      </c>
      <c r="BA75" s="147">
        <v>5.9275867456655461E-4</v>
      </c>
      <c r="BB75" s="181"/>
    </row>
    <row r="76" spans="1:54" ht="15" x14ac:dyDescent="0.2">
      <c r="A76" s="142" t="s">
        <v>1220</v>
      </c>
      <c r="B76" s="143" t="s">
        <v>1220</v>
      </c>
      <c r="C76" s="145" t="s">
        <v>3876</v>
      </c>
      <c r="D76" s="145" t="s">
        <v>3876</v>
      </c>
      <c r="E76" s="145" t="s">
        <v>3876</v>
      </c>
      <c r="F76" s="143" t="s">
        <v>3740</v>
      </c>
      <c r="G76" s="143" t="s">
        <v>1012</v>
      </c>
      <c r="H76" s="145" t="s">
        <v>3876</v>
      </c>
      <c r="I76" s="143" t="s">
        <v>204</v>
      </c>
      <c r="J76" s="145" t="s">
        <v>3876</v>
      </c>
      <c r="K76" s="143" t="s">
        <v>443</v>
      </c>
      <c r="L76" s="143" t="s">
        <v>339</v>
      </c>
      <c r="M76" s="143" t="s">
        <v>338</v>
      </c>
      <c r="N76" s="145" t="s">
        <v>3876</v>
      </c>
      <c r="O76" s="143" t="s">
        <v>3741</v>
      </c>
      <c r="P76" s="143" t="s">
        <v>2028</v>
      </c>
      <c r="Q76" s="143" t="s">
        <v>312</v>
      </c>
      <c r="R76" s="143" t="s">
        <v>408</v>
      </c>
      <c r="S76" s="143" t="s">
        <v>1210</v>
      </c>
      <c r="T76" s="144">
        <v>7.0000000000000007E-2</v>
      </c>
      <c r="U76" s="170" t="s">
        <v>823</v>
      </c>
      <c r="V76" s="146">
        <v>8.3000000000000004E-2</v>
      </c>
      <c r="W76" s="145" t="s">
        <v>3876</v>
      </c>
      <c r="X76" s="145" t="s">
        <v>3876</v>
      </c>
      <c r="Y76" s="166">
        <v>0</v>
      </c>
      <c r="Z76" s="146">
        <v>8.3900000000000002E-2</v>
      </c>
      <c r="AA76" s="143" t="s">
        <v>3742</v>
      </c>
      <c r="AB76" s="143" t="s">
        <v>412</v>
      </c>
      <c r="AC76" s="145" t="s">
        <v>3876</v>
      </c>
      <c r="AD76" s="145" t="s">
        <v>3876</v>
      </c>
      <c r="AE76" s="171">
        <v>0.75</v>
      </c>
      <c r="AF76" s="143" t="s">
        <v>3743</v>
      </c>
      <c r="AG76" s="145" t="s">
        <v>3876</v>
      </c>
      <c r="AH76" s="145" t="s">
        <v>3876</v>
      </c>
      <c r="AI76" s="145" t="s">
        <v>3876</v>
      </c>
      <c r="AJ76" s="143" t="s">
        <v>338</v>
      </c>
      <c r="AK76" s="143" t="s">
        <v>886</v>
      </c>
      <c r="AL76" s="145" t="s">
        <v>3876</v>
      </c>
      <c r="AM76" s="143" t="s">
        <v>889</v>
      </c>
      <c r="AN76" s="163">
        <v>45473</v>
      </c>
      <c r="AO76" s="163">
        <v>45473</v>
      </c>
      <c r="AP76" s="145" t="s">
        <v>3876</v>
      </c>
      <c r="AQ76" s="144">
        <v>10042666.67</v>
      </c>
      <c r="AR76" s="143" t="s">
        <v>1535</v>
      </c>
      <c r="AS76" s="145" t="s">
        <v>3876</v>
      </c>
      <c r="AT76" s="144">
        <v>10189.2896</v>
      </c>
      <c r="AU76" s="144">
        <v>10189.2896034</v>
      </c>
      <c r="AV76" s="145" t="s">
        <v>3876</v>
      </c>
      <c r="AW76" s="145" t="s">
        <v>3876</v>
      </c>
      <c r="AX76" s="145" t="s">
        <v>3876</v>
      </c>
      <c r="AY76" s="145" t="s">
        <v>3876</v>
      </c>
      <c r="AZ76" s="146">
        <v>1.7620543005834363E-2</v>
      </c>
      <c r="BA76" s="147">
        <v>4.515288804029924E-4</v>
      </c>
      <c r="BB76" s="181"/>
    </row>
    <row r="77" spans="1:54" ht="15" x14ac:dyDescent="0.2">
      <c r="A77" s="142" t="s">
        <v>1220</v>
      </c>
      <c r="B77" s="143" t="s">
        <v>1220</v>
      </c>
      <c r="C77" s="145" t="s">
        <v>3876</v>
      </c>
      <c r="D77" s="145" t="s">
        <v>3876</v>
      </c>
      <c r="E77" s="145" t="s">
        <v>3876</v>
      </c>
      <c r="F77" s="143" t="s">
        <v>3736</v>
      </c>
      <c r="G77" s="143" t="s">
        <v>1012</v>
      </c>
      <c r="H77" s="143" t="s">
        <v>817</v>
      </c>
      <c r="I77" s="143" t="s">
        <v>204</v>
      </c>
      <c r="J77" s="145" t="s">
        <v>3876</v>
      </c>
      <c r="K77" s="143" t="s">
        <v>446</v>
      </c>
      <c r="L77" s="143" t="s">
        <v>339</v>
      </c>
      <c r="M77" s="143" t="s">
        <v>338</v>
      </c>
      <c r="N77" s="145" t="s">
        <v>3876</v>
      </c>
      <c r="O77" s="143" t="s">
        <v>3737</v>
      </c>
      <c r="P77" s="145" t="s">
        <v>3876</v>
      </c>
      <c r="Q77" s="143" t="s">
        <v>410</v>
      </c>
      <c r="R77" s="143" t="s">
        <v>410</v>
      </c>
      <c r="S77" s="143" t="s">
        <v>1210</v>
      </c>
      <c r="T77" s="144">
        <v>1.71</v>
      </c>
      <c r="U77" s="170" t="s">
        <v>824</v>
      </c>
      <c r="V77" s="146">
        <v>0.08</v>
      </c>
      <c r="W77" s="145" t="s">
        <v>3876</v>
      </c>
      <c r="X77" s="145" t="s">
        <v>3876</v>
      </c>
      <c r="Y77" s="166">
        <v>0</v>
      </c>
      <c r="Z77" s="146">
        <v>0.25140000000000001</v>
      </c>
      <c r="AA77" s="143" t="s">
        <v>1419</v>
      </c>
      <c r="AB77" s="143" t="s">
        <v>412</v>
      </c>
      <c r="AC77" s="145" t="s">
        <v>3876</v>
      </c>
      <c r="AD77" s="145" t="s">
        <v>3876</v>
      </c>
      <c r="AE77" s="171">
        <v>0.72</v>
      </c>
      <c r="AF77" s="143" t="s">
        <v>3738</v>
      </c>
      <c r="AG77" s="145" t="s">
        <v>3876</v>
      </c>
      <c r="AH77" s="145" t="s">
        <v>3876</v>
      </c>
      <c r="AI77" s="145" t="s">
        <v>3876</v>
      </c>
      <c r="AJ77" s="143" t="s">
        <v>338</v>
      </c>
      <c r="AK77" s="143" t="s">
        <v>886</v>
      </c>
      <c r="AL77" s="145" t="s">
        <v>3876</v>
      </c>
      <c r="AM77" s="143" t="s">
        <v>889</v>
      </c>
      <c r="AN77" s="163">
        <v>45473</v>
      </c>
      <c r="AO77" s="163">
        <v>45473</v>
      </c>
      <c r="AP77" s="145" t="s">
        <v>3876</v>
      </c>
      <c r="AQ77" s="144">
        <v>13007647</v>
      </c>
      <c r="AR77" s="143" t="s">
        <v>3739</v>
      </c>
      <c r="AS77" s="145" t="s">
        <v>3876</v>
      </c>
      <c r="AT77" s="144">
        <v>10027.5951</v>
      </c>
      <c r="AU77" s="144">
        <v>10027.595072299999</v>
      </c>
      <c r="AV77" s="145" t="s">
        <v>3876</v>
      </c>
      <c r="AW77" s="145" t="s">
        <v>3876</v>
      </c>
      <c r="AX77" s="145" t="s">
        <v>3876</v>
      </c>
      <c r="AY77" s="145" t="s">
        <v>3876</v>
      </c>
      <c r="AZ77" s="146">
        <v>1.7340921408093835E-2</v>
      </c>
      <c r="BA77" s="147">
        <v>4.4436353782969769E-4</v>
      </c>
      <c r="BB77" s="181"/>
    </row>
    <row r="78" spans="1:54" ht="15" x14ac:dyDescent="0.2">
      <c r="A78" s="142" t="s">
        <v>1220</v>
      </c>
      <c r="B78" s="143" t="s">
        <v>1220</v>
      </c>
      <c r="C78" s="145" t="s">
        <v>3876</v>
      </c>
      <c r="D78" s="145" t="s">
        <v>3876</v>
      </c>
      <c r="E78" s="145" t="s">
        <v>3876</v>
      </c>
      <c r="F78" s="143" t="s">
        <v>3744</v>
      </c>
      <c r="G78" s="143" t="s">
        <v>1012</v>
      </c>
      <c r="H78" s="143" t="s">
        <v>784</v>
      </c>
      <c r="I78" s="143" t="s">
        <v>204</v>
      </c>
      <c r="J78" s="145" t="s">
        <v>3876</v>
      </c>
      <c r="K78" s="143" t="s">
        <v>443</v>
      </c>
      <c r="L78" s="143" t="s">
        <v>339</v>
      </c>
      <c r="M78" s="143" t="s">
        <v>338</v>
      </c>
      <c r="N78" s="145" t="s">
        <v>3876</v>
      </c>
      <c r="O78" s="143" t="s">
        <v>3745</v>
      </c>
      <c r="P78" s="145" t="s">
        <v>3876</v>
      </c>
      <c r="Q78" s="143" t="s">
        <v>410</v>
      </c>
      <c r="R78" s="143" t="s">
        <v>410</v>
      </c>
      <c r="S78" s="143" t="s">
        <v>1210</v>
      </c>
      <c r="T78" s="144">
        <v>2.17</v>
      </c>
      <c r="U78" s="170" t="s">
        <v>823</v>
      </c>
      <c r="V78" s="146">
        <v>8.2500000000000004E-2</v>
      </c>
      <c r="W78" s="145" t="s">
        <v>3876</v>
      </c>
      <c r="X78" s="145" t="s">
        <v>3876</v>
      </c>
      <c r="Y78" s="166">
        <v>0</v>
      </c>
      <c r="Z78" s="146">
        <v>7.0699999999999999E-2</v>
      </c>
      <c r="AA78" s="143" t="s">
        <v>3746</v>
      </c>
      <c r="AB78" s="143" t="s">
        <v>412</v>
      </c>
      <c r="AC78" s="145" t="s">
        <v>3876</v>
      </c>
      <c r="AD78" s="145" t="s">
        <v>3876</v>
      </c>
      <c r="AE78" s="171">
        <v>0.62</v>
      </c>
      <c r="AF78" s="143" t="s">
        <v>3747</v>
      </c>
      <c r="AG78" s="145" t="s">
        <v>3876</v>
      </c>
      <c r="AH78" s="145" t="s">
        <v>3876</v>
      </c>
      <c r="AI78" s="145" t="s">
        <v>3876</v>
      </c>
      <c r="AJ78" s="143" t="s">
        <v>338</v>
      </c>
      <c r="AK78" s="143" t="s">
        <v>886</v>
      </c>
      <c r="AL78" s="145" t="s">
        <v>3876</v>
      </c>
      <c r="AM78" s="143" t="s">
        <v>889</v>
      </c>
      <c r="AN78" s="163">
        <v>45473</v>
      </c>
      <c r="AO78" s="163">
        <v>45473</v>
      </c>
      <c r="AP78" s="145" t="s">
        <v>3876</v>
      </c>
      <c r="AQ78" s="144">
        <v>8640786</v>
      </c>
      <c r="AR78" s="143" t="s">
        <v>3748</v>
      </c>
      <c r="AS78" s="145" t="s">
        <v>3876</v>
      </c>
      <c r="AT78" s="144">
        <v>9065.0486000000001</v>
      </c>
      <c r="AU78" s="144">
        <v>9065.0485926000001</v>
      </c>
      <c r="AV78" s="145" t="s">
        <v>3876</v>
      </c>
      <c r="AW78" s="145" t="s">
        <v>3876</v>
      </c>
      <c r="AX78" s="145" t="s">
        <v>3876</v>
      </c>
      <c r="AY78" s="145" t="s">
        <v>3876</v>
      </c>
      <c r="AZ78" s="146">
        <v>1.567637046285043E-2</v>
      </c>
      <c r="BA78" s="147">
        <v>4.0170918691493658E-4</v>
      </c>
      <c r="BB78" s="181"/>
    </row>
    <row r="79" spans="1:54" ht="15" x14ac:dyDescent="0.2">
      <c r="A79" s="142" t="s">
        <v>1220</v>
      </c>
      <c r="B79" s="143" t="s">
        <v>1220</v>
      </c>
      <c r="C79" s="145" t="s">
        <v>3876</v>
      </c>
      <c r="D79" s="145" t="s">
        <v>3876</v>
      </c>
      <c r="E79" s="145" t="s">
        <v>3876</v>
      </c>
      <c r="F79" s="143" t="s">
        <v>3749</v>
      </c>
      <c r="G79" s="143" t="s">
        <v>1012</v>
      </c>
      <c r="H79" s="145" t="s">
        <v>3876</v>
      </c>
      <c r="I79" s="143" t="s">
        <v>204</v>
      </c>
      <c r="J79" s="145" t="s">
        <v>3876</v>
      </c>
      <c r="K79" s="143" t="s">
        <v>448</v>
      </c>
      <c r="L79" s="143" t="s">
        <v>339</v>
      </c>
      <c r="M79" s="143" t="s">
        <v>338</v>
      </c>
      <c r="N79" s="145" t="s">
        <v>3876</v>
      </c>
      <c r="O79" s="143" t="s">
        <v>3689</v>
      </c>
      <c r="P79" s="145" t="s">
        <v>3876</v>
      </c>
      <c r="Q79" s="143" t="s">
        <v>410</v>
      </c>
      <c r="R79" s="143" t="s">
        <v>410</v>
      </c>
      <c r="S79" s="143" t="s">
        <v>1210</v>
      </c>
      <c r="T79" s="144">
        <v>6.35</v>
      </c>
      <c r="U79" s="170" t="s">
        <v>824</v>
      </c>
      <c r="V79" s="146">
        <v>2.3505000000000002E-2</v>
      </c>
      <c r="W79" s="145" t="s">
        <v>3876</v>
      </c>
      <c r="X79" s="145" t="s">
        <v>3876</v>
      </c>
      <c r="Y79" s="166">
        <v>0</v>
      </c>
      <c r="Z79" s="146">
        <v>2.3400000000000001E-2</v>
      </c>
      <c r="AA79" s="143" t="s">
        <v>3707</v>
      </c>
      <c r="AB79" s="143" t="s">
        <v>412</v>
      </c>
      <c r="AC79" s="145" t="s">
        <v>3876</v>
      </c>
      <c r="AD79" s="145" t="s">
        <v>3876</v>
      </c>
      <c r="AE79" s="145" t="s">
        <v>3876</v>
      </c>
      <c r="AF79" s="145" t="s">
        <v>3876</v>
      </c>
      <c r="AG79" s="145" t="s">
        <v>3876</v>
      </c>
      <c r="AH79" s="145" t="s">
        <v>3876</v>
      </c>
      <c r="AI79" s="145" t="s">
        <v>3876</v>
      </c>
      <c r="AJ79" s="143" t="s">
        <v>339</v>
      </c>
      <c r="AK79" s="143" t="s">
        <v>886</v>
      </c>
      <c r="AL79" s="145" t="s">
        <v>3876</v>
      </c>
      <c r="AM79" s="143" t="s">
        <v>889</v>
      </c>
      <c r="AN79" s="163">
        <v>45473</v>
      </c>
      <c r="AO79" s="163">
        <v>45473</v>
      </c>
      <c r="AP79" s="145" t="s">
        <v>3876</v>
      </c>
      <c r="AQ79" s="144">
        <v>6820694.4900000002</v>
      </c>
      <c r="AR79" s="143" t="s">
        <v>3750</v>
      </c>
      <c r="AS79" s="145" t="s">
        <v>3876</v>
      </c>
      <c r="AT79" s="144">
        <v>7889.4973</v>
      </c>
      <c r="AU79" s="144">
        <v>7889.4973166</v>
      </c>
      <c r="AV79" s="145" t="s">
        <v>3876</v>
      </c>
      <c r="AW79" s="145" t="s">
        <v>3876</v>
      </c>
      <c r="AX79" s="145" t="s">
        <v>3876</v>
      </c>
      <c r="AY79" s="145" t="s">
        <v>3876</v>
      </c>
      <c r="AZ79" s="146">
        <v>1.3643466048420426E-2</v>
      </c>
      <c r="BA79" s="147">
        <v>3.4961572680363649E-4</v>
      </c>
      <c r="BB79" s="181"/>
    </row>
    <row r="80" spans="1:54" ht="15" x14ac:dyDescent="0.2">
      <c r="A80" s="142" t="s">
        <v>1220</v>
      </c>
      <c r="B80" s="143" t="s">
        <v>1220</v>
      </c>
      <c r="C80" s="145" t="s">
        <v>3876</v>
      </c>
      <c r="D80" s="145" t="s">
        <v>3876</v>
      </c>
      <c r="E80" s="145" t="s">
        <v>3876</v>
      </c>
      <c r="F80" s="143" t="s">
        <v>3755</v>
      </c>
      <c r="G80" s="143" t="s">
        <v>1012</v>
      </c>
      <c r="H80" s="143" t="s">
        <v>801</v>
      </c>
      <c r="I80" s="143" t="s">
        <v>204</v>
      </c>
      <c r="J80" s="145" t="s">
        <v>3876</v>
      </c>
      <c r="K80" s="143" t="s">
        <v>443</v>
      </c>
      <c r="L80" s="143" t="s">
        <v>339</v>
      </c>
      <c r="M80" s="143" t="s">
        <v>338</v>
      </c>
      <c r="N80" s="145" t="s">
        <v>3876</v>
      </c>
      <c r="O80" s="143" t="s">
        <v>3710</v>
      </c>
      <c r="P80" s="145" t="s">
        <v>3876</v>
      </c>
      <c r="Q80" s="143" t="s">
        <v>410</v>
      </c>
      <c r="R80" s="143" t="s">
        <v>410</v>
      </c>
      <c r="S80" s="143" t="s">
        <v>1210</v>
      </c>
      <c r="T80" s="144">
        <v>2.2999999999999998</v>
      </c>
      <c r="U80" s="170" t="s">
        <v>824</v>
      </c>
      <c r="V80" s="146">
        <v>4.7500000000000001E-2</v>
      </c>
      <c r="W80" s="145" t="s">
        <v>3876</v>
      </c>
      <c r="X80" s="145" t="s">
        <v>3876</v>
      </c>
      <c r="Y80" s="166">
        <v>4.7500000000000001E-2</v>
      </c>
      <c r="Z80" s="146">
        <v>5.5199999999999999E-2</v>
      </c>
      <c r="AA80" s="143" t="s">
        <v>3700</v>
      </c>
      <c r="AB80" s="143" t="s">
        <v>412</v>
      </c>
      <c r="AC80" s="145" t="s">
        <v>3876</v>
      </c>
      <c r="AD80" s="145" t="s">
        <v>3876</v>
      </c>
      <c r="AE80" s="171">
        <v>0.17</v>
      </c>
      <c r="AF80" s="143" t="s">
        <v>3701</v>
      </c>
      <c r="AG80" s="145" t="s">
        <v>3876</v>
      </c>
      <c r="AH80" s="145" t="s">
        <v>3876</v>
      </c>
      <c r="AI80" s="145" t="s">
        <v>3876</v>
      </c>
      <c r="AJ80" s="143" t="s">
        <v>339</v>
      </c>
      <c r="AK80" s="143" t="s">
        <v>886</v>
      </c>
      <c r="AL80" s="145" t="s">
        <v>3876</v>
      </c>
      <c r="AM80" s="143" t="s">
        <v>889</v>
      </c>
      <c r="AN80" s="163">
        <v>45473</v>
      </c>
      <c r="AO80" s="163">
        <v>45473</v>
      </c>
      <c r="AP80" s="145" t="s">
        <v>3876</v>
      </c>
      <c r="AQ80" s="144">
        <v>6299961.25</v>
      </c>
      <c r="AR80" s="143" t="s">
        <v>3756</v>
      </c>
      <c r="AS80" s="145" t="s">
        <v>3876</v>
      </c>
      <c r="AT80" s="144">
        <v>6844.2779</v>
      </c>
      <c r="AU80" s="144">
        <v>6844.2779019999998</v>
      </c>
      <c r="AV80" s="145" t="s">
        <v>3876</v>
      </c>
      <c r="AW80" s="145" t="s">
        <v>3876</v>
      </c>
      <c r="AX80" s="145" t="s">
        <v>3876</v>
      </c>
      <c r="AY80" s="145" t="s">
        <v>3876</v>
      </c>
      <c r="AZ80" s="146">
        <v>1.183594713767323E-2</v>
      </c>
      <c r="BA80" s="147">
        <v>3.0329780176541931E-4</v>
      </c>
      <c r="BB80" s="181"/>
    </row>
    <row r="81" spans="1:54" ht="15" x14ac:dyDescent="0.2">
      <c r="A81" s="142" t="s">
        <v>1220</v>
      </c>
      <c r="B81" s="143" t="s">
        <v>1220</v>
      </c>
      <c r="C81" s="145" t="s">
        <v>3876</v>
      </c>
      <c r="D81" s="145" t="s">
        <v>3876</v>
      </c>
      <c r="E81" s="145" t="s">
        <v>3876</v>
      </c>
      <c r="F81" s="143" t="s">
        <v>3761</v>
      </c>
      <c r="G81" s="143" t="s">
        <v>1012</v>
      </c>
      <c r="H81" s="145" t="s">
        <v>3876</v>
      </c>
      <c r="I81" s="143" t="s">
        <v>204</v>
      </c>
      <c r="J81" s="145" t="s">
        <v>3876</v>
      </c>
      <c r="K81" s="143" t="s">
        <v>440</v>
      </c>
      <c r="L81" s="143" t="s">
        <v>339</v>
      </c>
      <c r="M81" s="143" t="s">
        <v>338</v>
      </c>
      <c r="N81" s="145" t="s">
        <v>3876</v>
      </c>
      <c r="O81" s="143" t="s">
        <v>3762</v>
      </c>
      <c r="P81" s="143" t="s">
        <v>1366</v>
      </c>
      <c r="Q81" s="143" t="s">
        <v>415</v>
      </c>
      <c r="R81" s="143" t="s">
        <v>408</v>
      </c>
      <c r="S81" s="143" t="s">
        <v>1211</v>
      </c>
      <c r="T81" s="144">
        <v>1.28</v>
      </c>
      <c r="U81" s="170" t="s">
        <v>823</v>
      </c>
      <c r="V81" s="146">
        <v>0</v>
      </c>
      <c r="W81" s="145" t="s">
        <v>3876</v>
      </c>
      <c r="X81" s="145" t="s">
        <v>3876</v>
      </c>
      <c r="Y81" s="166">
        <v>0</v>
      </c>
      <c r="Z81" s="146">
        <v>8.48E-2</v>
      </c>
      <c r="AA81" s="143" t="s">
        <v>1513</v>
      </c>
      <c r="AB81" s="143" t="s">
        <v>412</v>
      </c>
      <c r="AC81" s="145" t="s">
        <v>3876</v>
      </c>
      <c r="AD81" s="145" t="s">
        <v>3876</v>
      </c>
      <c r="AE81" s="171">
        <v>0.35</v>
      </c>
      <c r="AF81" s="143" t="s">
        <v>3763</v>
      </c>
      <c r="AG81" s="145" t="s">
        <v>3876</v>
      </c>
      <c r="AH81" s="145" t="s">
        <v>3876</v>
      </c>
      <c r="AI81" s="145" t="s">
        <v>3876</v>
      </c>
      <c r="AJ81" s="143" t="s">
        <v>338</v>
      </c>
      <c r="AK81" s="143" t="s">
        <v>886</v>
      </c>
      <c r="AL81" s="145" t="s">
        <v>3876</v>
      </c>
      <c r="AM81" s="143" t="s">
        <v>889</v>
      </c>
      <c r="AN81" s="163">
        <v>45473</v>
      </c>
      <c r="AO81" s="163">
        <v>45473</v>
      </c>
      <c r="AP81" s="145" t="s">
        <v>3876</v>
      </c>
      <c r="AQ81" s="144">
        <v>1789097.95</v>
      </c>
      <c r="AR81" s="143" t="s">
        <v>3764</v>
      </c>
      <c r="AS81" s="143" t="s">
        <v>1212</v>
      </c>
      <c r="AT81" s="144">
        <v>6809.2844000000005</v>
      </c>
      <c r="AU81" s="144">
        <v>1811.4616744</v>
      </c>
      <c r="AV81" s="145" t="s">
        <v>3876</v>
      </c>
      <c r="AW81" s="145" t="s">
        <v>3876</v>
      </c>
      <c r="AX81" s="145" t="s">
        <v>3876</v>
      </c>
      <c r="AY81" s="145" t="s">
        <v>3876</v>
      </c>
      <c r="AZ81" s="146">
        <v>1.1775432231114659E-2</v>
      </c>
      <c r="BA81" s="147">
        <v>3.0174709881619486E-4</v>
      </c>
      <c r="BB81" s="181"/>
    </row>
    <row r="82" spans="1:54" ht="15" x14ac:dyDescent="0.2">
      <c r="A82" s="142" t="s">
        <v>1220</v>
      </c>
      <c r="B82" s="143" t="s">
        <v>1220</v>
      </c>
      <c r="C82" s="145" t="s">
        <v>3876</v>
      </c>
      <c r="D82" s="145" t="s">
        <v>3876</v>
      </c>
      <c r="E82" s="145" t="s">
        <v>3876</v>
      </c>
      <c r="F82" s="143" t="s">
        <v>3751</v>
      </c>
      <c r="G82" s="143" t="s">
        <v>1012</v>
      </c>
      <c r="H82" s="143" t="s">
        <v>812</v>
      </c>
      <c r="I82" s="143" t="s">
        <v>204</v>
      </c>
      <c r="J82" s="145" t="s">
        <v>3876</v>
      </c>
      <c r="K82" s="143" t="s">
        <v>454</v>
      </c>
      <c r="L82" s="143" t="s">
        <v>339</v>
      </c>
      <c r="M82" s="143" t="s">
        <v>338</v>
      </c>
      <c r="N82" s="145" t="s">
        <v>3876</v>
      </c>
      <c r="O82" s="143" t="s">
        <v>3752</v>
      </c>
      <c r="P82" s="143" t="s">
        <v>1389</v>
      </c>
      <c r="Q82" s="143" t="s">
        <v>413</v>
      </c>
      <c r="R82" s="143" t="s">
        <v>408</v>
      </c>
      <c r="S82" s="143" t="s">
        <v>1211</v>
      </c>
      <c r="T82" s="144">
        <v>2.68</v>
      </c>
      <c r="U82" s="170" t="s">
        <v>823</v>
      </c>
      <c r="V82" s="146">
        <v>0.107045</v>
      </c>
      <c r="W82" s="145" t="s">
        <v>3876</v>
      </c>
      <c r="X82" s="145" t="s">
        <v>3876</v>
      </c>
      <c r="Y82" s="166">
        <v>5.3644999999999998E-2</v>
      </c>
      <c r="Z82" s="146">
        <v>9.9500000000000005E-2</v>
      </c>
      <c r="AA82" s="143" t="s">
        <v>3711</v>
      </c>
      <c r="AB82" s="143" t="s">
        <v>412</v>
      </c>
      <c r="AC82" s="145" t="s">
        <v>3876</v>
      </c>
      <c r="AD82" s="145" t="s">
        <v>3876</v>
      </c>
      <c r="AE82" s="171">
        <v>0.76</v>
      </c>
      <c r="AF82" s="143" t="s">
        <v>3710</v>
      </c>
      <c r="AG82" s="145" t="s">
        <v>3876</v>
      </c>
      <c r="AH82" s="145" t="s">
        <v>3876</v>
      </c>
      <c r="AI82" s="145" t="s">
        <v>3876</v>
      </c>
      <c r="AJ82" s="143" t="s">
        <v>339</v>
      </c>
      <c r="AK82" s="143" t="s">
        <v>886</v>
      </c>
      <c r="AL82" s="145" t="s">
        <v>3876</v>
      </c>
      <c r="AM82" s="143" t="s">
        <v>889</v>
      </c>
      <c r="AN82" s="163">
        <v>45473</v>
      </c>
      <c r="AO82" s="163">
        <v>45473</v>
      </c>
      <c r="AP82" s="145" t="s">
        <v>3876</v>
      </c>
      <c r="AQ82" s="144">
        <v>1777547.4</v>
      </c>
      <c r="AR82" s="143" t="s">
        <v>3753</v>
      </c>
      <c r="AS82" s="143" t="s">
        <v>1212</v>
      </c>
      <c r="AT82" s="144">
        <v>6671.1098000000002</v>
      </c>
      <c r="AU82" s="144">
        <v>1774.7033242</v>
      </c>
      <c r="AV82" s="145" t="s">
        <v>3876</v>
      </c>
      <c r="AW82" s="145" t="s">
        <v>3876</v>
      </c>
      <c r="AX82" s="145" t="s">
        <v>3876</v>
      </c>
      <c r="AY82" s="145" t="s">
        <v>3876</v>
      </c>
      <c r="AZ82" s="146">
        <v>1.153648405572274E-2</v>
      </c>
      <c r="BA82" s="147">
        <v>2.9562401838255972E-4</v>
      </c>
      <c r="BB82" s="181"/>
    </row>
    <row r="83" spans="1:54" ht="15" x14ac:dyDescent="0.2">
      <c r="A83" s="142" t="s">
        <v>1220</v>
      </c>
      <c r="B83" s="143" t="s">
        <v>1220</v>
      </c>
      <c r="C83" s="145" t="s">
        <v>3876</v>
      </c>
      <c r="D83" s="145" t="s">
        <v>3876</v>
      </c>
      <c r="E83" s="145" t="s">
        <v>3876</v>
      </c>
      <c r="F83" s="143" t="s">
        <v>3754</v>
      </c>
      <c r="G83" s="143" t="s">
        <v>1012</v>
      </c>
      <c r="H83" s="143" t="s">
        <v>812</v>
      </c>
      <c r="I83" s="143" t="s">
        <v>204</v>
      </c>
      <c r="J83" s="145" t="s">
        <v>3876</v>
      </c>
      <c r="K83" s="143" t="s">
        <v>454</v>
      </c>
      <c r="L83" s="143" t="s">
        <v>339</v>
      </c>
      <c r="M83" s="143" t="s">
        <v>338</v>
      </c>
      <c r="N83" s="145" t="s">
        <v>3876</v>
      </c>
      <c r="O83" s="143" t="s">
        <v>3064</v>
      </c>
      <c r="P83" s="143" t="s">
        <v>1389</v>
      </c>
      <c r="Q83" s="143" t="s">
        <v>413</v>
      </c>
      <c r="R83" s="143" t="s">
        <v>408</v>
      </c>
      <c r="S83" s="143" t="s">
        <v>1211</v>
      </c>
      <c r="T83" s="144">
        <v>2.68</v>
      </c>
      <c r="U83" s="170" t="s">
        <v>823</v>
      </c>
      <c r="V83" s="146">
        <v>0.107045</v>
      </c>
      <c r="W83" s="145" t="s">
        <v>3876</v>
      </c>
      <c r="X83" s="145" t="s">
        <v>3876</v>
      </c>
      <c r="Y83" s="166">
        <v>5.3644999999999998E-2</v>
      </c>
      <c r="Z83" s="146">
        <v>9.9400000000000002E-2</v>
      </c>
      <c r="AA83" s="143" t="s">
        <v>3711</v>
      </c>
      <c r="AB83" s="143" t="s">
        <v>412</v>
      </c>
      <c r="AC83" s="145" t="s">
        <v>3876</v>
      </c>
      <c r="AD83" s="145" t="s">
        <v>3876</v>
      </c>
      <c r="AE83" s="171">
        <v>0.76</v>
      </c>
      <c r="AF83" s="143" t="s">
        <v>3710</v>
      </c>
      <c r="AG83" s="145" t="s">
        <v>3876</v>
      </c>
      <c r="AH83" s="145" t="s">
        <v>3876</v>
      </c>
      <c r="AI83" s="145" t="s">
        <v>3876</v>
      </c>
      <c r="AJ83" s="143" t="s">
        <v>339</v>
      </c>
      <c r="AK83" s="143" t="s">
        <v>886</v>
      </c>
      <c r="AL83" s="145" t="s">
        <v>3876</v>
      </c>
      <c r="AM83" s="143" t="s">
        <v>889</v>
      </c>
      <c r="AN83" s="163">
        <v>45473</v>
      </c>
      <c r="AO83" s="163">
        <v>45473</v>
      </c>
      <c r="AP83" s="145" t="s">
        <v>3876</v>
      </c>
      <c r="AQ83" s="144">
        <v>1758912.15</v>
      </c>
      <c r="AR83" s="143" t="s">
        <v>1433</v>
      </c>
      <c r="AS83" s="143" t="s">
        <v>1212</v>
      </c>
      <c r="AT83" s="144">
        <v>6603.1554999999998</v>
      </c>
      <c r="AU83" s="144">
        <v>1756.6255642000001</v>
      </c>
      <c r="AV83" s="145" t="s">
        <v>3876</v>
      </c>
      <c r="AW83" s="145" t="s">
        <v>3876</v>
      </c>
      <c r="AX83" s="145" t="s">
        <v>3876</v>
      </c>
      <c r="AY83" s="145" t="s">
        <v>3876</v>
      </c>
      <c r="AZ83" s="146">
        <v>1.1418969321488066E-2</v>
      </c>
      <c r="BA83" s="147">
        <v>2.9261268687238615E-4</v>
      </c>
      <c r="BB83" s="181"/>
    </row>
    <row r="84" spans="1:54" ht="15" x14ac:dyDescent="0.2">
      <c r="A84" s="142" t="s">
        <v>1220</v>
      </c>
      <c r="B84" s="143" t="s">
        <v>1220</v>
      </c>
      <c r="C84" s="145" t="s">
        <v>3876</v>
      </c>
      <c r="D84" s="145" t="s">
        <v>3876</v>
      </c>
      <c r="E84" s="145" t="s">
        <v>3876</v>
      </c>
      <c r="F84" s="143" t="s">
        <v>3757</v>
      </c>
      <c r="G84" s="143" t="s">
        <v>1012</v>
      </c>
      <c r="H84" s="143" t="s">
        <v>812</v>
      </c>
      <c r="I84" s="143" t="s">
        <v>204</v>
      </c>
      <c r="J84" s="145" t="s">
        <v>3876</v>
      </c>
      <c r="K84" s="143" t="s">
        <v>454</v>
      </c>
      <c r="L84" s="143" t="s">
        <v>339</v>
      </c>
      <c r="M84" s="143" t="s">
        <v>338</v>
      </c>
      <c r="N84" s="145" t="s">
        <v>3876</v>
      </c>
      <c r="O84" s="143" t="s">
        <v>3758</v>
      </c>
      <c r="P84" s="143" t="s">
        <v>1389</v>
      </c>
      <c r="Q84" s="143" t="s">
        <v>413</v>
      </c>
      <c r="R84" s="143" t="s">
        <v>408</v>
      </c>
      <c r="S84" s="143" t="s">
        <v>1211</v>
      </c>
      <c r="T84" s="144">
        <v>2.54</v>
      </c>
      <c r="U84" s="170" t="s">
        <v>823</v>
      </c>
      <c r="V84" s="146">
        <v>0.10489999999999999</v>
      </c>
      <c r="W84" s="145" t="s">
        <v>3876</v>
      </c>
      <c r="X84" s="145" t="s">
        <v>3876</v>
      </c>
      <c r="Y84" s="166">
        <v>0</v>
      </c>
      <c r="Z84" s="146">
        <v>8.4500000000000006E-2</v>
      </c>
      <c r="AA84" s="143" t="s">
        <v>1542</v>
      </c>
      <c r="AB84" s="143" t="s">
        <v>412</v>
      </c>
      <c r="AC84" s="145" t="s">
        <v>3876</v>
      </c>
      <c r="AD84" s="145" t="s">
        <v>3876</v>
      </c>
      <c r="AE84" s="145" t="s">
        <v>3876</v>
      </c>
      <c r="AF84" s="145" t="s">
        <v>3876</v>
      </c>
      <c r="AG84" s="145" t="s">
        <v>3876</v>
      </c>
      <c r="AH84" s="145" t="s">
        <v>3876</v>
      </c>
      <c r="AI84" s="145" t="s">
        <v>3876</v>
      </c>
      <c r="AJ84" s="143" t="s">
        <v>339</v>
      </c>
      <c r="AK84" s="143" t="s">
        <v>886</v>
      </c>
      <c r="AL84" s="145" t="s">
        <v>3876</v>
      </c>
      <c r="AM84" s="143" t="s">
        <v>889</v>
      </c>
      <c r="AN84" s="163">
        <v>44861</v>
      </c>
      <c r="AO84" s="163">
        <v>44861</v>
      </c>
      <c r="AP84" s="145" t="s">
        <v>3876</v>
      </c>
      <c r="AQ84" s="144">
        <v>1671138</v>
      </c>
      <c r="AR84" s="143" t="s">
        <v>1504</v>
      </c>
      <c r="AS84" s="143" t="s">
        <v>1212</v>
      </c>
      <c r="AT84" s="144">
        <v>6281.8077000000003</v>
      </c>
      <c r="AU84" s="144">
        <v>1671.1379999999999</v>
      </c>
      <c r="AV84" s="145" t="s">
        <v>3876</v>
      </c>
      <c r="AW84" s="145" t="s">
        <v>3876</v>
      </c>
      <c r="AX84" s="145" t="s">
        <v>3876</v>
      </c>
      <c r="AY84" s="145" t="s">
        <v>3876</v>
      </c>
      <c r="AZ84" s="146">
        <v>1.08632562014485E-2</v>
      </c>
      <c r="BA84" s="147">
        <v>2.783724604029955E-4</v>
      </c>
      <c r="BB84" s="181"/>
    </row>
    <row r="85" spans="1:54" ht="15" x14ac:dyDescent="0.2">
      <c r="A85" s="142" t="s">
        <v>1220</v>
      </c>
      <c r="B85" s="143" t="s">
        <v>1220</v>
      </c>
      <c r="C85" s="145" t="s">
        <v>3876</v>
      </c>
      <c r="D85" s="145" t="s">
        <v>3876</v>
      </c>
      <c r="E85" s="145" t="s">
        <v>3876</v>
      </c>
      <c r="F85" s="143" t="s">
        <v>3759</v>
      </c>
      <c r="G85" s="143" t="s">
        <v>1012</v>
      </c>
      <c r="H85" s="145" t="s">
        <v>3876</v>
      </c>
      <c r="I85" s="143" t="s">
        <v>204</v>
      </c>
      <c r="J85" s="145" t="s">
        <v>3876</v>
      </c>
      <c r="K85" s="143" t="s">
        <v>448</v>
      </c>
      <c r="L85" s="143" t="s">
        <v>339</v>
      </c>
      <c r="M85" s="143" t="s">
        <v>338</v>
      </c>
      <c r="N85" s="145" t="s">
        <v>3876</v>
      </c>
      <c r="O85" s="143" t="s">
        <v>3689</v>
      </c>
      <c r="P85" s="145" t="s">
        <v>3876</v>
      </c>
      <c r="Q85" s="143" t="s">
        <v>410</v>
      </c>
      <c r="R85" s="143" t="s">
        <v>410</v>
      </c>
      <c r="S85" s="143" t="s">
        <v>1210</v>
      </c>
      <c r="T85" s="144">
        <v>6.49</v>
      </c>
      <c r="U85" s="170" t="s">
        <v>823</v>
      </c>
      <c r="V85" s="146">
        <v>3.2063000000000001E-2</v>
      </c>
      <c r="W85" s="145" t="s">
        <v>3876</v>
      </c>
      <c r="X85" s="145" t="s">
        <v>3876</v>
      </c>
      <c r="Y85" s="166">
        <v>0</v>
      </c>
      <c r="Z85" s="146">
        <v>6.3600000000000004E-2</v>
      </c>
      <c r="AA85" s="143" t="s">
        <v>3707</v>
      </c>
      <c r="AB85" s="143" t="s">
        <v>412</v>
      </c>
      <c r="AC85" s="145" t="s">
        <v>3876</v>
      </c>
      <c r="AD85" s="145" t="s">
        <v>3876</v>
      </c>
      <c r="AE85" s="145" t="s">
        <v>3876</v>
      </c>
      <c r="AF85" s="145" t="s">
        <v>3876</v>
      </c>
      <c r="AG85" s="145" t="s">
        <v>3876</v>
      </c>
      <c r="AH85" s="145" t="s">
        <v>3876</v>
      </c>
      <c r="AI85" s="145" t="s">
        <v>3876</v>
      </c>
      <c r="AJ85" s="143" t="s">
        <v>339</v>
      </c>
      <c r="AK85" s="143" t="s">
        <v>886</v>
      </c>
      <c r="AL85" s="145" t="s">
        <v>3876</v>
      </c>
      <c r="AM85" s="143" t="s">
        <v>889</v>
      </c>
      <c r="AN85" s="163">
        <v>45473</v>
      </c>
      <c r="AO85" s="163">
        <v>45473</v>
      </c>
      <c r="AP85" s="145" t="s">
        <v>3876</v>
      </c>
      <c r="AQ85" s="144">
        <v>5396480.5099999998</v>
      </c>
      <c r="AR85" s="143" t="s">
        <v>3760</v>
      </c>
      <c r="AS85" s="145" t="s">
        <v>3876</v>
      </c>
      <c r="AT85" s="144">
        <v>6228.6178</v>
      </c>
      <c r="AU85" s="144">
        <v>6228.6178046000005</v>
      </c>
      <c r="AV85" s="145" t="s">
        <v>3876</v>
      </c>
      <c r="AW85" s="145" t="s">
        <v>3876</v>
      </c>
      <c r="AX85" s="145" t="s">
        <v>3876</v>
      </c>
      <c r="AY85" s="145" t="s">
        <v>3876</v>
      </c>
      <c r="AZ85" s="146">
        <v>1.0771273775275906E-2</v>
      </c>
      <c r="BA85" s="147">
        <v>2.760153978599904E-4</v>
      </c>
      <c r="BB85" s="181"/>
    </row>
    <row r="86" spans="1:54" ht="15" x14ac:dyDescent="0.2">
      <c r="A86" s="142" t="s">
        <v>1220</v>
      </c>
      <c r="B86" s="143" t="s">
        <v>1220</v>
      </c>
      <c r="C86" s="145" t="s">
        <v>3876</v>
      </c>
      <c r="D86" s="145" t="s">
        <v>3876</v>
      </c>
      <c r="E86" s="145" t="s">
        <v>3876</v>
      </c>
      <c r="F86" s="143" t="s">
        <v>3765</v>
      </c>
      <c r="G86" s="143" t="s">
        <v>1012</v>
      </c>
      <c r="H86" s="143" t="s">
        <v>812</v>
      </c>
      <c r="I86" s="143" t="s">
        <v>204</v>
      </c>
      <c r="J86" s="145" t="s">
        <v>3876</v>
      </c>
      <c r="K86" s="143" t="s">
        <v>454</v>
      </c>
      <c r="L86" s="143" t="s">
        <v>339</v>
      </c>
      <c r="M86" s="143" t="s">
        <v>338</v>
      </c>
      <c r="N86" s="145" t="s">
        <v>3876</v>
      </c>
      <c r="O86" s="143" t="s">
        <v>3766</v>
      </c>
      <c r="P86" s="143" t="s">
        <v>1389</v>
      </c>
      <c r="Q86" s="143" t="s">
        <v>413</v>
      </c>
      <c r="R86" s="143" t="s">
        <v>408</v>
      </c>
      <c r="S86" s="143" t="s">
        <v>1211</v>
      </c>
      <c r="T86" s="144">
        <v>2.67</v>
      </c>
      <c r="U86" s="170" t="s">
        <v>823</v>
      </c>
      <c r="V86" s="146">
        <v>0.107045</v>
      </c>
      <c r="W86" s="145" t="s">
        <v>3876</v>
      </c>
      <c r="X86" s="145" t="s">
        <v>3876</v>
      </c>
      <c r="Y86" s="166">
        <v>5.3644999999999998E-2</v>
      </c>
      <c r="Z86" s="146">
        <v>9.9900000000000003E-2</v>
      </c>
      <c r="AA86" s="143" t="s">
        <v>3711</v>
      </c>
      <c r="AB86" s="143" t="s">
        <v>412</v>
      </c>
      <c r="AC86" s="145" t="s">
        <v>3876</v>
      </c>
      <c r="AD86" s="145" t="s">
        <v>3876</v>
      </c>
      <c r="AE86" s="171">
        <v>0.76</v>
      </c>
      <c r="AF86" s="143" t="s">
        <v>3710</v>
      </c>
      <c r="AG86" s="145" t="s">
        <v>3876</v>
      </c>
      <c r="AH86" s="145" t="s">
        <v>3876</v>
      </c>
      <c r="AI86" s="145" t="s">
        <v>3876</v>
      </c>
      <c r="AJ86" s="143" t="s">
        <v>339</v>
      </c>
      <c r="AK86" s="143" t="s">
        <v>886</v>
      </c>
      <c r="AL86" s="145" t="s">
        <v>3876</v>
      </c>
      <c r="AM86" s="143" t="s">
        <v>889</v>
      </c>
      <c r="AN86" s="163">
        <v>45473</v>
      </c>
      <c r="AO86" s="163">
        <v>45473</v>
      </c>
      <c r="AP86" s="145" t="s">
        <v>3876</v>
      </c>
      <c r="AQ86" s="144">
        <v>976563.29</v>
      </c>
      <c r="AR86" s="143" t="s">
        <v>3767</v>
      </c>
      <c r="AS86" s="143" t="s">
        <v>1212</v>
      </c>
      <c r="AT86" s="144">
        <v>3661.3571000000002</v>
      </c>
      <c r="AU86" s="144">
        <v>974.02422539999998</v>
      </c>
      <c r="AV86" s="145" t="s">
        <v>3876</v>
      </c>
      <c r="AW86" s="145" t="s">
        <v>3876</v>
      </c>
      <c r="AX86" s="145" t="s">
        <v>3876</v>
      </c>
      <c r="AY86" s="145" t="s">
        <v>3876</v>
      </c>
      <c r="AZ86" s="146">
        <v>6.3316582517047191E-3</v>
      </c>
      <c r="BA86" s="147">
        <v>1.622496287736409E-4</v>
      </c>
      <c r="BB86" s="181"/>
    </row>
    <row r="87" spans="1:54" ht="15" x14ac:dyDescent="0.2">
      <c r="A87" s="142" t="s">
        <v>1220</v>
      </c>
      <c r="B87" s="143" t="s">
        <v>1220</v>
      </c>
      <c r="C87" s="145" t="s">
        <v>3876</v>
      </c>
      <c r="D87" s="145" t="s">
        <v>3876</v>
      </c>
      <c r="E87" s="145" t="s">
        <v>3876</v>
      </c>
      <c r="F87" s="143" t="s">
        <v>3768</v>
      </c>
      <c r="G87" s="143" t="s">
        <v>1012</v>
      </c>
      <c r="H87" s="145" t="s">
        <v>3876</v>
      </c>
      <c r="I87" s="143" t="s">
        <v>204</v>
      </c>
      <c r="J87" s="145" t="s">
        <v>3876</v>
      </c>
      <c r="K87" s="143" t="s">
        <v>440</v>
      </c>
      <c r="L87" s="143" t="s">
        <v>339</v>
      </c>
      <c r="M87" s="143" t="s">
        <v>338</v>
      </c>
      <c r="N87" s="145" t="s">
        <v>3876</v>
      </c>
      <c r="O87" s="143" t="s">
        <v>3769</v>
      </c>
      <c r="P87" s="143" t="s">
        <v>1617</v>
      </c>
      <c r="Q87" s="143" t="s">
        <v>415</v>
      </c>
      <c r="R87" s="143" t="s">
        <v>408</v>
      </c>
      <c r="S87" s="143" t="s">
        <v>1210</v>
      </c>
      <c r="T87" s="144">
        <v>8.09</v>
      </c>
      <c r="U87" s="170" t="s">
        <v>824</v>
      </c>
      <c r="V87" s="146">
        <v>0</v>
      </c>
      <c r="W87" s="145" t="s">
        <v>3876</v>
      </c>
      <c r="X87" s="145" t="s">
        <v>3876</v>
      </c>
      <c r="Y87" s="166">
        <v>0</v>
      </c>
      <c r="Z87" s="146">
        <v>4.02E-2</v>
      </c>
      <c r="AA87" s="143" t="s">
        <v>3694</v>
      </c>
      <c r="AB87" s="143" t="s">
        <v>412</v>
      </c>
      <c r="AC87" s="145" t="s">
        <v>3876</v>
      </c>
      <c r="AD87" s="145" t="s">
        <v>3876</v>
      </c>
      <c r="AE87" s="171">
        <v>0.75</v>
      </c>
      <c r="AF87" s="143" t="s">
        <v>3695</v>
      </c>
      <c r="AG87" s="145" t="s">
        <v>3876</v>
      </c>
      <c r="AH87" s="145" t="s">
        <v>3876</v>
      </c>
      <c r="AI87" s="145" t="s">
        <v>3876</v>
      </c>
      <c r="AJ87" s="143" t="s">
        <v>338</v>
      </c>
      <c r="AK87" s="143" t="s">
        <v>886</v>
      </c>
      <c r="AL87" s="145" t="s">
        <v>3876</v>
      </c>
      <c r="AM87" s="143" t="s">
        <v>889</v>
      </c>
      <c r="AN87" s="163">
        <v>45473</v>
      </c>
      <c r="AO87" s="163">
        <v>45473</v>
      </c>
      <c r="AP87" s="145" t="s">
        <v>3876</v>
      </c>
      <c r="AQ87" s="144">
        <v>3172332.06</v>
      </c>
      <c r="AR87" s="143" t="s">
        <v>3770</v>
      </c>
      <c r="AS87" s="145" t="s">
        <v>3876</v>
      </c>
      <c r="AT87" s="144">
        <v>3126.9677000000001</v>
      </c>
      <c r="AU87" s="144">
        <v>3126.9677115</v>
      </c>
      <c r="AV87" s="145" t="s">
        <v>3876</v>
      </c>
      <c r="AW87" s="145" t="s">
        <v>3876</v>
      </c>
      <c r="AX87" s="145" t="s">
        <v>3876</v>
      </c>
      <c r="AY87" s="145" t="s">
        <v>3876</v>
      </c>
      <c r="AZ87" s="146">
        <v>5.4075280204807421E-3</v>
      </c>
      <c r="BA87" s="147">
        <v>1.3856866227261098E-4</v>
      </c>
      <c r="BB87" s="181"/>
    </row>
    <row r="88" spans="1:54" ht="15" x14ac:dyDescent="0.2">
      <c r="A88" s="142" t="s">
        <v>1220</v>
      </c>
      <c r="B88" s="143" t="s">
        <v>1220</v>
      </c>
      <c r="C88" s="145" t="s">
        <v>3876</v>
      </c>
      <c r="D88" s="145" t="s">
        <v>3876</v>
      </c>
      <c r="E88" s="145" t="s">
        <v>3876</v>
      </c>
      <c r="F88" s="143" t="s">
        <v>3771</v>
      </c>
      <c r="G88" s="143" t="s">
        <v>1012</v>
      </c>
      <c r="H88" s="143" t="s">
        <v>784</v>
      </c>
      <c r="I88" s="143" t="s">
        <v>204</v>
      </c>
      <c r="J88" s="145" t="s">
        <v>3876</v>
      </c>
      <c r="K88" s="143" t="s">
        <v>443</v>
      </c>
      <c r="L88" s="143" t="s">
        <v>339</v>
      </c>
      <c r="M88" s="143" t="s">
        <v>338</v>
      </c>
      <c r="N88" s="145" t="s">
        <v>3876</v>
      </c>
      <c r="O88" s="143" t="s">
        <v>3745</v>
      </c>
      <c r="P88" s="145" t="s">
        <v>3876</v>
      </c>
      <c r="Q88" s="143" t="s">
        <v>410</v>
      </c>
      <c r="R88" s="143" t="s">
        <v>410</v>
      </c>
      <c r="S88" s="143" t="s">
        <v>1210</v>
      </c>
      <c r="T88" s="144">
        <v>2.17</v>
      </c>
      <c r="U88" s="170" t="s">
        <v>823</v>
      </c>
      <c r="V88" s="146">
        <v>8.2500000000000004E-2</v>
      </c>
      <c r="W88" s="145" t="s">
        <v>3876</v>
      </c>
      <c r="X88" s="145" t="s">
        <v>3876</v>
      </c>
      <c r="Y88" s="166">
        <v>2.2499999999999999E-2</v>
      </c>
      <c r="Z88" s="146">
        <v>7.0400000000000004E-2</v>
      </c>
      <c r="AA88" s="143" t="s">
        <v>3746</v>
      </c>
      <c r="AB88" s="143" t="s">
        <v>412</v>
      </c>
      <c r="AC88" s="145" t="s">
        <v>3876</v>
      </c>
      <c r="AD88" s="145" t="s">
        <v>3876</v>
      </c>
      <c r="AE88" s="171">
        <v>0.62</v>
      </c>
      <c r="AF88" s="143" t="s">
        <v>3747</v>
      </c>
      <c r="AG88" s="145" t="s">
        <v>3876</v>
      </c>
      <c r="AH88" s="145" t="s">
        <v>3876</v>
      </c>
      <c r="AI88" s="145" t="s">
        <v>3876</v>
      </c>
      <c r="AJ88" s="143" t="s">
        <v>338</v>
      </c>
      <c r="AK88" s="143" t="s">
        <v>886</v>
      </c>
      <c r="AL88" s="145" t="s">
        <v>3876</v>
      </c>
      <c r="AM88" s="143" t="s">
        <v>889</v>
      </c>
      <c r="AN88" s="163">
        <v>45473</v>
      </c>
      <c r="AO88" s="163">
        <v>45473</v>
      </c>
      <c r="AP88" s="145" t="s">
        <v>3876</v>
      </c>
      <c r="AQ88" s="144">
        <v>2527705</v>
      </c>
      <c r="AR88" s="143" t="s">
        <v>3772</v>
      </c>
      <c r="AS88" s="145" t="s">
        <v>3876</v>
      </c>
      <c r="AT88" s="144">
        <v>2653.0792000000001</v>
      </c>
      <c r="AU88" s="144">
        <v>2653.0791680000002</v>
      </c>
      <c r="AV88" s="145" t="s">
        <v>3876</v>
      </c>
      <c r="AW88" s="145" t="s">
        <v>3876</v>
      </c>
      <c r="AX88" s="145" t="s">
        <v>3876</v>
      </c>
      <c r="AY88" s="145" t="s">
        <v>3876</v>
      </c>
      <c r="AZ88" s="146">
        <v>4.5880230513921753E-3</v>
      </c>
      <c r="BA88" s="147">
        <v>1.1756873275541458E-4</v>
      </c>
      <c r="BB88" s="181"/>
    </row>
    <row r="89" spans="1:54" ht="15" x14ac:dyDescent="0.2">
      <c r="A89" s="142" t="s">
        <v>1220</v>
      </c>
      <c r="B89" s="143" t="s">
        <v>1220</v>
      </c>
      <c r="C89" s="145" t="s">
        <v>3876</v>
      </c>
      <c r="D89" s="145" t="s">
        <v>3876</v>
      </c>
      <c r="E89" s="145" t="s">
        <v>3876</v>
      </c>
      <c r="F89" s="143" t="s">
        <v>3773</v>
      </c>
      <c r="G89" s="143" t="s">
        <v>1012</v>
      </c>
      <c r="H89" s="145" t="s">
        <v>3876</v>
      </c>
      <c r="I89" s="143" t="s">
        <v>204</v>
      </c>
      <c r="J89" s="145" t="s">
        <v>3876</v>
      </c>
      <c r="K89" s="143" t="s">
        <v>440</v>
      </c>
      <c r="L89" s="143" t="s">
        <v>339</v>
      </c>
      <c r="M89" s="143" t="s">
        <v>338</v>
      </c>
      <c r="N89" s="145" t="s">
        <v>3876</v>
      </c>
      <c r="O89" s="143" t="s">
        <v>3774</v>
      </c>
      <c r="P89" s="143" t="s">
        <v>1617</v>
      </c>
      <c r="Q89" s="143" t="s">
        <v>415</v>
      </c>
      <c r="R89" s="143" t="s">
        <v>408</v>
      </c>
      <c r="S89" s="143" t="s">
        <v>1210</v>
      </c>
      <c r="T89" s="144">
        <v>8.1300000000000008</v>
      </c>
      <c r="U89" s="170" t="s">
        <v>824</v>
      </c>
      <c r="V89" s="146">
        <v>0</v>
      </c>
      <c r="W89" s="145" t="s">
        <v>3876</v>
      </c>
      <c r="X89" s="145" t="s">
        <v>3876</v>
      </c>
      <c r="Y89" s="166">
        <v>0</v>
      </c>
      <c r="Z89" s="146">
        <v>4.02E-2</v>
      </c>
      <c r="AA89" s="143" t="s">
        <v>3694</v>
      </c>
      <c r="AB89" s="143" t="s">
        <v>412</v>
      </c>
      <c r="AC89" s="145" t="s">
        <v>3876</v>
      </c>
      <c r="AD89" s="145" t="s">
        <v>3876</v>
      </c>
      <c r="AE89" s="171">
        <v>0.75</v>
      </c>
      <c r="AF89" s="145" t="s">
        <v>3876</v>
      </c>
      <c r="AG89" s="145" t="s">
        <v>3876</v>
      </c>
      <c r="AH89" s="145" t="s">
        <v>3876</v>
      </c>
      <c r="AI89" s="145" t="s">
        <v>3876</v>
      </c>
      <c r="AJ89" s="143" t="s">
        <v>338</v>
      </c>
      <c r="AK89" s="143" t="s">
        <v>886</v>
      </c>
      <c r="AL89" s="145" t="s">
        <v>3876</v>
      </c>
      <c r="AM89" s="143" t="s">
        <v>889</v>
      </c>
      <c r="AN89" s="163">
        <v>45473</v>
      </c>
      <c r="AO89" s="163">
        <v>45473</v>
      </c>
      <c r="AP89" s="145" t="s">
        <v>3876</v>
      </c>
      <c r="AQ89" s="144">
        <v>2192638.6800000002</v>
      </c>
      <c r="AR89" s="143" t="s">
        <v>3775</v>
      </c>
      <c r="AS89" s="145" t="s">
        <v>3876</v>
      </c>
      <c r="AT89" s="144">
        <v>2171.5892999999996</v>
      </c>
      <c r="AU89" s="144">
        <v>2171.5893486999998</v>
      </c>
      <c r="AV89" s="145" t="s">
        <v>3876</v>
      </c>
      <c r="AW89" s="145" t="s">
        <v>3876</v>
      </c>
      <c r="AX89" s="145" t="s">
        <v>3876</v>
      </c>
      <c r="AY89" s="145" t="s">
        <v>3876</v>
      </c>
      <c r="AZ89" s="146">
        <v>3.7553730435325085E-3</v>
      </c>
      <c r="BA89" s="147">
        <v>9.6231959780147496E-5</v>
      </c>
      <c r="BB89" s="181"/>
    </row>
    <row r="90" spans="1:54" ht="15" x14ac:dyDescent="0.2">
      <c r="A90" s="142" t="s">
        <v>1220</v>
      </c>
      <c r="B90" s="143" t="s">
        <v>1220</v>
      </c>
      <c r="C90" s="145" t="s">
        <v>3876</v>
      </c>
      <c r="D90" s="145" t="s">
        <v>3876</v>
      </c>
      <c r="E90" s="145" t="s">
        <v>3876</v>
      </c>
      <c r="F90" s="143" t="s">
        <v>3776</v>
      </c>
      <c r="G90" s="143" t="s">
        <v>1012</v>
      </c>
      <c r="H90" s="143" t="s">
        <v>784</v>
      </c>
      <c r="I90" s="143" t="s">
        <v>204</v>
      </c>
      <c r="J90" s="145" t="s">
        <v>3876</v>
      </c>
      <c r="K90" s="143" t="s">
        <v>443</v>
      </c>
      <c r="L90" s="143" t="s">
        <v>339</v>
      </c>
      <c r="M90" s="143" t="s">
        <v>338</v>
      </c>
      <c r="N90" s="145" t="s">
        <v>3876</v>
      </c>
      <c r="O90" s="143" t="s">
        <v>3777</v>
      </c>
      <c r="P90" s="145" t="s">
        <v>3876</v>
      </c>
      <c r="Q90" s="143" t="s">
        <v>410</v>
      </c>
      <c r="R90" s="143" t="s">
        <v>410</v>
      </c>
      <c r="S90" s="143" t="s">
        <v>1210</v>
      </c>
      <c r="T90" s="144">
        <v>2.17</v>
      </c>
      <c r="U90" s="170" t="s">
        <v>823</v>
      </c>
      <c r="V90" s="146">
        <v>8.2500000000000004E-2</v>
      </c>
      <c r="W90" s="145" t="s">
        <v>3876</v>
      </c>
      <c r="X90" s="145" t="s">
        <v>3876</v>
      </c>
      <c r="Y90" s="166">
        <v>2.2499999999999999E-2</v>
      </c>
      <c r="Z90" s="146">
        <v>7.0099999999999996E-2</v>
      </c>
      <c r="AA90" s="143" t="s">
        <v>3746</v>
      </c>
      <c r="AB90" s="143" t="s">
        <v>412</v>
      </c>
      <c r="AC90" s="145" t="s">
        <v>3876</v>
      </c>
      <c r="AD90" s="145" t="s">
        <v>3876</v>
      </c>
      <c r="AE90" s="171">
        <v>0.62</v>
      </c>
      <c r="AF90" s="143" t="s">
        <v>3778</v>
      </c>
      <c r="AG90" s="145" t="s">
        <v>3876</v>
      </c>
      <c r="AH90" s="145" t="s">
        <v>3876</v>
      </c>
      <c r="AI90" s="145" t="s">
        <v>3876</v>
      </c>
      <c r="AJ90" s="143" t="s">
        <v>338</v>
      </c>
      <c r="AK90" s="143" t="s">
        <v>886</v>
      </c>
      <c r="AL90" s="145" t="s">
        <v>3876</v>
      </c>
      <c r="AM90" s="143" t="s">
        <v>889</v>
      </c>
      <c r="AN90" s="163">
        <v>45473</v>
      </c>
      <c r="AO90" s="163">
        <v>45473</v>
      </c>
      <c r="AP90" s="145" t="s">
        <v>3876</v>
      </c>
      <c r="AQ90" s="144">
        <v>2025848</v>
      </c>
      <c r="AR90" s="143" t="s">
        <v>3779</v>
      </c>
      <c r="AS90" s="145" t="s">
        <v>3876</v>
      </c>
      <c r="AT90" s="144">
        <v>2127.5455999999999</v>
      </c>
      <c r="AU90" s="144">
        <v>2127.5455695999999</v>
      </c>
      <c r="AV90" s="145" t="s">
        <v>3876</v>
      </c>
      <c r="AW90" s="145" t="s">
        <v>3876</v>
      </c>
      <c r="AX90" s="145" t="s">
        <v>3876</v>
      </c>
      <c r="AY90" s="145" t="s">
        <v>3876</v>
      </c>
      <c r="AZ90" s="146">
        <v>3.6792072524433977E-3</v>
      </c>
      <c r="BA90" s="147">
        <v>9.4280200724590173E-5</v>
      </c>
      <c r="BB90" s="181"/>
    </row>
    <row r="91" spans="1:54" ht="15" x14ac:dyDescent="0.2">
      <c r="A91" s="142" t="s">
        <v>1220</v>
      </c>
      <c r="B91" s="143" t="s">
        <v>1220</v>
      </c>
      <c r="C91" s="145" t="s">
        <v>3876</v>
      </c>
      <c r="D91" s="145" t="s">
        <v>3876</v>
      </c>
      <c r="E91" s="145" t="s">
        <v>3876</v>
      </c>
      <c r="F91" s="143" t="s">
        <v>3780</v>
      </c>
      <c r="G91" s="143" t="s">
        <v>1012</v>
      </c>
      <c r="H91" s="143" t="s">
        <v>784</v>
      </c>
      <c r="I91" s="143" t="s">
        <v>204</v>
      </c>
      <c r="J91" s="145" t="s">
        <v>3876</v>
      </c>
      <c r="K91" s="143" t="s">
        <v>443</v>
      </c>
      <c r="L91" s="143" t="s">
        <v>339</v>
      </c>
      <c r="M91" s="143" t="s">
        <v>338</v>
      </c>
      <c r="N91" s="145" t="s">
        <v>3876</v>
      </c>
      <c r="O91" s="143" t="s">
        <v>3781</v>
      </c>
      <c r="P91" s="145" t="s">
        <v>3876</v>
      </c>
      <c r="Q91" s="143" t="s">
        <v>410</v>
      </c>
      <c r="R91" s="143" t="s">
        <v>410</v>
      </c>
      <c r="S91" s="143" t="s">
        <v>1210</v>
      </c>
      <c r="T91" s="144">
        <v>2.17</v>
      </c>
      <c r="U91" s="170" t="s">
        <v>823</v>
      </c>
      <c r="V91" s="146">
        <v>8.2500000000000004E-2</v>
      </c>
      <c r="W91" s="145" t="s">
        <v>3876</v>
      </c>
      <c r="X91" s="145" t="s">
        <v>3876</v>
      </c>
      <c r="Y91" s="166">
        <v>2.2499999999999999E-2</v>
      </c>
      <c r="Z91" s="146">
        <v>7.1400000000000005E-2</v>
      </c>
      <c r="AA91" s="143" t="s">
        <v>3746</v>
      </c>
      <c r="AB91" s="143" t="s">
        <v>412</v>
      </c>
      <c r="AC91" s="145" t="s">
        <v>3876</v>
      </c>
      <c r="AD91" s="145" t="s">
        <v>3876</v>
      </c>
      <c r="AE91" s="171">
        <v>0.62</v>
      </c>
      <c r="AF91" s="143" t="s">
        <v>3747</v>
      </c>
      <c r="AG91" s="145" t="s">
        <v>3876</v>
      </c>
      <c r="AH91" s="145" t="s">
        <v>3876</v>
      </c>
      <c r="AI91" s="145" t="s">
        <v>3876</v>
      </c>
      <c r="AJ91" s="143" t="s">
        <v>338</v>
      </c>
      <c r="AK91" s="143" t="s">
        <v>886</v>
      </c>
      <c r="AL91" s="145" t="s">
        <v>3876</v>
      </c>
      <c r="AM91" s="143" t="s">
        <v>889</v>
      </c>
      <c r="AN91" s="163">
        <v>45473</v>
      </c>
      <c r="AO91" s="163">
        <v>45473</v>
      </c>
      <c r="AP91" s="145" t="s">
        <v>3876</v>
      </c>
      <c r="AQ91" s="144">
        <v>1958320</v>
      </c>
      <c r="AR91" s="143" t="s">
        <v>3782</v>
      </c>
      <c r="AS91" s="145" t="s">
        <v>3876</v>
      </c>
      <c r="AT91" s="144">
        <v>2051.3402000000001</v>
      </c>
      <c r="AU91" s="144">
        <v>2051.3402000000001</v>
      </c>
      <c r="AV91" s="145" t="s">
        <v>3876</v>
      </c>
      <c r="AW91" s="145" t="s">
        <v>3876</v>
      </c>
      <c r="AX91" s="145" t="s">
        <v>3876</v>
      </c>
      <c r="AY91" s="145" t="s">
        <v>3876</v>
      </c>
      <c r="AZ91" s="146">
        <v>3.5474237773847821E-3</v>
      </c>
      <c r="BA91" s="147">
        <v>9.0903230733987167E-5</v>
      </c>
      <c r="BB91" s="181"/>
    </row>
    <row r="92" spans="1:54" ht="15" x14ac:dyDescent="0.2">
      <c r="A92" s="142" t="s">
        <v>1220</v>
      </c>
      <c r="B92" s="143" t="s">
        <v>1220</v>
      </c>
      <c r="C92" s="145" t="s">
        <v>3876</v>
      </c>
      <c r="D92" s="145" t="s">
        <v>3876</v>
      </c>
      <c r="E92" s="145" t="s">
        <v>3876</v>
      </c>
      <c r="F92" s="143" t="s">
        <v>3783</v>
      </c>
      <c r="G92" s="143" t="s">
        <v>1012</v>
      </c>
      <c r="H92" s="143" t="s">
        <v>784</v>
      </c>
      <c r="I92" s="143" t="s">
        <v>204</v>
      </c>
      <c r="J92" s="145" t="s">
        <v>3876</v>
      </c>
      <c r="K92" s="143" t="s">
        <v>443</v>
      </c>
      <c r="L92" s="143" t="s">
        <v>339</v>
      </c>
      <c r="M92" s="143" t="s">
        <v>338</v>
      </c>
      <c r="N92" s="145" t="s">
        <v>3876</v>
      </c>
      <c r="O92" s="143" t="s">
        <v>3784</v>
      </c>
      <c r="P92" s="145" t="s">
        <v>3876</v>
      </c>
      <c r="Q92" s="143" t="s">
        <v>410</v>
      </c>
      <c r="R92" s="143" t="s">
        <v>410</v>
      </c>
      <c r="S92" s="143" t="s">
        <v>1210</v>
      </c>
      <c r="T92" s="144">
        <v>0.87</v>
      </c>
      <c r="U92" s="170" t="s">
        <v>823</v>
      </c>
      <c r="V92" s="146">
        <v>7.0000000000000007E-2</v>
      </c>
      <c r="W92" s="145" t="s">
        <v>3876</v>
      </c>
      <c r="X92" s="145" t="s">
        <v>3876</v>
      </c>
      <c r="Y92" s="166">
        <v>0.02</v>
      </c>
      <c r="Z92" s="146">
        <v>9.0700000000000003E-2</v>
      </c>
      <c r="AA92" s="143" t="s">
        <v>3785</v>
      </c>
      <c r="AB92" s="143" t="s">
        <v>412</v>
      </c>
      <c r="AC92" s="145" t="s">
        <v>3876</v>
      </c>
      <c r="AD92" s="145" t="s">
        <v>3876</v>
      </c>
      <c r="AE92" s="171">
        <v>0.67</v>
      </c>
      <c r="AF92" s="143" t="s">
        <v>3747</v>
      </c>
      <c r="AG92" s="145" t="s">
        <v>3876</v>
      </c>
      <c r="AH92" s="145" t="s">
        <v>3876</v>
      </c>
      <c r="AI92" s="145" t="s">
        <v>3876</v>
      </c>
      <c r="AJ92" s="143" t="s">
        <v>338</v>
      </c>
      <c r="AK92" s="143" t="s">
        <v>886</v>
      </c>
      <c r="AL92" s="145" t="s">
        <v>3876</v>
      </c>
      <c r="AM92" s="143" t="s">
        <v>889</v>
      </c>
      <c r="AN92" s="163">
        <v>45473</v>
      </c>
      <c r="AO92" s="163">
        <v>45473</v>
      </c>
      <c r="AP92" s="145" t="s">
        <v>3876</v>
      </c>
      <c r="AQ92" s="144">
        <v>1916965.22</v>
      </c>
      <c r="AR92" s="143" t="s">
        <v>3786</v>
      </c>
      <c r="AS92" s="145" t="s">
        <v>3876</v>
      </c>
      <c r="AT92" s="144">
        <v>1936.1349</v>
      </c>
      <c r="AU92" s="144">
        <v>1936.1348722</v>
      </c>
      <c r="AV92" s="145" t="s">
        <v>3876</v>
      </c>
      <c r="AW92" s="145" t="s">
        <v>3876</v>
      </c>
      <c r="AX92" s="145" t="s">
        <v>3876</v>
      </c>
      <c r="AY92" s="145" t="s">
        <v>3876</v>
      </c>
      <c r="AZ92" s="146">
        <v>3.3481968918983433E-3</v>
      </c>
      <c r="BA92" s="147">
        <v>8.5798013912911832E-5</v>
      </c>
      <c r="BB92" s="181"/>
    </row>
    <row r="93" spans="1:54" ht="15" x14ac:dyDescent="0.2">
      <c r="A93" s="142" t="s">
        <v>1220</v>
      </c>
      <c r="B93" s="143" t="s">
        <v>1220</v>
      </c>
      <c r="C93" s="145" t="s">
        <v>3876</v>
      </c>
      <c r="D93" s="145" t="s">
        <v>3876</v>
      </c>
      <c r="E93" s="145" t="s">
        <v>3876</v>
      </c>
      <c r="F93" s="143" t="s">
        <v>3787</v>
      </c>
      <c r="G93" s="143" t="s">
        <v>1012</v>
      </c>
      <c r="H93" s="145" t="s">
        <v>3876</v>
      </c>
      <c r="I93" s="143" t="s">
        <v>204</v>
      </c>
      <c r="J93" s="145" t="s">
        <v>3876</v>
      </c>
      <c r="K93" s="143" t="s">
        <v>485</v>
      </c>
      <c r="L93" s="143" t="s">
        <v>339</v>
      </c>
      <c r="M93" s="143" t="s">
        <v>338</v>
      </c>
      <c r="N93" s="145" t="s">
        <v>3876</v>
      </c>
      <c r="O93" s="143" t="s">
        <v>3684</v>
      </c>
      <c r="P93" s="143" t="s">
        <v>1366</v>
      </c>
      <c r="Q93" s="143" t="s">
        <v>415</v>
      </c>
      <c r="R93" s="143" t="s">
        <v>408</v>
      </c>
      <c r="S93" s="143" t="s">
        <v>1210</v>
      </c>
      <c r="T93" s="144">
        <v>10.09</v>
      </c>
      <c r="U93" s="170" t="s">
        <v>824</v>
      </c>
      <c r="V93" s="146">
        <v>0.03</v>
      </c>
      <c r="W93" s="145" t="s">
        <v>3876</v>
      </c>
      <c r="X93" s="145" t="s">
        <v>3876</v>
      </c>
      <c r="Y93" s="166">
        <v>0</v>
      </c>
      <c r="Z93" s="146">
        <v>4.1599999999999998E-2</v>
      </c>
      <c r="AA93" s="143" t="s">
        <v>3685</v>
      </c>
      <c r="AB93" s="143" t="s">
        <v>412</v>
      </c>
      <c r="AC93" s="145" t="s">
        <v>3876</v>
      </c>
      <c r="AD93" s="145" t="s">
        <v>3876</v>
      </c>
      <c r="AE93" s="171">
        <v>0.75</v>
      </c>
      <c r="AF93" s="143" t="s">
        <v>3686</v>
      </c>
      <c r="AG93" s="145" t="s">
        <v>3876</v>
      </c>
      <c r="AH93" s="145" t="s">
        <v>3876</v>
      </c>
      <c r="AI93" s="145" t="s">
        <v>3876</v>
      </c>
      <c r="AJ93" s="143" t="s">
        <v>338</v>
      </c>
      <c r="AK93" s="143" t="s">
        <v>886</v>
      </c>
      <c r="AL93" s="145" t="s">
        <v>3876</v>
      </c>
      <c r="AM93" s="143" t="s">
        <v>889</v>
      </c>
      <c r="AN93" s="163">
        <v>45473</v>
      </c>
      <c r="AO93" s="163">
        <v>45473</v>
      </c>
      <c r="AP93" s="145" t="s">
        <v>3876</v>
      </c>
      <c r="AQ93" s="144">
        <v>1893860.84</v>
      </c>
      <c r="AR93" s="143" t="s">
        <v>3687</v>
      </c>
      <c r="AS93" s="145" t="s">
        <v>3876</v>
      </c>
      <c r="AT93" s="144">
        <v>1919.2386000000001</v>
      </c>
      <c r="AU93" s="144">
        <v>1919.2385752999999</v>
      </c>
      <c r="AV93" s="145" t="s">
        <v>3876</v>
      </c>
      <c r="AW93" s="145" t="s">
        <v>3876</v>
      </c>
      <c r="AX93" s="145" t="s">
        <v>3876</v>
      </c>
      <c r="AY93" s="145" t="s">
        <v>3876</v>
      </c>
      <c r="AZ93" s="146">
        <v>3.3189777864915952E-3</v>
      </c>
      <c r="BA93" s="147">
        <v>8.5049270247843315E-5</v>
      </c>
      <c r="BB93" s="181"/>
    </row>
    <row r="94" spans="1:54" ht="15" x14ac:dyDescent="0.2">
      <c r="A94" s="142" t="s">
        <v>1220</v>
      </c>
      <c r="B94" s="143" t="s">
        <v>1220</v>
      </c>
      <c r="C94" s="145" t="s">
        <v>3876</v>
      </c>
      <c r="D94" s="145" t="s">
        <v>3876</v>
      </c>
      <c r="E94" s="145" t="s">
        <v>3876</v>
      </c>
      <c r="F94" s="143" t="s">
        <v>3859</v>
      </c>
      <c r="G94" s="143" t="s">
        <v>1012</v>
      </c>
      <c r="H94" s="145" t="s">
        <v>3876</v>
      </c>
      <c r="I94" s="143" t="s">
        <v>204</v>
      </c>
      <c r="J94" s="145" t="s">
        <v>3876</v>
      </c>
      <c r="K94" s="143" t="s">
        <v>447</v>
      </c>
      <c r="L94" s="143" t="s">
        <v>339</v>
      </c>
      <c r="M94" s="143" t="s">
        <v>338</v>
      </c>
      <c r="N94" s="145" t="s">
        <v>3876</v>
      </c>
      <c r="O94" s="143" t="s">
        <v>3860</v>
      </c>
      <c r="P94" s="143" t="s">
        <v>1502</v>
      </c>
      <c r="Q94" s="143" t="s">
        <v>415</v>
      </c>
      <c r="R94" s="143" t="s">
        <v>408</v>
      </c>
      <c r="S94" s="143" t="s">
        <v>1210</v>
      </c>
      <c r="T94" s="144">
        <v>1.7</v>
      </c>
      <c r="U94" s="170" t="s">
        <v>824</v>
      </c>
      <c r="V94" s="146">
        <v>5.2121000000000001E-2</v>
      </c>
      <c r="W94" s="145" t="s">
        <v>3876</v>
      </c>
      <c r="X94" s="145" t="s">
        <v>3876</v>
      </c>
      <c r="Y94" s="166">
        <v>0</v>
      </c>
      <c r="Z94" s="146">
        <v>2.18E-2</v>
      </c>
      <c r="AA94" s="143" t="s">
        <v>1523</v>
      </c>
      <c r="AB94" s="143" t="s">
        <v>412</v>
      </c>
      <c r="AC94" s="145" t="s">
        <v>3876</v>
      </c>
      <c r="AD94" s="145" t="s">
        <v>3876</v>
      </c>
      <c r="AE94" s="171">
        <v>0.75</v>
      </c>
      <c r="AF94" s="143" t="s">
        <v>3695</v>
      </c>
      <c r="AG94" s="145" t="s">
        <v>3876</v>
      </c>
      <c r="AH94" s="145" t="s">
        <v>3876</v>
      </c>
      <c r="AI94" s="145" t="s">
        <v>3876</v>
      </c>
      <c r="AJ94" s="143" t="s">
        <v>339</v>
      </c>
      <c r="AK94" s="143" t="s">
        <v>886</v>
      </c>
      <c r="AL94" s="145" t="s">
        <v>3876</v>
      </c>
      <c r="AM94" s="143" t="s">
        <v>889</v>
      </c>
      <c r="AN94" s="163">
        <v>0</v>
      </c>
      <c r="AO94" s="163">
        <v>0</v>
      </c>
      <c r="AP94" s="145" t="s">
        <v>3876</v>
      </c>
      <c r="AQ94" s="144">
        <v>1102888.19</v>
      </c>
      <c r="AR94" s="143" t="s">
        <v>3861</v>
      </c>
      <c r="AS94" s="145" t="s">
        <v>3876</v>
      </c>
      <c r="AT94" s="144">
        <v>1686.0954999999999</v>
      </c>
      <c r="AU94" s="144">
        <v>1686.0954649</v>
      </c>
      <c r="AV94" s="145" t="s">
        <v>3876</v>
      </c>
      <c r="AW94" s="145" t="s">
        <v>3876</v>
      </c>
      <c r="AX94" s="145" t="s">
        <v>3876</v>
      </c>
      <c r="AY94" s="145" t="s">
        <v>3876</v>
      </c>
      <c r="AZ94" s="146">
        <v>2.9157987266215423E-3</v>
      </c>
      <c r="BA94" s="147">
        <v>7.4717750416429594E-5</v>
      </c>
      <c r="BB94" s="181"/>
    </row>
    <row r="95" spans="1:54" ht="15" x14ac:dyDescent="0.2">
      <c r="A95" s="142" t="s">
        <v>1220</v>
      </c>
      <c r="B95" s="143" t="s">
        <v>1220</v>
      </c>
      <c r="C95" s="145" t="s">
        <v>3876</v>
      </c>
      <c r="D95" s="145" t="s">
        <v>3876</v>
      </c>
      <c r="E95" s="145" t="s">
        <v>3876</v>
      </c>
      <c r="F95" s="143" t="s">
        <v>3862</v>
      </c>
      <c r="G95" s="143" t="s">
        <v>1012</v>
      </c>
      <c r="H95" s="145" t="s">
        <v>3876</v>
      </c>
      <c r="I95" s="143" t="s">
        <v>204</v>
      </c>
      <c r="J95" s="145" t="s">
        <v>3876</v>
      </c>
      <c r="K95" s="143" t="s">
        <v>447</v>
      </c>
      <c r="L95" s="143" t="s">
        <v>339</v>
      </c>
      <c r="M95" s="143" t="s">
        <v>338</v>
      </c>
      <c r="N95" s="145" t="s">
        <v>3876</v>
      </c>
      <c r="O95" s="143" t="s">
        <v>3863</v>
      </c>
      <c r="P95" s="143" t="s">
        <v>1502</v>
      </c>
      <c r="Q95" s="143" t="s">
        <v>415</v>
      </c>
      <c r="R95" s="143" t="s">
        <v>408</v>
      </c>
      <c r="S95" s="143" t="s">
        <v>1210</v>
      </c>
      <c r="T95" s="144">
        <v>1.71</v>
      </c>
      <c r="U95" s="170" t="s">
        <v>824</v>
      </c>
      <c r="V95" s="146">
        <v>3.8767999999999997E-2</v>
      </c>
      <c r="W95" s="145" t="s">
        <v>3876</v>
      </c>
      <c r="X95" s="145" t="s">
        <v>3876</v>
      </c>
      <c r="Y95" s="166">
        <v>0</v>
      </c>
      <c r="Z95" s="146">
        <v>2.18E-2</v>
      </c>
      <c r="AA95" s="143" t="s">
        <v>1523</v>
      </c>
      <c r="AB95" s="143" t="s">
        <v>412</v>
      </c>
      <c r="AC95" s="145" t="s">
        <v>3876</v>
      </c>
      <c r="AD95" s="145" t="s">
        <v>3876</v>
      </c>
      <c r="AE95" s="171">
        <v>0.75</v>
      </c>
      <c r="AF95" s="143" t="s">
        <v>3695</v>
      </c>
      <c r="AG95" s="145" t="s">
        <v>3876</v>
      </c>
      <c r="AH95" s="145" t="s">
        <v>3876</v>
      </c>
      <c r="AI95" s="145" t="s">
        <v>3876</v>
      </c>
      <c r="AJ95" s="143" t="s">
        <v>339</v>
      </c>
      <c r="AK95" s="143" t="s">
        <v>886</v>
      </c>
      <c r="AL95" s="145" t="s">
        <v>3876</v>
      </c>
      <c r="AM95" s="143" t="s">
        <v>889</v>
      </c>
      <c r="AN95" s="163">
        <v>0</v>
      </c>
      <c r="AO95" s="163">
        <v>0</v>
      </c>
      <c r="AP95" s="145" t="s">
        <v>3876</v>
      </c>
      <c r="AQ95" s="144">
        <v>1102888.27</v>
      </c>
      <c r="AR95" s="143" t="s">
        <v>3864</v>
      </c>
      <c r="AS95" s="145" t="s">
        <v>3876</v>
      </c>
      <c r="AT95" s="144">
        <v>1649.9208999999998</v>
      </c>
      <c r="AU95" s="144">
        <v>1649.9208519000001</v>
      </c>
      <c r="AV95" s="145" t="s">
        <v>3876</v>
      </c>
      <c r="AW95" s="145" t="s">
        <v>3876</v>
      </c>
      <c r="AX95" s="145" t="s">
        <v>3876</v>
      </c>
      <c r="AY95" s="145" t="s">
        <v>3876</v>
      </c>
      <c r="AZ95" s="146">
        <v>2.8532412424345623E-3</v>
      </c>
      <c r="BA95" s="147">
        <v>7.3114706129631945E-5</v>
      </c>
      <c r="BB95" s="181"/>
    </row>
    <row r="96" spans="1:54" ht="15" x14ac:dyDescent="0.2">
      <c r="A96" s="142" t="s">
        <v>1220</v>
      </c>
      <c r="B96" s="143" t="s">
        <v>1220</v>
      </c>
      <c r="C96" s="145" t="s">
        <v>3876</v>
      </c>
      <c r="D96" s="145" t="s">
        <v>3876</v>
      </c>
      <c r="E96" s="145" t="s">
        <v>3876</v>
      </c>
      <c r="F96" s="143" t="s">
        <v>3788</v>
      </c>
      <c r="G96" s="143" t="s">
        <v>1012</v>
      </c>
      <c r="H96" s="143" t="s">
        <v>784</v>
      </c>
      <c r="I96" s="143" t="s">
        <v>204</v>
      </c>
      <c r="J96" s="145" t="s">
        <v>3876</v>
      </c>
      <c r="K96" s="143" t="s">
        <v>443</v>
      </c>
      <c r="L96" s="143" t="s">
        <v>339</v>
      </c>
      <c r="M96" s="143" t="s">
        <v>338</v>
      </c>
      <c r="N96" s="145" t="s">
        <v>3876</v>
      </c>
      <c r="O96" s="143" t="s">
        <v>3789</v>
      </c>
      <c r="P96" s="145" t="s">
        <v>3876</v>
      </c>
      <c r="Q96" s="143" t="s">
        <v>410</v>
      </c>
      <c r="R96" s="143" t="s">
        <v>410</v>
      </c>
      <c r="S96" s="143" t="s">
        <v>1210</v>
      </c>
      <c r="T96" s="144">
        <v>2.17</v>
      </c>
      <c r="U96" s="170" t="s">
        <v>823</v>
      </c>
      <c r="V96" s="146">
        <v>8.2500000000000004E-2</v>
      </c>
      <c r="W96" s="145" t="s">
        <v>3876</v>
      </c>
      <c r="X96" s="145" t="s">
        <v>3876</v>
      </c>
      <c r="Y96" s="166">
        <v>2.2499999999999999E-2</v>
      </c>
      <c r="Z96" s="146">
        <v>7.2599999999999998E-2</v>
      </c>
      <c r="AA96" s="143" t="s">
        <v>3746</v>
      </c>
      <c r="AB96" s="143" t="s">
        <v>412</v>
      </c>
      <c r="AC96" s="145" t="s">
        <v>3876</v>
      </c>
      <c r="AD96" s="145" t="s">
        <v>3876</v>
      </c>
      <c r="AE96" s="171">
        <v>0.62</v>
      </c>
      <c r="AF96" s="143" t="s">
        <v>3747</v>
      </c>
      <c r="AG96" s="145" t="s">
        <v>3876</v>
      </c>
      <c r="AH96" s="145" t="s">
        <v>3876</v>
      </c>
      <c r="AI96" s="145" t="s">
        <v>3876</v>
      </c>
      <c r="AJ96" s="143" t="s">
        <v>338</v>
      </c>
      <c r="AK96" s="143" t="s">
        <v>886</v>
      </c>
      <c r="AL96" s="145" t="s">
        <v>3876</v>
      </c>
      <c r="AM96" s="143" t="s">
        <v>889</v>
      </c>
      <c r="AN96" s="163">
        <v>45473</v>
      </c>
      <c r="AO96" s="163">
        <v>45473</v>
      </c>
      <c r="AP96" s="145" t="s">
        <v>3876</v>
      </c>
      <c r="AQ96" s="144">
        <v>1370824</v>
      </c>
      <c r="AR96" s="143" t="s">
        <v>3678</v>
      </c>
      <c r="AS96" s="145" t="s">
        <v>3876</v>
      </c>
      <c r="AT96" s="144">
        <v>1432.5111000000002</v>
      </c>
      <c r="AU96" s="144">
        <v>1432.51108</v>
      </c>
      <c r="AV96" s="145" t="s">
        <v>3876</v>
      </c>
      <c r="AW96" s="145" t="s">
        <v>3876</v>
      </c>
      <c r="AX96" s="145" t="s">
        <v>3876</v>
      </c>
      <c r="AY96" s="145" t="s">
        <v>3876</v>
      </c>
      <c r="AZ96" s="146">
        <v>2.4772701605317118E-3</v>
      </c>
      <c r="BA96" s="147">
        <v>6.3480394541204403E-5</v>
      </c>
      <c r="BB96" s="181"/>
    </row>
    <row r="97" spans="1:54" ht="15" x14ac:dyDescent="0.2">
      <c r="A97" s="142" t="s">
        <v>1220</v>
      </c>
      <c r="B97" s="143" t="s">
        <v>1220</v>
      </c>
      <c r="C97" s="145" t="s">
        <v>3876</v>
      </c>
      <c r="D97" s="145" t="s">
        <v>3876</v>
      </c>
      <c r="E97" s="145" t="s">
        <v>3876</v>
      </c>
      <c r="F97" s="143" t="s">
        <v>3792</v>
      </c>
      <c r="G97" s="143" t="s">
        <v>1012</v>
      </c>
      <c r="H97" s="143" t="s">
        <v>784</v>
      </c>
      <c r="I97" s="143" t="s">
        <v>204</v>
      </c>
      <c r="J97" s="145" t="s">
        <v>3876</v>
      </c>
      <c r="K97" s="143" t="s">
        <v>443</v>
      </c>
      <c r="L97" s="143" t="s">
        <v>339</v>
      </c>
      <c r="M97" s="143" t="s">
        <v>338</v>
      </c>
      <c r="N97" s="145" t="s">
        <v>3876</v>
      </c>
      <c r="O97" s="143" t="s">
        <v>3793</v>
      </c>
      <c r="P97" s="145" t="s">
        <v>3876</v>
      </c>
      <c r="Q97" s="143" t="s">
        <v>410</v>
      </c>
      <c r="R97" s="143" t="s">
        <v>410</v>
      </c>
      <c r="S97" s="143" t="s">
        <v>1210</v>
      </c>
      <c r="T97" s="144">
        <v>2.16</v>
      </c>
      <c r="U97" s="170" t="s">
        <v>823</v>
      </c>
      <c r="V97" s="146">
        <v>8.2500000000000004E-2</v>
      </c>
      <c r="W97" s="145" t="s">
        <v>3876</v>
      </c>
      <c r="X97" s="145" t="s">
        <v>3876</v>
      </c>
      <c r="Y97" s="166">
        <v>0</v>
      </c>
      <c r="Z97" s="146">
        <v>8.5599999999999996E-2</v>
      </c>
      <c r="AA97" s="143" t="s">
        <v>3794</v>
      </c>
      <c r="AB97" s="143" t="s">
        <v>412</v>
      </c>
      <c r="AC97" s="145" t="s">
        <v>3876</v>
      </c>
      <c r="AD97" s="145" t="s">
        <v>3876</v>
      </c>
      <c r="AE97" s="171">
        <v>0.62</v>
      </c>
      <c r="AF97" s="143" t="s">
        <v>3778</v>
      </c>
      <c r="AG97" s="145" t="s">
        <v>3876</v>
      </c>
      <c r="AH97" s="145" t="s">
        <v>3876</v>
      </c>
      <c r="AI97" s="145" t="s">
        <v>3876</v>
      </c>
      <c r="AJ97" s="143" t="s">
        <v>338</v>
      </c>
      <c r="AK97" s="143" t="s">
        <v>886</v>
      </c>
      <c r="AL97" s="145" t="s">
        <v>3876</v>
      </c>
      <c r="AM97" s="143" t="s">
        <v>889</v>
      </c>
      <c r="AN97" s="163">
        <v>45473</v>
      </c>
      <c r="AO97" s="163">
        <v>45473</v>
      </c>
      <c r="AP97" s="145" t="s">
        <v>3876</v>
      </c>
      <c r="AQ97" s="144">
        <v>1134475</v>
      </c>
      <c r="AR97" s="143" t="s">
        <v>3795</v>
      </c>
      <c r="AS97" s="145" t="s">
        <v>3876</v>
      </c>
      <c r="AT97" s="144">
        <v>1155.1224</v>
      </c>
      <c r="AU97" s="144">
        <v>1155.122445</v>
      </c>
      <c r="AV97" s="145" t="s">
        <v>3876</v>
      </c>
      <c r="AW97" s="145" t="s">
        <v>3876</v>
      </c>
      <c r="AX97" s="145" t="s">
        <v>3876</v>
      </c>
      <c r="AY97" s="145" t="s">
        <v>3876</v>
      </c>
      <c r="AZ97" s="146">
        <v>1.9975764269543612E-3</v>
      </c>
      <c r="BA97" s="147">
        <v>5.1188175488318516E-5</v>
      </c>
      <c r="BB97" s="181"/>
    </row>
    <row r="98" spans="1:54" ht="15" x14ac:dyDescent="0.2">
      <c r="A98" s="142" t="s">
        <v>1220</v>
      </c>
      <c r="B98" s="143" t="s">
        <v>1220</v>
      </c>
      <c r="C98" s="145" t="s">
        <v>3876</v>
      </c>
      <c r="D98" s="145" t="s">
        <v>3876</v>
      </c>
      <c r="E98" s="145" t="s">
        <v>3876</v>
      </c>
      <c r="F98" s="143" t="s">
        <v>3790</v>
      </c>
      <c r="G98" s="143" t="s">
        <v>1012</v>
      </c>
      <c r="H98" s="145" t="s">
        <v>3876</v>
      </c>
      <c r="I98" s="143" t="s">
        <v>204</v>
      </c>
      <c r="J98" s="145" t="s">
        <v>3876</v>
      </c>
      <c r="K98" s="143" t="s">
        <v>444</v>
      </c>
      <c r="L98" s="143" t="s">
        <v>339</v>
      </c>
      <c r="M98" s="143" t="s">
        <v>338</v>
      </c>
      <c r="N98" s="145" t="s">
        <v>3876</v>
      </c>
      <c r="O98" s="143" t="s">
        <v>3714</v>
      </c>
      <c r="P98" s="145" t="s">
        <v>3876</v>
      </c>
      <c r="Q98" s="143" t="s">
        <v>410</v>
      </c>
      <c r="R98" s="143" t="s">
        <v>410</v>
      </c>
      <c r="S98" s="143" t="s">
        <v>1211</v>
      </c>
      <c r="T98" s="144">
        <v>0.01</v>
      </c>
      <c r="U98" s="170" t="s">
        <v>314</v>
      </c>
      <c r="V98" s="143" t="s">
        <v>1266</v>
      </c>
      <c r="W98" s="145" t="s">
        <v>3876</v>
      </c>
      <c r="X98" s="145" t="s">
        <v>3876</v>
      </c>
      <c r="Y98" s="166">
        <v>0</v>
      </c>
      <c r="Z98" s="146">
        <v>1E-4</v>
      </c>
      <c r="AA98" s="143" t="s">
        <v>3714</v>
      </c>
      <c r="AB98" s="143" t="s">
        <v>412</v>
      </c>
      <c r="AC98" s="145" t="s">
        <v>3876</v>
      </c>
      <c r="AD98" s="145" t="s">
        <v>3876</v>
      </c>
      <c r="AE98" s="145" t="s">
        <v>3876</v>
      </c>
      <c r="AF98" s="145" t="s">
        <v>3876</v>
      </c>
      <c r="AG98" s="145" t="s">
        <v>3876</v>
      </c>
      <c r="AH98" s="145" t="s">
        <v>3876</v>
      </c>
      <c r="AI98" s="145" t="s">
        <v>3876</v>
      </c>
      <c r="AJ98" s="145" t="s">
        <v>3876</v>
      </c>
      <c r="AK98" s="143" t="s">
        <v>886</v>
      </c>
      <c r="AL98" s="145" t="s">
        <v>3876</v>
      </c>
      <c r="AM98" s="143" t="s">
        <v>889</v>
      </c>
      <c r="AN98" s="163">
        <v>45250</v>
      </c>
      <c r="AO98" s="163">
        <v>45250</v>
      </c>
      <c r="AP98" s="145" t="s">
        <v>3876</v>
      </c>
      <c r="AQ98" s="144">
        <v>546282.56999999995</v>
      </c>
      <c r="AR98" s="143" t="s">
        <v>3791</v>
      </c>
      <c r="AS98" s="143" t="s">
        <v>1212</v>
      </c>
      <c r="AT98" s="144">
        <v>1133.2375</v>
      </c>
      <c r="AU98" s="144">
        <v>301.47313789999998</v>
      </c>
      <c r="AV98" s="145" t="s">
        <v>3876</v>
      </c>
      <c r="AW98" s="145" t="s">
        <v>3876</v>
      </c>
      <c r="AX98" s="145" t="s">
        <v>3876</v>
      </c>
      <c r="AY98" s="145" t="s">
        <v>3876</v>
      </c>
      <c r="AZ98" s="146">
        <v>1.9597303963918579E-3</v>
      </c>
      <c r="BA98" s="147">
        <v>5.0218365658852629E-5</v>
      </c>
      <c r="BB98" s="181"/>
    </row>
    <row r="99" spans="1:54" ht="15" x14ac:dyDescent="0.2">
      <c r="A99" s="142" t="s">
        <v>1220</v>
      </c>
      <c r="B99" s="143" t="s">
        <v>1220</v>
      </c>
      <c r="C99" s="145" t="s">
        <v>3876</v>
      </c>
      <c r="D99" s="145" t="s">
        <v>3876</v>
      </c>
      <c r="E99" s="145" t="s">
        <v>3876</v>
      </c>
      <c r="F99" s="143" t="s">
        <v>3796</v>
      </c>
      <c r="G99" s="143" t="s">
        <v>1012</v>
      </c>
      <c r="H99" s="143" t="s">
        <v>784</v>
      </c>
      <c r="I99" s="143" t="s">
        <v>204</v>
      </c>
      <c r="J99" s="145" t="s">
        <v>3876</v>
      </c>
      <c r="K99" s="143" t="s">
        <v>443</v>
      </c>
      <c r="L99" s="143" t="s">
        <v>339</v>
      </c>
      <c r="M99" s="143" t="s">
        <v>338</v>
      </c>
      <c r="N99" s="145" t="s">
        <v>3876</v>
      </c>
      <c r="O99" s="143" t="s">
        <v>3797</v>
      </c>
      <c r="P99" s="145" t="s">
        <v>3876</v>
      </c>
      <c r="Q99" s="143" t="s">
        <v>410</v>
      </c>
      <c r="R99" s="143" t="s">
        <v>410</v>
      </c>
      <c r="S99" s="143" t="s">
        <v>1210</v>
      </c>
      <c r="T99" s="144">
        <v>0.87</v>
      </c>
      <c r="U99" s="170" t="s">
        <v>823</v>
      </c>
      <c r="V99" s="146">
        <v>7.0000000000000007E-2</v>
      </c>
      <c r="W99" s="145" t="s">
        <v>3876</v>
      </c>
      <c r="X99" s="145" t="s">
        <v>3876</v>
      </c>
      <c r="Y99" s="166">
        <v>0</v>
      </c>
      <c r="Z99" s="146">
        <v>7.7700000000000005E-2</v>
      </c>
      <c r="AA99" s="143" t="s">
        <v>3785</v>
      </c>
      <c r="AB99" s="143" t="s">
        <v>412</v>
      </c>
      <c r="AC99" s="145" t="s">
        <v>3876</v>
      </c>
      <c r="AD99" s="145" t="s">
        <v>3876</v>
      </c>
      <c r="AE99" s="171">
        <v>0.67</v>
      </c>
      <c r="AF99" s="143" t="s">
        <v>3667</v>
      </c>
      <c r="AG99" s="145" t="s">
        <v>3876</v>
      </c>
      <c r="AH99" s="145" t="s">
        <v>3876</v>
      </c>
      <c r="AI99" s="145" t="s">
        <v>3876</v>
      </c>
      <c r="AJ99" s="143" t="s">
        <v>338</v>
      </c>
      <c r="AK99" s="143" t="s">
        <v>886</v>
      </c>
      <c r="AL99" s="145" t="s">
        <v>3876</v>
      </c>
      <c r="AM99" s="143" t="s">
        <v>889</v>
      </c>
      <c r="AN99" s="163">
        <v>45473</v>
      </c>
      <c r="AO99" s="163">
        <v>45473</v>
      </c>
      <c r="AP99" s="145" t="s">
        <v>3876</v>
      </c>
      <c r="AQ99" s="144">
        <v>1037348</v>
      </c>
      <c r="AR99" s="143" t="s">
        <v>3798</v>
      </c>
      <c r="AS99" s="145" t="s">
        <v>3876</v>
      </c>
      <c r="AT99" s="144">
        <v>1058.7174</v>
      </c>
      <c r="AU99" s="144">
        <v>1058.7173688</v>
      </c>
      <c r="AV99" s="145" t="s">
        <v>3876</v>
      </c>
      <c r="AW99" s="145" t="s">
        <v>3876</v>
      </c>
      <c r="AX99" s="145" t="s">
        <v>3876</v>
      </c>
      <c r="AY99" s="145" t="s">
        <v>3876</v>
      </c>
      <c r="AZ99" s="146">
        <v>1.8308611938728512E-3</v>
      </c>
      <c r="BA99" s="147">
        <v>4.6916074309910265E-5</v>
      </c>
      <c r="BB99" s="181"/>
    </row>
    <row r="100" spans="1:54" ht="15" x14ac:dyDescent="0.2">
      <c r="A100" s="142" t="s">
        <v>1220</v>
      </c>
      <c r="B100" s="143" t="s">
        <v>1220</v>
      </c>
      <c r="C100" s="145" t="s">
        <v>3876</v>
      </c>
      <c r="D100" s="145" t="s">
        <v>3876</v>
      </c>
      <c r="E100" s="145" t="s">
        <v>3876</v>
      </c>
      <c r="F100" s="143" t="s">
        <v>3799</v>
      </c>
      <c r="G100" s="143" t="s">
        <v>1012</v>
      </c>
      <c r="H100" s="145" t="s">
        <v>3876</v>
      </c>
      <c r="I100" s="143" t="s">
        <v>204</v>
      </c>
      <c r="J100" s="145" t="s">
        <v>3876</v>
      </c>
      <c r="K100" s="143" t="s">
        <v>485</v>
      </c>
      <c r="L100" s="143" t="s">
        <v>339</v>
      </c>
      <c r="M100" s="143" t="s">
        <v>338</v>
      </c>
      <c r="N100" s="145" t="s">
        <v>3876</v>
      </c>
      <c r="O100" s="143" t="s">
        <v>3800</v>
      </c>
      <c r="P100" s="143" t="s">
        <v>1721</v>
      </c>
      <c r="Q100" s="143" t="s">
        <v>413</v>
      </c>
      <c r="R100" s="143" t="s">
        <v>408</v>
      </c>
      <c r="S100" s="143" t="s">
        <v>1210</v>
      </c>
      <c r="T100" s="144">
        <v>5.89</v>
      </c>
      <c r="U100" s="170" t="s">
        <v>824</v>
      </c>
      <c r="V100" s="146">
        <v>3.3099999999999997E-2</v>
      </c>
      <c r="W100" s="145" t="s">
        <v>3876</v>
      </c>
      <c r="X100" s="145" t="s">
        <v>3876</v>
      </c>
      <c r="Y100" s="166">
        <v>0</v>
      </c>
      <c r="Z100" s="146">
        <v>3.44E-2</v>
      </c>
      <c r="AA100" s="143" t="s">
        <v>3718</v>
      </c>
      <c r="AB100" s="143" t="s">
        <v>412</v>
      </c>
      <c r="AC100" s="145" t="s">
        <v>3876</v>
      </c>
      <c r="AD100" s="145" t="s">
        <v>3876</v>
      </c>
      <c r="AE100" s="145" t="s">
        <v>3876</v>
      </c>
      <c r="AF100" s="145" t="s">
        <v>3876</v>
      </c>
      <c r="AG100" s="145" t="s">
        <v>3876</v>
      </c>
      <c r="AH100" s="145" t="s">
        <v>3876</v>
      </c>
      <c r="AI100" s="145" t="s">
        <v>3876</v>
      </c>
      <c r="AJ100" s="145" t="s">
        <v>3876</v>
      </c>
      <c r="AK100" s="143" t="s">
        <v>886</v>
      </c>
      <c r="AL100" s="145" t="s">
        <v>3876</v>
      </c>
      <c r="AM100" s="143" t="s">
        <v>889</v>
      </c>
      <c r="AN100" s="163">
        <v>45473</v>
      </c>
      <c r="AO100" s="163">
        <v>45473</v>
      </c>
      <c r="AP100" s="145" t="s">
        <v>3876</v>
      </c>
      <c r="AQ100" s="144">
        <v>737701.66</v>
      </c>
      <c r="AR100" s="143" t="s">
        <v>3801</v>
      </c>
      <c r="AS100" s="145" t="s">
        <v>3876</v>
      </c>
      <c r="AT100" s="144">
        <v>838.54549999999995</v>
      </c>
      <c r="AU100" s="144">
        <v>838.54547689999993</v>
      </c>
      <c r="AV100" s="145" t="s">
        <v>3876</v>
      </c>
      <c r="AW100" s="145" t="s">
        <v>3876</v>
      </c>
      <c r="AX100" s="145" t="s">
        <v>3876</v>
      </c>
      <c r="AY100" s="145" t="s">
        <v>3876</v>
      </c>
      <c r="AZ100" s="146">
        <v>1.450113522492059E-3</v>
      </c>
      <c r="BA100" s="147">
        <v>3.7159361947658356E-5</v>
      </c>
      <c r="BB100" s="181"/>
    </row>
    <row r="101" spans="1:54" ht="15" x14ac:dyDescent="0.2">
      <c r="A101" s="142" t="s">
        <v>1220</v>
      </c>
      <c r="B101" s="143" t="s">
        <v>1220</v>
      </c>
      <c r="C101" s="145" t="s">
        <v>3876</v>
      </c>
      <c r="D101" s="145" t="s">
        <v>3876</v>
      </c>
      <c r="E101" s="145" t="s">
        <v>3876</v>
      </c>
      <c r="F101" s="143" t="s">
        <v>3865</v>
      </c>
      <c r="G101" s="143" t="s">
        <v>1012</v>
      </c>
      <c r="H101" s="145" t="s">
        <v>3876</v>
      </c>
      <c r="I101" s="143" t="s">
        <v>204</v>
      </c>
      <c r="J101" s="145" t="s">
        <v>3876</v>
      </c>
      <c r="K101" s="143" t="s">
        <v>447</v>
      </c>
      <c r="L101" s="143" t="s">
        <v>339</v>
      </c>
      <c r="M101" s="143" t="s">
        <v>338</v>
      </c>
      <c r="N101" s="145" t="s">
        <v>3876</v>
      </c>
      <c r="O101" s="143" t="s">
        <v>3866</v>
      </c>
      <c r="P101" s="143" t="s">
        <v>1396</v>
      </c>
      <c r="Q101" s="143" t="s">
        <v>415</v>
      </c>
      <c r="R101" s="143" t="s">
        <v>408</v>
      </c>
      <c r="S101" s="143" t="s">
        <v>1210</v>
      </c>
      <c r="T101" s="144">
        <v>1.7</v>
      </c>
      <c r="U101" s="170" t="s">
        <v>824</v>
      </c>
      <c r="V101" s="146">
        <v>4.7426000000000003E-2</v>
      </c>
      <c r="W101" s="145" t="s">
        <v>3876</v>
      </c>
      <c r="X101" s="145" t="s">
        <v>3876</v>
      </c>
      <c r="Y101" s="166">
        <v>0</v>
      </c>
      <c r="Z101" s="146">
        <v>3.9100000000000003E-2</v>
      </c>
      <c r="AA101" s="143" t="s">
        <v>1523</v>
      </c>
      <c r="AB101" s="143" t="s">
        <v>412</v>
      </c>
      <c r="AC101" s="145" t="s">
        <v>3876</v>
      </c>
      <c r="AD101" s="145" t="s">
        <v>3876</v>
      </c>
      <c r="AE101" s="171">
        <v>0.75</v>
      </c>
      <c r="AF101" s="143" t="s">
        <v>3695</v>
      </c>
      <c r="AG101" s="145" t="s">
        <v>3876</v>
      </c>
      <c r="AH101" s="145" t="s">
        <v>3876</v>
      </c>
      <c r="AI101" s="145" t="s">
        <v>3876</v>
      </c>
      <c r="AJ101" s="143" t="s">
        <v>339</v>
      </c>
      <c r="AK101" s="143" t="s">
        <v>886</v>
      </c>
      <c r="AL101" s="145" t="s">
        <v>3876</v>
      </c>
      <c r="AM101" s="143" t="s">
        <v>889</v>
      </c>
      <c r="AN101" s="163">
        <v>45473</v>
      </c>
      <c r="AO101" s="163">
        <v>45473</v>
      </c>
      <c r="AP101" s="145" t="s">
        <v>3876</v>
      </c>
      <c r="AQ101" s="144">
        <v>426283.51</v>
      </c>
      <c r="AR101" s="143" t="s">
        <v>3867</v>
      </c>
      <c r="AS101" s="145" t="s">
        <v>3876</v>
      </c>
      <c r="AT101" s="144">
        <v>591.16999999999996</v>
      </c>
      <c r="AU101" s="144">
        <v>591.16997170000002</v>
      </c>
      <c r="AV101" s="145" t="s">
        <v>3876</v>
      </c>
      <c r="AW101" s="145" t="s">
        <v>3876</v>
      </c>
      <c r="AX101" s="145" t="s">
        <v>3876</v>
      </c>
      <c r="AY101" s="145" t="s">
        <v>3876</v>
      </c>
      <c r="AZ101" s="146">
        <v>1.0223220965352071E-3</v>
      </c>
      <c r="BA101" s="147">
        <v>2.6197146790932511E-5</v>
      </c>
      <c r="BB101" s="181"/>
    </row>
    <row r="102" spans="1:54" ht="15" x14ac:dyDescent="0.2">
      <c r="A102" s="142" t="s">
        <v>1220</v>
      </c>
      <c r="B102" s="143" t="s">
        <v>1220</v>
      </c>
      <c r="C102" s="145" t="s">
        <v>3876</v>
      </c>
      <c r="D102" s="145" t="s">
        <v>3876</v>
      </c>
      <c r="E102" s="145" t="s">
        <v>3876</v>
      </c>
      <c r="F102" s="143" t="s">
        <v>3802</v>
      </c>
      <c r="G102" s="143" t="s">
        <v>1012</v>
      </c>
      <c r="H102" s="143" t="s">
        <v>784</v>
      </c>
      <c r="I102" s="143" t="s">
        <v>204</v>
      </c>
      <c r="J102" s="145" t="s">
        <v>3876</v>
      </c>
      <c r="K102" s="143" t="s">
        <v>443</v>
      </c>
      <c r="L102" s="143" t="s">
        <v>339</v>
      </c>
      <c r="M102" s="143" t="s">
        <v>338</v>
      </c>
      <c r="N102" s="145" t="s">
        <v>3876</v>
      </c>
      <c r="O102" s="143" t="s">
        <v>3803</v>
      </c>
      <c r="P102" s="145" t="s">
        <v>3876</v>
      </c>
      <c r="Q102" s="143" t="s">
        <v>410</v>
      </c>
      <c r="R102" s="143" t="s">
        <v>410</v>
      </c>
      <c r="S102" s="143" t="s">
        <v>1210</v>
      </c>
      <c r="T102" s="144">
        <v>0.87</v>
      </c>
      <c r="U102" s="170" t="s">
        <v>823</v>
      </c>
      <c r="V102" s="146">
        <v>7.0000000000000007E-2</v>
      </c>
      <c r="W102" s="145" t="s">
        <v>3876</v>
      </c>
      <c r="X102" s="145" t="s">
        <v>3876</v>
      </c>
      <c r="Y102" s="166">
        <v>0</v>
      </c>
      <c r="Z102" s="146">
        <v>6.9400000000000003E-2</v>
      </c>
      <c r="AA102" s="143" t="s">
        <v>3785</v>
      </c>
      <c r="AB102" s="143" t="s">
        <v>412</v>
      </c>
      <c r="AC102" s="145" t="s">
        <v>3876</v>
      </c>
      <c r="AD102" s="145" t="s">
        <v>3876</v>
      </c>
      <c r="AE102" s="171">
        <v>0.67</v>
      </c>
      <c r="AF102" s="143" t="s">
        <v>3667</v>
      </c>
      <c r="AG102" s="145" t="s">
        <v>3876</v>
      </c>
      <c r="AH102" s="145" t="s">
        <v>3876</v>
      </c>
      <c r="AI102" s="145" t="s">
        <v>3876</v>
      </c>
      <c r="AJ102" s="143" t="s">
        <v>338</v>
      </c>
      <c r="AK102" s="143" t="s">
        <v>886</v>
      </c>
      <c r="AL102" s="145" t="s">
        <v>3876</v>
      </c>
      <c r="AM102" s="143" t="s">
        <v>889</v>
      </c>
      <c r="AN102" s="163">
        <v>45473</v>
      </c>
      <c r="AO102" s="163">
        <v>45473</v>
      </c>
      <c r="AP102" s="145" t="s">
        <v>3876</v>
      </c>
      <c r="AQ102" s="144">
        <v>399218</v>
      </c>
      <c r="AR102" s="143" t="s">
        <v>3804</v>
      </c>
      <c r="AS102" s="145" t="s">
        <v>3876</v>
      </c>
      <c r="AT102" s="144">
        <v>410.19650000000001</v>
      </c>
      <c r="AU102" s="144">
        <v>410.19649500000003</v>
      </c>
      <c r="AV102" s="145" t="s">
        <v>3876</v>
      </c>
      <c r="AW102" s="145" t="s">
        <v>3876</v>
      </c>
      <c r="AX102" s="145" t="s">
        <v>3876</v>
      </c>
      <c r="AY102" s="145" t="s">
        <v>3876</v>
      </c>
      <c r="AZ102" s="146">
        <v>7.0936103127257864E-4</v>
      </c>
      <c r="BA102" s="147">
        <v>1.8177475696745868E-5</v>
      </c>
      <c r="BB102" s="181"/>
    </row>
    <row r="103" spans="1:54" ht="15" x14ac:dyDescent="0.2">
      <c r="A103" s="142" t="s">
        <v>1220</v>
      </c>
      <c r="B103" s="143" t="s">
        <v>1220</v>
      </c>
      <c r="C103" s="145" t="s">
        <v>3876</v>
      </c>
      <c r="D103" s="145" t="s">
        <v>3876</v>
      </c>
      <c r="E103" s="145" t="s">
        <v>3876</v>
      </c>
      <c r="F103" s="143" t="s">
        <v>3805</v>
      </c>
      <c r="G103" s="143" t="s">
        <v>1012</v>
      </c>
      <c r="H103" s="143" t="s">
        <v>784</v>
      </c>
      <c r="I103" s="143" t="s">
        <v>204</v>
      </c>
      <c r="J103" s="145" t="s">
        <v>3876</v>
      </c>
      <c r="K103" s="143" t="s">
        <v>443</v>
      </c>
      <c r="L103" s="143" t="s">
        <v>339</v>
      </c>
      <c r="M103" s="143" t="s">
        <v>338</v>
      </c>
      <c r="N103" s="145" t="s">
        <v>3876</v>
      </c>
      <c r="O103" s="143" t="s">
        <v>3781</v>
      </c>
      <c r="P103" s="145" t="s">
        <v>3876</v>
      </c>
      <c r="Q103" s="143" t="s">
        <v>410</v>
      </c>
      <c r="R103" s="143" t="s">
        <v>410</v>
      </c>
      <c r="S103" s="143" t="s">
        <v>1210</v>
      </c>
      <c r="T103" s="144">
        <v>0.87</v>
      </c>
      <c r="U103" s="170" t="s">
        <v>823</v>
      </c>
      <c r="V103" s="146">
        <v>7.0000000000000007E-2</v>
      </c>
      <c r="W103" s="145" t="s">
        <v>3876</v>
      </c>
      <c r="X103" s="145" t="s">
        <v>3876</v>
      </c>
      <c r="Y103" s="166">
        <v>0</v>
      </c>
      <c r="Z103" s="146">
        <v>7.1199999999999999E-2</v>
      </c>
      <c r="AA103" s="143" t="s">
        <v>3806</v>
      </c>
      <c r="AB103" s="143" t="s">
        <v>412</v>
      </c>
      <c r="AC103" s="145" t="s">
        <v>3876</v>
      </c>
      <c r="AD103" s="145" t="s">
        <v>3876</v>
      </c>
      <c r="AE103" s="171">
        <v>0.67</v>
      </c>
      <c r="AF103" s="143" t="s">
        <v>3667</v>
      </c>
      <c r="AG103" s="145" t="s">
        <v>3876</v>
      </c>
      <c r="AH103" s="145" t="s">
        <v>3876</v>
      </c>
      <c r="AI103" s="145" t="s">
        <v>3876</v>
      </c>
      <c r="AJ103" s="143" t="s">
        <v>338</v>
      </c>
      <c r="AK103" s="143" t="s">
        <v>886</v>
      </c>
      <c r="AL103" s="145" t="s">
        <v>3876</v>
      </c>
      <c r="AM103" s="143" t="s">
        <v>889</v>
      </c>
      <c r="AN103" s="163">
        <v>45473</v>
      </c>
      <c r="AO103" s="163">
        <v>45473</v>
      </c>
      <c r="AP103" s="145" t="s">
        <v>3876</v>
      </c>
      <c r="AQ103" s="144">
        <v>384480</v>
      </c>
      <c r="AR103" s="143" t="s">
        <v>3807</v>
      </c>
      <c r="AS103" s="145" t="s">
        <v>3876</v>
      </c>
      <c r="AT103" s="144">
        <v>394.47649999999999</v>
      </c>
      <c r="AU103" s="144">
        <v>394.47647999999998</v>
      </c>
      <c r="AV103" s="145" t="s">
        <v>3876</v>
      </c>
      <c r="AW103" s="145" t="s">
        <v>3876</v>
      </c>
      <c r="AX103" s="145" t="s">
        <v>3876</v>
      </c>
      <c r="AY103" s="145" t="s">
        <v>3876</v>
      </c>
      <c r="AZ103" s="146">
        <v>6.8217609383906797E-4</v>
      </c>
      <c r="BA103" s="147">
        <v>1.7480857870659911E-5</v>
      </c>
      <c r="BB103" s="181"/>
    </row>
    <row r="104" spans="1:54" ht="15" x14ac:dyDescent="0.2">
      <c r="A104" s="142" t="s">
        <v>1220</v>
      </c>
      <c r="B104" s="143" t="s">
        <v>1220</v>
      </c>
      <c r="C104" s="145" t="s">
        <v>3876</v>
      </c>
      <c r="D104" s="145" t="s">
        <v>3876</v>
      </c>
      <c r="E104" s="145" t="s">
        <v>3876</v>
      </c>
      <c r="F104" s="143" t="s">
        <v>3808</v>
      </c>
      <c r="G104" s="143" t="s">
        <v>1012</v>
      </c>
      <c r="H104" s="143" t="s">
        <v>784</v>
      </c>
      <c r="I104" s="143" t="s">
        <v>204</v>
      </c>
      <c r="J104" s="145" t="s">
        <v>3876</v>
      </c>
      <c r="K104" s="143" t="s">
        <v>443</v>
      </c>
      <c r="L104" s="143" t="s">
        <v>339</v>
      </c>
      <c r="M104" s="143" t="s">
        <v>338</v>
      </c>
      <c r="N104" s="145" t="s">
        <v>3876</v>
      </c>
      <c r="O104" s="143" t="s">
        <v>3809</v>
      </c>
      <c r="P104" s="145" t="s">
        <v>3876</v>
      </c>
      <c r="Q104" s="143" t="s">
        <v>410</v>
      </c>
      <c r="R104" s="143" t="s">
        <v>410</v>
      </c>
      <c r="S104" s="143" t="s">
        <v>1210</v>
      </c>
      <c r="T104" s="144">
        <v>0.87</v>
      </c>
      <c r="U104" s="170" t="s">
        <v>823</v>
      </c>
      <c r="V104" s="146">
        <v>7.0000000000000007E-2</v>
      </c>
      <c r="W104" s="145" t="s">
        <v>3876</v>
      </c>
      <c r="X104" s="145" t="s">
        <v>3876</v>
      </c>
      <c r="Y104" s="166">
        <v>0</v>
      </c>
      <c r="Z104" s="146">
        <v>7.0499999999999993E-2</v>
      </c>
      <c r="AA104" s="143" t="s">
        <v>3785</v>
      </c>
      <c r="AB104" s="143" t="s">
        <v>412</v>
      </c>
      <c r="AC104" s="145" t="s">
        <v>3876</v>
      </c>
      <c r="AD104" s="145" t="s">
        <v>3876</v>
      </c>
      <c r="AE104" s="171">
        <v>0.67</v>
      </c>
      <c r="AF104" s="143" t="s">
        <v>3667</v>
      </c>
      <c r="AG104" s="145" t="s">
        <v>3876</v>
      </c>
      <c r="AH104" s="145" t="s">
        <v>3876</v>
      </c>
      <c r="AI104" s="145" t="s">
        <v>3876</v>
      </c>
      <c r="AJ104" s="143" t="s">
        <v>338</v>
      </c>
      <c r="AK104" s="143" t="s">
        <v>886</v>
      </c>
      <c r="AL104" s="145" t="s">
        <v>3876</v>
      </c>
      <c r="AM104" s="143" t="s">
        <v>889</v>
      </c>
      <c r="AN104" s="163">
        <v>45473</v>
      </c>
      <c r="AO104" s="163">
        <v>45473</v>
      </c>
      <c r="AP104" s="145" t="s">
        <v>3876</v>
      </c>
      <c r="AQ104" s="144">
        <v>345994</v>
      </c>
      <c r="AR104" s="143" t="s">
        <v>3810</v>
      </c>
      <c r="AS104" s="145" t="s">
        <v>3876</v>
      </c>
      <c r="AT104" s="144">
        <v>355.19740000000002</v>
      </c>
      <c r="AU104" s="144">
        <v>355.19744039999995</v>
      </c>
      <c r="AV104" s="145" t="s">
        <v>3876</v>
      </c>
      <c r="AW104" s="145" t="s">
        <v>3876</v>
      </c>
      <c r="AX104" s="145" t="s">
        <v>3876</v>
      </c>
      <c r="AY104" s="145" t="s">
        <v>3876</v>
      </c>
      <c r="AZ104" s="146">
        <v>6.1425006234518001E-4</v>
      </c>
      <c r="BA104" s="147">
        <v>1.574024380783005E-5</v>
      </c>
      <c r="BB104" s="181"/>
    </row>
    <row r="105" spans="1:54" ht="15" x14ac:dyDescent="0.2">
      <c r="A105" s="142" t="s">
        <v>1220</v>
      </c>
      <c r="B105" s="143" t="s">
        <v>1220</v>
      </c>
      <c r="C105" s="145" t="s">
        <v>3876</v>
      </c>
      <c r="D105" s="145" t="s">
        <v>3876</v>
      </c>
      <c r="E105" s="145" t="s">
        <v>3876</v>
      </c>
      <c r="F105" s="143" t="s">
        <v>3815</v>
      </c>
      <c r="G105" s="143" t="s">
        <v>1012</v>
      </c>
      <c r="H105" s="143" t="s">
        <v>784</v>
      </c>
      <c r="I105" s="143" t="s">
        <v>204</v>
      </c>
      <c r="J105" s="145" t="s">
        <v>3876</v>
      </c>
      <c r="K105" s="143" t="s">
        <v>443</v>
      </c>
      <c r="L105" s="143" t="s">
        <v>339</v>
      </c>
      <c r="M105" s="143" t="s">
        <v>338</v>
      </c>
      <c r="N105" s="145" t="s">
        <v>3876</v>
      </c>
      <c r="O105" s="143" t="s">
        <v>3816</v>
      </c>
      <c r="P105" s="145" t="s">
        <v>3876</v>
      </c>
      <c r="Q105" s="143" t="s">
        <v>410</v>
      </c>
      <c r="R105" s="143" t="s">
        <v>410</v>
      </c>
      <c r="S105" s="143" t="s">
        <v>1210</v>
      </c>
      <c r="T105" s="144">
        <v>0.87</v>
      </c>
      <c r="U105" s="170" t="s">
        <v>823</v>
      </c>
      <c r="V105" s="146">
        <v>7.0000000000000007E-2</v>
      </c>
      <c r="W105" s="145" t="s">
        <v>3876</v>
      </c>
      <c r="X105" s="145" t="s">
        <v>3876</v>
      </c>
      <c r="Y105" s="166">
        <v>0</v>
      </c>
      <c r="Z105" s="146">
        <v>7.1599999999999997E-2</v>
      </c>
      <c r="AA105" s="143" t="s">
        <v>3806</v>
      </c>
      <c r="AB105" s="143" t="s">
        <v>412</v>
      </c>
      <c r="AC105" s="145" t="s">
        <v>3876</v>
      </c>
      <c r="AD105" s="145" t="s">
        <v>3876</v>
      </c>
      <c r="AE105" s="171">
        <v>0.67</v>
      </c>
      <c r="AF105" s="143" t="s">
        <v>3667</v>
      </c>
      <c r="AG105" s="145" t="s">
        <v>3876</v>
      </c>
      <c r="AH105" s="145" t="s">
        <v>3876</v>
      </c>
      <c r="AI105" s="145" t="s">
        <v>3876</v>
      </c>
      <c r="AJ105" s="143" t="s">
        <v>338</v>
      </c>
      <c r="AK105" s="143" t="s">
        <v>886</v>
      </c>
      <c r="AL105" s="145" t="s">
        <v>3876</v>
      </c>
      <c r="AM105" s="143" t="s">
        <v>889</v>
      </c>
      <c r="AN105" s="163">
        <v>45473</v>
      </c>
      <c r="AO105" s="163">
        <v>45473</v>
      </c>
      <c r="AP105" s="145" t="s">
        <v>3876</v>
      </c>
      <c r="AQ105" s="144">
        <v>256232</v>
      </c>
      <c r="AR105" s="143" t="s">
        <v>3817</v>
      </c>
      <c r="AS105" s="145" t="s">
        <v>3876</v>
      </c>
      <c r="AT105" s="144">
        <v>262.81720000000001</v>
      </c>
      <c r="AU105" s="144">
        <v>262.81716240000003</v>
      </c>
      <c r="AV105" s="145" t="s">
        <v>3876</v>
      </c>
      <c r="AW105" s="145" t="s">
        <v>3876</v>
      </c>
      <c r="AX105" s="145" t="s">
        <v>3876</v>
      </c>
      <c r="AY105" s="145" t="s">
        <v>3876</v>
      </c>
      <c r="AZ105" s="146">
        <v>4.5449499356691673E-4</v>
      </c>
      <c r="BA105" s="147">
        <v>1.1646497813721475E-5</v>
      </c>
      <c r="BB105" s="181"/>
    </row>
    <row r="106" spans="1:54" ht="15" x14ac:dyDescent="0.2">
      <c r="A106" s="142" t="s">
        <v>1220</v>
      </c>
      <c r="B106" s="143" t="s">
        <v>1220</v>
      </c>
      <c r="C106" s="145" t="s">
        <v>3876</v>
      </c>
      <c r="D106" s="145" t="s">
        <v>3876</v>
      </c>
      <c r="E106" s="145" t="s">
        <v>3876</v>
      </c>
      <c r="F106" s="143" t="s">
        <v>3818</v>
      </c>
      <c r="G106" s="143" t="s">
        <v>1012</v>
      </c>
      <c r="H106" s="143" t="s">
        <v>784</v>
      </c>
      <c r="I106" s="143" t="s">
        <v>204</v>
      </c>
      <c r="J106" s="145" t="s">
        <v>3876</v>
      </c>
      <c r="K106" s="143" t="s">
        <v>443</v>
      </c>
      <c r="L106" s="143" t="s">
        <v>339</v>
      </c>
      <c r="M106" s="143" t="s">
        <v>338</v>
      </c>
      <c r="N106" s="145" t="s">
        <v>3876</v>
      </c>
      <c r="O106" s="143" t="s">
        <v>3819</v>
      </c>
      <c r="P106" s="145" t="s">
        <v>3876</v>
      </c>
      <c r="Q106" s="143" t="s">
        <v>410</v>
      </c>
      <c r="R106" s="143" t="s">
        <v>410</v>
      </c>
      <c r="S106" s="143" t="s">
        <v>1210</v>
      </c>
      <c r="T106" s="144">
        <v>0.87</v>
      </c>
      <c r="U106" s="170" t="s">
        <v>823</v>
      </c>
      <c r="V106" s="146">
        <v>7.0000000000000007E-2</v>
      </c>
      <c r="W106" s="145" t="s">
        <v>3876</v>
      </c>
      <c r="X106" s="145" t="s">
        <v>3876</v>
      </c>
      <c r="Y106" s="166">
        <v>0</v>
      </c>
      <c r="Z106" s="146">
        <v>7.1999999999999995E-2</v>
      </c>
      <c r="AA106" s="143" t="s">
        <v>3785</v>
      </c>
      <c r="AB106" s="143" t="s">
        <v>412</v>
      </c>
      <c r="AC106" s="145" t="s">
        <v>3876</v>
      </c>
      <c r="AD106" s="145" t="s">
        <v>3876</v>
      </c>
      <c r="AE106" s="171">
        <v>0.67</v>
      </c>
      <c r="AF106" s="143" t="s">
        <v>3667</v>
      </c>
      <c r="AG106" s="145" t="s">
        <v>3876</v>
      </c>
      <c r="AH106" s="145" t="s">
        <v>3876</v>
      </c>
      <c r="AI106" s="145" t="s">
        <v>3876</v>
      </c>
      <c r="AJ106" s="143" t="s">
        <v>338</v>
      </c>
      <c r="AK106" s="143" t="s">
        <v>886</v>
      </c>
      <c r="AL106" s="145" t="s">
        <v>3876</v>
      </c>
      <c r="AM106" s="143" t="s">
        <v>889</v>
      </c>
      <c r="AN106" s="163">
        <v>45473</v>
      </c>
      <c r="AO106" s="163">
        <v>45473</v>
      </c>
      <c r="AP106" s="145" t="s">
        <v>3876</v>
      </c>
      <c r="AQ106" s="144">
        <v>255660.39</v>
      </c>
      <c r="AR106" s="143" t="s">
        <v>3820</v>
      </c>
      <c r="AS106" s="145" t="s">
        <v>3876</v>
      </c>
      <c r="AT106" s="144">
        <v>262.12860000000001</v>
      </c>
      <c r="AU106" s="144">
        <v>262.12859789999999</v>
      </c>
      <c r="AV106" s="145" t="s">
        <v>3876</v>
      </c>
      <c r="AW106" s="145" t="s">
        <v>3876</v>
      </c>
      <c r="AX106" s="145" t="s">
        <v>3876</v>
      </c>
      <c r="AY106" s="145" t="s">
        <v>3876</v>
      </c>
      <c r="AZ106" s="146">
        <v>4.5330424510080269E-4</v>
      </c>
      <c r="BA106" s="147">
        <v>1.161598471763993E-5</v>
      </c>
      <c r="BB106" s="181"/>
    </row>
    <row r="107" spans="1:54" ht="15" x14ac:dyDescent="0.2">
      <c r="A107" s="142" t="s">
        <v>1220</v>
      </c>
      <c r="B107" s="143" t="s">
        <v>1220</v>
      </c>
      <c r="C107" s="145" t="s">
        <v>3876</v>
      </c>
      <c r="D107" s="145" t="s">
        <v>3876</v>
      </c>
      <c r="E107" s="145" t="s">
        <v>3876</v>
      </c>
      <c r="F107" s="143" t="s">
        <v>3834</v>
      </c>
      <c r="G107" s="143" t="s">
        <v>1012</v>
      </c>
      <c r="H107" s="145" t="s">
        <v>3876</v>
      </c>
      <c r="I107" s="143" t="s">
        <v>204</v>
      </c>
      <c r="J107" s="145" t="s">
        <v>3876</v>
      </c>
      <c r="K107" s="143" t="s">
        <v>454</v>
      </c>
      <c r="L107" s="143" t="s">
        <v>339</v>
      </c>
      <c r="M107" s="143" t="s">
        <v>338</v>
      </c>
      <c r="N107" s="145" t="s">
        <v>3876</v>
      </c>
      <c r="O107" s="143" t="s">
        <v>3835</v>
      </c>
      <c r="P107" s="143" t="s">
        <v>1721</v>
      </c>
      <c r="Q107" s="143" t="s">
        <v>413</v>
      </c>
      <c r="R107" s="143" t="s">
        <v>408</v>
      </c>
      <c r="S107" s="143" t="s">
        <v>1210</v>
      </c>
      <c r="T107" s="144">
        <v>5.89</v>
      </c>
      <c r="U107" s="170" t="s">
        <v>824</v>
      </c>
      <c r="V107" s="146">
        <v>3.3099999999999997E-2</v>
      </c>
      <c r="W107" s="145" t="s">
        <v>3876</v>
      </c>
      <c r="X107" s="145" t="s">
        <v>3876</v>
      </c>
      <c r="Y107" s="166">
        <v>0</v>
      </c>
      <c r="Z107" s="146">
        <v>3.44E-2</v>
      </c>
      <c r="AA107" s="143" t="s">
        <v>3718</v>
      </c>
      <c r="AB107" s="143" t="s">
        <v>412</v>
      </c>
      <c r="AC107" s="145" t="s">
        <v>3876</v>
      </c>
      <c r="AD107" s="145" t="s">
        <v>3876</v>
      </c>
      <c r="AE107" s="145" t="s">
        <v>3876</v>
      </c>
      <c r="AF107" s="145" t="s">
        <v>3876</v>
      </c>
      <c r="AG107" s="145" t="s">
        <v>3876</v>
      </c>
      <c r="AH107" s="145" t="s">
        <v>3876</v>
      </c>
      <c r="AI107" s="145" t="s">
        <v>3876</v>
      </c>
      <c r="AJ107" s="145" t="s">
        <v>3876</v>
      </c>
      <c r="AK107" s="143" t="s">
        <v>886</v>
      </c>
      <c r="AL107" s="145" t="s">
        <v>3876</v>
      </c>
      <c r="AM107" s="143" t="s">
        <v>889</v>
      </c>
      <c r="AN107" s="163">
        <v>45473</v>
      </c>
      <c r="AO107" s="163">
        <v>45473</v>
      </c>
      <c r="AP107" s="145" t="s">
        <v>3876</v>
      </c>
      <c r="AQ107" s="144">
        <v>182494.33</v>
      </c>
      <c r="AR107" s="143" t="s">
        <v>3836</v>
      </c>
      <c r="AS107" s="145" t="s">
        <v>3876</v>
      </c>
      <c r="AT107" s="144">
        <v>208.08</v>
      </c>
      <c r="AU107" s="144">
        <v>208.0800351</v>
      </c>
      <c r="AV107" s="145" t="s">
        <v>3876</v>
      </c>
      <c r="AW107" s="145" t="s">
        <v>3876</v>
      </c>
      <c r="AX107" s="145" t="s">
        <v>3876</v>
      </c>
      <c r="AY107" s="145" t="s">
        <v>3876</v>
      </c>
      <c r="AZ107" s="146">
        <v>3.5983698071738056E-4</v>
      </c>
      <c r="BA107" s="147">
        <v>9.2208729876890906E-6</v>
      </c>
      <c r="BB107" s="181"/>
    </row>
    <row r="108" spans="1:54" ht="15" x14ac:dyDescent="0.2">
      <c r="A108" s="142" t="s">
        <v>1220</v>
      </c>
      <c r="B108" s="143" t="s">
        <v>1220</v>
      </c>
      <c r="C108" s="145" t="s">
        <v>3876</v>
      </c>
      <c r="D108" s="145" t="s">
        <v>3876</v>
      </c>
      <c r="E108" s="145" t="s">
        <v>3876</v>
      </c>
      <c r="F108" s="143" t="s">
        <v>3821</v>
      </c>
      <c r="G108" s="143" t="s">
        <v>1012</v>
      </c>
      <c r="H108" s="143" t="s">
        <v>784</v>
      </c>
      <c r="I108" s="143" t="s">
        <v>204</v>
      </c>
      <c r="J108" s="145" t="s">
        <v>3876</v>
      </c>
      <c r="K108" s="143" t="s">
        <v>443</v>
      </c>
      <c r="L108" s="143" t="s">
        <v>339</v>
      </c>
      <c r="M108" s="143" t="s">
        <v>338</v>
      </c>
      <c r="N108" s="145" t="s">
        <v>3876</v>
      </c>
      <c r="O108" s="143" t="s">
        <v>3822</v>
      </c>
      <c r="P108" s="145" t="s">
        <v>3876</v>
      </c>
      <c r="Q108" s="143" t="s">
        <v>410</v>
      </c>
      <c r="R108" s="143" t="s">
        <v>410</v>
      </c>
      <c r="S108" s="143" t="s">
        <v>1210</v>
      </c>
      <c r="T108" s="144">
        <v>0.87</v>
      </c>
      <c r="U108" s="170" t="s">
        <v>823</v>
      </c>
      <c r="V108" s="146">
        <v>7.0000000000000007E-2</v>
      </c>
      <c r="W108" s="145" t="s">
        <v>3876</v>
      </c>
      <c r="X108" s="145" t="s">
        <v>3876</v>
      </c>
      <c r="Y108" s="166">
        <v>0</v>
      </c>
      <c r="Z108" s="146">
        <v>7.2599999999999998E-2</v>
      </c>
      <c r="AA108" s="143" t="s">
        <v>3806</v>
      </c>
      <c r="AB108" s="143" t="s">
        <v>412</v>
      </c>
      <c r="AC108" s="145" t="s">
        <v>3876</v>
      </c>
      <c r="AD108" s="145" t="s">
        <v>3876</v>
      </c>
      <c r="AE108" s="171">
        <v>0.67</v>
      </c>
      <c r="AF108" s="143" t="s">
        <v>3823</v>
      </c>
      <c r="AG108" s="145" t="s">
        <v>3876</v>
      </c>
      <c r="AH108" s="145" t="s">
        <v>3876</v>
      </c>
      <c r="AI108" s="145" t="s">
        <v>3876</v>
      </c>
      <c r="AJ108" s="143" t="s">
        <v>338</v>
      </c>
      <c r="AK108" s="143" t="s">
        <v>886</v>
      </c>
      <c r="AL108" s="145" t="s">
        <v>3876</v>
      </c>
      <c r="AM108" s="143" t="s">
        <v>889</v>
      </c>
      <c r="AN108" s="163">
        <v>45473</v>
      </c>
      <c r="AO108" s="163">
        <v>45473</v>
      </c>
      <c r="AP108" s="145" t="s">
        <v>3876</v>
      </c>
      <c r="AQ108" s="144">
        <v>192219</v>
      </c>
      <c r="AR108" s="143" t="s">
        <v>3824</v>
      </c>
      <c r="AS108" s="145" t="s">
        <v>3876</v>
      </c>
      <c r="AT108" s="144">
        <v>196.98599999999999</v>
      </c>
      <c r="AU108" s="144">
        <v>196.98603119999999</v>
      </c>
      <c r="AV108" s="145" t="s">
        <v>3876</v>
      </c>
      <c r="AW108" s="145" t="s">
        <v>3876</v>
      </c>
      <c r="AX108" s="145" t="s">
        <v>3876</v>
      </c>
      <c r="AY108" s="145" t="s">
        <v>3876</v>
      </c>
      <c r="AZ108" s="146">
        <v>3.406518971799707E-4</v>
      </c>
      <c r="BA108" s="147">
        <v>8.7292525372173737E-6</v>
      </c>
      <c r="BB108" s="181"/>
    </row>
    <row r="109" spans="1:54" ht="15" x14ac:dyDescent="0.2">
      <c r="A109" s="142" t="s">
        <v>1220</v>
      </c>
      <c r="B109" s="143" t="s">
        <v>1220</v>
      </c>
      <c r="C109" s="145" t="s">
        <v>3876</v>
      </c>
      <c r="D109" s="145" t="s">
        <v>3876</v>
      </c>
      <c r="E109" s="145" t="s">
        <v>3876</v>
      </c>
      <c r="F109" s="143" t="s">
        <v>3825</v>
      </c>
      <c r="G109" s="143" t="s">
        <v>1012</v>
      </c>
      <c r="H109" s="143" t="s">
        <v>784</v>
      </c>
      <c r="I109" s="143" t="s">
        <v>204</v>
      </c>
      <c r="J109" s="145" t="s">
        <v>3876</v>
      </c>
      <c r="K109" s="143" t="s">
        <v>443</v>
      </c>
      <c r="L109" s="143" t="s">
        <v>339</v>
      </c>
      <c r="M109" s="143" t="s">
        <v>338</v>
      </c>
      <c r="N109" s="145" t="s">
        <v>3876</v>
      </c>
      <c r="O109" s="143" t="s">
        <v>3826</v>
      </c>
      <c r="P109" s="145" t="s">
        <v>3876</v>
      </c>
      <c r="Q109" s="143" t="s">
        <v>410</v>
      </c>
      <c r="R109" s="143" t="s">
        <v>410</v>
      </c>
      <c r="S109" s="143" t="s">
        <v>1210</v>
      </c>
      <c r="T109" s="144">
        <v>0.87</v>
      </c>
      <c r="U109" s="170" t="s">
        <v>823</v>
      </c>
      <c r="V109" s="146">
        <v>7.0000000000000007E-2</v>
      </c>
      <c r="W109" s="145" t="s">
        <v>3876</v>
      </c>
      <c r="X109" s="145" t="s">
        <v>3876</v>
      </c>
      <c r="Y109" s="166">
        <v>0</v>
      </c>
      <c r="Z109" s="146">
        <v>7.3400000000000007E-2</v>
      </c>
      <c r="AA109" s="143" t="s">
        <v>3785</v>
      </c>
      <c r="AB109" s="143" t="s">
        <v>412</v>
      </c>
      <c r="AC109" s="145" t="s">
        <v>3876</v>
      </c>
      <c r="AD109" s="145" t="s">
        <v>3876</v>
      </c>
      <c r="AE109" s="171">
        <v>0.67</v>
      </c>
      <c r="AF109" s="143" t="s">
        <v>3667</v>
      </c>
      <c r="AG109" s="145" t="s">
        <v>3876</v>
      </c>
      <c r="AH109" s="145" t="s">
        <v>3876</v>
      </c>
      <c r="AI109" s="145" t="s">
        <v>3876</v>
      </c>
      <c r="AJ109" s="143" t="s">
        <v>338</v>
      </c>
      <c r="AK109" s="143" t="s">
        <v>886</v>
      </c>
      <c r="AL109" s="145" t="s">
        <v>3876</v>
      </c>
      <c r="AM109" s="143" t="s">
        <v>889</v>
      </c>
      <c r="AN109" s="163">
        <v>45473</v>
      </c>
      <c r="AO109" s="163">
        <v>45473</v>
      </c>
      <c r="AP109" s="145" t="s">
        <v>3876</v>
      </c>
      <c r="AQ109" s="144">
        <v>192210</v>
      </c>
      <c r="AR109" s="143" t="s">
        <v>3827</v>
      </c>
      <c r="AS109" s="145" t="s">
        <v>3876</v>
      </c>
      <c r="AT109" s="144">
        <v>196.86150000000001</v>
      </c>
      <c r="AU109" s="144">
        <v>196.861482</v>
      </c>
      <c r="AV109" s="145" t="s">
        <v>3876</v>
      </c>
      <c r="AW109" s="145" t="s">
        <v>3876</v>
      </c>
      <c r="AX109" s="145" t="s">
        <v>3876</v>
      </c>
      <c r="AY109" s="145" t="s">
        <v>3876</v>
      </c>
      <c r="AZ109" s="146">
        <v>3.4043651174876126E-4</v>
      </c>
      <c r="BA109" s="147">
        <v>8.7237332554008652E-6</v>
      </c>
      <c r="BB109" s="181"/>
    </row>
    <row r="110" spans="1:54" ht="15" x14ac:dyDescent="0.2">
      <c r="A110" s="142" t="s">
        <v>1220</v>
      </c>
      <c r="B110" s="143" t="s">
        <v>1220</v>
      </c>
      <c r="C110" s="145" t="s">
        <v>3876</v>
      </c>
      <c r="D110" s="145" t="s">
        <v>3876</v>
      </c>
      <c r="E110" s="145" t="s">
        <v>3876</v>
      </c>
      <c r="F110" s="143" t="s">
        <v>3828</v>
      </c>
      <c r="G110" s="143" t="s">
        <v>1012</v>
      </c>
      <c r="H110" s="143" t="s">
        <v>784</v>
      </c>
      <c r="I110" s="143" t="s">
        <v>204</v>
      </c>
      <c r="J110" s="145" t="s">
        <v>3876</v>
      </c>
      <c r="K110" s="143" t="s">
        <v>443</v>
      </c>
      <c r="L110" s="143" t="s">
        <v>339</v>
      </c>
      <c r="M110" s="143" t="s">
        <v>338</v>
      </c>
      <c r="N110" s="145" t="s">
        <v>3876</v>
      </c>
      <c r="O110" s="143" t="s">
        <v>3829</v>
      </c>
      <c r="P110" s="145" t="s">
        <v>3876</v>
      </c>
      <c r="Q110" s="143" t="s">
        <v>410</v>
      </c>
      <c r="R110" s="143" t="s">
        <v>410</v>
      </c>
      <c r="S110" s="143" t="s">
        <v>1210</v>
      </c>
      <c r="T110" s="144">
        <v>0.87</v>
      </c>
      <c r="U110" s="170" t="s">
        <v>823</v>
      </c>
      <c r="V110" s="146">
        <v>7.0000000000000007E-2</v>
      </c>
      <c r="W110" s="145" t="s">
        <v>3876</v>
      </c>
      <c r="X110" s="145" t="s">
        <v>3876</v>
      </c>
      <c r="Y110" s="166">
        <v>0</v>
      </c>
      <c r="Z110" s="146">
        <v>7.9799999999999996E-2</v>
      </c>
      <c r="AA110" s="143" t="s">
        <v>3785</v>
      </c>
      <c r="AB110" s="143" t="s">
        <v>412</v>
      </c>
      <c r="AC110" s="145" t="s">
        <v>3876</v>
      </c>
      <c r="AD110" s="145" t="s">
        <v>3876</v>
      </c>
      <c r="AE110" s="171">
        <v>0.67</v>
      </c>
      <c r="AF110" s="143" t="s">
        <v>3667</v>
      </c>
      <c r="AG110" s="145" t="s">
        <v>3876</v>
      </c>
      <c r="AH110" s="145" t="s">
        <v>3876</v>
      </c>
      <c r="AI110" s="145" t="s">
        <v>3876</v>
      </c>
      <c r="AJ110" s="143" t="s">
        <v>338</v>
      </c>
      <c r="AK110" s="143" t="s">
        <v>886</v>
      </c>
      <c r="AL110" s="145" t="s">
        <v>3876</v>
      </c>
      <c r="AM110" s="143" t="s">
        <v>889</v>
      </c>
      <c r="AN110" s="163">
        <v>45473</v>
      </c>
      <c r="AO110" s="163">
        <v>45473</v>
      </c>
      <c r="AP110" s="145" t="s">
        <v>3876</v>
      </c>
      <c r="AQ110" s="144">
        <v>192099</v>
      </c>
      <c r="AR110" s="143" t="s">
        <v>3830</v>
      </c>
      <c r="AS110" s="145" t="s">
        <v>3876</v>
      </c>
      <c r="AT110" s="144">
        <v>195.72970000000001</v>
      </c>
      <c r="AU110" s="144">
        <v>195.72967109999999</v>
      </c>
      <c r="AV110" s="145" t="s">
        <v>3876</v>
      </c>
      <c r="AW110" s="145" t="s">
        <v>3876</v>
      </c>
      <c r="AX110" s="145" t="s">
        <v>3876</v>
      </c>
      <c r="AY110" s="145" t="s">
        <v>3876</v>
      </c>
      <c r="AZ110" s="146">
        <v>3.3847924844442815E-4</v>
      </c>
      <c r="BA110" s="147">
        <v>8.6735781093212715E-6</v>
      </c>
      <c r="BB110" s="181"/>
    </row>
    <row r="111" spans="1:54" ht="15" x14ac:dyDescent="0.2">
      <c r="A111" s="142" t="s">
        <v>1220</v>
      </c>
      <c r="B111" s="143" t="s">
        <v>1220</v>
      </c>
      <c r="C111" s="145" t="s">
        <v>3876</v>
      </c>
      <c r="D111" s="145" t="s">
        <v>3876</v>
      </c>
      <c r="E111" s="145" t="s">
        <v>3876</v>
      </c>
      <c r="F111" s="143" t="s">
        <v>3831</v>
      </c>
      <c r="G111" s="143" t="s">
        <v>1012</v>
      </c>
      <c r="H111" s="143" t="s">
        <v>784</v>
      </c>
      <c r="I111" s="143" t="s">
        <v>204</v>
      </c>
      <c r="J111" s="145" t="s">
        <v>3876</v>
      </c>
      <c r="K111" s="143" t="s">
        <v>443</v>
      </c>
      <c r="L111" s="143" t="s">
        <v>339</v>
      </c>
      <c r="M111" s="143" t="s">
        <v>338</v>
      </c>
      <c r="N111" s="145" t="s">
        <v>3876</v>
      </c>
      <c r="O111" s="143" t="s">
        <v>3832</v>
      </c>
      <c r="P111" s="145" t="s">
        <v>3876</v>
      </c>
      <c r="Q111" s="143" t="s">
        <v>410</v>
      </c>
      <c r="R111" s="143" t="s">
        <v>410</v>
      </c>
      <c r="S111" s="143" t="s">
        <v>1210</v>
      </c>
      <c r="T111" s="144">
        <v>0.87</v>
      </c>
      <c r="U111" s="170" t="s">
        <v>823</v>
      </c>
      <c r="V111" s="146">
        <v>7.0000000000000007E-2</v>
      </c>
      <c r="W111" s="145" t="s">
        <v>3876</v>
      </c>
      <c r="X111" s="145" t="s">
        <v>3876</v>
      </c>
      <c r="Y111" s="166">
        <v>0</v>
      </c>
      <c r="Z111" s="146">
        <v>8.2900000000000001E-2</v>
      </c>
      <c r="AA111" s="143" t="s">
        <v>3785</v>
      </c>
      <c r="AB111" s="143" t="s">
        <v>412</v>
      </c>
      <c r="AC111" s="145" t="s">
        <v>3876</v>
      </c>
      <c r="AD111" s="145" t="s">
        <v>3876</v>
      </c>
      <c r="AE111" s="171">
        <v>0.67</v>
      </c>
      <c r="AF111" s="143" t="s">
        <v>3667</v>
      </c>
      <c r="AG111" s="145" t="s">
        <v>3876</v>
      </c>
      <c r="AH111" s="145" t="s">
        <v>3876</v>
      </c>
      <c r="AI111" s="145" t="s">
        <v>3876</v>
      </c>
      <c r="AJ111" s="143" t="s">
        <v>338</v>
      </c>
      <c r="AK111" s="143" t="s">
        <v>886</v>
      </c>
      <c r="AL111" s="145" t="s">
        <v>3876</v>
      </c>
      <c r="AM111" s="143" t="s">
        <v>889</v>
      </c>
      <c r="AN111" s="163">
        <v>45473</v>
      </c>
      <c r="AO111" s="163">
        <v>45473</v>
      </c>
      <c r="AP111" s="145" t="s">
        <v>3876</v>
      </c>
      <c r="AQ111" s="144">
        <v>192066</v>
      </c>
      <c r="AR111" s="143" t="s">
        <v>3833</v>
      </c>
      <c r="AS111" s="145" t="s">
        <v>3876</v>
      </c>
      <c r="AT111" s="144">
        <v>194.56289999999998</v>
      </c>
      <c r="AU111" s="144">
        <v>194.56285800000001</v>
      </c>
      <c r="AV111" s="145" t="s">
        <v>3876</v>
      </c>
      <c r="AW111" s="145" t="s">
        <v>3876</v>
      </c>
      <c r="AX111" s="145" t="s">
        <v>3876</v>
      </c>
      <c r="AY111" s="145" t="s">
        <v>3876</v>
      </c>
      <c r="AZ111" s="146">
        <v>3.3646145513315586E-4</v>
      </c>
      <c r="BA111" s="147">
        <v>8.6218718733430851E-6</v>
      </c>
      <c r="BB111" s="181"/>
    </row>
    <row r="112" spans="1:54" ht="15" x14ac:dyDescent="0.2">
      <c r="A112" s="142" t="s">
        <v>1220</v>
      </c>
      <c r="B112" s="143" t="s">
        <v>1220</v>
      </c>
      <c r="C112" s="145" t="s">
        <v>3876</v>
      </c>
      <c r="D112" s="145" t="s">
        <v>3876</v>
      </c>
      <c r="E112" s="145" t="s">
        <v>3876</v>
      </c>
      <c r="F112" s="143" t="s">
        <v>3837</v>
      </c>
      <c r="G112" s="143" t="s">
        <v>1012</v>
      </c>
      <c r="H112" s="143" t="s">
        <v>784</v>
      </c>
      <c r="I112" s="143" t="s">
        <v>204</v>
      </c>
      <c r="J112" s="145" t="s">
        <v>3876</v>
      </c>
      <c r="K112" s="143" t="s">
        <v>443</v>
      </c>
      <c r="L112" s="143" t="s">
        <v>339</v>
      </c>
      <c r="M112" s="143" t="s">
        <v>338</v>
      </c>
      <c r="N112" s="145" t="s">
        <v>3876</v>
      </c>
      <c r="O112" s="143" t="s">
        <v>3838</v>
      </c>
      <c r="P112" s="145" t="s">
        <v>3876</v>
      </c>
      <c r="Q112" s="143" t="s">
        <v>410</v>
      </c>
      <c r="R112" s="143" t="s">
        <v>410</v>
      </c>
      <c r="S112" s="143" t="s">
        <v>1210</v>
      </c>
      <c r="T112" s="144">
        <v>0.87</v>
      </c>
      <c r="U112" s="170" t="s">
        <v>823</v>
      </c>
      <c r="V112" s="146">
        <v>7.0000000000000007E-2</v>
      </c>
      <c r="W112" s="145" t="s">
        <v>3876</v>
      </c>
      <c r="X112" s="145" t="s">
        <v>3876</v>
      </c>
      <c r="Y112" s="166">
        <v>0</v>
      </c>
      <c r="Z112" s="146">
        <v>7.1900000000000006E-2</v>
      </c>
      <c r="AA112" s="143" t="s">
        <v>3806</v>
      </c>
      <c r="AB112" s="143" t="s">
        <v>412</v>
      </c>
      <c r="AC112" s="145" t="s">
        <v>3876</v>
      </c>
      <c r="AD112" s="145" t="s">
        <v>3876</v>
      </c>
      <c r="AE112" s="171">
        <v>0.67</v>
      </c>
      <c r="AF112" s="143" t="s">
        <v>3667</v>
      </c>
      <c r="AG112" s="145" t="s">
        <v>3876</v>
      </c>
      <c r="AH112" s="145" t="s">
        <v>3876</v>
      </c>
      <c r="AI112" s="145" t="s">
        <v>3876</v>
      </c>
      <c r="AJ112" s="143" t="s">
        <v>338</v>
      </c>
      <c r="AK112" s="143" t="s">
        <v>886</v>
      </c>
      <c r="AL112" s="145" t="s">
        <v>3876</v>
      </c>
      <c r="AM112" s="143" t="s">
        <v>889</v>
      </c>
      <c r="AN112" s="163">
        <v>45473</v>
      </c>
      <c r="AO112" s="163">
        <v>45473</v>
      </c>
      <c r="AP112" s="145" t="s">
        <v>3876</v>
      </c>
      <c r="AQ112" s="144">
        <v>166537</v>
      </c>
      <c r="AR112" s="143" t="s">
        <v>3839</v>
      </c>
      <c r="AS112" s="145" t="s">
        <v>3876</v>
      </c>
      <c r="AT112" s="144">
        <v>170.767</v>
      </c>
      <c r="AU112" s="144">
        <v>170.76703980000002</v>
      </c>
      <c r="AV112" s="145" t="s">
        <v>3876</v>
      </c>
      <c r="AW112" s="145" t="s">
        <v>3876</v>
      </c>
      <c r="AX112" s="145" t="s">
        <v>3876</v>
      </c>
      <c r="AY112" s="145" t="s">
        <v>3876</v>
      </c>
      <c r="AZ112" s="146">
        <v>2.9531086914795187E-4</v>
      </c>
      <c r="BA112" s="147">
        <v>7.5673823487198125E-6</v>
      </c>
      <c r="BB112" s="181"/>
    </row>
    <row r="113" spans="1:54" ht="15" x14ac:dyDescent="0.2">
      <c r="A113" s="142" t="s">
        <v>1220</v>
      </c>
      <c r="B113" s="143" t="s">
        <v>1220</v>
      </c>
      <c r="C113" s="145" t="s">
        <v>3876</v>
      </c>
      <c r="D113" s="145" t="s">
        <v>3876</v>
      </c>
      <c r="E113" s="145" t="s">
        <v>3876</v>
      </c>
      <c r="F113" s="143" t="s">
        <v>3840</v>
      </c>
      <c r="G113" s="143" t="s">
        <v>1012</v>
      </c>
      <c r="H113" s="143" t="s">
        <v>784</v>
      </c>
      <c r="I113" s="143" t="s">
        <v>204</v>
      </c>
      <c r="J113" s="145" t="s">
        <v>3876</v>
      </c>
      <c r="K113" s="143" t="s">
        <v>443</v>
      </c>
      <c r="L113" s="143" t="s">
        <v>339</v>
      </c>
      <c r="M113" s="143" t="s">
        <v>338</v>
      </c>
      <c r="N113" s="145" t="s">
        <v>3876</v>
      </c>
      <c r="O113" s="143" t="s">
        <v>3841</v>
      </c>
      <c r="P113" s="145" t="s">
        <v>3876</v>
      </c>
      <c r="Q113" s="143" t="s">
        <v>410</v>
      </c>
      <c r="R113" s="143" t="s">
        <v>410</v>
      </c>
      <c r="S113" s="143" t="s">
        <v>1210</v>
      </c>
      <c r="T113" s="144">
        <v>0.87</v>
      </c>
      <c r="U113" s="170" t="s">
        <v>823</v>
      </c>
      <c r="V113" s="146">
        <v>7.0000000000000007E-2</v>
      </c>
      <c r="W113" s="145" t="s">
        <v>3876</v>
      </c>
      <c r="X113" s="145" t="s">
        <v>3876</v>
      </c>
      <c r="Y113" s="166">
        <v>0</v>
      </c>
      <c r="Z113" s="146">
        <v>7.7799999999999994E-2</v>
      </c>
      <c r="AA113" s="143" t="s">
        <v>3785</v>
      </c>
      <c r="AB113" s="143" t="s">
        <v>412</v>
      </c>
      <c r="AC113" s="145" t="s">
        <v>3876</v>
      </c>
      <c r="AD113" s="145" t="s">
        <v>3876</v>
      </c>
      <c r="AE113" s="171">
        <v>0.67</v>
      </c>
      <c r="AF113" s="143" t="s">
        <v>3667</v>
      </c>
      <c r="AG113" s="145" t="s">
        <v>3876</v>
      </c>
      <c r="AH113" s="145" t="s">
        <v>3876</v>
      </c>
      <c r="AI113" s="145" t="s">
        <v>3876</v>
      </c>
      <c r="AJ113" s="143" t="s">
        <v>338</v>
      </c>
      <c r="AK113" s="143" t="s">
        <v>886</v>
      </c>
      <c r="AL113" s="145" t="s">
        <v>3876</v>
      </c>
      <c r="AM113" s="143" t="s">
        <v>889</v>
      </c>
      <c r="AN113" s="163">
        <v>45473</v>
      </c>
      <c r="AO113" s="163">
        <v>45473</v>
      </c>
      <c r="AP113" s="145" t="s">
        <v>3876</v>
      </c>
      <c r="AQ113" s="144">
        <v>140868</v>
      </c>
      <c r="AR113" s="143" t="s">
        <v>3842</v>
      </c>
      <c r="AS113" s="145" t="s">
        <v>3876</v>
      </c>
      <c r="AT113" s="144">
        <v>143.75579999999999</v>
      </c>
      <c r="AU113" s="144">
        <v>143.75579400000001</v>
      </c>
      <c r="AV113" s="145" t="s">
        <v>3876</v>
      </c>
      <c r="AW113" s="145" t="s">
        <v>3876</v>
      </c>
      <c r="AX113" s="145" t="s">
        <v>3876</v>
      </c>
      <c r="AY113" s="145" t="s">
        <v>3876</v>
      </c>
      <c r="AZ113" s="146">
        <v>2.4859977968180437E-4</v>
      </c>
      <c r="BA113" s="147">
        <v>6.3704041442416659E-6</v>
      </c>
      <c r="BB113" s="181"/>
    </row>
    <row r="114" spans="1:54" ht="15" x14ac:dyDescent="0.2">
      <c r="A114" s="142" t="s">
        <v>1220</v>
      </c>
      <c r="B114" s="143" t="s">
        <v>1220</v>
      </c>
      <c r="C114" s="145" t="s">
        <v>3876</v>
      </c>
      <c r="D114" s="145" t="s">
        <v>3876</v>
      </c>
      <c r="E114" s="145" t="s">
        <v>3876</v>
      </c>
      <c r="F114" s="143" t="s">
        <v>3811</v>
      </c>
      <c r="G114" s="143" t="s">
        <v>1012</v>
      </c>
      <c r="H114" s="143" t="s">
        <v>793</v>
      </c>
      <c r="I114" s="143" t="s">
        <v>204</v>
      </c>
      <c r="J114" s="145" t="s">
        <v>3876</v>
      </c>
      <c r="K114" s="143" t="s">
        <v>447</v>
      </c>
      <c r="L114" s="143" t="s">
        <v>339</v>
      </c>
      <c r="M114" s="143" t="s">
        <v>338</v>
      </c>
      <c r="N114" s="145" t="s">
        <v>3876</v>
      </c>
      <c r="O114" s="143" t="s">
        <v>3812</v>
      </c>
      <c r="P114" s="145" t="s">
        <v>3876</v>
      </c>
      <c r="Q114" s="143" t="s">
        <v>410</v>
      </c>
      <c r="R114" s="143" t="s">
        <v>410</v>
      </c>
      <c r="S114" s="143" t="s">
        <v>1210</v>
      </c>
      <c r="T114" s="144">
        <v>0.01</v>
      </c>
      <c r="U114" s="170" t="s">
        <v>824</v>
      </c>
      <c r="V114" s="146">
        <v>0</v>
      </c>
      <c r="W114" s="145" t="s">
        <v>3876</v>
      </c>
      <c r="X114" s="145" t="s">
        <v>3876</v>
      </c>
      <c r="Y114" s="166">
        <v>0</v>
      </c>
      <c r="Z114" s="146">
        <v>1E-4</v>
      </c>
      <c r="AA114" s="143" t="s">
        <v>3813</v>
      </c>
      <c r="AB114" s="143" t="s">
        <v>412</v>
      </c>
      <c r="AC114" s="145" t="s">
        <v>3876</v>
      </c>
      <c r="AD114" s="145" t="s">
        <v>3876</v>
      </c>
      <c r="AE114" s="145" t="s">
        <v>3876</v>
      </c>
      <c r="AF114" s="143" t="s">
        <v>3732</v>
      </c>
      <c r="AG114" s="145" t="s">
        <v>3876</v>
      </c>
      <c r="AH114" s="145" t="s">
        <v>3876</v>
      </c>
      <c r="AI114" s="145" t="s">
        <v>3876</v>
      </c>
      <c r="AJ114" s="145" t="s">
        <v>3876</v>
      </c>
      <c r="AK114" s="143" t="s">
        <v>314</v>
      </c>
      <c r="AL114" s="145" t="s">
        <v>3876</v>
      </c>
      <c r="AM114" s="143" t="s">
        <v>888</v>
      </c>
      <c r="AN114" s="163">
        <v>45473</v>
      </c>
      <c r="AO114" s="163">
        <v>45473</v>
      </c>
      <c r="AP114" s="145" t="s">
        <v>3876</v>
      </c>
      <c r="AQ114" s="144">
        <v>3446189.01</v>
      </c>
      <c r="AR114" s="143" t="s">
        <v>3814</v>
      </c>
      <c r="AS114" s="145" t="s">
        <v>3876</v>
      </c>
      <c r="AT114" s="144">
        <v>133.36750000000001</v>
      </c>
      <c r="AU114" s="144">
        <v>133.36751470000002</v>
      </c>
      <c r="AV114" s="145" t="s">
        <v>3876</v>
      </c>
      <c r="AW114" s="145" t="s">
        <v>3876</v>
      </c>
      <c r="AX114" s="145" t="s">
        <v>3876</v>
      </c>
      <c r="AY114" s="145" t="s">
        <v>3876</v>
      </c>
      <c r="AZ114" s="146">
        <v>2.3063511977748885E-4</v>
      </c>
      <c r="BA114" s="147">
        <v>5.9100572201582086E-6</v>
      </c>
      <c r="BB114" s="181"/>
    </row>
    <row r="115" spans="1:54" ht="15" x14ac:dyDescent="0.2">
      <c r="A115" s="142" t="s">
        <v>1220</v>
      </c>
      <c r="B115" s="143" t="s">
        <v>1220</v>
      </c>
      <c r="C115" s="145" t="s">
        <v>3876</v>
      </c>
      <c r="D115" s="145" t="s">
        <v>3876</v>
      </c>
      <c r="E115" s="145" t="s">
        <v>3876</v>
      </c>
      <c r="F115" s="143" t="s">
        <v>3843</v>
      </c>
      <c r="G115" s="143" t="s">
        <v>1012</v>
      </c>
      <c r="H115" s="143" t="s">
        <v>784</v>
      </c>
      <c r="I115" s="143" t="s">
        <v>204</v>
      </c>
      <c r="J115" s="145" t="s">
        <v>3876</v>
      </c>
      <c r="K115" s="143" t="s">
        <v>443</v>
      </c>
      <c r="L115" s="143" t="s">
        <v>339</v>
      </c>
      <c r="M115" s="143" t="s">
        <v>338</v>
      </c>
      <c r="N115" s="145" t="s">
        <v>3876</v>
      </c>
      <c r="O115" s="143" t="s">
        <v>3844</v>
      </c>
      <c r="P115" s="145" t="s">
        <v>3876</v>
      </c>
      <c r="Q115" s="143" t="s">
        <v>410</v>
      </c>
      <c r="R115" s="143" t="s">
        <v>410</v>
      </c>
      <c r="S115" s="143" t="s">
        <v>1210</v>
      </c>
      <c r="T115" s="144">
        <v>0.87</v>
      </c>
      <c r="U115" s="170" t="s">
        <v>823</v>
      </c>
      <c r="V115" s="146">
        <v>7.0000000000000007E-2</v>
      </c>
      <c r="W115" s="145" t="s">
        <v>3876</v>
      </c>
      <c r="X115" s="145" t="s">
        <v>3876</v>
      </c>
      <c r="Y115" s="166">
        <v>0</v>
      </c>
      <c r="Z115" s="146">
        <v>7.0999999999999994E-2</v>
      </c>
      <c r="AA115" s="143" t="s">
        <v>3806</v>
      </c>
      <c r="AB115" s="143" t="s">
        <v>412</v>
      </c>
      <c r="AC115" s="145" t="s">
        <v>3876</v>
      </c>
      <c r="AD115" s="145" t="s">
        <v>3876</v>
      </c>
      <c r="AE115" s="171">
        <v>0.67</v>
      </c>
      <c r="AF115" s="143" t="s">
        <v>3667</v>
      </c>
      <c r="AG115" s="145" t="s">
        <v>3876</v>
      </c>
      <c r="AH115" s="145" t="s">
        <v>3876</v>
      </c>
      <c r="AI115" s="145" t="s">
        <v>3876</v>
      </c>
      <c r="AJ115" s="143" t="s">
        <v>338</v>
      </c>
      <c r="AK115" s="143" t="s">
        <v>886</v>
      </c>
      <c r="AL115" s="145" t="s">
        <v>3876</v>
      </c>
      <c r="AM115" s="143" t="s">
        <v>889</v>
      </c>
      <c r="AN115" s="163">
        <v>45473</v>
      </c>
      <c r="AO115" s="163">
        <v>45473</v>
      </c>
      <c r="AP115" s="145" t="s">
        <v>3876</v>
      </c>
      <c r="AQ115" s="144">
        <v>127798.37</v>
      </c>
      <c r="AR115" s="143" t="s">
        <v>3845</v>
      </c>
      <c r="AS115" s="145" t="s">
        <v>3876</v>
      </c>
      <c r="AT115" s="144">
        <v>131.14670000000001</v>
      </c>
      <c r="AU115" s="144">
        <v>131.1466873</v>
      </c>
      <c r="AV115" s="145" t="s">
        <v>3876</v>
      </c>
      <c r="AW115" s="145" t="s">
        <v>3876</v>
      </c>
      <c r="AX115" s="145" t="s">
        <v>3876</v>
      </c>
      <c r="AY115" s="145" t="s">
        <v>3876</v>
      </c>
      <c r="AZ115" s="146">
        <v>2.2679459839571332E-4</v>
      </c>
      <c r="BA115" s="147">
        <v>5.8116433222946368E-6</v>
      </c>
      <c r="BB115" s="181"/>
    </row>
    <row r="116" spans="1:54" ht="15" x14ac:dyDescent="0.2">
      <c r="A116" s="142" t="s">
        <v>1220</v>
      </c>
      <c r="B116" s="143" t="s">
        <v>1220</v>
      </c>
      <c r="C116" s="145" t="s">
        <v>3876</v>
      </c>
      <c r="D116" s="145" t="s">
        <v>3876</v>
      </c>
      <c r="E116" s="145" t="s">
        <v>3876</v>
      </c>
      <c r="F116" s="143" t="s">
        <v>3846</v>
      </c>
      <c r="G116" s="143" t="s">
        <v>1012</v>
      </c>
      <c r="H116" s="143" t="s">
        <v>817</v>
      </c>
      <c r="I116" s="143" t="s">
        <v>204</v>
      </c>
      <c r="J116" s="145" t="s">
        <v>3876</v>
      </c>
      <c r="K116" s="143" t="s">
        <v>446</v>
      </c>
      <c r="L116" s="143" t="s">
        <v>339</v>
      </c>
      <c r="M116" s="143" t="s">
        <v>338</v>
      </c>
      <c r="N116" s="145" t="s">
        <v>3876</v>
      </c>
      <c r="O116" s="143" t="s">
        <v>3847</v>
      </c>
      <c r="P116" s="145" t="s">
        <v>3876</v>
      </c>
      <c r="Q116" s="143" t="s">
        <v>410</v>
      </c>
      <c r="R116" s="143" t="s">
        <v>410</v>
      </c>
      <c r="S116" s="143" t="s">
        <v>1210</v>
      </c>
      <c r="T116" s="144">
        <v>0.25</v>
      </c>
      <c r="U116" s="170" t="s">
        <v>823</v>
      </c>
      <c r="V116" s="146">
        <v>0.13500000000000001</v>
      </c>
      <c r="W116" s="145" t="s">
        <v>3876</v>
      </c>
      <c r="X116" s="145" t="s">
        <v>3876</v>
      </c>
      <c r="Y116" s="166">
        <v>0</v>
      </c>
      <c r="Z116" s="146">
        <v>0.15190000000000001</v>
      </c>
      <c r="AA116" s="143" t="s">
        <v>3848</v>
      </c>
      <c r="AB116" s="143" t="s">
        <v>412</v>
      </c>
      <c r="AC116" s="145" t="s">
        <v>3876</v>
      </c>
      <c r="AD116" s="145" t="s">
        <v>3876</v>
      </c>
      <c r="AE116" s="171">
        <v>0.72</v>
      </c>
      <c r="AF116" s="143" t="s">
        <v>3738</v>
      </c>
      <c r="AG116" s="145" t="s">
        <v>3876</v>
      </c>
      <c r="AH116" s="145" t="s">
        <v>3876</v>
      </c>
      <c r="AI116" s="145" t="s">
        <v>3876</v>
      </c>
      <c r="AJ116" s="143" t="s">
        <v>338</v>
      </c>
      <c r="AK116" s="143" t="s">
        <v>886</v>
      </c>
      <c r="AL116" s="145" t="s">
        <v>3876</v>
      </c>
      <c r="AM116" s="143" t="s">
        <v>889</v>
      </c>
      <c r="AN116" s="163">
        <v>45379</v>
      </c>
      <c r="AO116" s="163">
        <v>45379</v>
      </c>
      <c r="AP116" s="145" t="s">
        <v>3876</v>
      </c>
      <c r="AQ116" s="144">
        <v>92387</v>
      </c>
      <c r="AR116" s="143" t="s">
        <v>3849</v>
      </c>
      <c r="AS116" s="145" t="s">
        <v>3876</v>
      </c>
      <c r="AT116" s="144">
        <v>102.11539999999999</v>
      </c>
      <c r="AU116" s="144">
        <v>102.1153511</v>
      </c>
      <c r="AV116" s="145" t="s">
        <v>3876</v>
      </c>
      <c r="AW116" s="145" t="s">
        <v>3876</v>
      </c>
      <c r="AX116" s="145" t="s">
        <v>3876</v>
      </c>
      <c r="AY116" s="145" t="s">
        <v>3876</v>
      </c>
      <c r="AZ116" s="146">
        <v>1.7659012606886719E-4</v>
      </c>
      <c r="BA116" s="147">
        <v>4.5251466931352533E-6</v>
      </c>
      <c r="BB116" s="181"/>
    </row>
    <row r="117" spans="1:54" ht="15" x14ac:dyDescent="0.2">
      <c r="A117" s="142" t="s">
        <v>1220</v>
      </c>
      <c r="B117" s="143" t="s">
        <v>1220</v>
      </c>
      <c r="C117" s="145" t="s">
        <v>3876</v>
      </c>
      <c r="D117" s="145" t="s">
        <v>3876</v>
      </c>
      <c r="E117" s="145" t="s">
        <v>3876</v>
      </c>
      <c r="F117" s="143" t="s">
        <v>3850</v>
      </c>
      <c r="G117" s="143" t="s">
        <v>1012</v>
      </c>
      <c r="H117" s="143" t="s">
        <v>793</v>
      </c>
      <c r="I117" s="143" t="s">
        <v>204</v>
      </c>
      <c r="J117" s="145" t="s">
        <v>3876</v>
      </c>
      <c r="K117" s="143" t="s">
        <v>447</v>
      </c>
      <c r="L117" s="143" t="s">
        <v>339</v>
      </c>
      <c r="M117" s="143" t="s">
        <v>338</v>
      </c>
      <c r="N117" s="145" t="s">
        <v>3876</v>
      </c>
      <c r="O117" s="143" t="s">
        <v>3812</v>
      </c>
      <c r="P117" s="145" t="s">
        <v>3876</v>
      </c>
      <c r="Q117" s="143" t="s">
        <v>410</v>
      </c>
      <c r="R117" s="143" t="s">
        <v>410</v>
      </c>
      <c r="S117" s="143" t="s">
        <v>1210</v>
      </c>
      <c r="T117" s="144">
        <v>0.01</v>
      </c>
      <c r="U117" s="170" t="s">
        <v>823</v>
      </c>
      <c r="V117" s="146">
        <v>0</v>
      </c>
      <c r="W117" s="145" t="s">
        <v>3876</v>
      </c>
      <c r="X117" s="145" t="s">
        <v>3876</v>
      </c>
      <c r="Y117" s="166">
        <v>0</v>
      </c>
      <c r="Z117" s="146">
        <v>1E-4</v>
      </c>
      <c r="AA117" s="143" t="s">
        <v>3851</v>
      </c>
      <c r="AB117" s="143" t="s">
        <v>412</v>
      </c>
      <c r="AC117" s="145" t="s">
        <v>3876</v>
      </c>
      <c r="AD117" s="145" t="s">
        <v>3876</v>
      </c>
      <c r="AE117" s="145" t="s">
        <v>3876</v>
      </c>
      <c r="AF117" s="143" t="s">
        <v>3732</v>
      </c>
      <c r="AG117" s="145" t="s">
        <v>3876</v>
      </c>
      <c r="AH117" s="145" t="s">
        <v>3876</v>
      </c>
      <c r="AI117" s="145" t="s">
        <v>3876</v>
      </c>
      <c r="AJ117" s="145" t="s">
        <v>3876</v>
      </c>
      <c r="AK117" s="143" t="s">
        <v>314</v>
      </c>
      <c r="AL117" s="145" t="s">
        <v>3876</v>
      </c>
      <c r="AM117" s="143" t="s">
        <v>888</v>
      </c>
      <c r="AN117" s="163">
        <v>45473</v>
      </c>
      <c r="AO117" s="163">
        <v>45473</v>
      </c>
      <c r="AP117" s="145" t="s">
        <v>3876</v>
      </c>
      <c r="AQ117" s="144">
        <v>264914.38</v>
      </c>
      <c r="AR117" s="143" t="s">
        <v>3852</v>
      </c>
      <c r="AS117" s="145" t="s">
        <v>3876</v>
      </c>
      <c r="AT117" s="144">
        <v>10.5436</v>
      </c>
      <c r="AU117" s="144">
        <v>10.5435923</v>
      </c>
      <c r="AV117" s="145" t="s">
        <v>3876</v>
      </c>
      <c r="AW117" s="145" t="s">
        <v>3876</v>
      </c>
      <c r="AX117" s="145" t="s">
        <v>3876</v>
      </c>
      <c r="AY117" s="145" t="s">
        <v>3876</v>
      </c>
      <c r="AZ117" s="146">
        <v>1.8233245811303885E-5</v>
      </c>
      <c r="BA117" s="147">
        <v>4.6722947553685534E-7</v>
      </c>
      <c r="BB117" s="181"/>
    </row>
    <row r="118" spans="1:54" ht="15" x14ac:dyDescent="0.2">
      <c r="A118" s="154" t="s">
        <v>1205</v>
      </c>
      <c r="B118" s="155" t="s">
        <v>1215</v>
      </c>
      <c r="C118" s="145" t="s">
        <v>3876</v>
      </c>
      <c r="D118" s="145" t="s">
        <v>3876</v>
      </c>
      <c r="E118" s="145" t="s">
        <v>3876</v>
      </c>
      <c r="F118" s="145" t="s">
        <v>3876</v>
      </c>
      <c r="G118" s="145" t="s">
        <v>3876</v>
      </c>
      <c r="H118" s="145" t="s">
        <v>3876</v>
      </c>
      <c r="I118" s="145" t="s">
        <v>3876</v>
      </c>
      <c r="J118" s="145" t="s">
        <v>3876</v>
      </c>
      <c r="K118" s="145" t="s">
        <v>3876</v>
      </c>
      <c r="L118" s="145" t="s">
        <v>3876</v>
      </c>
      <c r="M118" s="145" t="s">
        <v>3876</v>
      </c>
      <c r="N118" s="145" t="s">
        <v>3876</v>
      </c>
      <c r="O118" s="145" t="s">
        <v>3876</v>
      </c>
      <c r="P118" s="145" t="s">
        <v>3876</v>
      </c>
      <c r="Q118" s="145" t="s">
        <v>3876</v>
      </c>
      <c r="R118" s="145" t="s">
        <v>3876</v>
      </c>
      <c r="S118" s="145" t="s">
        <v>3876</v>
      </c>
      <c r="T118" s="145" t="s">
        <v>3876</v>
      </c>
      <c r="U118" s="145" t="s">
        <v>3876</v>
      </c>
      <c r="V118" s="145" t="s">
        <v>3876</v>
      </c>
      <c r="W118" s="145" t="s">
        <v>3876</v>
      </c>
      <c r="X118" s="145" t="s">
        <v>3876</v>
      </c>
      <c r="Y118" s="145" t="s">
        <v>3876</v>
      </c>
      <c r="Z118" s="145" t="s">
        <v>3876</v>
      </c>
      <c r="AA118" s="145" t="s">
        <v>3876</v>
      </c>
      <c r="AB118" s="145" t="s">
        <v>3876</v>
      </c>
      <c r="AC118" s="145" t="s">
        <v>3876</v>
      </c>
      <c r="AD118" s="145" t="s">
        <v>3876</v>
      </c>
      <c r="AE118" s="145" t="s">
        <v>3876</v>
      </c>
      <c r="AF118" s="145" t="s">
        <v>3876</v>
      </c>
      <c r="AG118" s="145" t="s">
        <v>3876</v>
      </c>
      <c r="AH118" s="145" t="s">
        <v>3876</v>
      </c>
      <c r="AI118" s="145" t="s">
        <v>3876</v>
      </c>
      <c r="AJ118" s="145" t="s">
        <v>3876</v>
      </c>
      <c r="AK118" s="145" t="s">
        <v>3876</v>
      </c>
      <c r="AL118" s="145" t="s">
        <v>3876</v>
      </c>
      <c r="AM118" s="145" t="s">
        <v>3876</v>
      </c>
      <c r="AN118" s="145" t="s">
        <v>3876</v>
      </c>
      <c r="AO118" s="145" t="s">
        <v>3876</v>
      </c>
      <c r="AP118" s="145" t="s">
        <v>3876</v>
      </c>
      <c r="AQ118" s="145" t="s">
        <v>3876</v>
      </c>
      <c r="AR118" s="145" t="s">
        <v>3876</v>
      </c>
      <c r="AS118" s="145" t="s">
        <v>3876</v>
      </c>
      <c r="AT118" s="145" t="s">
        <v>3876</v>
      </c>
      <c r="AU118" s="145" t="s">
        <v>3876</v>
      </c>
      <c r="AV118" s="145" t="s">
        <v>3876</v>
      </c>
      <c r="AW118" s="145" t="s">
        <v>3876</v>
      </c>
      <c r="AX118" s="145" t="s">
        <v>3876</v>
      </c>
      <c r="AY118" s="145" t="s">
        <v>3876</v>
      </c>
      <c r="AZ118" s="145" t="s">
        <v>3876</v>
      </c>
      <c r="BA118" s="156" t="s">
        <v>3876</v>
      </c>
      <c r="BB118" s="181"/>
    </row>
    <row r="119" spans="1:54" ht="15" x14ac:dyDescent="0.2">
      <c r="A119" s="157" t="s">
        <v>1220</v>
      </c>
      <c r="B119" s="158" t="s">
        <v>1222</v>
      </c>
      <c r="C119" s="151" t="s">
        <v>3876</v>
      </c>
      <c r="D119" s="151" t="s">
        <v>3876</v>
      </c>
      <c r="E119" s="151" t="s">
        <v>3876</v>
      </c>
      <c r="F119" s="151" t="s">
        <v>3876</v>
      </c>
      <c r="G119" s="151" t="s">
        <v>3876</v>
      </c>
      <c r="H119" s="151" t="s">
        <v>3876</v>
      </c>
      <c r="I119" s="151" t="s">
        <v>3876</v>
      </c>
      <c r="J119" s="151" t="s">
        <v>3876</v>
      </c>
      <c r="K119" s="151" t="s">
        <v>3876</v>
      </c>
      <c r="L119" s="151" t="s">
        <v>3876</v>
      </c>
      <c r="M119" s="151" t="s">
        <v>3876</v>
      </c>
      <c r="N119" s="151" t="s">
        <v>3876</v>
      </c>
      <c r="O119" s="151" t="s">
        <v>3876</v>
      </c>
      <c r="P119" s="151" t="s">
        <v>3876</v>
      </c>
      <c r="Q119" s="151" t="s">
        <v>3876</v>
      </c>
      <c r="R119" s="151" t="s">
        <v>3876</v>
      </c>
      <c r="S119" s="151" t="s">
        <v>3876</v>
      </c>
      <c r="T119" s="151" t="s">
        <v>3876</v>
      </c>
      <c r="U119" s="151" t="s">
        <v>3876</v>
      </c>
      <c r="V119" s="151" t="s">
        <v>3876</v>
      </c>
      <c r="W119" s="151" t="s">
        <v>3876</v>
      </c>
      <c r="X119" s="151" t="s">
        <v>3876</v>
      </c>
      <c r="Y119" s="151" t="s">
        <v>3876</v>
      </c>
      <c r="Z119" s="151" t="s">
        <v>3876</v>
      </c>
      <c r="AA119" s="151" t="s">
        <v>3876</v>
      </c>
      <c r="AB119" s="151" t="s">
        <v>3876</v>
      </c>
      <c r="AC119" s="151" t="s">
        <v>3876</v>
      </c>
      <c r="AD119" s="151" t="s">
        <v>3876</v>
      </c>
      <c r="AE119" s="151" t="s">
        <v>3876</v>
      </c>
      <c r="AF119" s="151" t="s">
        <v>3876</v>
      </c>
      <c r="AG119" s="151" t="s">
        <v>3876</v>
      </c>
      <c r="AH119" s="151" t="s">
        <v>3876</v>
      </c>
      <c r="AI119" s="151" t="s">
        <v>3876</v>
      </c>
      <c r="AJ119" s="151" t="s">
        <v>3876</v>
      </c>
      <c r="AK119" s="151" t="s">
        <v>3876</v>
      </c>
      <c r="AL119" s="151" t="s">
        <v>3876</v>
      </c>
      <c r="AM119" s="151" t="s">
        <v>3876</v>
      </c>
      <c r="AN119" s="151" t="s">
        <v>3876</v>
      </c>
      <c r="AO119" s="151" t="s">
        <v>3876</v>
      </c>
      <c r="AP119" s="151" t="s">
        <v>3876</v>
      </c>
      <c r="AQ119" s="151" t="s">
        <v>3876</v>
      </c>
      <c r="AR119" s="151" t="s">
        <v>3876</v>
      </c>
      <c r="AS119" s="151" t="s">
        <v>3876</v>
      </c>
      <c r="AT119" s="151" t="s">
        <v>3876</v>
      </c>
      <c r="AU119" s="151" t="s">
        <v>3876</v>
      </c>
      <c r="AV119" s="151" t="s">
        <v>3876</v>
      </c>
      <c r="AW119" s="151" t="s">
        <v>3876</v>
      </c>
      <c r="AX119" s="151" t="s">
        <v>3876</v>
      </c>
      <c r="AY119" s="151" t="s">
        <v>3876</v>
      </c>
      <c r="AZ119" s="151" t="s">
        <v>3876</v>
      </c>
      <c r="BA119" s="159" t="s">
        <v>3876</v>
      </c>
      <c r="BB119" s="181"/>
    </row>
    <row r="120" spans="1:54" x14ac:dyDescent="0.2">
      <c r="A120" s="181" t="s">
        <v>3893</v>
      </c>
      <c r="B120" s="181"/>
      <c r="C120" s="181"/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81"/>
      <c r="AJ120" s="181"/>
      <c r="AK120" s="181"/>
      <c r="AL120" s="181"/>
      <c r="AM120" s="181"/>
      <c r="AN120" s="181"/>
      <c r="AO120" s="181"/>
      <c r="AP120" s="181"/>
      <c r="AQ120" s="181"/>
      <c r="AR120" s="181"/>
      <c r="AS120" s="181"/>
      <c r="AT120" s="181"/>
      <c r="AU120" s="181"/>
      <c r="AV120" s="181"/>
      <c r="AW120" s="181"/>
      <c r="AX120" s="181"/>
      <c r="AY120" s="181"/>
      <c r="AZ120" s="181"/>
      <c r="BA120" s="181"/>
    </row>
    <row r="121" spans="1:54" x14ac:dyDescent="0.2">
      <c r="A121" s="2" t="s">
        <v>3892</v>
      </c>
    </row>
    <row r="122" spans="1:54" x14ac:dyDescent="0.2">
      <c r="A122" s="176"/>
    </row>
  </sheetData>
  <sheetProtection formatColumns="0"/>
  <customSheetViews>
    <customSheetView guid="{AE318230-F718-49FC-82EB-7CAC3DCD05F1}" showGridLines="0" topLeftCell="S1">
      <selection activeCell="AG2" sqref="AG2"/>
      <pageMargins left="0" right="0" top="0" bottom="0" header="0" footer="0"/>
    </customSheetView>
  </customSheetViews>
  <mergeCells count="2">
    <mergeCell ref="A120:BA120"/>
    <mergeCell ref="BB2:BB119"/>
  </mergeCells>
  <dataValidations count="12">
    <dataValidation type="list" allowBlank="1" showInputMessage="1" showErrorMessage="1" sqref="K3:K21">
      <formula1>Industry_sectors</formula1>
    </dataValidation>
    <dataValidation type="list" allowBlank="1" showInputMessage="1" showErrorMessage="1" sqref="L3:L21">
      <formula1>Holding_interest</formula1>
    </dataValidation>
    <dataValidation type="list" allowBlank="1" showInputMessage="1" showErrorMessage="1" sqref="Q3:Q21">
      <formula1>Rating_Agency</formula1>
    </dataValidation>
    <dataValidation type="list" allowBlank="1" showInputMessage="1" showErrorMessage="1" sqref="M3:M21">
      <formula1>Consortium</formula1>
    </dataValidation>
    <dataValidation type="list" allowBlank="1" showInputMessage="1" showErrorMessage="1" sqref="AM3:AM21">
      <formula1>Dependence_Independence</formula1>
    </dataValidation>
    <dataValidation type="list" allowBlank="1" showInputMessage="1" showErrorMessage="1" sqref="U3:U21">
      <formula1>Type_of_Interest_Rate</formula1>
    </dataValidation>
    <dataValidation type="list" allowBlank="1" showInputMessage="1" showErrorMessage="1" sqref="AK3:AK21">
      <formula1>Valuation_Loans</formula1>
    </dataValidation>
    <dataValidation type="list" allowBlank="1" showInputMessage="1" showErrorMessage="1" sqref="AB3:AB21">
      <formula1>Subordination_Risk</formula1>
    </dataValidation>
    <dataValidation type="list" allowBlank="1" showInputMessage="1" showErrorMessage="1" sqref="AJ5:AJ13 AJ16 AJ19:AJ21">
      <formula1>Repayment_Rights</formula1>
    </dataValidation>
    <dataValidation type="list" allowBlank="1" showInputMessage="1" showErrorMessage="1" sqref="H5:H6 H10 H13 H20">
      <formula1>real_estate_loans</formula1>
    </dataValidation>
    <dataValidation type="list" allowBlank="1" showInputMessage="1" showErrorMessage="1" sqref="I3:I21">
      <formula1>israel_abroad</formula1>
    </dataValidation>
    <dataValidation type="list" allowBlank="1" showInputMessage="1" showErrorMessage="1" sqref="R3:R21">
      <formula1>what_is_rated_loans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בחירה'!$C$970:$C$976</xm:f>
          </x14:formula1>
          <xm:sqref>G3:G21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E22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13.125" style="2" bestFit="1" customWidth="1"/>
    <col min="4" max="4" width="11.25" style="2" customWidth="1"/>
    <col min="5" max="5" width="18.125" style="4" customWidth="1"/>
    <col min="6" max="6" width="27.5" style="2" bestFit="1" customWidth="1"/>
    <col min="7" max="7" width="12.75" style="2" customWidth="1"/>
    <col min="8" max="8" width="15.5" style="2" customWidth="1"/>
    <col min="9" max="9" width="12.125" style="2" bestFit="1" customWidth="1"/>
    <col min="10" max="10" width="10.625" style="2" customWidth="1"/>
    <col min="11" max="11" width="19.875" style="2" customWidth="1"/>
    <col min="12" max="12" width="15.125" style="2" customWidth="1"/>
    <col min="13" max="13" width="9" style="2" customWidth="1"/>
    <col min="14" max="14" width="12" style="2" customWidth="1"/>
    <col min="15" max="15" width="6.5" style="2" bestFit="1" customWidth="1"/>
    <col min="16" max="16" width="9.75" style="2" bestFit="1" customWidth="1"/>
    <col min="17" max="17" width="19" style="2" customWidth="1"/>
    <col min="18" max="18" width="11.75" style="2" customWidth="1"/>
    <col min="19" max="19" width="6.5" style="2" customWidth="1"/>
    <col min="20" max="20" width="11.125" style="2" customWidth="1"/>
    <col min="21" max="21" width="12.25" style="2" customWidth="1"/>
    <col min="22" max="22" width="14" style="2" customWidth="1"/>
    <col min="23" max="23" width="18.625" style="2" customWidth="1"/>
    <col min="24" max="24" width="16.375" style="2" customWidth="1"/>
    <col min="25" max="25" width="14.875" style="2" customWidth="1"/>
    <col min="26" max="26" width="10.5" style="2" customWidth="1"/>
    <col min="27" max="27" width="12.875" style="2" customWidth="1"/>
    <col min="28" max="28" width="17.875" style="2" customWidth="1"/>
    <col min="29" max="29" width="21.75" style="2" customWidth="1"/>
    <col min="30" max="30" width="20.125" style="2" customWidth="1"/>
    <col min="31" max="16384" width="9" style="2"/>
  </cols>
  <sheetData>
    <row r="1" spans="1:31" x14ac:dyDescent="0.2">
      <c r="A1" s="2" t="s">
        <v>3919</v>
      </c>
    </row>
    <row r="2" spans="1:31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56</v>
      </c>
      <c r="M2" s="140" t="s">
        <v>96</v>
      </c>
      <c r="N2" s="140" t="s">
        <v>97</v>
      </c>
      <c r="O2" s="140" t="s">
        <v>71</v>
      </c>
      <c r="P2" s="140" t="s">
        <v>58</v>
      </c>
      <c r="Q2" s="140" t="s">
        <v>84</v>
      </c>
      <c r="R2" s="140" t="s">
        <v>59</v>
      </c>
      <c r="S2" s="140" t="s">
        <v>72</v>
      </c>
      <c r="T2" s="140" t="s">
        <v>62</v>
      </c>
      <c r="U2" s="140" t="s">
        <v>74</v>
      </c>
      <c r="V2" s="140" t="s">
        <v>103</v>
      </c>
      <c r="W2" s="140" t="s">
        <v>104</v>
      </c>
      <c r="X2" s="140" t="s">
        <v>106</v>
      </c>
      <c r="Y2" s="140" t="s">
        <v>76</v>
      </c>
      <c r="Z2" s="140" t="s">
        <v>61</v>
      </c>
      <c r="AA2" s="140" t="s">
        <v>77</v>
      </c>
      <c r="AB2" s="140" t="s">
        <v>63</v>
      </c>
      <c r="AC2" s="140" t="s">
        <v>64</v>
      </c>
      <c r="AD2" s="141" t="s">
        <v>65</v>
      </c>
      <c r="AE2" s="181" t="s">
        <v>3894</v>
      </c>
    </row>
    <row r="3" spans="1:31" ht="15" x14ac:dyDescent="0.2">
      <c r="A3" s="142" t="s">
        <v>1205</v>
      </c>
      <c r="B3" s="143" t="s">
        <v>1205</v>
      </c>
      <c r="C3" s="143" t="s">
        <v>1700</v>
      </c>
      <c r="D3" s="143" t="s">
        <v>1701</v>
      </c>
      <c r="E3" s="143" t="s">
        <v>309</v>
      </c>
      <c r="F3" s="143" t="s">
        <v>3868</v>
      </c>
      <c r="G3" s="143" t="s">
        <v>3869</v>
      </c>
      <c r="H3" s="143" t="s">
        <v>312</v>
      </c>
      <c r="I3" s="143" t="s">
        <v>976</v>
      </c>
      <c r="J3" s="143" t="s">
        <v>204</v>
      </c>
      <c r="K3" s="143" t="s">
        <v>204</v>
      </c>
      <c r="L3" s="143" t="s">
        <v>339</v>
      </c>
      <c r="M3" s="145" t="s">
        <v>3876</v>
      </c>
      <c r="N3" s="143" t="s">
        <v>3870</v>
      </c>
      <c r="O3" s="143" t="s">
        <v>3871</v>
      </c>
      <c r="P3" s="143" t="s">
        <v>413</v>
      </c>
      <c r="Q3" s="143" t="s">
        <v>409</v>
      </c>
      <c r="R3" s="143" t="s">
        <v>1211</v>
      </c>
      <c r="S3" s="144">
        <v>0.01</v>
      </c>
      <c r="T3" s="145" t="s">
        <v>3876</v>
      </c>
      <c r="U3" s="146">
        <v>1E-4</v>
      </c>
      <c r="V3" s="143" t="s">
        <v>887</v>
      </c>
      <c r="W3" s="143" t="s">
        <v>889</v>
      </c>
      <c r="X3" s="160">
        <v>45471</v>
      </c>
      <c r="Y3" s="144">
        <v>1628341</v>
      </c>
      <c r="Z3" s="143" t="s">
        <v>1212</v>
      </c>
      <c r="AA3" s="143" t="s">
        <v>3872</v>
      </c>
      <c r="AB3" s="144">
        <v>5499.4877000000006</v>
      </c>
      <c r="AC3" s="146">
        <v>1</v>
      </c>
      <c r="AD3" s="147">
        <v>5.5309599565489835E-3</v>
      </c>
      <c r="AE3" s="181"/>
    </row>
    <row r="4" spans="1:31" ht="15" x14ac:dyDescent="0.2">
      <c r="A4" s="142" t="s">
        <v>1220</v>
      </c>
      <c r="B4" s="143" t="s">
        <v>1220</v>
      </c>
      <c r="C4" s="143" t="s">
        <v>1700</v>
      </c>
      <c r="D4" s="143" t="s">
        <v>1701</v>
      </c>
      <c r="E4" s="143" t="s">
        <v>309</v>
      </c>
      <c r="F4" s="143" t="s">
        <v>3868</v>
      </c>
      <c r="G4" s="143" t="s">
        <v>3869</v>
      </c>
      <c r="H4" s="143" t="s">
        <v>312</v>
      </c>
      <c r="I4" s="143" t="s">
        <v>976</v>
      </c>
      <c r="J4" s="143" t="s">
        <v>204</v>
      </c>
      <c r="K4" s="143" t="s">
        <v>204</v>
      </c>
      <c r="L4" s="143" t="s">
        <v>339</v>
      </c>
      <c r="M4" s="145" t="s">
        <v>3876</v>
      </c>
      <c r="N4" s="143" t="s">
        <v>3870</v>
      </c>
      <c r="O4" s="143" t="s">
        <v>3871</v>
      </c>
      <c r="P4" s="143" t="s">
        <v>413</v>
      </c>
      <c r="Q4" s="143" t="s">
        <v>409</v>
      </c>
      <c r="R4" s="143" t="s">
        <v>1211</v>
      </c>
      <c r="S4" s="144">
        <v>0.01</v>
      </c>
      <c r="T4" s="145" t="s">
        <v>3876</v>
      </c>
      <c r="U4" s="146">
        <v>1E-4</v>
      </c>
      <c r="V4" s="143" t="s">
        <v>887</v>
      </c>
      <c r="W4" s="143" t="s">
        <v>889</v>
      </c>
      <c r="X4" s="160">
        <v>45471</v>
      </c>
      <c r="Y4" s="144">
        <v>36487495</v>
      </c>
      <c r="Z4" s="143" t="s">
        <v>1212</v>
      </c>
      <c r="AA4" s="143" t="s">
        <v>3872</v>
      </c>
      <c r="AB4" s="144">
        <v>123231.26920000001</v>
      </c>
      <c r="AC4" s="146">
        <v>1</v>
      </c>
      <c r="AD4" s="147">
        <v>5.4608789409145014E-3</v>
      </c>
      <c r="AE4" s="181"/>
    </row>
    <row r="5" spans="1:31" ht="15" x14ac:dyDescent="0.2">
      <c r="A5" s="154" t="s">
        <v>1205</v>
      </c>
      <c r="B5" s="155" t="s">
        <v>1206</v>
      </c>
      <c r="C5" s="145" t="s">
        <v>3876</v>
      </c>
      <c r="D5" s="145" t="s">
        <v>3876</v>
      </c>
      <c r="E5" s="145" t="s">
        <v>3876</v>
      </c>
      <c r="F5" s="145" t="s">
        <v>3876</v>
      </c>
      <c r="G5" s="145" t="s">
        <v>3876</v>
      </c>
      <c r="H5" s="145" t="s">
        <v>3876</v>
      </c>
      <c r="I5" s="145" t="s">
        <v>3876</v>
      </c>
      <c r="J5" s="145" t="s">
        <v>3876</v>
      </c>
      <c r="K5" s="145" t="s">
        <v>3876</v>
      </c>
      <c r="L5" s="145" t="s">
        <v>3876</v>
      </c>
      <c r="M5" s="145" t="s">
        <v>3876</v>
      </c>
      <c r="N5" s="145" t="s">
        <v>3876</v>
      </c>
      <c r="O5" s="145" t="s">
        <v>3876</v>
      </c>
      <c r="P5" s="145" t="s">
        <v>3876</v>
      </c>
      <c r="Q5" s="145" t="s">
        <v>3876</v>
      </c>
      <c r="R5" s="145" t="s">
        <v>3876</v>
      </c>
      <c r="S5" s="145" t="s">
        <v>3876</v>
      </c>
      <c r="T5" s="145" t="s">
        <v>3876</v>
      </c>
      <c r="U5" s="145" t="s">
        <v>3876</v>
      </c>
      <c r="V5" s="145" t="s">
        <v>3876</v>
      </c>
      <c r="W5" s="145" t="s">
        <v>3876</v>
      </c>
      <c r="X5" s="145" t="s">
        <v>3876</v>
      </c>
      <c r="Y5" s="145" t="s">
        <v>3876</v>
      </c>
      <c r="Z5" s="145" t="s">
        <v>3876</v>
      </c>
      <c r="AA5" s="145" t="s">
        <v>3876</v>
      </c>
      <c r="AB5" s="145" t="s">
        <v>3876</v>
      </c>
      <c r="AC5" s="145" t="s">
        <v>3876</v>
      </c>
      <c r="AD5" s="156" t="s">
        <v>3876</v>
      </c>
      <c r="AE5" s="181"/>
    </row>
    <row r="6" spans="1:31" ht="15" x14ac:dyDescent="0.2">
      <c r="A6" s="154" t="s">
        <v>1205</v>
      </c>
      <c r="B6" s="155" t="s">
        <v>1215</v>
      </c>
      <c r="C6" s="145" t="s">
        <v>3876</v>
      </c>
      <c r="D6" s="145" t="s">
        <v>3876</v>
      </c>
      <c r="E6" s="145" t="s">
        <v>3876</v>
      </c>
      <c r="F6" s="145" t="s">
        <v>3876</v>
      </c>
      <c r="G6" s="145" t="s">
        <v>3876</v>
      </c>
      <c r="H6" s="145" t="s">
        <v>3876</v>
      </c>
      <c r="I6" s="145" t="s">
        <v>3876</v>
      </c>
      <c r="J6" s="145" t="s">
        <v>3876</v>
      </c>
      <c r="K6" s="145" t="s">
        <v>3876</v>
      </c>
      <c r="L6" s="145" t="s">
        <v>3876</v>
      </c>
      <c r="M6" s="145" t="s">
        <v>3876</v>
      </c>
      <c r="N6" s="145" t="s">
        <v>3876</v>
      </c>
      <c r="O6" s="145" t="s">
        <v>3876</v>
      </c>
      <c r="P6" s="145" t="s">
        <v>3876</v>
      </c>
      <c r="Q6" s="145" t="s">
        <v>3876</v>
      </c>
      <c r="R6" s="145" t="s">
        <v>3876</v>
      </c>
      <c r="S6" s="145" t="s">
        <v>3876</v>
      </c>
      <c r="T6" s="145" t="s">
        <v>3876</v>
      </c>
      <c r="U6" s="145" t="s">
        <v>3876</v>
      </c>
      <c r="V6" s="145" t="s">
        <v>3876</v>
      </c>
      <c r="W6" s="145" t="s">
        <v>3876</v>
      </c>
      <c r="X6" s="145" t="s">
        <v>3876</v>
      </c>
      <c r="Y6" s="145" t="s">
        <v>3876</v>
      </c>
      <c r="Z6" s="145" t="s">
        <v>3876</v>
      </c>
      <c r="AA6" s="145" t="s">
        <v>3876</v>
      </c>
      <c r="AB6" s="145" t="s">
        <v>3876</v>
      </c>
      <c r="AC6" s="145" t="s">
        <v>3876</v>
      </c>
      <c r="AD6" s="156" t="s">
        <v>3876</v>
      </c>
      <c r="AE6" s="181"/>
    </row>
    <row r="7" spans="1:31" ht="15" x14ac:dyDescent="0.2">
      <c r="A7" s="154" t="s">
        <v>1220</v>
      </c>
      <c r="B7" s="155" t="s">
        <v>1221</v>
      </c>
      <c r="C7" s="145" t="s">
        <v>3876</v>
      </c>
      <c r="D7" s="145" t="s">
        <v>3876</v>
      </c>
      <c r="E7" s="145" t="s">
        <v>3876</v>
      </c>
      <c r="F7" s="145" t="s">
        <v>3876</v>
      </c>
      <c r="G7" s="145" t="s">
        <v>3876</v>
      </c>
      <c r="H7" s="145" t="s">
        <v>3876</v>
      </c>
      <c r="I7" s="145" t="s">
        <v>3876</v>
      </c>
      <c r="J7" s="145" t="s">
        <v>3876</v>
      </c>
      <c r="K7" s="145" t="s">
        <v>3876</v>
      </c>
      <c r="L7" s="145" t="s">
        <v>3876</v>
      </c>
      <c r="M7" s="145" t="s">
        <v>3876</v>
      </c>
      <c r="N7" s="145" t="s">
        <v>3876</v>
      </c>
      <c r="O7" s="145" t="s">
        <v>3876</v>
      </c>
      <c r="P7" s="145" t="s">
        <v>3876</v>
      </c>
      <c r="Q7" s="145" t="s">
        <v>3876</v>
      </c>
      <c r="R7" s="145" t="s">
        <v>3876</v>
      </c>
      <c r="S7" s="145" t="s">
        <v>3876</v>
      </c>
      <c r="T7" s="145" t="s">
        <v>3876</v>
      </c>
      <c r="U7" s="145" t="s">
        <v>3876</v>
      </c>
      <c r="V7" s="145" t="s">
        <v>3876</v>
      </c>
      <c r="W7" s="145" t="s">
        <v>3876</v>
      </c>
      <c r="X7" s="145" t="s">
        <v>3876</v>
      </c>
      <c r="Y7" s="145" t="s">
        <v>3876</v>
      </c>
      <c r="Z7" s="145" t="s">
        <v>3876</v>
      </c>
      <c r="AA7" s="145" t="s">
        <v>3876</v>
      </c>
      <c r="AB7" s="145" t="s">
        <v>3876</v>
      </c>
      <c r="AC7" s="145" t="s">
        <v>3876</v>
      </c>
      <c r="AD7" s="156" t="s">
        <v>3876</v>
      </c>
      <c r="AE7" s="181"/>
    </row>
    <row r="8" spans="1:31" ht="15" x14ac:dyDescent="0.2">
      <c r="A8" s="157" t="s">
        <v>1220</v>
      </c>
      <c r="B8" s="158" t="s">
        <v>1222</v>
      </c>
      <c r="C8" s="151" t="s">
        <v>3876</v>
      </c>
      <c r="D8" s="151" t="s">
        <v>3876</v>
      </c>
      <c r="E8" s="151" t="s">
        <v>3876</v>
      </c>
      <c r="F8" s="151" t="s">
        <v>3876</v>
      </c>
      <c r="G8" s="151" t="s">
        <v>3876</v>
      </c>
      <c r="H8" s="151" t="s">
        <v>3876</v>
      </c>
      <c r="I8" s="151" t="s">
        <v>3876</v>
      </c>
      <c r="J8" s="151" t="s">
        <v>3876</v>
      </c>
      <c r="K8" s="151" t="s">
        <v>3876</v>
      </c>
      <c r="L8" s="151" t="s">
        <v>3876</v>
      </c>
      <c r="M8" s="151" t="s">
        <v>3876</v>
      </c>
      <c r="N8" s="151" t="s">
        <v>3876</v>
      </c>
      <c r="O8" s="151" t="s">
        <v>3876</v>
      </c>
      <c r="P8" s="151" t="s">
        <v>3876</v>
      </c>
      <c r="Q8" s="151" t="s">
        <v>3876</v>
      </c>
      <c r="R8" s="151" t="s">
        <v>3876</v>
      </c>
      <c r="S8" s="151" t="s">
        <v>3876</v>
      </c>
      <c r="T8" s="151" t="s">
        <v>3876</v>
      </c>
      <c r="U8" s="151" t="s">
        <v>3876</v>
      </c>
      <c r="V8" s="151" t="s">
        <v>3876</v>
      </c>
      <c r="W8" s="151" t="s">
        <v>3876</v>
      </c>
      <c r="X8" s="151" t="s">
        <v>3876</v>
      </c>
      <c r="Y8" s="151" t="s">
        <v>3876</v>
      </c>
      <c r="Z8" s="151" t="s">
        <v>3876</v>
      </c>
      <c r="AA8" s="151" t="s">
        <v>3876</v>
      </c>
      <c r="AB8" s="151" t="s">
        <v>3876</v>
      </c>
      <c r="AC8" s="151" t="s">
        <v>3876</v>
      </c>
      <c r="AD8" s="159" t="s">
        <v>3876</v>
      </c>
      <c r="AE8" s="181"/>
    </row>
    <row r="9" spans="1:31" x14ac:dyDescent="0.2">
      <c r="A9" s="185" t="s">
        <v>3893</v>
      </c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</row>
    <row r="10" spans="1:31" x14ac:dyDescent="0.2">
      <c r="A10" s="99" t="s">
        <v>3892</v>
      </c>
      <c r="B10" s="99"/>
      <c r="C10" s="99"/>
      <c r="D10" s="99"/>
      <c r="E10" s="16"/>
      <c r="F10" s="99"/>
      <c r="G10" s="99"/>
      <c r="H10" s="99"/>
      <c r="I10" s="99"/>
      <c r="J10" s="16"/>
      <c r="K10" s="16"/>
      <c r="L10" s="99"/>
      <c r="M10" s="99"/>
      <c r="N10" s="99"/>
      <c r="O10" s="99"/>
      <c r="P10" s="99"/>
      <c r="Q10" s="99"/>
      <c r="R10" s="16"/>
      <c r="S10" s="99"/>
      <c r="T10" s="99"/>
      <c r="U10" s="99"/>
      <c r="V10" s="99"/>
      <c r="W10" s="99"/>
      <c r="X10" s="98"/>
      <c r="Y10" s="99"/>
      <c r="Z10" s="99"/>
      <c r="AA10" s="99"/>
      <c r="AB10" s="99"/>
      <c r="AC10" s="99"/>
      <c r="AD10" s="99"/>
    </row>
    <row r="11" spans="1:31" x14ac:dyDescent="0.2">
      <c r="A11" s="179"/>
      <c r="B11" s="99"/>
      <c r="C11" s="99"/>
      <c r="D11" s="99"/>
      <c r="E11" s="16"/>
      <c r="F11" s="99"/>
      <c r="G11" s="99"/>
      <c r="H11" s="99"/>
      <c r="I11" s="99"/>
      <c r="J11" s="16"/>
      <c r="K11" s="16"/>
      <c r="L11" s="99"/>
      <c r="M11" s="99"/>
      <c r="N11" s="99"/>
      <c r="O11" s="99"/>
      <c r="P11" s="99"/>
      <c r="Q11" s="99"/>
      <c r="R11" s="16"/>
      <c r="S11" s="99"/>
      <c r="T11" s="99"/>
      <c r="U11" s="99"/>
      <c r="V11" s="99"/>
      <c r="W11" s="99"/>
      <c r="X11" s="98"/>
      <c r="Y11" s="99"/>
      <c r="Z11" s="99"/>
      <c r="AA11" s="99"/>
      <c r="AB11" s="99"/>
      <c r="AC11" s="99"/>
      <c r="AD11" s="99"/>
    </row>
    <row r="12" spans="1:31" x14ac:dyDescent="0.2">
      <c r="A12" s="99"/>
      <c r="B12" s="99"/>
      <c r="C12" s="99"/>
      <c r="D12" s="99"/>
      <c r="E12" s="16"/>
      <c r="F12" s="99"/>
      <c r="G12" s="99"/>
      <c r="H12" s="99"/>
      <c r="I12" s="99"/>
      <c r="J12" s="16"/>
      <c r="K12" s="16"/>
      <c r="L12" s="99"/>
      <c r="M12" s="99"/>
      <c r="N12" s="99"/>
      <c r="O12" s="99"/>
      <c r="P12" s="99"/>
      <c r="Q12" s="99"/>
      <c r="R12" s="16"/>
      <c r="S12" s="99"/>
      <c r="T12" s="99"/>
      <c r="U12" s="99"/>
      <c r="V12" s="99"/>
      <c r="W12" s="99"/>
      <c r="X12" s="98"/>
      <c r="Y12" s="99"/>
      <c r="Z12" s="99"/>
      <c r="AA12" s="99"/>
      <c r="AB12" s="99"/>
      <c r="AC12" s="99"/>
      <c r="AD12" s="99"/>
    </row>
    <row r="13" spans="1:31" x14ac:dyDescent="0.2">
      <c r="A13" s="99"/>
      <c r="B13" s="99"/>
      <c r="C13" s="99"/>
      <c r="D13" s="99"/>
      <c r="E13" s="16"/>
      <c r="F13" s="99"/>
      <c r="G13" s="99"/>
      <c r="H13" s="99"/>
      <c r="I13" s="99"/>
      <c r="J13" s="16"/>
      <c r="K13" s="16"/>
      <c r="L13" s="99"/>
      <c r="M13" s="99"/>
      <c r="N13" s="99"/>
      <c r="O13" s="99"/>
      <c r="P13" s="99"/>
      <c r="Q13" s="99"/>
      <c r="R13" s="16"/>
      <c r="S13" s="99"/>
      <c r="T13" s="99"/>
      <c r="U13" s="99"/>
      <c r="V13" s="99"/>
      <c r="W13" s="99"/>
      <c r="X13" s="98"/>
      <c r="Y13" s="99"/>
      <c r="Z13" s="99"/>
      <c r="AA13" s="99"/>
      <c r="AB13" s="99"/>
      <c r="AC13" s="99"/>
      <c r="AD13" s="99"/>
    </row>
    <row r="14" spans="1:31" x14ac:dyDescent="0.2">
      <c r="A14" s="99"/>
      <c r="B14" s="99"/>
      <c r="C14" s="99"/>
      <c r="D14" s="99"/>
      <c r="E14" s="16"/>
      <c r="F14" s="99"/>
      <c r="G14" s="99"/>
      <c r="H14" s="99"/>
      <c r="I14" s="99"/>
      <c r="J14" s="16"/>
      <c r="K14" s="16"/>
      <c r="L14" s="99"/>
      <c r="M14" s="99"/>
      <c r="N14" s="99"/>
      <c r="O14" s="99"/>
      <c r="P14" s="99"/>
      <c r="Q14" s="99"/>
      <c r="R14" s="16"/>
      <c r="S14" s="99"/>
      <c r="T14" s="99"/>
      <c r="U14" s="99"/>
      <c r="V14" s="99"/>
      <c r="W14" s="99"/>
      <c r="X14" s="98"/>
      <c r="Y14" s="99"/>
      <c r="Z14" s="99"/>
      <c r="AA14" s="99"/>
      <c r="AB14" s="99"/>
      <c r="AC14" s="99"/>
      <c r="AD14" s="99"/>
    </row>
    <row r="15" spans="1:31" x14ac:dyDescent="0.2">
      <c r="A15" s="99"/>
      <c r="B15" s="99"/>
      <c r="C15" s="99"/>
      <c r="D15" s="99"/>
      <c r="E15" s="16"/>
      <c r="F15" s="99"/>
      <c r="G15" s="99"/>
      <c r="H15" s="99"/>
      <c r="I15" s="99"/>
      <c r="J15" s="16"/>
      <c r="K15" s="16"/>
      <c r="L15" s="99"/>
      <c r="M15" s="99"/>
      <c r="N15" s="99"/>
      <c r="O15" s="99"/>
      <c r="P15" s="99"/>
      <c r="Q15" s="99"/>
      <c r="R15" s="16"/>
      <c r="S15" s="99"/>
      <c r="T15" s="99"/>
      <c r="U15" s="99"/>
      <c r="V15" s="99"/>
      <c r="W15" s="99"/>
      <c r="X15" s="98"/>
      <c r="Y15" s="99"/>
      <c r="Z15" s="99"/>
      <c r="AA15" s="99"/>
      <c r="AB15" s="99"/>
      <c r="AC15" s="99"/>
      <c r="AD15" s="99"/>
    </row>
    <row r="16" spans="1:31" x14ac:dyDescent="0.2">
      <c r="A16" s="99"/>
      <c r="B16" s="99"/>
      <c r="C16" s="99"/>
      <c r="D16" s="99"/>
      <c r="E16" s="16"/>
      <c r="F16" s="99"/>
      <c r="G16" s="99"/>
      <c r="H16" s="99"/>
      <c r="I16" s="99"/>
      <c r="J16" s="16"/>
      <c r="K16" s="16"/>
      <c r="L16" s="99"/>
      <c r="M16" s="99"/>
      <c r="N16" s="99"/>
      <c r="O16" s="99"/>
      <c r="P16" s="99"/>
      <c r="Q16" s="99"/>
      <c r="R16" s="16"/>
      <c r="S16" s="99"/>
      <c r="T16" s="99"/>
      <c r="U16" s="99"/>
      <c r="V16" s="99"/>
      <c r="W16" s="99"/>
      <c r="X16" s="98"/>
      <c r="Y16" s="99"/>
      <c r="Z16" s="99"/>
      <c r="AA16" s="99"/>
      <c r="AB16" s="99"/>
      <c r="AC16" s="99"/>
      <c r="AD16" s="99"/>
    </row>
    <row r="17" spans="1:30" x14ac:dyDescent="0.2">
      <c r="A17" s="99"/>
      <c r="B17" s="99"/>
      <c r="C17" s="99"/>
      <c r="D17" s="99"/>
      <c r="E17" s="16"/>
      <c r="F17" s="99"/>
      <c r="G17" s="99"/>
      <c r="H17" s="99"/>
      <c r="I17" s="99"/>
      <c r="J17" s="16"/>
      <c r="K17" s="16"/>
      <c r="L17" s="99"/>
      <c r="M17" s="99"/>
      <c r="N17" s="99"/>
      <c r="O17" s="99"/>
      <c r="P17" s="99"/>
      <c r="Q17" s="99"/>
      <c r="R17" s="16"/>
      <c r="S17" s="99"/>
      <c r="T17" s="99"/>
      <c r="U17" s="99"/>
      <c r="V17" s="99"/>
      <c r="W17" s="99"/>
      <c r="X17" s="98"/>
      <c r="Y17" s="99"/>
      <c r="Z17" s="99"/>
      <c r="AA17" s="99"/>
      <c r="AB17" s="99"/>
      <c r="AC17" s="99"/>
      <c r="AD17" s="99"/>
    </row>
    <row r="18" spans="1:30" x14ac:dyDescent="0.2">
      <c r="A18" s="99"/>
      <c r="B18" s="99"/>
      <c r="C18" s="99"/>
      <c r="D18" s="99"/>
      <c r="E18" s="16"/>
      <c r="F18" s="99"/>
      <c r="G18" s="99"/>
      <c r="H18" s="99"/>
      <c r="I18" s="99"/>
      <c r="J18" s="16"/>
      <c r="K18" s="16"/>
      <c r="L18" s="99"/>
      <c r="M18" s="99"/>
      <c r="N18" s="99"/>
      <c r="O18" s="99"/>
      <c r="P18" s="99"/>
      <c r="Q18" s="99"/>
      <c r="R18" s="16"/>
      <c r="S18" s="99"/>
      <c r="T18" s="99"/>
      <c r="U18" s="99"/>
      <c r="V18" s="99"/>
      <c r="W18" s="99"/>
      <c r="X18" s="98"/>
      <c r="Y18" s="99"/>
      <c r="Z18" s="99"/>
      <c r="AA18" s="99"/>
      <c r="AB18" s="99"/>
      <c r="AC18" s="99"/>
      <c r="AD18" s="99"/>
    </row>
    <row r="19" spans="1:30" x14ac:dyDescent="0.2">
      <c r="A19" s="99"/>
      <c r="B19" s="99"/>
      <c r="C19" s="99"/>
      <c r="D19" s="99"/>
      <c r="E19" s="16"/>
      <c r="F19" s="99"/>
      <c r="G19" s="99"/>
      <c r="H19" s="99"/>
      <c r="I19" s="99"/>
      <c r="J19" s="16"/>
      <c r="K19" s="16"/>
      <c r="L19" s="99"/>
      <c r="M19" s="99"/>
      <c r="N19" s="99"/>
      <c r="O19" s="99"/>
      <c r="P19" s="99"/>
      <c r="Q19" s="99"/>
      <c r="R19" s="16"/>
      <c r="S19" s="99"/>
      <c r="T19" s="99"/>
      <c r="U19" s="99"/>
      <c r="V19" s="99"/>
      <c r="W19" s="99"/>
      <c r="X19" s="98"/>
      <c r="Y19" s="99"/>
      <c r="Z19" s="99"/>
      <c r="AA19" s="99"/>
      <c r="AB19" s="99"/>
      <c r="AC19" s="99"/>
      <c r="AD19" s="99"/>
    </row>
    <row r="20" spans="1:30" x14ac:dyDescent="0.2">
      <c r="A20" s="99"/>
      <c r="B20" s="99"/>
      <c r="C20" s="99"/>
      <c r="D20" s="99"/>
      <c r="E20" s="16"/>
      <c r="F20" s="99"/>
      <c r="G20" s="99"/>
      <c r="H20" s="99"/>
      <c r="I20" s="99"/>
      <c r="J20" s="16"/>
      <c r="K20" s="16"/>
      <c r="L20" s="99"/>
      <c r="M20" s="99"/>
      <c r="N20" s="99"/>
      <c r="O20" s="99"/>
      <c r="P20" s="99"/>
      <c r="Q20" s="99"/>
      <c r="R20" s="16"/>
      <c r="S20" s="99"/>
      <c r="T20" s="99"/>
      <c r="U20" s="99"/>
      <c r="V20" s="99"/>
      <c r="W20" s="99"/>
      <c r="X20" s="98"/>
      <c r="Y20" s="99"/>
      <c r="Z20" s="99"/>
      <c r="AA20" s="99"/>
      <c r="AB20" s="99"/>
      <c r="AC20" s="99"/>
      <c r="AD20" s="99"/>
    </row>
    <row r="21" spans="1:30" x14ac:dyDescent="0.2">
      <c r="A21" s="98"/>
      <c r="B21" s="98"/>
      <c r="C21" s="98"/>
      <c r="D21" s="98"/>
      <c r="E21" s="16"/>
      <c r="F21" s="98"/>
      <c r="G21" s="98"/>
      <c r="H21" s="99"/>
      <c r="I21" s="99"/>
      <c r="J21" s="16"/>
      <c r="K21" s="16"/>
      <c r="L21" s="99"/>
      <c r="M21" s="99"/>
      <c r="N21" s="98"/>
      <c r="O21" s="98"/>
      <c r="P21" s="99"/>
      <c r="Q21" s="99"/>
      <c r="R21" s="98"/>
      <c r="S21" s="98"/>
      <c r="T21" s="98"/>
      <c r="U21" s="98"/>
      <c r="V21" s="99"/>
      <c r="W21" s="99"/>
      <c r="X21" s="98"/>
      <c r="Y21" s="98"/>
      <c r="Z21" s="98"/>
      <c r="AA21" s="98"/>
      <c r="AB21" s="98"/>
      <c r="AC21" s="98"/>
      <c r="AD21" s="98"/>
    </row>
    <row r="22" spans="1:30" customFormat="1" x14ac:dyDescent="0.2"/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AD9"/>
    <mergeCell ref="AE2:AE8"/>
  </mergeCells>
  <dataValidations count="11">
    <dataValidation type="list" allowBlank="1" showInputMessage="1" showErrorMessage="1" sqref="J3:J4 J10:J21">
      <formula1>israel_abroad</formula1>
    </dataValidation>
    <dataValidation type="list" allowBlank="1" showInputMessage="1" showErrorMessage="1" sqref="L3:L4 L10:L21">
      <formula1>Holding_interest</formula1>
    </dataValidation>
    <dataValidation type="list" allowBlank="1" showInputMessage="1" showErrorMessage="1" sqref="P3:P4 P10:P21">
      <formula1>Rating_Agency</formula1>
    </dataValidation>
    <dataValidation type="list" allowBlank="1" showInputMessage="1" showErrorMessage="1" sqref="Q3:Q4 Q10:Q21">
      <formula1>What_is_rated</formula1>
    </dataValidation>
    <dataValidation type="list" allowBlank="1" showInputMessage="1" showErrorMessage="1" sqref="V3:V4 V10:V21">
      <formula1>Valuation</formula1>
    </dataValidation>
    <dataValidation type="list" allowBlank="1" showInputMessage="1" showErrorMessage="1" sqref="W3:W4 W10:W21">
      <formula1>Dependence_Independence</formula1>
    </dataValidation>
    <dataValidation type="list" allowBlank="1" showInputMessage="1" showErrorMessage="1" sqref="K3:K4 K10:K21">
      <formula1>Country_list</formula1>
    </dataValidation>
    <dataValidation type="list" allowBlank="1" showInputMessage="1" showErrorMessage="1" sqref="H3:H4 H10:H21">
      <formula1>Type_of_Security_ID_Fund</formula1>
    </dataValidation>
    <dataValidation type="list" allowBlank="1" showInputMessage="1" showErrorMessage="1" sqref="M10:M21">
      <formula1>Underlying_Asset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E4 E10:E21">
      <formula1>Issuer_Number_Type_2</formula1>
    </dataValidation>
  </dataValidations>
  <pageMargins left="0.7" right="0.7" top="0.75" bottom="0.75" header="0.3" footer="0.3"/>
  <pageSetup paperSize="0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בחירה'!$C$986:$C$991</xm:f>
          </x14:formula1>
          <xm:sqref>I3:I4 I10:I21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X22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9" style="2" customWidth="1"/>
    <col min="4" max="4" width="13.75" style="2" customWidth="1"/>
    <col min="5" max="5" width="16.5" style="4" customWidth="1"/>
    <col min="6" max="6" width="11.5" style="2" customWidth="1"/>
    <col min="7" max="7" width="17" style="2" customWidth="1"/>
    <col min="8" max="8" width="10.625" style="2" customWidth="1"/>
    <col min="9" max="9" width="19.875" style="2" customWidth="1"/>
    <col min="10" max="10" width="15.125" style="2" customWidth="1"/>
    <col min="11" max="11" width="10.25" style="2" customWidth="1"/>
    <col min="12" max="12" width="9" style="2" customWidth="1"/>
    <col min="13" max="13" width="11.75" style="2" customWidth="1"/>
    <col min="14" max="14" width="6.5" style="2" customWidth="1"/>
    <col min="15" max="15" width="11.125" style="2" customWidth="1"/>
    <col min="16" max="16" width="12.25" style="2" customWidth="1"/>
    <col min="17" max="17" width="10.25" style="2" customWidth="1"/>
    <col min="18" max="18" width="10.5" style="2" customWidth="1"/>
    <col min="19" max="19" width="10.625" style="2" customWidth="1"/>
    <col min="20" max="20" width="17.875" style="2" customWidth="1"/>
    <col min="21" max="21" width="21.75" style="2" customWidth="1"/>
    <col min="22" max="22" width="20.125" style="2" customWidth="1"/>
    <col min="23" max="23" width="9" style="2"/>
    <col min="25" max="16384" width="9" style="2"/>
  </cols>
  <sheetData>
    <row r="1" spans="1:23" x14ac:dyDescent="0.2">
      <c r="A1" s="2" t="s">
        <v>3920</v>
      </c>
    </row>
    <row r="2" spans="1:23" ht="66.75" customHeight="1" x14ac:dyDescent="0.2">
      <c r="A2" s="139" t="s">
        <v>49</v>
      </c>
      <c r="B2" s="140" t="s">
        <v>50</v>
      </c>
      <c r="C2" s="140" t="s">
        <v>51</v>
      </c>
      <c r="D2" s="140" t="s">
        <v>52</v>
      </c>
      <c r="E2" s="140" t="s">
        <v>53</v>
      </c>
      <c r="F2" s="140" t="s">
        <v>54</v>
      </c>
      <c r="G2" s="140" t="s">
        <v>173</v>
      </c>
      <c r="H2" s="140" t="s">
        <v>55</v>
      </c>
      <c r="I2" s="140" t="s">
        <v>69</v>
      </c>
      <c r="J2" s="140" t="s">
        <v>56</v>
      </c>
      <c r="K2" s="140" t="s">
        <v>57</v>
      </c>
      <c r="L2" s="140" t="s">
        <v>58</v>
      </c>
      <c r="M2" s="140" t="s">
        <v>59</v>
      </c>
      <c r="N2" s="140" t="s">
        <v>72</v>
      </c>
      <c r="O2" s="140" t="s">
        <v>62</v>
      </c>
      <c r="P2" s="140" t="s">
        <v>74</v>
      </c>
      <c r="Q2" s="140" t="s">
        <v>60</v>
      </c>
      <c r="R2" s="140" t="s">
        <v>61</v>
      </c>
      <c r="S2" s="140" t="s">
        <v>174</v>
      </c>
      <c r="T2" s="140" t="s">
        <v>63</v>
      </c>
      <c r="U2" s="140" t="s">
        <v>64</v>
      </c>
      <c r="V2" s="141" t="s">
        <v>65</v>
      </c>
      <c r="W2" s="181" t="s">
        <v>3894</v>
      </c>
    </row>
    <row r="3" spans="1:23" ht="15" x14ac:dyDescent="0.2">
      <c r="A3" s="154" t="s">
        <v>1205</v>
      </c>
      <c r="B3" s="155" t="s">
        <v>1206</v>
      </c>
      <c r="C3" s="145" t="s">
        <v>3876</v>
      </c>
      <c r="D3" s="145" t="s">
        <v>3876</v>
      </c>
      <c r="E3" s="145" t="s">
        <v>3876</v>
      </c>
      <c r="F3" s="145" t="s">
        <v>3876</v>
      </c>
      <c r="G3" s="145" t="s">
        <v>3876</v>
      </c>
      <c r="H3" s="145" t="s">
        <v>3876</v>
      </c>
      <c r="I3" s="145" t="s">
        <v>3876</v>
      </c>
      <c r="J3" s="145" t="s">
        <v>3876</v>
      </c>
      <c r="K3" s="145" t="s">
        <v>3876</v>
      </c>
      <c r="L3" s="145" t="s">
        <v>3876</v>
      </c>
      <c r="M3" s="145" t="s">
        <v>3876</v>
      </c>
      <c r="N3" s="145" t="s">
        <v>3876</v>
      </c>
      <c r="O3" s="145" t="s">
        <v>3876</v>
      </c>
      <c r="P3" s="145" t="s">
        <v>3876</v>
      </c>
      <c r="Q3" s="145" t="s">
        <v>3876</v>
      </c>
      <c r="R3" s="145" t="s">
        <v>3876</v>
      </c>
      <c r="S3" s="145" t="s">
        <v>3876</v>
      </c>
      <c r="T3" s="145" t="s">
        <v>3876</v>
      </c>
      <c r="U3" s="145" t="s">
        <v>3876</v>
      </c>
      <c r="V3" s="156" t="s">
        <v>3876</v>
      </c>
      <c r="W3" s="181"/>
    </row>
    <row r="4" spans="1:23" ht="15" x14ac:dyDescent="0.2">
      <c r="A4" s="154" t="s">
        <v>1205</v>
      </c>
      <c r="B4" s="155" t="s">
        <v>1215</v>
      </c>
      <c r="C4" s="145" t="s">
        <v>3876</v>
      </c>
      <c r="D4" s="145" t="s">
        <v>3876</v>
      </c>
      <c r="E4" s="145" t="s">
        <v>3876</v>
      </c>
      <c r="F4" s="145" t="s">
        <v>3876</v>
      </c>
      <c r="G4" s="145" t="s">
        <v>3876</v>
      </c>
      <c r="H4" s="145" t="s">
        <v>3876</v>
      </c>
      <c r="I4" s="145" t="s">
        <v>3876</v>
      </c>
      <c r="J4" s="145" t="s">
        <v>3876</v>
      </c>
      <c r="K4" s="145" t="s">
        <v>3876</v>
      </c>
      <c r="L4" s="145" t="s">
        <v>3876</v>
      </c>
      <c r="M4" s="145" t="s">
        <v>3876</v>
      </c>
      <c r="N4" s="145" t="s">
        <v>3876</v>
      </c>
      <c r="O4" s="145" t="s">
        <v>3876</v>
      </c>
      <c r="P4" s="145" t="s">
        <v>3876</v>
      </c>
      <c r="Q4" s="145" t="s">
        <v>3876</v>
      </c>
      <c r="R4" s="145" t="s">
        <v>3876</v>
      </c>
      <c r="S4" s="145" t="s">
        <v>3876</v>
      </c>
      <c r="T4" s="145" t="s">
        <v>3876</v>
      </c>
      <c r="U4" s="145" t="s">
        <v>3876</v>
      </c>
      <c r="V4" s="156" t="s">
        <v>3876</v>
      </c>
      <c r="W4" s="181"/>
    </row>
    <row r="5" spans="1:23" ht="15" x14ac:dyDescent="0.2">
      <c r="A5" s="154" t="s">
        <v>1205</v>
      </c>
      <c r="B5" s="155" t="s">
        <v>1205</v>
      </c>
      <c r="C5" s="145" t="s">
        <v>3876</v>
      </c>
      <c r="D5" s="145" t="s">
        <v>3876</v>
      </c>
      <c r="E5" s="145" t="s">
        <v>3876</v>
      </c>
      <c r="F5" s="145" t="s">
        <v>3876</v>
      </c>
      <c r="G5" s="145" t="s">
        <v>3876</v>
      </c>
      <c r="H5" s="145" t="s">
        <v>3876</v>
      </c>
      <c r="I5" s="145" t="s">
        <v>3876</v>
      </c>
      <c r="J5" s="145" t="s">
        <v>3876</v>
      </c>
      <c r="K5" s="145" t="s">
        <v>3876</v>
      </c>
      <c r="L5" s="145" t="s">
        <v>3876</v>
      </c>
      <c r="M5" s="145" t="s">
        <v>3876</v>
      </c>
      <c r="N5" s="145" t="s">
        <v>3876</v>
      </c>
      <c r="O5" s="145" t="s">
        <v>3876</v>
      </c>
      <c r="P5" s="145" t="s">
        <v>3876</v>
      </c>
      <c r="Q5" s="145" t="s">
        <v>3876</v>
      </c>
      <c r="R5" s="145" t="s">
        <v>3876</v>
      </c>
      <c r="S5" s="145" t="s">
        <v>3876</v>
      </c>
      <c r="T5" s="145" t="s">
        <v>3876</v>
      </c>
      <c r="U5" s="145" t="s">
        <v>3876</v>
      </c>
      <c r="V5" s="156" t="s">
        <v>3876</v>
      </c>
      <c r="W5" s="181"/>
    </row>
    <row r="6" spans="1:23" ht="15" x14ac:dyDescent="0.2">
      <c r="A6" s="154" t="s">
        <v>1220</v>
      </c>
      <c r="B6" s="155" t="s">
        <v>1221</v>
      </c>
      <c r="C6" s="145" t="s">
        <v>3876</v>
      </c>
      <c r="D6" s="145" t="s">
        <v>3876</v>
      </c>
      <c r="E6" s="145" t="s">
        <v>3876</v>
      </c>
      <c r="F6" s="145" t="s">
        <v>3876</v>
      </c>
      <c r="G6" s="145" t="s">
        <v>3876</v>
      </c>
      <c r="H6" s="145" t="s">
        <v>3876</v>
      </c>
      <c r="I6" s="145" t="s">
        <v>3876</v>
      </c>
      <c r="J6" s="145" t="s">
        <v>3876</v>
      </c>
      <c r="K6" s="145" t="s">
        <v>3876</v>
      </c>
      <c r="L6" s="145" t="s">
        <v>3876</v>
      </c>
      <c r="M6" s="145" t="s">
        <v>3876</v>
      </c>
      <c r="N6" s="145" t="s">
        <v>3876</v>
      </c>
      <c r="O6" s="145" t="s">
        <v>3876</v>
      </c>
      <c r="P6" s="145" t="s">
        <v>3876</v>
      </c>
      <c r="Q6" s="145" t="s">
        <v>3876</v>
      </c>
      <c r="R6" s="145" t="s">
        <v>3876</v>
      </c>
      <c r="S6" s="145" t="s">
        <v>3876</v>
      </c>
      <c r="T6" s="145" t="s">
        <v>3876</v>
      </c>
      <c r="U6" s="145" t="s">
        <v>3876</v>
      </c>
      <c r="V6" s="156" t="s">
        <v>3876</v>
      </c>
      <c r="W6" s="181"/>
    </row>
    <row r="7" spans="1:23" ht="15" x14ac:dyDescent="0.2">
      <c r="A7" s="154" t="s">
        <v>1220</v>
      </c>
      <c r="B7" s="155" t="s">
        <v>1222</v>
      </c>
      <c r="C7" s="145" t="s">
        <v>3876</v>
      </c>
      <c r="D7" s="145" t="s">
        <v>3876</v>
      </c>
      <c r="E7" s="145" t="s">
        <v>3876</v>
      </c>
      <c r="F7" s="145" t="s">
        <v>3876</v>
      </c>
      <c r="G7" s="145" t="s">
        <v>3876</v>
      </c>
      <c r="H7" s="145" t="s">
        <v>3876</v>
      </c>
      <c r="I7" s="145" t="s">
        <v>3876</v>
      </c>
      <c r="J7" s="145" t="s">
        <v>3876</v>
      </c>
      <c r="K7" s="145" t="s">
        <v>3876</v>
      </c>
      <c r="L7" s="145" t="s">
        <v>3876</v>
      </c>
      <c r="M7" s="145" t="s">
        <v>3876</v>
      </c>
      <c r="N7" s="145" t="s">
        <v>3876</v>
      </c>
      <c r="O7" s="145" t="s">
        <v>3876</v>
      </c>
      <c r="P7" s="145" t="s">
        <v>3876</v>
      </c>
      <c r="Q7" s="145" t="s">
        <v>3876</v>
      </c>
      <c r="R7" s="145" t="s">
        <v>3876</v>
      </c>
      <c r="S7" s="145" t="s">
        <v>3876</v>
      </c>
      <c r="T7" s="145" t="s">
        <v>3876</v>
      </c>
      <c r="U7" s="145" t="s">
        <v>3876</v>
      </c>
      <c r="V7" s="156" t="s">
        <v>3876</v>
      </c>
      <c r="W7" s="181"/>
    </row>
    <row r="8" spans="1:23" ht="15" x14ac:dyDescent="0.2">
      <c r="A8" s="157" t="s">
        <v>1220</v>
      </c>
      <c r="B8" s="158" t="s">
        <v>1220</v>
      </c>
      <c r="C8" s="151" t="s">
        <v>3876</v>
      </c>
      <c r="D8" s="151" t="s">
        <v>3876</v>
      </c>
      <c r="E8" s="151" t="s">
        <v>3876</v>
      </c>
      <c r="F8" s="151" t="s">
        <v>3876</v>
      </c>
      <c r="G8" s="151" t="s">
        <v>3876</v>
      </c>
      <c r="H8" s="151" t="s">
        <v>3876</v>
      </c>
      <c r="I8" s="151" t="s">
        <v>3876</v>
      </c>
      <c r="J8" s="151" t="s">
        <v>3876</v>
      </c>
      <c r="K8" s="151" t="s">
        <v>3876</v>
      </c>
      <c r="L8" s="151" t="s">
        <v>3876</v>
      </c>
      <c r="M8" s="151" t="s">
        <v>3876</v>
      </c>
      <c r="N8" s="151" t="s">
        <v>3876</v>
      </c>
      <c r="O8" s="151" t="s">
        <v>3876</v>
      </c>
      <c r="P8" s="151" t="s">
        <v>3876</v>
      </c>
      <c r="Q8" s="151" t="s">
        <v>3876</v>
      </c>
      <c r="R8" s="151" t="s">
        <v>3876</v>
      </c>
      <c r="S8" s="151" t="s">
        <v>3876</v>
      </c>
      <c r="T8" s="151" t="s">
        <v>3876</v>
      </c>
      <c r="U8" s="151" t="s">
        <v>3876</v>
      </c>
      <c r="V8" s="159" t="s">
        <v>3876</v>
      </c>
      <c r="W8" s="181"/>
    </row>
    <row r="9" spans="1:23" x14ac:dyDescent="0.2">
      <c r="A9" s="185" t="s">
        <v>3893</v>
      </c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</row>
    <row r="10" spans="1:23" x14ac:dyDescent="0.2">
      <c r="A10" s="99" t="s">
        <v>3892</v>
      </c>
      <c r="B10" s="99"/>
      <c r="C10" s="99"/>
      <c r="D10" s="98"/>
      <c r="E10" s="16"/>
      <c r="F10" s="99"/>
      <c r="G10" s="99"/>
      <c r="H10" s="16"/>
      <c r="I10" s="16"/>
      <c r="J10" s="99"/>
      <c r="K10" s="99"/>
      <c r="L10" s="98"/>
      <c r="M10" s="16"/>
      <c r="N10" s="99"/>
      <c r="O10" s="99"/>
      <c r="P10" s="99"/>
      <c r="Q10" s="98"/>
      <c r="R10" s="99"/>
      <c r="S10" s="99"/>
      <c r="T10" s="99"/>
      <c r="U10" s="99"/>
      <c r="V10" s="99"/>
    </row>
    <row r="11" spans="1:23" x14ac:dyDescent="0.2">
      <c r="A11" s="179"/>
      <c r="B11" s="99"/>
      <c r="C11" s="99"/>
      <c r="D11" s="98"/>
      <c r="E11" s="16"/>
      <c r="F11" s="99"/>
      <c r="G11" s="99"/>
      <c r="H11" s="16"/>
      <c r="I11" s="16"/>
      <c r="J11" s="99"/>
      <c r="K11" s="99"/>
      <c r="L11" s="98"/>
      <c r="M11" s="16"/>
      <c r="N11" s="99"/>
      <c r="O11" s="99"/>
      <c r="P11" s="99"/>
      <c r="Q11" s="98"/>
      <c r="R11" s="99"/>
      <c r="S11" s="99"/>
      <c r="T11" s="99"/>
      <c r="U11" s="99"/>
      <c r="V11" s="99"/>
    </row>
    <row r="12" spans="1:23" x14ac:dyDescent="0.2">
      <c r="A12" s="99"/>
      <c r="B12" s="99"/>
      <c r="C12" s="99"/>
      <c r="D12" s="98"/>
      <c r="E12" s="16"/>
      <c r="F12" s="99"/>
      <c r="G12" s="99"/>
      <c r="H12" s="16"/>
      <c r="I12" s="16"/>
      <c r="J12" s="99"/>
      <c r="K12" s="99"/>
      <c r="L12" s="98"/>
      <c r="M12" s="16"/>
      <c r="N12" s="99"/>
      <c r="O12" s="99"/>
      <c r="P12" s="99"/>
      <c r="Q12" s="98"/>
      <c r="R12" s="99"/>
      <c r="S12" s="99"/>
      <c r="T12" s="99"/>
      <c r="U12" s="99"/>
      <c r="V12" s="99"/>
    </row>
    <row r="13" spans="1:23" x14ac:dyDescent="0.2">
      <c r="A13" s="99"/>
      <c r="B13" s="99"/>
      <c r="C13" s="99"/>
      <c r="D13" s="98"/>
      <c r="E13" s="16"/>
      <c r="F13" s="99"/>
      <c r="G13" s="99"/>
      <c r="H13" s="16"/>
      <c r="I13" s="16"/>
      <c r="J13" s="99"/>
      <c r="K13" s="99"/>
      <c r="L13" s="98"/>
      <c r="M13" s="16"/>
      <c r="N13" s="99"/>
      <c r="O13" s="99"/>
      <c r="P13" s="99"/>
      <c r="Q13" s="98"/>
      <c r="R13" s="99"/>
      <c r="S13" s="99"/>
      <c r="T13" s="99"/>
      <c r="U13" s="99"/>
      <c r="V13" s="99"/>
    </row>
    <row r="14" spans="1:23" x14ac:dyDescent="0.2">
      <c r="A14" s="99"/>
      <c r="B14" s="99"/>
      <c r="C14" s="99"/>
      <c r="D14" s="98"/>
      <c r="E14" s="16"/>
      <c r="F14" s="99"/>
      <c r="G14" s="99"/>
      <c r="H14" s="16"/>
      <c r="I14" s="16"/>
      <c r="J14" s="99"/>
      <c r="K14" s="99"/>
      <c r="L14" s="98"/>
      <c r="M14" s="16"/>
      <c r="N14" s="99"/>
      <c r="O14" s="99"/>
      <c r="P14" s="99"/>
      <c r="Q14" s="98"/>
      <c r="R14" s="99"/>
      <c r="S14" s="99"/>
      <c r="T14" s="99"/>
      <c r="U14" s="99"/>
      <c r="V14" s="99"/>
    </row>
    <row r="15" spans="1:23" x14ac:dyDescent="0.2">
      <c r="A15" s="99"/>
      <c r="B15" s="99"/>
      <c r="C15" s="99"/>
      <c r="D15" s="98"/>
      <c r="E15" s="16"/>
      <c r="F15" s="99"/>
      <c r="G15" s="99"/>
      <c r="H15" s="16"/>
      <c r="I15" s="16"/>
      <c r="J15" s="99"/>
      <c r="K15" s="99"/>
      <c r="L15" s="98"/>
      <c r="M15" s="16"/>
      <c r="N15" s="99"/>
      <c r="O15" s="99"/>
      <c r="P15" s="99"/>
      <c r="Q15" s="98"/>
      <c r="R15" s="99"/>
      <c r="S15" s="99"/>
      <c r="T15" s="99"/>
      <c r="U15" s="99"/>
      <c r="V15" s="99"/>
    </row>
    <row r="16" spans="1:23" x14ac:dyDescent="0.2">
      <c r="A16" s="99"/>
      <c r="B16" s="99"/>
      <c r="C16" s="99"/>
      <c r="D16" s="98"/>
      <c r="E16" s="16"/>
      <c r="F16" s="99"/>
      <c r="G16" s="99"/>
      <c r="H16" s="16"/>
      <c r="I16" s="16"/>
      <c r="J16" s="99"/>
      <c r="K16" s="99"/>
      <c r="L16" s="98"/>
      <c r="M16" s="16"/>
      <c r="N16" s="99"/>
      <c r="O16" s="99"/>
      <c r="P16" s="99"/>
      <c r="Q16" s="98"/>
      <c r="R16" s="99"/>
      <c r="S16" s="99"/>
      <c r="T16" s="99"/>
      <c r="U16" s="99"/>
      <c r="V16" s="99"/>
    </row>
    <row r="17" spans="1:22" x14ac:dyDescent="0.2">
      <c r="A17" s="99"/>
      <c r="B17" s="99"/>
      <c r="C17" s="99"/>
      <c r="D17" s="98"/>
      <c r="E17" s="16"/>
      <c r="F17" s="99"/>
      <c r="G17" s="99"/>
      <c r="H17" s="16"/>
      <c r="I17" s="16"/>
      <c r="J17" s="99"/>
      <c r="K17" s="99"/>
      <c r="L17" s="98"/>
      <c r="M17" s="16"/>
      <c r="N17" s="99"/>
      <c r="O17" s="99"/>
      <c r="P17" s="99"/>
      <c r="Q17" s="98"/>
      <c r="R17" s="99"/>
      <c r="S17" s="99"/>
      <c r="T17" s="99"/>
      <c r="U17" s="99"/>
      <c r="V17" s="99"/>
    </row>
    <row r="18" spans="1:22" x14ac:dyDescent="0.2">
      <c r="A18" s="99"/>
      <c r="B18" s="99"/>
      <c r="C18" s="99"/>
      <c r="D18" s="98"/>
      <c r="E18" s="16"/>
      <c r="F18" s="99"/>
      <c r="G18" s="99"/>
      <c r="H18" s="16"/>
      <c r="I18" s="16"/>
      <c r="J18" s="99"/>
      <c r="K18" s="99"/>
      <c r="L18" s="98"/>
      <c r="M18" s="16"/>
      <c r="N18" s="99"/>
      <c r="O18" s="99"/>
      <c r="P18" s="99"/>
      <c r="Q18" s="98"/>
      <c r="R18" s="99"/>
      <c r="S18" s="99"/>
      <c r="T18" s="99"/>
      <c r="U18" s="99"/>
      <c r="V18" s="99"/>
    </row>
    <row r="19" spans="1:22" x14ac:dyDescent="0.2">
      <c r="A19" s="99"/>
      <c r="B19" s="99"/>
      <c r="C19" s="99"/>
      <c r="D19" s="98"/>
      <c r="E19" s="16"/>
      <c r="F19" s="99"/>
      <c r="G19" s="99"/>
      <c r="H19" s="16"/>
      <c r="I19" s="16"/>
      <c r="J19" s="99"/>
      <c r="K19" s="99"/>
      <c r="L19" s="98"/>
      <c r="M19" s="16"/>
      <c r="N19" s="99"/>
      <c r="O19" s="99"/>
      <c r="P19" s="99"/>
      <c r="Q19" s="98"/>
      <c r="R19" s="99"/>
      <c r="S19" s="99"/>
      <c r="T19" s="99"/>
      <c r="U19" s="99"/>
      <c r="V19" s="99"/>
    </row>
    <row r="20" spans="1:22" x14ac:dyDescent="0.2">
      <c r="A20" s="99"/>
      <c r="B20" s="99"/>
      <c r="C20" s="99"/>
      <c r="D20" s="98"/>
      <c r="E20" s="16"/>
      <c r="F20" s="99"/>
      <c r="G20" s="99"/>
      <c r="H20" s="16"/>
      <c r="I20" s="16"/>
      <c r="J20" s="99"/>
      <c r="K20" s="99"/>
      <c r="L20" s="98"/>
      <c r="M20" s="16"/>
      <c r="N20" s="99"/>
      <c r="O20" s="99"/>
      <c r="P20" s="99"/>
      <c r="Q20" s="98"/>
      <c r="R20" s="99"/>
      <c r="S20" s="99"/>
      <c r="T20" s="99"/>
      <c r="U20" s="99"/>
      <c r="V20" s="99"/>
    </row>
    <row r="21" spans="1:22" x14ac:dyDescent="0.2">
      <c r="A21" s="98"/>
      <c r="B21" s="98"/>
      <c r="C21" s="98"/>
      <c r="D21" s="98"/>
      <c r="E21" s="16"/>
      <c r="F21" s="99"/>
      <c r="G21" s="98"/>
      <c r="H21" s="16"/>
      <c r="I21" s="16"/>
      <c r="J21" s="99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</row>
    <row r="22" spans="1:22" x14ac:dyDescent="0.2">
      <c r="A22" s="98"/>
      <c r="B22" s="98"/>
      <c r="C22" s="98"/>
      <c r="D22" s="98"/>
      <c r="F22" s="98"/>
      <c r="G22" s="98"/>
      <c r="H22" s="98"/>
      <c r="I22" s="98"/>
      <c r="J22" s="98"/>
      <c r="K22" s="98"/>
      <c r="L22"/>
      <c r="M22" s="98"/>
      <c r="N22" s="98"/>
      <c r="O22" s="98"/>
      <c r="P22" s="98"/>
      <c r="Q22" s="98"/>
      <c r="R22" s="98"/>
      <c r="S22" s="98"/>
      <c r="T22" s="98"/>
      <c r="U22" s="98"/>
      <c r="V22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orientation="portrait" r:id="rId1"/>
    </customSheetView>
  </customSheetViews>
  <mergeCells count="2">
    <mergeCell ref="A9:V9"/>
    <mergeCell ref="W2:W8"/>
  </mergeCells>
  <dataValidations count="5">
    <dataValidation type="list" allowBlank="1" showInputMessage="1" showErrorMessage="1" sqref="H10:H21">
      <formula1>israel_abroad</formula1>
    </dataValidation>
    <dataValidation type="list" allowBlank="1" showInputMessage="1" showErrorMessage="1" sqref="J10:J21">
      <formula1>Holding_interest</formula1>
    </dataValidation>
    <dataValidation type="list" allowBlank="1" showInputMessage="1" showErrorMessage="1" sqref="I10:I21">
      <formula1>Country_list</formula1>
    </dataValidation>
    <dataValidation type="list" allowBlank="1" showInputMessage="1" showErrorMessage="1" sqref="E10:E21">
      <formula1>Issuer_Number_Banks</formula1>
    </dataValidation>
    <dataValidation type="list" allowBlank="1" showInputMessage="1" showErrorMessage="1" sqref="L10:L21">
      <formula1>Rating_Agency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בחירה'!$C$992:$C$997</xm:f>
          </x14:formula1>
          <xm:sqref>F10:F21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Y23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8.875" style="2" customWidth="1"/>
    <col min="4" max="4" width="11.5" style="2" customWidth="1"/>
    <col min="5" max="5" width="15.375" style="2" customWidth="1"/>
    <col min="6" max="6" width="15.125" style="2" customWidth="1"/>
    <col min="7" max="7" width="12" style="2" customWidth="1"/>
    <col min="8" max="8" width="15.25" style="2" customWidth="1"/>
    <col min="9" max="9" width="13.125" style="2" customWidth="1"/>
    <col min="10" max="10" width="11" style="2" customWidth="1"/>
    <col min="11" max="11" width="26.75" style="2" customWidth="1"/>
    <col min="12" max="12" width="27.5" style="2" customWidth="1"/>
    <col min="13" max="14" width="14" style="2" customWidth="1"/>
    <col min="15" max="15" width="18.625" style="2" customWidth="1"/>
    <col min="16" max="16" width="16.375" style="2" customWidth="1"/>
    <col min="17" max="17" width="11.75" style="2" customWidth="1"/>
    <col min="18" max="18" width="21.125" style="2" customWidth="1"/>
    <col min="19" max="19" width="17.875" style="2" customWidth="1"/>
    <col min="20" max="20" width="21.375" style="2" customWidth="1"/>
    <col min="21" max="21" width="24.625" style="2" customWidth="1"/>
    <col min="22" max="22" width="22" style="2" customWidth="1"/>
    <col min="23" max="23" width="21.75" style="2" customWidth="1"/>
    <col min="24" max="24" width="20.125" style="2" customWidth="1"/>
    <col min="25" max="16384" width="9" style="2"/>
  </cols>
  <sheetData>
    <row r="1" spans="1:25" x14ac:dyDescent="0.2">
      <c r="A1" s="2" t="s">
        <v>3921</v>
      </c>
    </row>
    <row r="2" spans="1:25" ht="66.75" customHeight="1" x14ac:dyDescent="0.2">
      <c r="A2" s="139" t="s">
        <v>49</v>
      </c>
      <c r="B2" s="140" t="s">
        <v>50</v>
      </c>
      <c r="C2" s="140" t="s">
        <v>175</v>
      </c>
      <c r="D2" s="140" t="s">
        <v>54</v>
      </c>
      <c r="E2" s="140" t="s">
        <v>176</v>
      </c>
      <c r="F2" s="140" t="s">
        <v>56</v>
      </c>
      <c r="G2" s="140" t="s">
        <v>97</v>
      </c>
      <c r="H2" s="140" t="s">
        <v>177</v>
      </c>
      <c r="I2" s="140" t="s">
        <v>178</v>
      </c>
      <c r="J2" s="140" t="s">
        <v>179</v>
      </c>
      <c r="K2" s="140" t="s">
        <v>180</v>
      </c>
      <c r="L2" s="140" t="s">
        <v>181</v>
      </c>
      <c r="M2" s="140" t="s">
        <v>103</v>
      </c>
      <c r="N2" s="140" t="s">
        <v>105</v>
      </c>
      <c r="O2" s="140" t="s">
        <v>104</v>
      </c>
      <c r="P2" s="140" t="s">
        <v>106</v>
      </c>
      <c r="Q2" s="140" t="s">
        <v>59</v>
      </c>
      <c r="R2" s="140" t="s">
        <v>172</v>
      </c>
      <c r="S2" s="140" t="s">
        <v>63</v>
      </c>
      <c r="T2" s="140" t="s">
        <v>78</v>
      </c>
      <c r="U2" s="140" t="s">
        <v>88</v>
      </c>
      <c r="V2" s="140" t="s">
        <v>17</v>
      </c>
      <c r="W2" s="140" t="s">
        <v>64</v>
      </c>
      <c r="X2" s="141" t="s">
        <v>65</v>
      </c>
      <c r="Y2" s="181" t="s">
        <v>3894</v>
      </c>
    </row>
    <row r="3" spans="1:25" ht="15" x14ac:dyDescent="0.2">
      <c r="A3" s="154" t="s">
        <v>1205</v>
      </c>
      <c r="B3" s="155" t="s">
        <v>1206</v>
      </c>
      <c r="C3" s="145" t="s">
        <v>3876</v>
      </c>
      <c r="D3" s="145" t="s">
        <v>3876</v>
      </c>
      <c r="E3" s="145" t="s">
        <v>3876</v>
      </c>
      <c r="F3" s="145" t="s">
        <v>3876</v>
      </c>
      <c r="G3" s="145" t="s">
        <v>3876</v>
      </c>
      <c r="H3" s="145" t="s">
        <v>3876</v>
      </c>
      <c r="I3" s="145" t="s">
        <v>3876</v>
      </c>
      <c r="J3" s="145" t="s">
        <v>3876</v>
      </c>
      <c r="K3" s="145" t="s">
        <v>3876</v>
      </c>
      <c r="L3" s="145" t="s">
        <v>3876</v>
      </c>
      <c r="M3" s="145" t="s">
        <v>3876</v>
      </c>
      <c r="N3" s="145" t="s">
        <v>3876</v>
      </c>
      <c r="O3" s="145" t="s">
        <v>3876</v>
      </c>
      <c r="P3" s="145" t="s">
        <v>3876</v>
      </c>
      <c r="Q3" s="145" t="s">
        <v>3876</v>
      </c>
      <c r="R3" s="145" t="s">
        <v>3876</v>
      </c>
      <c r="S3" s="145" t="s">
        <v>3876</v>
      </c>
      <c r="T3" s="145" t="s">
        <v>3876</v>
      </c>
      <c r="U3" s="145" t="s">
        <v>3876</v>
      </c>
      <c r="V3" s="145" t="s">
        <v>3876</v>
      </c>
      <c r="W3" s="145" t="s">
        <v>3876</v>
      </c>
      <c r="X3" s="156" t="s">
        <v>3876</v>
      </c>
      <c r="Y3" s="181"/>
    </row>
    <row r="4" spans="1:25" ht="15" x14ac:dyDescent="0.2">
      <c r="A4" s="154" t="s">
        <v>1205</v>
      </c>
      <c r="B4" s="155" t="s">
        <v>1215</v>
      </c>
      <c r="C4" s="145" t="s">
        <v>3876</v>
      </c>
      <c r="D4" s="145" t="s">
        <v>3876</v>
      </c>
      <c r="E4" s="145" t="s">
        <v>3876</v>
      </c>
      <c r="F4" s="145" t="s">
        <v>3876</v>
      </c>
      <c r="G4" s="145" t="s">
        <v>3876</v>
      </c>
      <c r="H4" s="145" t="s">
        <v>3876</v>
      </c>
      <c r="I4" s="145" t="s">
        <v>3876</v>
      </c>
      <c r="J4" s="145" t="s">
        <v>3876</v>
      </c>
      <c r="K4" s="145" t="s">
        <v>3876</v>
      </c>
      <c r="L4" s="145" t="s">
        <v>3876</v>
      </c>
      <c r="M4" s="145" t="s">
        <v>3876</v>
      </c>
      <c r="N4" s="145" t="s">
        <v>3876</v>
      </c>
      <c r="O4" s="145" t="s">
        <v>3876</v>
      </c>
      <c r="P4" s="145" t="s">
        <v>3876</v>
      </c>
      <c r="Q4" s="145" t="s">
        <v>3876</v>
      </c>
      <c r="R4" s="145" t="s">
        <v>3876</v>
      </c>
      <c r="S4" s="145" t="s">
        <v>3876</v>
      </c>
      <c r="T4" s="145" t="s">
        <v>3876</v>
      </c>
      <c r="U4" s="145" t="s">
        <v>3876</v>
      </c>
      <c r="V4" s="145" t="s">
        <v>3876</v>
      </c>
      <c r="W4" s="145" t="s">
        <v>3876</v>
      </c>
      <c r="X4" s="156" t="s">
        <v>3876</v>
      </c>
      <c r="Y4" s="181"/>
    </row>
    <row r="5" spans="1:25" ht="15" x14ac:dyDescent="0.2">
      <c r="A5" s="154" t="s">
        <v>1205</v>
      </c>
      <c r="B5" s="155" t="s">
        <v>1205</v>
      </c>
      <c r="C5" s="145" t="s">
        <v>3876</v>
      </c>
      <c r="D5" s="145" t="s">
        <v>3876</v>
      </c>
      <c r="E5" s="145" t="s">
        <v>3876</v>
      </c>
      <c r="F5" s="145" t="s">
        <v>3876</v>
      </c>
      <c r="G5" s="145" t="s">
        <v>3876</v>
      </c>
      <c r="H5" s="145" t="s">
        <v>3876</v>
      </c>
      <c r="I5" s="145" t="s">
        <v>3876</v>
      </c>
      <c r="J5" s="145" t="s">
        <v>3876</v>
      </c>
      <c r="K5" s="145" t="s">
        <v>3876</v>
      </c>
      <c r="L5" s="145" t="s">
        <v>3876</v>
      </c>
      <c r="M5" s="145" t="s">
        <v>3876</v>
      </c>
      <c r="N5" s="145" t="s">
        <v>3876</v>
      </c>
      <c r="O5" s="145" t="s">
        <v>3876</v>
      </c>
      <c r="P5" s="145" t="s">
        <v>3876</v>
      </c>
      <c r="Q5" s="145" t="s">
        <v>3876</v>
      </c>
      <c r="R5" s="145" t="s">
        <v>3876</v>
      </c>
      <c r="S5" s="145" t="s">
        <v>3876</v>
      </c>
      <c r="T5" s="145" t="s">
        <v>3876</v>
      </c>
      <c r="U5" s="145" t="s">
        <v>3876</v>
      </c>
      <c r="V5" s="145" t="s">
        <v>3876</v>
      </c>
      <c r="W5" s="145" t="s">
        <v>3876</v>
      </c>
      <c r="X5" s="156" t="s">
        <v>3876</v>
      </c>
      <c r="Y5" s="181"/>
    </row>
    <row r="6" spans="1:25" ht="15" x14ac:dyDescent="0.2">
      <c r="A6" s="154" t="s">
        <v>1220</v>
      </c>
      <c r="B6" s="155" t="s">
        <v>1221</v>
      </c>
      <c r="C6" s="145" t="s">
        <v>3876</v>
      </c>
      <c r="D6" s="145" t="s">
        <v>3876</v>
      </c>
      <c r="E6" s="145" t="s">
        <v>3876</v>
      </c>
      <c r="F6" s="145" t="s">
        <v>3876</v>
      </c>
      <c r="G6" s="145" t="s">
        <v>3876</v>
      </c>
      <c r="H6" s="145" t="s">
        <v>3876</v>
      </c>
      <c r="I6" s="145" t="s">
        <v>3876</v>
      </c>
      <c r="J6" s="145" t="s">
        <v>3876</v>
      </c>
      <c r="K6" s="145" t="s">
        <v>3876</v>
      </c>
      <c r="L6" s="145" t="s">
        <v>3876</v>
      </c>
      <c r="M6" s="145" t="s">
        <v>3876</v>
      </c>
      <c r="N6" s="145" t="s">
        <v>3876</v>
      </c>
      <c r="O6" s="145" t="s">
        <v>3876</v>
      </c>
      <c r="P6" s="145" t="s">
        <v>3876</v>
      </c>
      <c r="Q6" s="145" t="s">
        <v>3876</v>
      </c>
      <c r="R6" s="145" t="s">
        <v>3876</v>
      </c>
      <c r="S6" s="145" t="s">
        <v>3876</v>
      </c>
      <c r="T6" s="145" t="s">
        <v>3876</v>
      </c>
      <c r="U6" s="145" t="s">
        <v>3876</v>
      </c>
      <c r="V6" s="145" t="s">
        <v>3876</v>
      </c>
      <c r="W6" s="145" t="s">
        <v>3876</v>
      </c>
      <c r="X6" s="156" t="s">
        <v>3876</v>
      </c>
      <c r="Y6" s="181"/>
    </row>
    <row r="7" spans="1:25" ht="15" x14ac:dyDescent="0.2">
      <c r="A7" s="154" t="s">
        <v>1220</v>
      </c>
      <c r="B7" s="155" t="s">
        <v>1222</v>
      </c>
      <c r="C7" s="145" t="s">
        <v>3876</v>
      </c>
      <c r="D7" s="145" t="s">
        <v>3876</v>
      </c>
      <c r="E7" s="145" t="s">
        <v>3876</v>
      </c>
      <c r="F7" s="145" t="s">
        <v>3876</v>
      </c>
      <c r="G7" s="145" t="s">
        <v>3876</v>
      </c>
      <c r="H7" s="145" t="s">
        <v>3876</v>
      </c>
      <c r="I7" s="145" t="s">
        <v>3876</v>
      </c>
      <c r="J7" s="145" t="s">
        <v>3876</v>
      </c>
      <c r="K7" s="145" t="s">
        <v>3876</v>
      </c>
      <c r="L7" s="145" t="s">
        <v>3876</v>
      </c>
      <c r="M7" s="145" t="s">
        <v>3876</v>
      </c>
      <c r="N7" s="145" t="s">
        <v>3876</v>
      </c>
      <c r="O7" s="145" t="s">
        <v>3876</v>
      </c>
      <c r="P7" s="145" t="s">
        <v>3876</v>
      </c>
      <c r="Q7" s="145" t="s">
        <v>3876</v>
      </c>
      <c r="R7" s="145" t="s">
        <v>3876</v>
      </c>
      <c r="S7" s="145" t="s">
        <v>3876</v>
      </c>
      <c r="T7" s="145" t="s">
        <v>3876</v>
      </c>
      <c r="U7" s="145" t="s">
        <v>3876</v>
      </c>
      <c r="V7" s="145" t="s">
        <v>3876</v>
      </c>
      <c r="W7" s="145" t="s">
        <v>3876</v>
      </c>
      <c r="X7" s="156" t="s">
        <v>3876</v>
      </c>
      <c r="Y7" s="181"/>
    </row>
    <row r="8" spans="1:25" ht="15" x14ac:dyDescent="0.2">
      <c r="A8" s="157" t="s">
        <v>1220</v>
      </c>
      <c r="B8" s="158" t="s">
        <v>1220</v>
      </c>
      <c r="C8" s="151" t="s">
        <v>3876</v>
      </c>
      <c r="D8" s="151" t="s">
        <v>3876</v>
      </c>
      <c r="E8" s="151" t="s">
        <v>3876</v>
      </c>
      <c r="F8" s="151" t="s">
        <v>3876</v>
      </c>
      <c r="G8" s="151" t="s">
        <v>3876</v>
      </c>
      <c r="H8" s="151" t="s">
        <v>3876</v>
      </c>
      <c r="I8" s="151" t="s">
        <v>3876</v>
      </c>
      <c r="J8" s="151" t="s">
        <v>3876</v>
      </c>
      <c r="K8" s="151" t="s">
        <v>3876</v>
      </c>
      <c r="L8" s="151" t="s">
        <v>3876</v>
      </c>
      <c r="M8" s="151" t="s">
        <v>3876</v>
      </c>
      <c r="N8" s="151" t="s">
        <v>3876</v>
      </c>
      <c r="O8" s="151" t="s">
        <v>3876</v>
      </c>
      <c r="P8" s="151" t="s">
        <v>3876</v>
      </c>
      <c r="Q8" s="151" t="s">
        <v>3876</v>
      </c>
      <c r="R8" s="151" t="s">
        <v>3876</v>
      </c>
      <c r="S8" s="151" t="s">
        <v>3876</v>
      </c>
      <c r="T8" s="151" t="s">
        <v>3876</v>
      </c>
      <c r="U8" s="151" t="s">
        <v>3876</v>
      </c>
      <c r="V8" s="151" t="s">
        <v>3876</v>
      </c>
      <c r="W8" s="151" t="s">
        <v>3876</v>
      </c>
      <c r="X8" s="159" t="s">
        <v>3876</v>
      </c>
      <c r="Y8" s="181"/>
    </row>
    <row r="9" spans="1:25" x14ac:dyDescent="0.2">
      <c r="A9" s="185" t="s">
        <v>3893</v>
      </c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</row>
    <row r="10" spans="1:25" x14ac:dyDescent="0.2">
      <c r="A10" s="99" t="s">
        <v>3892</v>
      </c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16"/>
      <c r="R10" s="99"/>
      <c r="S10" s="99"/>
      <c r="T10" s="99"/>
      <c r="U10" s="99"/>
      <c r="V10" s="99"/>
      <c r="W10" s="99"/>
      <c r="X10" s="99"/>
    </row>
    <row r="11" spans="1:25" x14ac:dyDescent="0.2">
      <c r="A11" s="179"/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16"/>
      <c r="R11" s="99"/>
      <c r="S11" s="99"/>
      <c r="T11" s="99"/>
      <c r="U11" s="99"/>
      <c r="V11" s="99"/>
      <c r="W11" s="99"/>
      <c r="X11" s="99"/>
    </row>
    <row r="12" spans="1:25" x14ac:dyDescent="0.2">
      <c r="A12" s="99"/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16"/>
      <c r="R12" s="99"/>
      <c r="S12" s="99"/>
      <c r="T12" s="99"/>
      <c r="U12" s="99"/>
      <c r="V12" s="99"/>
      <c r="W12" s="99"/>
      <c r="X12" s="99"/>
    </row>
    <row r="13" spans="1:25" x14ac:dyDescent="0.2">
      <c r="A13" s="99"/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16"/>
      <c r="R13" s="99"/>
      <c r="S13" s="99"/>
      <c r="T13" s="99"/>
      <c r="U13" s="99"/>
      <c r="V13" s="99"/>
      <c r="W13" s="99"/>
      <c r="X13" s="99"/>
    </row>
    <row r="14" spans="1:25" x14ac:dyDescent="0.2">
      <c r="A14" s="99"/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16"/>
      <c r="R14" s="99"/>
      <c r="S14" s="99"/>
      <c r="T14" s="99"/>
      <c r="U14" s="99"/>
      <c r="V14" s="99"/>
      <c r="W14" s="99"/>
      <c r="X14" s="99"/>
    </row>
    <row r="15" spans="1:25" x14ac:dyDescent="0.2">
      <c r="A15" s="99"/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16"/>
      <c r="R15" s="99"/>
      <c r="S15" s="99"/>
      <c r="T15" s="99"/>
      <c r="U15" s="99"/>
      <c r="V15" s="99"/>
      <c r="W15" s="99"/>
      <c r="X15" s="99"/>
    </row>
    <row r="16" spans="1:25" x14ac:dyDescent="0.2">
      <c r="A16" s="99"/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16"/>
      <c r="R16" s="99"/>
      <c r="S16" s="99"/>
      <c r="T16" s="99"/>
      <c r="U16" s="99"/>
      <c r="V16" s="99"/>
      <c r="W16" s="99"/>
      <c r="X16" s="99"/>
    </row>
    <row r="17" spans="1:24" x14ac:dyDescent="0.2">
      <c r="A17" s="99"/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16"/>
      <c r="R17" s="99"/>
      <c r="S17" s="99"/>
      <c r="T17" s="99"/>
      <c r="U17" s="99"/>
      <c r="V17" s="99"/>
      <c r="W17" s="99"/>
      <c r="X17" s="99"/>
    </row>
    <row r="18" spans="1:24" x14ac:dyDescent="0.2">
      <c r="A18" s="99"/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16"/>
      <c r="R18" s="99"/>
      <c r="S18" s="99"/>
      <c r="T18" s="99"/>
      <c r="U18" s="99"/>
      <c r="V18" s="99"/>
      <c r="W18" s="99"/>
      <c r="X18" s="99"/>
    </row>
    <row r="19" spans="1:24" x14ac:dyDescent="0.2">
      <c r="A19" s="99"/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16"/>
      <c r="R19" s="99"/>
      <c r="S19" s="99"/>
      <c r="T19" s="99"/>
      <c r="U19" s="99"/>
      <c r="V19" s="99"/>
      <c r="W19" s="99"/>
      <c r="X19" s="99"/>
    </row>
    <row r="20" spans="1:24" x14ac:dyDescent="0.2">
      <c r="A20" s="99"/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16"/>
      <c r="R20" s="99"/>
      <c r="S20" s="99"/>
      <c r="T20" s="99"/>
      <c r="U20" s="99"/>
      <c r="V20" s="99"/>
      <c r="W20" s="99"/>
      <c r="X20" s="99"/>
    </row>
    <row r="21" spans="1:24" x14ac:dyDescent="0.2">
      <c r="A21" s="98"/>
      <c r="B21" s="98"/>
      <c r="C21" s="98"/>
      <c r="D21" s="99"/>
      <c r="E21" s="99"/>
      <c r="F21" s="99"/>
      <c r="G21" s="98"/>
      <c r="H21" s="99"/>
      <c r="I21" s="99"/>
      <c r="J21" s="98"/>
      <c r="K21" s="98"/>
      <c r="L21" s="99"/>
      <c r="M21" s="99"/>
      <c r="N21" s="98"/>
      <c r="O21" s="99"/>
      <c r="P21" s="98"/>
      <c r="Q21" s="98"/>
      <c r="R21" s="98"/>
      <c r="S21" s="98"/>
      <c r="T21" s="98"/>
      <c r="U21" s="98"/>
      <c r="V21" s="99"/>
      <c r="W21" s="98"/>
      <c r="X21" s="98"/>
    </row>
    <row r="22" spans="1:24" x14ac:dyDescent="0.2">
      <c r="A22" s="98"/>
      <c r="B22" s="98"/>
      <c r="C22" s="98"/>
      <c r="D22" s="99"/>
      <c r="E22" s="99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</row>
    <row r="23" spans="1:24" x14ac:dyDescent="0.2">
      <c r="A23" s="98"/>
      <c r="B23" s="98"/>
      <c r="C23" s="98"/>
      <c r="D23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</row>
  </sheetData>
  <sheetProtection formatColumns="0"/>
  <customSheetViews>
    <customSheetView guid="{AE318230-F718-49FC-82EB-7CAC3DCD05F1}" showGridLines="0" hiddenRows="1">
      <selection activeCell="A3" sqref="A3:XFD3"/>
      <pageMargins left="0" right="0" top="0" bottom="0" header="0" footer="0"/>
      <pageSetup orientation="portrait" r:id="rId1"/>
    </customSheetView>
  </customSheetViews>
  <mergeCells count="2">
    <mergeCell ref="A9:X9"/>
    <mergeCell ref="Y2:Y8"/>
  </mergeCells>
  <dataValidations count="8">
    <dataValidation type="list" allowBlank="1" showInputMessage="1" showErrorMessage="1" sqref="F10:F21">
      <formula1>Holding_interest</formula1>
    </dataValidation>
    <dataValidation type="list" allowBlank="1" showInputMessage="1" showErrorMessage="1" sqref="V10:V21">
      <formula1>In_the_books</formula1>
    </dataValidation>
    <dataValidation type="list" allowBlank="1" showInputMessage="1" showErrorMessage="1" sqref="L10:L21">
      <formula1>Valuation_Method</formula1>
    </dataValidation>
    <dataValidation type="list" allowBlank="1" showInputMessage="1" showErrorMessage="1" sqref="O10:O21">
      <formula1>Dependence_Independence</formula1>
    </dataValidation>
    <dataValidation type="list" allowBlank="1" showInputMessage="1" showErrorMessage="1" sqref="E10:E22">
      <formula1>Country_list</formula1>
    </dataValidation>
    <dataValidation type="list" allowBlank="1" showInputMessage="1" showErrorMessage="1" sqref="I10:I21">
      <formula1>real_estate_lifestage</formula1>
    </dataValidation>
    <dataValidation type="list" allowBlank="1" showInputMessage="1" showErrorMessage="1" sqref="M10:M21">
      <formula1>Valuation_Realestate</formula1>
    </dataValidation>
    <dataValidation type="list" allowBlank="1" showInputMessage="1" showErrorMessage="1" sqref="H10:H21">
      <formula1>Real_Estate_Main_Use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בחירה'!$C$998:$C$999</xm:f>
          </x14:formula1>
          <xm:sqref>D10:D22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X23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9.625" style="2" customWidth="1"/>
    <col min="4" max="4" width="11.25" style="2" customWidth="1"/>
    <col min="5" max="5" width="18.125" style="4" customWidth="1"/>
    <col min="6" max="6" width="11.125" style="2" customWidth="1"/>
    <col min="7" max="7" width="12.75" style="2" customWidth="1"/>
    <col min="8" max="8" width="15.5" style="2" customWidth="1"/>
    <col min="9" max="9" width="11.5" style="2" customWidth="1"/>
    <col min="10" max="10" width="10.625" style="2" customWidth="1"/>
    <col min="11" max="11" width="19.875" style="2" customWidth="1"/>
    <col min="12" max="12" width="9.625" style="2" customWidth="1"/>
    <col min="13" max="13" width="15.125" style="2" customWidth="1"/>
    <col min="14" max="14" width="11.75" style="2" customWidth="1"/>
    <col min="15" max="15" width="14" style="2" customWidth="1"/>
    <col min="16" max="16" width="18.625" style="2" customWidth="1"/>
    <col min="17" max="17" width="16.375" style="2" customWidth="1"/>
    <col min="18" max="18" width="30" style="2" customWidth="1"/>
    <col min="19" max="19" width="22.5" style="2" customWidth="1"/>
    <col min="20" max="20" width="18.875" style="2" customWidth="1"/>
    <col min="21" max="21" width="17.875" style="2" customWidth="1"/>
    <col min="22" max="22" width="21.75" style="2" customWidth="1"/>
    <col min="23" max="23" width="20.125" style="2" customWidth="1"/>
    <col min="24" max="16384" width="9" style="2"/>
  </cols>
  <sheetData>
    <row r="1" spans="1:24" x14ac:dyDescent="0.2">
      <c r="A1" s="2" t="s">
        <v>3922</v>
      </c>
    </row>
    <row r="2" spans="1:24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83</v>
      </c>
      <c r="M2" s="140" t="s">
        <v>56</v>
      </c>
      <c r="N2" s="140" t="s">
        <v>59</v>
      </c>
      <c r="O2" s="140" t="s">
        <v>103</v>
      </c>
      <c r="P2" s="140" t="s">
        <v>104</v>
      </c>
      <c r="Q2" s="140" t="s">
        <v>106</v>
      </c>
      <c r="R2" s="140" t="s">
        <v>107</v>
      </c>
      <c r="S2" s="140" t="s">
        <v>182</v>
      </c>
      <c r="T2" s="140" t="s">
        <v>183</v>
      </c>
      <c r="U2" s="140" t="s">
        <v>63</v>
      </c>
      <c r="V2" s="140" t="s">
        <v>64</v>
      </c>
      <c r="W2" s="141" t="s">
        <v>65</v>
      </c>
      <c r="X2" s="181" t="s">
        <v>3894</v>
      </c>
    </row>
    <row r="3" spans="1:24" ht="15" x14ac:dyDescent="0.2">
      <c r="A3" s="154" t="s">
        <v>1205</v>
      </c>
      <c r="B3" s="155" t="s">
        <v>1206</v>
      </c>
      <c r="C3" s="145" t="s">
        <v>3876</v>
      </c>
      <c r="D3" s="145" t="s">
        <v>3876</v>
      </c>
      <c r="E3" s="145" t="s">
        <v>3876</v>
      </c>
      <c r="F3" s="145" t="s">
        <v>3876</v>
      </c>
      <c r="G3" s="145" t="s">
        <v>3876</v>
      </c>
      <c r="H3" s="145" t="s">
        <v>3876</v>
      </c>
      <c r="I3" s="145" t="s">
        <v>3876</v>
      </c>
      <c r="J3" s="145" t="s">
        <v>3876</v>
      </c>
      <c r="K3" s="145" t="s">
        <v>3876</v>
      </c>
      <c r="L3" s="145" t="s">
        <v>3876</v>
      </c>
      <c r="M3" s="145" t="s">
        <v>3876</v>
      </c>
      <c r="N3" s="145" t="s">
        <v>3876</v>
      </c>
      <c r="O3" s="145" t="s">
        <v>3876</v>
      </c>
      <c r="P3" s="145" t="s">
        <v>3876</v>
      </c>
      <c r="Q3" s="145" t="s">
        <v>3876</v>
      </c>
      <c r="R3" s="145" t="s">
        <v>3876</v>
      </c>
      <c r="S3" s="145" t="s">
        <v>3876</v>
      </c>
      <c r="T3" s="145" t="s">
        <v>3876</v>
      </c>
      <c r="U3" s="145" t="s">
        <v>3876</v>
      </c>
      <c r="V3" s="145" t="s">
        <v>3876</v>
      </c>
      <c r="W3" s="156" t="s">
        <v>3876</v>
      </c>
      <c r="X3" s="181"/>
    </row>
    <row r="4" spans="1:24" ht="15" x14ac:dyDescent="0.2">
      <c r="A4" s="154" t="s">
        <v>1205</v>
      </c>
      <c r="B4" s="155" t="s">
        <v>1215</v>
      </c>
      <c r="C4" s="145" t="s">
        <v>3876</v>
      </c>
      <c r="D4" s="145" t="s">
        <v>3876</v>
      </c>
      <c r="E4" s="145" t="s">
        <v>3876</v>
      </c>
      <c r="F4" s="145" t="s">
        <v>3876</v>
      </c>
      <c r="G4" s="145" t="s">
        <v>3876</v>
      </c>
      <c r="H4" s="145" t="s">
        <v>3876</v>
      </c>
      <c r="I4" s="145" t="s">
        <v>3876</v>
      </c>
      <c r="J4" s="145" t="s">
        <v>3876</v>
      </c>
      <c r="K4" s="145" t="s">
        <v>3876</v>
      </c>
      <c r="L4" s="145" t="s">
        <v>3876</v>
      </c>
      <c r="M4" s="145" t="s">
        <v>3876</v>
      </c>
      <c r="N4" s="145" t="s">
        <v>3876</v>
      </c>
      <c r="O4" s="145" t="s">
        <v>3876</v>
      </c>
      <c r="P4" s="145" t="s">
        <v>3876</v>
      </c>
      <c r="Q4" s="145" t="s">
        <v>3876</v>
      </c>
      <c r="R4" s="145" t="s">
        <v>3876</v>
      </c>
      <c r="S4" s="145" t="s">
        <v>3876</v>
      </c>
      <c r="T4" s="145" t="s">
        <v>3876</v>
      </c>
      <c r="U4" s="145" t="s">
        <v>3876</v>
      </c>
      <c r="V4" s="145" t="s">
        <v>3876</v>
      </c>
      <c r="W4" s="156" t="s">
        <v>3876</v>
      </c>
      <c r="X4" s="181"/>
    </row>
    <row r="5" spans="1:24" ht="15" x14ac:dyDescent="0.2">
      <c r="A5" s="154" t="s">
        <v>1205</v>
      </c>
      <c r="B5" s="155" t="s">
        <v>1205</v>
      </c>
      <c r="C5" s="145" t="s">
        <v>3876</v>
      </c>
      <c r="D5" s="145" t="s">
        <v>3876</v>
      </c>
      <c r="E5" s="145" t="s">
        <v>3876</v>
      </c>
      <c r="F5" s="145" t="s">
        <v>3876</v>
      </c>
      <c r="G5" s="145" t="s">
        <v>3876</v>
      </c>
      <c r="H5" s="145" t="s">
        <v>3876</v>
      </c>
      <c r="I5" s="145" t="s">
        <v>3876</v>
      </c>
      <c r="J5" s="145" t="s">
        <v>3876</v>
      </c>
      <c r="K5" s="145" t="s">
        <v>3876</v>
      </c>
      <c r="L5" s="145" t="s">
        <v>3876</v>
      </c>
      <c r="M5" s="145" t="s">
        <v>3876</v>
      </c>
      <c r="N5" s="145" t="s">
        <v>3876</v>
      </c>
      <c r="O5" s="145" t="s">
        <v>3876</v>
      </c>
      <c r="P5" s="145" t="s">
        <v>3876</v>
      </c>
      <c r="Q5" s="145" t="s">
        <v>3876</v>
      </c>
      <c r="R5" s="145" t="s">
        <v>3876</v>
      </c>
      <c r="S5" s="145" t="s">
        <v>3876</v>
      </c>
      <c r="T5" s="145" t="s">
        <v>3876</v>
      </c>
      <c r="U5" s="145" t="s">
        <v>3876</v>
      </c>
      <c r="V5" s="145" t="s">
        <v>3876</v>
      </c>
      <c r="W5" s="156" t="s">
        <v>3876</v>
      </c>
      <c r="X5" s="181"/>
    </row>
    <row r="6" spans="1:24" ht="15" x14ac:dyDescent="0.2">
      <c r="A6" s="154" t="s">
        <v>1220</v>
      </c>
      <c r="B6" s="155" t="s">
        <v>1221</v>
      </c>
      <c r="C6" s="145" t="s">
        <v>3876</v>
      </c>
      <c r="D6" s="145" t="s">
        <v>3876</v>
      </c>
      <c r="E6" s="145" t="s">
        <v>3876</v>
      </c>
      <c r="F6" s="145" t="s">
        <v>3876</v>
      </c>
      <c r="G6" s="145" t="s">
        <v>3876</v>
      </c>
      <c r="H6" s="145" t="s">
        <v>3876</v>
      </c>
      <c r="I6" s="145" t="s">
        <v>3876</v>
      </c>
      <c r="J6" s="145" t="s">
        <v>3876</v>
      </c>
      <c r="K6" s="145" t="s">
        <v>3876</v>
      </c>
      <c r="L6" s="145" t="s">
        <v>3876</v>
      </c>
      <c r="M6" s="145" t="s">
        <v>3876</v>
      </c>
      <c r="N6" s="145" t="s">
        <v>3876</v>
      </c>
      <c r="O6" s="145" t="s">
        <v>3876</v>
      </c>
      <c r="P6" s="145" t="s">
        <v>3876</v>
      </c>
      <c r="Q6" s="145" t="s">
        <v>3876</v>
      </c>
      <c r="R6" s="145" t="s">
        <v>3876</v>
      </c>
      <c r="S6" s="145" t="s">
        <v>3876</v>
      </c>
      <c r="T6" s="145" t="s">
        <v>3876</v>
      </c>
      <c r="U6" s="145" t="s">
        <v>3876</v>
      </c>
      <c r="V6" s="145" t="s">
        <v>3876</v>
      </c>
      <c r="W6" s="156" t="s">
        <v>3876</v>
      </c>
      <c r="X6" s="181"/>
    </row>
    <row r="7" spans="1:24" ht="15" x14ac:dyDescent="0.2">
      <c r="A7" s="154" t="s">
        <v>1220</v>
      </c>
      <c r="B7" s="155" t="s">
        <v>1222</v>
      </c>
      <c r="C7" s="145" t="s">
        <v>3876</v>
      </c>
      <c r="D7" s="145" t="s">
        <v>3876</v>
      </c>
      <c r="E7" s="145" t="s">
        <v>3876</v>
      </c>
      <c r="F7" s="145" t="s">
        <v>3876</v>
      </c>
      <c r="G7" s="145" t="s">
        <v>3876</v>
      </c>
      <c r="H7" s="145" t="s">
        <v>3876</v>
      </c>
      <c r="I7" s="145" t="s">
        <v>3876</v>
      </c>
      <c r="J7" s="145" t="s">
        <v>3876</v>
      </c>
      <c r="K7" s="145" t="s">
        <v>3876</v>
      </c>
      <c r="L7" s="145" t="s">
        <v>3876</v>
      </c>
      <c r="M7" s="145" t="s">
        <v>3876</v>
      </c>
      <c r="N7" s="145" t="s">
        <v>3876</v>
      </c>
      <c r="O7" s="145" t="s">
        <v>3876</v>
      </c>
      <c r="P7" s="145" t="s">
        <v>3876</v>
      </c>
      <c r="Q7" s="145" t="s">
        <v>3876</v>
      </c>
      <c r="R7" s="145" t="s">
        <v>3876</v>
      </c>
      <c r="S7" s="145" t="s">
        <v>3876</v>
      </c>
      <c r="T7" s="145" t="s">
        <v>3876</v>
      </c>
      <c r="U7" s="145" t="s">
        <v>3876</v>
      </c>
      <c r="V7" s="145" t="s">
        <v>3876</v>
      </c>
      <c r="W7" s="156" t="s">
        <v>3876</v>
      </c>
      <c r="X7" s="181"/>
    </row>
    <row r="8" spans="1:24" ht="15" x14ac:dyDescent="0.2">
      <c r="A8" s="157" t="s">
        <v>1220</v>
      </c>
      <c r="B8" s="158" t="s">
        <v>1220</v>
      </c>
      <c r="C8" s="151" t="s">
        <v>3876</v>
      </c>
      <c r="D8" s="151" t="s">
        <v>3876</v>
      </c>
      <c r="E8" s="151" t="s">
        <v>3876</v>
      </c>
      <c r="F8" s="151" t="s">
        <v>3876</v>
      </c>
      <c r="G8" s="151" t="s">
        <v>3876</v>
      </c>
      <c r="H8" s="151" t="s">
        <v>3876</v>
      </c>
      <c r="I8" s="151" t="s">
        <v>3876</v>
      </c>
      <c r="J8" s="151" t="s">
        <v>3876</v>
      </c>
      <c r="K8" s="151" t="s">
        <v>3876</v>
      </c>
      <c r="L8" s="151" t="s">
        <v>3876</v>
      </c>
      <c r="M8" s="151" t="s">
        <v>3876</v>
      </c>
      <c r="N8" s="151" t="s">
        <v>3876</v>
      </c>
      <c r="O8" s="151" t="s">
        <v>3876</v>
      </c>
      <c r="P8" s="151" t="s">
        <v>3876</v>
      </c>
      <c r="Q8" s="151" t="s">
        <v>3876</v>
      </c>
      <c r="R8" s="151" t="s">
        <v>3876</v>
      </c>
      <c r="S8" s="151" t="s">
        <v>3876</v>
      </c>
      <c r="T8" s="151" t="s">
        <v>3876</v>
      </c>
      <c r="U8" s="151" t="s">
        <v>3876</v>
      </c>
      <c r="V8" s="151" t="s">
        <v>3876</v>
      </c>
      <c r="W8" s="159" t="s">
        <v>3876</v>
      </c>
      <c r="X8" s="181"/>
    </row>
    <row r="9" spans="1:24" x14ac:dyDescent="0.2">
      <c r="A9" s="185" t="s">
        <v>3893</v>
      </c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</row>
    <row r="10" spans="1:24" x14ac:dyDescent="0.2">
      <c r="A10" s="99" t="s">
        <v>3892</v>
      </c>
      <c r="B10" s="99"/>
      <c r="C10" s="99"/>
      <c r="D10" s="99"/>
      <c r="E10" s="16"/>
      <c r="F10" s="99"/>
      <c r="G10" s="99"/>
      <c r="H10" s="99"/>
      <c r="I10" s="99"/>
      <c r="J10" s="16"/>
      <c r="K10" s="16"/>
      <c r="L10" s="99"/>
      <c r="M10" s="99"/>
      <c r="N10" s="16"/>
      <c r="O10" s="99"/>
      <c r="P10" s="99"/>
      <c r="Q10" s="99"/>
      <c r="R10" s="99"/>
      <c r="S10" s="99"/>
      <c r="T10" s="99"/>
      <c r="U10" s="99"/>
      <c r="V10" s="99"/>
      <c r="W10" s="99"/>
    </row>
    <row r="11" spans="1:24" x14ac:dyDescent="0.2">
      <c r="A11" s="179"/>
      <c r="B11" s="99"/>
      <c r="C11" s="99"/>
      <c r="D11" s="99"/>
      <c r="E11" s="16"/>
      <c r="F11" s="99"/>
      <c r="G11" s="99"/>
      <c r="H11" s="99"/>
      <c r="I11" s="99"/>
      <c r="J11" s="16"/>
      <c r="K11" s="16"/>
      <c r="L11" s="99"/>
      <c r="M11" s="99"/>
      <c r="N11" s="16"/>
      <c r="O11" s="99"/>
      <c r="P11" s="99"/>
      <c r="Q11" s="99"/>
      <c r="R11" s="99"/>
      <c r="S11" s="99"/>
      <c r="T11" s="99"/>
      <c r="U11" s="99"/>
      <c r="V11" s="99"/>
      <c r="W11" s="99"/>
    </row>
    <row r="12" spans="1:24" x14ac:dyDescent="0.2">
      <c r="A12" s="99"/>
      <c r="B12" s="99"/>
      <c r="C12" s="99"/>
      <c r="D12" s="99"/>
      <c r="E12" s="16"/>
      <c r="F12" s="99"/>
      <c r="G12" s="99"/>
      <c r="H12" s="99"/>
      <c r="I12" s="99"/>
      <c r="J12" s="16"/>
      <c r="K12" s="16"/>
      <c r="L12" s="99"/>
      <c r="M12" s="99"/>
      <c r="N12" s="16"/>
      <c r="O12" s="99"/>
      <c r="P12" s="99"/>
      <c r="Q12" s="99"/>
      <c r="R12" s="99"/>
      <c r="S12" s="99"/>
      <c r="T12" s="99"/>
      <c r="U12" s="99"/>
      <c r="V12" s="99"/>
      <c r="W12" s="99"/>
    </row>
    <row r="13" spans="1:24" x14ac:dyDescent="0.2">
      <c r="A13" s="99"/>
      <c r="B13" s="99"/>
      <c r="C13" s="99"/>
      <c r="D13" s="99"/>
      <c r="E13" s="16"/>
      <c r="F13" s="99"/>
      <c r="G13" s="99"/>
      <c r="H13" s="99"/>
      <c r="I13" s="99"/>
      <c r="J13" s="16"/>
      <c r="K13" s="16"/>
      <c r="L13" s="99"/>
      <c r="M13" s="99"/>
      <c r="N13" s="16"/>
      <c r="O13" s="99"/>
      <c r="P13" s="99"/>
      <c r="Q13" s="99"/>
      <c r="R13" s="99"/>
      <c r="S13" s="99"/>
      <c r="T13" s="99"/>
      <c r="U13" s="99"/>
      <c r="V13" s="99"/>
      <c r="W13" s="99"/>
    </row>
    <row r="14" spans="1:24" x14ac:dyDescent="0.2">
      <c r="A14" s="99"/>
      <c r="B14" s="99"/>
      <c r="C14" s="99"/>
      <c r="D14" s="99"/>
      <c r="E14" s="16"/>
      <c r="F14" s="99"/>
      <c r="G14" s="99"/>
      <c r="H14" s="99"/>
      <c r="I14" s="99"/>
      <c r="J14" s="16"/>
      <c r="K14" s="16"/>
      <c r="L14" s="99"/>
      <c r="M14" s="99"/>
      <c r="N14" s="16"/>
      <c r="O14" s="99"/>
      <c r="P14" s="99"/>
      <c r="Q14" s="99"/>
      <c r="R14" s="99"/>
      <c r="S14" s="99"/>
      <c r="T14" s="99"/>
      <c r="U14" s="99"/>
      <c r="V14" s="99"/>
      <c r="W14" s="99"/>
    </row>
    <row r="15" spans="1:24" x14ac:dyDescent="0.2">
      <c r="A15" s="99"/>
      <c r="B15" s="99"/>
      <c r="C15" s="99"/>
      <c r="D15" s="99"/>
      <c r="E15" s="16"/>
      <c r="F15" s="99"/>
      <c r="G15" s="99"/>
      <c r="H15" s="99"/>
      <c r="I15" s="99"/>
      <c r="J15" s="16"/>
      <c r="K15" s="16"/>
      <c r="L15" s="99"/>
      <c r="M15" s="99"/>
      <c r="N15" s="16"/>
      <c r="O15" s="99"/>
      <c r="P15" s="99"/>
      <c r="Q15" s="99"/>
      <c r="R15" s="99"/>
      <c r="S15" s="99"/>
      <c r="T15" s="99"/>
      <c r="U15" s="99"/>
      <c r="V15" s="99"/>
      <c r="W15" s="99"/>
    </row>
    <row r="16" spans="1:24" x14ac:dyDescent="0.2">
      <c r="A16" s="99"/>
      <c r="B16" s="99"/>
      <c r="C16" s="99"/>
      <c r="D16" s="99"/>
      <c r="E16" s="16"/>
      <c r="F16" s="99"/>
      <c r="G16" s="99"/>
      <c r="H16" s="99"/>
      <c r="I16" s="99"/>
      <c r="J16" s="16"/>
      <c r="K16" s="16"/>
      <c r="L16" s="99"/>
      <c r="M16" s="99"/>
      <c r="N16" s="16"/>
      <c r="O16" s="99"/>
      <c r="P16" s="99"/>
      <c r="Q16" s="99"/>
      <c r="R16" s="99"/>
      <c r="S16" s="99"/>
      <c r="T16" s="99"/>
      <c r="U16" s="99"/>
      <c r="V16" s="99"/>
      <c r="W16" s="99"/>
    </row>
    <row r="17" spans="1:23" ht="15" x14ac:dyDescent="0.25">
      <c r="A17" s="23"/>
      <c r="B17" s="99"/>
      <c r="C17" s="99"/>
      <c r="D17" s="99"/>
      <c r="E17" s="16"/>
      <c r="F17" s="99"/>
      <c r="G17" s="99"/>
      <c r="H17" s="99"/>
      <c r="I17" s="99"/>
      <c r="J17" s="16"/>
      <c r="K17" s="16"/>
      <c r="L17" s="99"/>
      <c r="M17" s="99"/>
      <c r="N17" s="16"/>
      <c r="O17" s="99"/>
      <c r="P17" s="99"/>
      <c r="Q17" s="99"/>
      <c r="R17" s="99"/>
      <c r="S17" s="99"/>
      <c r="T17" s="99"/>
      <c r="U17" s="99"/>
      <c r="V17" s="99"/>
      <c r="W17" s="99"/>
    </row>
    <row r="18" spans="1:23" x14ac:dyDescent="0.2">
      <c r="A18" s="99"/>
      <c r="B18" s="99"/>
      <c r="C18" s="99"/>
      <c r="D18" s="99"/>
      <c r="E18" s="16"/>
      <c r="F18" s="99"/>
      <c r="G18" s="99"/>
      <c r="H18" s="99"/>
      <c r="I18" s="99"/>
      <c r="J18" s="16"/>
      <c r="K18" s="16"/>
      <c r="L18" s="99"/>
      <c r="M18" s="99"/>
      <c r="N18" s="16"/>
      <c r="O18" s="99"/>
      <c r="P18" s="99"/>
      <c r="Q18" s="99"/>
      <c r="R18" s="99"/>
      <c r="S18" s="99"/>
      <c r="T18" s="99"/>
      <c r="U18" s="99"/>
      <c r="V18" s="99"/>
      <c r="W18" s="99"/>
    </row>
    <row r="19" spans="1:23" x14ac:dyDescent="0.2">
      <c r="A19" s="99"/>
      <c r="B19" s="99"/>
      <c r="C19" s="99"/>
      <c r="D19" s="99"/>
      <c r="E19" s="16"/>
      <c r="F19" s="99"/>
      <c r="G19" s="99"/>
      <c r="H19" s="99"/>
      <c r="I19" s="99"/>
      <c r="J19" s="16"/>
      <c r="K19" s="16"/>
      <c r="L19" s="99"/>
      <c r="M19" s="99"/>
      <c r="N19" s="16"/>
      <c r="O19" s="99"/>
      <c r="P19" s="99"/>
      <c r="Q19" s="99"/>
      <c r="R19" s="99"/>
      <c r="S19" s="99"/>
      <c r="T19" s="99"/>
      <c r="U19" s="99"/>
      <c r="V19" s="99"/>
      <c r="W19" s="99"/>
    </row>
    <row r="20" spans="1:23" x14ac:dyDescent="0.2">
      <c r="A20" s="99"/>
      <c r="B20" s="99"/>
      <c r="C20" s="99"/>
      <c r="D20" s="99"/>
      <c r="E20" s="16"/>
      <c r="F20" s="99"/>
      <c r="G20" s="99"/>
      <c r="H20" s="99"/>
      <c r="I20" s="98"/>
      <c r="J20" s="16"/>
      <c r="K20" s="16"/>
      <c r="L20" s="99"/>
      <c r="M20" s="99"/>
      <c r="N20" s="16"/>
      <c r="O20" s="99"/>
      <c r="P20" s="99"/>
      <c r="Q20" s="99"/>
      <c r="R20" s="99"/>
      <c r="S20" s="99"/>
      <c r="T20" s="99"/>
      <c r="U20" s="99"/>
      <c r="V20" s="99"/>
      <c r="W20" s="99"/>
    </row>
    <row r="21" spans="1:23" x14ac:dyDescent="0.2">
      <c r="A21" s="98"/>
      <c r="B21" s="98"/>
      <c r="C21" s="98"/>
      <c r="D21" s="98"/>
      <c r="E21" s="16"/>
      <c r="F21" s="98"/>
      <c r="G21" s="98"/>
      <c r="H21" s="99"/>
      <c r="I21" s="99"/>
      <c r="J21" s="16"/>
      <c r="K21" s="16"/>
      <c r="L21" s="99"/>
      <c r="M21" s="99"/>
      <c r="N21" s="98"/>
      <c r="O21" s="99"/>
      <c r="P21" s="99"/>
      <c r="Q21" s="98"/>
      <c r="R21" s="98"/>
      <c r="S21" s="98"/>
      <c r="T21" s="98"/>
      <c r="U21" s="98"/>
      <c r="V21" s="98"/>
      <c r="W21" s="98"/>
    </row>
    <row r="22" spans="1:23" customFormat="1" x14ac:dyDescent="0.2"/>
    <row r="23" spans="1:23" x14ac:dyDescent="0.2">
      <c r="A23" s="98"/>
      <c r="B23" s="98"/>
      <c r="C23" s="98"/>
      <c r="D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W9"/>
    <mergeCell ref="X2:X8"/>
  </mergeCells>
  <dataValidations count="9">
    <dataValidation type="list" allowBlank="1" showInputMessage="1" showErrorMessage="1" sqref="J10:J21">
      <formula1>israel_abroad</formula1>
    </dataValidation>
    <dataValidation type="list" allowBlank="1" showInputMessage="1" showErrorMessage="1" sqref="M10:M21">
      <formula1>Holding_interest</formula1>
    </dataValidation>
    <dataValidation type="list" allowBlank="1" showInputMessage="1" showErrorMessage="1" sqref="O10:O21">
      <formula1>Valuation</formula1>
    </dataValidation>
    <dataValidation type="list" allowBlank="1" showInputMessage="1" showErrorMessage="1" sqref="P10:P21">
      <formula1>Dependence_Independence</formula1>
    </dataValidation>
    <dataValidation type="list" allowBlank="1" showInputMessage="1" showErrorMessage="1" sqref="K10:K21">
      <formula1>Country_list</formula1>
    </dataValidation>
    <dataValidation type="list" allowBlank="1" showInputMessage="1" showErrorMessage="1" sqref="E10:E21">
      <formula1>Issuer_Number_Type_2</formula1>
    </dataValidation>
    <dataValidation type="list" allowBlank="1" showInputMessage="1" showErrorMessage="1" sqref="H10:H21">
      <formula1>Type_of_Security_ID_Fund</formula1>
    </dataValidation>
    <dataValidation type="list" allowBlank="1" showInputMessage="1" showErrorMessage="1" sqref="I21">
      <formula1>$C$863:$C$865</formula1>
    </dataValidation>
    <dataValidation type="list" allowBlank="1" showInputMessage="1" showErrorMessage="1" sqref="L10:L21">
      <formula1>Industry_Sector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בחירה'!$C$1034:$C$1036</xm:f>
          </x14:formula1>
          <xm:sqref>I10:I19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S21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13.25" style="2" customWidth="1"/>
    <col min="4" max="4" width="14.875" style="2" customWidth="1"/>
    <col min="5" max="5" width="11.5" style="2" customWidth="1"/>
    <col min="6" max="6" width="10.625" style="2" customWidth="1"/>
    <col min="7" max="7" width="19.875" style="2" customWidth="1"/>
    <col min="8" max="8" width="15.125" style="2" customWidth="1"/>
    <col min="9" max="9" width="11.5" style="2" customWidth="1"/>
    <col min="10" max="10" width="11.75" style="2" customWidth="1"/>
    <col min="11" max="11" width="16.375" style="2" customWidth="1"/>
    <col min="12" max="12" width="10.25" style="2" customWidth="1"/>
    <col min="13" max="13" width="10.5" style="2" customWidth="1"/>
    <col min="14" max="14" width="17.875" style="2" customWidth="1"/>
    <col min="15" max="15" width="21.375" style="2" customWidth="1"/>
    <col min="16" max="16" width="22" style="2" customWidth="1"/>
    <col min="17" max="17" width="21.75" style="2" customWidth="1"/>
    <col min="18" max="18" width="20.125" style="2" customWidth="1"/>
    <col min="19" max="16384" width="9" style="2"/>
  </cols>
  <sheetData>
    <row r="1" spans="1:19" x14ac:dyDescent="0.2">
      <c r="A1" s="2" t="s">
        <v>3923</v>
      </c>
    </row>
    <row r="2" spans="1:19" ht="66.75" customHeight="1" x14ac:dyDescent="0.2">
      <c r="A2" s="139" t="s">
        <v>49</v>
      </c>
      <c r="B2" s="140" t="s">
        <v>50</v>
      </c>
      <c r="C2" s="140" t="s">
        <v>184</v>
      </c>
      <c r="D2" s="140" t="s">
        <v>185</v>
      </c>
      <c r="E2" s="140" t="s">
        <v>54</v>
      </c>
      <c r="F2" s="140" t="s">
        <v>55</v>
      </c>
      <c r="G2" s="140" t="s">
        <v>69</v>
      </c>
      <c r="H2" s="140" t="s">
        <v>56</v>
      </c>
      <c r="I2" s="140" t="s">
        <v>186</v>
      </c>
      <c r="J2" s="140" t="s">
        <v>59</v>
      </c>
      <c r="K2" s="140" t="s">
        <v>106</v>
      </c>
      <c r="L2" s="140" t="s">
        <v>60</v>
      </c>
      <c r="M2" s="140" t="s">
        <v>61</v>
      </c>
      <c r="N2" s="140" t="s">
        <v>63</v>
      </c>
      <c r="O2" s="140" t="s">
        <v>78</v>
      </c>
      <c r="P2" s="140" t="s">
        <v>17</v>
      </c>
      <c r="Q2" s="140" t="s">
        <v>64</v>
      </c>
      <c r="R2" s="141" t="s">
        <v>65</v>
      </c>
      <c r="S2" s="181" t="s">
        <v>3894</v>
      </c>
    </row>
    <row r="3" spans="1:19" ht="15" x14ac:dyDescent="0.2">
      <c r="A3" s="154" t="s">
        <v>1205</v>
      </c>
      <c r="B3" s="155" t="s">
        <v>1206</v>
      </c>
      <c r="C3" s="145" t="s">
        <v>3876</v>
      </c>
      <c r="D3" s="145" t="s">
        <v>3876</v>
      </c>
      <c r="E3" s="145" t="s">
        <v>3876</v>
      </c>
      <c r="F3" s="145" t="s">
        <v>3876</v>
      </c>
      <c r="G3" s="145" t="s">
        <v>3876</v>
      </c>
      <c r="H3" s="145" t="s">
        <v>3876</v>
      </c>
      <c r="I3" s="145" t="s">
        <v>3876</v>
      </c>
      <c r="J3" s="145" t="s">
        <v>3876</v>
      </c>
      <c r="K3" s="145" t="s">
        <v>3876</v>
      </c>
      <c r="L3" s="145" t="s">
        <v>3876</v>
      </c>
      <c r="M3" s="145" t="s">
        <v>3876</v>
      </c>
      <c r="N3" s="145" t="s">
        <v>3876</v>
      </c>
      <c r="O3" s="145" t="s">
        <v>3876</v>
      </c>
      <c r="P3" s="145" t="s">
        <v>3876</v>
      </c>
      <c r="Q3" s="145" t="s">
        <v>3876</v>
      </c>
      <c r="R3" s="156" t="s">
        <v>3876</v>
      </c>
      <c r="S3" s="181"/>
    </row>
    <row r="4" spans="1:19" ht="15" x14ac:dyDescent="0.2">
      <c r="A4" s="154" t="s">
        <v>1205</v>
      </c>
      <c r="B4" s="155" t="s">
        <v>1215</v>
      </c>
      <c r="C4" s="145" t="s">
        <v>3876</v>
      </c>
      <c r="D4" s="145" t="s">
        <v>3876</v>
      </c>
      <c r="E4" s="145" t="s">
        <v>3876</v>
      </c>
      <c r="F4" s="145" t="s">
        <v>3876</v>
      </c>
      <c r="G4" s="145" t="s">
        <v>3876</v>
      </c>
      <c r="H4" s="145" t="s">
        <v>3876</v>
      </c>
      <c r="I4" s="145" t="s">
        <v>3876</v>
      </c>
      <c r="J4" s="145" t="s">
        <v>3876</v>
      </c>
      <c r="K4" s="145" t="s">
        <v>3876</v>
      </c>
      <c r="L4" s="145" t="s">
        <v>3876</v>
      </c>
      <c r="M4" s="145" t="s">
        <v>3876</v>
      </c>
      <c r="N4" s="145" t="s">
        <v>3876</v>
      </c>
      <c r="O4" s="145" t="s">
        <v>3876</v>
      </c>
      <c r="P4" s="145" t="s">
        <v>3876</v>
      </c>
      <c r="Q4" s="145" t="s">
        <v>3876</v>
      </c>
      <c r="R4" s="156" t="s">
        <v>3876</v>
      </c>
      <c r="S4" s="181"/>
    </row>
    <row r="5" spans="1:19" ht="15" x14ac:dyDescent="0.2">
      <c r="A5" s="154" t="s">
        <v>1205</v>
      </c>
      <c r="B5" s="155" t="s">
        <v>1205</v>
      </c>
      <c r="C5" s="145" t="s">
        <v>3876</v>
      </c>
      <c r="D5" s="145" t="s">
        <v>3876</v>
      </c>
      <c r="E5" s="145" t="s">
        <v>3876</v>
      </c>
      <c r="F5" s="145" t="s">
        <v>3876</v>
      </c>
      <c r="G5" s="145" t="s">
        <v>3876</v>
      </c>
      <c r="H5" s="145" t="s">
        <v>3876</v>
      </c>
      <c r="I5" s="145" t="s">
        <v>3876</v>
      </c>
      <c r="J5" s="145" t="s">
        <v>3876</v>
      </c>
      <c r="K5" s="145" t="s">
        <v>3876</v>
      </c>
      <c r="L5" s="145" t="s">
        <v>3876</v>
      </c>
      <c r="M5" s="145" t="s">
        <v>3876</v>
      </c>
      <c r="N5" s="145" t="s">
        <v>3876</v>
      </c>
      <c r="O5" s="145" t="s">
        <v>3876</v>
      </c>
      <c r="P5" s="145" t="s">
        <v>3876</v>
      </c>
      <c r="Q5" s="145" t="s">
        <v>3876</v>
      </c>
      <c r="R5" s="156" t="s">
        <v>3876</v>
      </c>
      <c r="S5" s="181"/>
    </row>
    <row r="6" spans="1:19" ht="15" x14ac:dyDescent="0.2">
      <c r="A6" s="154" t="s">
        <v>1220</v>
      </c>
      <c r="B6" s="155" t="s">
        <v>1221</v>
      </c>
      <c r="C6" s="145" t="s">
        <v>3876</v>
      </c>
      <c r="D6" s="145" t="s">
        <v>3876</v>
      </c>
      <c r="E6" s="145" t="s">
        <v>3876</v>
      </c>
      <c r="F6" s="145" t="s">
        <v>3876</v>
      </c>
      <c r="G6" s="145" t="s">
        <v>3876</v>
      </c>
      <c r="H6" s="145" t="s">
        <v>3876</v>
      </c>
      <c r="I6" s="145" t="s">
        <v>3876</v>
      </c>
      <c r="J6" s="145" t="s">
        <v>3876</v>
      </c>
      <c r="K6" s="145" t="s">
        <v>3876</v>
      </c>
      <c r="L6" s="145" t="s">
        <v>3876</v>
      </c>
      <c r="M6" s="145" t="s">
        <v>3876</v>
      </c>
      <c r="N6" s="145" t="s">
        <v>3876</v>
      </c>
      <c r="O6" s="145" t="s">
        <v>3876</v>
      </c>
      <c r="P6" s="145" t="s">
        <v>3876</v>
      </c>
      <c r="Q6" s="145" t="s">
        <v>3876</v>
      </c>
      <c r="R6" s="156" t="s">
        <v>3876</v>
      </c>
      <c r="S6" s="181"/>
    </row>
    <row r="7" spans="1:19" ht="15" x14ac:dyDescent="0.2">
      <c r="A7" s="154" t="s">
        <v>1220</v>
      </c>
      <c r="B7" s="155" t="s">
        <v>1222</v>
      </c>
      <c r="C7" s="145" t="s">
        <v>3876</v>
      </c>
      <c r="D7" s="145" t="s">
        <v>3876</v>
      </c>
      <c r="E7" s="145" t="s">
        <v>3876</v>
      </c>
      <c r="F7" s="145" t="s">
        <v>3876</v>
      </c>
      <c r="G7" s="145" t="s">
        <v>3876</v>
      </c>
      <c r="H7" s="145" t="s">
        <v>3876</v>
      </c>
      <c r="I7" s="145" t="s">
        <v>3876</v>
      </c>
      <c r="J7" s="145" t="s">
        <v>3876</v>
      </c>
      <c r="K7" s="145" t="s">
        <v>3876</v>
      </c>
      <c r="L7" s="145" t="s">
        <v>3876</v>
      </c>
      <c r="M7" s="145" t="s">
        <v>3876</v>
      </c>
      <c r="N7" s="145" t="s">
        <v>3876</v>
      </c>
      <c r="O7" s="145" t="s">
        <v>3876</v>
      </c>
      <c r="P7" s="145" t="s">
        <v>3876</v>
      </c>
      <c r="Q7" s="145" t="s">
        <v>3876</v>
      </c>
      <c r="R7" s="156" t="s">
        <v>3876</v>
      </c>
      <c r="S7" s="181"/>
    </row>
    <row r="8" spans="1:19" ht="15" x14ac:dyDescent="0.2">
      <c r="A8" s="157" t="s">
        <v>1220</v>
      </c>
      <c r="B8" s="158" t="s">
        <v>1220</v>
      </c>
      <c r="C8" s="151" t="s">
        <v>3876</v>
      </c>
      <c r="D8" s="151" t="s">
        <v>3876</v>
      </c>
      <c r="E8" s="151" t="s">
        <v>3876</v>
      </c>
      <c r="F8" s="151" t="s">
        <v>3876</v>
      </c>
      <c r="G8" s="151" t="s">
        <v>3876</v>
      </c>
      <c r="H8" s="151" t="s">
        <v>3876</v>
      </c>
      <c r="I8" s="151" t="s">
        <v>3876</v>
      </c>
      <c r="J8" s="151" t="s">
        <v>3876</v>
      </c>
      <c r="K8" s="151" t="s">
        <v>3876</v>
      </c>
      <c r="L8" s="151" t="s">
        <v>3876</v>
      </c>
      <c r="M8" s="151" t="s">
        <v>3876</v>
      </c>
      <c r="N8" s="151" t="s">
        <v>3876</v>
      </c>
      <c r="O8" s="151" t="s">
        <v>3876</v>
      </c>
      <c r="P8" s="151" t="s">
        <v>3876</v>
      </c>
      <c r="Q8" s="151" t="s">
        <v>3876</v>
      </c>
      <c r="R8" s="159" t="s">
        <v>3876</v>
      </c>
      <c r="S8" s="181"/>
    </row>
    <row r="9" spans="1:19" x14ac:dyDescent="0.2">
      <c r="A9" s="185" t="s">
        <v>3893</v>
      </c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</row>
    <row r="10" spans="1:19" x14ac:dyDescent="0.2">
      <c r="A10" s="99" t="s">
        <v>3892</v>
      </c>
      <c r="B10" s="99"/>
      <c r="C10" s="99"/>
      <c r="D10" s="99"/>
      <c r="E10" s="99"/>
      <c r="F10" s="16"/>
      <c r="G10" s="16"/>
      <c r="H10" s="99"/>
      <c r="I10" s="99"/>
      <c r="J10" s="16"/>
      <c r="K10" s="99"/>
      <c r="L10" s="98"/>
      <c r="M10" s="99"/>
      <c r="N10" s="99"/>
      <c r="O10" s="99"/>
      <c r="P10" s="16"/>
      <c r="Q10" s="99"/>
      <c r="R10" s="99"/>
    </row>
    <row r="11" spans="1:19" x14ac:dyDescent="0.2">
      <c r="A11" s="179"/>
      <c r="B11" s="99"/>
      <c r="C11" s="99"/>
      <c r="D11" s="99"/>
      <c r="E11" s="99"/>
      <c r="F11" s="16"/>
      <c r="G11" s="16"/>
      <c r="H11" s="99"/>
      <c r="I11" s="99"/>
      <c r="J11" s="16"/>
      <c r="K11" s="99"/>
      <c r="L11" s="98"/>
      <c r="M11" s="99"/>
      <c r="N11" s="99"/>
      <c r="O11" s="99"/>
      <c r="P11" s="16"/>
      <c r="Q11" s="99"/>
      <c r="R11" s="99"/>
    </row>
    <row r="12" spans="1:19" x14ac:dyDescent="0.2">
      <c r="A12" s="99"/>
      <c r="B12" s="99"/>
      <c r="C12" s="99"/>
      <c r="D12" s="99"/>
      <c r="E12" s="99"/>
      <c r="F12" s="16"/>
      <c r="G12" s="16"/>
      <c r="H12" s="99"/>
      <c r="I12" s="99"/>
      <c r="J12" s="16"/>
      <c r="K12" s="99"/>
      <c r="L12" s="98"/>
      <c r="M12" s="99"/>
      <c r="N12" s="99"/>
      <c r="O12" s="99"/>
      <c r="P12" s="16"/>
      <c r="Q12" s="99"/>
      <c r="R12" s="99"/>
    </row>
    <row r="13" spans="1:19" x14ac:dyDescent="0.2">
      <c r="A13" s="99"/>
      <c r="B13" s="99"/>
      <c r="C13" s="99"/>
      <c r="D13" s="99"/>
      <c r="E13" s="99"/>
      <c r="F13" s="16"/>
      <c r="G13" s="16"/>
      <c r="H13" s="99"/>
      <c r="I13" s="99"/>
      <c r="J13" s="16"/>
      <c r="K13" s="99"/>
      <c r="L13" s="98"/>
      <c r="M13" s="99"/>
      <c r="N13" s="99"/>
      <c r="O13" s="99"/>
      <c r="P13" s="16"/>
      <c r="Q13" s="99"/>
      <c r="R13" s="99"/>
    </row>
    <row r="14" spans="1:19" x14ac:dyDescent="0.2">
      <c r="A14" s="99"/>
      <c r="B14" s="99"/>
      <c r="C14" s="99"/>
      <c r="D14" s="99"/>
      <c r="E14" s="99"/>
      <c r="F14" s="16"/>
      <c r="G14" s="16"/>
      <c r="H14" s="99"/>
      <c r="I14" s="99"/>
      <c r="J14" s="16"/>
      <c r="K14" s="99"/>
      <c r="L14" s="98"/>
      <c r="M14" s="99"/>
      <c r="N14" s="99"/>
      <c r="O14" s="99"/>
      <c r="P14" s="16"/>
      <c r="Q14" s="99"/>
      <c r="R14" s="99"/>
    </row>
    <row r="15" spans="1:19" x14ac:dyDescent="0.2">
      <c r="A15" s="99"/>
      <c r="B15" s="99"/>
      <c r="C15" s="99"/>
      <c r="D15" s="99"/>
      <c r="E15" s="99"/>
      <c r="F15" s="16"/>
      <c r="G15" s="16"/>
      <c r="H15" s="99"/>
      <c r="I15" s="99"/>
      <c r="J15" s="16"/>
      <c r="K15" s="99"/>
      <c r="L15" s="98"/>
      <c r="M15" s="99"/>
      <c r="N15" s="99"/>
      <c r="O15" s="99"/>
      <c r="P15" s="16"/>
      <c r="Q15" s="99"/>
      <c r="R15" s="99"/>
    </row>
    <row r="16" spans="1:19" x14ac:dyDescent="0.2">
      <c r="A16" s="99"/>
      <c r="B16" s="99"/>
      <c r="C16" s="99"/>
      <c r="D16" s="99"/>
      <c r="E16" s="99"/>
      <c r="F16" s="16"/>
      <c r="G16" s="16"/>
      <c r="H16" s="99"/>
      <c r="I16" s="99"/>
      <c r="J16" s="16"/>
      <c r="K16" s="99"/>
      <c r="L16" s="98"/>
      <c r="M16" s="99"/>
      <c r="N16" s="99"/>
      <c r="O16" s="99"/>
      <c r="P16" s="16"/>
      <c r="Q16" s="99"/>
      <c r="R16" s="99"/>
    </row>
    <row r="17" spans="1:18" x14ac:dyDescent="0.2">
      <c r="A17" s="99"/>
      <c r="B17" s="99"/>
      <c r="C17" s="99"/>
      <c r="D17" s="99"/>
      <c r="E17" s="99"/>
      <c r="F17" s="16"/>
      <c r="G17" s="16"/>
      <c r="H17" s="99"/>
      <c r="I17" s="99"/>
      <c r="J17" s="16"/>
      <c r="K17" s="99"/>
      <c r="L17" s="98"/>
      <c r="M17" s="99"/>
      <c r="N17" s="99"/>
      <c r="O17" s="99"/>
      <c r="P17" s="16"/>
      <c r="Q17" s="99"/>
      <c r="R17" s="99"/>
    </row>
    <row r="18" spans="1:18" x14ac:dyDescent="0.2">
      <c r="A18" s="99"/>
      <c r="B18" s="99"/>
      <c r="C18" s="99"/>
      <c r="D18" s="99"/>
      <c r="E18" s="99"/>
      <c r="F18" s="16"/>
      <c r="G18" s="16"/>
      <c r="H18" s="99"/>
      <c r="I18" s="99"/>
      <c r="J18" s="16"/>
      <c r="K18" s="99"/>
      <c r="L18" s="98"/>
      <c r="M18" s="99"/>
      <c r="N18" s="99"/>
      <c r="O18" s="99"/>
      <c r="P18" s="16"/>
      <c r="Q18" s="99"/>
      <c r="R18" s="99"/>
    </row>
    <row r="19" spans="1:18" x14ac:dyDescent="0.2">
      <c r="A19" s="99"/>
      <c r="B19" s="99"/>
      <c r="C19" s="99"/>
      <c r="D19" s="99"/>
      <c r="E19" s="99"/>
      <c r="F19" s="16"/>
      <c r="G19" s="16"/>
      <c r="H19" s="99"/>
      <c r="I19" s="99"/>
      <c r="J19" s="16"/>
      <c r="K19" s="99"/>
      <c r="L19" s="98"/>
      <c r="M19" s="99"/>
      <c r="N19" s="99"/>
      <c r="O19" s="99"/>
      <c r="P19" s="16"/>
      <c r="Q19" s="99"/>
      <c r="R19" s="99"/>
    </row>
    <row r="20" spans="1:18" x14ac:dyDescent="0.2">
      <c r="A20" s="99"/>
      <c r="B20" s="99"/>
      <c r="C20" s="99"/>
      <c r="D20" s="99"/>
      <c r="E20" s="99"/>
      <c r="F20" s="16"/>
      <c r="G20" s="16"/>
      <c r="H20" s="99"/>
      <c r="I20" s="99"/>
      <c r="J20" s="16"/>
      <c r="K20" s="99"/>
      <c r="L20" s="98"/>
      <c r="M20" s="99"/>
      <c r="N20" s="99"/>
      <c r="O20" s="99"/>
      <c r="P20" s="16"/>
      <c r="Q20" s="99"/>
      <c r="R20" s="99"/>
    </row>
    <row r="21" spans="1:18" x14ac:dyDescent="0.2">
      <c r="A21" s="98"/>
      <c r="B21" s="98"/>
      <c r="C21" s="98"/>
      <c r="D21" s="98"/>
      <c r="E21" s="99"/>
      <c r="F21" s="16"/>
      <c r="G21" s="16"/>
      <c r="H21" s="99"/>
      <c r="I21" s="98"/>
      <c r="J21" s="98"/>
      <c r="K21" s="98"/>
      <c r="L21" s="98"/>
      <c r="M21" s="98"/>
      <c r="N21" s="98"/>
      <c r="O21" s="98"/>
      <c r="P21" s="16"/>
      <c r="Q21" s="98"/>
      <c r="R21" s="98"/>
    </row>
  </sheetData>
  <sheetProtection formatColumns="0"/>
  <customSheetViews>
    <customSheetView guid="{AE318230-F718-49FC-82EB-7CAC3DCD05F1}" showGridLines="0" hiddenRows="1">
      <selection activeCell="K2" sqref="K2"/>
      <pageMargins left="0" right="0" top="0" bottom="0" header="0" footer="0"/>
      <pageSetup orientation="portrait" r:id="rId1"/>
    </customSheetView>
  </customSheetViews>
  <mergeCells count="2">
    <mergeCell ref="A9:R9"/>
    <mergeCell ref="S2:S8"/>
  </mergeCells>
  <dataValidations count="5">
    <dataValidation type="list" allowBlank="1" showInputMessage="1" showErrorMessage="1" sqref="F10:F21">
      <formula1>israel_abroad</formula1>
    </dataValidation>
    <dataValidation type="list" allowBlank="1" showInputMessage="1" showErrorMessage="1" sqref="H10:H21">
      <formula1>Holding_interest</formula1>
    </dataValidation>
    <dataValidation type="list" allowBlank="1" showInputMessage="1" showErrorMessage="1" sqref="P10:P21">
      <formula1>In_the_books</formula1>
    </dataValidation>
    <dataValidation type="list" allowBlank="1" showInputMessage="1" showErrorMessage="1" sqref="G10:G21">
      <formula1>Country_list</formula1>
    </dataValidation>
    <dataValidation type="list" allowBlank="1" showInputMessage="1" showErrorMessage="1" sqref="E10:E21">
      <formula1>other_investments</formula1>
    </dataValidation>
  </dataValidations>
  <pageMargins left="0.7" right="0.7" top="0.75" bottom="0.75" header="0.3" footer="0.3"/>
  <pageSetup orientation="portrait" r:id="rId2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V23"/>
  <sheetViews>
    <sheetView rightToLeft="1" workbookViewId="0"/>
  </sheetViews>
  <sheetFormatPr defaultColWidth="11.625" defaultRowHeight="14.1" customHeight="1" x14ac:dyDescent="0.2"/>
  <cols>
    <col min="1" max="1" width="29.375" style="2" customWidth="1"/>
    <col min="2" max="2" width="11.125" style="2" customWidth="1"/>
    <col min="3" max="3" width="14" style="2" customWidth="1"/>
    <col min="4" max="4" width="16.75" style="2" customWidth="1"/>
    <col min="5" max="5" width="10.25" style="2" customWidth="1"/>
    <col min="6" max="6" width="11.875" style="2" customWidth="1"/>
    <col min="7" max="7" width="22.875" style="2" customWidth="1"/>
    <col min="8" max="8" width="10.625" style="2" customWidth="1"/>
    <col min="9" max="9" width="19.875" style="2" customWidth="1"/>
    <col min="10" max="10" width="15.125" style="2" customWidth="1"/>
    <col min="11" max="11" width="6.25" style="2" customWidth="1"/>
    <col min="12" max="12" width="9" style="2" customWidth="1"/>
    <col min="13" max="13" width="17.125" style="2" customWidth="1"/>
    <col min="14" max="14" width="11.75" style="2" customWidth="1"/>
    <col min="15" max="15" width="10.5" style="2" customWidth="1"/>
    <col min="16" max="16" width="11.125" style="2" customWidth="1"/>
    <col min="17" max="17" width="10.375" style="2" customWidth="1"/>
    <col min="18" max="18" width="36" style="2" customWidth="1"/>
    <col min="19" max="19" width="32.75" style="2" customWidth="1"/>
    <col min="20" max="20" width="21.25" style="2" customWidth="1"/>
    <col min="21" max="16384" width="11.625" style="2"/>
  </cols>
  <sheetData>
    <row r="1" spans="1:22" ht="14.1" customHeight="1" x14ac:dyDescent="0.2">
      <c r="A1" s="2" t="s">
        <v>3924</v>
      </c>
    </row>
    <row r="2" spans="1:22" ht="66.75" customHeight="1" x14ac:dyDescent="0.2">
      <c r="A2" s="139" t="s">
        <v>49</v>
      </c>
      <c r="B2" s="140" t="s">
        <v>50</v>
      </c>
      <c r="C2" s="140" t="s">
        <v>150</v>
      </c>
      <c r="D2" s="140" t="s">
        <v>151</v>
      </c>
      <c r="E2" s="140" t="s">
        <v>152</v>
      </c>
      <c r="F2" s="140" t="s">
        <v>153</v>
      </c>
      <c r="G2" s="140" t="s">
        <v>187</v>
      </c>
      <c r="H2" s="140" t="s">
        <v>55</v>
      </c>
      <c r="I2" s="140" t="s">
        <v>69</v>
      </c>
      <c r="J2" s="140" t="s">
        <v>56</v>
      </c>
      <c r="K2" s="140" t="s">
        <v>71</v>
      </c>
      <c r="L2" s="140" t="s">
        <v>58</v>
      </c>
      <c r="M2" s="140" t="s">
        <v>158</v>
      </c>
      <c r="N2" s="140" t="s">
        <v>59</v>
      </c>
      <c r="O2" s="140" t="s">
        <v>61</v>
      </c>
      <c r="P2" s="140" t="s">
        <v>62</v>
      </c>
      <c r="Q2" s="140" t="s">
        <v>159</v>
      </c>
      <c r="R2" s="140" t="s">
        <v>188</v>
      </c>
      <c r="S2" s="140" t="s">
        <v>189</v>
      </c>
      <c r="T2" s="141" t="s">
        <v>190</v>
      </c>
      <c r="U2" s="181" t="s">
        <v>3894</v>
      </c>
      <c r="V2" s="98"/>
    </row>
    <row r="3" spans="1:22" ht="14.1" customHeight="1" x14ac:dyDescent="0.2">
      <c r="A3" s="154" t="s">
        <v>1205</v>
      </c>
      <c r="B3" s="155" t="s">
        <v>1206</v>
      </c>
      <c r="C3" s="145" t="s">
        <v>3876</v>
      </c>
      <c r="D3" s="145" t="s">
        <v>3876</v>
      </c>
      <c r="E3" s="145" t="s">
        <v>3876</v>
      </c>
      <c r="F3" s="145" t="s">
        <v>3876</v>
      </c>
      <c r="G3" s="145" t="s">
        <v>3876</v>
      </c>
      <c r="H3" s="145" t="s">
        <v>3876</v>
      </c>
      <c r="I3" s="145" t="s">
        <v>3876</v>
      </c>
      <c r="J3" s="145" t="s">
        <v>3876</v>
      </c>
      <c r="K3" s="145" t="s">
        <v>3876</v>
      </c>
      <c r="L3" s="145" t="s">
        <v>3876</v>
      </c>
      <c r="M3" s="145" t="s">
        <v>3876</v>
      </c>
      <c r="N3" s="145" t="s">
        <v>3876</v>
      </c>
      <c r="O3" s="145" t="s">
        <v>3876</v>
      </c>
      <c r="P3" s="145" t="s">
        <v>3876</v>
      </c>
      <c r="Q3" s="145" t="s">
        <v>3876</v>
      </c>
      <c r="R3" s="145" t="s">
        <v>3876</v>
      </c>
      <c r="S3" s="145" t="s">
        <v>3876</v>
      </c>
      <c r="T3" s="156" t="s">
        <v>3876</v>
      </c>
      <c r="U3" s="181"/>
      <c r="V3" s="98"/>
    </row>
    <row r="4" spans="1:22" ht="14.1" customHeight="1" x14ac:dyDescent="0.2">
      <c r="A4" s="154" t="s">
        <v>1205</v>
      </c>
      <c r="B4" s="155" t="s">
        <v>1215</v>
      </c>
      <c r="C4" s="145" t="s">
        <v>3876</v>
      </c>
      <c r="D4" s="145" t="s">
        <v>3876</v>
      </c>
      <c r="E4" s="145" t="s">
        <v>3876</v>
      </c>
      <c r="F4" s="145" t="s">
        <v>3876</v>
      </c>
      <c r="G4" s="145" t="s">
        <v>3876</v>
      </c>
      <c r="H4" s="145" t="s">
        <v>3876</v>
      </c>
      <c r="I4" s="145" t="s">
        <v>3876</v>
      </c>
      <c r="J4" s="145" t="s">
        <v>3876</v>
      </c>
      <c r="K4" s="145" t="s">
        <v>3876</v>
      </c>
      <c r="L4" s="145" t="s">
        <v>3876</v>
      </c>
      <c r="M4" s="145" t="s">
        <v>3876</v>
      </c>
      <c r="N4" s="145" t="s">
        <v>3876</v>
      </c>
      <c r="O4" s="145" t="s">
        <v>3876</v>
      </c>
      <c r="P4" s="145" t="s">
        <v>3876</v>
      </c>
      <c r="Q4" s="145" t="s">
        <v>3876</v>
      </c>
      <c r="R4" s="145" t="s">
        <v>3876</v>
      </c>
      <c r="S4" s="145" t="s">
        <v>3876</v>
      </c>
      <c r="T4" s="156" t="s">
        <v>3876</v>
      </c>
      <c r="U4" s="181"/>
      <c r="V4" s="98"/>
    </row>
    <row r="5" spans="1:22" ht="14.1" customHeight="1" x14ac:dyDescent="0.2">
      <c r="A5" s="154" t="s">
        <v>1205</v>
      </c>
      <c r="B5" s="155" t="s">
        <v>1205</v>
      </c>
      <c r="C5" s="145" t="s">
        <v>3876</v>
      </c>
      <c r="D5" s="145" t="s">
        <v>3876</v>
      </c>
      <c r="E5" s="145" t="s">
        <v>3876</v>
      </c>
      <c r="F5" s="145" t="s">
        <v>3876</v>
      </c>
      <c r="G5" s="145" t="s">
        <v>3876</v>
      </c>
      <c r="H5" s="145" t="s">
        <v>3876</v>
      </c>
      <c r="I5" s="145" t="s">
        <v>3876</v>
      </c>
      <c r="J5" s="145" t="s">
        <v>3876</v>
      </c>
      <c r="K5" s="145" t="s">
        <v>3876</v>
      </c>
      <c r="L5" s="145" t="s">
        <v>3876</v>
      </c>
      <c r="M5" s="145" t="s">
        <v>3876</v>
      </c>
      <c r="N5" s="145" t="s">
        <v>3876</v>
      </c>
      <c r="O5" s="145" t="s">
        <v>3876</v>
      </c>
      <c r="P5" s="145" t="s">
        <v>3876</v>
      </c>
      <c r="Q5" s="145" t="s">
        <v>3876</v>
      </c>
      <c r="R5" s="145" t="s">
        <v>3876</v>
      </c>
      <c r="S5" s="145" t="s">
        <v>3876</v>
      </c>
      <c r="T5" s="156" t="s">
        <v>3876</v>
      </c>
      <c r="U5" s="181"/>
      <c r="V5" s="98"/>
    </row>
    <row r="6" spans="1:22" ht="14.1" customHeight="1" x14ac:dyDescent="0.2">
      <c r="A6" s="154" t="s">
        <v>1220</v>
      </c>
      <c r="B6" s="155" t="s">
        <v>1221</v>
      </c>
      <c r="C6" s="145" t="s">
        <v>3876</v>
      </c>
      <c r="D6" s="145" t="s">
        <v>3876</v>
      </c>
      <c r="E6" s="145" t="s">
        <v>3876</v>
      </c>
      <c r="F6" s="145" t="s">
        <v>3876</v>
      </c>
      <c r="G6" s="145" t="s">
        <v>3876</v>
      </c>
      <c r="H6" s="145" t="s">
        <v>3876</v>
      </c>
      <c r="I6" s="145" t="s">
        <v>3876</v>
      </c>
      <c r="J6" s="145" t="s">
        <v>3876</v>
      </c>
      <c r="K6" s="145" t="s">
        <v>3876</v>
      </c>
      <c r="L6" s="145" t="s">
        <v>3876</v>
      </c>
      <c r="M6" s="145" t="s">
        <v>3876</v>
      </c>
      <c r="N6" s="145" t="s">
        <v>3876</v>
      </c>
      <c r="O6" s="145" t="s">
        <v>3876</v>
      </c>
      <c r="P6" s="145" t="s">
        <v>3876</v>
      </c>
      <c r="Q6" s="145" t="s">
        <v>3876</v>
      </c>
      <c r="R6" s="145" t="s">
        <v>3876</v>
      </c>
      <c r="S6" s="145" t="s">
        <v>3876</v>
      </c>
      <c r="T6" s="156" t="s">
        <v>3876</v>
      </c>
      <c r="U6" s="181"/>
      <c r="V6" s="98"/>
    </row>
    <row r="7" spans="1:22" ht="14.1" customHeight="1" x14ac:dyDescent="0.2">
      <c r="A7" s="154" t="s">
        <v>1220</v>
      </c>
      <c r="B7" s="155" t="s">
        <v>1222</v>
      </c>
      <c r="C7" s="145" t="s">
        <v>3876</v>
      </c>
      <c r="D7" s="145" t="s">
        <v>3876</v>
      </c>
      <c r="E7" s="145" t="s">
        <v>3876</v>
      </c>
      <c r="F7" s="145" t="s">
        <v>3876</v>
      </c>
      <c r="G7" s="145" t="s">
        <v>3876</v>
      </c>
      <c r="H7" s="145" t="s">
        <v>3876</v>
      </c>
      <c r="I7" s="145" t="s">
        <v>3876</v>
      </c>
      <c r="J7" s="145" t="s">
        <v>3876</v>
      </c>
      <c r="K7" s="145" t="s">
        <v>3876</v>
      </c>
      <c r="L7" s="145" t="s">
        <v>3876</v>
      </c>
      <c r="M7" s="145" t="s">
        <v>3876</v>
      </c>
      <c r="N7" s="145" t="s">
        <v>3876</v>
      </c>
      <c r="O7" s="145" t="s">
        <v>3876</v>
      </c>
      <c r="P7" s="145" t="s">
        <v>3876</v>
      </c>
      <c r="Q7" s="145" t="s">
        <v>3876</v>
      </c>
      <c r="R7" s="145" t="s">
        <v>3876</v>
      </c>
      <c r="S7" s="145" t="s">
        <v>3876</v>
      </c>
      <c r="T7" s="156" t="s">
        <v>3876</v>
      </c>
      <c r="U7" s="181"/>
      <c r="V7" s="98"/>
    </row>
    <row r="8" spans="1:22" ht="14.1" customHeight="1" x14ac:dyDescent="0.2">
      <c r="A8" s="157" t="s">
        <v>1220</v>
      </c>
      <c r="B8" s="158" t="s">
        <v>1220</v>
      </c>
      <c r="C8" s="151" t="s">
        <v>3876</v>
      </c>
      <c r="D8" s="151" t="s">
        <v>3876</v>
      </c>
      <c r="E8" s="151" t="s">
        <v>3876</v>
      </c>
      <c r="F8" s="151" t="s">
        <v>3876</v>
      </c>
      <c r="G8" s="151" t="s">
        <v>3876</v>
      </c>
      <c r="H8" s="151" t="s">
        <v>3876</v>
      </c>
      <c r="I8" s="151" t="s">
        <v>3876</v>
      </c>
      <c r="J8" s="151" t="s">
        <v>3876</v>
      </c>
      <c r="K8" s="151" t="s">
        <v>3876</v>
      </c>
      <c r="L8" s="151" t="s">
        <v>3876</v>
      </c>
      <c r="M8" s="151" t="s">
        <v>3876</v>
      </c>
      <c r="N8" s="151" t="s">
        <v>3876</v>
      </c>
      <c r="O8" s="151" t="s">
        <v>3876</v>
      </c>
      <c r="P8" s="151" t="s">
        <v>3876</v>
      </c>
      <c r="Q8" s="151" t="s">
        <v>3876</v>
      </c>
      <c r="R8" s="151" t="s">
        <v>3876</v>
      </c>
      <c r="S8" s="151" t="s">
        <v>3876</v>
      </c>
      <c r="T8" s="159" t="s">
        <v>3876</v>
      </c>
      <c r="U8" s="181"/>
      <c r="V8" s="98"/>
    </row>
    <row r="9" spans="1:22" ht="14.1" customHeight="1" x14ac:dyDescent="0.2">
      <c r="A9" s="181" t="s">
        <v>3893</v>
      </c>
      <c r="B9" s="181"/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98"/>
      <c r="V9" s="98"/>
    </row>
    <row r="10" spans="1:22" ht="14.1" customHeight="1" x14ac:dyDescent="0.2">
      <c r="A10" s="98" t="s">
        <v>3892</v>
      </c>
      <c r="B10" s="98"/>
      <c r="C10" s="98"/>
      <c r="D10" s="99"/>
      <c r="E10" s="98"/>
      <c r="F10" s="98"/>
      <c r="G10"/>
      <c r="H10" s="16"/>
      <c r="I10" s="16"/>
      <c r="J10" s="99"/>
      <c r="K10" s="99"/>
      <c r="L10" s="99"/>
      <c r="M10" s="99"/>
      <c r="N10" s="98"/>
      <c r="O10" s="98"/>
      <c r="P10" s="98"/>
      <c r="Q10" s="99"/>
      <c r="R10" s="98"/>
      <c r="S10" s="98"/>
      <c r="T10" s="98"/>
      <c r="U10" s="98"/>
      <c r="V10" s="98"/>
    </row>
    <row r="11" spans="1:22" ht="13.5" customHeight="1" x14ac:dyDescent="0.2">
      <c r="A11" s="101"/>
      <c r="B11" s="98"/>
      <c r="C11" s="98"/>
      <c r="D11" s="99"/>
      <c r="E11" s="98"/>
      <c r="F11" s="98"/>
      <c r="G11"/>
      <c r="H11" s="16"/>
      <c r="I11" s="16"/>
      <c r="J11" s="99"/>
      <c r="K11" s="99"/>
      <c r="L11" s="99"/>
      <c r="M11" s="99"/>
      <c r="N11" s="98"/>
      <c r="O11" s="98"/>
      <c r="P11" s="98"/>
      <c r="Q11" s="99"/>
      <c r="R11" s="98"/>
      <c r="S11" s="98"/>
      <c r="T11" s="98"/>
      <c r="U11" s="98"/>
      <c r="V11" s="98"/>
    </row>
    <row r="12" spans="1:22" ht="13.5" customHeight="1" x14ac:dyDescent="0.2">
      <c r="A12" s="98"/>
      <c r="B12" s="98"/>
      <c r="C12" s="98"/>
      <c r="D12" s="99"/>
      <c r="E12" s="98"/>
      <c r="F12" s="98"/>
      <c r="G12"/>
      <c r="H12" s="16"/>
      <c r="I12" s="16"/>
      <c r="J12" s="99"/>
      <c r="K12" s="99"/>
      <c r="L12" s="99"/>
      <c r="M12" s="99"/>
      <c r="N12" s="98"/>
      <c r="O12" s="98"/>
      <c r="P12" s="98"/>
      <c r="Q12" s="99"/>
      <c r="R12" s="98"/>
      <c r="S12" s="98"/>
      <c r="T12" s="98"/>
      <c r="U12" s="98"/>
      <c r="V12" s="98"/>
    </row>
    <row r="13" spans="1:22" ht="14.1" customHeight="1" x14ac:dyDescent="0.2">
      <c r="A13" s="98"/>
      <c r="B13" s="98"/>
      <c r="C13" s="98"/>
      <c r="D13" s="99"/>
      <c r="E13" s="98"/>
      <c r="F13" s="98"/>
      <c r="G13"/>
      <c r="H13" s="16"/>
      <c r="I13" s="16"/>
      <c r="J13" s="99"/>
      <c r="K13" s="99"/>
      <c r="L13" s="99"/>
      <c r="M13" s="99"/>
      <c r="N13" s="98"/>
      <c r="O13" s="98"/>
      <c r="P13" s="98"/>
      <c r="Q13" s="99"/>
      <c r="R13" s="98"/>
      <c r="S13" s="98"/>
      <c r="T13" s="98"/>
      <c r="U13" s="98"/>
      <c r="V13" s="98"/>
    </row>
    <row r="14" spans="1:22" ht="14.1" customHeight="1" x14ac:dyDescent="0.2">
      <c r="A14" s="98"/>
      <c r="B14" s="98"/>
      <c r="C14" s="98"/>
      <c r="D14" s="99"/>
      <c r="E14" s="98"/>
      <c r="F14" s="98"/>
      <c r="G14"/>
      <c r="H14" s="16"/>
      <c r="I14" s="16"/>
      <c r="J14" s="99"/>
      <c r="K14" s="99"/>
      <c r="L14" s="99"/>
      <c r="M14" s="99"/>
      <c r="N14" s="98"/>
      <c r="O14" s="98"/>
      <c r="P14" s="98"/>
      <c r="Q14" s="99"/>
      <c r="R14" s="98"/>
      <c r="S14" s="98"/>
      <c r="T14" s="98"/>
      <c r="U14" s="98"/>
      <c r="V14" s="98"/>
    </row>
    <row r="15" spans="1:22" ht="14.1" customHeight="1" x14ac:dyDescent="0.2">
      <c r="A15" s="98"/>
      <c r="B15" s="98"/>
      <c r="C15" s="98"/>
      <c r="D15" s="99"/>
      <c r="E15" s="98"/>
      <c r="F15" s="98"/>
      <c r="G15"/>
      <c r="H15" s="16"/>
      <c r="I15" s="16"/>
      <c r="J15" s="99"/>
      <c r="K15" s="99"/>
      <c r="L15" s="99"/>
      <c r="M15" s="99"/>
      <c r="N15" s="98"/>
      <c r="O15" s="98"/>
      <c r="P15" s="98"/>
      <c r="Q15" s="99"/>
      <c r="R15" s="98"/>
      <c r="S15" s="98"/>
      <c r="T15" s="98"/>
      <c r="U15" s="98"/>
      <c r="V15" s="98"/>
    </row>
    <row r="16" spans="1:22" ht="14.1" customHeight="1" x14ac:dyDescent="0.2">
      <c r="A16" s="98"/>
      <c r="B16" s="98"/>
      <c r="C16" s="98"/>
      <c r="D16" s="99"/>
      <c r="E16" s="98"/>
      <c r="F16" s="98"/>
      <c r="G16"/>
      <c r="H16" s="16"/>
      <c r="I16" s="16"/>
      <c r="J16" s="99"/>
      <c r="K16" s="99"/>
      <c r="L16" s="99"/>
      <c r="M16" s="99"/>
      <c r="N16" s="98"/>
      <c r="O16" s="98"/>
      <c r="P16" s="98"/>
      <c r="Q16" s="99"/>
      <c r="R16" s="98"/>
      <c r="S16" s="98"/>
      <c r="T16" s="98"/>
      <c r="U16" s="98"/>
      <c r="V16" s="98"/>
    </row>
    <row r="17" spans="1:22" ht="14.1" customHeight="1" x14ac:dyDescent="0.2">
      <c r="A17" s="98"/>
      <c r="B17" s="98"/>
      <c r="C17" s="98"/>
      <c r="D17" s="99"/>
      <c r="E17" s="98"/>
      <c r="F17" s="98"/>
      <c r="G17"/>
      <c r="H17" s="16"/>
      <c r="I17" s="16"/>
      <c r="J17" s="99"/>
      <c r="K17" s="99"/>
      <c r="L17" s="99"/>
      <c r="M17" s="99"/>
      <c r="N17" s="98"/>
      <c r="O17" s="98"/>
      <c r="P17" s="98"/>
      <c r="Q17" s="99"/>
      <c r="R17" s="98"/>
      <c r="S17" s="98"/>
      <c r="T17" s="98"/>
      <c r="U17" s="98"/>
      <c r="V17" s="98"/>
    </row>
    <row r="18" spans="1:22" ht="14.1" customHeight="1" x14ac:dyDescent="0.2">
      <c r="D18" s="99"/>
      <c r="E18" s="98"/>
      <c r="F18" s="98"/>
      <c r="G18"/>
      <c r="H18" s="16"/>
      <c r="I18" s="16"/>
      <c r="J18" s="99"/>
      <c r="K18" s="99"/>
      <c r="L18" s="99"/>
      <c r="M18" s="99"/>
      <c r="N18" s="98"/>
      <c r="O18" s="98"/>
      <c r="P18" s="98"/>
      <c r="Q18" s="99"/>
    </row>
    <row r="19" spans="1:22" ht="14.1" customHeight="1" x14ac:dyDescent="0.2">
      <c r="D19" s="99"/>
      <c r="E19" s="98"/>
      <c r="F19" s="98"/>
      <c r="G19"/>
      <c r="H19" s="16"/>
      <c r="I19" s="16"/>
      <c r="J19" s="99"/>
      <c r="K19" s="99"/>
      <c r="L19" s="99"/>
      <c r="M19" s="99"/>
      <c r="N19" s="98"/>
      <c r="O19" s="98"/>
      <c r="P19" s="98"/>
      <c r="Q19" s="99"/>
    </row>
    <row r="20" spans="1:22" ht="14.1" customHeight="1" x14ac:dyDescent="0.2">
      <c r="D20" s="99"/>
      <c r="E20" s="98"/>
      <c r="F20" s="98"/>
      <c r="G20"/>
      <c r="H20" s="16"/>
      <c r="I20" s="16"/>
      <c r="J20" s="99"/>
      <c r="K20" s="99"/>
      <c r="L20" s="99"/>
      <c r="M20" s="99"/>
      <c r="N20" s="98"/>
      <c r="O20" s="98"/>
      <c r="P20" s="98"/>
      <c r="Q20" s="99"/>
    </row>
    <row r="21" spans="1:22" ht="14.1" customHeight="1" x14ac:dyDescent="0.2">
      <c r="D21" s="99"/>
      <c r="E21" s="98"/>
      <c r="F21" s="98"/>
      <c r="G21"/>
      <c r="H21" s="16"/>
      <c r="I21" s="16"/>
      <c r="J21" s="99"/>
      <c r="K21" s="98"/>
      <c r="L21" s="99"/>
      <c r="M21" s="99"/>
      <c r="N21" s="98"/>
      <c r="O21" s="98"/>
      <c r="P21" s="98"/>
      <c r="Q21" s="99"/>
    </row>
    <row r="22" spans="1:22" ht="14.1" customHeight="1" x14ac:dyDescent="0.2">
      <c r="D22" s="4"/>
      <c r="E22" s="98"/>
      <c r="F22" s="98"/>
      <c r="G22" s="98"/>
      <c r="H22" s="98"/>
      <c r="I22" s="98"/>
      <c r="J22"/>
      <c r="K22" s="98"/>
      <c r="L22" s="98"/>
      <c r="M22" s="98"/>
      <c r="N22" s="98"/>
      <c r="O22" s="98"/>
      <c r="P22" s="98"/>
      <c r="Q22" s="98"/>
    </row>
    <row r="23" spans="1:22" ht="14.1" customHeight="1" x14ac:dyDescent="0.2">
      <c r="D23" s="4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" right="0" top="0" bottom="0" header="0" footer="0"/>
    </customSheetView>
  </customSheetViews>
  <mergeCells count="2">
    <mergeCell ref="A9:T9"/>
    <mergeCell ref="U2:U8"/>
  </mergeCells>
  <dataValidations count="7">
    <dataValidation type="list" allowBlank="1" showInputMessage="1" showErrorMessage="1" sqref="H10:H21">
      <formula1>israel_abroad</formula1>
    </dataValidation>
    <dataValidation type="list" allowBlank="1" showInputMessage="1" showErrorMessage="1" sqref="I10:I21">
      <formula1>Country_list</formula1>
    </dataValidation>
    <dataValidation type="list" allowBlank="1" showInputMessage="1" showErrorMessage="1" sqref="D10:D21">
      <formula1>issuer_number_loan</formula1>
    </dataValidation>
    <dataValidation type="list" allowBlank="1" showInputMessage="1" showErrorMessage="1" sqref="L10:L21">
      <formula1>Rating_Agency</formula1>
    </dataValidation>
    <dataValidation type="list" allowBlank="1" showInputMessage="1" showErrorMessage="1" sqref="Q10:Q21">
      <formula1>Type_of_Interest_Rate</formula1>
    </dataValidation>
    <dataValidation type="list" allowBlank="1" showInputMessage="1" showErrorMessage="1" sqref="J10:J21">
      <formula1>Holding_interest</formula1>
    </dataValidation>
    <dataValidation type="list" allowBlank="1" showInputMessage="1" showErrorMessage="1" sqref="M10:M21">
      <formula1>what_is_rated_loans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V213"/>
  <sheetViews>
    <sheetView rightToLeft="1" workbookViewId="0"/>
  </sheetViews>
  <sheetFormatPr defaultColWidth="11.625" defaultRowHeight="14.1" customHeight="1" x14ac:dyDescent="0.2"/>
  <cols>
    <col min="1" max="1" width="29.375" style="2" customWidth="1"/>
    <col min="2" max="2" width="11.125" style="2" customWidth="1"/>
    <col min="3" max="3" width="14.75" style="2" bestFit="1" customWidth="1"/>
    <col min="4" max="4" width="58" style="2" bestFit="1" customWidth="1"/>
    <col min="5" max="5" width="27.5" style="2" customWidth="1"/>
    <col min="6" max="6" width="30.25" style="2" customWidth="1"/>
    <col min="7" max="7" width="35.375" style="2" bestFit="1" customWidth="1"/>
    <col min="8" max="8" width="19.25" style="2" customWidth="1"/>
    <col min="9" max="9" width="22.625" style="2" customWidth="1"/>
    <col min="10" max="10" width="11.75" style="2" customWidth="1"/>
    <col min="11" max="11" width="28.875" style="2" customWidth="1"/>
    <col min="12" max="12" width="42.25" style="2" customWidth="1"/>
    <col min="13" max="13" width="28.375" style="2" customWidth="1"/>
    <col min="14" max="14" width="47.25" style="2" customWidth="1"/>
    <col min="15" max="15" width="33.375" style="2" customWidth="1"/>
    <col min="16" max="16" width="17.875" style="2" customWidth="1"/>
    <col min="17" max="17" width="24.5" style="2" customWidth="1"/>
    <col min="18" max="22" width="11.625" style="2" customWidth="1"/>
    <col min="23" max="16384" width="11.625" style="2"/>
  </cols>
  <sheetData>
    <row r="1" spans="1:22" ht="14.1" customHeight="1" x14ac:dyDescent="0.2">
      <c r="A1" s="2" t="s">
        <v>3925</v>
      </c>
    </row>
    <row r="2" spans="1:22" ht="66.75" customHeight="1" x14ac:dyDescent="0.2">
      <c r="A2" s="139" t="s">
        <v>49</v>
      </c>
      <c r="B2" s="140" t="s">
        <v>50</v>
      </c>
      <c r="C2" s="140" t="s">
        <v>54</v>
      </c>
      <c r="D2" s="140" t="s">
        <v>108</v>
      </c>
      <c r="E2" s="140" t="s">
        <v>109</v>
      </c>
      <c r="F2" s="140" t="s">
        <v>110</v>
      </c>
      <c r="G2" s="140" t="s">
        <v>111</v>
      </c>
      <c r="H2" s="140" t="s">
        <v>112</v>
      </c>
      <c r="I2" s="140" t="s">
        <v>113</v>
      </c>
      <c r="J2" s="140" t="s">
        <v>59</v>
      </c>
      <c r="K2" s="140" t="s">
        <v>191</v>
      </c>
      <c r="L2" s="140" t="s">
        <v>192</v>
      </c>
      <c r="M2" s="140" t="s">
        <v>193</v>
      </c>
      <c r="N2" s="140" t="s">
        <v>194</v>
      </c>
      <c r="O2" s="140" t="s">
        <v>195</v>
      </c>
      <c r="P2" s="140" t="s">
        <v>196</v>
      </c>
      <c r="Q2" s="141" t="s">
        <v>197</v>
      </c>
      <c r="R2" s="181" t="s">
        <v>3894</v>
      </c>
      <c r="S2" s="98"/>
      <c r="T2" s="98"/>
      <c r="U2" s="98"/>
      <c r="V2" s="98"/>
    </row>
    <row r="3" spans="1:22" ht="14.1" customHeight="1" x14ac:dyDescent="0.2">
      <c r="A3" s="142" t="s">
        <v>1205</v>
      </c>
      <c r="B3" s="143" t="s">
        <v>1205</v>
      </c>
      <c r="C3" s="169" t="s">
        <v>1068</v>
      </c>
      <c r="D3" s="143" t="s">
        <v>314</v>
      </c>
      <c r="E3" s="145" t="s">
        <v>3876</v>
      </c>
      <c r="F3" s="145" t="s">
        <v>3876</v>
      </c>
      <c r="G3" s="143" t="s">
        <v>3567</v>
      </c>
      <c r="H3" s="143" t="s">
        <v>3568</v>
      </c>
      <c r="I3" s="143" t="s">
        <v>136</v>
      </c>
      <c r="J3" s="143" t="s">
        <v>1211</v>
      </c>
      <c r="K3" s="161">
        <v>45313</v>
      </c>
      <c r="L3" s="144">
        <v>490.0558178</v>
      </c>
      <c r="M3" s="144">
        <v>1842.1198191102001</v>
      </c>
      <c r="N3" s="144">
        <v>137.27130780000002</v>
      </c>
      <c r="O3" s="144">
        <v>516.00284602019997</v>
      </c>
      <c r="P3" s="165">
        <v>0.28011361729414813</v>
      </c>
      <c r="Q3" s="172">
        <v>44377</v>
      </c>
      <c r="R3" s="181"/>
      <c r="S3" s="98"/>
      <c r="T3" s="98"/>
      <c r="U3" s="98"/>
      <c r="V3" s="16"/>
    </row>
    <row r="4" spans="1:22" ht="13.5" customHeight="1" x14ac:dyDescent="0.2">
      <c r="A4" s="142" t="s">
        <v>1205</v>
      </c>
      <c r="B4" s="143" t="s">
        <v>1205</v>
      </c>
      <c r="C4" s="169" t="s">
        <v>1068</v>
      </c>
      <c r="D4" s="143" t="s">
        <v>3444</v>
      </c>
      <c r="E4" s="145" t="s">
        <v>3876</v>
      </c>
      <c r="F4" s="145" t="s">
        <v>3876</v>
      </c>
      <c r="G4" s="143" t="s">
        <v>3445</v>
      </c>
      <c r="H4" s="143" t="s">
        <v>3446</v>
      </c>
      <c r="I4" s="143" t="s">
        <v>312</v>
      </c>
      <c r="J4" s="143" t="s">
        <v>1210</v>
      </c>
      <c r="K4" s="161">
        <v>45131</v>
      </c>
      <c r="L4" s="144">
        <v>1116.837</v>
      </c>
      <c r="M4" s="144">
        <v>1116.837</v>
      </c>
      <c r="N4" s="144">
        <v>485.97899999999998</v>
      </c>
      <c r="O4" s="144">
        <v>485.97899999999998</v>
      </c>
      <c r="P4" s="165">
        <v>0.43513869973863689</v>
      </c>
      <c r="Q4" s="172">
        <v>46996</v>
      </c>
      <c r="R4" s="181"/>
      <c r="S4" s="98"/>
      <c r="T4" s="98"/>
      <c r="U4" s="98"/>
      <c r="V4" s="16"/>
    </row>
    <row r="5" spans="1:22" ht="14.1" customHeight="1" x14ac:dyDescent="0.2">
      <c r="A5" s="142" t="s">
        <v>1205</v>
      </c>
      <c r="B5" s="143" t="s">
        <v>1205</v>
      </c>
      <c r="C5" s="169" t="s">
        <v>1068</v>
      </c>
      <c r="D5" s="143" t="s">
        <v>3424</v>
      </c>
      <c r="E5" s="145" t="s">
        <v>3876</v>
      </c>
      <c r="F5" s="145" t="s">
        <v>3876</v>
      </c>
      <c r="G5" s="143" t="s">
        <v>3425</v>
      </c>
      <c r="H5" s="143" t="s">
        <v>3426</v>
      </c>
      <c r="I5" s="143" t="s">
        <v>312</v>
      </c>
      <c r="J5" s="143" t="s">
        <v>1210</v>
      </c>
      <c r="K5" s="161">
        <v>45250</v>
      </c>
      <c r="L5" s="144">
        <v>2136.7489999999998</v>
      </c>
      <c r="M5" s="144">
        <v>2136.7489999999998</v>
      </c>
      <c r="N5" s="144">
        <v>641.02599999999995</v>
      </c>
      <c r="O5" s="144">
        <v>641.02599999999995</v>
      </c>
      <c r="P5" s="165">
        <v>0.30000060840089315</v>
      </c>
      <c r="Q5" s="172">
        <v>46691</v>
      </c>
      <c r="R5" s="181"/>
      <c r="S5" s="98"/>
      <c r="T5" s="98"/>
      <c r="U5" s="98"/>
      <c r="V5" s="16"/>
    </row>
    <row r="6" spans="1:22" ht="14.1" customHeight="1" x14ac:dyDescent="0.2">
      <c r="A6" s="142" t="s">
        <v>1205</v>
      </c>
      <c r="B6" s="143" t="s">
        <v>1205</v>
      </c>
      <c r="C6" s="169" t="s">
        <v>1068</v>
      </c>
      <c r="D6" s="143" t="s">
        <v>3529</v>
      </c>
      <c r="E6" s="145" t="s">
        <v>3876</v>
      </c>
      <c r="F6" s="145" t="s">
        <v>3876</v>
      </c>
      <c r="G6" s="143" t="s">
        <v>3530</v>
      </c>
      <c r="H6" s="143" t="s">
        <v>3531</v>
      </c>
      <c r="I6" s="143" t="s">
        <v>312</v>
      </c>
      <c r="J6" s="143" t="s">
        <v>1211</v>
      </c>
      <c r="K6" s="161">
        <v>44767</v>
      </c>
      <c r="L6" s="144">
        <v>302.20815492509996</v>
      </c>
      <c r="M6" s="144">
        <v>1136.0004543634509</v>
      </c>
      <c r="N6" s="144">
        <v>9.3881549250999807</v>
      </c>
      <c r="O6" s="144">
        <v>35.290074363450834</v>
      </c>
      <c r="P6" s="165">
        <v>3.1065193880776529E-2</v>
      </c>
      <c r="Q6" s="172">
        <v>45657</v>
      </c>
      <c r="R6" s="181"/>
      <c r="S6" s="98"/>
      <c r="T6" s="98"/>
      <c r="U6" s="98"/>
      <c r="V6" s="16"/>
    </row>
    <row r="7" spans="1:22" ht="14.1" customHeight="1" x14ac:dyDescent="0.2">
      <c r="A7" s="142" t="s">
        <v>1205</v>
      </c>
      <c r="B7" s="143" t="s">
        <v>1205</v>
      </c>
      <c r="C7" s="169" t="s">
        <v>1068</v>
      </c>
      <c r="D7" s="143" t="s">
        <v>3298</v>
      </c>
      <c r="E7" s="145" t="s">
        <v>3876</v>
      </c>
      <c r="F7" s="145" t="s">
        <v>3876</v>
      </c>
      <c r="G7" s="143" t="s">
        <v>3299</v>
      </c>
      <c r="H7" s="143" t="s">
        <v>3300</v>
      </c>
      <c r="I7" s="143" t="s">
        <v>312</v>
      </c>
      <c r="J7" s="143" t="s">
        <v>1211</v>
      </c>
      <c r="K7" s="161">
        <v>45251</v>
      </c>
      <c r="L7" s="144">
        <v>469.791</v>
      </c>
      <c r="M7" s="144">
        <v>1765.9443690000001</v>
      </c>
      <c r="N7" s="144">
        <v>139.649</v>
      </c>
      <c r="O7" s="144">
        <v>524.94059100000004</v>
      </c>
      <c r="P7" s="165">
        <v>0.29725771672935414</v>
      </c>
      <c r="Q7" s="172">
        <v>45291</v>
      </c>
      <c r="R7" s="181"/>
      <c r="S7" s="98"/>
      <c r="T7" s="98"/>
      <c r="U7" s="98"/>
      <c r="V7" s="16"/>
    </row>
    <row r="8" spans="1:22" ht="14.1" customHeight="1" x14ac:dyDescent="0.2">
      <c r="A8" s="142" t="s">
        <v>1205</v>
      </c>
      <c r="B8" s="143" t="s">
        <v>1205</v>
      </c>
      <c r="C8" s="169" t="s">
        <v>1068</v>
      </c>
      <c r="D8" s="143" t="s">
        <v>3447</v>
      </c>
      <c r="E8" s="145" t="s">
        <v>3876</v>
      </c>
      <c r="F8" s="145" t="s">
        <v>3876</v>
      </c>
      <c r="G8" s="143" t="s">
        <v>3433</v>
      </c>
      <c r="H8" s="143" t="s">
        <v>3448</v>
      </c>
      <c r="I8" s="143" t="s">
        <v>312</v>
      </c>
      <c r="J8" s="143" t="s">
        <v>1210</v>
      </c>
      <c r="K8" s="161">
        <v>45369</v>
      </c>
      <c r="L8" s="144">
        <v>560.06799999999998</v>
      </c>
      <c r="M8" s="144">
        <v>560.06799999999998</v>
      </c>
      <c r="N8" s="144">
        <v>247.654</v>
      </c>
      <c r="O8" s="144">
        <v>247.654</v>
      </c>
      <c r="P8" s="165">
        <v>0.44218559174957328</v>
      </c>
      <c r="Q8" s="172">
        <v>45473</v>
      </c>
      <c r="R8" s="181"/>
      <c r="S8" s="98"/>
      <c r="T8" s="98"/>
      <c r="U8" s="98"/>
      <c r="V8" s="16"/>
    </row>
    <row r="9" spans="1:22" ht="14.1" customHeight="1" x14ac:dyDescent="0.2">
      <c r="A9" s="142" t="s">
        <v>1205</v>
      </c>
      <c r="B9" s="143" t="s">
        <v>1205</v>
      </c>
      <c r="C9" s="169" t="s">
        <v>1068</v>
      </c>
      <c r="D9" s="143" t="s">
        <v>314</v>
      </c>
      <c r="E9" s="145" t="s">
        <v>3876</v>
      </c>
      <c r="F9" s="145" t="s">
        <v>3876</v>
      </c>
      <c r="G9" s="143" t="s">
        <v>3583</v>
      </c>
      <c r="H9" s="143" t="s">
        <v>3584</v>
      </c>
      <c r="I9" s="143" t="s">
        <v>312</v>
      </c>
      <c r="J9" s="143" t="s">
        <v>1213</v>
      </c>
      <c r="K9" s="161">
        <v>45350</v>
      </c>
      <c r="L9" s="144">
        <v>354.27596401147497</v>
      </c>
      <c r="M9" s="144">
        <v>1424.2602305189318</v>
      </c>
      <c r="N9" s="144">
        <v>90.645234011474997</v>
      </c>
      <c r="O9" s="144">
        <v>364.4119697729318</v>
      </c>
      <c r="P9" s="169">
        <v>0.25586052461786257</v>
      </c>
      <c r="Q9" s="172">
        <v>46203</v>
      </c>
      <c r="R9" s="181"/>
      <c r="S9" s="98"/>
      <c r="T9" s="98"/>
      <c r="U9" s="98"/>
      <c r="V9" s="98"/>
    </row>
    <row r="10" spans="1:22" ht="14.1" customHeight="1" x14ac:dyDescent="0.2">
      <c r="A10" s="142" t="s">
        <v>1205</v>
      </c>
      <c r="B10" s="143" t="s">
        <v>1205</v>
      </c>
      <c r="C10" s="169" t="s">
        <v>1068</v>
      </c>
      <c r="D10" s="143" t="s">
        <v>3237</v>
      </c>
      <c r="E10" s="145" t="s">
        <v>3876</v>
      </c>
      <c r="F10" s="145" t="s">
        <v>3876</v>
      </c>
      <c r="G10" s="143" t="s">
        <v>3238</v>
      </c>
      <c r="H10" s="143" t="s">
        <v>3239</v>
      </c>
      <c r="I10" s="143" t="s">
        <v>312</v>
      </c>
      <c r="J10" s="143" t="s">
        <v>1211</v>
      </c>
      <c r="K10" s="161">
        <v>45159</v>
      </c>
      <c r="L10" s="144">
        <v>478.19299999999998</v>
      </c>
      <c r="M10" s="144">
        <v>1797.5274870000001</v>
      </c>
      <c r="N10" s="144">
        <v>311.78199000000001</v>
      </c>
      <c r="O10" s="144">
        <v>1171.9885004099999</v>
      </c>
      <c r="P10" s="169">
        <v>0.65200032204570113</v>
      </c>
      <c r="Q10" s="172">
        <v>47848</v>
      </c>
      <c r="R10" s="181"/>
      <c r="S10" s="98"/>
      <c r="T10" s="98"/>
      <c r="U10" s="98"/>
      <c r="V10" s="98"/>
    </row>
    <row r="11" spans="1:22" ht="14.1" customHeight="1" x14ac:dyDescent="0.2">
      <c r="A11" s="142" t="s">
        <v>1205</v>
      </c>
      <c r="B11" s="143" t="s">
        <v>1205</v>
      </c>
      <c r="C11" s="170" t="s">
        <v>1068</v>
      </c>
      <c r="D11" s="143" t="s">
        <v>3465</v>
      </c>
      <c r="E11" s="145" t="s">
        <v>3876</v>
      </c>
      <c r="F11" s="145" t="s">
        <v>3876</v>
      </c>
      <c r="G11" s="143" t="s">
        <v>3466</v>
      </c>
      <c r="H11" s="143" t="s">
        <v>3467</v>
      </c>
      <c r="I11" s="143" t="s">
        <v>312</v>
      </c>
      <c r="J11" s="143" t="s">
        <v>1213</v>
      </c>
      <c r="K11" s="161">
        <v>45222</v>
      </c>
      <c r="L11" s="144">
        <v>474.00000000000006</v>
      </c>
      <c r="M11" s="144">
        <v>1905.5748000000003</v>
      </c>
      <c r="N11" s="144">
        <v>125.60999000000005</v>
      </c>
      <c r="O11" s="144">
        <v>504.97728179800021</v>
      </c>
      <c r="P11" s="169">
        <v>0.26499997890295368</v>
      </c>
      <c r="Q11" s="172">
        <v>48305</v>
      </c>
      <c r="R11" s="181"/>
    </row>
    <row r="12" spans="1:22" ht="14.1" customHeight="1" x14ac:dyDescent="0.2">
      <c r="A12" s="142" t="s">
        <v>1205</v>
      </c>
      <c r="B12" s="143" t="s">
        <v>1205</v>
      </c>
      <c r="C12" s="170" t="s">
        <v>1068</v>
      </c>
      <c r="D12" s="143" t="s">
        <v>314</v>
      </c>
      <c r="E12" s="145" t="s">
        <v>3876</v>
      </c>
      <c r="F12" s="145" t="s">
        <v>3876</v>
      </c>
      <c r="G12" s="143" t="s">
        <v>3563</v>
      </c>
      <c r="H12" s="143" t="s">
        <v>3564</v>
      </c>
      <c r="I12" s="143" t="s">
        <v>312</v>
      </c>
      <c r="J12" s="143" t="s">
        <v>1211</v>
      </c>
      <c r="K12" s="161">
        <v>44699</v>
      </c>
      <c r="L12" s="144">
        <v>25</v>
      </c>
      <c r="M12" s="144">
        <v>93.974999999999994</v>
      </c>
      <c r="N12" s="144">
        <v>0.48047999999999957</v>
      </c>
      <c r="O12" s="144">
        <v>1.8061243199999983</v>
      </c>
      <c r="P12" s="169">
        <v>1.9219199999999981E-2</v>
      </c>
      <c r="Q12" s="172">
        <v>46387</v>
      </c>
      <c r="R12" s="181"/>
    </row>
    <row r="13" spans="1:22" ht="14.1" customHeight="1" x14ac:dyDescent="0.2">
      <c r="A13" s="142" t="s">
        <v>1205</v>
      </c>
      <c r="B13" s="143" t="s">
        <v>1205</v>
      </c>
      <c r="C13" s="170" t="s">
        <v>1068</v>
      </c>
      <c r="D13" s="143" t="s">
        <v>3480</v>
      </c>
      <c r="E13" s="145" t="s">
        <v>3876</v>
      </c>
      <c r="F13" s="145" t="s">
        <v>3876</v>
      </c>
      <c r="G13" s="143" t="s">
        <v>3481</v>
      </c>
      <c r="H13" s="143" t="s">
        <v>3482</v>
      </c>
      <c r="I13" s="143" t="s">
        <v>312</v>
      </c>
      <c r="J13" s="143" t="s">
        <v>1211</v>
      </c>
      <c r="K13" s="160">
        <v>45259</v>
      </c>
      <c r="L13" s="144">
        <v>632</v>
      </c>
      <c r="M13" s="144">
        <v>2375.6880000000001</v>
      </c>
      <c r="N13" s="144">
        <v>508.77999</v>
      </c>
      <c r="O13" s="144">
        <v>1912.5039824099999</v>
      </c>
      <c r="P13" s="169">
        <v>0.8050316297468354</v>
      </c>
      <c r="Q13" s="172">
        <v>48307</v>
      </c>
      <c r="R13" s="181"/>
    </row>
    <row r="14" spans="1:22" ht="14.1" customHeight="1" x14ac:dyDescent="0.2">
      <c r="A14" s="142" t="s">
        <v>1205</v>
      </c>
      <c r="B14" s="143" t="s">
        <v>1205</v>
      </c>
      <c r="C14" s="170" t="s">
        <v>1068</v>
      </c>
      <c r="D14" s="143" t="s">
        <v>3328</v>
      </c>
      <c r="E14" s="145" t="s">
        <v>3876</v>
      </c>
      <c r="F14" s="145" t="s">
        <v>3876</v>
      </c>
      <c r="G14" s="143" t="s">
        <v>3329</v>
      </c>
      <c r="H14" s="143" t="s">
        <v>3330</v>
      </c>
      <c r="I14" s="143" t="s">
        <v>312</v>
      </c>
      <c r="J14" s="143" t="s">
        <v>1211</v>
      </c>
      <c r="K14" s="160">
        <v>45365</v>
      </c>
      <c r="L14" s="144">
        <v>474.00099999999998</v>
      </c>
      <c r="M14" s="144">
        <v>1781.7697589999998</v>
      </c>
      <c r="N14" s="144">
        <v>322.745</v>
      </c>
      <c r="O14" s="144">
        <v>1213.198455</v>
      </c>
      <c r="P14" s="169">
        <v>0.68089518798483561</v>
      </c>
      <c r="Q14" s="172">
        <v>47848</v>
      </c>
      <c r="R14" s="181"/>
    </row>
    <row r="15" spans="1:22" ht="14.1" customHeight="1" x14ac:dyDescent="0.2">
      <c r="A15" s="142" t="s">
        <v>1205</v>
      </c>
      <c r="B15" s="143" t="s">
        <v>1205</v>
      </c>
      <c r="C15" s="170" t="s">
        <v>1068</v>
      </c>
      <c r="D15" s="143" t="s">
        <v>3480</v>
      </c>
      <c r="E15" s="145" t="s">
        <v>3876</v>
      </c>
      <c r="F15" s="145" t="s">
        <v>3876</v>
      </c>
      <c r="G15" s="143" t="s">
        <v>3488</v>
      </c>
      <c r="H15" s="143" t="s">
        <v>3489</v>
      </c>
      <c r="I15" s="143" t="s">
        <v>312</v>
      </c>
      <c r="J15" s="143" t="s">
        <v>1211</v>
      </c>
      <c r="K15" s="160">
        <v>44651</v>
      </c>
      <c r="L15" s="144">
        <v>63.2</v>
      </c>
      <c r="M15" s="144">
        <v>237.56879999999998</v>
      </c>
      <c r="N15" s="144">
        <v>63.19999</v>
      </c>
      <c r="O15" s="144">
        <v>237.56876241000001</v>
      </c>
      <c r="P15" s="169">
        <v>0.99999984177215195</v>
      </c>
      <c r="Q15" s="172">
        <v>48307</v>
      </c>
      <c r="R15" s="181"/>
    </row>
    <row r="16" spans="1:22" ht="14.1" customHeight="1" x14ac:dyDescent="0.2">
      <c r="A16" s="142" t="s">
        <v>1205</v>
      </c>
      <c r="B16" s="143" t="s">
        <v>1205</v>
      </c>
      <c r="C16" s="170" t="s">
        <v>1068</v>
      </c>
      <c r="D16" s="143" t="s">
        <v>3421</v>
      </c>
      <c r="E16" s="145" t="s">
        <v>3876</v>
      </c>
      <c r="F16" s="145" t="s">
        <v>3876</v>
      </c>
      <c r="G16" s="143" t="s">
        <v>3422</v>
      </c>
      <c r="H16" s="143" t="s">
        <v>3423</v>
      </c>
      <c r="I16" s="143" t="s">
        <v>312</v>
      </c>
      <c r="J16" s="143" t="s">
        <v>1210</v>
      </c>
      <c r="K16" s="160">
        <v>45271</v>
      </c>
      <c r="L16" s="144">
        <v>2152.4989999999998</v>
      </c>
      <c r="M16" s="144">
        <v>2152.4989999999998</v>
      </c>
      <c r="N16" s="144">
        <v>712.33600000000001</v>
      </c>
      <c r="O16" s="144">
        <v>712.33600000000001</v>
      </c>
      <c r="P16" s="169">
        <v>0.33093441622969394</v>
      </c>
      <c r="Q16" s="172">
        <v>46721</v>
      </c>
      <c r="R16" s="181"/>
    </row>
    <row r="17" spans="1:18" ht="14.1" customHeight="1" x14ac:dyDescent="0.2">
      <c r="A17" s="142" t="s">
        <v>1205</v>
      </c>
      <c r="B17" s="143" t="s">
        <v>1205</v>
      </c>
      <c r="C17" s="170" t="s">
        <v>1068</v>
      </c>
      <c r="D17" s="143" t="s">
        <v>3585</v>
      </c>
      <c r="E17" s="145" t="s">
        <v>3876</v>
      </c>
      <c r="F17" s="145" t="s">
        <v>3876</v>
      </c>
      <c r="G17" s="143" t="s">
        <v>3586</v>
      </c>
      <c r="H17" s="143" t="s">
        <v>3587</v>
      </c>
      <c r="I17" s="143" t="s">
        <v>312</v>
      </c>
      <c r="J17" s="143" t="s">
        <v>1211</v>
      </c>
      <c r="K17" s="160">
        <v>45362</v>
      </c>
      <c r="L17" s="144">
        <v>199.24700000000001</v>
      </c>
      <c r="M17" s="144">
        <v>748.96947299999999</v>
      </c>
      <c r="N17" s="144">
        <v>39.850999999999999</v>
      </c>
      <c r="O17" s="144">
        <v>149.79990899999999</v>
      </c>
      <c r="P17" s="169">
        <v>0.20000803023383035</v>
      </c>
      <c r="Q17" s="172">
        <v>48883</v>
      </c>
      <c r="R17" s="181"/>
    </row>
    <row r="18" spans="1:18" ht="14.1" customHeight="1" x14ac:dyDescent="0.2">
      <c r="A18" s="142" t="s">
        <v>1205</v>
      </c>
      <c r="B18" s="143" t="s">
        <v>1205</v>
      </c>
      <c r="C18" s="170" t="s">
        <v>1068</v>
      </c>
      <c r="D18" s="143" t="s">
        <v>3535</v>
      </c>
      <c r="E18" s="145" t="s">
        <v>3876</v>
      </c>
      <c r="F18" s="145" t="s">
        <v>3876</v>
      </c>
      <c r="G18" s="143" t="s">
        <v>3509</v>
      </c>
      <c r="H18" s="143" t="s">
        <v>3536</v>
      </c>
      <c r="I18" s="143" t="s">
        <v>312</v>
      </c>
      <c r="J18" s="143" t="s">
        <v>1211</v>
      </c>
      <c r="K18" s="160">
        <v>45449</v>
      </c>
      <c r="L18" s="144">
        <v>525</v>
      </c>
      <c r="M18" s="144">
        <v>1973.4749999999999</v>
      </c>
      <c r="N18" s="144">
        <v>271.88099999999997</v>
      </c>
      <c r="O18" s="144">
        <v>1022.000679</v>
      </c>
      <c r="P18" s="169">
        <v>0.51786857142857146</v>
      </c>
      <c r="Q18" s="172">
        <v>49101</v>
      </c>
      <c r="R18" s="181"/>
    </row>
    <row r="19" spans="1:18" ht="14.1" customHeight="1" x14ac:dyDescent="0.2">
      <c r="A19" s="142" t="s">
        <v>1205</v>
      </c>
      <c r="B19" s="143" t="s">
        <v>1205</v>
      </c>
      <c r="C19" s="170" t="s">
        <v>1068</v>
      </c>
      <c r="D19" s="143" t="s">
        <v>3325</v>
      </c>
      <c r="E19" s="145" t="s">
        <v>3876</v>
      </c>
      <c r="F19" s="145" t="s">
        <v>3876</v>
      </c>
      <c r="G19" s="143" t="s">
        <v>3326</v>
      </c>
      <c r="H19" s="143" t="s">
        <v>3327</v>
      </c>
      <c r="I19" s="143" t="s">
        <v>312</v>
      </c>
      <c r="J19" s="143" t="s">
        <v>1211</v>
      </c>
      <c r="K19" s="160">
        <v>45370</v>
      </c>
      <c r="L19" s="144">
        <v>429.262</v>
      </c>
      <c r="M19" s="144">
        <v>1613.5958579999999</v>
      </c>
      <c r="N19" s="144">
        <v>127.32899999999999</v>
      </c>
      <c r="O19" s="144">
        <v>478.62971099999999</v>
      </c>
      <c r="P19" s="169">
        <v>0.29662304140594786</v>
      </c>
      <c r="Q19" s="172">
        <v>47093</v>
      </c>
      <c r="R19" s="181"/>
    </row>
    <row r="20" spans="1:18" ht="14.1" customHeight="1" x14ac:dyDescent="0.2">
      <c r="A20" s="142" t="s">
        <v>1205</v>
      </c>
      <c r="B20" s="143" t="s">
        <v>1205</v>
      </c>
      <c r="C20" s="170" t="s">
        <v>1068</v>
      </c>
      <c r="D20" s="143" t="s">
        <v>3551</v>
      </c>
      <c r="E20" s="145" t="s">
        <v>3876</v>
      </c>
      <c r="F20" s="145" t="s">
        <v>3876</v>
      </c>
      <c r="G20" s="143" t="s">
        <v>3552</v>
      </c>
      <c r="H20" s="143" t="s">
        <v>3553</v>
      </c>
      <c r="I20" s="143" t="s">
        <v>312</v>
      </c>
      <c r="J20" s="143" t="s">
        <v>1211</v>
      </c>
      <c r="K20" s="160">
        <v>45140</v>
      </c>
      <c r="L20" s="144">
        <v>291.15100000000001</v>
      </c>
      <c r="M20" s="144">
        <v>1094.4366089999999</v>
      </c>
      <c r="N20" s="144">
        <v>26.202640000000013</v>
      </c>
      <c r="O20" s="144">
        <v>98.495723760000047</v>
      </c>
      <c r="P20" s="169">
        <v>8.9996737088315057E-2</v>
      </c>
      <c r="Q20" s="172">
        <v>46842</v>
      </c>
      <c r="R20" s="181"/>
    </row>
    <row r="21" spans="1:18" ht="14.1" customHeight="1" x14ac:dyDescent="0.2">
      <c r="A21" s="142" t="s">
        <v>1205</v>
      </c>
      <c r="B21" s="143" t="s">
        <v>1205</v>
      </c>
      <c r="C21" s="170" t="s">
        <v>1068</v>
      </c>
      <c r="D21" s="143" t="s">
        <v>3399</v>
      </c>
      <c r="E21" s="145" t="s">
        <v>3876</v>
      </c>
      <c r="F21" s="145" t="s">
        <v>3876</v>
      </c>
      <c r="G21" s="143" t="s">
        <v>3400</v>
      </c>
      <c r="H21" s="143" t="s">
        <v>3401</v>
      </c>
      <c r="I21" s="143" t="s">
        <v>312</v>
      </c>
      <c r="J21" s="143" t="s">
        <v>1211</v>
      </c>
      <c r="K21" s="160">
        <v>45281</v>
      </c>
      <c r="L21" s="144">
        <v>587.47068999999999</v>
      </c>
      <c r="M21" s="144">
        <v>2208.3023237099997</v>
      </c>
      <c r="N21" s="144">
        <v>99.577689999999947</v>
      </c>
      <c r="O21" s="144">
        <v>374.31253670999979</v>
      </c>
      <c r="P21" s="169">
        <v>0.16950239679191478</v>
      </c>
      <c r="Q21" s="173">
        <v>47938</v>
      </c>
      <c r="R21" s="181"/>
    </row>
    <row r="22" spans="1:18" ht="15" x14ac:dyDescent="0.2">
      <c r="A22" s="142" t="s">
        <v>1205</v>
      </c>
      <c r="B22" s="143" t="s">
        <v>1205</v>
      </c>
      <c r="C22" s="170" t="s">
        <v>1068</v>
      </c>
      <c r="D22" s="143" t="s">
        <v>3560</v>
      </c>
      <c r="E22" s="145" t="s">
        <v>3876</v>
      </c>
      <c r="F22" s="145" t="s">
        <v>3876</v>
      </c>
      <c r="G22" s="143" t="s">
        <v>3561</v>
      </c>
      <c r="H22" s="143" t="s">
        <v>3562</v>
      </c>
      <c r="I22" s="143" t="s">
        <v>312</v>
      </c>
      <c r="J22" s="143" t="s">
        <v>1211</v>
      </c>
      <c r="K22" s="163">
        <v>45365</v>
      </c>
      <c r="L22" s="144">
        <v>286.91500000000002</v>
      </c>
      <c r="M22" s="144">
        <v>1078.5134849999999</v>
      </c>
      <c r="N22" s="144">
        <v>137.71919</v>
      </c>
      <c r="O22" s="144">
        <v>517.68643521000001</v>
      </c>
      <c r="P22" s="170">
        <v>0.47999996514647197</v>
      </c>
      <c r="Q22" s="174">
        <v>45688</v>
      </c>
      <c r="R22" s="181"/>
    </row>
    <row r="23" spans="1:18" ht="15" x14ac:dyDescent="0.2">
      <c r="A23" s="142" t="s">
        <v>1205</v>
      </c>
      <c r="B23" s="143" t="s">
        <v>1205</v>
      </c>
      <c r="C23" s="170" t="s">
        <v>1068</v>
      </c>
      <c r="D23" s="143" t="s">
        <v>314</v>
      </c>
      <c r="E23" s="145" t="s">
        <v>3876</v>
      </c>
      <c r="F23" s="145" t="s">
        <v>3876</v>
      </c>
      <c r="G23" s="143" t="s">
        <v>3595</v>
      </c>
      <c r="H23" s="143" t="s">
        <v>3596</v>
      </c>
      <c r="I23" s="143" t="s">
        <v>312</v>
      </c>
      <c r="J23" s="143" t="s">
        <v>1211</v>
      </c>
      <c r="K23" s="163">
        <v>45225</v>
      </c>
      <c r="L23" s="144">
        <v>221.2</v>
      </c>
      <c r="M23" s="144">
        <v>831.49079999999992</v>
      </c>
      <c r="N23" s="144">
        <v>144.69499999999999</v>
      </c>
      <c r="O23" s="144">
        <v>543.90850499999999</v>
      </c>
      <c r="P23" s="170">
        <v>0.65413652802893318</v>
      </c>
      <c r="Q23" s="174">
        <v>49309</v>
      </c>
      <c r="R23" s="181"/>
    </row>
    <row r="24" spans="1:18" ht="15" x14ac:dyDescent="0.2">
      <c r="A24" s="142" t="s">
        <v>1205</v>
      </c>
      <c r="B24" s="143" t="s">
        <v>1205</v>
      </c>
      <c r="C24" s="170" t="s">
        <v>1068</v>
      </c>
      <c r="D24" s="143" t="s">
        <v>3511</v>
      </c>
      <c r="E24" s="145" t="s">
        <v>3876</v>
      </c>
      <c r="F24" s="145" t="s">
        <v>3876</v>
      </c>
      <c r="G24" s="143" t="s">
        <v>3512</v>
      </c>
      <c r="H24" s="143" t="s">
        <v>3513</v>
      </c>
      <c r="I24" s="143" t="s">
        <v>312</v>
      </c>
      <c r="J24" s="143" t="s">
        <v>1211</v>
      </c>
      <c r="K24" s="163">
        <v>45362</v>
      </c>
      <c r="L24" s="144">
        <v>737.75833</v>
      </c>
      <c r="M24" s="144">
        <v>2773.2335624699999</v>
      </c>
      <c r="N24" s="144">
        <v>121.88343999999995</v>
      </c>
      <c r="O24" s="144">
        <v>458.1598509599998</v>
      </c>
      <c r="P24" s="170">
        <v>0.1652078126993157</v>
      </c>
      <c r="Q24" s="174">
        <v>46748</v>
      </c>
      <c r="R24" s="181"/>
    </row>
    <row r="25" spans="1:18" ht="15" x14ac:dyDescent="0.2">
      <c r="A25" s="142" t="s">
        <v>1205</v>
      </c>
      <c r="B25" s="143" t="s">
        <v>1205</v>
      </c>
      <c r="C25" s="170" t="s">
        <v>1068</v>
      </c>
      <c r="D25" s="143" t="s">
        <v>3493</v>
      </c>
      <c r="E25" s="145" t="s">
        <v>3876</v>
      </c>
      <c r="F25" s="145" t="s">
        <v>3876</v>
      </c>
      <c r="G25" s="143" t="s">
        <v>3494</v>
      </c>
      <c r="H25" s="143" t="s">
        <v>3495</v>
      </c>
      <c r="I25" s="143" t="s">
        <v>312</v>
      </c>
      <c r="J25" s="143" t="s">
        <v>1210</v>
      </c>
      <c r="K25" s="163">
        <v>45378</v>
      </c>
      <c r="L25" s="144">
        <v>1106</v>
      </c>
      <c r="M25" s="144">
        <v>1106</v>
      </c>
      <c r="N25" s="144">
        <v>346.024</v>
      </c>
      <c r="O25" s="144">
        <v>346.024</v>
      </c>
      <c r="P25" s="170">
        <v>0.31286075949367087</v>
      </c>
      <c r="Q25" s="174">
        <v>48286</v>
      </c>
      <c r="R25" s="181"/>
    </row>
    <row r="26" spans="1:18" ht="15" x14ac:dyDescent="0.2">
      <c r="A26" s="142" t="s">
        <v>1205</v>
      </c>
      <c r="B26" s="143" t="s">
        <v>1205</v>
      </c>
      <c r="C26" s="170" t="s">
        <v>1068</v>
      </c>
      <c r="D26" s="143" t="s">
        <v>3435</v>
      </c>
      <c r="E26" s="145" t="s">
        <v>3876</v>
      </c>
      <c r="F26" s="145" t="s">
        <v>3876</v>
      </c>
      <c r="G26" s="143" t="s">
        <v>3436</v>
      </c>
      <c r="H26" s="143" t="s">
        <v>3437</v>
      </c>
      <c r="I26" s="143" t="s">
        <v>312</v>
      </c>
      <c r="J26" s="143" t="s">
        <v>1210</v>
      </c>
      <c r="K26" s="163">
        <v>45382</v>
      </c>
      <c r="L26" s="144">
        <v>1580</v>
      </c>
      <c r="M26" s="144">
        <v>1580</v>
      </c>
      <c r="N26" s="144">
        <v>929.74900000000002</v>
      </c>
      <c r="O26" s="144">
        <v>929.74900000000002</v>
      </c>
      <c r="P26" s="170">
        <v>0.58844873417721522</v>
      </c>
      <c r="Q26" s="174">
        <v>48944</v>
      </c>
      <c r="R26" s="181"/>
    </row>
    <row r="27" spans="1:18" ht="15" x14ac:dyDescent="0.2">
      <c r="A27" s="142" t="s">
        <v>1205</v>
      </c>
      <c r="B27" s="143" t="s">
        <v>1205</v>
      </c>
      <c r="C27" s="170" t="s">
        <v>1068</v>
      </c>
      <c r="D27" s="143" t="s">
        <v>3474</v>
      </c>
      <c r="E27" s="145" t="s">
        <v>3876</v>
      </c>
      <c r="F27" s="145" t="s">
        <v>3876</v>
      </c>
      <c r="G27" s="143" t="s">
        <v>3475</v>
      </c>
      <c r="H27" s="143" t="s">
        <v>3476</v>
      </c>
      <c r="I27" s="143" t="s">
        <v>312</v>
      </c>
      <c r="J27" s="143" t="s">
        <v>1213</v>
      </c>
      <c r="K27" s="163">
        <v>45369</v>
      </c>
      <c r="L27" s="144">
        <v>474</v>
      </c>
      <c r="M27" s="144">
        <v>1905.5748000000001</v>
      </c>
      <c r="N27" s="144">
        <v>261.20504999999997</v>
      </c>
      <c r="O27" s="144">
        <v>1050.0965420099999</v>
      </c>
      <c r="P27" s="170">
        <v>0.55106550632911389</v>
      </c>
      <c r="Q27" s="174">
        <v>48884</v>
      </c>
      <c r="R27" s="181"/>
    </row>
    <row r="28" spans="1:18" ht="15" x14ac:dyDescent="0.2">
      <c r="A28" s="142" t="s">
        <v>1205</v>
      </c>
      <c r="B28" s="143" t="s">
        <v>1205</v>
      </c>
      <c r="C28" s="170" t="s">
        <v>1068</v>
      </c>
      <c r="D28" s="143" t="s">
        <v>3252</v>
      </c>
      <c r="E28" s="145" t="s">
        <v>3876</v>
      </c>
      <c r="F28" s="145" t="s">
        <v>3876</v>
      </c>
      <c r="G28" s="143" t="s">
        <v>3253</v>
      </c>
      <c r="H28" s="143" t="s">
        <v>3254</v>
      </c>
      <c r="I28" s="143" t="s">
        <v>312</v>
      </c>
      <c r="J28" s="143" t="s">
        <v>1211</v>
      </c>
      <c r="K28" s="163">
        <v>45316</v>
      </c>
      <c r="L28" s="144">
        <v>316</v>
      </c>
      <c r="M28" s="144">
        <v>1187.8440000000001</v>
      </c>
      <c r="N28" s="144">
        <v>233.05</v>
      </c>
      <c r="O28" s="144">
        <v>876.03494999999998</v>
      </c>
      <c r="P28" s="170">
        <v>0.73749999999999993</v>
      </c>
      <c r="Q28" s="174">
        <v>47515</v>
      </c>
      <c r="R28" s="181"/>
    </row>
    <row r="29" spans="1:18" ht="15" x14ac:dyDescent="0.2">
      <c r="A29" s="142" t="s">
        <v>1205</v>
      </c>
      <c r="B29" s="143" t="s">
        <v>1205</v>
      </c>
      <c r="C29" s="170" t="s">
        <v>1068</v>
      </c>
      <c r="D29" s="143" t="s">
        <v>3354</v>
      </c>
      <c r="E29" s="145" t="s">
        <v>3876</v>
      </c>
      <c r="F29" s="145" t="s">
        <v>3876</v>
      </c>
      <c r="G29" s="143" t="s">
        <v>3355</v>
      </c>
      <c r="H29" s="143" t="s">
        <v>3356</v>
      </c>
      <c r="I29" s="143" t="s">
        <v>312</v>
      </c>
      <c r="J29" s="143" t="s">
        <v>1213</v>
      </c>
      <c r="K29" s="163">
        <v>45369</v>
      </c>
      <c r="L29" s="144">
        <v>474</v>
      </c>
      <c r="M29" s="144">
        <v>1905.5748000000001</v>
      </c>
      <c r="N29" s="144">
        <v>391.60892999999999</v>
      </c>
      <c r="O29" s="144">
        <v>1574.3462203859999</v>
      </c>
      <c r="P29" s="170">
        <v>0.82617917721518974</v>
      </c>
      <c r="Q29" s="174">
        <v>49021</v>
      </c>
      <c r="R29" s="181"/>
    </row>
    <row r="30" spans="1:18" ht="15" x14ac:dyDescent="0.2">
      <c r="A30" s="142" t="s">
        <v>1205</v>
      </c>
      <c r="B30" s="143" t="s">
        <v>1205</v>
      </c>
      <c r="C30" s="170" t="s">
        <v>1068</v>
      </c>
      <c r="D30" s="143" t="s">
        <v>3307</v>
      </c>
      <c r="E30" s="145" t="s">
        <v>3876</v>
      </c>
      <c r="F30" s="145" t="s">
        <v>3876</v>
      </c>
      <c r="G30" s="143" t="s">
        <v>3363</v>
      </c>
      <c r="H30" s="143" t="s">
        <v>3364</v>
      </c>
      <c r="I30" s="143" t="s">
        <v>312</v>
      </c>
      <c r="J30" s="143" t="s">
        <v>1213</v>
      </c>
      <c r="K30" s="163">
        <v>45306</v>
      </c>
      <c r="L30" s="144">
        <v>261.74225000000001</v>
      </c>
      <c r="M30" s="144">
        <v>1052.25619345</v>
      </c>
      <c r="N30" s="144">
        <v>209.51141000000001</v>
      </c>
      <c r="O30" s="144">
        <v>842.27777048199994</v>
      </c>
      <c r="P30" s="170">
        <v>0.80044933517611316</v>
      </c>
      <c r="Q30" s="174">
        <v>50040</v>
      </c>
      <c r="R30" s="181"/>
    </row>
    <row r="31" spans="1:18" ht="15" x14ac:dyDescent="0.2">
      <c r="A31" s="142" t="s">
        <v>1205</v>
      </c>
      <c r="B31" s="143" t="s">
        <v>1205</v>
      </c>
      <c r="C31" s="170" t="s">
        <v>1068</v>
      </c>
      <c r="D31" s="143" t="s">
        <v>3485</v>
      </c>
      <c r="E31" s="145" t="s">
        <v>3876</v>
      </c>
      <c r="F31" s="145" t="s">
        <v>3876</v>
      </c>
      <c r="G31" s="143" t="s">
        <v>3486</v>
      </c>
      <c r="H31" s="143" t="s">
        <v>3487</v>
      </c>
      <c r="I31" s="143" t="s">
        <v>312</v>
      </c>
      <c r="J31" s="143" t="s">
        <v>1210</v>
      </c>
      <c r="K31" s="163">
        <v>45356</v>
      </c>
      <c r="L31" s="144">
        <v>1580</v>
      </c>
      <c r="M31" s="144">
        <v>1580</v>
      </c>
      <c r="N31" s="144">
        <v>1283.098</v>
      </c>
      <c r="O31" s="144">
        <v>1283.098</v>
      </c>
      <c r="P31" s="170">
        <v>0.81208734177215192</v>
      </c>
      <c r="Q31" s="174">
        <v>47848</v>
      </c>
      <c r="R31" s="181"/>
    </row>
    <row r="32" spans="1:18" ht="15" x14ac:dyDescent="0.2">
      <c r="A32" s="142" t="s">
        <v>1205</v>
      </c>
      <c r="B32" s="143" t="s">
        <v>1205</v>
      </c>
      <c r="C32" s="170" t="s">
        <v>1068</v>
      </c>
      <c r="D32" s="143" t="s">
        <v>3340</v>
      </c>
      <c r="E32" s="145" t="s">
        <v>3876</v>
      </c>
      <c r="F32" s="145" t="s">
        <v>3876</v>
      </c>
      <c r="G32" s="143" t="s">
        <v>3341</v>
      </c>
      <c r="H32" s="143" t="s">
        <v>3342</v>
      </c>
      <c r="I32" s="143" t="s">
        <v>312</v>
      </c>
      <c r="J32" s="143" t="s">
        <v>1211</v>
      </c>
      <c r="K32" s="163">
        <v>45342</v>
      </c>
      <c r="L32" s="144">
        <v>480</v>
      </c>
      <c r="M32" s="144">
        <v>1804.32</v>
      </c>
      <c r="N32" s="144">
        <v>336.94200000000001</v>
      </c>
      <c r="O32" s="144">
        <v>1266.5649779999999</v>
      </c>
      <c r="P32" s="170">
        <v>0.70196249999999993</v>
      </c>
      <c r="Q32" s="174">
        <v>48822</v>
      </c>
      <c r="R32" s="181"/>
    </row>
    <row r="33" spans="1:18" ht="15" x14ac:dyDescent="0.2">
      <c r="A33" s="142" t="s">
        <v>1205</v>
      </c>
      <c r="B33" s="143" t="s">
        <v>1205</v>
      </c>
      <c r="C33" s="170" t="s">
        <v>1068</v>
      </c>
      <c r="D33" s="143" t="s">
        <v>3396</v>
      </c>
      <c r="E33" s="145" t="s">
        <v>3876</v>
      </c>
      <c r="F33" s="145" t="s">
        <v>3876</v>
      </c>
      <c r="G33" s="143" t="s">
        <v>3397</v>
      </c>
      <c r="H33" s="143" t="s">
        <v>3398</v>
      </c>
      <c r="I33" s="143" t="s">
        <v>312</v>
      </c>
      <c r="J33" s="143" t="s">
        <v>1211</v>
      </c>
      <c r="K33" s="163">
        <v>45147</v>
      </c>
      <c r="L33" s="144">
        <v>777.70100000000002</v>
      </c>
      <c r="M33" s="144">
        <v>2923.3780589999997</v>
      </c>
      <c r="N33" s="144">
        <v>132.20599999999999</v>
      </c>
      <c r="O33" s="144">
        <v>496.962354</v>
      </c>
      <c r="P33" s="170">
        <v>0.16999592388334334</v>
      </c>
      <c r="Q33" s="174">
        <v>47573</v>
      </c>
      <c r="R33" s="181"/>
    </row>
    <row r="34" spans="1:18" ht="15" x14ac:dyDescent="0.2">
      <c r="A34" s="142" t="s">
        <v>1205</v>
      </c>
      <c r="B34" s="143" t="s">
        <v>1205</v>
      </c>
      <c r="C34" s="170" t="s">
        <v>1068</v>
      </c>
      <c r="D34" s="143" t="s">
        <v>3261</v>
      </c>
      <c r="E34" s="145" t="s">
        <v>3876</v>
      </c>
      <c r="F34" s="145" t="s">
        <v>3876</v>
      </c>
      <c r="G34" s="143" t="s">
        <v>3262</v>
      </c>
      <c r="H34" s="143" t="s">
        <v>3263</v>
      </c>
      <c r="I34" s="143" t="s">
        <v>312</v>
      </c>
      <c r="J34" s="143" t="s">
        <v>1211</v>
      </c>
      <c r="K34" s="163">
        <v>45362</v>
      </c>
      <c r="L34" s="144">
        <v>763.29499999999996</v>
      </c>
      <c r="M34" s="144">
        <v>2869.2259049999998</v>
      </c>
      <c r="N34" s="144">
        <v>175.55600000000001</v>
      </c>
      <c r="O34" s="144">
        <v>659.91500399999995</v>
      </c>
      <c r="P34" s="170">
        <v>0.22999757629749965</v>
      </c>
      <c r="Q34" s="174">
        <v>47483</v>
      </c>
      <c r="R34" s="181"/>
    </row>
    <row r="35" spans="1:18" ht="15" x14ac:dyDescent="0.2">
      <c r="A35" s="142" t="s">
        <v>1205</v>
      </c>
      <c r="B35" s="143" t="s">
        <v>1205</v>
      </c>
      <c r="C35" s="170" t="s">
        <v>1068</v>
      </c>
      <c r="D35" s="143" t="s">
        <v>3554</v>
      </c>
      <c r="E35" s="145" t="s">
        <v>3876</v>
      </c>
      <c r="F35" s="145" t="s">
        <v>3876</v>
      </c>
      <c r="G35" s="143" t="s">
        <v>3555</v>
      </c>
      <c r="H35" s="143" t="s">
        <v>3556</v>
      </c>
      <c r="I35" s="143" t="s">
        <v>312</v>
      </c>
      <c r="J35" s="143" t="s">
        <v>1211</v>
      </c>
      <c r="K35" s="163">
        <v>45369</v>
      </c>
      <c r="L35" s="144">
        <v>317.70999999999998</v>
      </c>
      <c r="M35" s="144">
        <v>1194.27189</v>
      </c>
      <c r="N35" s="144">
        <v>188.703</v>
      </c>
      <c r="O35" s="144">
        <v>709.33457699999997</v>
      </c>
      <c r="P35" s="170">
        <v>0.59394731044033866</v>
      </c>
      <c r="Q35" s="174">
        <v>48286</v>
      </c>
      <c r="R35" s="181"/>
    </row>
    <row r="36" spans="1:18" ht="15" x14ac:dyDescent="0.2">
      <c r="A36" s="142" t="s">
        <v>1205</v>
      </c>
      <c r="B36" s="143" t="s">
        <v>1205</v>
      </c>
      <c r="C36" s="170" t="s">
        <v>1068</v>
      </c>
      <c r="D36" s="143" t="s">
        <v>314</v>
      </c>
      <c r="E36" s="145" t="s">
        <v>3876</v>
      </c>
      <c r="F36" s="145" t="s">
        <v>3876</v>
      </c>
      <c r="G36" s="143" t="s">
        <v>3549</v>
      </c>
      <c r="H36" s="143" t="s">
        <v>3550</v>
      </c>
      <c r="I36" s="143" t="s">
        <v>312</v>
      </c>
      <c r="J36" s="143" t="s">
        <v>1213</v>
      </c>
      <c r="K36" s="163">
        <v>45365</v>
      </c>
      <c r="L36" s="144">
        <v>465.16199999999998</v>
      </c>
      <c r="M36" s="144">
        <v>1870.0442724</v>
      </c>
      <c r="N36" s="144">
        <v>310.33499999999998</v>
      </c>
      <c r="O36" s="144">
        <v>1247.6087669999999</v>
      </c>
      <c r="P36" s="170">
        <v>0.66715466869606721</v>
      </c>
      <c r="Q36" s="174">
        <v>47664</v>
      </c>
      <c r="R36" s="181"/>
    </row>
    <row r="37" spans="1:18" ht="15" x14ac:dyDescent="0.2">
      <c r="A37" s="142" t="s">
        <v>1205</v>
      </c>
      <c r="B37" s="143" t="s">
        <v>1205</v>
      </c>
      <c r="C37" s="170" t="s">
        <v>1068</v>
      </c>
      <c r="D37" s="143" t="s">
        <v>3592</v>
      </c>
      <c r="E37" s="145" t="s">
        <v>3876</v>
      </c>
      <c r="F37" s="145" t="s">
        <v>3876</v>
      </c>
      <c r="G37" s="143" t="s">
        <v>3593</v>
      </c>
      <c r="H37" s="143" t="s">
        <v>3594</v>
      </c>
      <c r="I37" s="143" t="s">
        <v>312</v>
      </c>
      <c r="J37" s="143" t="s">
        <v>1211</v>
      </c>
      <c r="K37" s="163">
        <v>45369</v>
      </c>
      <c r="L37" s="144">
        <v>632</v>
      </c>
      <c r="M37" s="144">
        <v>2375.6880000000001</v>
      </c>
      <c r="N37" s="144">
        <v>530.87999000000002</v>
      </c>
      <c r="O37" s="144">
        <v>1995.5778824099998</v>
      </c>
      <c r="P37" s="170">
        <v>0.83999998417721511</v>
      </c>
      <c r="Q37" s="174">
        <v>49490</v>
      </c>
      <c r="R37" s="181"/>
    </row>
    <row r="38" spans="1:18" ht="15" x14ac:dyDescent="0.2">
      <c r="A38" s="142" t="s">
        <v>1205</v>
      </c>
      <c r="B38" s="143" t="s">
        <v>1205</v>
      </c>
      <c r="C38" s="170" t="s">
        <v>1068</v>
      </c>
      <c r="D38" s="143" t="s">
        <v>3261</v>
      </c>
      <c r="E38" s="145" t="s">
        <v>3876</v>
      </c>
      <c r="F38" s="145" t="s">
        <v>3876</v>
      </c>
      <c r="G38" s="143" t="s">
        <v>3451</v>
      </c>
      <c r="H38" s="143" t="s">
        <v>3452</v>
      </c>
      <c r="I38" s="143" t="s">
        <v>312</v>
      </c>
      <c r="J38" s="143" t="s">
        <v>1211</v>
      </c>
      <c r="K38" s="163">
        <v>45271</v>
      </c>
      <c r="L38" s="144">
        <v>800</v>
      </c>
      <c r="M38" s="144">
        <v>3007.2</v>
      </c>
      <c r="N38" s="144">
        <v>80</v>
      </c>
      <c r="O38" s="144">
        <v>300.72000000000003</v>
      </c>
      <c r="P38" s="170">
        <v>0.1</v>
      </c>
      <c r="Q38" s="174">
        <v>47745</v>
      </c>
      <c r="R38" s="181"/>
    </row>
    <row r="39" spans="1:18" ht="15" x14ac:dyDescent="0.2">
      <c r="A39" s="142" t="s">
        <v>1205</v>
      </c>
      <c r="B39" s="143" t="s">
        <v>1205</v>
      </c>
      <c r="C39" s="170" t="s">
        <v>1068</v>
      </c>
      <c r="D39" s="143" t="s">
        <v>3222</v>
      </c>
      <c r="E39" s="145" t="s">
        <v>3876</v>
      </c>
      <c r="F39" s="145" t="s">
        <v>3876</v>
      </c>
      <c r="G39" s="143" t="s">
        <v>3223</v>
      </c>
      <c r="H39" s="143" t="s">
        <v>3224</v>
      </c>
      <c r="I39" s="143" t="s">
        <v>312</v>
      </c>
      <c r="J39" s="143" t="s">
        <v>1211</v>
      </c>
      <c r="K39" s="163">
        <v>45169</v>
      </c>
      <c r="L39" s="144">
        <v>533.19899999999996</v>
      </c>
      <c r="M39" s="144">
        <v>2004.2950409999999</v>
      </c>
      <c r="N39" s="144">
        <v>101.65300000000001</v>
      </c>
      <c r="O39" s="144">
        <v>382.11362699999995</v>
      </c>
      <c r="P39" s="170">
        <v>0.19064739431244243</v>
      </c>
      <c r="Q39" s="174">
        <v>46265</v>
      </c>
      <c r="R39" s="181"/>
    </row>
    <row r="40" spans="1:18" ht="15" x14ac:dyDescent="0.2">
      <c r="A40" s="142" t="s">
        <v>1205</v>
      </c>
      <c r="B40" s="143" t="s">
        <v>1205</v>
      </c>
      <c r="C40" s="170" t="s">
        <v>1068</v>
      </c>
      <c r="D40" s="143" t="s">
        <v>3543</v>
      </c>
      <c r="E40" s="145" t="s">
        <v>3876</v>
      </c>
      <c r="F40" s="145" t="s">
        <v>3876</v>
      </c>
      <c r="G40" s="143" t="s">
        <v>3544</v>
      </c>
      <c r="H40" s="143" t="s">
        <v>3545</v>
      </c>
      <c r="I40" s="143" t="s">
        <v>312</v>
      </c>
      <c r="J40" s="143" t="s">
        <v>1211</v>
      </c>
      <c r="K40" s="163">
        <v>45250</v>
      </c>
      <c r="L40" s="144">
        <v>439.85899999999998</v>
      </c>
      <c r="M40" s="144">
        <v>1653.429981</v>
      </c>
      <c r="N40" s="144">
        <v>30.334</v>
      </c>
      <c r="O40" s="144">
        <v>114.02550599999999</v>
      </c>
      <c r="P40" s="170">
        <v>6.8963008600483336E-2</v>
      </c>
      <c r="Q40" s="174">
        <v>46965</v>
      </c>
      <c r="R40" s="181"/>
    </row>
    <row r="41" spans="1:18" ht="15" x14ac:dyDescent="0.2">
      <c r="A41" s="142" t="s">
        <v>1205</v>
      </c>
      <c r="B41" s="143" t="s">
        <v>1205</v>
      </c>
      <c r="C41" s="170" t="s">
        <v>1068</v>
      </c>
      <c r="D41" s="143" t="s">
        <v>3349</v>
      </c>
      <c r="E41" s="145" t="s">
        <v>3876</v>
      </c>
      <c r="F41" s="145" t="s">
        <v>3876</v>
      </c>
      <c r="G41" s="143" t="s">
        <v>3350</v>
      </c>
      <c r="H41" s="143" t="s">
        <v>3351</v>
      </c>
      <c r="I41" s="143" t="s">
        <v>312</v>
      </c>
      <c r="J41" s="143" t="s">
        <v>1211</v>
      </c>
      <c r="K41" s="163">
        <v>45257</v>
      </c>
      <c r="L41" s="144">
        <v>230.84299999999999</v>
      </c>
      <c r="M41" s="144">
        <v>867.73883699999999</v>
      </c>
      <c r="N41" s="144">
        <v>39.914619999999992</v>
      </c>
      <c r="O41" s="144">
        <v>150.03905657999996</v>
      </c>
      <c r="P41" s="170">
        <v>0.17290808038363734</v>
      </c>
      <c r="Q41" s="174">
        <v>46752</v>
      </c>
      <c r="R41" s="181"/>
    </row>
    <row r="42" spans="1:18" ht="15" x14ac:dyDescent="0.2">
      <c r="A42" s="142" t="s">
        <v>1205</v>
      </c>
      <c r="B42" s="143" t="s">
        <v>1205</v>
      </c>
      <c r="C42" s="170" t="s">
        <v>1068</v>
      </c>
      <c r="D42" s="143" t="s">
        <v>3334</v>
      </c>
      <c r="E42" s="145" t="s">
        <v>3876</v>
      </c>
      <c r="F42" s="145" t="s">
        <v>3876</v>
      </c>
      <c r="G42" s="143" t="s">
        <v>3335</v>
      </c>
      <c r="H42" s="143" t="s">
        <v>3336</v>
      </c>
      <c r="I42" s="143" t="s">
        <v>312</v>
      </c>
      <c r="J42" s="143" t="s">
        <v>1211</v>
      </c>
      <c r="K42" s="163">
        <v>45362</v>
      </c>
      <c r="L42" s="144">
        <v>160</v>
      </c>
      <c r="M42" s="144">
        <v>601.44000000000005</v>
      </c>
      <c r="N42" s="144">
        <v>15.2</v>
      </c>
      <c r="O42" s="144">
        <v>57.136799999999994</v>
      </c>
      <c r="P42" s="170">
        <v>9.4999999999999987E-2</v>
      </c>
      <c r="Q42" s="174">
        <v>47073</v>
      </c>
      <c r="R42" s="181"/>
    </row>
    <row r="43" spans="1:18" ht="15" x14ac:dyDescent="0.2">
      <c r="A43" s="142" t="s">
        <v>1205</v>
      </c>
      <c r="B43" s="143" t="s">
        <v>1205</v>
      </c>
      <c r="C43" s="170" t="s">
        <v>1068</v>
      </c>
      <c r="D43" s="143" t="s">
        <v>3240</v>
      </c>
      <c r="E43" s="145" t="s">
        <v>3876</v>
      </c>
      <c r="F43" s="145" t="s">
        <v>3876</v>
      </c>
      <c r="G43" s="143" t="s">
        <v>3241</v>
      </c>
      <c r="H43" s="143" t="s">
        <v>3242</v>
      </c>
      <c r="I43" s="143" t="s">
        <v>312</v>
      </c>
      <c r="J43" s="143" t="s">
        <v>1210</v>
      </c>
      <c r="K43" s="163">
        <v>45341</v>
      </c>
      <c r="L43" s="144">
        <v>2091.52</v>
      </c>
      <c r="M43" s="144">
        <v>2091.52</v>
      </c>
      <c r="N43" s="144">
        <v>1568.347</v>
      </c>
      <c r="O43" s="144">
        <v>1568.347</v>
      </c>
      <c r="P43" s="170">
        <v>0.74985991049571599</v>
      </c>
      <c r="Q43" s="174">
        <v>48290</v>
      </c>
      <c r="R43" s="181"/>
    </row>
    <row r="44" spans="1:18" ht="15" x14ac:dyDescent="0.2">
      <c r="A44" s="142" t="s">
        <v>1205</v>
      </c>
      <c r="B44" s="143" t="s">
        <v>1205</v>
      </c>
      <c r="C44" s="170" t="s">
        <v>1068</v>
      </c>
      <c r="D44" s="143" t="s">
        <v>3258</v>
      </c>
      <c r="E44" s="145" t="s">
        <v>3876</v>
      </c>
      <c r="F44" s="145" t="s">
        <v>3876</v>
      </c>
      <c r="G44" s="143" t="s">
        <v>3259</v>
      </c>
      <c r="H44" s="143" t="s">
        <v>3260</v>
      </c>
      <c r="I44" s="143" t="s">
        <v>312</v>
      </c>
      <c r="J44" s="143" t="s">
        <v>1211</v>
      </c>
      <c r="K44" s="163">
        <v>44993</v>
      </c>
      <c r="L44" s="144">
        <v>379.13706000000002</v>
      </c>
      <c r="M44" s="144">
        <v>1425.1762085400001</v>
      </c>
      <c r="N44" s="144">
        <v>11.099529999999969</v>
      </c>
      <c r="O44" s="144">
        <v>41.723133269999884</v>
      </c>
      <c r="P44" s="170">
        <v>2.9275771669485352E-2</v>
      </c>
      <c r="Q44" s="174">
        <v>46842</v>
      </c>
      <c r="R44" s="181"/>
    </row>
    <row r="45" spans="1:18" ht="15" x14ac:dyDescent="0.2">
      <c r="A45" s="142" t="s">
        <v>1205</v>
      </c>
      <c r="B45" s="143" t="s">
        <v>1205</v>
      </c>
      <c r="C45" s="170" t="s">
        <v>1068</v>
      </c>
      <c r="D45" s="143" t="s">
        <v>3228</v>
      </c>
      <c r="E45" s="145" t="s">
        <v>3876</v>
      </c>
      <c r="F45" s="145" t="s">
        <v>3876</v>
      </c>
      <c r="G45" s="143" t="s">
        <v>3229</v>
      </c>
      <c r="H45" s="143" t="s">
        <v>3230</v>
      </c>
      <c r="I45" s="143" t="s">
        <v>312</v>
      </c>
      <c r="J45" s="143" t="s">
        <v>1211</v>
      </c>
      <c r="K45" s="163">
        <v>45216</v>
      </c>
      <c r="L45" s="144">
        <v>458.536</v>
      </c>
      <c r="M45" s="144">
        <v>1723.6368239999999</v>
      </c>
      <c r="N45" s="144">
        <v>130.66800000000001</v>
      </c>
      <c r="O45" s="144">
        <v>491.18101200000001</v>
      </c>
      <c r="P45" s="170">
        <v>0.284967810597205</v>
      </c>
      <c r="Q45" s="174">
        <v>46934</v>
      </c>
      <c r="R45" s="181"/>
    </row>
    <row r="46" spans="1:18" ht="15" x14ac:dyDescent="0.2">
      <c r="A46" s="142" t="s">
        <v>1205</v>
      </c>
      <c r="B46" s="143" t="s">
        <v>1205</v>
      </c>
      <c r="C46" s="170" t="s">
        <v>1068</v>
      </c>
      <c r="D46" s="143" t="s">
        <v>3459</v>
      </c>
      <c r="E46" s="145" t="s">
        <v>3876</v>
      </c>
      <c r="F46" s="145" t="s">
        <v>3876</v>
      </c>
      <c r="G46" s="143" t="s">
        <v>3460</v>
      </c>
      <c r="H46" s="143" t="s">
        <v>3461</v>
      </c>
      <c r="I46" s="143" t="s">
        <v>312</v>
      </c>
      <c r="J46" s="143" t="s">
        <v>1213</v>
      </c>
      <c r="K46" s="163">
        <v>44816</v>
      </c>
      <c r="L46" s="144">
        <v>615.72400000000005</v>
      </c>
      <c r="M46" s="144">
        <v>2475.3336248000001</v>
      </c>
      <c r="N46" s="144">
        <v>44.538420000000045</v>
      </c>
      <c r="O46" s="144">
        <v>179.05335608400017</v>
      </c>
      <c r="P46" s="170">
        <v>7.233503972559141E-2</v>
      </c>
      <c r="Q46" s="174">
        <v>46568</v>
      </c>
      <c r="R46" s="181"/>
    </row>
    <row r="47" spans="1:18" ht="15" x14ac:dyDescent="0.2">
      <c r="A47" s="142" t="s">
        <v>1205</v>
      </c>
      <c r="B47" s="143" t="s">
        <v>1205</v>
      </c>
      <c r="C47" s="170" t="s">
        <v>1068</v>
      </c>
      <c r="D47" s="143" t="s">
        <v>3468</v>
      </c>
      <c r="E47" s="145" t="s">
        <v>3876</v>
      </c>
      <c r="F47" s="145" t="s">
        <v>3876</v>
      </c>
      <c r="G47" s="143" t="s">
        <v>3469</v>
      </c>
      <c r="H47" s="143" t="s">
        <v>3470</v>
      </c>
      <c r="I47" s="143" t="s">
        <v>312</v>
      </c>
      <c r="J47" s="143" t="s">
        <v>1211</v>
      </c>
      <c r="K47" s="163">
        <v>45342</v>
      </c>
      <c r="L47" s="144">
        <v>328.92</v>
      </c>
      <c r="M47" s="144">
        <v>1236.4102800000001</v>
      </c>
      <c r="N47" s="144">
        <v>33.869999999999997</v>
      </c>
      <c r="O47" s="144">
        <v>127.31733</v>
      </c>
      <c r="P47" s="170">
        <v>0.10297336738416636</v>
      </c>
      <c r="Q47" s="174">
        <v>47848</v>
      </c>
      <c r="R47" s="181"/>
    </row>
    <row r="48" spans="1:18" ht="15" x14ac:dyDescent="0.2">
      <c r="A48" s="142" t="s">
        <v>1205</v>
      </c>
      <c r="B48" s="143" t="s">
        <v>1205</v>
      </c>
      <c r="C48" s="170" t="s">
        <v>1068</v>
      </c>
      <c r="D48" s="143" t="s">
        <v>3246</v>
      </c>
      <c r="E48" s="145" t="s">
        <v>3876</v>
      </c>
      <c r="F48" s="145" t="s">
        <v>3876</v>
      </c>
      <c r="G48" s="143" t="s">
        <v>3247</v>
      </c>
      <c r="H48" s="143" t="s">
        <v>3248</v>
      </c>
      <c r="I48" s="143" t="s">
        <v>312</v>
      </c>
      <c r="J48" s="143" t="s">
        <v>1211</v>
      </c>
      <c r="K48" s="163">
        <v>45215</v>
      </c>
      <c r="L48" s="144">
        <v>474</v>
      </c>
      <c r="M48" s="144">
        <v>1781.7660000000001</v>
      </c>
      <c r="N48" s="144">
        <v>367.35</v>
      </c>
      <c r="O48" s="144">
        <v>1380.8686499999999</v>
      </c>
      <c r="P48" s="170">
        <v>0.77499999999999991</v>
      </c>
      <c r="Q48" s="174">
        <v>48869</v>
      </c>
      <c r="R48" s="181"/>
    </row>
    <row r="49" spans="1:18" ht="15" x14ac:dyDescent="0.2">
      <c r="A49" s="142" t="s">
        <v>1205</v>
      </c>
      <c r="B49" s="143" t="s">
        <v>1205</v>
      </c>
      <c r="C49" s="170" t="s">
        <v>1068</v>
      </c>
      <c r="D49" s="143" t="s">
        <v>3441</v>
      </c>
      <c r="E49" s="145" t="s">
        <v>3876</v>
      </c>
      <c r="F49" s="145" t="s">
        <v>3876</v>
      </c>
      <c r="G49" s="143" t="s">
        <v>3442</v>
      </c>
      <c r="H49" s="143" t="s">
        <v>3443</v>
      </c>
      <c r="I49" s="143" t="s">
        <v>312</v>
      </c>
      <c r="J49" s="143" t="s">
        <v>1210</v>
      </c>
      <c r="K49" s="163">
        <v>44938</v>
      </c>
      <c r="L49" s="144">
        <v>1107.7021499999998</v>
      </c>
      <c r="M49" s="144">
        <v>1107.7021499999998</v>
      </c>
      <c r="N49" s="144">
        <v>83.097149999999914</v>
      </c>
      <c r="O49" s="144">
        <v>83.097149999999914</v>
      </c>
      <c r="P49" s="170">
        <v>7.5017593854087863E-2</v>
      </c>
      <c r="Q49" s="174">
        <v>45838</v>
      </c>
      <c r="R49" s="181"/>
    </row>
    <row r="50" spans="1:18" ht="15" x14ac:dyDescent="0.2">
      <c r="A50" s="142" t="s">
        <v>1205</v>
      </c>
      <c r="B50" s="143" t="s">
        <v>1205</v>
      </c>
      <c r="C50" s="170" t="s">
        <v>1068</v>
      </c>
      <c r="D50" s="143" t="s">
        <v>3438</v>
      </c>
      <c r="E50" s="145" t="s">
        <v>3876</v>
      </c>
      <c r="F50" s="145" t="s">
        <v>3876</v>
      </c>
      <c r="G50" s="143" t="s">
        <v>3439</v>
      </c>
      <c r="H50" s="143" t="s">
        <v>3440</v>
      </c>
      <c r="I50" s="143" t="s">
        <v>312</v>
      </c>
      <c r="J50" s="143" t="s">
        <v>1210</v>
      </c>
      <c r="K50" s="163">
        <v>45350</v>
      </c>
      <c r="L50" s="144">
        <v>1580</v>
      </c>
      <c r="M50" s="144">
        <v>1580</v>
      </c>
      <c r="N50" s="144">
        <v>1106</v>
      </c>
      <c r="O50" s="144">
        <v>1106</v>
      </c>
      <c r="P50" s="170">
        <v>0.7</v>
      </c>
      <c r="Q50" s="174">
        <v>48944</v>
      </c>
      <c r="R50" s="181"/>
    </row>
    <row r="51" spans="1:18" ht="15" x14ac:dyDescent="0.2">
      <c r="A51" s="142" t="s">
        <v>1205</v>
      </c>
      <c r="B51" s="143" t="s">
        <v>1205</v>
      </c>
      <c r="C51" s="170" t="s">
        <v>1068</v>
      </c>
      <c r="D51" s="143" t="s">
        <v>3597</v>
      </c>
      <c r="E51" s="145" t="s">
        <v>3876</v>
      </c>
      <c r="F51" s="145" t="s">
        <v>3876</v>
      </c>
      <c r="G51" s="143" t="s">
        <v>3598</v>
      </c>
      <c r="H51" s="143" t="s">
        <v>3599</v>
      </c>
      <c r="I51" s="143" t="s">
        <v>312</v>
      </c>
      <c r="J51" s="143" t="s">
        <v>1211</v>
      </c>
      <c r="K51" s="163">
        <v>44462</v>
      </c>
      <c r="L51" s="144">
        <v>125.00000034246575</v>
      </c>
      <c r="M51" s="144">
        <v>469.8750012873287</v>
      </c>
      <c r="N51" s="144">
        <v>33.750000342465746</v>
      </c>
      <c r="O51" s="144">
        <v>126.86625128732875</v>
      </c>
      <c r="P51" s="170">
        <v>0.27000000199999996</v>
      </c>
      <c r="Q51" s="174">
        <v>46009</v>
      </c>
      <c r="R51" s="181"/>
    </row>
    <row r="52" spans="1:18" ht="15" x14ac:dyDescent="0.2">
      <c r="A52" s="142" t="s">
        <v>1205</v>
      </c>
      <c r="B52" s="143" t="s">
        <v>1205</v>
      </c>
      <c r="C52" s="170" t="s">
        <v>1068</v>
      </c>
      <c r="D52" s="143" t="s">
        <v>3471</v>
      </c>
      <c r="E52" s="145" t="s">
        <v>3876</v>
      </c>
      <c r="F52" s="145" t="s">
        <v>3876</v>
      </c>
      <c r="G52" s="143" t="s">
        <v>3472</v>
      </c>
      <c r="H52" s="143" t="s">
        <v>3473</v>
      </c>
      <c r="I52" s="143" t="s">
        <v>312</v>
      </c>
      <c r="J52" s="143" t="s">
        <v>1211</v>
      </c>
      <c r="K52" s="163">
        <v>45054</v>
      </c>
      <c r="L52" s="144">
        <v>640</v>
      </c>
      <c r="M52" s="144">
        <v>2405.7600000000002</v>
      </c>
      <c r="N52" s="144">
        <v>359.03471000000002</v>
      </c>
      <c r="O52" s="144">
        <v>1349.61147489</v>
      </c>
      <c r="P52" s="170">
        <v>0.56099173437499994</v>
      </c>
      <c r="Q52" s="174">
        <v>47299</v>
      </c>
      <c r="R52" s="181"/>
    </row>
    <row r="53" spans="1:18" ht="15" x14ac:dyDescent="0.2">
      <c r="A53" s="142" t="s">
        <v>1205</v>
      </c>
      <c r="B53" s="143" t="s">
        <v>1205</v>
      </c>
      <c r="C53" s="170" t="s">
        <v>1068</v>
      </c>
      <c r="D53" s="143" t="s">
        <v>3456</v>
      </c>
      <c r="E53" s="145" t="s">
        <v>3876</v>
      </c>
      <c r="F53" s="145" t="s">
        <v>3876</v>
      </c>
      <c r="G53" s="143" t="s">
        <v>3457</v>
      </c>
      <c r="H53" s="143" t="s">
        <v>3458</v>
      </c>
      <c r="I53" s="143" t="s">
        <v>312</v>
      </c>
      <c r="J53" s="143" t="s">
        <v>1213</v>
      </c>
      <c r="K53" s="163">
        <v>45203</v>
      </c>
      <c r="L53" s="144">
        <v>478.01</v>
      </c>
      <c r="M53" s="144">
        <v>1921.695802</v>
      </c>
      <c r="N53" s="144">
        <v>68.826409999999981</v>
      </c>
      <c r="O53" s="144">
        <v>276.69593348199993</v>
      </c>
      <c r="P53" s="170">
        <v>0.14398529319470299</v>
      </c>
      <c r="Q53" s="174">
        <v>46265</v>
      </c>
      <c r="R53" s="181"/>
    </row>
    <row r="54" spans="1:18" ht="15" x14ac:dyDescent="0.2">
      <c r="A54" s="142" t="s">
        <v>1205</v>
      </c>
      <c r="B54" s="143" t="s">
        <v>1205</v>
      </c>
      <c r="C54" s="170" t="s">
        <v>1068</v>
      </c>
      <c r="D54" s="143" t="s">
        <v>3505</v>
      </c>
      <c r="E54" s="145" t="s">
        <v>3876</v>
      </c>
      <c r="F54" s="145" t="s">
        <v>3876</v>
      </c>
      <c r="G54" s="143" t="s">
        <v>3506</v>
      </c>
      <c r="H54" s="143" t="s">
        <v>3507</v>
      </c>
      <c r="I54" s="143" t="s">
        <v>312</v>
      </c>
      <c r="J54" s="143" t="s">
        <v>1211</v>
      </c>
      <c r="K54" s="163">
        <v>45362</v>
      </c>
      <c r="L54" s="144">
        <v>756.35299999999995</v>
      </c>
      <c r="M54" s="144">
        <v>2843.1309270000002</v>
      </c>
      <c r="N54" s="144">
        <v>94.518430000000052</v>
      </c>
      <c r="O54" s="144">
        <v>355.29477837000019</v>
      </c>
      <c r="P54" s="170">
        <v>0.12496602776745785</v>
      </c>
      <c r="Q54" s="174">
        <v>47360</v>
      </c>
      <c r="R54" s="181"/>
    </row>
    <row r="55" spans="1:18" ht="15" x14ac:dyDescent="0.2">
      <c r="A55" s="142" t="s">
        <v>1205</v>
      </c>
      <c r="B55" s="143" t="s">
        <v>1205</v>
      </c>
      <c r="C55" s="170" t="s">
        <v>1068</v>
      </c>
      <c r="D55" s="143" t="s">
        <v>3261</v>
      </c>
      <c r="E55" s="145" t="s">
        <v>3876</v>
      </c>
      <c r="F55" s="145" t="s">
        <v>3876</v>
      </c>
      <c r="G55" s="143" t="s">
        <v>3352</v>
      </c>
      <c r="H55" s="143" t="s">
        <v>3353</v>
      </c>
      <c r="I55" s="143" t="s">
        <v>312</v>
      </c>
      <c r="J55" s="143" t="s">
        <v>1211</v>
      </c>
      <c r="K55" s="163">
        <v>45371</v>
      </c>
      <c r="L55" s="144">
        <v>525</v>
      </c>
      <c r="M55" s="144">
        <v>1973.4749999999999</v>
      </c>
      <c r="N55" s="144">
        <v>425.25</v>
      </c>
      <c r="O55" s="144">
        <v>1598.51475</v>
      </c>
      <c r="P55" s="170">
        <v>0.81</v>
      </c>
      <c r="Q55" s="174">
        <v>49023</v>
      </c>
      <c r="R55" s="181"/>
    </row>
    <row r="56" spans="1:18" ht="15" x14ac:dyDescent="0.2">
      <c r="A56" s="142" t="s">
        <v>1205</v>
      </c>
      <c r="B56" s="143" t="s">
        <v>1205</v>
      </c>
      <c r="C56" s="170" t="s">
        <v>1068</v>
      </c>
      <c r="D56" s="143" t="s">
        <v>3514</v>
      </c>
      <c r="E56" s="145" t="s">
        <v>3876</v>
      </c>
      <c r="F56" s="145" t="s">
        <v>3876</v>
      </c>
      <c r="G56" s="143" t="s">
        <v>3515</v>
      </c>
      <c r="H56" s="143" t="s">
        <v>3516</v>
      </c>
      <c r="I56" s="143" t="s">
        <v>312</v>
      </c>
      <c r="J56" s="143" t="s">
        <v>1211</v>
      </c>
      <c r="K56" s="163">
        <v>45187</v>
      </c>
      <c r="L56" s="144">
        <v>626.04399999999998</v>
      </c>
      <c r="M56" s="144">
        <v>2353.2993959999999</v>
      </c>
      <c r="N56" s="144">
        <v>143.86340000000001</v>
      </c>
      <c r="O56" s="144">
        <v>540.7825206</v>
      </c>
      <c r="P56" s="170">
        <v>0.22979758611215831</v>
      </c>
      <c r="Q56" s="174">
        <v>46142</v>
      </c>
      <c r="R56" s="181"/>
    </row>
    <row r="57" spans="1:18" ht="15" x14ac:dyDescent="0.2">
      <c r="A57" s="142" t="s">
        <v>1205</v>
      </c>
      <c r="B57" s="143" t="s">
        <v>1205</v>
      </c>
      <c r="C57" s="170" t="s">
        <v>1068</v>
      </c>
      <c r="D57" s="143" t="s">
        <v>3532</v>
      </c>
      <c r="E57" s="145" t="s">
        <v>3876</v>
      </c>
      <c r="F57" s="145" t="s">
        <v>3876</v>
      </c>
      <c r="G57" s="143" t="s">
        <v>3533</v>
      </c>
      <c r="H57" s="143" t="s">
        <v>3534</v>
      </c>
      <c r="I57" s="143" t="s">
        <v>312</v>
      </c>
      <c r="J57" s="143" t="s">
        <v>1211</v>
      </c>
      <c r="K57" s="163">
        <v>45322</v>
      </c>
      <c r="L57" s="144">
        <v>350</v>
      </c>
      <c r="M57" s="144">
        <v>1315.65</v>
      </c>
      <c r="N57" s="144">
        <v>98.980999999999995</v>
      </c>
      <c r="O57" s="144">
        <v>372.06957899999998</v>
      </c>
      <c r="P57" s="170">
        <v>0.28280285714285713</v>
      </c>
      <c r="Q57" s="174">
        <v>48884</v>
      </c>
      <c r="R57" s="181"/>
    </row>
    <row r="58" spans="1:18" ht="15" x14ac:dyDescent="0.2">
      <c r="A58" s="142" t="s">
        <v>1205</v>
      </c>
      <c r="B58" s="143" t="s">
        <v>1205</v>
      </c>
      <c r="C58" s="170" t="s">
        <v>1068</v>
      </c>
      <c r="D58" s="143" t="s">
        <v>3490</v>
      </c>
      <c r="E58" s="145" t="s">
        <v>3876</v>
      </c>
      <c r="F58" s="145" t="s">
        <v>3876</v>
      </c>
      <c r="G58" s="143" t="s">
        <v>3498</v>
      </c>
      <c r="H58" s="143" t="s">
        <v>3499</v>
      </c>
      <c r="I58" s="143" t="s">
        <v>312</v>
      </c>
      <c r="J58" s="143" t="s">
        <v>1210</v>
      </c>
      <c r="K58" s="163">
        <v>45250</v>
      </c>
      <c r="L58" s="144">
        <v>2212</v>
      </c>
      <c r="M58" s="144">
        <v>2212</v>
      </c>
      <c r="N58" s="144">
        <v>2198.299</v>
      </c>
      <c r="O58" s="144">
        <v>2198.299</v>
      </c>
      <c r="P58" s="170">
        <v>0.99380605786618448</v>
      </c>
      <c r="Q58" s="174">
        <v>48913</v>
      </c>
      <c r="R58" s="181"/>
    </row>
    <row r="59" spans="1:18" ht="15" x14ac:dyDescent="0.2">
      <c r="A59" s="142" t="s">
        <v>1205</v>
      </c>
      <c r="B59" s="143" t="s">
        <v>1205</v>
      </c>
      <c r="C59" s="170" t="s">
        <v>1068</v>
      </c>
      <c r="D59" s="143" t="s">
        <v>3264</v>
      </c>
      <c r="E59" s="145" t="s">
        <v>3876</v>
      </c>
      <c r="F59" s="145" t="s">
        <v>3876</v>
      </c>
      <c r="G59" s="143" t="s">
        <v>3281</v>
      </c>
      <c r="H59" s="143" t="s">
        <v>3282</v>
      </c>
      <c r="I59" s="143" t="s">
        <v>312</v>
      </c>
      <c r="J59" s="143" t="s">
        <v>1211</v>
      </c>
      <c r="K59" s="163">
        <v>45298</v>
      </c>
      <c r="L59" s="144">
        <v>771.72400000000005</v>
      </c>
      <c r="M59" s="144">
        <v>2900.9105159999999</v>
      </c>
      <c r="N59" s="144">
        <v>329.23099999999999</v>
      </c>
      <c r="O59" s="144">
        <v>1237.5793289999999</v>
      </c>
      <c r="P59" s="170">
        <v>0.42661754720599593</v>
      </c>
      <c r="Q59" s="174">
        <v>47907</v>
      </c>
      <c r="R59" s="181"/>
    </row>
    <row r="60" spans="1:18" ht="15" x14ac:dyDescent="0.2">
      <c r="A60" s="142" t="s">
        <v>1205</v>
      </c>
      <c r="B60" s="143" t="s">
        <v>1205</v>
      </c>
      <c r="C60" s="170" t="s">
        <v>1068</v>
      </c>
      <c r="D60" s="143" t="s">
        <v>3310</v>
      </c>
      <c r="E60" s="145" t="s">
        <v>3876</v>
      </c>
      <c r="F60" s="145" t="s">
        <v>3876</v>
      </c>
      <c r="G60" s="143" t="s">
        <v>3311</v>
      </c>
      <c r="H60" s="143" t="s">
        <v>3312</v>
      </c>
      <c r="I60" s="143" t="s">
        <v>312</v>
      </c>
      <c r="J60" s="143" t="s">
        <v>1213</v>
      </c>
      <c r="K60" s="163">
        <v>45356</v>
      </c>
      <c r="L60" s="144">
        <v>384</v>
      </c>
      <c r="M60" s="144">
        <v>1543.7568000000001</v>
      </c>
      <c r="N60" s="144">
        <v>161.28</v>
      </c>
      <c r="O60" s="144">
        <v>648.37785600000007</v>
      </c>
      <c r="P60" s="170">
        <v>0.42</v>
      </c>
      <c r="Q60" s="174">
        <v>48265</v>
      </c>
      <c r="R60" s="181"/>
    </row>
    <row r="61" spans="1:18" ht="15" x14ac:dyDescent="0.2">
      <c r="A61" s="142" t="s">
        <v>1205</v>
      </c>
      <c r="B61" s="143" t="s">
        <v>1205</v>
      </c>
      <c r="C61" s="170" t="s">
        <v>1068</v>
      </c>
      <c r="D61" s="143" t="s">
        <v>314</v>
      </c>
      <c r="E61" s="145" t="s">
        <v>3876</v>
      </c>
      <c r="F61" s="145" t="s">
        <v>3876</v>
      </c>
      <c r="G61" s="143" t="s">
        <v>3569</v>
      </c>
      <c r="H61" s="143" t="s">
        <v>3570</v>
      </c>
      <c r="I61" s="143" t="s">
        <v>312</v>
      </c>
      <c r="J61" s="143" t="s">
        <v>1211</v>
      </c>
      <c r="K61" s="163">
        <v>45316</v>
      </c>
      <c r="L61" s="144">
        <v>947.39475000000004</v>
      </c>
      <c r="M61" s="144">
        <v>3561.2568652499999</v>
      </c>
      <c r="N61" s="144">
        <v>203.63525000000001</v>
      </c>
      <c r="O61" s="144">
        <v>765.46490474999996</v>
      </c>
      <c r="P61" s="170">
        <v>0.21494234583841637</v>
      </c>
      <c r="Q61" s="174">
        <v>47422</v>
      </c>
      <c r="R61" s="181"/>
    </row>
    <row r="62" spans="1:18" ht="15" x14ac:dyDescent="0.2">
      <c r="A62" s="142" t="s">
        <v>1205</v>
      </c>
      <c r="B62" s="143" t="s">
        <v>1205</v>
      </c>
      <c r="C62" s="170" t="s">
        <v>1068</v>
      </c>
      <c r="D62" s="143" t="s">
        <v>3313</v>
      </c>
      <c r="E62" s="145" t="s">
        <v>3876</v>
      </c>
      <c r="F62" s="145" t="s">
        <v>3876</v>
      </c>
      <c r="G62" s="143" t="s">
        <v>3314</v>
      </c>
      <c r="H62" s="143" t="s">
        <v>3315</v>
      </c>
      <c r="I62" s="143" t="s">
        <v>312</v>
      </c>
      <c r="J62" s="143" t="s">
        <v>1213</v>
      </c>
      <c r="K62" s="163">
        <v>44893</v>
      </c>
      <c r="L62" s="144">
        <v>323.57382195616543</v>
      </c>
      <c r="M62" s="144">
        <v>1300.8314790281763</v>
      </c>
      <c r="N62" s="144">
        <v>25.01947195616545</v>
      </c>
      <c r="O62" s="144">
        <v>100.58328115817633</v>
      </c>
      <c r="P62" s="170">
        <v>7.732229945213194E-2</v>
      </c>
      <c r="Q62" s="174">
        <v>46965</v>
      </c>
      <c r="R62" s="181"/>
    </row>
    <row r="63" spans="1:18" ht="15" x14ac:dyDescent="0.2">
      <c r="A63" s="142" t="s">
        <v>1205</v>
      </c>
      <c r="B63" s="143" t="s">
        <v>1205</v>
      </c>
      <c r="C63" s="170" t="s">
        <v>1068</v>
      </c>
      <c r="D63" s="143" t="s">
        <v>3267</v>
      </c>
      <c r="E63" s="145" t="s">
        <v>3876</v>
      </c>
      <c r="F63" s="145" t="s">
        <v>3876</v>
      </c>
      <c r="G63" s="143" t="s">
        <v>3268</v>
      </c>
      <c r="H63" s="143" t="s">
        <v>3269</v>
      </c>
      <c r="I63" s="143" t="s">
        <v>312</v>
      </c>
      <c r="J63" s="143" t="s">
        <v>1211</v>
      </c>
      <c r="K63" s="163">
        <v>44706</v>
      </c>
      <c r="L63" s="144">
        <v>388.78376502731788</v>
      </c>
      <c r="M63" s="144">
        <v>1461.4381727376879</v>
      </c>
      <c r="N63" s="144">
        <v>10.617585027317865</v>
      </c>
      <c r="O63" s="144">
        <v>39.91150211768786</v>
      </c>
      <c r="P63" s="170">
        <v>2.7309743827836592E-2</v>
      </c>
      <c r="Q63" s="174">
        <v>47542</v>
      </c>
      <c r="R63" s="181"/>
    </row>
    <row r="64" spans="1:18" ht="15" x14ac:dyDescent="0.2">
      <c r="A64" s="142" t="s">
        <v>1205</v>
      </c>
      <c r="B64" s="143" t="s">
        <v>1205</v>
      </c>
      <c r="C64" s="170" t="s">
        <v>1068</v>
      </c>
      <c r="D64" s="143" t="s">
        <v>3264</v>
      </c>
      <c r="E64" s="145" t="s">
        <v>3876</v>
      </c>
      <c r="F64" s="145" t="s">
        <v>3876</v>
      </c>
      <c r="G64" s="143" t="s">
        <v>3276</v>
      </c>
      <c r="H64" s="143" t="s">
        <v>3277</v>
      </c>
      <c r="I64" s="143" t="s">
        <v>312</v>
      </c>
      <c r="J64" s="143" t="s">
        <v>1211</v>
      </c>
      <c r="K64" s="163">
        <v>45316</v>
      </c>
      <c r="L64" s="144">
        <v>591.11800000000005</v>
      </c>
      <c r="M64" s="144">
        <v>2222.0125619999999</v>
      </c>
      <c r="N64" s="144">
        <v>107.32</v>
      </c>
      <c r="O64" s="144">
        <v>403.41588000000002</v>
      </c>
      <c r="P64" s="170">
        <v>0.18155427511935013</v>
      </c>
      <c r="Q64" s="174">
        <v>49096</v>
      </c>
      <c r="R64" s="181"/>
    </row>
    <row r="65" spans="1:18" ht="15" x14ac:dyDescent="0.2">
      <c r="A65" s="142" t="s">
        <v>1205</v>
      </c>
      <c r="B65" s="143" t="s">
        <v>1205</v>
      </c>
      <c r="C65" s="170" t="s">
        <v>1068</v>
      </c>
      <c r="D65" s="143" t="s">
        <v>3546</v>
      </c>
      <c r="E65" s="145" t="s">
        <v>3876</v>
      </c>
      <c r="F65" s="145" t="s">
        <v>3876</v>
      </c>
      <c r="G65" s="143" t="s">
        <v>3547</v>
      </c>
      <c r="H65" s="143" t="s">
        <v>3548</v>
      </c>
      <c r="I65" s="143" t="s">
        <v>312</v>
      </c>
      <c r="J65" s="143" t="s">
        <v>1211</v>
      </c>
      <c r="K65" s="163">
        <v>45225</v>
      </c>
      <c r="L65" s="144">
        <v>320</v>
      </c>
      <c r="M65" s="144">
        <v>1202.8800000000001</v>
      </c>
      <c r="N65" s="144">
        <v>96</v>
      </c>
      <c r="O65" s="144">
        <v>360.86399999999998</v>
      </c>
      <c r="P65" s="170">
        <v>0.3</v>
      </c>
      <c r="Q65" s="174">
        <v>47081</v>
      </c>
      <c r="R65" s="181"/>
    </row>
    <row r="66" spans="1:18" ht="15" x14ac:dyDescent="0.2">
      <c r="A66" s="142" t="s">
        <v>1205</v>
      </c>
      <c r="B66" s="143" t="s">
        <v>1205</v>
      </c>
      <c r="C66" s="170" t="s">
        <v>1068</v>
      </c>
      <c r="D66" s="143" t="s">
        <v>314</v>
      </c>
      <c r="E66" s="145" t="s">
        <v>3876</v>
      </c>
      <c r="F66" s="145" t="s">
        <v>3876</v>
      </c>
      <c r="G66" s="143" t="s">
        <v>3588</v>
      </c>
      <c r="H66" s="143" t="s">
        <v>3589</v>
      </c>
      <c r="I66" s="143" t="s">
        <v>312</v>
      </c>
      <c r="J66" s="143" t="s">
        <v>1211</v>
      </c>
      <c r="K66" s="163">
        <v>45369</v>
      </c>
      <c r="L66" s="144">
        <v>345.98628293375236</v>
      </c>
      <c r="M66" s="144">
        <v>1300.5624375479749</v>
      </c>
      <c r="N66" s="144">
        <v>58.479342933752342</v>
      </c>
      <c r="O66" s="144">
        <v>219.82385008797505</v>
      </c>
      <c r="P66" s="170">
        <v>0.16902214283723399</v>
      </c>
      <c r="Q66" s="174">
        <v>47149</v>
      </c>
      <c r="R66" s="181"/>
    </row>
    <row r="67" spans="1:18" ht="15" x14ac:dyDescent="0.2">
      <c r="A67" s="142" t="s">
        <v>1205</v>
      </c>
      <c r="B67" s="143" t="s">
        <v>1205</v>
      </c>
      <c r="C67" s="170" t="s">
        <v>1068</v>
      </c>
      <c r="D67" s="143" t="s">
        <v>3301</v>
      </c>
      <c r="E67" s="145" t="s">
        <v>3876</v>
      </c>
      <c r="F67" s="145" t="s">
        <v>3876</v>
      </c>
      <c r="G67" s="143" t="s">
        <v>3302</v>
      </c>
      <c r="H67" s="143" t="s">
        <v>3303</v>
      </c>
      <c r="I67" s="143" t="s">
        <v>312</v>
      </c>
      <c r="J67" s="143" t="s">
        <v>1211</v>
      </c>
      <c r="K67" s="163">
        <v>45316</v>
      </c>
      <c r="L67" s="144">
        <v>637.79459999999995</v>
      </c>
      <c r="M67" s="144">
        <v>2397.4699013999998</v>
      </c>
      <c r="N67" s="144">
        <v>126.64601999999996</v>
      </c>
      <c r="O67" s="144">
        <v>476.0623891799998</v>
      </c>
      <c r="P67" s="170">
        <v>0.1985686614468043</v>
      </c>
      <c r="Q67" s="174">
        <v>45657</v>
      </c>
      <c r="R67" s="181"/>
    </row>
    <row r="68" spans="1:18" ht="15" x14ac:dyDescent="0.2">
      <c r="A68" s="142" t="s">
        <v>1205</v>
      </c>
      <c r="B68" s="143" t="s">
        <v>1205</v>
      </c>
      <c r="C68" s="170" t="s">
        <v>1068</v>
      </c>
      <c r="D68" s="143" t="s">
        <v>3322</v>
      </c>
      <c r="E68" s="145" t="s">
        <v>3876</v>
      </c>
      <c r="F68" s="145" t="s">
        <v>3876</v>
      </c>
      <c r="G68" s="143" t="s">
        <v>3323</v>
      </c>
      <c r="H68" s="143" t="s">
        <v>3324</v>
      </c>
      <c r="I68" s="143" t="s">
        <v>312</v>
      </c>
      <c r="J68" s="143" t="s">
        <v>1211</v>
      </c>
      <c r="K68" s="163">
        <v>44991</v>
      </c>
      <c r="L68" s="144">
        <v>379.2</v>
      </c>
      <c r="M68" s="144">
        <v>1425.4128000000001</v>
      </c>
      <c r="N68" s="144">
        <v>94.8</v>
      </c>
      <c r="O68" s="144">
        <v>356.35320000000002</v>
      </c>
      <c r="P68" s="170">
        <v>0.25</v>
      </c>
      <c r="Q68" s="174">
        <v>48352</v>
      </c>
      <c r="R68" s="181"/>
    </row>
    <row r="69" spans="1:18" ht="15" x14ac:dyDescent="0.2">
      <c r="A69" s="142" t="s">
        <v>1205</v>
      </c>
      <c r="B69" s="143" t="s">
        <v>1205</v>
      </c>
      <c r="C69" s="170" t="s">
        <v>1068</v>
      </c>
      <c r="D69" s="143" t="s">
        <v>3387</v>
      </c>
      <c r="E69" s="145" t="s">
        <v>3876</v>
      </c>
      <c r="F69" s="145" t="s">
        <v>3876</v>
      </c>
      <c r="G69" s="143" t="s">
        <v>3388</v>
      </c>
      <c r="H69" s="143" t="s">
        <v>3389</v>
      </c>
      <c r="I69" s="143" t="s">
        <v>312</v>
      </c>
      <c r="J69" s="143" t="s">
        <v>1210</v>
      </c>
      <c r="K69" s="163">
        <v>45237</v>
      </c>
      <c r="L69" s="144">
        <v>1188.7078000000001</v>
      </c>
      <c r="M69" s="144">
        <v>1188.7078000000001</v>
      </c>
      <c r="N69" s="144">
        <v>399.01280000000003</v>
      </c>
      <c r="O69" s="144">
        <v>399.01280000000003</v>
      </c>
      <c r="P69" s="170">
        <v>0.33566937139640207</v>
      </c>
      <c r="Q69" s="174">
        <v>47026</v>
      </c>
      <c r="R69" s="181"/>
    </row>
    <row r="70" spans="1:18" ht="15" x14ac:dyDescent="0.2">
      <c r="A70" s="142" t="s">
        <v>1205</v>
      </c>
      <c r="B70" s="143" t="s">
        <v>1205</v>
      </c>
      <c r="C70" s="170" t="s">
        <v>1068</v>
      </c>
      <c r="D70" s="143" t="s">
        <v>3331</v>
      </c>
      <c r="E70" s="145" t="s">
        <v>3876</v>
      </c>
      <c r="F70" s="145" t="s">
        <v>3876</v>
      </c>
      <c r="G70" s="143" t="s">
        <v>3332</v>
      </c>
      <c r="H70" s="143" t="s">
        <v>3333</v>
      </c>
      <c r="I70" s="143" t="s">
        <v>312</v>
      </c>
      <c r="J70" s="143" t="s">
        <v>1211</v>
      </c>
      <c r="K70" s="163">
        <v>45362</v>
      </c>
      <c r="L70" s="144">
        <v>224</v>
      </c>
      <c r="M70" s="144">
        <v>842.01599999999996</v>
      </c>
      <c r="N70" s="144">
        <v>33.823999999999998</v>
      </c>
      <c r="O70" s="144">
        <v>127.14441599999999</v>
      </c>
      <c r="P70" s="170">
        <v>0.151</v>
      </c>
      <c r="Q70" s="174">
        <v>47082</v>
      </c>
      <c r="R70" s="181"/>
    </row>
    <row r="71" spans="1:18" ht="15" x14ac:dyDescent="0.2">
      <c r="A71" s="142" t="s">
        <v>1205</v>
      </c>
      <c r="B71" s="143" t="s">
        <v>1205</v>
      </c>
      <c r="C71" s="170" t="s">
        <v>1068</v>
      </c>
      <c r="D71" s="143" t="s">
        <v>3289</v>
      </c>
      <c r="E71" s="145" t="s">
        <v>3876</v>
      </c>
      <c r="F71" s="145" t="s">
        <v>3876</v>
      </c>
      <c r="G71" s="143" t="s">
        <v>3290</v>
      </c>
      <c r="H71" s="143" t="s">
        <v>3291</v>
      </c>
      <c r="I71" s="143" t="s">
        <v>312</v>
      </c>
      <c r="J71" s="143" t="s">
        <v>1211</v>
      </c>
      <c r="K71" s="163">
        <v>45350</v>
      </c>
      <c r="L71" s="144">
        <v>474.82</v>
      </c>
      <c r="M71" s="144">
        <v>1784.8483799999999</v>
      </c>
      <c r="N71" s="144">
        <v>104.37398999999999</v>
      </c>
      <c r="O71" s="144">
        <v>392.34182840999995</v>
      </c>
      <c r="P71" s="170">
        <v>0.21981801524788339</v>
      </c>
      <c r="Q71" s="174">
        <v>45657</v>
      </c>
      <c r="R71" s="181"/>
    </row>
    <row r="72" spans="1:18" ht="15" x14ac:dyDescent="0.2">
      <c r="A72" s="142" t="s">
        <v>1205</v>
      </c>
      <c r="B72" s="143" t="s">
        <v>1205</v>
      </c>
      <c r="C72" s="170" t="s">
        <v>1068</v>
      </c>
      <c r="D72" s="143" t="s">
        <v>3379</v>
      </c>
      <c r="E72" s="145" t="s">
        <v>3876</v>
      </c>
      <c r="F72" s="145" t="s">
        <v>3876</v>
      </c>
      <c r="G72" s="143" t="s">
        <v>3380</v>
      </c>
      <c r="H72" s="143" t="s">
        <v>3381</v>
      </c>
      <c r="I72" s="143" t="s">
        <v>312</v>
      </c>
      <c r="J72" s="143" t="s">
        <v>1210</v>
      </c>
      <c r="K72" s="163">
        <v>45172</v>
      </c>
      <c r="L72" s="144">
        <v>1345.0129999999999</v>
      </c>
      <c r="M72" s="144">
        <v>1345.0129999999999</v>
      </c>
      <c r="N72" s="144">
        <v>57.094000000000001</v>
      </c>
      <c r="O72" s="144">
        <v>57.094000000000001</v>
      </c>
      <c r="P72" s="170">
        <v>4.2448660347520803E-2</v>
      </c>
      <c r="Q72" s="174">
        <v>47238</v>
      </c>
      <c r="R72" s="181"/>
    </row>
    <row r="73" spans="1:18" ht="15" x14ac:dyDescent="0.2">
      <c r="A73" s="142" t="s">
        <v>1205</v>
      </c>
      <c r="B73" s="143" t="s">
        <v>1205</v>
      </c>
      <c r="C73" s="170" t="s">
        <v>1068</v>
      </c>
      <c r="D73" s="143" t="s">
        <v>3543</v>
      </c>
      <c r="E73" s="145" t="s">
        <v>3876</v>
      </c>
      <c r="F73" s="145" t="s">
        <v>3876</v>
      </c>
      <c r="G73" s="143" t="s">
        <v>3565</v>
      </c>
      <c r="H73" s="143" t="s">
        <v>3566</v>
      </c>
      <c r="I73" s="143" t="s">
        <v>312</v>
      </c>
      <c r="J73" s="143" t="s">
        <v>1211</v>
      </c>
      <c r="K73" s="163">
        <v>45197</v>
      </c>
      <c r="L73" s="144">
        <v>305.69099999999997</v>
      </c>
      <c r="M73" s="144">
        <v>1149.0924689999999</v>
      </c>
      <c r="N73" s="144">
        <v>92.775999999999996</v>
      </c>
      <c r="O73" s="144">
        <v>348.74498399999999</v>
      </c>
      <c r="P73" s="170">
        <v>0.303496013948726</v>
      </c>
      <c r="Q73" s="174">
        <v>46022</v>
      </c>
      <c r="R73" s="181"/>
    </row>
    <row r="74" spans="1:18" ht="15" x14ac:dyDescent="0.2">
      <c r="A74" s="142" t="s">
        <v>1205</v>
      </c>
      <c r="B74" s="143" t="s">
        <v>1205</v>
      </c>
      <c r="C74" s="170" t="s">
        <v>1068</v>
      </c>
      <c r="D74" s="143" t="s">
        <v>3346</v>
      </c>
      <c r="E74" s="145" t="s">
        <v>3876</v>
      </c>
      <c r="F74" s="145" t="s">
        <v>3876</v>
      </c>
      <c r="G74" s="143" t="s">
        <v>3347</v>
      </c>
      <c r="H74" s="143" t="s">
        <v>3348</v>
      </c>
      <c r="I74" s="143" t="s">
        <v>312</v>
      </c>
      <c r="J74" s="143" t="s">
        <v>1211</v>
      </c>
      <c r="K74" s="163">
        <v>45365</v>
      </c>
      <c r="L74" s="144">
        <v>268.60000000000002</v>
      </c>
      <c r="M74" s="144">
        <v>1009.6674</v>
      </c>
      <c r="N74" s="144">
        <v>130.95429999999999</v>
      </c>
      <c r="O74" s="144">
        <v>492.25721369999997</v>
      </c>
      <c r="P74" s="170">
        <v>0.48754393149664926</v>
      </c>
      <c r="Q74" s="174">
        <v>48055</v>
      </c>
      <c r="R74" s="181"/>
    </row>
    <row r="75" spans="1:18" ht="15" x14ac:dyDescent="0.2">
      <c r="A75" s="142" t="s">
        <v>1205</v>
      </c>
      <c r="B75" s="143" t="s">
        <v>1205</v>
      </c>
      <c r="C75" s="170" t="s">
        <v>1068</v>
      </c>
      <c r="D75" s="143" t="s">
        <v>3337</v>
      </c>
      <c r="E75" s="145" t="s">
        <v>3876</v>
      </c>
      <c r="F75" s="145" t="s">
        <v>3876</v>
      </c>
      <c r="G75" s="143" t="s">
        <v>3338</v>
      </c>
      <c r="H75" s="143" t="s">
        <v>3339</v>
      </c>
      <c r="I75" s="143" t="s">
        <v>312</v>
      </c>
      <c r="J75" s="143" t="s">
        <v>1211</v>
      </c>
      <c r="K75" s="163">
        <v>45291</v>
      </c>
      <c r="L75" s="144">
        <v>318.20400000000001</v>
      </c>
      <c r="M75" s="144">
        <v>1196.1288359999999</v>
      </c>
      <c r="N75" s="144">
        <v>169.292</v>
      </c>
      <c r="O75" s="144">
        <v>636.36862800000006</v>
      </c>
      <c r="P75" s="170">
        <v>0.53202348179155512</v>
      </c>
      <c r="Q75" s="174">
        <v>47083</v>
      </c>
      <c r="R75" s="181"/>
    </row>
    <row r="76" spans="1:18" ht="15" x14ac:dyDescent="0.2">
      <c r="A76" s="142" t="s">
        <v>1205</v>
      </c>
      <c r="B76" s="143" t="s">
        <v>1205</v>
      </c>
      <c r="C76" s="170" t="s">
        <v>1068</v>
      </c>
      <c r="D76" s="143" t="s">
        <v>3540</v>
      </c>
      <c r="E76" s="145" t="s">
        <v>3876</v>
      </c>
      <c r="F76" s="145" t="s">
        <v>3876</v>
      </c>
      <c r="G76" s="143" t="s">
        <v>3541</v>
      </c>
      <c r="H76" s="143" t="s">
        <v>3542</v>
      </c>
      <c r="I76" s="143" t="s">
        <v>312</v>
      </c>
      <c r="J76" s="143" t="s">
        <v>1211</v>
      </c>
      <c r="K76" s="163">
        <v>45350</v>
      </c>
      <c r="L76" s="144">
        <v>350</v>
      </c>
      <c r="M76" s="144">
        <v>1315.65</v>
      </c>
      <c r="N76" s="144">
        <v>336.7</v>
      </c>
      <c r="O76" s="144">
        <v>1265.6553000000001</v>
      </c>
      <c r="P76" s="170">
        <v>0.96200000000000008</v>
      </c>
      <c r="Q76" s="174">
        <v>49003</v>
      </c>
      <c r="R76" s="181"/>
    </row>
    <row r="77" spans="1:18" ht="15" x14ac:dyDescent="0.2">
      <c r="A77" s="142" t="s">
        <v>1205</v>
      </c>
      <c r="B77" s="143" t="s">
        <v>1205</v>
      </c>
      <c r="C77" s="170" t="s">
        <v>1068</v>
      </c>
      <c r="D77" s="143" t="s">
        <v>3477</v>
      </c>
      <c r="E77" s="145" t="s">
        <v>3876</v>
      </c>
      <c r="F77" s="145" t="s">
        <v>3876</v>
      </c>
      <c r="G77" s="143" t="s">
        <v>3478</v>
      </c>
      <c r="H77" s="143" t="s">
        <v>3479</v>
      </c>
      <c r="I77" s="143" t="s">
        <v>312</v>
      </c>
      <c r="J77" s="143" t="s">
        <v>1211</v>
      </c>
      <c r="K77" s="163">
        <v>45281</v>
      </c>
      <c r="L77" s="144">
        <v>252.8</v>
      </c>
      <c r="M77" s="144">
        <v>950.27519999999993</v>
      </c>
      <c r="N77" s="144">
        <v>113.76</v>
      </c>
      <c r="O77" s="144">
        <v>427.62383999999997</v>
      </c>
      <c r="P77" s="170">
        <v>0.45</v>
      </c>
      <c r="Q77" s="174">
        <v>47543</v>
      </c>
      <c r="R77" s="181"/>
    </row>
    <row r="78" spans="1:18" ht="15" x14ac:dyDescent="0.2">
      <c r="A78" s="142" t="s">
        <v>1205</v>
      </c>
      <c r="B78" s="143" t="s">
        <v>1205</v>
      </c>
      <c r="C78" s="170" t="s">
        <v>1068</v>
      </c>
      <c r="D78" s="143" t="s">
        <v>314</v>
      </c>
      <c r="E78" s="145" t="s">
        <v>3876</v>
      </c>
      <c r="F78" s="145" t="s">
        <v>3876</v>
      </c>
      <c r="G78" s="143" t="s">
        <v>3574</v>
      </c>
      <c r="H78" s="143" t="s">
        <v>3575</v>
      </c>
      <c r="I78" s="143" t="s">
        <v>312</v>
      </c>
      <c r="J78" s="143" t="s">
        <v>1211</v>
      </c>
      <c r="K78" s="163">
        <v>45378</v>
      </c>
      <c r="L78" s="144">
        <v>458.536</v>
      </c>
      <c r="M78" s="144">
        <v>1723.6368239999999</v>
      </c>
      <c r="N78" s="144">
        <v>17.584</v>
      </c>
      <c r="O78" s="144">
        <v>66.098255999999992</v>
      </c>
      <c r="P78" s="170">
        <v>3.8348134061447735E-2</v>
      </c>
      <c r="Q78" s="174">
        <v>47269</v>
      </c>
      <c r="R78" s="181"/>
    </row>
    <row r="79" spans="1:18" ht="15" x14ac:dyDescent="0.2">
      <c r="A79" s="142" t="s">
        <v>1205</v>
      </c>
      <c r="B79" s="143" t="s">
        <v>1205</v>
      </c>
      <c r="C79" s="170" t="s">
        <v>1068</v>
      </c>
      <c r="D79" s="143" t="s">
        <v>314</v>
      </c>
      <c r="E79" s="145" t="s">
        <v>3876</v>
      </c>
      <c r="F79" s="145" t="s">
        <v>3876</v>
      </c>
      <c r="G79" s="143" t="s">
        <v>3576</v>
      </c>
      <c r="H79" s="143" t="s">
        <v>3577</v>
      </c>
      <c r="I79" s="143" t="s">
        <v>312</v>
      </c>
      <c r="J79" s="143" t="s">
        <v>1211</v>
      </c>
      <c r="K79" s="163">
        <v>45362</v>
      </c>
      <c r="L79" s="144">
        <v>662.45699999999999</v>
      </c>
      <c r="M79" s="144">
        <v>2490.1758629999999</v>
      </c>
      <c r="N79" s="144">
        <v>55.331000000000003</v>
      </c>
      <c r="O79" s="144">
        <v>207.98922899999999</v>
      </c>
      <c r="P79" s="170">
        <v>8.352391174068656E-2</v>
      </c>
      <c r="Q79" s="174">
        <v>47543</v>
      </c>
      <c r="R79" s="181"/>
    </row>
    <row r="80" spans="1:18" ht="15" x14ac:dyDescent="0.2">
      <c r="A80" s="142" t="s">
        <v>1205</v>
      </c>
      <c r="B80" s="143" t="s">
        <v>1205</v>
      </c>
      <c r="C80" s="170" t="s">
        <v>1068</v>
      </c>
      <c r="D80" s="143" t="s">
        <v>3496</v>
      </c>
      <c r="E80" s="145" t="s">
        <v>3876</v>
      </c>
      <c r="F80" s="145" t="s">
        <v>3876</v>
      </c>
      <c r="G80" s="143" t="s">
        <v>3496</v>
      </c>
      <c r="H80" s="143" t="s">
        <v>3497</v>
      </c>
      <c r="I80" s="143" t="s">
        <v>312</v>
      </c>
      <c r="J80" s="143" t="s">
        <v>1210</v>
      </c>
      <c r="K80" s="163">
        <v>45362</v>
      </c>
      <c r="L80" s="144">
        <v>796.31100000000004</v>
      </c>
      <c r="M80" s="144">
        <v>796.31100000000004</v>
      </c>
      <c r="N80" s="144">
        <v>283.76098999999999</v>
      </c>
      <c r="O80" s="144">
        <v>283.76098999999999</v>
      </c>
      <c r="P80" s="170">
        <v>0.3563444307563251</v>
      </c>
      <c r="Q80" s="174">
        <v>46905</v>
      </c>
      <c r="R80" s="181"/>
    </row>
    <row r="81" spans="1:18" ht="15" x14ac:dyDescent="0.2">
      <c r="A81" s="142" t="s">
        <v>1205</v>
      </c>
      <c r="B81" s="143" t="s">
        <v>1205</v>
      </c>
      <c r="C81" s="170" t="s">
        <v>1068</v>
      </c>
      <c r="D81" s="143" t="s">
        <v>3255</v>
      </c>
      <c r="E81" s="145" t="s">
        <v>3876</v>
      </c>
      <c r="F81" s="145" t="s">
        <v>3876</v>
      </c>
      <c r="G81" s="143" t="s">
        <v>3256</v>
      </c>
      <c r="H81" s="143" t="s">
        <v>3257</v>
      </c>
      <c r="I81" s="143" t="s">
        <v>312</v>
      </c>
      <c r="J81" s="143" t="s">
        <v>1211</v>
      </c>
      <c r="K81" s="163">
        <v>45250</v>
      </c>
      <c r="L81" s="144">
        <v>790</v>
      </c>
      <c r="M81" s="144">
        <v>2969.61</v>
      </c>
      <c r="N81" s="144">
        <v>28.614999999999998</v>
      </c>
      <c r="O81" s="144">
        <v>107.56378500000001</v>
      </c>
      <c r="P81" s="170">
        <v>3.6221518987341772E-2</v>
      </c>
      <c r="Q81" s="174">
        <v>47664</v>
      </c>
      <c r="R81" s="181"/>
    </row>
    <row r="82" spans="1:18" ht="15" x14ac:dyDescent="0.2">
      <c r="A82" s="142" t="s">
        <v>1205</v>
      </c>
      <c r="B82" s="143" t="s">
        <v>1205</v>
      </c>
      <c r="C82" s="170" t="s">
        <v>1068</v>
      </c>
      <c r="D82" s="143" t="s">
        <v>3571</v>
      </c>
      <c r="E82" s="145" t="s">
        <v>3876</v>
      </c>
      <c r="F82" s="145" t="s">
        <v>3876</v>
      </c>
      <c r="G82" s="143" t="s">
        <v>3572</v>
      </c>
      <c r="H82" s="143" t="s">
        <v>3573</v>
      </c>
      <c r="I82" s="143" t="s">
        <v>312</v>
      </c>
      <c r="J82" s="143" t="s">
        <v>1211</v>
      </c>
      <c r="K82" s="163">
        <v>45294</v>
      </c>
      <c r="L82" s="144">
        <v>444.63799999999998</v>
      </c>
      <c r="M82" s="144">
        <v>1671.3942419999998</v>
      </c>
      <c r="N82" s="144">
        <v>5.6079999999999997</v>
      </c>
      <c r="O82" s="144">
        <v>21.080471999999997</v>
      </c>
      <c r="P82" s="170">
        <v>1.2612507253091279E-2</v>
      </c>
      <c r="Q82" s="174">
        <v>48060</v>
      </c>
      <c r="R82" s="181"/>
    </row>
    <row r="83" spans="1:18" ht="15" x14ac:dyDescent="0.2">
      <c r="A83" s="142" t="s">
        <v>1205</v>
      </c>
      <c r="B83" s="143" t="s">
        <v>1205</v>
      </c>
      <c r="C83" s="170" t="s">
        <v>1068</v>
      </c>
      <c r="D83" s="143" t="s">
        <v>3295</v>
      </c>
      <c r="E83" s="145" t="s">
        <v>3876</v>
      </c>
      <c r="F83" s="145" t="s">
        <v>3876</v>
      </c>
      <c r="G83" s="143" t="s">
        <v>3296</v>
      </c>
      <c r="H83" s="143" t="s">
        <v>3297</v>
      </c>
      <c r="I83" s="143" t="s">
        <v>312</v>
      </c>
      <c r="J83" s="143" t="s">
        <v>1211</v>
      </c>
      <c r="K83" s="163">
        <v>45279</v>
      </c>
      <c r="L83" s="144">
        <v>510.11998</v>
      </c>
      <c r="M83" s="144">
        <v>1917.5410048199999</v>
      </c>
      <c r="N83" s="144">
        <v>208.02470999999997</v>
      </c>
      <c r="O83" s="144">
        <v>781.96488488999989</v>
      </c>
      <c r="P83" s="170">
        <v>0.40779565230909004</v>
      </c>
      <c r="Q83" s="174">
        <v>47817</v>
      </c>
      <c r="R83" s="181"/>
    </row>
    <row r="84" spans="1:18" ht="15" x14ac:dyDescent="0.2">
      <c r="A84" s="142" t="s">
        <v>1205</v>
      </c>
      <c r="B84" s="143" t="s">
        <v>1205</v>
      </c>
      <c r="C84" s="170" t="s">
        <v>1068</v>
      </c>
      <c r="D84" s="143" t="s">
        <v>3264</v>
      </c>
      <c r="E84" s="145" t="s">
        <v>3876</v>
      </c>
      <c r="F84" s="145" t="s">
        <v>3876</v>
      </c>
      <c r="G84" s="143" t="s">
        <v>3265</v>
      </c>
      <c r="H84" s="143" t="s">
        <v>3266</v>
      </c>
      <c r="I84" s="143" t="s">
        <v>312</v>
      </c>
      <c r="J84" s="143" t="s">
        <v>1211</v>
      </c>
      <c r="K84" s="163">
        <v>45320</v>
      </c>
      <c r="L84" s="144">
        <v>717.13099999999997</v>
      </c>
      <c r="M84" s="144">
        <v>2695.6954289999999</v>
      </c>
      <c r="N84" s="144">
        <v>132.07599999999999</v>
      </c>
      <c r="O84" s="144">
        <v>496.47368399999999</v>
      </c>
      <c r="P84" s="170">
        <v>0.18417276620310655</v>
      </c>
      <c r="Q84" s="174">
        <v>47046</v>
      </c>
      <c r="R84" s="181"/>
    </row>
    <row r="85" spans="1:18" ht="15" x14ac:dyDescent="0.2">
      <c r="A85" s="142" t="s">
        <v>1205</v>
      </c>
      <c r="B85" s="143" t="s">
        <v>1205</v>
      </c>
      <c r="C85" s="170" t="s">
        <v>1068</v>
      </c>
      <c r="D85" s="143" t="s">
        <v>3357</v>
      </c>
      <c r="E85" s="145" t="s">
        <v>3876</v>
      </c>
      <c r="F85" s="145" t="s">
        <v>3876</v>
      </c>
      <c r="G85" s="143" t="s">
        <v>3358</v>
      </c>
      <c r="H85" s="143" t="s">
        <v>3359</v>
      </c>
      <c r="I85" s="143" t="s">
        <v>312</v>
      </c>
      <c r="J85" s="143" t="s">
        <v>1211</v>
      </c>
      <c r="K85" s="163">
        <v>45230</v>
      </c>
      <c r="L85" s="144">
        <v>318.20400000000001</v>
      </c>
      <c r="M85" s="144">
        <v>1196.1288359999999</v>
      </c>
      <c r="N85" s="144">
        <v>243.95976000000002</v>
      </c>
      <c r="O85" s="144">
        <v>917.04473783999993</v>
      </c>
      <c r="P85" s="170">
        <v>0.76667722593053511</v>
      </c>
      <c r="Q85" s="174">
        <v>46203</v>
      </c>
      <c r="R85" s="181"/>
    </row>
    <row r="86" spans="1:18" ht="15" x14ac:dyDescent="0.2">
      <c r="A86" s="142" t="s">
        <v>1205</v>
      </c>
      <c r="B86" s="143" t="s">
        <v>1205</v>
      </c>
      <c r="C86" s="170" t="s">
        <v>1068</v>
      </c>
      <c r="D86" s="143" t="s">
        <v>3590</v>
      </c>
      <c r="E86" s="145" t="s">
        <v>3876</v>
      </c>
      <c r="F86" s="145" t="s">
        <v>3876</v>
      </c>
      <c r="G86" s="143" t="s">
        <v>3586</v>
      </c>
      <c r="H86" s="143" t="s">
        <v>3591</v>
      </c>
      <c r="I86" s="143" t="s">
        <v>312</v>
      </c>
      <c r="J86" s="143" t="s">
        <v>1211</v>
      </c>
      <c r="K86" s="163">
        <v>45362</v>
      </c>
      <c r="L86" s="144">
        <v>119.548</v>
      </c>
      <c r="M86" s="144">
        <v>449.38093199999997</v>
      </c>
      <c r="N86" s="144">
        <v>35.865000000000002</v>
      </c>
      <c r="O86" s="144">
        <v>134.81653500000002</v>
      </c>
      <c r="P86" s="170">
        <v>0.30000501890454045</v>
      </c>
      <c r="Q86" s="174">
        <v>48883</v>
      </c>
      <c r="R86" s="181"/>
    </row>
    <row r="87" spans="1:18" ht="15" x14ac:dyDescent="0.2">
      <c r="A87" s="142" t="s">
        <v>1205</v>
      </c>
      <c r="B87" s="143" t="s">
        <v>1205</v>
      </c>
      <c r="C87" s="170" t="s">
        <v>1068</v>
      </c>
      <c r="D87" s="143" t="s">
        <v>3421</v>
      </c>
      <c r="E87" s="145" t="s">
        <v>3876</v>
      </c>
      <c r="F87" s="145" t="s">
        <v>3876</v>
      </c>
      <c r="G87" s="143" t="s">
        <v>3427</v>
      </c>
      <c r="H87" s="143" t="s">
        <v>3428</v>
      </c>
      <c r="I87" s="143" t="s">
        <v>312</v>
      </c>
      <c r="J87" s="143" t="s">
        <v>1210</v>
      </c>
      <c r="K87" s="163">
        <v>45271</v>
      </c>
      <c r="L87" s="144">
        <v>1455</v>
      </c>
      <c r="M87" s="144">
        <v>1455</v>
      </c>
      <c r="N87" s="144">
        <v>188.84899999999999</v>
      </c>
      <c r="O87" s="144">
        <v>188.84899999999999</v>
      </c>
      <c r="P87" s="170">
        <v>0.12979312714776634</v>
      </c>
      <c r="Q87" s="174">
        <v>45291</v>
      </c>
      <c r="R87" s="181"/>
    </row>
    <row r="88" spans="1:18" ht="15" x14ac:dyDescent="0.2">
      <c r="A88" s="142" t="s">
        <v>1205</v>
      </c>
      <c r="B88" s="143" t="s">
        <v>1205</v>
      </c>
      <c r="C88" s="170" t="s">
        <v>1068</v>
      </c>
      <c r="D88" s="143" t="s">
        <v>3453</v>
      </c>
      <c r="E88" s="145" t="s">
        <v>3876</v>
      </c>
      <c r="F88" s="145" t="s">
        <v>3876</v>
      </c>
      <c r="G88" s="143" t="s">
        <v>3454</v>
      </c>
      <c r="H88" s="143" t="s">
        <v>3455</v>
      </c>
      <c r="I88" s="143" t="s">
        <v>312</v>
      </c>
      <c r="J88" s="143" t="s">
        <v>1213</v>
      </c>
      <c r="K88" s="163">
        <v>45046</v>
      </c>
      <c r="L88" s="144">
        <v>872.67465691566804</v>
      </c>
      <c r="M88" s="144">
        <v>3508.3266557323686</v>
      </c>
      <c r="N88" s="144">
        <v>107.51265691566805</v>
      </c>
      <c r="O88" s="144">
        <v>432.22238333236868</v>
      </c>
      <c r="P88" s="170">
        <v>0.12319901358847145</v>
      </c>
      <c r="Q88" s="174">
        <v>45961</v>
      </c>
      <c r="R88" s="181"/>
    </row>
    <row r="89" spans="1:18" ht="15" x14ac:dyDescent="0.2">
      <c r="A89" s="142" t="s">
        <v>1205</v>
      </c>
      <c r="B89" s="143" t="s">
        <v>1205</v>
      </c>
      <c r="C89" s="170" t="s">
        <v>1068</v>
      </c>
      <c r="D89" s="143" t="s">
        <v>3328</v>
      </c>
      <c r="E89" s="145" t="s">
        <v>3876</v>
      </c>
      <c r="F89" s="145" t="s">
        <v>3876</v>
      </c>
      <c r="G89" s="143" t="s">
        <v>3402</v>
      </c>
      <c r="H89" s="143" t="s">
        <v>3403</v>
      </c>
      <c r="I89" s="143" t="s">
        <v>312</v>
      </c>
      <c r="J89" s="143" t="s">
        <v>1211</v>
      </c>
      <c r="K89" s="163">
        <v>45337</v>
      </c>
      <c r="L89" s="144">
        <v>576</v>
      </c>
      <c r="M89" s="144">
        <v>2165.1840000000002</v>
      </c>
      <c r="N89" s="144">
        <v>270.72798999999998</v>
      </c>
      <c r="O89" s="144">
        <v>1017.66651441</v>
      </c>
      <c r="P89" s="170">
        <v>0.47001387152777774</v>
      </c>
      <c r="Q89" s="174">
        <v>48303</v>
      </c>
      <c r="R89" s="181"/>
    </row>
    <row r="90" spans="1:18" ht="15" x14ac:dyDescent="0.2">
      <c r="A90" s="142" t="s">
        <v>1205</v>
      </c>
      <c r="B90" s="143" t="s">
        <v>1205</v>
      </c>
      <c r="C90" s="170" t="s">
        <v>1068</v>
      </c>
      <c r="D90" s="143" t="s">
        <v>3490</v>
      </c>
      <c r="E90" s="145" t="s">
        <v>3876</v>
      </c>
      <c r="F90" s="145" t="s">
        <v>3876</v>
      </c>
      <c r="G90" s="143" t="s">
        <v>3491</v>
      </c>
      <c r="H90" s="143" t="s">
        <v>3492</v>
      </c>
      <c r="I90" s="143" t="s">
        <v>312</v>
      </c>
      <c r="J90" s="143" t="s">
        <v>1210</v>
      </c>
      <c r="K90" s="163">
        <v>45306</v>
      </c>
      <c r="L90" s="144">
        <v>3025.306</v>
      </c>
      <c r="M90" s="144">
        <v>3025.306</v>
      </c>
      <c r="N90" s="144">
        <v>362.65960000000007</v>
      </c>
      <c r="O90" s="144">
        <v>362.65960000000007</v>
      </c>
      <c r="P90" s="170">
        <v>0.11987534484114998</v>
      </c>
      <c r="Q90" s="174">
        <v>46507</v>
      </c>
      <c r="R90" s="181"/>
    </row>
    <row r="91" spans="1:18" ht="15" x14ac:dyDescent="0.2">
      <c r="A91" s="142" t="s">
        <v>1205</v>
      </c>
      <c r="B91" s="143" t="s">
        <v>1205</v>
      </c>
      <c r="C91" s="170" t="s">
        <v>1068</v>
      </c>
      <c r="D91" s="143" t="s">
        <v>3365</v>
      </c>
      <c r="E91" s="145" t="s">
        <v>3876</v>
      </c>
      <c r="F91" s="145" t="s">
        <v>3876</v>
      </c>
      <c r="G91" s="143" t="s">
        <v>3366</v>
      </c>
      <c r="H91" s="143" t="s">
        <v>3367</v>
      </c>
      <c r="I91" s="143" t="s">
        <v>312</v>
      </c>
      <c r="J91" s="143" t="s">
        <v>1211</v>
      </c>
      <c r="K91" s="163">
        <v>45342</v>
      </c>
      <c r="L91" s="144">
        <v>505.6</v>
      </c>
      <c r="M91" s="144">
        <v>1900.5503999999999</v>
      </c>
      <c r="N91" s="144">
        <v>459.58408000000003</v>
      </c>
      <c r="O91" s="144">
        <v>1727.5765567200001</v>
      </c>
      <c r="P91" s="170">
        <v>0.90898750000000006</v>
      </c>
      <c r="Q91" s="174">
        <v>44742</v>
      </c>
      <c r="R91" s="181"/>
    </row>
    <row r="92" spans="1:18" ht="15" x14ac:dyDescent="0.2">
      <c r="A92" s="142" t="s">
        <v>1205</v>
      </c>
      <c r="B92" s="143" t="s">
        <v>1205</v>
      </c>
      <c r="C92" s="170" t="s">
        <v>1068</v>
      </c>
      <c r="D92" s="143" t="s">
        <v>3379</v>
      </c>
      <c r="E92" s="145" t="s">
        <v>3876</v>
      </c>
      <c r="F92" s="145" t="s">
        <v>3876</v>
      </c>
      <c r="G92" s="143" t="s">
        <v>3382</v>
      </c>
      <c r="H92" s="143" t="s">
        <v>3383</v>
      </c>
      <c r="I92" s="143" t="s">
        <v>312</v>
      </c>
      <c r="J92" s="143" t="s">
        <v>1210</v>
      </c>
      <c r="K92" s="163">
        <v>45279</v>
      </c>
      <c r="L92" s="144">
        <v>1876.6189999999999</v>
      </c>
      <c r="M92" s="144">
        <v>1876.6189999999999</v>
      </c>
      <c r="N92" s="144">
        <v>644.78698999999995</v>
      </c>
      <c r="O92" s="144">
        <v>644.78698999999995</v>
      </c>
      <c r="P92" s="170">
        <v>0.34358971639954622</v>
      </c>
      <c r="Q92" s="174">
        <v>48669</v>
      </c>
      <c r="R92" s="181"/>
    </row>
    <row r="93" spans="1:18" ht="15" x14ac:dyDescent="0.2">
      <c r="A93" s="142" t="s">
        <v>1205</v>
      </c>
      <c r="B93" s="143" t="s">
        <v>1205</v>
      </c>
      <c r="C93" s="170" t="s">
        <v>1068</v>
      </c>
      <c r="D93" s="143" t="s">
        <v>3429</v>
      </c>
      <c r="E93" s="145" t="s">
        <v>3876</v>
      </c>
      <c r="F93" s="145" t="s">
        <v>3876</v>
      </c>
      <c r="G93" s="143" t="s">
        <v>3430</v>
      </c>
      <c r="H93" s="143" t="s">
        <v>3431</v>
      </c>
      <c r="I93" s="143" t="s">
        <v>312</v>
      </c>
      <c r="J93" s="143" t="s">
        <v>1210</v>
      </c>
      <c r="K93" s="163">
        <v>45243</v>
      </c>
      <c r="L93" s="144">
        <v>1280</v>
      </c>
      <c r="M93" s="144">
        <v>1280</v>
      </c>
      <c r="N93" s="144">
        <v>428.32098999999999</v>
      </c>
      <c r="O93" s="144">
        <v>428.32098999999999</v>
      </c>
      <c r="P93" s="170">
        <v>0.3346257734375</v>
      </c>
      <c r="Q93" s="174">
        <v>48304</v>
      </c>
      <c r="R93" s="181"/>
    </row>
    <row r="94" spans="1:18" ht="15" x14ac:dyDescent="0.2">
      <c r="A94" s="142" t="s">
        <v>1205</v>
      </c>
      <c r="B94" s="143" t="s">
        <v>1205</v>
      </c>
      <c r="C94" s="170" t="s">
        <v>1068</v>
      </c>
      <c r="D94" s="143" t="s">
        <v>3270</v>
      </c>
      <c r="E94" s="145" t="s">
        <v>3876</v>
      </c>
      <c r="F94" s="145" t="s">
        <v>3876</v>
      </c>
      <c r="G94" s="143" t="s">
        <v>3271</v>
      </c>
      <c r="H94" s="143" t="s">
        <v>3272</v>
      </c>
      <c r="I94" s="143" t="s">
        <v>312</v>
      </c>
      <c r="J94" s="143" t="s">
        <v>1213</v>
      </c>
      <c r="K94" s="163">
        <v>45378</v>
      </c>
      <c r="L94" s="144">
        <v>511.125</v>
      </c>
      <c r="M94" s="144">
        <v>2054.8247249999999</v>
      </c>
      <c r="N94" s="144">
        <v>62.529450000000011</v>
      </c>
      <c r="O94" s="144">
        <v>251.38089489000006</v>
      </c>
      <c r="P94" s="170">
        <v>0.12233690388848131</v>
      </c>
      <c r="Q94" s="174">
        <v>48518</v>
      </c>
      <c r="R94" s="181"/>
    </row>
    <row r="95" spans="1:18" ht="15" x14ac:dyDescent="0.2">
      <c r="A95" s="142" t="s">
        <v>1205</v>
      </c>
      <c r="B95" s="143" t="s">
        <v>1205</v>
      </c>
      <c r="C95" s="170" t="s">
        <v>1068</v>
      </c>
      <c r="D95" s="143" t="s">
        <v>3307</v>
      </c>
      <c r="E95" s="145" t="s">
        <v>3876</v>
      </c>
      <c r="F95" s="145" t="s">
        <v>3876</v>
      </c>
      <c r="G95" s="143" t="s">
        <v>3308</v>
      </c>
      <c r="H95" s="143" t="s">
        <v>3309</v>
      </c>
      <c r="I95" s="143" t="s">
        <v>312</v>
      </c>
      <c r="J95" s="143" t="s">
        <v>1213</v>
      </c>
      <c r="K95" s="163">
        <v>45299</v>
      </c>
      <c r="L95" s="144">
        <v>286.13400000000001</v>
      </c>
      <c r="M95" s="144">
        <v>1150.3159068</v>
      </c>
      <c r="N95" s="144">
        <v>8.3637999999999888</v>
      </c>
      <c r="O95" s="144">
        <v>33.624148759999954</v>
      </c>
      <c r="P95" s="170">
        <v>2.923036060027815E-2</v>
      </c>
      <c r="Q95" s="174">
        <v>48052</v>
      </c>
      <c r="R95" s="181"/>
    </row>
    <row r="96" spans="1:18" ht="15" x14ac:dyDescent="0.2">
      <c r="A96" s="142" t="s">
        <v>1205</v>
      </c>
      <c r="B96" s="143" t="s">
        <v>1205</v>
      </c>
      <c r="C96" s="170" t="s">
        <v>1068</v>
      </c>
      <c r="D96" s="143" t="s">
        <v>3292</v>
      </c>
      <c r="E96" s="145" t="s">
        <v>3876</v>
      </c>
      <c r="F96" s="145" t="s">
        <v>3876</v>
      </c>
      <c r="G96" s="143" t="s">
        <v>3293</v>
      </c>
      <c r="H96" s="143" t="s">
        <v>3294</v>
      </c>
      <c r="I96" s="143" t="s">
        <v>312</v>
      </c>
      <c r="J96" s="143" t="s">
        <v>1213</v>
      </c>
      <c r="K96" s="163">
        <v>45217</v>
      </c>
      <c r="L96" s="144">
        <v>442.33821999999998</v>
      </c>
      <c r="M96" s="144">
        <v>1778.2881120439999</v>
      </c>
      <c r="N96" s="144">
        <v>76.401560000000003</v>
      </c>
      <c r="O96" s="144">
        <v>307.14955151199996</v>
      </c>
      <c r="P96" s="170">
        <v>0.17272204061408034</v>
      </c>
      <c r="Q96" s="174">
        <v>47664</v>
      </c>
      <c r="R96" s="181"/>
    </row>
    <row r="97" spans="1:18" ht="15" x14ac:dyDescent="0.2">
      <c r="A97" s="142" t="s">
        <v>1205</v>
      </c>
      <c r="B97" s="143" t="s">
        <v>1205</v>
      </c>
      <c r="C97" s="170" t="s">
        <v>1068</v>
      </c>
      <c r="D97" s="143" t="s">
        <v>3304</v>
      </c>
      <c r="E97" s="145" t="s">
        <v>3876</v>
      </c>
      <c r="F97" s="145" t="s">
        <v>3876</v>
      </c>
      <c r="G97" s="143" t="s">
        <v>3305</v>
      </c>
      <c r="H97" s="143" t="s">
        <v>3306</v>
      </c>
      <c r="I97" s="143" t="s">
        <v>312</v>
      </c>
      <c r="J97" s="143" t="s">
        <v>1211</v>
      </c>
      <c r="K97" s="163">
        <v>45316</v>
      </c>
      <c r="L97" s="144">
        <v>310.27199999999999</v>
      </c>
      <c r="M97" s="144">
        <v>1166.3124479999999</v>
      </c>
      <c r="N97" s="144">
        <v>9.3079999999999998</v>
      </c>
      <c r="O97" s="144">
        <v>34.988771999999997</v>
      </c>
      <c r="P97" s="170">
        <v>2.9999484323432343E-2</v>
      </c>
      <c r="Q97" s="174">
        <v>47573</v>
      </c>
      <c r="R97" s="181"/>
    </row>
    <row r="98" spans="1:18" ht="15" x14ac:dyDescent="0.2">
      <c r="A98" s="142" t="s">
        <v>1205</v>
      </c>
      <c r="B98" s="143" t="s">
        <v>1205</v>
      </c>
      <c r="C98" s="170" t="s">
        <v>1068</v>
      </c>
      <c r="D98" s="143" t="s">
        <v>3343</v>
      </c>
      <c r="E98" s="145" t="s">
        <v>3876</v>
      </c>
      <c r="F98" s="145" t="s">
        <v>3876</v>
      </c>
      <c r="G98" s="143" t="s">
        <v>3344</v>
      </c>
      <c r="H98" s="143" t="s">
        <v>3345</v>
      </c>
      <c r="I98" s="143" t="s">
        <v>312</v>
      </c>
      <c r="J98" s="143" t="s">
        <v>1211</v>
      </c>
      <c r="K98" s="163">
        <v>45362</v>
      </c>
      <c r="L98" s="144">
        <v>313.32882000000001</v>
      </c>
      <c r="M98" s="144">
        <v>1177.8030343800001</v>
      </c>
      <c r="N98" s="144">
        <v>53.84328</v>
      </c>
      <c r="O98" s="144">
        <v>202.39688952</v>
      </c>
      <c r="P98" s="170">
        <v>0.17184273058571503</v>
      </c>
      <c r="Q98" s="174">
        <v>45621</v>
      </c>
      <c r="R98" s="181"/>
    </row>
    <row r="99" spans="1:18" ht="15" x14ac:dyDescent="0.2">
      <c r="A99" s="142" t="s">
        <v>1205</v>
      </c>
      <c r="B99" s="143" t="s">
        <v>1205</v>
      </c>
      <c r="C99" s="170" t="s">
        <v>1068</v>
      </c>
      <c r="D99" s="143" t="s">
        <v>3225</v>
      </c>
      <c r="E99" s="145" t="s">
        <v>3876</v>
      </c>
      <c r="F99" s="145" t="s">
        <v>3876</v>
      </c>
      <c r="G99" s="143" t="s">
        <v>3226</v>
      </c>
      <c r="H99" s="143" t="s">
        <v>3227</v>
      </c>
      <c r="I99" s="143" t="s">
        <v>312</v>
      </c>
      <c r="J99" s="143" t="s">
        <v>1211</v>
      </c>
      <c r="K99" s="163">
        <v>44496</v>
      </c>
      <c r="L99" s="144">
        <v>275</v>
      </c>
      <c r="M99" s="144">
        <v>1033.7249999999999</v>
      </c>
      <c r="N99" s="144">
        <v>29.5</v>
      </c>
      <c r="O99" s="144">
        <v>110.8905</v>
      </c>
      <c r="P99" s="170">
        <v>0.10727272727272727</v>
      </c>
      <c r="Q99" s="174">
        <v>45657</v>
      </c>
      <c r="R99" s="181"/>
    </row>
    <row r="100" spans="1:18" ht="15" x14ac:dyDescent="0.2">
      <c r="A100" s="142" t="s">
        <v>1205</v>
      </c>
      <c r="B100" s="143" t="s">
        <v>1205</v>
      </c>
      <c r="C100" s="170" t="s">
        <v>1068</v>
      </c>
      <c r="D100" s="143" t="s">
        <v>3249</v>
      </c>
      <c r="E100" s="145" t="s">
        <v>3876</v>
      </c>
      <c r="F100" s="145" t="s">
        <v>3876</v>
      </c>
      <c r="G100" s="143" t="s">
        <v>3250</v>
      </c>
      <c r="H100" s="143" t="s">
        <v>3251</v>
      </c>
      <c r="I100" s="143" t="s">
        <v>312</v>
      </c>
      <c r="J100" s="143" t="s">
        <v>1211</v>
      </c>
      <c r="K100" s="163">
        <v>43038</v>
      </c>
      <c r="L100" s="144">
        <v>200</v>
      </c>
      <c r="M100" s="144">
        <v>751.8</v>
      </c>
      <c r="N100" s="144">
        <v>18.053000000000001</v>
      </c>
      <c r="O100" s="144">
        <v>67.861227</v>
      </c>
      <c r="P100" s="170">
        <v>9.0264999999999998E-2</v>
      </c>
      <c r="Q100" s="174">
        <v>45153</v>
      </c>
      <c r="R100" s="181"/>
    </row>
    <row r="101" spans="1:18" ht="15" x14ac:dyDescent="0.2">
      <c r="A101" s="142" t="s">
        <v>1205</v>
      </c>
      <c r="B101" s="143" t="s">
        <v>1205</v>
      </c>
      <c r="C101" s="170" t="s">
        <v>1068</v>
      </c>
      <c r="D101" s="143" t="s">
        <v>3432</v>
      </c>
      <c r="E101" s="145" t="s">
        <v>3876</v>
      </c>
      <c r="F101" s="145" t="s">
        <v>3876</v>
      </c>
      <c r="G101" s="143" t="s">
        <v>3433</v>
      </c>
      <c r="H101" s="143" t="s">
        <v>3434</v>
      </c>
      <c r="I101" s="143" t="s">
        <v>312</v>
      </c>
      <c r="J101" s="143" t="s">
        <v>1210</v>
      </c>
      <c r="K101" s="163">
        <v>45316</v>
      </c>
      <c r="L101" s="144">
        <v>1883.443</v>
      </c>
      <c r="M101" s="144">
        <v>1883.443</v>
      </c>
      <c r="N101" s="144">
        <v>1004.934</v>
      </c>
      <c r="O101" s="144">
        <v>1004.934</v>
      </c>
      <c r="P101" s="170">
        <v>0.53356220496187035</v>
      </c>
      <c r="Q101" s="174">
        <v>47118</v>
      </c>
      <c r="R101" s="181"/>
    </row>
    <row r="102" spans="1:18" ht="15" x14ac:dyDescent="0.2">
      <c r="A102" s="142" t="s">
        <v>1205</v>
      </c>
      <c r="B102" s="143" t="s">
        <v>1205</v>
      </c>
      <c r="C102" s="170" t="s">
        <v>1068</v>
      </c>
      <c r="D102" s="143" t="s">
        <v>3360</v>
      </c>
      <c r="E102" s="145" t="s">
        <v>3876</v>
      </c>
      <c r="F102" s="145" t="s">
        <v>3876</v>
      </c>
      <c r="G102" s="143" t="s">
        <v>3361</v>
      </c>
      <c r="H102" s="143" t="s">
        <v>3362</v>
      </c>
      <c r="I102" s="143" t="s">
        <v>312</v>
      </c>
      <c r="J102" s="143" t="s">
        <v>1211</v>
      </c>
      <c r="K102" s="163">
        <v>45356</v>
      </c>
      <c r="L102" s="144">
        <v>192</v>
      </c>
      <c r="M102" s="144">
        <v>721.72799999999995</v>
      </c>
      <c r="N102" s="144">
        <v>126.84998999999999</v>
      </c>
      <c r="O102" s="144">
        <v>476.82911240999994</v>
      </c>
      <c r="P102" s="170">
        <v>0.66067703124999988</v>
      </c>
      <c r="Q102" s="174">
        <v>47118</v>
      </c>
      <c r="R102" s="181"/>
    </row>
    <row r="103" spans="1:18" ht="15" x14ac:dyDescent="0.2">
      <c r="A103" s="142" t="s">
        <v>1205</v>
      </c>
      <c r="B103" s="143" t="s">
        <v>1205</v>
      </c>
      <c r="C103" s="170" t="s">
        <v>1068</v>
      </c>
      <c r="D103" s="143" t="s">
        <v>3360</v>
      </c>
      <c r="E103" s="145" t="s">
        <v>3876</v>
      </c>
      <c r="F103" s="145" t="s">
        <v>3876</v>
      </c>
      <c r="G103" s="143" t="s">
        <v>3368</v>
      </c>
      <c r="H103" s="143" t="s">
        <v>3369</v>
      </c>
      <c r="I103" s="143" t="s">
        <v>312</v>
      </c>
      <c r="J103" s="143" t="s">
        <v>1211</v>
      </c>
      <c r="K103" s="163">
        <v>45379</v>
      </c>
      <c r="L103" s="144">
        <v>128</v>
      </c>
      <c r="M103" s="144">
        <v>481.15199999999999</v>
      </c>
      <c r="N103" s="144">
        <v>121.55999</v>
      </c>
      <c r="O103" s="144">
        <v>456.94400241</v>
      </c>
      <c r="P103" s="170">
        <v>0.94968742187499999</v>
      </c>
      <c r="Q103" s="174">
        <v>47118</v>
      </c>
      <c r="R103" s="181"/>
    </row>
    <row r="104" spans="1:18" ht="15" x14ac:dyDescent="0.2">
      <c r="A104" s="142" t="s">
        <v>1205</v>
      </c>
      <c r="B104" s="143" t="s">
        <v>1205</v>
      </c>
      <c r="C104" s="170" t="s">
        <v>1068</v>
      </c>
      <c r="D104" s="143" t="s">
        <v>3243</v>
      </c>
      <c r="E104" s="145" t="s">
        <v>3876</v>
      </c>
      <c r="F104" s="145" t="s">
        <v>3876</v>
      </c>
      <c r="G104" s="143" t="s">
        <v>3244</v>
      </c>
      <c r="H104" s="143" t="s">
        <v>3245</v>
      </c>
      <c r="I104" s="143" t="s">
        <v>312</v>
      </c>
      <c r="J104" s="143" t="s">
        <v>1211</v>
      </c>
      <c r="K104" s="163">
        <v>45265</v>
      </c>
      <c r="L104" s="144">
        <v>480</v>
      </c>
      <c r="M104" s="144">
        <v>1804.32</v>
      </c>
      <c r="N104" s="144">
        <v>393.67099000000002</v>
      </c>
      <c r="O104" s="144">
        <v>1479.8092514100001</v>
      </c>
      <c r="P104" s="170">
        <v>0.82014789583333336</v>
      </c>
      <c r="Q104" s="174">
        <v>47118</v>
      </c>
      <c r="R104" s="181"/>
    </row>
    <row r="105" spans="1:18" ht="15" x14ac:dyDescent="0.2">
      <c r="A105" s="142" t="s">
        <v>1220</v>
      </c>
      <c r="B105" s="143" t="s">
        <v>1220</v>
      </c>
      <c r="C105" s="170" t="s">
        <v>1068</v>
      </c>
      <c r="D105" s="143" t="s">
        <v>314</v>
      </c>
      <c r="E105" s="145" t="s">
        <v>3876</v>
      </c>
      <c r="F105" s="145" t="s">
        <v>3876</v>
      </c>
      <c r="G105" s="143" t="s">
        <v>3567</v>
      </c>
      <c r="H105" s="143" t="s">
        <v>3568</v>
      </c>
      <c r="I105" s="143" t="s">
        <v>136</v>
      </c>
      <c r="J105" s="143" t="s">
        <v>1211</v>
      </c>
      <c r="K105" s="163">
        <v>45313</v>
      </c>
      <c r="L105" s="144">
        <v>11680.6975306</v>
      </c>
      <c r="M105" s="144">
        <v>43907.742017525394</v>
      </c>
      <c r="N105" s="144">
        <v>3271.9229406000004</v>
      </c>
      <c r="O105" s="144">
        <v>12299.158333715402</v>
      </c>
      <c r="P105" s="170">
        <v>0.28011366033822233</v>
      </c>
      <c r="Q105" s="174">
        <v>44377</v>
      </c>
      <c r="R105" s="181"/>
    </row>
    <row r="106" spans="1:18" ht="15" x14ac:dyDescent="0.2">
      <c r="A106" s="142" t="s">
        <v>1220</v>
      </c>
      <c r="B106" s="143" t="s">
        <v>1220</v>
      </c>
      <c r="C106" s="170" t="s">
        <v>1068</v>
      </c>
      <c r="D106" s="143" t="s">
        <v>3444</v>
      </c>
      <c r="E106" s="145" t="s">
        <v>3876</v>
      </c>
      <c r="F106" s="145" t="s">
        <v>3876</v>
      </c>
      <c r="G106" s="143" t="s">
        <v>3445</v>
      </c>
      <c r="H106" s="143" t="s">
        <v>3446</v>
      </c>
      <c r="I106" s="143" t="s">
        <v>312</v>
      </c>
      <c r="J106" s="143" t="s">
        <v>1210</v>
      </c>
      <c r="K106" s="163">
        <v>45131</v>
      </c>
      <c r="L106" s="144">
        <v>27105.001</v>
      </c>
      <c r="M106" s="144">
        <v>27105.001</v>
      </c>
      <c r="N106" s="144">
        <v>11794.378000000001</v>
      </c>
      <c r="O106" s="144">
        <v>11794.378000000001</v>
      </c>
      <c r="P106" s="170">
        <v>0.4351366008066187</v>
      </c>
      <c r="Q106" s="174">
        <v>46996</v>
      </c>
      <c r="R106" s="181"/>
    </row>
    <row r="107" spans="1:18" ht="15" x14ac:dyDescent="0.2">
      <c r="A107" s="142" t="s">
        <v>1220</v>
      </c>
      <c r="B107" s="143" t="s">
        <v>1220</v>
      </c>
      <c r="C107" s="170" t="s">
        <v>1068</v>
      </c>
      <c r="D107" s="143" t="s">
        <v>3424</v>
      </c>
      <c r="E107" s="145" t="s">
        <v>3876</v>
      </c>
      <c r="F107" s="145" t="s">
        <v>3876</v>
      </c>
      <c r="G107" s="143" t="s">
        <v>3425</v>
      </c>
      <c r="H107" s="143" t="s">
        <v>3426</v>
      </c>
      <c r="I107" s="143" t="s">
        <v>312</v>
      </c>
      <c r="J107" s="143" t="s">
        <v>1210</v>
      </c>
      <c r="K107" s="163">
        <v>45250</v>
      </c>
      <c r="L107" s="144">
        <v>48573.053</v>
      </c>
      <c r="M107" s="144">
        <v>48573.053</v>
      </c>
      <c r="N107" s="144">
        <v>14571.915999999999</v>
      </c>
      <c r="O107" s="144">
        <v>14571.915999999999</v>
      </c>
      <c r="P107" s="170">
        <v>0.30000000205875466</v>
      </c>
      <c r="Q107" s="174">
        <v>46691</v>
      </c>
      <c r="R107" s="181"/>
    </row>
    <row r="108" spans="1:18" ht="15" x14ac:dyDescent="0.2">
      <c r="A108" s="142" t="s">
        <v>1220</v>
      </c>
      <c r="B108" s="143" t="s">
        <v>1220</v>
      </c>
      <c r="C108" s="170" t="s">
        <v>1068</v>
      </c>
      <c r="D108" s="143" t="s">
        <v>3529</v>
      </c>
      <c r="E108" s="145" t="s">
        <v>3876</v>
      </c>
      <c r="F108" s="145" t="s">
        <v>3876</v>
      </c>
      <c r="G108" s="143" t="s">
        <v>3530</v>
      </c>
      <c r="H108" s="143" t="s">
        <v>3531</v>
      </c>
      <c r="I108" s="143" t="s">
        <v>312</v>
      </c>
      <c r="J108" s="143" t="s">
        <v>1211</v>
      </c>
      <c r="K108" s="163">
        <v>44767</v>
      </c>
      <c r="L108" s="144">
        <v>7255.4639297214999</v>
      </c>
      <c r="M108" s="144">
        <v>27273.288911823118</v>
      </c>
      <c r="N108" s="144">
        <v>225.44992972149979</v>
      </c>
      <c r="O108" s="144">
        <v>847.46628582311769</v>
      </c>
      <c r="P108" s="170">
        <v>3.1073123911202972E-2</v>
      </c>
      <c r="Q108" s="174">
        <v>45657</v>
      </c>
      <c r="R108" s="181"/>
    </row>
    <row r="109" spans="1:18" ht="15" x14ac:dyDescent="0.2">
      <c r="A109" s="142" t="s">
        <v>1220</v>
      </c>
      <c r="B109" s="143" t="s">
        <v>1220</v>
      </c>
      <c r="C109" s="170" t="s">
        <v>1068</v>
      </c>
      <c r="D109" s="143" t="s">
        <v>3298</v>
      </c>
      <c r="E109" s="145" t="s">
        <v>3876</v>
      </c>
      <c r="F109" s="145" t="s">
        <v>3876</v>
      </c>
      <c r="G109" s="143" t="s">
        <v>3299</v>
      </c>
      <c r="H109" s="143" t="s">
        <v>3300</v>
      </c>
      <c r="I109" s="143" t="s">
        <v>312</v>
      </c>
      <c r="J109" s="143" t="s">
        <v>1211</v>
      </c>
      <c r="K109" s="163">
        <v>45251</v>
      </c>
      <c r="L109" s="144">
        <v>10433.111000000001</v>
      </c>
      <c r="M109" s="144">
        <v>39218.064248999995</v>
      </c>
      <c r="N109" s="144">
        <v>3101.3679999999999</v>
      </c>
      <c r="O109" s="144">
        <v>11658.042312</v>
      </c>
      <c r="P109" s="170">
        <v>0.29726205347570822</v>
      </c>
      <c r="Q109" s="174">
        <v>45291</v>
      </c>
      <c r="R109" s="181"/>
    </row>
    <row r="110" spans="1:18" ht="15" x14ac:dyDescent="0.2">
      <c r="A110" s="142" t="s">
        <v>1220</v>
      </c>
      <c r="B110" s="143" t="s">
        <v>1220</v>
      </c>
      <c r="C110" s="170" t="s">
        <v>1068</v>
      </c>
      <c r="D110" s="143" t="s">
        <v>3447</v>
      </c>
      <c r="E110" s="145" t="s">
        <v>3876</v>
      </c>
      <c r="F110" s="145" t="s">
        <v>3876</v>
      </c>
      <c r="G110" s="143" t="s">
        <v>3433</v>
      </c>
      <c r="H110" s="143" t="s">
        <v>3448</v>
      </c>
      <c r="I110" s="143" t="s">
        <v>312</v>
      </c>
      <c r="J110" s="143" t="s">
        <v>1210</v>
      </c>
      <c r="K110" s="163">
        <v>45369</v>
      </c>
      <c r="L110" s="144">
        <v>13706.379000000001</v>
      </c>
      <c r="M110" s="144">
        <v>13706.379000000001</v>
      </c>
      <c r="N110" s="144">
        <v>6060.7039999999997</v>
      </c>
      <c r="O110" s="144">
        <v>6060.7039999999997</v>
      </c>
      <c r="P110" s="170">
        <v>0.44218126465056889</v>
      </c>
      <c r="Q110" s="174">
        <v>45473</v>
      </c>
      <c r="R110" s="181"/>
    </row>
    <row r="111" spans="1:18" ht="15" x14ac:dyDescent="0.2">
      <c r="A111" s="142" t="s">
        <v>1220</v>
      </c>
      <c r="B111" s="143" t="s">
        <v>1220</v>
      </c>
      <c r="C111" s="170" t="s">
        <v>1068</v>
      </c>
      <c r="D111" s="143" t="s">
        <v>314</v>
      </c>
      <c r="E111" s="145" t="s">
        <v>3876</v>
      </c>
      <c r="F111" s="145" t="s">
        <v>3876</v>
      </c>
      <c r="G111" s="143" t="s">
        <v>3583</v>
      </c>
      <c r="H111" s="143" t="s">
        <v>3584</v>
      </c>
      <c r="I111" s="143" t="s">
        <v>312</v>
      </c>
      <c r="J111" s="143" t="s">
        <v>1213</v>
      </c>
      <c r="K111" s="163">
        <v>45350</v>
      </c>
      <c r="L111" s="144">
        <v>8362.5614740354504</v>
      </c>
      <c r="M111" s="144">
        <v>33619.169637917315</v>
      </c>
      <c r="N111" s="144">
        <v>2139.65007403545</v>
      </c>
      <c r="O111" s="144">
        <v>8601.821227637316</v>
      </c>
      <c r="P111" s="170">
        <v>0.2558606092976124</v>
      </c>
      <c r="Q111" s="174">
        <v>46203</v>
      </c>
      <c r="R111" s="181"/>
    </row>
    <row r="112" spans="1:18" ht="15" x14ac:dyDescent="0.2">
      <c r="A112" s="142" t="s">
        <v>1220</v>
      </c>
      <c r="B112" s="143" t="s">
        <v>1220</v>
      </c>
      <c r="C112" s="170" t="s">
        <v>1068</v>
      </c>
      <c r="D112" s="143" t="s">
        <v>3237</v>
      </c>
      <c r="E112" s="145" t="s">
        <v>3876</v>
      </c>
      <c r="F112" s="145" t="s">
        <v>3876</v>
      </c>
      <c r="G112" s="143" t="s">
        <v>3238</v>
      </c>
      <c r="H112" s="143" t="s">
        <v>3239</v>
      </c>
      <c r="I112" s="143" t="s">
        <v>312</v>
      </c>
      <c r="J112" s="143" t="s">
        <v>1211</v>
      </c>
      <c r="K112" s="163">
        <v>45159</v>
      </c>
      <c r="L112" s="144">
        <v>10459.924000000001</v>
      </c>
      <c r="M112" s="144">
        <v>39318.854315999997</v>
      </c>
      <c r="N112" s="144">
        <v>6819.8699900000001</v>
      </c>
      <c r="O112" s="144">
        <v>25635.89129241</v>
      </c>
      <c r="P112" s="170">
        <v>0.651999956213831</v>
      </c>
      <c r="Q112" s="174">
        <v>47848</v>
      </c>
      <c r="R112" s="181"/>
    </row>
    <row r="113" spans="1:18" ht="15" x14ac:dyDescent="0.2">
      <c r="A113" s="142" t="s">
        <v>1220</v>
      </c>
      <c r="B113" s="143" t="s">
        <v>1220</v>
      </c>
      <c r="C113" s="170" t="s">
        <v>1068</v>
      </c>
      <c r="D113" s="143" t="s">
        <v>3465</v>
      </c>
      <c r="E113" s="145" t="s">
        <v>3876</v>
      </c>
      <c r="F113" s="145" t="s">
        <v>3876</v>
      </c>
      <c r="G113" s="143" t="s">
        <v>3466</v>
      </c>
      <c r="H113" s="143" t="s">
        <v>3467</v>
      </c>
      <c r="I113" s="143" t="s">
        <v>312</v>
      </c>
      <c r="J113" s="143" t="s">
        <v>1213</v>
      </c>
      <c r="K113" s="163">
        <v>45222</v>
      </c>
      <c r="L113" s="144">
        <v>11298</v>
      </c>
      <c r="M113" s="144">
        <v>45420.219600000004</v>
      </c>
      <c r="N113" s="144">
        <v>2993.9699900000001</v>
      </c>
      <c r="O113" s="144">
        <v>12036.358153798001</v>
      </c>
      <c r="P113" s="170">
        <v>0.26499999911488759</v>
      </c>
      <c r="Q113" s="174">
        <v>48305</v>
      </c>
      <c r="R113" s="181"/>
    </row>
    <row r="114" spans="1:18" ht="15" x14ac:dyDescent="0.2">
      <c r="A114" s="142" t="s">
        <v>1220</v>
      </c>
      <c r="B114" s="143" t="s">
        <v>1220</v>
      </c>
      <c r="C114" s="170" t="s">
        <v>1068</v>
      </c>
      <c r="D114" s="143" t="s">
        <v>314</v>
      </c>
      <c r="E114" s="145" t="s">
        <v>3876</v>
      </c>
      <c r="F114" s="145" t="s">
        <v>3876</v>
      </c>
      <c r="G114" s="143" t="s">
        <v>3563</v>
      </c>
      <c r="H114" s="143" t="s">
        <v>3564</v>
      </c>
      <c r="I114" s="143" t="s">
        <v>312</v>
      </c>
      <c r="J114" s="143" t="s">
        <v>1211</v>
      </c>
      <c r="K114" s="163">
        <v>44699</v>
      </c>
      <c r="L114" s="144">
        <v>634</v>
      </c>
      <c r="M114" s="144">
        <v>2383.2060000000001</v>
      </c>
      <c r="N114" s="144">
        <v>12.184969999999971</v>
      </c>
      <c r="O114" s="144">
        <v>45.803302229999893</v>
      </c>
      <c r="P114" s="170">
        <v>1.9219195583596169E-2</v>
      </c>
      <c r="Q114" s="174">
        <v>46387</v>
      </c>
      <c r="R114" s="181"/>
    </row>
    <row r="115" spans="1:18" ht="15" x14ac:dyDescent="0.2">
      <c r="A115" s="142" t="s">
        <v>1220</v>
      </c>
      <c r="B115" s="143" t="s">
        <v>1220</v>
      </c>
      <c r="C115" s="170" t="s">
        <v>1068</v>
      </c>
      <c r="D115" s="143" t="s">
        <v>3480</v>
      </c>
      <c r="E115" s="145" t="s">
        <v>3876</v>
      </c>
      <c r="F115" s="145" t="s">
        <v>3876</v>
      </c>
      <c r="G115" s="143" t="s">
        <v>3481</v>
      </c>
      <c r="H115" s="143" t="s">
        <v>3482</v>
      </c>
      <c r="I115" s="143" t="s">
        <v>312</v>
      </c>
      <c r="J115" s="143" t="s">
        <v>1211</v>
      </c>
      <c r="K115" s="163">
        <v>45259</v>
      </c>
      <c r="L115" s="144">
        <v>15064</v>
      </c>
      <c r="M115" s="144">
        <v>56625.576000000001</v>
      </c>
      <c r="N115" s="144">
        <v>12126.995989999999</v>
      </c>
      <c r="O115" s="144">
        <v>45585.377926409994</v>
      </c>
      <c r="P115" s="170">
        <v>0.80503159784917677</v>
      </c>
      <c r="Q115" s="174">
        <v>48307</v>
      </c>
      <c r="R115" s="181"/>
    </row>
    <row r="116" spans="1:18" ht="15" x14ac:dyDescent="0.2">
      <c r="A116" s="142" t="s">
        <v>1220</v>
      </c>
      <c r="B116" s="143" t="s">
        <v>1220</v>
      </c>
      <c r="C116" s="170" t="s">
        <v>1068</v>
      </c>
      <c r="D116" s="143" t="s">
        <v>3328</v>
      </c>
      <c r="E116" s="145" t="s">
        <v>3876</v>
      </c>
      <c r="F116" s="145" t="s">
        <v>3876</v>
      </c>
      <c r="G116" s="143" t="s">
        <v>3329</v>
      </c>
      <c r="H116" s="143" t="s">
        <v>3330</v>
      </c>
      <c r="I116" s="143" t="s">
        <v>312</v>
      </c>
      <c r="J116" s="143" t="s">
        <v>1211</v>
      </c>
      <c r="K116" s="163">
        <v>45365</v>
      </c>
      <c r="L116" s="144">
        <v>11298</v>
      </c>
      <c r="M116" s="144">
        <v>42469.182000000001</v>
      </c>
      <c r="N116" s="144">
        <v>7692.7380000000003</v>
      </c>
      <c r="O116" s="144">
        <v>28917.002142000001</v>
      </c>
      <c r="P116" s="170">
        <v>0.68089378651088694</v>
      </c>
      <c r="Q116" s="174">
        <v>47848</v>
      </c>
      <c r="R116" s="181"/>
    </row>
    <row r="117" spans="1:18" ht="15" x14ac:dyDescent="0.2">
      <c r="A117" s="142" t="s">
        <v>1220</v>
      </c>
      <c r="B117" s="143" t="s">
        <v>1220</v>
      </c>
      <c r="C117" s="170" t="s">
        <v>1068</v>
      </c>
      <c r="D117" s="143" t="s">
        <v>3480</v>
      </c>
      <c r="E117" s="145" t="s">
        <v>3876</v>
      </c>
      <c r="F117" s="145" t="s">
        <v>3876</v>
      </c>
      <c r="G117" s="143" t="s">
        <v>3488</v>
      </c>
      <c r="H117" s="143" t="s">
        <v>3489</v>
      </c>
      <c r="I117" s="143" t="s">
        <v>312</v>
      </c>
      <c r="J117" s="143" t="s">
        <v>1211</v>
      </c>
      <c r="K117" s="163">
        <v>44651</v>
      </c>
      <c r="L117" s="144">
        <v>1506.4</v>
      </c>
      <c r="M117" s="144">
        <v>5662.5575999999992</v>
      </c>
      <c r="N117" s="144">
        <v>1506.3999899999999</v>
      </c>
      <c r="O117" s="144">
        <v>5662.5575624100002</v>
      </c>
      <c r="P117" s="170">
        <v>0.9999999933616569</v>
      </c>
      <c r="Q117" s="174">
        <v>48307</v>
      </c>
      <c r="R117" s="181"/>
    </row>
    <row r="118" spans="1:18" ht="15" x14ac:dyDescent="0.2">
      <c r="A118" s="142" t="s">
        <v>1220</v>
      </c>
      <c r="B118" s="143" t="s">
        <v>1220</v>
      </c>
      <c r="C118" s="170" t="s">
        <v>1068</v>
      </c>
      <c r="D118" s="143" t="s">
        <v>3421</v>
      </c>
      <c r="E118" s="145" t="s">
        <v>3876</v>
      </c>
      <c r="F118" s="145" t="s">
        <v>3876</v>
      </c>
      <c r="G118" s="143" t="s">
        <v>3422</v>
      </c>
      <c r="H118" s="143" t="s">
        <v>3423</v>
      </c>
      <c r="I118" s="143" t="s">
        <v>312</v>
      </c>
      <c r="J118" s="143" t="s">
        <v>1210</v>
      </c>
      <c r="K118" s="163">
        <v>45271</v>
      </c>
      <c r="L118" s="144">
        <v>48650.273999999998</v>
      </c>
      <c r="M118" s="144">
        <v>48650.273999999998</v>
      </c>
      <c r="N118" s="144">
        <v>16100.061</v>
      </c>
      <c r="O118" s="144">
        <v>16100.061</v>
      </c>
      <c r="P118" s="170">
        <v>0.33093464180695054</v>
      </c>
      <c r="Q118" s="174">
        <v>46721</v>
      </c>
      <c r="R118" s="181"/>
    </row>
    <row r="119" spans="1:18" ht="15" x14ac:dyDescent="0.2">
      <c r="A119" s="142" t="s">
        <v>1220</v>
      </c>
      <c r="B119" s="143" t="s">
        <v>1220</v>
      </c>
      <c r="C119" s="170" t="s">
        <v>1068</v>
      </c>
      <c r="D119" s="143" t="s">
        <v>3585</v>
      </c>
      <c r="E119" s="145" t="s">
        <v>3876</v>
      </c>
      <c r="F119" s="145" t="s">
        <v>3876</v>
      </c>
      <c r="G119" s="143" t="s">
        <v>3586</v>
      </c>
      <c r="H119" s="143" t="s">
        <v>3587</v>
      </c>
      <c r="I119" s="143" t="s">
        <v>312</v>
      </c>
      <c r="J119" s="143" t="s">
        <v>1211</v>
      </c>
      <c r="K119" s="163">
        <v>45362</v>
      </c>
      <c r="L119" s="144">
        <v>4358.3019999999997</v>
      </c>
      <c r="M119" s="144">
        <v>16382.857218000001</v>
      </c>
      <c r="N119" s="144">
        <v>871.65899999999999</v>
      </c>
      <c r="O119" s="144">
        <v>3276.5661809999997</v>
      </c>
      <c r="P119" s="170">
        <v>0.19999967877398123</v>
      </c>
      <c r="Q119" s="174">
        <v>48883</v>
      </c>
      <c r="R119" s="181"/>
    </row>
    <row r="120" spans="1:18" ht="15" x14ac:dyDescent="0.2">
      <c r="A120" s="142" t="s">
        <v>1220</v>
      </c>
      <c r="B120" s="143" t="s">
        <v>1220</v>
      </c>
      <c r="C120" s="170" t="s">
        <v>1068</v>
      </c>
      <c r="D120" s="143" t="s">
        <v>3535</v>
      </c>
      <c r="E120" s="145" t="s">
        <v>3876</v>
      </c>
      <c r="F120" s="145" t="s">
        <v>3876</v>
      </c>
      <c r="G120" s="143" t="s">
        <v>3509</v>
      </c>
      <c r="H120" s="143" t="s">
        <v>3536</v>
      </c>
      <c r="I120" s="143" t="s">
        <v>312</v>
      </c>
      <c r="J120" s="143" t="s">
        <v>1211</v>
      </c>
      <c r="K120" s="163">
        <v>45449</v>
      </c>
      <c r="L120" s="144">
        <v>11700</v>
      </c>
      <c r="M120" s="144">
        <v>43980.3</v>
      </c>
      <c r="N120" s="144">
        <v>6059.0559999999996</v>
      </c>
      <c r="O120" s="144">
        <v>22775.991504000001</v>
      </c>
      <c r="P120" s="170">
        <v>0.51786803418803418</v>
      </c>
      <c r="Q120" s="174">
        <v>49101</v>
      </c>
      <c r="R120" s="181"/>
    </row>
    <row r="121" spans="1:18" ht="15" x14ac:dyDescent="0.2">
      <c r="A121" s="142" t="s">
        <v>1220</v>
      </c>
      <c r="B121" s="143" t="s">
        <v>1220</v>
      </c>
      <c r="C121" s="170" t="s">
        <v>1068</v>
      </c>
      <c r="D121" s="143" t="s">
        <v>3325</v>
      </c>
      <c r="E121" s="145" t="s">
        <v>3876</v>
      </c>
      <c r="F121" s="145" t="s">
        <v>3876</v>
      </c>
      <c r="G121" s="143" t="s">
        <v>3326</v>
      </c>
      <c r="H121" s="143" t="s">
        <v>3327</v>
      </c>
      <c r="I121" s="143" t="s">
        <v>312</v>
      </c>
      <c r="J121" s="143" t="s">
        <v>1211</v>
      </c>
      <c r="K121" s="163">
        <v>45370</v>
      </c>
      <c r="L121" s="144">
        <v>9406.1710000000003</v>
      </c>
      <c r="M121" s="144">
        <v>35357.796789</v>
      </c>
      <c r="N121" s="144">
        <v>2790.1950000000002</v>
      </c>
      <c r="O121" s="144">
        <v>10488.343004999999</v>
      </c>
      <c r="P121" s="170">
        <v>0.29663451791382489</v>
      </c>
      <c r="Q121" s="174">
        <v>47093</v>
      </c>
      <c r="R121" s="181"/>
    </row>
    <row r="122" spans="1:18" ht="15" x14ac:dyDescent="0.2">
      <c r="A122" s="142" t="s">
        <v>1220</v>
      </c>
      <c r="B122" s="143" t="s">
        <v>1220</v>
      </c>
      <c r="C122" s="170" t="s">
        <v>1068</v>
      </c>
      <c r="D122" s="143" t="s">
        <v>3551</v>
      </c>
      <c r="E122" s="145" t="s">
        <v>3876</v>
      </c>
      <c r="F122" s="145" t="s">
        <v>3876</v>
      </c>
      <c r="G122" s="143" t="s">
        <v>3552</v>
      </c>
      <c r="H122" s="143" t="s">
        <v>3553</v>
      </c>
      <c r="I122" s="143" t="s">
        <v>312</v>
      </c>
      <c r="J122" s="143" t="s">
        <v>1211</v>
      </c>
      <c r="K122" s="163">
        <v>45140</v>
      </c>
      <c r="L122" s="144">
        <v>6894.0730000000003</v>
      </c>
      <c r="M122" s="144">
        <v>25914.820406999999</v>
      </c>
      <c r="N122" s="144">
        <v>620.46686000000045</v>
      </c>
      <c r="O122" s="144">
        <v>2332.3349267400013</v>
      </c>
      <c r="P122" s="170">
        <v>9.0000042065118899E-2</v>
      </c>
      <c r="Q122" s="174">
        <v>46842</v>
      </c>
      <c r="R122" s="181"/>
    </row>
    <row r="123" spans="1:18" ht="15" x14ac:dyDescent="0.2">
      <c r="A123" s="142" t="s">
        <v>1220</v>
      </c>
      <c r="B123" s="143" t="s">
        <v>1220</v>
      </c>
      <c r="C123" s="170" t="s">
        <v>1068</v>
      </c>
      <c r="D123" s="143" t="s">
        <v>3399</v>
      </c>
      <c r="E123" s="145" t="s">
        <v>3876</v>
      </c>
      <c r="F123" s="145" t="s">
        <v>3876</v>
      </c>
      <c r="G123" s="143" t="s">
        <v>3400</v>
      </c>
      <c r="H123" s="143" t="s">
        <v>3401</v>
      </c>
      <c r="I123" s="143" t="s">
        <v>312</v>
      </c>
      <c r="J123" s="143" t="s">
        <v>1211</v>
      </c>
      <c r="K123" s="163">
        <v>45281</v>
      </c>
      <c r="L123" s="144">
        <v>13842.651380000001</v>
      </c>
      <c r="M123" s="144">
        <v>52034.526537420003</v>
      </c>
      <c r="N123" s="144">
        <v>2346.3303800000008</v>
      </c>
      <c r="O123" s="144">
        <v>8819.8558984200026</v>
      </c>
      <c r="P123" s="170">
        <v>0.16950007015202317</v>
      </c>
      <c r="Q123" s="174">
        <v>47938</v>
      </c>
      <c r="R123" s="181"/>
    </row>
    <row r="124" spans="1:18" ht="15" x14ac:dyDescent="0.2">
      <c r="A124" s="142" t="s">
        <v>1220</v>
      </c>
      <c r="B124" s="143" t="s">
        <v>1220</v>
      </c>
      <c r="C124" s="170" t="s">
        <v>1068</v>
      </c>
      <c r="D124" s="143" t="s">
        <v>3560</v>
      </c>
      <c r="E124" s="145" t="s">
        <v>3876</v>
      </c>
      <c r="F124" s="145" t="s">
        <v>3876</v>
      </c>
      <c r="G124" s="143" t="s">
        <v>3561</v>
      </c>
      <c r="H124" s="143" t="s">
        <v>3562</v>
      </c>
      <c r="I124" s="143" t="s">
        <v>312</v>
      </c>
      <c r="J124" s="143" t="s">
        <v>1211</v>
      </c>
      <c r="K124" s="163">
        <v>45365</v>
      </c>
      <c r="L124" s="144">
        <v>6275.9560000000001</v>
      </c>
      <c r="M124" s="144">
        <v>23591.318604</v>
      </c>
      <c r="N124" s="144">
        <v>3012.4588699999999</v>
      </c>
      <c r="O124" s="144">
        <v>11323.83289233</v>
      </c>
      <c r="P124" s="170">
        <v>0.47999999840661728</v>
      </c>
      <c r="Q124" s="174">
        <v>45688</v>
      </c>
      <c r="R124" s="181"/>
    </row>
    <row r="125" spans="1:18" ht="15" x14ac:dyDescent="0.2">
      <c r="A125" s="142" t="s">
        <v>1220</v>
      </c>
      <c r="B125" s="143" t="s">
        <v>1220</v>
      </c>
      <c r="C125" s="170" t="s">
        <v>1068</v>
      </c>
      <c r="D125" s="143" t="s">
        <v>314</v>
      </c>
      <c r="E125" s="145" t="s">
        <v>3876</v>
      </c>
      <c r="F125" s="145" t="s">
        <v>3876</v>
      </c>
      <c r="G125" s="143" t="s">
        <v>3595</v>
      </c>
      <c r="H125" s="143" t="s">
        <v>3596</v>
      </c>
      <c r="I125" s="143" t="s">
        <v>312</v>
      </c>
      <c r="J125" s="143" t="s">
        <v>1211</v>
      </c>
      <c r="K125" s="163">
        <v>45225</v>
      </c>
      <c r="L125" s="144">
        <v>5272.4</v>
      </c>
      <c r="M125" s="144">
        <v>19818.951599999997</v>
      </c>
      <c r="N125" s="144">
        <v>3448.8640000000005</v>
      </c>
      <c r="O125" s="144">
        <v>12964.279776000001</v>
      </c>
      <c r="P125" s="170">
        <v>0.65413549806539728</v>
      </c>
      <c r="Q125" s="174">
        <v>49309</v>
      </c>
      <c r="R125" s="181"/>
    </row>
    <row r="126" spans="1:18" ht="15" x14ac:dyDescent="0.2">
      <c r="A126" s="142" t="s">
        <v>1220</v>
      </c>
      <c r="B126" s="143" t="s">
        <v>1220</v>
      </c>
      <c r="C126" s="170" t="s">
        <v>1068</v>
      </c>
      <c r="D126" s="143" t="s">
        <v>3511</v>
      </c>
      <c r="E126" s="145" t="s">
        <v>3876</v>
      </c>
      <c r="F126" s="145" t="s">
        <v>3876</v>
      </c>
      <c r="G126" s="143" t="s">
        <v>3512</v>
      </c>
      <c r="H126" s="143" t="s">
        <v>3513</v>
      </c>
      <c r="I126" s="143" t="s">
        <v>312</v>
      </c>
      <c r="J126" s="143" t="s">
        <v>1211</v>
      </c>
      <c r="K126" s="163">
        <v>45362</v>
      </c>
      <c r="L126" s="144">
        <v>17382.902320000001</v>
      </c>
      <c r="M126" s="144">
        <v>65342.329820879997</v>
      </c>
      <c r="N126" s="144">
        <v>2872.0539100000001</v>
      </c>
      <c r="O126" s="144">
        <v>10796.050647690001</v>
      </c>
      <c r="P126" s="170">
        <v>0.16522292176120335</v>
      </c>
      <c r="Q126" s="174">
        <v>46748</v>
      </c>
      <c r="R126" s="181"/>
    </row>
    <row r="127" spans="1:18" ht="15" x14ac:dyDescent="0.2">
      <c r="A127" s="142" t="s">
        <v>1220</v>
      </c>
      <c r="B127" s="143" t="s">
        <v>1220</v>
      </c>
      <c r="C127" s="170" t="s">
        <v>1068</v>
      </c>
      <c r="D127" s="143" t="s">
        <v>3493</v>
      </c>
      <c r="E127" s="145" t="s">
        <v>3876</v>
      </c>
      <c r="F127" s="145" t="s">
        <v>3876</v>
      </c>
      <c r="G127" s="143" t="s">
        <v>3494</v>
      </c>
      <c r="H127" s="143" t="s">
        <v>3495</v>
      </c>
      <c r="I127" s="143" t="s">
        <v>312</v>
      </c>
      <c r="J127" s="143" t="s">
        <v>1210</v>
      </c>
      <c r="K127" s="163">
        <v>45378</v>
      </c>
      <c r="L127" s="144">
        <v>26362</v>
      </c>
      <c r="M127" s="144">
        <v>26362</v>
      </c>
      <c r="N127" s="144">
        <v>8250.0480000000007</v>
      </c>
      <c r="O127" s="144">
        <v>8250.0480000000007</v>
      </c>
      <c r="P127" s="170">
        <v>0.31295227979667706</v>
      </c>
      <c r="Q127" s="174">
        <v>48286</v>
      </c>
      <c r="R127" s="181"/>
    </row>
    <row r="128" spans="1:18" ht="15" x14ac:dyDescent="0.2">
      <c r="A128" s="142" t="s">
        <v>1220</v>
      </c>
      <c r="B128" s="143" t="s">
        <v>1220</v>
      </c>
      <c r="C128" s="170" t="s">
        <v>1068</v>
      </c>
      <c r="D128" s="143" t="s">
        <v>3435</v>
      </c>
      <c r="E128" s="145" t="s">
        <v>3876</v>
      </c>
      <c r="F128" s="145" t="s">
        <v>3876</v>
      </c>
      <c r="G128" s="143" t="s">
        <v>3436</v>
      </c>
      <c r="H128" s="143" t="s">
        <v>3437</v>
      </c>
      <c r="I128" s="143" t="s">
        <v>312</v>
      </c>
      <c r="J128" s="143" t="s">
        <v>1210</v>
      </c>
      <c r="K128" s="163">
        <v>45382</v>
      </c>
      <c r="L128" s="144">
        <v>37660</v>
      </c>
      <c r="M128" s="144">
        <v>37660</v>
      </c>
      <c r="N128" s="144">
        <v>22160.868999999999</v>
      </c>
      <c r="O128" s="144">
        <v>22160.868999999999</v>
      </c>
      <c r="P128" s="170">
        <v>0.58844580456717999</v>
      </c>
      <c r="Q128" s="174">
        <v>48944</v>
      </c>
      <c r="R128" s="181"/>
    </row>
    <row r="129" spans="1:18" ht="15" x14ac:dyDescent="0.2">
      <c r="A129" s="142" t="s">
        <v>1220</v>
      </c>
      <c r="B129" s="143" t="s">
        <v>1220</v>
      </c>
      <c r="C129" s="170" t="s">
        <v>1068</v>
      </c>
      <c r="D129" s="143" t="s">
        <v>3474</v>
      </c>
      <c r="E129" s="145" t="s">
        <v>3876</v>
      </c>
      <c r="F129" s="145" t="s">
        <v>3876</v>
      </c>
      <c r="G129" s="143" t="s">
        <v>3475</v>
      </c>
      <c r="H129" s="143" t="s">
        <v>3476</v>
      </c>
      <c r="I129" s="143" t="s">
        <v>312</v>
      </c>
      <c r="J129" s="143" t="s">
        <v>1213</v>
      </c>
      <c r="K129" s="163">
        <v>45369</v>
      </c>
      <c r="L129" s="144">
        <v>11298</v>
      </c>
      <c r="M129" s="144">
        <v>45420.219600000004</v>
      </c>
      <c r="N129" s="144">
        <v>6225.9381299999995</v>
      </c>
      <c r="O129" s="144">
        <v>25029.516470226001</v>
      </c>
      <c r="P129" s="170">
        <v>0.55106550982474778</v>
      </c>
      <c r="Q129" s="174">
        <v>48884</v>
      </c>
      <c r="R129" s="181"/>
    </row>
    <row r="130" spans="1:18" ht="15" x14ac:dyDescent="0.2">
      <c r="A130" s="142" t="s">
        <v>1220</v>
      </c>
      <c r="B130" s="143" t="s">
        <v>1220</v>
      </c>
      <c r="C130" s="170" t="s">
        <v>1068</v>
      </c>
      <c r="D130" s="143" t="s">
        <v>3252</v>
      </c>
      <c r="E130" s="145" t="s">
        <v>3876</v>
      </c>
      <c r="F130" s="145" t="s">
        <v>3876</v>
      </c>
      <c r="G130" s="143" t="s">
        <v>3253</v>
      </c>
      <c r="H130" s="143" t="s">
        <v>3254</v>
      </c>
      <c r="I130" s="143" t="s">
        <v>312</v>
      </c>
      <c r="J130" s="143" t="s">
        <v>1211</v>
      </c>
      <c r="K130" s="163">
        <v>45316</v>
      </c>
      <c r="L130" s="144">
        <v>7532</v>
      </c>
      <c r="M130" s="144">
        <v>28312.788</v>
      </c>
      <c r="N130" s="144">
        <v>5554.85</v>
      </c>
      <c r="O130" s="144">
        <v>20880.681149999997</v>
      </c>
      <c r="P130" s="170">
        <v>0.73749999999999993</v>
      </c>
      <c r="Q130" s="174">
        <v>47515</v>
      </c>
      <c r="R130" s="181"/>
    </row>
    <row r="131" spans="1:18" ht="15" x14ac:dyDescent="0.2">
      <c r="A131" s="142" t="s">
        <v>1220</v>
      </c>
      <c r="B131" s="143" t="s">
        <v>1220</v>
      </c>
      <c r="C131" s="170" t="s">
        <v>1068</v>
      </c>
      <c r="D131" s="143" t="s">
        <v>3354</v>
      </c>
      <c r="E131" s="145" t="s">
        <v>3876</v>
      </c>
      <c r="F131" s="145" t="s">
        <v>3876</v>
      </c>
      <c r="G131" s="143" t="s">
        <v>3355</v>
      </c>
      <c r="H131" s="143" t="s">
        <v>3356</v>
      </c>
      <c r="I131" s="143" t="s">
        <v>312</v>
      </c>
      <c r="J131" s="143" t="s">
        <v>1213</v>
      </c>
      <c r="K131" s="163">
        <v>45369</v>
      </c>
      <c r="L131" s="144">
        <v>11298</v>
      </c>
      <c r="M131" s="144">
        <v>45420.219600000004</v>
      </c>
      <c r="N131" s="144">
        <v>9334.1724600000016</v>
      </c>
      <c r="O131" s="144">
        <v>37525.240123692005</v>
      </c>
      <c r="P131" s="170">
        <v>0.82617918746680841</v>
      </c>
      <c r="Q131" s="174">
        <v>49021</v>
      </c>
      <c r="R131" s="181"/>
    </row>
    <row r="132" spans="1:18" ht="15" x14ac:dyDescent="0.2">
      <c r="A132" s="142" t="s">
        <v>1220</v>
      </c>
      <c r="B132" s="143" t="s">
        <v>1220</v>
      </c>
      <c r="C132" s="170" t="s">
        <v>1068</v>
      </c>
      <c r="D132" s="143" t="s">
        <v>3307</v>
      </c>
      <c r="E132" s="145" t="s">
        <v>3876</v>
      </c>
      <c r="F132" s="145" t="s">
        <v>3876</v>
      </c>
      <c r="G132" s="143" t="s">
        <v>3363</v>
      </c>
      <c r="H132" s="143" t="s">
        <v>3364</v>
      </c>
      <c r="I132" s="143" t="s">
        <v>312</v>
      </c>
      <c r="J132" s="143" t="s">
        <v>1213</v>
      </c>
      <c r="K132" s="163">
        <v>45306</v>
      </c>
      <c r="L132" s="144">
        <v>6238.7419600000003</v>
      </c>
      <c r="M132" s="144">
        <v>25080.990427591998</v>
      </c>
      <c r="N132" s="144">
        <v>4993.7975400000005</v>
      </c>
      <c r="O132" s="144">
        <v>20076.064870308001</v>
      </c>
      <c r="P132" s="170">
        <v>0.80044944509934512</v>
      </c>
      <c r="Q132" s="174">
        <v>50040</v>
      </c>
      <c r="R132" s="181"/>
    </row>
    <row r="133" spans="1:18" ht="15" x14ac:dyDescent="0.2">
      <c r="A133" s="142" t="s">
        <v>1220</v>
      </c>
      <c r="B133" s="143" t="s">
        <v>1220</v>
      </c>
      <c r="C133" s="170" t="s">
        <v>1068</v>
      </c>
      <c r="D133" s="143" t="s">
        <v>3485</v>
      </c>
      <c r="E133" s="145" t="s">
        <v>3876</v>
      </c>
      <c r="F133" s="145" t="s">
        <v>3876</v>
      </c>
      <c r="G133" s="143" t="s">
        <v>3486</v>
      </c>
      <c r="H133" s="143" t="s">
        <v>3487</v>
      </c>
      <c r="I133" s="143" t="s">
        <v>312</v>
      </c>
      <c r="J133" s="143" t="s">
        <v>1210</v>
      </c>
      <c r="K133" s="163">
        <v>45356</v>
      </c>
      <c r="L133" s="144">
        <v>37660</v>
      </c>
      <c r="M133" s="144">
        <v>37660</v>
      </c>
      <c r="N133" s="144">
        <v>30583.194</v>
      </c>
      <c r="O133" s="144">
        <v>30583.194</v>
      </c>
      <c r="P133" s="170">
        <v>0.81208693574083912</v>
      </c>
      <c r="Q133" s="174">
        <v>47848</v>
      </c>
      <c r="R133" s="181"/>
    </row>
    <row r="134" spans="1:18" ht="15" x14ac:dyDescent="0.2">
      <c r="A134" s="142" t="s">
        <v>1220</v>
      </c>
      <c r="B134" s="143" t="s">
        <v>1220</v>
      </c>
      <c r="C134" s="170" t="s">
        <v>1068</v>
      </c>
      <c r="D134" s="143" t="s">
        <v>3340</v>
      </c>
      <c r="E134" s="145" t="s">
        <v>3876</v>
      </c>
      <c r="F134" s="145" t="s">
        <v>3876</v>
      </c>
      <c r="G134" s="143" t="s">
        <v>3341</v>
      </c>
      <c r="H134" s="143" t="s">
        <v>3342</v>
      </c>
      <c r="I134" s="143" t="s">
        <v>312</v>
      </c>
      <c r="J134" s="143" t="s">
        <v>1211</v>
      </c>
      <c r="K134" s="163">
        <v>45342</v>
      </c>
      <c r="L134" s="144">
        <v>10518</v>
      </c>
      <c r="M134" s="144">
        <v>39537.161999999997</v>
      </c>
      <c r="N134" s="144">
        <v>7383.2309999999998</v>
      </c>
      <c r="O134" s="144">
        <v>27753.565329000001</v>
      </c>
      <c r="P134" s="170">
        <v>0.70196149458071877</v>
      </c>
      <c r="Q134" s="174">
        <v>48822</v>
      </c>
      <c r="R134" s="181"/>
    </row>
    <row r="135" spans="1:18" ht="15" x14ac:dyDescent="0.2">
      <c r="A135" s="142" t="s">
        <v>1220</v>
      </c>
      <c r="B135" s="143" t="s">
        <v>1220</v>
      </c>
      <c r="C135" s="170" t="s">
        <v>1068</v>
      </c>
      <c r="D135" s="143" t="s">
        <v>3396</v>
      </c>
      <c r="E135" s="145" t="s">
        <v>3876</v>
      </c>
      <c r="F135" s="145" t="s">
        <v>3876</v>
      </c>
      <c r="G135" s="143" t="s">
        <v>3397</v>
      </c>
      <c r="H135" s="143" t="s">
        <v>3398</v>
      </c>
      <c r="I135" s="143" t="s">
        <v>312</v>
      </c>
      <c r="J135" s="143" t="s">
        <v>1211</v>
      </c>
      <c r="K135" s="163">
        <v>45147</v>
      </c>
      <c r="L135" s="144">
        <v>17360.77</v>
      </c>
      <c r="M135" s="144">
        <v>65259.134429999998</v>
      </c>
      <c r="N135" s="144">
        <v>2951.3299999999995</v>
      </c>
      <c r="O135" s="144">
        <v>11094.049469999998</v>
      </c>
      <c r="P135" s="170">
        <v>0.16999994815898142</v>
      </c>
      <c r="Q135" s="174">
        <v>47573</v>
      </c>
      <c r="R135" s="181"/>
    </row>
    <row r="136" spans="1:18" ht="15" x14ac:dyDescent="0.2">
      <c r="A136" s="142" t="s">
        <v>1220</v>
      </c>
      <c r="B136" s="143" t="s">
        <v>1220</v>
      </c>
      <c r="C136" s="170" t="s">
        <v>1068</v>
      </c>
      <c r="D136" s="143" t="s">
        <v>3261</v>
      </c>
      <c r="E136" s="145" t="s">
        <v>3876</v>
      </c>
      <c r="F136" s="145" t="s">
        <v>3876</v>
      </c>
      <c r="G136" s="143" t="s">
        <v>3262</v>
      </c>
      <c r="H136" s="143" t="s">
        <v>3263</v>
      </c>
      <c r="I136" s="143" t="s">
        <v>312</v>
      </c>
      <c r="J136" s="143" t="s">
        <v>1211</v>
      </c>
      <c r="K136" s="163">
        <v>45362</v>
      </c>
      <c r="L136" s="144">
        <v>17346.528999999999</v>
      </c>
      <c r="M136" s="144">
        <v>65205.602510999997</v>
      </c>
      <c r="N136" s="144">
        <v>3989.7040000000002</v>
      </c>
      <c r="O136" s="144">
        <v>14997.297336</v>
      </c>
      <c r="P136" s="170">
        <v>0.23000013432082003</v>
      </c>
      <c r="Q136" s="174">
        <v>47483</v>
      </c>
      <c r="R136" s="181"/>
    </row>
    <row r="137" spans="1:18" ht="15" x14ac:dyDescent="0.2">
      <c r="A137" s="142" t="s">
        <v>1220</v>
      </c>
      <c r="B137" s="143" t="s">
        <v>1220</v>
      </c>
      <c r="C137" s="170" t="s">
        <v>1068</v>
      </c>
      <c r="D137" s="143" t="s">
        <v>3554</v>
      </c>
      <c r="E137" s="145" t="s">
        <v>3876</v>
      </c>
      <c r="F137" s="145" t="s">
        <v>3876</v>
      </c>
      <c r="G137" s="143" t="s">
        <v>3555</v>
      </c>
      <c r="H137" s="143" t="s">
        <v>3556</v>
      </c>
      <c r="I137" s="143" t="s">
        <v>312</v>
      </c>
      <c r="J137" s="143" t="s">
        <v>1211</v>
      </c>
      <c r="K137" s="163">
        <v>45369</v>
      </c>
      <c r="L137" s="144">
        <v>7027.64</v>
      </c>
      <c r="M137" s="144">
        <v>26416.898759999996</v>
      </c>
      <c r="N137" s="144">
        <v>4174.049</v>
      </c>
      <c r="O137" s="144">
        <v>15690.250190999999</v>
      </c>
      <c r="P137" s="170">
        <v>0.59394747027451611</v>
      </c>
      <c r="Q137" s="174">
        <v>48286</v>
      </c>
      <c r="R137" s="181"/>
    </row>
    <row r="138" spans="1:18" ht="15" x14ac:dyDescent="0.2">
      <c r="A138" s="142" t="s">
        <v>1220</v>
      </c>
      <c r="B138" s="143" t="s">
        <v>1220</v>
      </c>
      <c r="C138" s="170" t="s">
        <v>1068</v>
      </c>
      <c r="D138" s="143" t="s">
        <v>314</v>
      </c>
      <c r="E138" s="145" t="s">
        <v>3876</v>
      </c>
      <c r="F138" s="145" t="s">
        <v>3876</v>
      </c>
      <c r="G138" s="143" t="s">
        <v>3549</v>
      </c>
      <c r="H138" s="143" t="s">
        <v>3550</v>
      </c>
      <c r="I138" s="143" t="s">
        <v>312</v>
      </c>
      <c r="J138" s="143" t="s">
        <v>1213</v>
      </c>
      <c r="K138" s="163">
        <v>45365</v>
      </c>
      <c r="L138" s="144">
        <v>10426.954</v>
      </c>
      <c r="M138" s="144">
        <v>41918.4404708</v>
      </c>
      <c r="N138" s="144">
        <v>6956.3950000000004</v>
      </c>
      <c r="O138" s="144">
        <v>27966.099179000001</v>
      </c>
      <c r="P138" s="170">
        <v>0.66715504834873163</v>
      </c>
      <c r="Q138" s="174">
        <v>47664</v>
      </c>
      <c r="R138" s="181"/>
    </row>
    <row r="139" spans="1:18" ht="15" x14ac:dyDescent="0.2">
      <c r="A139" s="142" t="s">
        <v>1220</v>
      </c>
      <c r="B139" s="143" t="s">
        <v>1220</v>
      </c>
      <c r="C139" s="170" t="s">
        <v>1068</v>
      </c>
      <c r="D139" s="143" t="s">
        <v>3592</v>
      </c>
      <c r="E139" s="145" t="s">
        <v>3876</v>
      </c>
      <c r="F139" s="145" t="s">
        <v>3876</v>
      </c>
      <c r="G139" s="143" t="s">
        <v>3593</v>
      </c>
      <c r="H139" s="143" t="s">
        <v>3594</v>
      </c>
      <c r="I139" s="143" t="s">
        <v>312</v>
      </c>
      <c r="J139" s="143" t="s">
        <v>1211</v>
      </c>
      <c r="K139" s="163">
        <v>45369</v>
      </c>
      <c r="L139" s="144">
        <v>15064</v>
      </c>
      <c r="M139" s="144">
        <v>56625.576000000001</v>
      </c>
      <c r="N139" s="144">
        <v>12653.75999</v>
      </c>
      <c r="O139" s="144">
        <v>47565.483802410003</v>
      </c>
      <c r="P139" s="170">
        <v>0.83999999933616565</v>
      </c>
      <c r="Q139" s="174">
        <v>49490</v>
      </c>
      <c r="R139" s="181"/>
    </row>
    <row r="140" spans="1:18" ht="15" x14ac:dyDescent="0.2">
      <c r="A140" s="142" t="s">
        <v>1220</v>
      </c>
      <c r="B140" s="143" t="s">
        <v>1220</v>
      </c>
      <c r="C140" s="170" t="s">
        <v>1068</v>
      </c>
      <c r="D140" s="143" t="s">
        <v>3261</v>
      </c>
      <c r="E140" s="145" t="s">
        <v>3876</v>
      </c>
      <c r="F140" s="145" t="s">
        <v>3876</v>
      </c>
      <c r="G140" s="143" t="s">
        <v>3451</v>
      </c>
      <c r="H140" s="143" t="s">
        <v>3452</v>
      </c>
      <c r="I140" s="143" t="s">
        <v>312</v>
      </c>
      <c r="J140" s="143" t="s">
        <v>1211</v>
      </c>
      <c r="K140" s="163">
        <v>45271</v>
      </c>
      <c r="L140" s="144">
        <v>17530</v>
      </c>
      <c r="M140" s="144">
        <v>65895.27</v>
      </c>
      <c r="N140" s="144">
        <v>1753</v>
      </c>
      <c r="O140" s="144">
        <v>6589.527</v>
      </c>
      <c r="P140" s="170">
        <v>0.1</v>
      </c>
      <c r="Q140" s="174">
        <v>47745</v>
      </c>
      <c r="R140" s="181"/>
    </row>
    <row r="141" spans="1:18" ht="15" x14ac:dyDescent="0.2">
      <c r="A141" s="142" t="s">
        <v>1220</v>
      </c>
      <c r="B141" s="143" t="s">
        <v>1220</v>
      </c>
      <c r="C141" s="170" t="s">
        <v>1068</v>
      </c>
      <c r="D141" s="143" t="s">
        <v>3222</v>
      </c>
      <c r="E141" s="145" t="s">
        <v>3876</v>
      </c>
      <c r="F141" s="145" t="s">
        <v>3876</v>
      </c>
      <c r="G141" s="143" t="s">
        <v>3223</v>
      </c>
      <c r="H141" s="143" t="s">
        <v>3224</v>
      </c>
      <c r="I141" s="143" t="s">
        <v>312</v>
      </c>
      <c r="J141" s="143" t="s">
        <v>1211</v>
      </c>
      <c r="K141" s="163">
        <v>45169</v>
      </c>
      <c r="L141" s="144">
        <v>12724.078</v>
      </c>
      <c r="M141" s="144">
        <v>47829.809201999997</v>
      </c>
      <c r="N141" s="144">
        <v>2425.7779999999998</v>
      </c>
      <c r="O141" s="144">
        <v>9118.4995020000006</v>
      </c>
      <c r="P141" s="170">
        <v>0.19064469739968587</v>
      </c>
      <c r="Q141" s="174">
        <v>46265</v>
      </c>
      <c r="R141" s="181"/>
    </row>
    <row r="142" spans="1:18" ht="15" x14ac:dyDescent="0.2">
      <c r="A142" s="142" t="s">
        <v>1220</v>
      </c>
      <c r="B142" s="143" t="s">
        <v>1220</v>
      </c>
      <c r="C142" s="170" t="s">
        <v>1068</v>
      </c>
      <c r="D142" s="143" t="s">
        <v>3543</v>
      </c>
      <c r="E142" s="145" t="s">
        <v>3876</v>
      </c>
      <c r="F142" s="145" t="s">
        <v>3876</v>
      </c>
      <c r="G142" s="143" t="s">
        <v>3544</v>
      </c>
      <c r="H142" s="143" t="s">
        <v>3545</v>
      </c>
      <c r="I142" s="143" t="s">
        <v>312</v>
      </c>
      <c r="J142" s="143" t="s">
        <v>1211</v>
      </c>
      <c r="K142" s="163">
        <v>45250</v>
      </c>
      <c r="L142" s="144">
        <v>10370.876</v>
      </c>
      <c r="M142" s="144">
        <v>38984.122883999997</v>
      </c>
      <c r="N142" s="144">
        <v>715.29</v>
      </c>
      <c r="O142" s="144">
        <v>2688.77511</v>
      </c>
      <c r="P142" s="170">
        <v>6.8971030026778846E-2</v>
      </c>
      <c r="Q142" s="174">
        <v>46965</v>
      </c>
      <c r="R142" s="181"/>
    </row>
    <row r="143" spans="1:18" ht="15" x14ac:dyDescent="0.2">
      <c r="A143" s="142" t="s">
        <v>1220</v>
      </c>
      <c r="B143" s="143" t="s">
        <v>1220</v>
      </c>
      <c r="C143" s="170" t="s">
        <v>1068</v>
      </c>
      <c r="D143" s="143" t="s">
        <v>3349</v>
      </c>
      <c r="E143" s="145" t="s">
        <v>3876</v>
      </c>
      <c r="F143" s="145" t="s">
        <v>3876</v>
      </c>
      <c r="G143" s="143" t="s">
        <v>3350</v>
      </c>
      <c r="H143" s="143" t="s">
        <v>3351</v>
      </c>
      <c r="I143" s="143" t="s">
        <v>312</v>
      </c>
      <c r="J143" s="143" t="s">
        <v>1211</v>
      </c>
      <c r="K143" s="163">
        <v>45257</v>
      </c>
      <c r="L143" s="144">
        <v>5514.1379999999999</v>
      </c>
      <c r="M143" s="144">
        <v>20727.644742</v>
      </c>
      <c r="N143" s="144">
        <v>954.28300000000002</v>
      </c>
      <c r="O143" s="144">
        <v>3587.1497969999996</v>
      </c>
      <c r="P143" s="170">
        <v>0.17306113847712914</v>
      </c>
      <c r="Q143" s="174">
        <v>46752</v>
      </c>
      <c r="R143" s="181"/>
    </row>
    <row r="144" spans="1:18" ht="15" x14ac:dyDescent="0.2">
      <c r="A144" s="142" t="s">
        <v>1220</v>
      </c>
      <c r="B144" s="143" t="s">
        <v>1220</v>
      </c>
      <c r="C144" s="170" t="s">
        <v>1068</v>
      </c>
      <c r="D144" s="143" t="s">
        <v>3334</v>
      </c>
      <c r="E144" s="145" t="s">
        <v>3876</v>
      </c>
      <c r="F144" s="145" t="s">
        <v>3876</v>
      </c>
      <c r="G144" s="143" t="s">
        <v>3335</v>
      </c>
      <c r="H144" s="143" t="s">
        <v>3336</v>
      </c>
      <c r="I144" s="143" t="s">
        <v>312</v>
      </c>
      <c r="J144" s="143" t="s">
        <v>1211</v>
      </c>
      <c r="K144" s="163">
        <v>45362</v>
      </c>
      <c r="L144" s="144">
        <v>3506</v>
      </c>
      <c r="M144" s="144">
        <v>13179.054</v>
      </c>
      <c r="N144" s="144">
        <v>333.07</v>
      </c>
      <c r="O144" s="144">
        <v>1252.0101299999999</v>
      </c>
      <c r="P144" s="170">
        <v>9.4999999999999987E-2</v>
      </c>
      <c r="Q144" s="174">
        <v>47073</v>
      </c>
      <c r="R144" s="181"/>
    </row>
    <row r="145" spans="1:18" ht="15" x14ac:dyDescent="0.2">
      <c r="A145" s="142" t="s">
        <v>1220</v>
      </c>
      <c r="B145" s="143" t="s">
        <v>1220</v>
      </c>
      <c r="C145" s="170" t="s">
        <v>1068</v>
      </c>
      <c r="D145" s="143" t="s">
        <v>3240</v>
      </c>
      <c r="E145" s="145" t="s">
        <v>3876</v>
      </c>
      <c r="F145" s="145" t="s">
        <v>3876</v>
      </c>
      <c r="G145" s="143" t="s">
        <v>3241</v>
      </c>
      <c r="H145" s="143" t="s">
        <v>3242</v>
      </c>
      <c r="I145" s="143" t="s">
        <v>312</v>
      </c>
      <c r="J145" s="143" t="s">
        <v>1210</v>
      </c>
      <c r="K145" s="163">
        <v>45341</v>
      </c>
      <c r="L145" s="144">
        <v>45830.432000000001</v>
      </c>
      <c r="M145" s="144">
        <v>45830.432000000001</v>
      </c>
      <c r="N145" s="144">
        <v>34366.409</v>
      </c>
      <c r="O145" s="144">
        <v>34366.409</v>
      </c>
      <c r="P145" s="170">
        <v>0.74986002750312286</v>
      </c>
      <c r="Q145" s="174">
        <v>48290</v>
      </c>
      <c r="R145" s="181"/>
    </row>
    <row r="146" spans="1:18" ht="15" x14ac:dyDescent="0.2">
      <c r="A146" s="142" t="s">
        <v>1220</v>
      </c>
      <c r="B146" s="143" t="s">
        <v>1220</v>
      </c>
      <c r="C146" s="170" t="s">
        <v>1068</v>
      </c>
      <c r="D146" s="143" t="s">
        <v>3258</v>
      </c>
      <c r="E146" s="145" t="s">
        <v>3876</v>
      </c>
      <c r="F146" s="145" t="s">
        <v>3876</v>
      </c>
      <c r="G146" s="143" t="s">
        <v>3259</v>
      </c>
      <c r="H146" s="143" t="s">
        <v>3260</v>
      </c>
      <c r="I146" s="143" t="s">
        <v>312</v>
      </c>
      <c r="J146" s="143" t="s">
        <v>1211</v>
      </c>
      <c r="K146" s="163">
        <v>44993</v>
      </c>
      <c r="L146" s="144">
        <v>8956.9571400000004</v>
      </c>
      <c r="M146" s="144">
        <v>33669.201889260003</v>
      </c>
      <c r="N146" s="144">
        <v>262.21895000000114</v>
      </c>
      <c r="O146" s="144">
        <v>985.6810330500042</v>
      </c>
      <c r="P146" s="170">
        <v>2.9275449899049209E-2</v>
      </c>
      <c r="Q146" s="174">
        <v>46842</v>
      </c>
      <c r="R146" s="181"/>
    </row>
    <row r="147" spans="1:18" ht="15" x14ac:dyDescent="0.2">
      <c r="A147" s="142" t="s">
        <v>1220</v>
      </c>
      <c r="B147" s="143" t="s">
        <v>1220</v>
      </c>
      <c r="C147" s="170" t="s">
        <v>1068</v>
      </c>
      <c r="D147" s="143" t="s">
        <v>3228</v>
      </c>
      <c r="E147" s="145" t="s">
        <v>3876</v>
      </c>
      <c r="F147" s="145" t="s">
        <v>3876</v>
      </c>
      <c r="G147" s="143" t="s">
        <v>3229</v>
      </c>
      <c r="H147" s="143" t="s">
        <v>3230</v>
      </c>
      <c r="I147" s="143" t="s">
        <v>312</v>
      </c>
      <c r="J147" s="143" t="s">
        <v>1211</v>
      </c>
      <c r="K147" s="163">
        <v>45216</v>
      </c>
      <c r="L147" s="144">
        <v>10413.029</v>
      </c>
      <c r="M147" s="144">
        <v>39142.576010999997</v>
      </c>
      <c r="N147" s="144">
        <v>2967.39</v>
      </c>
      <c r="O147" s="144">
        <v>11154.41901</v>
      </c>
      <c r="P147" s="170">
        <v>0.28496895571884029</v>
      </c>
      <c r="Q147" s="174">
        <v>46934</v>
      </c>
      <c r="R147" s="181"/>
    </row>
    <row r="148" spans="1:18" ht="15" x14ac:dyDescent="0.2">
      <c r="A148" s="142" t="s">
        <v>1220</v>
      </c>
      <c r="B148" s="143" t="s">
        <v>1220</v>
      </c>
      <c r="C148" s="170" t="s">
        <v>1068</v>
      </c>
      <c r="D148" s="143" t="s">
        <v>3459</v>
      </c>
      <c r="E148" s="145" t="s">
        <v>3876</v>
      </c>
      <c r="F148" s="145" t="s">
        <v>3876</v>
      </c>
      <c r="G148" s="143" t="s">
        <v>3460</v>
      </c>
      <c r="H148" s="143" t="s">
        <v>3461</v>
      </c>
      <c r="I148" s="143" t="s">
        <v>312</v>
      </c>
      <c r="J148" s="143" t="s">
        <v>1213</v>
      </c>
      <c r="K148" s="163">
        <v>44816</v>
      </c>
      <c r="L148" s="144">
        <v>13893.066000000001</v>
      </c>
      <c r="M148" s="144">
        <v>55852.903933200003</v>
      </c>
      <c r="N148" s="144">
        <v>1004.9554299999998</v>
      </c>
      <c r="O148" s="144">
        <v>4040.1218196859986</v>
      </c>
      <c r="P148" s="170">
        <v>7.2335036053236892E-2</v>
      </c>
      <c r="Q148" s="174">
        <v>46568</v>
      </c>
      <c r="R148" s="181"/>
    </row>
    <row r="149" spans="1:18" ht="15" x14ac:dyDescent="0.2">
      <c r="A149" s="142" t="s">
        <v>1220</v>
      </c>
      <c r="B149" s="143" t="s">
        <v>1220</v>
      </c>
      <c r="C149" s="170" t="s">
        <v>1068</v>
      </c>
      <c r="D149" s="143" t="s">
        <v>3468</v>
      </c>
      <c r="E149" s="145" t="s">
        <v>3876</v>
      </c>
      <c r="F149" s="145" t="s">
        <v>3876</v>
      </c>
      <c r="G149" s="143" t="s">
        <v>3469</v>
      </c>
      <c r="H149" s="143" t="s">
        <v>3470</v>
      </c>
      <c r="I149" s="143" t="s">
        <v>312</v>
      </c>
      <c r="J149" s="143" t="s">
        <v>1211</v>
      </c>
      <c r="K149" s="163">
        <v>45342</v>
      </c>
      <c r="L149" s="144">
        <v>7839.951</v>
      </c>
      <c r="M149" s="144">
        <v>29470.375809000001</v>
      </c>
      <c r="N149" s="144">
        <v>807.30700000000002</v>
      </c>
      <c r="O149" s="144">
        <v>3034.6670129999998</v>
      </c>
      <c r="P149" s="170">
        <v>0.10297347521687315</v>
      </c>
      <c r="Q149" s="174">
        <v>47848</v>
      </c>
      <c r="R149" s="181"/>
    </row>
    <row r="150" spans="1:18" ht="15" x14ac:dyDescent="0.2">
      <c r="A150" s="142" t="s">
        <v>1220</v>
      </c>
      <c r="B150" s="143" t="s">
        <v>1220</v>
      </c>
      <c r="C150" s="170" t="s">
        <v>1068</v>
      </c>
      <c r="D150" s="143" t="s">
        <v>3246</v>
      </c>
      <c r="E150" s="145" t="s">
        <v>3876</v>
      </c>
      <c r="F150" s="145" t="s">
        <v>3876</v>
      </c>
      <c r="G150" s="143" t="s">
        <v>3247</v>
      </c>
      <c r="H150" s="143" t="s">
        <v>3248</v>
      </c>
      <c r="I150" s="143" t="s">
        <v>312</v>
      </c>
      <c r="J150" s="143" t="s">
        <v>1211</v>
      </c>
      <c r="K150" s="163">
        <v>45215</v>
      </c>
      <c r="L150" s="144">
        <v>11298</v>
      </c>
      <c r="M150" s="144">
        <v>42469.182000000001</v>
      </c>
      <c r="N150" s="144">
        <v>8755.9500000000007</v>
      </c>
      <c r="O150" s="144">
        <v>32913.616050000004</v>
      </c>
      <c r="P150" s="170">
        <v>0.77500000000000002</v>
      </c>
      <c r="Q150" s="174">
        <v>48869</v>
      </c>
      <c r="R150" s="181"/>
    </row>
    <row r="151" spans="1:18" ht="15" x14ac:dyDescent="0.2">
      <c r="A151" s="142" t="s">
        <v>1220</v>
      </c>
      <c r="B151" s="143" t="s">
        <v>1220</v>
      </c>
      <c r="C151" s="170" t="s">
        <v>1068</v>
      </c>
      <c r="D151" s="143" t="s">
        <v>3441</v>
      </c>
      <c r="E151" s="145" t="s">
        <v>3876</v>
      </c>
      <c r="F151" s="145" t="s">
        <v>3876</v>
      </c>
      <c r="G151" s="143" t="s">
        <v>3442</v>
      </c>
      <c r="H151" s="143" t="s">
        <v>3443</v>
      </c>
      <c r="I151" s="143" t="s">
        <v>312</v>
      </c>
      <c r="J151" s="143" t="s">
        <v>1210</v>
      </c>
      <c r="K151" s="163">
        <v>44938</v>
      </c>
      <c r="L151" s="144">
        <v>27416.522270000001</v>
      </c>
      <c r="M151" s="144">
        <v>27416.522270000001</v>
      </c>
      <c r="N151" s="144">
        <v>2056.7722699999995</v>
      </c>
      <c r="O151" s="144">
        <v>2056.7722699999995</v>
      </c>
      <c r="P151" s="170">
        <v>7.5019444470190252E-2</v>
      </c>
      <c r="Q151" s="174">
        <v>45838</v>
      </c>
      <c r="R151" s="181"/>
    </row>
    <row r="152" spans="1:18" ht="15" x14ac:dyDescent="0.2">
      <c r="A152" s="142" t="s">
        <v>1220</v>
      </c>
      <c r="B152" s="143" t="s">
        <v>1220</v>
      </c>
      <c r="C152" s="170" t="s">
        <v>1068</v>
      </c>
      <c r="D152" s="143" t="s">
        <v>3438</v>
      </c>
      <c r="E152" s="145" t="s">
        <v>3876</v>
      </c>
      <c r="F152" s="145" t="s">
        <v>3876</v>
      </c>
      <c r="G152" s="143" t="s">
        <v>3439</v>
      </c>
      <c r="H152" s="143" t="s">
        <v>3440</v>
      </c>
      <c r="I152" s="143" t="s">
        <v>312</v>
      </c>
      <c r="J152" s="143" t="s">
        <v>1210</v>
      </c>
      <c r="K152" s="163">
        <v>45350</v>
      </c>
      <c r="L152" s="144">
        <v>37660</v>
      </c>
      <c r="M152" s="144">
        <v>37660</v>
      </c>
      <c r="N152" s="144">
        <v>26362</v>
      </c>
      <c r="O152" s="144">
        <v>26362</v>
      </c>
      <c r="P152" s="170">
        <v>0.7</v>
      </c>
      <c r="Q152" s="174">
        <v>48944</v>
      </c>
      <c r="R152" s="181"/>
    </row>
    <row r="153" spans="1:18" ht="15" x14ac:dyDescent="0.2">
      <c r="A153" s="142" t="s">
        <v>1220</v>
      </c>
      <c r="B153" s="143" t="s">
        <v>1220</v>
      </c>
      <c r="C153" s="170" t="s">
        <v>1068</v>
      </c>
      <c r="D153" s="143" t="s">
        <v>3597</v>
      </c>
      <c r="E153" s="145" t="s">
        <v>3876</v>
      </c>
      <c r="F153" s="145" t="s">
        <v>3876</v>
      </c>
      <c r="G153" s="143" t="s">
        <v>3598</v>
      </c>
      <c r="H153" s="143" t="s">
        <v>3599</v>
      </c>
      <c r="I153" s="143" t="s">
        <v>312</v>
      </c>
      <c r="J153" s="143" t="s">
        <v>1211</v>
      </c>
      <c r="K153" s="163">
        <v>44462</v>
      </c>
      <c r="L153" s="144">
        <v>3276.9999952794524</v>
      </c>
      <c r="M153" s="144">
        <v>12318.24298225546</v>
      </c>
      <c r="N153" s="144">
        <v>884.79000527945209</v>
      </c>
      <c r="O153" s="144">
        <v>3325.9256298454602</v>
      </c>
      <c r="P153" s="170">
        <v>0.27000000200000002</v>
      </c>
      <c r="Q153" s="174">
        <v>46009</v>
      </c>
      <c r="R153" s="181"/>
    </row>
    <row r="154" spans="1:18" ht="15" x14ac:dyDescent="0.2">
      <c r="A154" s="142" t="s">
        <v>1220</v>
      </c>
      <c r="B154" s="143" t="s">
        <v>1220</v>
      </c>
      <c r="C154" s="170" t="s">
        <v>1068</v>
      </c>
      <c r="D154" s="143" t="s">
        <v>3471</v>
      </c>
      <c r="E154" s="145" t="s">
        <v>3876</v>
      </c>
      <c r="F154" s="145" t="s">
        <v>3876</v>
      </c>
      <c r="G154" s="143" t="s">
        <v>3472</v>
      </c>
      <c r="H154" s="143" t="s">
        <v>3473</v>
      </c>
      <c r="I154" s="143" t="s">
        <v>312</v>
      </c>
      <c r="J154" s="143" t="s">
        <v>1211</v>
      </c>
      <c r="K154" s="163">
        <v>45054</v>
      </c>
      <c r="L154" s="144">
        <v>14024</v>
      </c>
      <c r="M154" s="144">
        <v>52716.216</v>
      </c>
      <c r="N154" s="144">
        <v>7867.3526400000001</v>
      </c>
      <c r="O154" s="144">
        <v>29573.378573759997</v>
      </c>
      <c r="P154" s="170">
        <v>0.56099205932686824</v>
      </c>
      <c r="Q154" s="174">
        <v>47299</v>
      </c>
      <c r="R154" s="181"/>
    </row>
    <row r="155" spans="1:18" ht="15" x14ac:dyDescent="0.2">
      <c r="A155" s="142" t="s">
        <v>1220</v>
      </c>
      <c r="B155" s="143" t="s">
        <v>1220</v>
      </c>
      <c r="C155" s="170" t="s">
        <v>1068</v>
      </c>
      <c r="D155" s="143" t="s">
        <v>3456</v>
      </c>
      <c r="E155" s="145" t="s">
        <v>3876</v>
      </c>
      <c r="F155" s="145" t="s">
        <v>3876</v>
      </c>
      <c r="G155" s="143" t="s">
        <v>3457</v>
      </c>
      <c r="H155" s="143" t="s">
        <v>3458</v>
      </c>
      <c r="I155" s="143" t="s">
        <v>312</v>
      </c>
      <c r="J155" s="143" t="s">
        <v>1213</v>
      </c>
      <c r="K155" s="163">
        <v>45203</v>
      </c>
      <c r="L155" s="144">
        <v>10509.975</v>
      </c>
      <c r="M155" s="144">
        <v>42252.201494999994</v>
      </c>
      <c r="N155" s="144">
        <v>1513.2815700000003</v>
      </c>
      <c r="O155" s="144">
        <v>6083.6945677140011</v>
      </c>
      <c r="P155" s="170">
        <v>0.14398526828084751</v>
      </c>
      <c r="Q155" s="174">
        <v>46265</v>
      </c>
      <c r="R155" s="181"/>
    </row>
    <row r="156" spans="1:18" ht="15" x14ac:dyDescent="0.2">
      <c r="A156" s="142" t="s">
        <v>1220</v>
      </c>
      <c r="B156" s="143" t="s">
        <v>1220</v>
      </c>
      <c r="C156" s="170" t="s">
        <v>1068</v>
      </c>
      <c r="D156" s="143" t="s">
        <v>3505</v>
      </c>
      <c r="E156" s="145" t="s">
        <v>3876</v>
      </c>
      <c r="F156" s="145" t="s">
        <v>3876</v>
      </c>
      <c r="G156" s="143" t="s">
        <v>3506</v>
      </c>
      <c r="H156" s="143" t="s">
        <v>3507</v>
      </c>
      <c r="I156" s="143" t="s">
        <v>312</v>
      </c>
      <c r="J156" s="143" t="s">
        <v>1211</v>
      </c>
      <c r="K156" s="163">
        <v>45362</v>
      </c>
      <c r="L156" s="144">
        <v>17323.534</v>
      </c>
      <c r="M156" s="144">
        <v>65119.164305999999</v>
      </c>
      <c r="N156" s="144">
        <v>2164.8506099999995</v>
      </c>
      <c r="O156" s="144">
        <v>8137.673442989998</v>
      </c>
      <c r="P156" s="170">
        <v>0.12496587647762861</v>
      </c>
      <c r="Q156" s="174">
        <v>47360</v>
      </c>
      <c r="R156" s="181"/>
    </row>
    <row r="157" spans="1:18" ht="15" x14ac:dyDescent="0.2">
      <c r="A157" s="142" t="s">
        <v>1220</v>
      </c>
      <c r="B157" s="143" t="s">
        <v>1220</v>
      </c>
      <c r="C157" s="170" t="s">
        <v>1068</v>
      </c>
      <c r="D157" s="143" t="s">
        <v>3261</v>
      </c>
      <c r="E157" s="145" t="s">
        <v>3876</v>
      </c>
      <c r="F157" s="145" t="s">
        <v>3876</v>
      </c>
      <c r="G157" s="143" t="s">
        <v>3352</v>
      </c>
      <c r="H157" s="143" t="s">
        <v>3353</v>
      </c>
      <c r="I157" s="143" t="s">
        <v>312</v>
      </c>
      <c r="J157" s="143" t="s">
        <v>1211</v>
      </c>
      <c r="K157" s="163">
        <v>45371</v>
      </c>
      <c r="L157" s="144">
        <v>11700</v>
      </c>
      <c r="M157" s="144">
        <v>43980.3</v>
      </c>
      <c r="N157" s="144">
        <v>9477</v>
      </c>
      <c r="O157" s="144">
        <v>35624.042999999998</v>
      </c>
      <c r="P157" s="170">
        <v>0.81</v>
      </c>
      <c r="Q157" s="174">
        <v>49023</v>
      </c>
      <c r="R157" s="181"/>
    </row>
    <row r="158" spans="1:18" ht="15" x14ac:dyDescent="0.2">
      <c r="A158" s="142" t="s">
        <v>1220</v>
      </c>
      <c r="B158" s="143" t="s">
        <v>1220</v>
      </c>
      <c r="C158" s="170" t="s">
        <v>1068</v>
      </c>
      <c r="D158" s="143" t="s">
        <v>3514</v>
      </c>
      <c r="E158" s="145" t="s">
        <v>3876</v>
      </c>
      <c r="F158" s="145" t="s">
        <v>3876</v>
      </c>
      <c r="G158" s="143" t="s">
        <v>3515</v>
      </c>
      <c r="H158" s="143" t="s">
        <v>3516</v>
      </c>
      <c r="I158" s="143" t="s">
        <v>312</v>
      </c>
      <c r="J158" s="143" t="s">
        <v>1211</v>
      </c>
      <c r="K158" s="163">
        <v>45187</v>
      </c>
      <c r="L158" s="144">
        <v>13917.475</v>
      </c>
      <c r="M158" s="144">
        <v>52315.788524999996</v>
      </c>
      <c r="N158" s="144">
        <v>3198.2080099999998</v>
      </c>
      <c r="O158" s="144">
        <v>12022.063909589999</v>
      </c>
      <c r="P158" s="170">
        <v>0.22979800646309764</v>
      </c>
      <c r="Q158" s="174">
        <v>46142</v>
      </c>
      <c r="R158" s="181"/>
    </row>
    <row r="159" spans="1:18" ht="15" x14ac:dyDescent="0.2">
      <c r="A159" s="142" t="s">
        <v>1220</v>
      </c>
      <c r="B159" s="143" t="s">
        <v>1220</v>
      </c>
      <c r="C159" s="170" t="s">
        <v>1068</v>
      </c>
      <c r="D159" s="143" t="s">
        <v>3532</v>
      </c>
      <c r="E159" s="145" t="s">
        <v>3876</v>
      </c>
      <c r="F159" s="145" t="s">
        <v>3876</v>
      </c>
      <c r="G159" s="143" t="s">
        <v>3533</v>
      </c>
      <c r="H159" s="143" t="s">
        <v>3534</v>
      </c>
      <c r="I159" s="143" t="s">
        <v>312</v>
      </c>
      <c r="J159" s="143" t="s">
        <v>1211</v>
      </c>
      <c r="K159" s="163">
        <v>45322</v>
      </c>
      <c r="L159" s="144">
        <v>7800</v>
      </c>
      <c r="M159" s="144">
        <v>29320.2</v>
      </c>
      <c r="N159" s="144">
        <v>2205.86</v>
      </c>
      <c r="O159" s="144">
        <v>8291.8277400000006</v>
      </c>
      <c r="P159" s="170">
        <v>0.2828025641025641</v>
      </c>
      <c r="Q159" s="174">
        <v>48884</v>
      </c>
      <c r="R159" s="181"/>
    </row>
    <row r="160" spans="1:18" ht="15" x14ac:dyDescent="0.2">
      <c r="A160" s="142" t="s">
        <v>1220</v>
      </c>
      <c r="B160" s="143" t="s">
        <v>1220</v>
      </c>
      <c r="C160" s="170" t="s">
        <v>1068</v>
      </c>
      <c r="D160" s="143" t="s">
        <v>3490</v>
      </c>
      <c r="E160" s="145" t="s">
        <v>3876</v>
      </c>
      <c r="F160" s="145" t="s">
        <v>3876</v>
      </c>
      <c r="G160" s="143" t="s">
        <v>3498</v>
      </c>
      <c r="H160" s="143" t="s">
        <v>3499</v>
      </c>
      <c r="I160" s="143" t="s">
        <v>312</v>
      </c>
      <c r="J160" s="143" t="s">
        <v>1210</v>
      </c>
      <c r="K160" s="163">
        <v>45250</v>
      </c>
      <c r="L160" s="144">
        <v>52724</v>
      </c>
      <c r="M160" s="144">
        <v>52724</v>
      </c>
      <c r="N160" s="144">
        <v>52397.432000000001</v>
      </c>
      <c r="O160" s="144">
        <v>52397.432000000001</v>
      </c>
      <c r="P160" s="170">
        <v>0.9938060845155906</v>
      </c>
      <c r="Q160" s="174">
        <v>48913</v>
      </c>
      <c r="R160" s="181"/>
    </row>
    <row r="161" spans="1:18" ht="15" x14ac:dyDescent="0.2">
      <c r="A161" s="142" t="s">
        <v>1220</v>
      </c>
      <c r="B161" s="143" t="s">
        <v>1220</v>
      </c>
      <c r="C161" s="170" t="s">
        <v>1068</v>
      </c>
      <c r="D161" s="143" t="s">
        <v>3264</v>
      </c>
      <c r="E161" s="145" t="s">
        <v>3876</v>
      </c>
      <c r="F161" s="145" t="s">
        <v>3876</v>
      </c>
      <c r="G161" s="143" t="s">
        <v>3281</v>
      </c>
      <c r="H161" s="143" t="s">
        <v>3282</v>
      </c>
      <c r="I161" s="143" t="s">
        <v>312</v>
      </c>
      <c r="J161" s="143" t="s">
        <v>1211</v>
      </c>
      <c r="K161" s="163">
        <v>45298</v>
      </c>
      <c r="L161" s="144">
        <v>16905.008999999998</v>
      </c>
      <c r="M161" s="144">
        <v>63545.928830999997</v>
      </c>
      <c r="N161" s="144">
        <v>7211.9070000000002</v>
      </c>
      <c r="O161" s="144">
        <v>27109.558412999999</v>
      </c>
      <c r="P161" s="170">
        <v>0.42661361493507632</v>
      </c>
      <c r="Q161" s="174">
        <v>47907</v>
      </c>
      <c r="R161" s="181"/>
    </row>
    <row r="162" spans="1:18" ht="15" x14ac:dyDescent="0.2">
      <c r="A162" s="142" t="s">
        <v>1220</v>
      </c>
      <c r="B162" s="143" t="s">
        <v>1220</v>
      </c>
      <c r="C162" s="170" t="s">
        <v>1068</v>
      </c>
      <c r="D162" s="143" t="s">
        <v>3310</v>
      </c>
      <c r="E162" s="145" t="s">
        <v>3876</v>
      </c>
      <c r="F162" s="145" t="s">
        <v>3876</v>
      </c>
      <c r="G162" s="143" t="s">
        <v>3311</v>
      </c>
      <c r="H162" s="143" t="s">
        <v>3312</v>
      </c>
      <c r="I162" s="143" t="s">
        <v>312</v>
      </c>
      <c r="J162" s="143" t="s">
        <v>1213</v>
      </c>
      <c r="K162" s="163">
        <v>45356</v>
      </c>
      <c r="L162" s="144">
        <v>8424</v>
      </c>
      <c r="M162" s="144">
        <v>33866.164799999999</v>
      </c>
      <c r="N162" s="144">
        <v>3538.08</v>
      </c>
      <c r="O162" s="144">
        <v>14223.789215999999</v>
      </c>
      <c r="P162" s="170">
        <v>0.42000000000000004</v>
      </c>
      <c r="Q162" s="174">
        <v>48265</v>
      </c>
      <c r="R162" s="181"/>
    </row>
    <row r="163" spans="1:18" ht="15" x14ac:dyDescent="0.2">
      <c r="A163" s="142" t="s">
        <v>1220</v>
      </c>
      <c r="B163" s="143" t="s">
        <v>1220</v>
      </c>
      <c r="C163" s="170" t="s">
        <v>1068</v>
      </c>
      <c r="D163" s="143" t="s">
        <v>314</v>
      </c>
      <c r="E163" s="145" t="s">
        <v>3876</v>
      </c>
      <c r="F163" s="145" t="s">
        <v>3876</v>
      </c>
      <c r="G163" s="143" t="s">
        <v>3569</v>
      </c>
      <c r="H163" s="143" t="s">
        <v>3570</v>
      </c>
      <c r="I163" s="143" t="s">
        <v>312</v>
      </c>
      <c r="J163" s="143" t="s">
        <v>1211</v>
      </c>
      <c r="K163" s="163">
        <v>45316</v>
      </c>
      <c r="L163" s="144">
        <v>21376.792750000001</v>
      </c>
      <c r="M163" s="144">
        <v>80355.363947249993</v>
      </c>
      <c r="N163" s="144">
        <v>4594.7781200000009</v>
      </c>
      <c r="O163" s="144">
        <v>17271.770953080002</v>
      </c>
      <c r="P163" s="170">
        <v>0.21494235237884321</v>
      </c>
      <c r="Q163" s="174">
        <v>47422</v>
      </c>
      <c r="R163" s="181"/>
    </row>
    <row r="164" spans="1:18" ht="15" x14ac:dyDescent="0.2">
      <c r="A164" s="142" t="s">
        <v>1220</v>
      </c>
      <c r="B164" s="143" t="s">
        <v>1220</v>
      </c>
      <c r="C164" s="170" t="s">
        <v>1068</v>
      </c>
      <c r="D164" s="143" t="s">
        <v>3313</v>
      </c>
      <c r="E164" s="145" t="s">
        <v>3876</v>
      </c>
      <c r="F164" s="145" t="s">
        <v>3876</v>
      </c>
      <c r="G164" s="143" t="s">
        <v>3314</v>
      </c>
      <c r="H164" s="143" t="s">
        <v>3315</v>
      </c>
      <c r="I164" s="143" t="s">
        <v>312</v>
      </c>
      <c r="J164" s="143" t="s">
        <v>1213</v>
      </c>
      <c r="K164" s="163">
        <v>44893</v>
      </c>
      <c r="L164" s="144">
        <v>7657.8375634397889</v>
      </c>
      <c r="M164" s="144">
        <v>30786.038572540641</v>
      </c>
      <c r="N164" s="144">
        <v>592.11640343978911</v>
      </c>
      <c r="O164" s="144">
        <v>2380.4263651086399</v>
      </c>
      <c r="P164" s="170">
        <v>7.7321619652352486E-2</v>
      </c>
      <c r="Q164" s="174">
        <v>46965</v>
      </c>
      <c r="R164" s="181"/>
    </row>
    <row r="165" spans="1:18" ht="15" x14ac:dyDescent="0.2">
      <c r="A165" s="142" t="s">
        <v>1220</v>
      </c>
      <c r="B165" s="143" t="s">
        <v>1220</v>
      </c>
      <c r="C165" s="170" t="s">
        <v>1068</v>
      </c>
      <c r="D165" s="143" t="s">
        <v>3267</v>
      </c>
      <c r="E165" s="145" t="s">
        <v>3876</v>
      </c>
      <c r="F165" s="145" t="s">
        <v>3876</v>
      </c>
      <c r="G165" s="143" t="s">
        <v>3268</v>
      </c>
      <c r="H165" s="143" t="s">
        <v>3269</v>
      </c>
      <c r="I165" s="143" t="s">
        <v>312</v>
      </c>
      <c r="J165" s="143" t="s">
        <v>1211</v>
      </c>
      <c r="K165" s="163">
        <v>44706</v>
      </c>
      <c r="L165" s="144">
        <v>8690.3504773094373</v>
      </c>
      <c r="M165" s="144">
        <v>32667.027444206175</v>
      </c>
      <c r="N165" s="144">
        <v>237.33124730943703</v>
      </c>
      <c r="O165" s="144">
        <v>892.12815863617368</v>
      </c>
      <c r="P165" s="170">
        <v>2.7309744057976773E-2</v>
      </c>
      <c r="Q165" s="174">
        <v>47542</v>
      </c>
      <c r="R165" s="181"/>
    </row>
    <row r="166" spans="1:18" ht="15" x14ac:dyDescent="0.2">
      <c r="A166" s="142" t="s">
        <v>1220</v>
      </c>
      <c r="B166" s="143" t="s">
        <v>1220</v>
      </c>
      <c r="C166" s="170" t="s">
        <v>1068</v>
      </c>
      <c r="D166" s="143" t="s">
        <v>3264</v>
      </c>
      <c r="E166" s="145" t="s">
        <v>3876</v>
      </c>
      <c r="F166" s="145" t="s">
        <v>3876</v>
      </c>
      <c r="G166" s="143" t="s">
        <v>3276</v>
      </c>
      <c r="H166" s="143" t="s">
        <v>3277</v>
      </c>
      <c r="I166" s="143" t="s">
        <v>312</v>
      </c>
      <c r="J166" s="143" t="s">
        <v>1211</v>
      </c>
      <c r="K166" s="163">
        <v>45316</v>
      </c>
      <c r="L166" s="144">
        <v>14089.593000000001</v>
      </c>
      <c r="M166" s="144">
        <v>52962.780086999999</v>
      </c>
      <c r="N166" s="144">
        <v>2558.0830000000001</v>
      </c>
      <c r="O166" s="144">
        <v>9615.8339969999997</v>
      </c>
      <c r="P166" s="170">
        <v>0.18155833174173305</v>
      </c>
      <c r="Q166" s="174">
        <v>49096</v>
      </c>
      <c r="R166" s="181"/>
    </row>
    <row r="167" spans="1:18" ht="15" x14ac:dyDescent="0.2">
      <c r="A167" s="142" t="s">
        <v>1220</v>
      </c>
      <c r="B167" s="143" t="s">
        <v>1220</v>
      </c>
      <c r="C167" s="170" t="s">
        <v>1068</v>
      </c>
      <c r="D167" s="143" t="s">
        <v>3546</v>
      </c>
      <c r="E167" s="145" t="s">
        <v>3876</v>
      </c>
      <c r="F167" s="145" t="s">
        <v>3876</v>
      </c>
      <c r="G167" s="143" t="s">
        <v>3547</v>
      </c>
      <c r="H167" s="143" t="s">
        <v>3548</v>
      </c>
      <c r="I167" s="143" t="s">
        <v>312</v>
      </c>
      <c r="J167" s="143" t="s">
        <v>1211</v>
      </c>
      <c r="K167" s="163">
        <v>45225</v>
      </c>
      <c r="L167" s="144">
        <v>7012</v>
      </c>
      <c r="M167" s="144">
        <v>26358.108</v>
      </c>
      <c r="N167" s="144">
        <v>2103.6</v>
      </c>
      <c r="O167" s="144">
        <v>7907.4323999999997</v>
      </c>
      <c r="P167" s="170">
        <v>0.3</v>
      </c>
      <c r="Q167" s="174">
        <v>47081</v>
      </c>
      <c r="R167" s="181"/>
    </row>
    <row r="168" spans="1:18" ht="15" x14ac:dyDescent="0.2">
      <c r="A168" s="142" t="s">
        <v>1220</v>
      </c>
      <c r="B168" s="143" t="s">
        <v>1220</v>
      </c>
      <c r="C168" s="170" t="s">
        <v>1068</v>
      </c>
      <c r="D168" s="143" t="s">
        <v>314</v>
      </c>
      <c r="E168" s="145" t="s">
        <v>3876</v>
      </c>
      <c r="F168" s="145" t="s">
        <v>3876</v>
      </c>
      <c r="G168" s="143" t="s">
        <v>3588</v>
      </c>
      <c r="H168" s="143" t="s">
        <v>3589</v>
      </c>
      <c r="I168" s="143" t="s">
        <v>312</v>
      </c>
      <c r="J168" s="143" t="s">
        <v>1211</v>
      </c>
      <c r="K168" s="163">
        <v>45369</v>
      </c>
      <c r="L168" s="144">
        <v>8188.2379002205971</v>
      </c>
      <c r="M168" s="144">
        <v>30779.586266929226</v>
      </c>
      <c r="N168" s="144">
        <v>1383.9963402205976</v>
      </c>
      <c r="O168" s="144">
        <v>5202.4422428892267</v>
      </c>
      <c r="P168" s="170">
        <v>0.16902248775445469</v>
      </c>
      <c r="Q168" s="174">
        <v>47149</v>
      </c>
      <c r="R168" s="181"/>
    </row>
    <row r="169" spans="1:18" ht="15" x14ac:dyDescent="0.2">
      <c r="A169" s="142" t="s">
        <v>1220</v>
      </c>
      <c r="B169" s="143" t="s">
        <v>1220</v>
      </c>
      <c r="C169" s="170" t="s">
        <v>1068</v>
      </c>
      <c r="D169" s="143" t="s">
        <v>3301</v>
      </c>
      <c r="E169" s="145" t="s">
        <v>3876</v>
      </c>
      <c r="F169" s="145" t="s">
        <v>3876</v>
      </c>
      <c r="G169" s="143" t="s">
        <v>3302</v>
      </c>
      <c r="H169" s="143" t="s">
        <v>3303</v>
      </c>
      <c r="I169" s="143" t="s">
        <v>312</v>
      </c>
      <c r="J169" s="143" t="s">
        <v>1211</v>
      </c>
      <c r="K169" s="163">
        <v>45316</v>
      </c>
      <c r="L169" s="144">
        <v>14037.35102</v>
      </c>
      <c r="M169" s="144">
        <v>52766.402484179998</v>
      </c>
      <c r="N169" s="144">
        <v>2787.3778899999993</v>
      </c>
      <c r="O169" s="144">
        <v>10477.753488509996</v>
      </c>
      <c r="P169" s="170">
        <v>0.19856865344669561</v>
      </c>
      <c r="Q169" s="174">
        <v>45657</v>
      </c>
      <c r="R169" s="181"/>
    </row>
    <row r="170" spans="1:18" ht="15" x14ac:dyDescent="0.2">
      <c r="A170" s="142" t="s">
        <v>1220</v>
      </c>
      <c r="B170" s="143" t="s">
        <v>1220</v>
      </c>
      <c r="C170" s="170" t="s">
        <v>1068</v>
      </c>
      <c r="D170" s="143" t="s">
        <v>3322</v>
      </c>
      <c r="E170" s="145" t="s">
        <v>3876</v>
      </c>
      <c r="F170" s="145" t="s">
        <v>3876</v>
      </c>
      <c r="G170" s="143" t="s">
        <v>3323</v>
      </c>
      <c r="H170" s="143" t="s">
        <v>3324</v>
      </c>
      <c r="I170" s="143" t="s">
        <v>312</v>
      </c>
      <c r="J170" s="143" t="s">
        <v>1211</v>
      </c>
      <c r="K170" s="163">
        <v>44991</v>
      </c>
      <c r="L170" s="144">
        <v>9038.4</v>
      </c>
      <c r="M170" s="144">
        <v>33975.345600000001</v>
      </c>
      <c r="N170" s="144">
        <v>2259.6</v>
      </c>
      <c r="O170" s="144">
        <v>8493.8364000000001</v>
      </c>
      <c r="P170" s="170">
        <v>0.25</v>
      </c>
      <c r="Q170" s="174">
        <v>48352</v>
      </c>
      <c r="R170" s="181"/>
    </row>
    <row r="171" spans="1:18" ht="15" x14ac:dyDescent="0.2">
      <c r="A171" s="142" t="s">
        <v>1220</v>
      </c>
      <c r="B171" s="143" t="s">
        <v>1220</v>
      </c>
      <c r="C171" s="170" t="s">
        <v>1068</v>
      </c>
      <c r="D171" s="143" t="s">
        <v>3387</v>
      </c>
      <c r="E171" s="145" t="s">
        <v>3876</v>
      </c>
      <c r="F171" s="145" t="s">
        <v>3876</v>
      </c>
      <c r="G171" s="143" t="s">
        <v>3388</v>
      </c>
      <c r="H171" s="143" t="s">
        <v>3389</v>
      </c>
      <c r="I171" s="143" t="s">
        <v>312</v>
      </c>
      <c r="J171" s="143" t="s">
        <v>1210</v>
      </c>
      <c r="K171" s="163">
        <v>45237</v>
      </c>
      <c r="L171" s="144">
        <v>27694.498780000002</v>
      </c>
      <c r="M171" s="144">
        <v>27694.498780000002</v>
      </c>
      <c r="N171" s="144">
        <v>9296.1747800000012</v>
      </c>
      <c r="O171" s="144">
        <v>9296.1747800000012</v>
      </c>
      <c r="P171" s="170">
        <v>0.33566864140951247</v>
      </c>
      <c r="Q171" s="174">
        <v>47026</v>
      </c>
      <c r="R171" s="181"/>
    </row>
    <row r="172" spans="1:18" ht="15" x14ac:dyDescent="0.2">
      <c r="A172" s="142" t="s">
        <v>1220</v>
      </c>
      <c r="B172" s="143" t="s">
        <v>1220</v>
      </c>
      <c r="C172" s="170" t="s">
        <v>1068</v>
      </c>
      <c r="D172" s="143" t="s">
        <v>3331</v>
      </c>
      <c r="E172" s="145" t="s">
        <v>3876</v>
      </c>
      <c r="F172" s="145" t="s">
        <v>3876</v>
      </c>
      <c r="G172" s="143" t="s">
        <v>3332</v>
      </c>
      <c r="H172" s="143" t="s">
        <v>3333</v>
      </c>
      <c r="I172" s="143" t="s">
        <v>312</v>
      </c>
      <c r="J172" s="143" t="s">
        <v>1211</v>
      </c>
      <c r="K172" s="163">
        <v>45362</v>
      </c>
      <c r="L172" s="144">
        <v>4908.3999999999996</v>
      </c>
      <c r="M172" s="144">
        <v>18450.675599999999</v>
      </c>
      <c r="N172" s="144">
        <v>741.16839999999991</v>
      </c>
      <c r="O172" s="144">
        <v>2786.0520155999998</v>
      </c>
      <c r="P172" s="170">
        <v>0.151</v>
      </c>
      <c r="Q172" s="174">
        <v>47082</v>
      </c>
      <c r="R172" s="181"/>
    </row>
    <row r="173" spans="1:18" ht="15" x14ac:dyDescent="0.2">
      <c r="A173" s="142" t="s">
        <v>1220</v>
      </c>
      <c r="B173" s="143" t="s">
        <v>1220</v>
      </c>
      <c r="C173" s="170" t="s">
        <v>1068</v>
      </c>
      <c r="D173" s="143" t="s">
        <v>3289</v>
      </c>
      <c r="E173" s="145" t="s">
        <v>3876</v>
      </c>
      <c r="F173" s="145" t="s">
        <v>3876</v>
      </c>
      <c r="G173" s="143" t="s">
        <v>3290</v>
      </c>
      <c r="H173" s="143" t="s">
        <v>3291</v>
      </c>
      <c r="I173" s="143" t="s">
        <v>312</v>
      </c>
      <c r="J173" s="143" t="s">
        <v>1211</v>
      </c>
      <c r="K173" s="163">
        <v>45350</v>
      </c>
      <c r="L173" s="144">
        <v>10488.75</v>
      </c>
      <c r="M173" s="144">
        <v>39427.21125</v>
      </c>
      <c r="N173" s="144">
        <v>2305.6589900000004</v>
      </c>
      <c r="O173" s="144">
        <v>8666.9721434100011</v>
      </c>
      <c r="P173" s="170">
        <v>0.21982209414849246</v>
      </c>
      <c r="Q173" s="174">
        <v>45657</v>
      </c>
      <c r="R173" s="181"/>
    </row>
    <row r="174" spans="1:18" ht="15" x14ac:dyDescent="0.2">
      <c r="A174" s="142" t="s">
        <v>1220</v>
      </c>
      <c r="B174" s="143" t="s">
        <v>1220</v>
      </c>
      <c r="C174" s="170" t="s">
        <v>1068</v>
      </c>
      <c r="D174" s="143" t="s">
        <v>3379</v>
      </c>
      <c r="E174" s="145" t="s">
        <v>3876</v>
      </c>
      <c r="F174" s="145" t="s">
        <v>3876</v>
      </c>
      <c r="G174" s="143" t="s">
        <v>3380</v>
      </c>
      <c r="H174" s="143" t="s">
        <v>3381</v>
      </c>
      <c r="I174" s="143" t="s">
        <v>312</v>
      </c>
      <c r="J174" s="143" t="s">
        <v>1210</v>
      </c>
      <c r="K174" s="163">
        <v>45172</v>
      </c>
      <c r="L174" s="144">
        <v>30831.723999999998</v>
      </c>
      <c r="M174" s="144">
        <v>30831.723999999998</v>
      </c>
      <c r="N174" s="144">
        <v>1308.6569999999999</v>
      </c>
      <c r="O174" s="144">
        <v>1308.6569999999999</v>
      </c>
      <c r="P174" s="170">
        <v>4.2445145136872656E-2</v>
      </c>
      <c r="Q174" s="174">
        <v>47238</v>
      </c>
      <c r="R174" s="181"/>
    </row>
    <row r="175" spans="1:18" ht="15" x14ac:dyDescent="0.2">
      <c r="A175" s="142" t="s">
        <v>1220</v>
      </c>
      <c r="B175" s="143" t="s">
        <v>1220</v>
      </c>
      <c r="C175" s="170" t="s">
        <v>1068</v>
      </c>
      <c r="D175" s="143" t="s">
        <v>3543</v>
      </c>
      <c r="E175" s="145" t="s">
        <v>3876</v>
      </c>
      <c r="F175" s="145" t="s">
        <v>3876</v>
      </c>
      <c r="G175" s="143" t="s">
        <v>3565</v>
      </c>
      <c r="H175" s="143" t="s">
        <v>3566</v>
      </c>
      <c r="I175" s="143" t="s">
        <v>312</v>
      </c>
      <c r="J175" s="143" t="s">
        <v>1211</v>
      </c>
      <c r="K175" s="163">
        <v>45197</v>
      </c>
      <c r="L175" s="144">
        <v>6942.0190000000002</v>
      </c>
      <c r="M175" s="144">
        <v>26095.049421</v>
      </c>
      <c r="N175" s="144">
        <v>2106.8789999999999</v>
      </c>
      <c r="O175" s="144">
        <v>7919.7581609999997</v>
      </c>
      <c r="P175" s="170">
        <v>0.3034965764282696</v>
      </c>
      <c r="Q175" s="174">
        <v>46022</v>
      </c>
      <c r="R175" s="181"/>
    </row>
    <row r="176" spans="1:18" ht="15" x14ac:dyDescent="0.2">
      <c r="A176" s="142" t="s">
        <v>1220</v>
      </c>
      <c r="B176" s="143" t="s">
        <v>1220</v>
      </c>
      <c r="C176" s="170" t="s">
        <v>1068</v>
      </c>
      <c r="D176" s="143" t="s">
        <v>3346</v>
      </c>
      <c r="E176" s="145" t="s">
        <v>3876</v>
      </c>
      <c r="F176" s="145" t="s">
        <v>3876</v>
      </c>
      <c r="G176" s="143" t="s">
        <v>3347</v>
      </c>
      <c r="H176" s="143" t="s">
        <v>3348</v>
      </c>
      <c r="I176" s="143" t="s">
        <v>312</v>
      </c>
      <c r="J176" s="143" t="s">
        <v>1211</v>
      </c>
      <c r="K176" s="163">
        <v>45365</v>
      </c>
      <c r="L176" s="144">
        <v>6402.2</v>
      </c>
      <c r="M176" s="144">
        <v>24065.8698</v>
      </c>
      <c r="N176" s="144">
        <v>3121.3523700000001</v>
      </c>
      <c r="O176" s="144">
        <v>11733.16355883</v>
      </c>
      <c r="P176" s="170">
        <v>0.48754371466058544</v>
      </c>
      <c r="Q176" s="174">
        <v>48055</v>
      </c>
      <c r="R176" s="181"/>
    </row>
    <row r="177" spans="1:18" ht="15" x14ac:dyDescent="0.2">
      <c r="A177" s="142" t="s">
        <v>1220</v>
      </c>
      <c r="B177" s="143" t="s">
        <v>1220</v>
      </c>
      <c r="C177" s="170" t="s">
        <v>1068</v>
      </c>
      <c r="D177" s="143" t="s">
        <v>3337</v>
      </c>
      <c r="E177" s="145" t="s">
        <v>3876</v>
      </c>
      <c r="F177" s="145" t="s">
        <v>3876</v>
      </c>
      <c r="G177" s="143" t="s">
        <v>3338</v>
      </c>
      <c r="H177" s="143" t="s">
        <v>3339</v>
      </c>
      <c r="I177" s="143" t="s">
        <v>312</v>
      </c>
      <c r="J177" s="143" t="s">
        <v>1211</v>
      </c>
      <c r="K177" s="163">
        <v>45291</v>
      </c>
      <c r="L177" s="144">
        <v>7008.0990000000002</v>
      </c>
      <c r="M177" s="144">
        <v>26343.444141</v>
      </c>
      <c r="N177" s="144">
        <v>3728.2269999999999</v>
      </c>
      <c r="O177" s="144">
        <v>14014.405293</v>
      </c>
      <c r="P177" s="170">
        <v>0.53198834662581107</v>
      </c>
      <c r="Q177" s="174">
        <v>47083</v>
      </c>
      <c r="R177" s="181"/>
    </row>
    <row r="178" spans="1:18" ht="15" x14ac:dyDescent="0.2">
      <c r="A178" s="142" t="s">
        <v>1220</v>
      </c>
      <c r="B178" s="143" t="s">
        <v>1220</v>
      </c>
      <c r="C178" s="170" t="s">
        <v>1068</v>
      </c>
      <c r="D178" s="143" t="s">
        <v>3540</v>
      </c>
      <c r="E178" s="145" t="s">
        <v>3876</v>
      </c>
      <c r="F178" s="145" t="s">
        <v>3876</v>
      </c>
      <c r="G178" s="143" t="s">
        <v>3541</v>
      </c>
      <c r="H178" s="143" t="s">
        <v>3542</v>
      </c>
      <c r="I178" s="143" t="s">
        <v>312</v>
      </c>
      <c r="J178" s="143" t="s">
        <v>1211</v>
      </c>
      <c r="K178" s="163">
        <v>45350</v>
      </c>
      <c r="L178" s="144">
        <v>7800</v>
      </c>
      <c r="M178" s="144">
        <v>29320.2</v>
      </c>
      <c r="N178" s="144">
        <v>7503.6</v>
      </c>
      <c r="O178" s="144">
        <v>28206.0324</v>
      </c>
      <c r="P178" s="170">
        <v>0.96199999999999997</v>
      </c>
      <c r="Q178" s="174">
        <v>49003</v>
      </c>
      <c r="R178" s="181"/>
    </row>
    <row r="179" spans="1:18" ht="15" x14ac:dyDescent="0.2">
      <c r="A179" s="142" t="s">
        <v>1220</v>
      </c>
      <c r="B179" s="143" t="s">
        <v>1220</v>
      </c>
      <c r="C179" s="170" t="s">
        <v>1068</v>
      </c>
      <c r="D179" s="143" t="s">
        <v>3477</v>
      </c>
      <c r="E179" s="145" t="s">
        <v>3876</v>
      </c>
      <c r="F179" s="145" t="s">
        <v>3876</v>
      </c>
      <c r="G179" s="143" t="s">
        <v>3478</v>
      </c>
      <c r="H179" s="143" t="s">
        <v>3479</v>
      </c>
      <c r="I179" s="143" t="s">
        <v>312</v>
      </c>
      <c r="J179" s="143" t="s">
        <v>1211</v>
      </c>
      <c r="K179" s="163">
        <v>45281</v>
      </c>
      <c r="L179" s="144">
        <v>6025.6</v>
      </c>
      <c r="M179" s="144">
        <v>22650.230399999997</v>
      </c>
      <c r="N179" s="144">
        <v>2711.52</v>
      </c>
      <c r="O179" s="144">
        <v>10192.60368</v>
      </c>
      <c r="P179" s="170">
        <v>0.45</v>
      </c>
      <c r="Q179" s="174">
        <v>47543</v>
      </c>
      <c r="R179" s="181"/>
    </row>
    <row r="180" spans="1:18" ht="15" x14ac:dyDescent="0.2">
      <c r="A180" s="142" t="s">
        <v>1220</v>
      </c>
      <c r="B180" s="143" t="s">
        <v>1220</v>
      </c>
      <c r="C180" s="170" t="s">
        <v>1068</v>
      </c>
      <c r="D180" s="143" t="s">
        <v>314</v>
      </c>
      <c r="E180" s="145" t="s">
        <v>3876</v>
      </c>
      <c r="F180" s="145" t="s">
        <v>3876</v>
      </c>
      <c r="G180" s="143" t="s">
        <v>3574</v>
      </c>
      <c r="H180" s="143" t="s">
        <v>3575</v>
      </c>
      <c r="I180" s="143" t="s">
        <v>312</v>
      </c>
      <c r="J180" s="143" t="s">
        <v>1211</v>
      </c>
      <c r="K180" s="163">
        <v>45378</v>
      </c>
      <c r="L180" s="144">
        <v>10413.029</v>
      </c>
      <c r="M180" s="144">
        <v>39142.576010999997</v>
      </c>
      <c r="N180" s="144">
        <v>399.255</v>
      </c>
      <c r="O180" s="144">
        <v>1500.7995449999999</v>
      </c>
      <c r="P180" s="170">
        <v>3.8341869594332251E-2</v>
      </c>
      <c r="Q180" s="174">
        <v>47269</v>
      </c>
      <c r="R180" s="181"/>
    </row>
    <row r="181" spans="1:18" ht="15" x14ac:dyDescent="0.2">
      <c r="A181" s="142" t="s">
        <v>1220</v>
      </c>
      <c r="B181" s="143" t="s">
        <v>1220</v>
      </c>
      <c r="C181" s="170" t="s">
        <v>1068</v>
      </c>
      <c r="D181" s="143" t="s">
        <v>314</v>
      </c>
      <c r="E181" s="145" t="s">
        <v>3876</v>
      </c>
      <c r="F181" s="145" t="s">
        <v>3876</v>
      </c>
      <c r="G181" s="143" t="s">
        <v>3576</v>
      </c>
      <c r="H181" s="143" t="s">
        <v>3577</v>
      </c>
      <c r="I181" s="143" t="s">
        <v>312</v>
      </c>
      <c r="J181" s="143" t="s">
        <v>1211</v>
      </c>
      <c r="K181" s="163">
        <v>45362</v>
      </c>
      <c r="L181" s="144">
        <v>15789.960999999999</v>
      </c>
      <c r="M181" s="144">
        <v>59354.463398999993</v>
      </c>
      <c r="N181" s="144">
        <v>1318.8879999999999</v>
      </c>
      <c r="O181" s="144">
        <v>4957.6999919999998</v>
      </c>
      <c r="P181" s="170">
        <v>8.3526995411831603E-2</v>
      </c>
      <c r="Q181" s="174">
        <v>47543</v>
      </c>
      <c r="R181" s="181"/>
    </row>
    <row r="182" spans="1:18" ht="15" x14ac:dyDescent="0.2">
      <c r="A182" s="142" t="s">
        <v>1220</v>
      </c>
      <c r="B182" s="143" t="s">
        <v>1220</v>
      </c>
      <c r="C182" s="170" t="s">
        <v>1068</v>
      </c>
      <c r="D182" s="143" t="s">
        <v>3496</v>
      </c>
      <c r="E182" s="145" t="s">
        <v>3876</v>
      </c>
      <c r="F182" s="145" t="s">
        <v>3876</v>
      </c>
      <c r="G182" s="143" t="s">
        <v>3496</v>
      </c>
      <c r="H182" s="143" t="s">
        <v>3497</v>
      </c>
      <c r="I182" s="143" t="s">
        <v>312</v>
      </c>
      <c r="J182" s="143" t="s">
        <v>1210</v>
      </c>
      <c r="K182" s="163">
        <v>45362</v>
      </c>
      <c r="L182" s="144">
        <v>17432.021000000001</v>
      </c>
      <c r="M182" s="144">
        <v>17432.021000000001</v>
      </c>
      <c r="N182" s="144">
        <v>6211.7989900000002</v>
      </c>
      <c r="O182" s="144">
        <v>6211.7989900000002</v>
      </c>
      <c r="P182" s="170">
        <v>0.35634416629029991</v>
      </c>
      <c r="Q182" s="174">
        <v>46905</v>
      </c>
      <c r="R182" s="181"/>
    </row>
    <row r="183" spans="1:18" ht="15" x14ac:dyDescent="0.2">
      <c r="A183" s="142" t="s">
        <v>1220</v>
      </c>
      <c r="B183" s="143" t="s">
        <v>1220</v>
      </c>
      <c r="C183" s="170" t="s">
        <v>1068</v>
      </c>
      <c r="D183" s="143" t="s">
        <v>3255</v>
      </c>
      <c r="E183" s="145" t="s">
        <v>3876</v>
      </c>
      <c r="F183" s="145" t="s">
        <v>3876</v>
      </c>
      <c r="G183" s="143" t="s">
        <v>3256</v>
      </c>
      <c r="H183" s="143" t="s">
        <v>3257</v>
      </c>
      <c r="I183" s="143" t="s">
        <v>312</v>
      </c>
      <c r="J183" s="143" t="s">
        <v>1211</v>
      </c>
      <c r="K183" s="163">
        <v>45250</v>
      </c>
      <c r="L183" s="144">
        <v>18830</v>
      </c>
      <c r="M183" s="144">
        <v>70781.97</v>
      </c>
      <c r="N183" s="144">
        <v>682.03</v>
      </c>
      <c r="O183" s="144">
        <v>2563.7507700000001</v>
      </c>
      <c r="P183" s="170">
        <v>3.6220392989909721E-2</v>
      </c>
      <c r="Q183" s="174">
        <v>47664</v>
      </c>
      <c r="R183" s="181"/>
    </row>
    <row r="184" spans="1:18" ht="15" x14ac:dyDescent="0.2">
      <c r="A184" s="142" t="s">
        <v>1220</v>
      </c>
      <c r="B184" s="143" t="s">
        <v>1220</v>
      </c>
      <c r="C184" s="170" t="s">
        <v>1068</v>
      </c>
      <c r="D184" s="143" t="s">
        <v>3571</v>
      </c>
      <c r="E184" s="145" t="s">
        <v>3876</v>
      </c>
      <c r="F184" s="145" t="s">
        <v>3876</v>
      </c>
      <c r="G184" s="143" t="s">
        <v>3572</v>
      </c>
      <c r="H184" s="143" t="s">
        <v>3573</v>
      </c>
      <c r="I184" s="143" t="s">
        <v>312</v>
      </c>
      <c r="J184" s="143" t="s">
        <v>1211</v>
      </c>
      <c r="K184" s="163">
        <v>45294</v>
      </c>
      <c r="L184" s="144">
        <v>10388.108</v>
      </c>
      <c r="M184" s="144">
        <v>39048.897971999999</v>
      </c>
      <c r="N184" s="144">
        <v>151.92500000000001</v>
      </c>
      <c r="O184" s="144">
        <v>571.08607499999994</v>
      </c>
      <c r="P184" s="170">
        <v>1.4624896083098096E-2</v>
      </c>
      <c r="Q184" s="174">
        <v>48060</v>
      </c>
      <c r="R184" s="181"/>
    </row>
    <row r="185" spans="1:18" ht="15" x14ac:dyDescent="0.2">
      <c r="A185" s="142" t="s">
        <v>1220</v>
      </c>
      <c r="B185" s="143" t="s">
        <v>1220</v>
      </c>
      <c r="C185" s="170" t="s">
        <v>1068</v>
      </c>
      <c r="D185" s="143" t="s">
        <v>3295</v>
      </c>
      <c r="E185" s="145" t="s">
        <v>3876</v>
      </c>
      <c r="F185" s="145" t="s">
        <v>3876</v>
      </c>
      <c r="G185" s="143" t="s">
        <v>3296</v>
      </c>
      <c r="H185" s="143" t="s">
        <v>3297</v>
      </c>
      <c r="I185" s="143" t="s">
        <v>312</v>
      </c>
      <c r="J185" s="143" t="s">
        <v>1211</v>
      </c>
      <c r="K185" s="163">
        <v>45279</v>
      </c>
      <c r="L185" s="144">
        <v>11185.262570000001</v>
      </c>
      <c r="M185" s="144">
        <v>42045.402000629998</v>
      </c>
      <c r="N185" s="144">
        <v>4561.3025600000001</v>
      </c>
      <c r="O185" s="144">
        <v>17145.936323040001</v>
      </c>
      <c r="P185" s="170">
        <v>0.40779575190607265</v>
      </c>
      <c r="Q185" s="174">
        <v>47817</v>
      </c>
      <c r="R185" s="181"/>
    </row>
    <row r="186" spans="1:18" ht="15" x14ac:dyDescent="0.2">
      <c r="A186" s="142" t="s">
        <v>1220</v>
      </c>
      <c r="B186" s="143" t="s">
        <v>1220</v>
      </c>
      <c r="C186" s="170" t="s">
        <v>1068</v>
      </c>
      <c r="D186" s="143" t="s">
        <v>3264</v>
      </c>
      <c r="E186" s="145" t="s">
        <v>3876</v>
      </c>
      <c r="F186" s="145" t="s">
        <v>3876</v>
      </c>
      <c r="G186" s="143" t="s">
        <v>3265</v>
      </c>
      <c r="H186" s="143" t="s">
        <v>3266</v>
      </c>
      <c r="I186" s="143" t="s">
        <v>312</v>
      </c>
      <c r="J186" s="143" t="s">
        <v>1211</v>
      </c>
      <c r="K186" s="163">
        <v>45320</v>
      </c>
      <c r="L186" s="144">
        <v>16339.145</v>
      </c>
      <c r="M186" s="144">
        <v>61418.846055000002</v>
      </c>
      <c r="N186" s="144">
        <v>3009.3690000000001</v>
      </c>
      <c r="O186" s="144">
        <v>11312.218071000001</v>
      </c>
      <c r="P186" s="170">
        <v>0.18418154683124485</v>
      </c>
      <c r="Q186" s="174">
        <v>47046</v>
      </c>
      <c r="R186" s="181"/>
    </row>
    <row r="187" spans="1:18" ht="15" x14ac:dyDescent="0.2">
      <c r="A187" s="142" t="s">
        <v>1220</v>
      </c>
      <c r="B187" s="143" t="s">
        <v>1220</v>
      </c>
      <c r="C187" s="170" t="s">
        <v>1068</v>
      </c>
      <c r="D187" s="143" t="s">
        <v>3357</v>
      </c>
      <c r="E187" s="145" t="s">
        <v>3876</v>
      </c>
      <c r="F187" s="145" t="s">
        <v>3876</v>
      </c>
      <c r="G187" s="143" t="s">
        <v>3358</v>
      </c>
      <c r="H187" s="143" t="s">
        <v>3359</v>
      </c>
      <c r="I187" s="143" t="s">
        <v>312</v>
      </c>
      <c r="J187" s="143" t="s">
        <v>1211</v>
      </c>
      <c r="K187" s="163">
        <v>45230</v>
      </c>
      <c r="L187" s="144">
        <v>7008.0990000000002</v>
      </c>
      <c r="M187" s="144">
        <v>26343.444141</v>
      </c>
      <c r="N187" s="144">
        <v>5372.95039</v>
      </c>
      <c r="O187" s="144">
        <v>20196.920516009999</v>
      </c>
      <c r="P187" s="170">
        <v>0.7666772957973339</v>
      </c>
      <c r="Q187" s="174">
        <v>46203</v>
      </c>
      <c r="R187" s="181"/>
    </row>
    <row r="188" spans="1:18" ht="15" x14ac:dyDescent="0.2">
      <c r="A188" s="142" t="s">
        <v>1220</v>
      </c>
      <c r="B188" s="143" t="s">
        <v>1220</v>
      </c>
      <c r="C188" s="170" t="s">
        <v>1068</v>
      </c>
      <c r="D188" s="143" t="s">
        <v>3590</v>
      </c>
      <c r="E188" s="145" t="s">
        <v>3876</v>
      </c>
      <c r="F188" s="145" t="s">
        <v>3876</v>
      </c>
      <c r="G188" s="143" t="s">
        <v>3586</v>
      </c>
      <c r="H188" s="143" t="s">
        <v>3591</v>
      </c>
      <c r="I188" s="143" t="s">
        <v>312</v>
      </c>
      <c r="J188" s="143" t="s">
        <v>1211</v>
      </c>
      <c r="K188" s="163">
        <v>45362</v>
      </c>
      <c r="L188" s="144">
        <v>2614.9810000000002</v>
      </c>
      <c r="M188" s="144">
        <v>9829.7135789999993</v>
      </c>
      <c r="N188" s="144">
        <v>784.49300000000005</v>
      </c>
      <c r="O188" s="144">
        <v>2948.9091869999997</v>
      </c>
      <c r="P188" s="170">
        <v>0.29999950286445676</v>
      </c>
      <c r="Q188" s="174">
        <v>48883</v>
      </c>
      <c r="R188" s="181"/>
    </row>
    <row r="189" spans="1:18" ht="15" x14ac:dyDescent="0.2">
      <c r="A189" s="142" t="s">
        <v>1220</v>
      </c>
      <c r="B189" s="143" t="s">
        <v>1220</v>
      </c>
      <c r="C189" s="170" t="s">
        <v>1068</v>
      </c>
      <c r="D189" s="143" t="s">
        <v>3421</v>
      </c>
      <c r="E189" s="145" t="s">
        <v>3876</v>
      </c>
      <c r="F189" s="145" t="s">
        <v>3876</v>
      </c>
      <c r="G189" s="143" t="s">
        <v>3427</v>
      </c>
      <c r="H189" s="143" t="s">
        <v>3428</v>
      </c>
      <c r="I189" s="143" t="s">
        <v>312</v>
      </c>
      <c r="J189" s="143" t="s">
        <v>1210</v>
      </c>
      <c r="K189" s="163">
        <v>45271</v>
      </c>
      <c r="L189" s="144">
        <v>34505</v>
      </c>
      <c r="M189" s="144">
        <v>34505</v>
      </c>
      <c r="N189" s="144">
        <v>4478.527</v>
      </c>
      <c r="O189" s="144">
        <v>4478.527</v>
      </c>
      <c r="P189" s="170">
        <v>0.12979356614983337</v>
      </c>
      <c r="Q189" s="174">
        <v>45291</v>
      </c>
      <c r="R189" s="181"/>
    </row>
    <row r="190" spans="1:18" ht="15" x14ac:dyDescent="0.2">
      <c r="A190" s="142" t="s">
        <v>1220</v>
      </c>
      <c r="B190" s="143" t="s">
        <v>1220</v>
      </c>
      <c r="C190" s="170" t="s">
        <v>1068</v>
      </c>
      <c r="D190" s="143" t="s">
        <v>3453</v>
      </c>
      <c r="E190" s="145" t="s">
        <v>3876</v>
      </c>
      <c r="F190" s="145" t="s">
        <v>3876</v>
      </c>
      <c r="G190" s="143" t="s">
        <v>3454</v>
      </c>
      <c r="H190" s="143" t="s">
        <v>3455</v>
      </c>
      <c r="I190" s="143" t="s">
        <v>312</v>
      </c>
      <c r="J190" s="143" t="s">
        <v>1213</v>
      </c>
      <c r="K190" s="163">
        <v>45046</v>
      </c>
      <c r="L190" s="144">
        <v>20424.226368133601</v>
      </c>
      <c r="M190" s="144">
        <v>82109.474845170713</v>
      </c>
      <c r="N190" s="144">
        <v>2516.2422881336024</v>
      </c>
      <c r="O190" s="144">
        <v>10115.79724675471</v>
      </c>
      <c r="P190" s="170">
        <v>0.12319890324264658</v>
      </c>
      <c r="Q190" s="174">
        <v>45961</v>
      </c>
      <c r="R190" s="181"/>
    </row>
    <row r="191" spans="1:18" ht="15" x14ac:dyDescent="0.2">
      <c r="A191" s="142" t="s">
        <v>1220</v>
      </c>
      <c r="B191" s="143" t="s">
        <v>1220</v>
      </c>
      <c r="C191" s="170" t="s">
        <v>1068</v>
      </c>
      <c r="D191" s="143" t="s">
        <v>3328</v>
      </c>
      <c r="E191" s="145" t="s">
        <v>3876</v>
      </c>
      <c r="F191" s="145" t="s">
        <v>3876</v>
      </c>
      <c r="G191" s="143" t="s">
        <v>3402</v>
      </c>
      <c r="H191" s="143" t="s">
        <v>3403</v>
      </c>
      <c r="I191" s="143" t="s">
        <v>312</v>
      </c>
      <c r="J191" s="143" t="s">
        <v>1211</v>
      </c>
      <c r="K191" s="163">
        <v>45337</v>
      </c>
      <c r="L191" s="144">
        <v>12636</v>
      </c>
      <c r="M191" s="144">
        <v>47498.724000000002</v>
      </c>
      <c r="N191" s="144">
        <v>5939.0729900000006</v>
      </c>
      <c r="O191" s="144">
        <v>22324.97536941</v>
      </c>
      <c r="P191" s="170">
        <v>0.47001210747071859</v>
      </c>
      <c r="Q191" s="174">
        <v>48303</v>
      </c>
      <c r="R191" s="181"/>
    </row>
    <row r="192" spans="1:18" ht="15" x14ac:dyDescent="0.2">
      <c r="A192" s="142" t="s">
        <v>1220</v>
      </c>
      <c r="B192" s="143" t="s">
        <v>1220</v>
      </c>
      <c r="C192" s="170" t="s">
        <v>1068</v>
      </c>
      <c r="D192" s="143" t="s">
        <v>3490</v>
      </c>
      <c r="E192" s="145" t="s">
        <v>3876</v>
      </c>
      <c r="F192" s="145" t="s">
        <v>3876</v>
      </c>
      <c r="G192" s="143" t="s">
        <v>3491</v>
      </c>
      <c r="H192" s="143" t="s">
        <v>3492</v>
      </c>
      <c r="I192" s="143" t="s">
        <v>312</v>
      </c>
      <c r="J192" s="143" t="s">
        <v>1210</v>
      </c>
      <c r="K192" s="163">
        <v>45306</v>
      </c>
      <c r="L192" s="144">
        <v>69351.240999999995</v>
      </c>
      <c r="M192" s="144">
        <v>69351.240999999995</v>
      </c>
      <c r="N192" s="144">
        <v>8313.4806000000008</v>
      </c>
      <c r="O192" s="144">
        <v>8313.4806000000008</v>
      </c>
      <c r="P192" s="170">
        <v>0.11987500843712373</v>
      </c>
      <c r="Q192" s="174">
        <v>46507</v>
      </c>
      <c r="R192" s="181"/>
    </row>
    <row r="193" spans="1:18" ht="15" x14ac:dyDescent="0.2">
      <c r="A193" s="142" t="s">
        <v>1220</v>
      </c>
      <c r="B193" s="143" t="s">
        <v>1220</v>
      </c>
      <c r="C193" s="170" t="s">
        <v>1068</v>
      </c>
      <c r="D193" s="143" t="s">
        <v>3365</v>
      </c>
      <c r="E193" s="145" t="s">
        <v>3876</v>
      </c>
      <c r="F193" s="145" t="s">
        <v>3876</v>
      </c>
      <c r="G193" s="143" t="s">
        <v>3366</v>
      </c>
      <c r="H193" s="143" t="s">
        <v>3367</v>
      </c>
      <c r="I193" s="143" t="s">
        <v>312</v>
      </c>
      <c r="J193" s="143" t="s">
        <v>1211</v>
      </c>
      <c r="K193" s="163">
        <v>45342</v>
      </c>
      <c r="L193" s="144">
        <v>12051.2</v>
      </c>
      <c r="M193" s="144">
        <v>45300.460799999993</v>
      </c>
      <c r="N193" s="144">
        <v>10954.39028</v>
      </c>
      <c r="O193" s="144">
        <v>41177.553062519997</v>
      </c>
      <c r="P193" s="170">
        <v>0.90898750995751465</v>
      </c>
      <c r="Q193" s="174">
        <v>44742</v>
      </c>
      <c r="R193" s="181"/>
    </row>
    <row r="194" spans="1:18" ht="15" x14ac:dyDescent="0.2">
      <c r="A194" s="142" t="s">
        <v>1220</v>
      </c>
      <c r="B194" s="143" t="s">
        <v>1220</v>
      </c>
      <c r="C194" s="170" t="s">
        <v>1068</v>
      </c>
      <c r="D194" s="143" t="s">
        <v>3379</v>
      </c>
      <c r="E194" s="145" t="s">
        <v>3876</v>
      </c>
      <c r="F194" s="145" t="s">
        <v>3876</v>
      </c>
      <c r="G194" s="143" t="s">
        <v>3382</v>
      </c>
      <c r="H194" s="143" t="s">
        <v>3383</v>
      </c>
      <c r="I194" s="143" t="s">
        <v>312</v>
      </c>
      <c r="J194" s="143" t="s">
        <v>1210</v>
      </c>
      <c r="K194" s="163">
        <v>45279</v>
      </c>
      <c r="L194" s="144">
        <v>43019.071000000004</v>
      </c>
      <c r="M194" s="144">
        <v>43019.071000000004</v>
      </c>
      <c r="N194" s="144">
        <v>14780.938989999999</v>
      </c>
      <c r="O194" s="144">
        <v>14780.938989999999</v>
      </c>
      <c r="P194" s="170">
        <v>0.34359038088014493</v>
      </c>
      <c r="Q194" s="174">
        <v>48669</v>
      </c>
      <c r="R194" s="181"/>
    </row>
    <row r="195" spans="1:18" ht="15" x14ac:dyDescent="0.2">
      <c r="A195" s="142" t="s">
        <v>1220</v>
      </c>
      <c r="B195" s="143" t="s">
        <v>1220</v>
      </c>
      <c r="C195" s="170" t="s">
        <v>1068</v>
      </c>
      <c r="D195" s="143" t="s">
        <v>3429</v>
      </c>
      <c r="E195" s="145" t="s">
        <v>3876</v>
      </c>
      <c r="F195" s="145" t="s">
        <v>3876</v>
      </c>
      <c r="G195" s="143" t="s">
        <v>3430</v>
      </c>
      <c r="H195" s="143" t="s">
        <v>3431</v>
      </c>
      <c r="I195" s="143" t="s">
        <v>312</v>
      </c>
      <c r="J195" s="143" t="s">
        <v>1210</v>
      </c>
      <c r="K195" s="163">
        <v>45243</v>
      </c>
      <c r="L195" s="144">
        <v>28048</v>
      </c>
      <c r="M195" s="144">
        <v>28048</v>
      </c>
      <c r="N195" s="144">
        <v>9381.5249899999981</v>
      </c>
      <c r="O195" s="144">
        <v>9381.5249899999981</v>
      </c>
      <c r="P195" s="170">
        <v>0.33448106781232168</v>
      </c>
      <c r="Q195" s="174">
        <v>48304</v>
      </c>
      <c r="R195" s="181"/>
    </row>
    <row r="196" spans="1:18" ht="15" x14ac:dyDescent="0.2">
      <c r="A196" s="142" t="s">
        <v>1220</v>
      </c>
      <c r="B196" s="143" t="s">
        <v>1220</v>
      </c>
      <c r="C196" s="170" t="s">
        <v>1068</v>
      </c>
      <c r="D196" s="143" t="s">
        <v>3270</v>
      </c>
      <c r="E196" s="145" t="s">
        <v>3876</v>
      </c>
      <c r="F196" s="145" t="s">
        <v>3876</v>
      </c>
      <c r="G196" s="143" t="s">
        <v>3271</v>
      </c>
      <c r="H196" s="143" t="s">
        <v>3272</v>
      </c>
      <c r="I196" s="143" t="s">
        <v>312</v>
      </c>
      <c r="J196" s="143" t="s">
        <v>1213</v>
      </c>
      <c r="K196" s="163">
        <v>45378</v>
      </c>
      <c r="L196" s="144">
        <v>11189.01</v>
      </c>
      <c r="M196" s="144">
        <v>44982.058001999998</v>
      </c>
      <c r="N196" s="144">
        <v>1368.8261600000001</v>
      </c>
      <c r="O196" s="144">
        <v>5502.954928432001</v>
      </c>
      <c r="P196" s="170">
        <v>0.12233666428039659</v>
      </c>
      <c r="Q196" s="174">
        <v>48518</v>
      </c>
      <c r="R196" s="181"/>
    </row>
    <row r="197" spans="1:18" ht="15" x14ac:dyDescent="0.2">
      <c r="A197" s="142" t="s">
        <v>1220</v>
      </c>
      <c r="B197" s="143" t="s">
        <v>1220</v>
      </c>
      <c r="C197" s="170" t="s">
        <v>1068</v>
      </c>
      <c r="D197" s="143" t="s">
        <v>3307</v>
      </c>
      <c r="E197" s="145" t="s">
        <v>3876</v>
      </c>
      <c r="F197" s="145" t="s">
        <v>3876</v>
      </c>
      <c r="G197" s="143" t="s">
        <v>3308</v>
      </c>
      <c r="H197" s="143" t="s">
        <v>3309</v>
      </c>
      <c r="I197" s="143" t="s">
        <v>312</v>
      </c>
      <c r="J197" s="143" t="s">
        <v>1213</v>
      </c>
      <c r="K197" s="163">
        <v>45299</v>
      </c>
      <c r="L197" s="144">
        <v>6258.8630000000003</v>
      </c>
      <c r="M197" s="144">
        <v>25161.881032600002</v>
      </c>
      <c r="N197" s="144">
        <v>182.98609999999962</v>
      </c>
      <c r="O197" s="144">
        <v>735.64071921999846</v>
      </c>
      <c r="P197" s="170">
        <v>2.9236316564206569E-2</v>
      </c>
      <c r="Q197" s="174">
        <v>48052</v>
      </c>
      <c r="R197" s="181"/>
    </row>
    <row r="198" spans="1:18" ht="15" x14ac:dyDescent="0.2">
      <c r="A198" s="142" t="s">
        <v>1220</v>
      </c>
      <c r="B198" s="143" t="s">
        <v>1220</v>
      </c>
      <c r="C198" s="170" t="s">
        <v>1068</v>
      </c>
      <c r="D198" s="143" t="s">
        <v>3292</v>
      </c>
      <c r="E198" s="145" t="s">
        <v>3876</v>
      </c>
      <c r="F198" s="145" t="s">
        <v>3876</v>
      </c>
      <c r="G198" s="143" t="s">
        <v>3293</v>
      </c>
      <c r="H198" s="143" t="s">
        <v>3294</v>
      </c>
      <c r="I198" s="143" t="s">
        <v>312</v>
      </c>
      <c r="J198" s="143" t="s">
        <v>1213</v>
      </c>
      <c r="K198" s="163">
        <v>45217</v>
      </c>
      <c r="L198" s="144">
        <v>9789.8022100000017</v>
      </c>
      <c r="M198" s="144">
        <v>39356.962844642003</v>
      </c>
      <c r="N198" s="144">
        <v>1690.9136200000009</v>
      </c>
      <c r="O198" s="144">
        <v>6797.8109351240046</v>
      </c>
      <c r="P198" s="170">
        <v>0.17272193898593594</v>
      </c>
      <c r="Q198" s="174">
        <v>47664</v>
      </c>
      <c r="R198" s="181"/>
    </row>
    <row r="199" spans="1:18" ht="15" x14ac:dyDescent="0.2">
      <c r="A199" s="142" t="s">
        <v>1220</v>
      </c>
      <c r="B199" s="143" t="s">
        <v>1220</v>
      </c>
      <c r="C199" s="170" t="s">
        <v>1068</v>
      </c>
      <c r="D199" s="143" t="s">
        <v>3304</v>
      </c>
      <c r="E199" s="145" t="s">
        <v>3876</v>
      </c>
      <c r="F199" s="145" t="s">
        <v>3876</v>
      </c>
      <c r="G199" s="143" t="s">
        <v>3305</v>
      </c>
      <c r="H199" s="143" t="s">
        <v>3306</v>
      </c>
      <c r="I199" s="143" t="s">
        <v>312</v>
      </c>
      <c r="J199" s="143" t="s">
        <v>1211</v>
      </c>
      <c r="K199" s="163">
        <v>45316</v>
      </c>
      <c r="L199" s="144">
        <v>6947.8919999999998</v>
      </c>
      <c r="M199" s="144">
        <v>26117.126028000002</v>
      </c>
      <c r="N199" s="144">
        <v>208.43600000000001</v>
      </c>
      <c r="O199" s="144">
        <v>783.51092400000005</v>
      </c>
      <c r="P199" s="170">
        <v>2.999989061430431E-2</v>
      </c>
      <c r="Q199" s="174">
        <v>47573</v>
      </c>
      <c r="R199" s="181"/>
    </row>
    <row r="200" spans="1:18" ht="15" x14ac:dyDescent="0.2">
      <c r="A200" s="142" t="s">
        <v>1220</v>
      </c>
      <c r="B200" s="143" t="s">
        <v>1220</v>
      </c>
      <c r="C200" s="170" t="s">
        <v>1068</v>
      </c>
      <c r="D200" s="143" t="s">
        <v>3343</v>
      </c>
      <c r="E200" s="145" t="s">
        <v>3876</v>
      </c>
      <c r="F200" s="145" t="s">
        <v>3876</v>
      </c>
      <c r="G200" s="143" t="s">
        <v>3344</v>
      </c>
      <c r="H200" s="143" t="s">
        <v>3345</v>
      </c>
      <c r="I200" s="143" t="s">
        <v>312</v>
      </c>
      <c r="J200" s="143" t="s">
        <v>1211</v>
      </c>
      <c r="K200" s="163">
        <v>45362</v>
      </c>
      <c r="L200" s="144">
        <v>8626.4919700000009</v>
      </c>
      <c r="M200" s="144">
        <v>32426.983315230002</v>
      </c>
      <c r="N200" s="144">
        <v>1482.3822600000008</v>
      </c>
      <c r="O200" s="144">
        <v>5572.2749153400027</v>
      </c>
      <c r="P200" s="170">
        <v>0.17184068160675522</v>
      </c>
      <c r="Q200" s="174">
        <v>45621</v>
      </c>
      <c r="R200" s="181"/>
    </row>
    <row r="201" spans="1:18" ht="15" x14ac:dyDescent="0.2">
      <c r="A201" s="142" t="s">
        <v>1220</v>
      </c>
      <c r="B201" s="143" t="s">
        <v>1220</v>
      </c>
      <c r="C201" s="170" t="s">
        <v>1068</v>
      </c>
      <c r="D201" s="143" t="s">
        <v>3225</v>
      </c>
      <c r="E201" s="145" t="s">
        <v>3876</v>
      </c>
      <c r="F201" s="145" t="s">
        <v>3876</v>
      </c>
      <c r="G201" s="143" t="s">
        <v>3226</v>
      </c>
      <c r="H201" s="143" t="s">
        <v>3227</v>
      </c>
      <c r="I201" s="143" t="s">
        <v>312</v>
      </c>
      <c r="J201" s="143" t="s">
        <v>1211</v>
      </c>
      <c r="K201" s="163">
        <v>44496</v>
      </c>
      <c r="L201" s="144">
        <v>6920</v>
      </c>
      <c r="M201" s="144">
        <v>26012.28</v>
      </c>
      <c r="N201" s="144">
        <v>742.33</v>
      </c>
      <c r="O201" s="144">
        <v>2790.4184699999996</v>
      </c>
      <c r="P201" s="170">
        <v>0.10727312138728323</v>
      </c>
      <c r="Q201" s="174">
        <v>45657</v>
      </c>
      <c r="R201" s="181"/>
    </row>
    <row r="202" spans="1:18" ht="15" x14ac:dyDescent="0.2">
      <c r="A202" s="142" t="s">
        <v>1220</v>
      </c>
      <c r="B202" s="143" t="s">
        <v>1220</v>
      </c>
      <c r="C202" s="170" t="s">
        <v>1068</v>
      </c>
      <c r="D202" s="143" t="s">
        <v>3249</v>
      </c>
      <c r="E202" s="145" t="s">
        <v>3876</v>
      </c>
      <c r="F202" s="145" t="s">
        <v>3876</v>
      </c>
      <c r="G202" s="143" t="s">
        <v>3250</v>
      </c>
      <c r="H202" s="143" t="s">
        <v>3251</v>
      </c>
      <c r="I202" s="143" t="s">
        <v>312</v>
      </c>
      <c r="J202" s="143" t="s">
        <v>1211</v>
      </c>
      <c r="K202" s="163">
        <v>43038</v>
      </c>
      <c r="L202" s="144">
        <v>5066.6581638637244</v>
      </c>
      <c r="M202" s="144">
        <v>19045.568037963738</v>
      </c>
      <c r="N202" s="144">
        <v>457.43427386372446</v>
      </c>
      <c r="O202" s="144">
        <v>1719.4954354537401</v>
      </c>
      <c r="P202" s="170">
        <v>9.0283231879787013E-2</v>
      </c>
      <c r="Q202" s="174">
        <v>45153</v>
      </c>
      <c r="R202" s="181"/>
    </row>
    <row r="203" spans="1:18" ht="15" x14ac:dyDescent="0.2">
      <c r="A203" s="142" t="s">
        <v>1220</v>
      </c>
      <c r="B203" s="143" t="s">
        <v>1220</v>
      </c>
      <c r="C203" s="170" t="s">
        <v>1068</v>
      </c>
      <c r="D203" s="143" t="s">
        <v>3432</v>
      </c>
      <c r="E203" s="145" t="s">
        <v>3876</v>
      </c>
      <c r="F203" s="145" t="s">
        <v>3876</v>
      </c>
      <c r="G203" s="143" t="s">
        <v>3433</v>
      </c>
      <c r="H203" s="143" t="s">
        <v>3434</v>
      </c>
      <c r="I203" s="143" t="s">
        <v>312</v>
      </c>
      <c r="J203" s="143" t="s">
        <v>1210</v>
      </c>
      <c r="K203" s="163">
        <v>45316</v>
      </c>
      <c r="L203" s="144">
        <v>41270.976000000002</v>
      </c>
      <c r="M203" s="144">
        <v>41270.976000000002</v>
      </c>
      <c r="N203" s="144">
        <v>22020.633000000002</v>
      </c>
      <c r="O203" s="144">
        <v>22020.633000000002</v>
      </c>
      <c r="P203" s="170">
        <v>0.53356220604039017</v>
      </c>
      <c r="Q203" s="174">
        <v>47118</v>
      </c>
      <c r="R203" s="181"/>
    </row>
    <row r="204" spans="1:18" ht="15" x14ac:dyDescent="0.2">
      <c r="A204" s="142" t="s">
        <v>1220</v>
      </c>
      <c r="B204" s="143" t="s">
        <v>1220</v>
      </c>
      <c r="C204" s="170" t="s">
        <v>1068</v>
      </c>
      <c r="D204" s="143" t="s">
        <v>3360</v>
      </c>
      <c r="E204" s="145" t="s">
        <v>3876</v>
      </c>
      <c r="F204" s="145" t="s">
        <v>3876</v>
      </c>
      <c r="G204" s="143" t="s">
        <v>3361</v>
      </c>
      <c r="H204" s="143" t="s">
        <v>3362</v>
      </c>
      <c r="I204" s="143" t="s">
        <v>312</v>
      </c>
      <c r="J204" s="143" t="s">
        <v>1211</v>
      </c>
      <c r="K204" s="163">
        <v>45356</v>
      </c>
      <c r="L204" s="144">
        <v>4207.2</v>
      </c>
      <c r="M204" s="144">
        <v>15814.864799999999</v>
      </c>
      <c r="N204" s="144">
        <v>2810.2819900000004</v>
      </c>
      <c r="O204" s="144">
        <v>10563.850000410001</v>
      </c>
      <c r="P204" s="170">
        <v>0.66796966866324403</v>
      </c>
      <c r="Q204" s="174">
        <v>47118</v>
      </c>
      <c r="R204" s="181"/>
    </row>
    <row r="205" spans="1:18" ht="15" x14ac:dyDescent="0.2">
      <c r="A205" s="142" t="s">
        <v>1220</v>
      </c>
      <c r="B205" s="143" t="s">
        <v>1220</v>
      </c>
      <c r="C205" s="170" t="s">
        <v>1068</v>
      </c>
      <c r="D205" s="143" t="s">
        <v>3360</v>
      </c>
      <c r="E205" s="145" t="s">
        <v>3876</v>
      </c>
      <c r="F205" s="145" t="s">
        <v>3876</v>
      </c>
      <c r="G205" s="143" t="s">
        <v>3368</v>
      </c>
      <c r="H205" s="143" t="s">
        <v>3369</v>
      </c>
      <c r="I205" s="143" t="s">
        <v>312</v>
      </c>
      <c r="J205" s="143" t="s">
        <v>1211</v>
      </c>
      <c r="K205" s="163">
        <v>45379</v>
      </c>
      <c r="L205" s="144">
        <v>2804.8</v>
      </c>
      <c r="M205" s="144">
        <v>10543.243199999999</v>
      </c>
      <c r="N205" s="144">
        <v>2663.6779900000001</v>
      </c>
      <c r="O205" s="144">
        <v>10012.765564410001</v>
      </c>
      <c r="P205" s="170">
        <v>0.94968553551055346</v>
      </c>
      <c r="Q205" s="174">
        <v>47118</v>
      </c>
      <c r="R205" s="181"/>
    </row>
    <row r="206" spans="1:18" ht="15" x14ac:dyDescent="0.2">
      <c r="A206" s="142" t="s">
        <v>1220</v>
      </c>
      <c r="B206" s="143" t="s">
        <v>1220</v>
      </c>
      <c r="C206" s="170" t="s">
        <v>1068</v>
      </c>
      <c r="D206" s="143" t="s">
        <v>3243</v>
      </c>
      <c r="E206" s="145" t="s">
        <v>3876</v>
      </c>
      <c r="F206" s="145" t="s">
        <v>3876</v>
      </c>
      <c r="G206" s="143" t="s">
        <v>3244</v>
      </c>
      <c r="H206" s="143" t="s">
        <v>3245</v>
      </c>
      <c r="I206" s="143" t="s">
        <v>312</v>
      </c>
      <c r="J206" s="143" t="s">
        <v>1211</v>
      </c>
      <c r="K206" s="163">
        <v>45265</v>
      </c>
      <c r="L206" s="144">
        <v>10518</v>
      </c>
      <c r="M206" s="144">
        <v>39537.161999999997</v>
      </c>
      <c r="N206" s="144">
        <v>8626.3269899999996</v>
      </c>
      <c r="O206" s="144">
        <v>32426.363155409999</v>
      </c>
      <c r="P206" s="170">
        <v>0.82014898174557904</v>
      </c>
      <c r="Q206" s="174">
        <v>47118</v>
      </c>
      <c r="R206" s="181"/>
    </row>
    <row r="207" spans="1:18" ht="14.1" customHeight="1" x14ac:dyDescent="0.2">
      <c r="A207" s="154" t="s">
        <v>1205</v>
      </c>
      <c r="B207" s="155" t="s">
        <v>1206</v>
      </c>
      <c r="C207" s="145" t="s">
        <v>3876</v>
      </c>
      <c r="D207" s="145" t="s">
        <v>3876</v>
      </c>
      <c r="E207" s="145" t="s">
        <v>3876</v>
      </c>
      <c r="F207" s="145" t="s">
        <v>3876</v>
      </c>
      <c r="G207" s="145" t="s">
        <v>3876</v>
      </c>
      <c r="H207" s="145" t="s">
        <v>3876</v>
      </c>
      <c r="I207" s="145" t="s">
        <v>3876</v>
      </c>
      <c r="J207" s="145" t="s">
        <v>3876</v>
      </c>
      <c r="K207" s="145" t="s">
        <v>3876</v>
      </c>
      <c r="L207" s="145" t="s">
        <v>3876</v>
      </c>
      <c r="M207" s="145" t="s">
        <v>3876</v>
      </c>
      <c r="N207" s="145" t="s">
        <v>3876</v>
      </c>
      <c r="O207" s="145" t="s">
        <v>3876</v>
      </c>
      <c r="P207" s="145" t="s">
        <v>3876</v>
      </c>
      <c r="Q207" s="156" t="s">
        <v>3876</v>
      </c>
      <c r="R207" s="181"/>
    </row>
    <row r="208" spans="1:18" ht="14.1" customHeight="1" x14ac:dyDescent="0.2">
      <c r="A208" s="154" t="s">
        <v>1205</v>
      </c>
      <c r="B208" s="155" t="s">
        <v>1215</v>
      </c>
      <c r="C208" s="145" t="s">
        <v>3876</v>
      </c>
      <c r="D208" s="145" t="s">
        <v>3876</v>
      </c>
      <c r="E208" s="145" t="s">
        <v>3876</v>
      </c>
      <c r="F208" s="145" t="s">
        <v>3876</v>
      </c>
      <c r="G208" s="145" t="s">
        <v>3876</v>
      </c>
      <c r="H208" s="145" t="s">
        <v>3876</v>
      </c>
      <c r="I208" s="145" t="s">
        <v>3876</v>
      </c>
      <c r="J208" s="145" t="s">
        <v>3876</v>
      </c>
      <c r="K208" s="145" t="s">
        <v>3876</v>
      </c>
      <c r="L208" s="145" t="s">
        <v>3876</v>
      </c>
      <c r="M208" s="145" t="s">
        <v>3876</v>
      </c>
      <c r="N208" s="145" t="s">
        <v>3876</v>
      </c>
      <c r="O208" s="145" t="s">
        <v>3876</v>
      </c>
      <c r="P208" s="145" t="s">
        <v>3876</v>
      </c>
      <c r="Q208" s="156" t="s">
        <v>3876</v>
      </c>
      <c r="R208" s="181"/>
    </row>
    <row r="209" spans="1:18" ht="14.1" customHeight="1" x14ac:dyDescent="0.2">
      <c r="A209" s="154" t="s">
        <v>1220</v>
      </c>
      <c r="B209" s="155" t="s">
        <v>1221</v>
      </c>
      <c r="C209" s="145" t="s">
        <v>3876</v>
      </c>
      <c r="D209" s="145" t="s">
        <v>3876</v>
      </c>
      <c r="E209" s="145" t="s">
        <v>3876</v>
      </c>
      <c r="F209" s="145" t="s">
        <v>3876</v>
      </c>
      <c r="G209" s="145" t="s">
        <v>3876</v>
      </c>
      <c r="H209" s="145" t="s">
        <v>3876</v>
      </c>
      <c r="I209" s="145" t="s">
        <v>3876</v>
      </c>
      <c r="J209" s="145" t="s">
        <v>3876</v>
      </c>
      <c r="K209" s="145" t="s">
        <v>3876</v>
      </c>
      <c r="L209" s="145" t="s">
        <v>3876</v>
      </c>
      <c r="M209" s="145" t="s">
        <v>3876</v>
      </c>
      <c r="N209" s="145" t="s">
        <v>3876</v>
      </c>
      <c r="O209" s="145" t="s">
        <v>3876</v>
      </c>
      <c r="P209" s="145" t="s">
        <v>3876</v>
      </c>
      <c r="Q209" s="156" t="s">
        <v>3876</v>
      </c>
      <c r="R209" s="181"/>
    </row>
    <row r="210" spans="1:18" ht="14.1" customHeight="1" x14ac:dyDescent="0.2">
      <c r="A210" s="157" t="s">
        <v>1220</v>
      </c>
      <c r="B210" s="158" t="s">
        <v>1222</v>
      </c>
      <c r="C210" s="151" t="s">
        <v>3876</v>
      </c>
      <c r="D210" s="151" t="s">
        <v>3876</v>
      </c>
      <c r="E210" s="151" t="s">
        <v>3876</v>
      </c>
      <c r="F210" s="151" t="s">
        <v>3876</v>
      </c>
      <c r="G210" s="151" t="s">
        <v>3876</v>
      </c>
      <c r="H210" s="151" t="s">
        <v>3876</v>
      </c>
      <c r="I210" s="151" t="s">
        <v>3876</v>
      </c>
      <c r="J210" s="151" t="s">
        <v>3876</v>
      </c>
      <c r="K210" s="151" t="s">
        <v>3876</v>
      </c>
      <c r="L210" s="151" t="s">
        <v>3876</v>
      </c>
      <c r="M210" s="151" t="s">
        <v>3876</v>
      </c>
      <c r="N210" s="151" t="s">
        <v>3876</v>
      </c>
      <c r="O210" s="151" t="s">
        <v>3876</v>
      </c>
      <c r="P210" s="151" t="s">
        <v>3876</v>
      </c>
      <c r="Q210" s="159" t="s">
        <v>3876</v>
      </c>
      <c r="R210" s="181"/>
    </row>
    <row r="211" spans="1:18" ht="14.1" customHeight="1" x14ac:dyDescent="0.2">
      <c r="A211" s="181" t="s">
        <v>3893</v>
      </c>
      <c r="B211" s="181"/>
      <c r="C211" s="181"/>
      <c r="D211" s="181"/>
      <c r="E211" s="181"/>
      <c r="F211" s="181"/>
      <c r="G211" s="181"/>
      <c r="H211" s="181"/>
      <c r="I211" s="181"/>
      <c r="J211" s="181"/>
      <c r="K211" s="181"/>
      <c r="L211" s="181"/>
      <c r="M211" s="181"/>
      <c r="N211" s="181"/>
      <c r="O211" s="181"/>
      <c r="P211" s="181"/>
      <c r="Q211" s="181"/>
    </row>
    <row r="212" spans="1:18" ht="14.1" customHeight="1" x14ac:dyDescent="0.2">
      <c r="A212" s="2" t="s">
        <v>3892</v>
      </c>
    </row>
    <row r="213" spans="1:18" ht="14.1" customHeight="1" x14ac:dyDescent="0.2">
      <c r="A213" s="176"/>
    </row>
  </sheetData>
  <sheetProtection formatColumns="0"/>
  <dataConsolidate/>
  <mergeCells count="2">
    <mergeCell ref="A211:Q211"/>
    <mergeCell ref="R2:R210"/>
  </mergeCells>
  <dataValidations count="1">
    <dataValidation type="list" allowBlank="1" showInputMessage="1" showErrorMessage="1" sqref="I3:I13">
      <formula1>Type_of_Security_ID_Fund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בחירה'!$C$1037:$C$1040</xm:f>
          </x14:formula1>
          <xm:sqref>C3:C12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H1315"/>
  <sheetViews>
    <sheetView showGridLines="0" rightToLeft="1" zoomScale="85" zoomScaleNormal="85" workbookViewId="0">
      <pane ySplit="1" topLeftCell="A23" activePane="bottomLeft" state="frozen"/>
      <selection pane="bottomLeft" activeCell="A1034" sqref="A1034"/>
    </sheetView>
  </sheetViews>
  <sheetFormatPr defaultColWidth="9" defaultRowHeight="14.25" x14ac:dyDescent="0.2"/>
  <cols>
    <col min="1" max="1" width="29.375" style="10" customWidth="1"/>
    <col min="2" max="2" width="30.375" customWidth="1"/>
    <col min="3" max="3" width="69.625" style="13" customWidth="1"/>
    <col min="4" max="4" width="72.75" style="10" bestFit="1" customWidth="1"/>
    <col min="5" max="5" width="17.375" customWidth="1"/>
    <col min="6" max="6" width="59.625" customWidth="1"/>
    <col min="7" max="7" width="63.375" customWidth="1"/>
    <col min="8" max="8" width="38.75" customWidth="1"/>
    <col min="9" max="9" width="9" customWidth="1"/>
  </cols>
  <sheetData>
    <row r="1" spans="1:8" s="36" customFormat="1" ht="45" x14ac:dyDescent="0.2">
      <c r="A1" s="35" t="s">
        <v>198</v>
      </c>
      <c r="B1" s="35" t="s">
        <v>199</v>
      </c>
      <c r="C1" s="35" t="s">
        <v>200</v>
      </c>
      <c r="D1" s="35" t="s">
        <v>201</v>
      </c>
      <c r="E1" s="97" t="s">
        <v>202</v>
      </c>
      <c r="F1"/>
      <c r="G1"/>
      <c r="H1"/>
    </row>
    <row r="2" spans="1:8" x14ac:dyDescent="0.2">
      <c r="A2" s="62"/>
      <c r="B2" s="62" t="s">
        <v>203</v>
      </c>
      <c r="C2" s="17" t="s">
        <v>204</v>
      </c>
      <c r="D2" s="17"/>
    </row>
    <row r="3" spans="1:8" x14ac:dyDescent="0.2">
      <c r="A3" s="63"/>
      <c r="B3" s="63"/>
      <c r="C3" s="17" t="s">
        <v>205</v>
      </c>
      <c r="D3" s="17"/>
    </row>
    <row r="4" spans="1:8" ht="42.75" x14ac:dyDescent="0.2">
      <c r="A4" s="102"/>
      <c r="B4" s="72" t="s">
        <v>206</v>
      </c>
      <c r="C4" s="18" t="s">
        <v>204</v>
      </c>
      <c r="D4" s="18"/>
    </row>
    <row r="5" spans="1:8" x14ac:dyDescent="0.2">
      <c r="A5" s="103"/>
      <c r="B5" s="73"/>
      <c r="C5" s="18" t="s">
        <v>207</v>
      </c>
      <c r="D5" s="18"/>
    </row>
    <row r="6" spans="1:8" x14ac:dyDescent="0.2">
      <c r="A6" s="103"/>
      <c r="B6" s="73"/>
      <c r="C6" s="18" t="s">
        <v>208</v>
      </c>
      <c r="D6" s="18"/>
    </row>
    <row r="7" spans="1:8" x14ac:dyDescent="0.2">
      <c r="A7" s="103"/>
      <c r="B7" s="73"/>
      <c r="C7" s="18" t="s">
        <v>209</v>
      </c>
      <c r="D7" s="18"/>
    </row>
    <row r="8" spans="1:8" x14ac:dyDescent="0.2">
      <c r="A8" s="103"/>
      <c r="B8" s="73"/>
      <c r="C8" s="18" t="s">
        <v>210</v>
      </c>
      <c r="D8" s="18"/>
    </row>
    <row r="9" spans="1:8" x14ac:dyDescent="0.2">
      <c r="A9" s="103"/>
      <c r="B9" s="73"/>
      <c r="C9" s="18" t="s">
        <v>211</v>
      </c>
      <c r="D9" s="18"/>
    </row>
    <row r="10" spans="1:8" x14ac:dyDescent="0.2">
      <c r="A10" s="103"/>
      <c r="B10" s="73"/>
      <c r="C10" s="18" t="s">
        <v>212</v>
      </c>
      <c r="D10" s="18"/>
    </row>
    <row r="11" spans="1:8" x14ac:dyDescent="0.2">
      <c r="A11" s="103"/>
      <c r="B11" s="73"/>
      <c r="C11" s="18" t="s">
        <v>213</v>
      </c>
      <c r="D11" s="18"/>
      <c r="E11" t="s">
        <v>214</v>
      </c>
    </row>
    <row r="12" spans="1:8" x14ac:dyDescent="0.2">
      <c r="A12" s="103"/>
      <c r="B12" s="73"/>
      <c r="C12" s="18" t="s">
        <v>215</v>
      </c>
      <c r="D12" s="18"/>
      <c r="E12" t="s">
        <v>214</v>
      </c>
    </row>
    <row r="13" spans="1:8" x14ac:dyDescent="0.2">
      <c r="A13" s="103"/>
      <c r="B13" s="73"/>
      <c r="C13" s="18" t="s">
        <v>216</v>
      </c>
      <c r="D13" s="18"/>
    </row>
    <row r="14" spans="1:8" x14ac:dyDescent="0.2">
      <c r="A14" s="103"/>
      <c r="B14" s="73"/>
      <c r="C14" s="18" t="s">
        <v>217</v>
      </c>
      <c r="D14" s="18"/>
    </row>
    <row r="15" spans="1:8" x14ac:dyDescent="0.2">
      <c r="A15" s="103"/>
      <c r="B15" s="73"/>
      <c r="C15" s="18" t="s">
        <v>218</v>
      </c>
      <c r="D15" s="18"/>
    </row>
    <row r="16" spans="1:8" x14ac:dyDescent="0.2">
      <c r="A16" s="103"/>
      <c r="B16" s="73"/>
      <c r="C16" s="18" t="s">
        <v>219</v>
      </c>
      <c r="D16" s="18"/>
    </row>
    <row r="17" spans="1:4" x14ac:dyDescent="0.2">
      <c r="A17" s="103"/>
      <c r="B17" s="73"/>
      <c r="C17" s="18" t="s">
        <v>220</v>
      </c>
      <c r="D17" s="18"/>
    </row>
    <row r="18" spans="1:4" x14ac:dyDescent="0.2">
      <c r="A18" s="103"/>
      <c r="B18" s="73"/>
      <c r="C18" s="18" t="s">
        <v>221</v>
      </c>
      <c r="D18" s="18"/>
    </row>
    <row r="19" spans="1:4" x14ac:dyDescent="0.2">
      <c r="A19" s="103"/>
      <c r="B19" s="73"/>
      <c r="C19" s="18" t="s">
        <v>222</v>
      </c>
      <c r="D19" s="18"/>
    </row>
    <row r="20" spans="1:4" x14ac:dyDescent="0.2">
      <c r="A20" s="103"/>
      <c r="B20" s="73"/>
      <c r="C20" s="18" t="s">
        <v>223</v>
      </c>
      <c r="D20" s="18"/>
    </row>
    <row r="21" spans="1:4" x14ac:dyDescent="0.2">
      <c r="A21" s="103"/>
      <c r="B21" s="73"/>
      <c r="C21" s="18" t="s">
        <v>224</v>
      </c>
      <c r="D21" s="18"/>
    </row>
    <row r="22" spans="1:4" x14ac:dyDescent="0.2">
      <c r="A22" s="103"/>
      <c r="B22" s="73"/>
      <c r="C22" s="18" t="s">
        <v>225</v>
      </c>
      <c r="D22" s="18"/>
    </row>
    <row r="23" spans="1:4" x14ac:dyDescent="0.2">
      <c r="A23" s="103"/>
      <c r="B23" s="73"/>
      <c r="C23" s="18" t="s">
        <v>226</v>
      </c>
      <c r="D23" s="18"/>
    </row>
    <row r="24" spans="1:4" x14ac:dyDescent="0.2">
      <c r="A24" s="103"/>
      <c r="B24" s="73"/>
      <c r="C24" s="18" t="s">
        <v>227</v>
      </c>
      <c r="D24" s="18"/>
    </row>
    <row r="25" spans="1:4" x14ac:dyDescent="0.2">
      <c r="A25" s="103"/>
      <c r="B25" s="73"/>
      <c r="C25" s="18" t="s">
        <v>228</v>
      </c>
      <c r="D25" s="18"/>
    </row>
    <row r="26" spans="1:4" x14ac:dyDescent="0.2">
      <c r="A26" s="103"/>
      <c r="B26" s="73"/>
      <c r="C26" s="18" t="s">
        <v>229</v>
      </c>
      <c r="D26" s="18"/>
    </row>
    <row r="27" spans="1:4" x14ac:dyDescent="0.2">
      <c r="A27" s="103"/>
      <c r="B27" s="73"/>
      <c r="C27" s="18" t="s">
        <v>230</v>
      </c>
      <c r="D27" s="18"/>
    </row>
    <row r="28" spans="1:4" x14ac:dyDescent="0.2">
      <c r="A28" s="103"/>
      <c r="B28" s="73"/>
      <c r="C28" s="18" t="s">
        <v>231</v>
      </c>
      <c r="D28" s="18"/>
    </row>
    <row r="29" spans="1:4" x14ac:dyDescent="0.2">
      <c r="A29" s="103"/>
      <c r="B29" s="73"/>
      <c r="C29" s="18" t="s">
        <v>232</v>
      </c>
      <c r="D29" s="18"/>
    </row>
    <row r="30" spans="1:4" x14ac:dyDescent="0.2">
      <c r="A30" s="103"/>
      <c r="B30" s="73"/>
      <c r="C30" s="18" t="s">
        <v>233</v>
      </c>
      <c r="D30" s="18"/>
    </row>
    <row r="31" spans="1:4" x14ac:dyDescent="0.2">
      <c r="A31" s="103"/>
      <c r="B31" s="73"/>
      <c r="C31" s="18" t="s">
        <v>234</v>
      </c>
      <c r="D31" s="18"/>
    </row>
    <row r="32" spans="1:4" x14ac:dyDescent="0.2">
      <c r="A32" s="103"/>
      <c r="B32" s="73"/>
      <c r="C32" s="18" t="s">
        <v>235</v>
      </c>
      <c r="D32" s="18"/>
    </row>
    <row r="33" spans="1:5" x14ac:dyDescent="0.2">
      <c r="A33" s="103"/>
      <c r="B33" s="73"/>
      <c r="C33" s="18" t="s">
        <v>236</v>
      </c>
      <c r="D33" s="18"/>
    </row>
    <row r="34" spans="1:5" x14ac:dyDescent="0.2">
      <c r="A34" s="103"/>
      <c r="B34" s="73"/>
      <c r="C34" s="18" t="s">
        <v>237</v>
      </c>
      <c r="D34" s="18"/>
    </row>
    <row r="35" spans="1:5" x14ac:dyDescent="0.2">
      <c r="A35" s="103"/>
      <c r="B35" s="73"/>
      <c r="C35" s="18" t="s">
        <v>238</v>
      </c>
      <c r="D35" s="18"/>
    </row>
    <row r="36" spans="1:5" x14ac:dyDescent="0.2">
      <c r="A36" s="103"/>
      <c r="B36" s="73"/>
      <c r="C36" s="18" t="s">
        <v>239</v>
      </c>
      <c r="D36" s="18"/>
      <c r="E36" t="s">
        <v>214</v>
      </c>
    </row>
    <row r="37" spans="1:5" x14ac:dyDescent="0.2">
      <c r="A37" s="103"/>
      <c r="B37" s="73"/>
      <c r="C37" s="98" t="s">
        <v>240</v>
      </c>
      <c r="D37" s="18"/>
      <c r="E37" t="s">
        <v>214</v>
      </c>
    </row>
    <row r="38" spans="1:5" x14ac:dyDescent="0.2">
      <c r="A38" s="103"/>
      <c r="B38" s="73"/>
      <c r="C38" s="18" t="s">
        <v>241</v>
      </c>
      <c r="D38" s="18"/>
    </row>
    <row r="39" spans="1:5" x14ac:dyDescent="0.2">
      <c r="A39" s="103"/>
      <c r="B39" s="73"/>
      <c r="C39" s="18" t="s">
        <v>242</v>
      </c>
      <c r="D39" s="18"/>
    </row>
    <row r="40" spans="1:5" x14ac:dyDescent="0.2">
      <c r="A40" s="103"/>
      <c r="B40" s="73"/>
      <c r="C40" s="18" t="s">
        <v>243</v>
      </c>
      <c r="D40" s="18"/>
      <c r="E40" t="s">
        <v>214</v>
      </c>
    </row>
    <row r="41" spans="1:5" x14ac:dyDescent="0.2">
      <c r="A41" s="103"/>
      <c r="B41" s="73"/>
      <c r="C41" s="18" t="s">
        <v>244</v>
      </c>
      <c r="D41" s="18"/>
    </row>
    <row r="42" spans="1:5" x14ac:dyDescent="0.2">
      <c r="A42" s="103"/>
      <c r="B42" s="73"/>
      <c r="C42" s="18" t="s">
        <v>245</v>
      </c>
      <c r="D42" s="18"/>
    </row>
    <row r="43" spans="1:5" x14ac:dyDescent="0.2">
      <c r="A43" s="103"/>
      <c r="B43" s="73"/>
      <c r="C43" s="18" t="s">
        <v>246</v>
      </c>
      <c r="D43" s="18"/>
    </row>
    <row r="44" spans="1:5" x14ac:dyDescent="0.2">
      <c r="A44" s="103"/>
      <c r="B44" s="73"/>
      <c r="C44" s="18" t="s">
        <v>247</v>
      </c>
      <c r="D44" s="18"/>
    </row>
    <row r="45" spans="1:5" x14ac:dyDescent="0.2">
      <c r="A45" s="103"/>
      <c r="B45" s="73"/>
      <c r="C45" s="18" t="s">
        <v>248</v>
      </c>
      <c r="D45" s="18"/>
    </row>
    <row r="46" spans="1:5" x14ac:dyDescent="0.2">
      <c r="A46" s="103"/>
      <c r="B46" s="73"/>
      <c r="C46" s="18" t="s">
        <v>249</v>
      </c>
      <c r="D46" s="18"/>
      <c r="E46" t="s">
        <v>214</v>
      </c>
    </row>
    <row r="47" spans="1:5" x14ac:dyDescent="0.2">
      <c r="A47" s="103"/>
      <c r="B47" s="73"/>
      <c r="C47" s="18" t="s">
        <v>250</v>
      </c>
      <c r="D47" s="18"/>
    </row>
    <row r="48" spans="1:5" x14ac:dyDescent="0.2">
      <c r="A48" s="103"/>
      <c r="B48" s="73"/>
      <c r="C48" s="18" t="s">
        <v>251</v>
      </c>
      <c r="D48" s="18"/>
    </row>
    <row r="49" spans="1:5" x14ac:dyDescent="0.2">
      <c r="A49" s="103"/>
      <c r="B49" s="73"/>
      <c r="C49" s="18" t="s">
        <v>252</v>
      </c>
      <c r="D49" s="18"/>
    </row>
    <row r="50" spans="1:5" x14ac:dyDescent="0.2">
      <c r="A50" s="103"/>
      <c r="B50" s="73"/>
      <c r="C50" s="18" t="s">
        <v>253</v>
      </c>
      <c r="D50" s="18"/>
    </row>
    <row r="51" spans="1:5" x14ac:dyDescent="0.2">
      <c r="A51" s="103"/>
      <c r="B51" s="73"/>
      <c r="C51" s="18" t="s">
        <v>254</v>
      </c>
      <c r="D51" s="18"/>
    </row>
    <row r="52" spans="1:5" x14ac:dyDescent="0.2">
      <c r="A52" s="103"/>
      <c r="B52" s="73"/>
      <c r="C52" s="18" t="s">
        <v>255</v>
      </c>
      <c r="D52" s="18"/>
    </row>
    <row r="53" spans="1:5" x14ac:dyDescent="0.2">
      <c r="A53" s="103"/>
      <c r="B53" s="73"/>
      <c r="C53" s="18" t="s">
        <v>256</v>
      </c>
      <c r="D53" s="18"/>
    </row>
    <row r="54" spans="1:5" x14ac:dyDescent="0.2">
      <c r="A54" s="103"/>
      <c r="B54" s="73"/>
      <c r="C54" s="18" t="s">
        <v>257</v>
      </c>
      <c r="D54" s="18"/>
    </row>
    <row r="55" spans="1:5" x14ac:dyDescent="0.2">
      <c r="A55" s="103"/>
      <c r="B55" s="73"/>
      <c r="C55" s="18" t="s">
        <v>258</v>
      </c>
      <c r="D55" s="18"/>
    </row>
    <row r="56" spans="1:5" x14ac:dyDescent="0.2">
      <c r="A56" s="103"/>
      <c r="B56" s="73"/>
      <c r="C56" s="18" t="s">
        <v>259</v>
      </c>
      <c r="D56" s="18"/>
    </row>
    <row r="57" spans="1:5" x14ac:dyDescent="0.2">
      <c r="A57" s="103"/>
      <c r="B57" s="73"/>
      <c r="C57" s="18" t="s">
        <v>260</v>
      </c>
      <c r="D57" s="18"/>
    </row>
    <row r="58" spans="1:5" x14ac:dyDescent="0.2">
      <c r="A58" s="103"/>
      <c r="B58" s="73"/>
      <c r="C58" s="18" t="s">
        <v>261</v>
      </c>
      <c r="D58" s="18"/>
    </row>
    <row r="59" spans="1:5" x14ac:dyDescent="0.2">
      <c r="A59" s="103"/>
      <c r="B59" s="73"/>
      <c r="C59" s="18" t="s">
        <v>262</v>
      </c>
      <c r="D59" s="18"/>
    </row>
    <row r="60" spans="1:5" x14ac:dyDescent="0.2">
      <c r="A60" s="103"/>
      <c r="B60" s="73"/>
      <c r="C60" s="18" t="s">
        <v>263</v>
      </c>
      <c r="D60" s="18"/>
    </row>
    <row r="61" spans="1:5" x14ac:dyDescent="0.2">
      <c r="A61" s="103"/>
      <c r="B61" s="73"/>
      <c r="C61" s="18" t="s">
        <v>264</v>
      </c>
      <c r="D61" s="18"/>
    </row>
    <row r="62" spans="1:5" x14ac:dyDescent="0.2">
      <c r="A62" s="103"/>
      <c r="B62" s="73"/>
      <c r="C62" s="18" t="s">
        <v>265</v>
      </c>
      <c r="D62" s="18"/>
    </row>
    <row r="63" spans="1:5" x14ac:dyDescent="0.2">
      <c r="A63" s="103"/>
      <c r="B63" s="73"/>
      <c r="C63" s="18" t="s">
        <v>266</v>
      </c>
      <c r="D63" s="18"/>
      <c r="E63" t="s">
        <v>214</v>
      </c>
    </row>
    <row r="64" spans="1:5" x14ac:dyDescent="0.2">
      <c r="A64" s="103"/>
      <c r="B64" s="73"/>
      <c r="C64" s="18" t="s">
        <v>267</v>
      </c>
      <c r="D64" s="18"/>
    </row>
    <row r="65" spans="1:4" x14ac:dyDescent="0.2">
      <c r="A65" s="103"/>
      <c r="B65" s="73"/>
      <c r="C65" s="18" t="s">
        <v>268</v>
      </c>
      <c r="D65" s="18"/>
    </row>
    <row r="66" spans="1:4" x14ac:dyDescent="0.2">
      <c r="A66" s="103"/>
      <c r="B66" s="73"/>
      <c r="C66" s="18" t="s">
        <v>269</v>
      </c>
      <c r="D66" s="18"/>
    </row>
    <row r="67" spans="1:4" x14ac:dyDescent="0.2">
      <c r="A67" s="103"/>
      <c r="B67" s="73"/>
      <c r="C67" s="18" t="s">
        <v>270</v>
      </c>
      <c r="D67" s="18"/>
    </row>
    <row r="68" spans="1:4" x14ac:dyDescent="0.2">
      <c r="A68" s="103"/>
      <c r="B68" s="73"/>
      <c r="C68" s="18" t="s">
        <v>271</v>
      </c>
      <c r="D68" s="18"/>
    </row>
    <row r="69" spans="1:4" x14ac:dyDescent="0.2">
      <c r="A69" s="103"/>
      <c r="B69" s="73"/>
      <c r="C69" s="18" t="s">
        <v>272</v>
      </c>
      <c r="D69" s="18"/>
    </row>
    <row r="70" spans="1:4" x14ac:dyDescent="0.2">
      <c r="A70" s="103"/>
      <c r="B70" s="73"/>
      <c r="C70" s="18" t="s">
        <v>273</v>
      </c>
      <c r="D70" s="18"/>
    </row>
    <row r="71" spans="1:4" x14ac:dyDescent="0.2">
      <c r="A71" s="103"/>
      <c r="B71" s="73"/>
      <c r="C71" s="18" t="s">
        <v>274</v>
      </c>
      <c r="D71" s="18"/>
    </row>
    <row r="72" spans="1:4" x14ac:dyDescent="0.2">
      <c r="A72" s="103"/>
      <c r="B72" s="73"/>
      <c r="C72" s="18" t="s">
        <v>275</v>
      </c>
      <c r="D72" s="18"/>
    </row>
    <row r="73" spans="1:4" x14ac:dyDescent="0.2">
      <c r="A73" s="103"/>
      <c r="B73" s="73"/>
      <c r="C73" s="18" t="s">
        <v>276</v>
      </c>
      <c r="D73" s="18"/>
    </row>
    <row r="74" spans="1:4" x14ac:dyDescent="0.2">
      <c r="A74" s="103"/>
      <c r="B74" s="73"/>
      <c r="C74" s="18" t="s">
        <v>277</v>
      </c>
      <c r="D74" s="18"/>
    </row>
    <row r="75" spans="1:4" x14ac:dyDescent="0.2">
      <c r="A75" s="103"/>
      <c r="B75" s="73"/>
      <c r="C75" s="18" t="s">
        <v>278</v>
      </c>
      <c r="D75" s="18"/>
    </row>
    <row r="76" spans="1:4" x14ac:dyDescent="0.2">
      <c r="A76" s="103"/>
      <c r="B76" s="73"/>
      <c r="C76" s="18" t="s">
        <v>279</v>
      </c>
      <c r="D76" s="18"/>
    </row>
    <row r="77" spans="1:4" x14ac:dyDescent="0.2">
      <c r="A77" s="103"/>
      <c r="B77" s="73"/>
      <c r="C77" s="18" t="s">
        <v>280</v>
      </c>
      <c r="D77" s="18"/>
    </row>
    <row r="78" spans="1:4" x14ac:dyDescent="0.2">
      <c r="A78" s="103"/>
      <c r="B78" s="73"/>
      <c r="C78" s="18" t="s">
        <v>281</v>
      </c>
      <c r="D78" s="18"/>
    </row>
    <row r="79" spans="1:4" x14ac:dyDescent="0.2">
      <c r="A79" s="103"/>
      <c r="B79" s="73"/>
      <c r="C79" s="18" t="s">
        <v>282</v>
      </c>
      <c r="D79" s="18"/>
    </row>
    <row r="80" spans="1:4" x14ac:dyDescent="0.2">
      <c r="A80" s="103"/>
      <c r="B80" s="73"/>
      <c r="C80" s="18" t="s">
        <v>283</v>
      </c>
      <c r="D80" s="18"/>
    </row>
    <row r="81" spans="1:5" x14ac:dyDescent="0.2">
      <c r="A81" s="103"/>
      <c r="B81" s="73"/>
      <c r="C81" s="18" t="s">
        <v>284</v>
      </c>
      <c r="D81" s="18"/>
    </row>
    <row r="82" spans="1:5" x14ac:dyDescent="0.2">
      <c r="A82" s="103"/>
      <c r="B82" s="73"/>
      <c r="C82" s="18" t="s">
        <v>285</v>
      </c>
      <c r="D82" s="18"/>
    </row>
    <row r="83" spans="1:5" x14ac:dyDescent="0.2">
      <c r="A83" s="103"/>
      <c r="B83" s="73"/>
      <c r="C83" s="18" t="s">
        <v>286</v>
      </c>
      <c r="D83" s="18"/>
    </row>
    <row r="84" spans="1:5" x14ac:dyDescent="0.2">
      <c r="A84" s="103"/>
      <c r="B84" s="73"/>
      <c r="C84" s="18" t="s">
        <v>287</v>
      </c>
      <c r="D84" s="18"/>
    </row>
    <row r="85" spans="1:5" x14ac:dyDescent="0.2">
      <c r="A85" s="103"/>
      <c r="B85" s="73"/>
      <c r="C85" s="18" t="s">
        <v>288</v>
      </c>
      <c r="D85" s="18"/>
    </row>
    <row r="86" spans="1:5" x14ac:dyDescent="0.2">
      <c r="A86" s="103"/>
      <c r="B86" s="73"/>
      <c r="C86" s="18" t="s">
        <v>289</v>
      </c>
      <c r="D86" s="18"/>
    </row>
    <row r="87" spans="1:5" x14ac:dyDescent="0.2">
      <c r="A87" s="103"/>
      <c r="B87" s="73"/>
      <c r="C87" s="18" t="s">
        <v>290</v>
      </c>
      <c r="D87" s="18"/>
    </row>
    <row r="88" spans="1:5" x14ac:dyDescent="0.2">
      <c r="A88" s="103"/>
      <c r="B88" s="73"/>
      <c r="C88" s="18" t="s">
        <v>291</v>
      </c>
      <c r="D88" s="18"/>
    </row>
    <row r="89" spans="1:5" x14ac:dyDescent="0.2">
      <c r="A89" s="103"/>
      <c r="B89" s="73"/>
      <c r="C89" s="18" t="s">
        <v>292</v>
      </c>
      <c r="D89" s="18"/>
    </row>
    <row r="90" spans="1:5" x14ac:dyDescent="0.2">
      <c r="A90" s="103"/>
      <c r="B90" s="73"/>
      <c r="C90" s="18" t="s">
        <v>293</v>
      </c>
      <c r="D90" s="18"/>
    </row>
    <row r="91" spans="1:5" x14ac:dyDescent="0.2">
      <c r="A91" s="103"/>
      <c r="B91" s="73"/>
      <c r="C91" s="18" t="s">
        <v>294</v>
      </c>
      <c r="D91" s="18"/>
    </row>
    <row r="92" spans="1:5" x14ac:dyDescent="0.2">
      <c r="A92" s="103"/>
      <c r="B92" s="73"/>
      <c r="C92" s="18" t="s">
        <v>295</v>
      </c>
      <c r="D92" s="18"/>
    </row>
    <row r="93" spans="1:5" x14ac:dyDescent="0.2">
      <c r="A93" s="103"/>
      <c r="B93" s="73"/>
      <c r="C93" s="18" t="s">
        <v>296</v>
      </c>
      <c r="D93" s="18"/>
    </row>
    <row r="94" spans="1:5" x14ac:dyDescent="0.2">
      <c r="A94" s="103"/>
      <c r="B94" s="73"/>
      <c r="C94" s="18" t="s">
        <v>297</v>
      </c>
      <c r="D94" s="18" t="s">
        <v>298</v>
      </c>
      <c r="E94" t="s">
        <v>214</v>
      </c>
    </row>
    <row r="95" spans="1:5" x14ac:dyDescent="0.2">
      <c r="A95" s="103"/>
      <c r="B95" s="73"/>
      <c r="C95" s="18" t="s">
        <v>299</v>
      </c>
      <c r="D95" s="18" t="s">
        <v>300</v>
      </c>
      <c r="E95" t="s">
        <v>214</v>
      </c>
    </row>
    <row r="96" spans="1:5" x14ac:dyDescent="0.2">
      <c r="A96" s="103"/>
      <c r="B96" s="73"/>
      <c r="C96" s="18" t="s">
        <v>301</v>
      </c>
      <c r="D96" s="18" t="s">
        <v>300</v>
      </c>
      <c r="E96" t="s">
        <v>214</v>
      </c>
    </row>
    <row r="97" spans="1:5" x14ac:dyDescent="0.2">
      <c r="A97" s="103"/>
      <c r="B97" s="73"/>
      <c r="C97" s="18" t="s">
        <v>302</v>
      </c>
      <c r="D97" s="18" t="s">
        <v>300</v>
      </c>
      <c r="E97" t="s">
        <v>214</v>
      </c>
    </row>
    <row r="98" spans="1:5" x14ac:dyDescent="0.2">
      <c r="A98" s="103"/>
      <c r="B98" s="73"/>
      <c r="C98" s="18" t="s">
        <v>303</v>
      </c>
      <c r="D98" s="18" t="s">
        <v>300</v>
      </c>
      <c r="E98" t="s">
        <v>214</v>
      </c>
    </row>
    <row r="99" spans="1:5" x14ac:dyDescent="0.2">
      <c r="A99" s="103"/>
      <c r="B99" s="73"/>
      <c r="C99" s="18" t="s">
        <v>304</v>
      </c>
      <c r="D99" s="18" t="s">
        <v>300</v>
      </c>
      <c r="E99" t="s">
        <v>214</v>
      </c>
    </row>
    <row r="100" spans="1:5" x14ac:dyDescent="0.2">
      <c r="A100" s="103"/>
      <c r="B100" s="73"/>
      <c r="C100" s="18" t="s">
        <v>305</v>
      </c>
      <c r="D100" s="18" t="s">
        <v>300</v>
      </c>
      <c r="E100" t="s">
        <v>214</v>
      </c>
    </row>
    <row r="101" spans="1:5" x14ac:dyDescent="0.2">
      <c r="A101" s="103"/>
      <c r="B101" s="73"/>
      <c r="C101" s="18" t="s">
        <v>306</v>
      </c>
      <c r="D101" s="18" t="s">
        <v>300</v>
      </c>
      <c r="E101" t="s">
        <v>214</v>
      </c>
    </row>
    <row r="102" spans="1:5" x14ac:dyDescent="0.2">
      <c r="A102" s="103"/>
      <c r="B102" s="73"/>
      <c r="C102" s="18" t="s">
        <v>307</v>
      </c>
      <c r="D102" s="18" t="s">
        <v>300</v>
      </c>
      <c r="E102" t="s">
        <v>214</v>
      </c>
    </row>
    <row r="103" spans="1:5" x14ac:dyDescent="0.2">
      <c r="A103" s="103"/>
      <c r="B103" s="73"/>
      <c r="C103" s="18" t="s">
        <v>308</v>
      </c>
      <c r="D103" s="18" t="s">
        <v>300</v>
      </c>
      <c r="E103" t="s">
        <v>214</v>
      </c>
    </row>
    <row r="104" spans="1:5" x14ac:dyDescent="0.2">
      <c r="A104" s="54"/>
      <c r="B104" s="54" t="s">
        <v>81</v>
      </c>
      <c r="C104" s="17" t="s">
        <v>309</v>
      </c>
      <c r="D104" s="17"/>
    </row>
    <row r="105" spans="1:5" x14ac:dyDescent="0.2">
      <c r="A105" s="55"/>
      <c r="B105" s="55"/>
      <c r="C105" s="17" t="s">
        <v>80</v>
      </c>
      <c r="D105" s="17"/>
    </row>
    <row r="106" spans="1:5" x14ac:dyDescent="0.2">
      <c r="A106" s="55"/>
      <c r="B106" s="55"/>
      <c r="C106" s="17" t="s">
        <v>310</v>
      </c>
      <c r="D106" s="17"/>
    </row>
    <row r="107" spans="1:5" x14ac:dyDescent="0.2">
      <c r="A107" s="55"/>
      <c r="B107" s="55"/>
      <c r="C107" s="17" t="s">
        <v>311</v>
      </c>
      <c r="D107" s="17"/>
    </row>
    <row r="108" spans="1:5" x14ac:dyDescent="0.2">
      <c r="A108" s="55"/>
      <c r="B108" s="55"/>
      <c r="C108" s="17" t="s">
        <v>312</v>
      </c>
      <c r="D108" s="17"/>
    </row>
    <row r="109" spans="1:5" x14ac:dyDescent="0.2">
      <c r="A109" s="55"/>
      <c r="B109" s="55"/>
      <c r="C109" s="17" t="s">
        <v>313</v>
      </c>
      <c r="D109" s="17"/>
    </row>
    <row r="110" spans="1:5" x14ac:dyDescent="0.2">
      <c r="A110" s="56"/>
      <c r="B110" s="56"/>
      <c r="C110" s="17" t="s">
        <v>314</v>
      </c>
      <c r="D110" s="17"/>
    </row>
    <row r="111" spans="1:5" x14ac:dyDescent="0.2">
      <c r="A111" s="103"/>
      <c r="B111" s="48" t="s">
        <v>53</v>
      </c>
      <c r="C111" s="18" t="s">
        <v>309</v>
      </c>
      <c r="D111" s="18"/>
    </row>
    <row r="112" spans="1:5" x14ac:dyDescent="0.2">
      <c r="A112" s="103"/>
      <c r="B112" s="49"/>
      <c r="C112" s="18" t="s">
        <v>315</v>
      </c>
      <c r="D112" s="18"/>
    </row>
    <row r="113" spans="1:4" x14ac:dyDescent="0.2">
      <c r="A113" s="103"/>
      <c r="B113" s="50"/>
      <c r="C113" s="18" t="s">
        <v>316</v>
      </c>
      <c r="D113" s="18"/>
    </row>
    <row r="114" spans="1:4" x14ac:dyDescent="0.2">
      <c r="A114" s="104"/>
      <c r="B114" s="104" t="s">
        <v>317</v>
      </c>
      <c r="C114" s="17" t="s">
        <v>309</v>
      </c>
      <c r="D114" s="17"/>
    </row>
    <row r="115" spans="1:4" x14ac:dyDescent="0.2">
      <c r="A115" s="104"/>
      <c r="B115" s="104"/>
      <c r="C115" s="17" t="s">
        <v>310</v>
      </c>
      <c r="D115" s="17"/>
    </row>
    <row r="116" spans="1:4" x14ac:dyDescent="0.2">
      <c r="A116" s="104"/>
      <c r="B116" s="104"/>
      <c r="C116" s="17" t="s">
        <v>311</v>
      </c>
      <c r="D116" s="17"/>
    </row>
    <row r="117" spans="1:4" x14ac:dyDescent="0.2">
      <c r="A117" s="104"/>
      <c r="B117" s="104"/>
      <c r="C117" s="17" t="s">
        <v>313</v>
      </c>
      <c r="D117" s="17"/>
    </row>
    <row r="118" spans="1:4" x14ac:dyDescent="0.2">
      <c r="A118" s="102"/>
      <c r="B118" s="66" t="s">
        <v>151</v>
      </c>
      <c r="C118" s="18" t="s">
        <v>309</v>
      </c>
      <c r="D118" s="18"/>
    </row>
    <row r="119" spans="1:4" x14ac:dyDescent="0.2">
      <c r="A119" s="101"/>
      <c r="B119" s="83"/>
      <c r="C119" s="18" t="s">
        <v>318</v>
      </c>
      <c r="D119" s="18"/>
    </row>
    <row r="120" spans="1:4" x14ac:dyDescent="0.2">
      <c r="A120" s="101"/>
      <c r="B120" s="83"/>
      <c r="C120" s="18" t="s">
        <v>311</v>
      </c>
      <c r="D120" s="18"/>
    </row>
    <row r="121" spans="1:4" x14ac:dyDescent="0.2">
      <c r="A121" s="101"/>
      <c r="B121" s="83"/>
      <c r="C121" s="18" t="s">
        <v>312</v>
      </c>
      <c r="D121" s="18"/>
    </row>
    <row r="122" spans="1:4" x14ac:dyDescent="0.2">
      <c r="A122" s="101"/>
      <c r="B122" s="83"/>
      <c r="C122" s="18" t="s">
        <v>310</v>
      </c>
      <c r="D122" s="18"/>
    </row>
    <row r="123" spans="1:4" x14ac:dyDescent="0.2">
      <c r="A123" s="101"/>
      <c r="B123" s="83"/>
      <c r="C123" s="18" t="s">
        <v>319</v>
      </c>
      <c r="D123" s="18"/>
    </row>
    <row r="124" spans="1:4" x14ac:dyDescent="0.2">
      <c r="A124" s="101"/>
      <c r="B124" s="83"/>
      <c r="C124" s="18" t="s">
        <v>320</v>
      </c>
      <c r="D124" s="18"/>
    </row>
    <row r="125" spans="1:4" x14ac:dyDescent="0.2">
      <c r="A125" s="101"/>
      <c r="B125" s="83"/>
      <c r="C125" s="18" t="s">
        <v>313</v>
      </c>
      <c r="D125" s="18"/>
    </row>
    <row r="126" spans="1:4" x14ac:dyDescent="0.2">
      <c r="A126" s="103"/>
      <c r="B126" s="67"/>
      <c r="C126" s="18" t="s">
        <v>314</v>
      </c>
      <c r="D126" s="18"/>
    </row>
    <row r="127" spans="1:4" x14ac:dyDescent="0.2">
      <c r="A127" s="54"/>
      <c r="B127" s="54" t="s">
        <v>82</v>
      </c>
      <c r="C127" s="17" t="s">
        <v>321</v>
      </c>
      <c r="D127" s="17"/>
    </row>
    <row r="128" spans="1:4" x14ac:dyDescent="0.2">
      <c r="A128" s="55"/>
      <c r="B128" s="55"/>
      <c r="C128" s="17" t="s">
        <v>322</v>
      </c>
      <c r="D128" s="17"/>
    </row>
    <row r="129" spans="1:5" x14ac:dyDescent="0.2">
      <c r="A129" s="55"/>
      <c r="B129" s="55"/>
      <c r="C129" s="17" t="s">
        <v>323</v>
      </c>
      <c r="D129" s="17"/>
    </row>
    <row r="130" spans="1:5" x14ac:dyDescent="0.2">
      <c r="A130" s="55"/>
      <c r="B130" s="55"/>
      <c r="C130" s="17" t="s">
        <v>136</v>
      </c>
      <c r="D130" s="17"/>
    </row>
    <row r="131" spans="1:5" x14ac:dyDescent="0.2">
      <c r="A131" s="55"/>
      <c r="B131" s="55"/>
      <c r="C131" s="17" t="s">
        <v>312</v>
      </c>
      <c r="D131" s="17"/>
    </row>
    <row r="132" spans="1:5" x14ac:dyDescent="0.2">
      <c r="A132" s="103"/>
      <c r="B132" s="49" t="s">
        <v>324</v>
      </c>
      <c r="C132" s="18" t="s">
        <v>321</v>
      </c>
      <c r="D132" s="18"/>
    </row>
    <row r="133" spans="1:5" x14ac:dyDescent="0.2">
      <c r="A133" s="103"/>
      <c r="B133" s="49"/>
      <c r="C133" s="18" t="s">
        <v>312</v>
      </c>
      <c r="D133" s="18"/>
    </row>
    <row r="134" spans="1:5" x14ac:dyDescent="0.2">
      <c r="A134" s="105"/>
      <c r="B134" s="50"/>
      <c r="C134" s="18" t="s">
        <v>314</v>
      </c>
      <c r="D134" s="18"/>
    </row>
    <row r="135" spans="1:5" x14ac:dyDescent="0.2">
      <c r="A135" s="58"/>
      <c r="B135" s="58" t="s">
        <v>89</v>
      </c>
      <c r="C135" s="17" t="s">
        <v>325</v>
      </c>
      <c r="D135" s="17"/>
    </row>
    <row r="136" spans="1:5" x14ac:dyDescent="0.2">
      <c r="A136" s="59"/>
      <c r="B136" s="59"/>
      <c r="C136" s="17" t="s">
        <v>326</v>
      </c>
      <c r="D136" s="17"/>
      <c r="E136" t="s">
        <v>214</v>
      </c>
    </row>
    <row r="137" spans="1:5" x14ac:dyDescent="0.2">
      <c r="A137" s="59"/>
      <c r="B137" s="59"/>
      <c r="C137" s="17" t="s">
        <v>327</v>
      </c>
      <c r="D137" s="17" t="s">
        <v>328</v>
      </c>
    </row>
    <row r="138" spans="1:5" x14ac:dyDescent="0.2">
      <c r="A138" s="59"/>
      <c r="B138" s="59"/>
      <c r="C138" s="17" t="s">
        <v>329</v>
      </c>
      <c r="D138" s="17" t="s">
        <v>330</v>
      </c>
    </row>
    <row r="139" spans="1:5" x14ac:dyDescent="0.2">
      <c r="A139" s="59"/>
      <c r="B139" s="59"/>
      <c r="C139" s="17" t="s">
        <v>331</v>
      </c>
      <c r="D139" s="17"/>
    </row>
    <row r="140" spans="1:5" x14ac:dyDescent="0.2">
      <c r="A140" s="59"/>
      <c r="B140" s="59"/>
      <c r="C140" s="17" t="s">
        <v>332</v>
      </c>
      <c r="D140" s="17"/>
    </row>
    <row r="141" spans="1:5" x14ac:dyDescent="0.2">
      <c r="A141" s="59"/>
      <c r="B141" s="59"/>
      <c r="C141" s="17" t="s">
        <v>333</v>
      </c>
      <c r="D141" s="17"/>
    </row>
    <row r="142" spans="1:5" x14ac:dyDescent="0.2">
      <c r="A142" s="59"/>
      <c r="B142" s="59"/>
      <c r="C142" s="17" t="s">
        <v>334</v>
      </c>
      <c r="D142" s="17"/>
    </row>
    <row r="143" spans="1:5" x14ac:dyDescent="0.2">
      <c r="A143" s="59"/>
      <c r="B143" s="59"/>
      <c r="C143" s="17" t="s">
        <v>335</v>
      </c>
      <c r="D143" s="17"/>
    </row>
    <row r="144" spans="1:5" x14ac:dyDescent="0.2">
      <c r="A144" s="59"/>
      <c r="B144" s="59"/>
      <c r="C144" s="17" t="s">
        <v>336</v>
      </c>
      <c r="D144" s="17"/>
    </row>
    <row r="145" spans="1:4" x14ac:dyDescent="0.2">
      <c r="A145" s="59"/>
      <c r="B145" s="59"/>
      <c r="C145" s="17" t="s">
        <v>314</v>
      </c>
      <c r="D145" s="17"/>
    </row>
    <row r="146" spans="1:4" x14ac:dyDescent="0.2">
      <c r="A146" s="102"/>
      <c r="B146" s="51" t="s">
        <v>337</v>
      </c>
      <c r="C146" s="18" t="s">
        <v>338</v>
      </c>
      <c r="D146" s="18"/>
    </row>
    <row r="147" spans="1:4" x14ac:dyDescent="0.2">
      <c r="A147" s="105"/>
      <c r="B147" s="53"/>
      <c r="C147" s="18" t="s">
        <v>339</v>
      </c>
      <c r="D147" s="18"/>
    </row>
    <row r="148" spans="1:4" x14ac:dyDescent="0.2">
      <c r="A148" s="106"/>
      <c r="B148" s="107" t="s">
        <v>70</v>
      </c>
      <c r="C148" s="17" t="s">
        <v>340</v>
      </c>
      <c r="D148" s="17" t="s">
        <v>341</v>
      </c>
    </row>
    <row r="149" spans="1:4" x14ac:dyDescent="0.2">
      <c r="A149" s="108"/>
      <c r="B149" s="108"/>
      <c r="C149" s="17" t="s">
        <v>342</v>
      </c>
      <c r="D149" s="17" t="s">
        <v>343</v>
      </c>
    </row>
    <row r="150" spans="1:4" x14ac:dyDescent="0.2">
      <c r="A150" s="108"/>
      <c r="B150" s="108"/>
      <c r="C150" s="17" t="s">
        <v>344</v>
      </c>
      <c r="D150" s="17" t="s">
        <v>345</v>
      </c>
    </row>
    <row r="151" spans="1:4" x14ac:dyDescent="0.2">
      <c r="A151" s="108"/>
      <c r="B151" s="108"/>
      <c r="C151" s="17" t="s">
        <v>346</v>
      </c>
      <c r="D151" s="17" t="s">
        <v>347</v>
      </c>
    </row>
    <row r="152" spans="1:4" x14ac:dyDescent="0.2">
      <c r="A152" s="108"/>
      <c r="B152" s="108"/>
      <c r="C152" s="17" t="s">
        <v>348</v>
      </c>
      <c r="D152" s="17" t="s">
        <v>349</v>
      </c>
    </row>
    <row r="153" spans="1:4" x14ac:dyDescent="0.2">
      <c r="A153" s="108"/>
      <c r="B153" s="108"/>
      <c r="C153" s="17" t="s">
        <v>350</v>
      </c>
      <c r="D153" s="17" t="s">
        <v>351</v>
      </c>
    </row>
    <row r="154" spans="1:4" x14ac:dyDescent="0.2">
      <c r="A154" s="108"/>
      <c r="B154" s="108"/>
      <c r="C154" s="17" t="s">
        <v>352</v>
      </c>
      <c r="D154" s="17" t="s">
        <v>353</v>
      </c>
    </row>
    <row r="155" spans="1:4" x14ac:dyDescent="0.2">
      <c r="A155" s="108"/>
      <c r="B155" s="108"/>
      <c r="C155" s="17" t="s">
        <v>354</v>
      </c>
      <c r="D155" s="17" t="s">
        <v>355</v>
      </c>
    </row>
    <row r="156" spans="1:4" x14ac:dyDescent="0.2">
      <c r="A156" s="108"/>
      <c r="B156" s="108"/>
      <c r="C156" s="17" t="s">
        <v>356</v>
      </c>
      <c r="D156" s="17" t="s">
        <v>357</v>
      </c>
    </row>
    <row r="157" spans="1:4" x14ac:dyDescent="0.2">
      <c r="A157" s="108"/>
      <c r="B157" s="108"/>
      <c r="C157" s="17" t="s">
        <v>358</v>
      </c>
      <c r="D157" s="17" t="s">
        <v>359</v>
      </c>
    </row>
    <row r="158" spans="1:4" x14ac:dyDescent="0.2">
      <c r="A158" s="108"/>
      <c r="B158" s="108"/>
      <c r="C158" s="17" t="s">
        <v>360</v>
      </c>
      <c r="D158" s="17" t="s">
        <v>361</v>
      </c>
    </row>
    <row r="159" spans="1:4" x14ac:dyDescent="0.2">
      <c r="A159" s="108"/>
      <c r="B159" s="108"/>
      <c r="C159" s="17" t="s">
        <v>362</v>
      </c>
      <c r="D159" s="17" t="s">
        <v>363</v>
      </c>
    </row>
    <row r="160" spans="1:4" x14ac:dyDescent="0.2">
      <c r="A160" s="108"/>
      <c r="B160" s="108"/>
      <c r="C160" s="17" t="s">
        <v>364</v>
      </c>
      <c r="D160" s="17" t="s">
        <v>365</v>
      </c>
    </row>
    <row r="161" spans="1:4" x14ac:dyDescent="0.2">
      <c r="A161" s="108"/>
      <c r="B161" s="108"/>
      <c r="C161" s="17" t="s">
        <v>366</v>
      </c>
      <c r="D161" s="17" t="s">
        <v>367</v>
      </c>
    </row>
    <row r="162" spans="1:4" x14ac:dyDescent="0.2">
      <c r="A162" s="108"/>
      <c r="B162" s="108"/>
      <c r="C162" s="17" t="s">
        <v>368</v>
      </c>
      <c r="D162" s="17" t="s">
        <v>369</v>
      </c>
    </row>
    <row r="163" spans="1:4" x14ac:dyDescent="0.2">
      <c r="A163" s="108"/>
      <c r="B163" s="108"/>
      <c r="C163" s="17" t="s">
        <v>370</v>
      </c>
      <c r="D163" s="17" t="s">
        <v>371</v>
      </c>
    </row>
    <row r="164" spans="1:4" x14ac:dyDescent="0.2">
      <c r="A164" s="108"/>
      <c r="B164" s="108"/>
      <c r="C164" s="17" t="s">
        <v>372</v>
      </c>
      <c r="D164" s="17" t="s">
        <v>373</v>
      </c>
    </row>
    <row r="165" spans="1:4" x14ac:dyDescent="0.2">
      <c r="A165" s="108"/>
      <c r="B165" s="108"/>
      <c r="C165" s="17" t="s">
        <v>374</v>
      </c>
      <c r="D165" s="17" t="s">
        <v>375</v>
      </c>
    </row>
    <row r="166" spans="1:4" x14ac:dyDescent="0.2">
      <c r="A166" s="108"/>
      <c r="B166" s="108"/>
      <c r="C166" s="17" t="s">
        <v>376</v>
      </c>
      <c r="D166" s="17" t="s">
        <v>377</v>
      </c>
    </row>
    <row r="167" spans="1:4" x14ac:dyDescent="0.2">
      <c r="A167" s="108"/>
      <c r="B167" s="108"/>
      <c r="C167" s="17" t="s">
        <v>378</v>
      </c>
      <c r="D167" s="17" t="s">
        <v>379</v>
      </c>
    </row>
    <row r="168" spans="1:4" x14ac:dyDescent="0.2">
      <c r="A168" s="108"/>
      <c r="B168" s="108"/>
      <c r="C168" s="17" t="s">
        <v>380</v>
      </c>
      <c r="D168" s="17" t="s">
        <v>381</v>
      </c>
    </row>
    <row r="169" spans="1:4" x14ac:dyDescent="0.2">
      <c r="A169" s="108"/>
      <c r="B169" s="108"/>
      <c r="C169" s="17" t="s">
        <v>382</v>
      </c>
      <c r="D169" s="17" t="s">
        <v>383</v>
      </c>
    </row>
    <row r="170" spans="1:4" x14ac:dyDescent="0.2">
      <c r="A170" s="108"/>
      <c r="B170" s="108"/>
      <c r="C170" s="17" t="s">
        <v>384</v>
      </c>
      <c r="D170" s="17" t="s">
        <v>385</v>
      </c>
    </row>
    <row r="171" spans="1:4" x14ac:dyDescent="0.2">
      <c r="A171" s="108"/>
      <c r="B171" s="108"/>
      <c r="C171" s="17" t="s">
        <v>386</v>
      </c>
      <c r="D171" s="17" t="s">
        <v>387</v>
      </c>
    </row>
    <row r="172" spans="1:4" x14ac:dyDescent="0.2">
      <c r="A172" s="108"/>
      <c r="B172" s="108"/>
      <c r="C172" s="17" t="s">
        <v>388</v>
      </c>
      <c r="D172" s="17" t="s">
        <v>389</v>
      </c>
    </row>
    <row r="173" spans="1:4" x14ac:dyDescent="0.2">
      <c r="A173" s="108"/>
      <c r="B173" s="108"/>
      <c r="C173" s="17" t="s">
        <v>390</v>
      </c>
      <c r="D173" s="17" t="s">
        <v>391</v>
      </c>
    </row>
    <row r="174" spans="1:4" x14ac:dyDescent="0.2">
      <c r="A174" s="108"/>
      <c r="B174" s="108"/>
      <c r="C174" s="17" t="s">
        <v>392</v>
      </c>
      <c r="D174" s="17" t="s">
        <v>393</v>
      </c>
    </row>
    <row r="175" spans="1:4" x14ac:dyDescent="0.2">
      <c r="A175" s="108"/>
      <c r="B175" s="108"/>
      <c r="C175" s="17" t="s">
        <v>394</v>
      </c>
      <c r="D175" s="17" t="s">
        <v>395</v>
      </c>
    </row>
    <row r="176" spans="1:4" x14ac:dyDescent="0.2">
      <c r="A176" s="108"/>
      <c r="B176" s="108"/>
      <c r="C176" s="17" t="s">
        <v>396</v>
      </c>
      <c r="D176" s="17" t="s">
        <v>397</v>
      </c>
    </row>
    <row r="177" spans="1:5" x14ac:dyDescent="0.2">
      <c r="A177" s="108"/>
      <c r="B177" s="108"/>
      <c r="C177" s="17" t="s">
        <v>398</v>
      </c>
      <c r="D177" s="17" t="s">
        <v>399</v>
      </c>
    </row>
    <row r="178" spans="1:5" x14ac:dyDescent="0.2">
      <c r="A178" s="108"/>
      <c r="B178" s="108"/>
      <c r="C178" s="17" t="s">
        <v>400</v>
      </c>
      <c r="D178" s="17" t="s">
        <v>401</v>
      </c>
    </row>
    <row r="179" spans="1:5" x14ac:dyDescent="0.2">
      <c r="A179" s="108"/>
      <c r="B179" s="108"/>
      <c r="C179" s="17" t="s">
        <v>402</v>
      </c>
      <c r="D179" s="17" t="s">
        <v>403</v>
      </c>
    </row>
    <row r="180" spans="1:5" x14ac:dyDescent="0.2">
      <c r="A180" s="108"/>
      <c r="B180" s="108"/>
      <c r="C180" s="17" t="s">
        <v>404</v>
      </c>
      <c r="D180" s="17" t="s">
        <v>405</v>
      </c>
      <c r="E180" t="s">
        <v>214</v>
      </c>
    </row>
    <row r="181" spans="1:5" x14ac:dyDescent="0.2">
      <c r="A181" s="108"/>
      <c r="B181" s="108"/>
      <c r="C181" s="17" t="s">
        <v>314</v>
      </c>
      <c r="D181" s="17" t="s">
        <v>314</v>
      </c>
    </row>
    <row r="182" spans="1:5" x14ac:dyDescent="0.2">
      <c r="A182" s="102"/>
      <c r="B182" s="51" t="s">
        <v>406</v>
      </c>
      <c r="C182" s="38" t="s">
        <v>407</v>
      </c>
      <c r="D182" s="38"/>
    </row>
    <row r="183" spans="1:5" x14ac:dyDescent="0.2">
      <c r="A183" s="103"/>
      <c r="B183" s="52"/>
      <c r="C183" s="38" t="s">
        <v>408</v>
      </c>
      <c r="D183" s="38"/>
    </row>
    <row r="184" spans="1:5" x14ac:dyDescent="0.2">
      <c r="A184" s="103"/>
      <c r="B184" s="52"/>
      <c r="C184" s="38" t="s">
        <v>409</v>
      </c>
      <c r="D184" s="38"/>
    </row>
    <row r="185" spans="1:5" x14ac:dyDescent="0.2">
      <c r="A185" s="105"/>
      <c r="B185" s="53"/>
      <c r="C185" s="39" t="s">
        <v>410</v>
      </c>
      <c r="D185" s="39"/>
    </row>
    <row r="186" spans="1:5" x14ac:dyDescent="0.2">
      <c r="A186" s="54"/>
      <c r="B186" s="54" t="s">
        <v>86</v>
      </c>
      <c r="C186" s="37" t="s">
        <v>411</v>
      </c>
      <c r="D186" s="37"/>
    </row>
    <row r="187" spans="1:5" x14ac:dyDescent="0.2">
      <c r="A187" s="55"/>
      <c r="B187" s="55"/>
      <c r="C187" s="37" t="s">
        <v>412</v>
      </c>
      <c r="D187" s="37"/>
    </row>
    <row r="188" spans="1:5" x14ac:dyDescent="0.2">
      <c r="A188" s="102"/>
      <c r="B188" s="51" t="s">
        <v>58</v>
      </c>
      <c r="C188" s="39" t="s">
        <v>413</v>
      </c>
      <c r="D188" s="39" t="s">
        <v>414</v>
      </c>
    </row>
    <row r="189" spans="1:5" x14ac:dyDescent="0.2">
      <c r="A189" s="103"/>
      <c r="B189" s="52"/>
      <c r="C189" s="39" t="s">
        <v>415</v>
      </c>
      <c r="D189" s="39" t="s">
        <v>416</v>
      </c>
    </row>
    <row r="190" spans="1:5" x14ac:dyDescent="0.2">
      <c r="A190" s="103"/>
      <c r="B190" s="52"/>
      <c r="C190" s="39" t="s">
        <v>312</v>
      </c>
      <c r="D190" s="39" t="s">
        <v>312</v>
      </c>
    </row>
    <row r="191" spans="1:5" x14ac:dyDescent="0.2">
      <c r="A191" s="103"/>
      <c r="B191" s="52"/>
      <c r="C191" s="39" t="s">
        <v>417</v>
      </c>
      <c r="D191" s="39" t="s">
        <v>418</v>
      </c>
    </row>
    <row r="192" spans="1:5" x14ac:dyDescent="0.2">
      <c r="A192" s="103"/>
      <c r="B192" s="52"/>
      <c r="C192" s="39" t="s">
        <v>419</v>
      </c>
      <c r="D192" s="39" t="s">
        <v>420</v>
      </c>
    </row>
    <row r="193" spans="1:4" x14ac:dyDescent="0.2">
      <c r="A193" s="103"/>
      <c r="B193" s="52"/>
      <c r="C193" s="39" t="s">
        <v>421</v>
      </c>
      <c r="D193" s="39" t="s">
        <v>422</v>
      </c>
    </row>
    <row r="194" spans="1:4" x14ac:dyDescent="0.2">
      <c r="A194" s="103"/>
      <c r="B194" s="52"/>
      <c r="C194" s="39" t="s">
        <v>423</v>
      </c>
      <c r="D194" s="39" t="s">
        <v>424</v>
      </c>
    </row>
    <row r="195" spans="1:4" x14ac:dyDescent="0.2">
      <c r="A195" s="103"/>
      <c r="B195" s="52"/>
      <c r="C195" s="39" t="s">
        <v>425</v>
      </c>
      <c r="D195" s="39" t="s">
        <v>426</v>
      </c>
    </row>
    <row r="196" spans="1:4" x14ac:dyDescent="0.2">
      <c r="A196" s="103"/>
      <c r="B196" s="52"/>
      <c r="C196" s="39" t="s">
        <v>427</v>
      </c>
      <c r="D196" s="39" t="s">
        <v>428</v>
      </c>
    </row>
    <row r="197" spans="1:4" x14ac:dyDescent="0.2">
      <c r="A197" s="103"/>
      <c r="B197" s="52"/>
      <c r="C197" s="39" t="s">
        <v>429</v>
      </c>
      <c r="D197" s="39" t="s">
        <v>430</v>
      </c>
    </row>
    <row r="198" spans="1:4" x14ac:dyDescent="0.2">
      <c r="A198" s="103"/>
      <c r="B198" s="52"/>
      <c r="C198" s="39" t="s">
        <v>431</v>
      </c>
      <c r="D198" s="39" t="s">
        <v>432</v>
      </c>
    </row>
    <row r="199" spans="1:4" x14ac:dyDescent="0.2">
      <c r="A199" s="103"/>
      <c r="B199" s="52"/>
      <c r="C199" s="39" t="s">
        <v>433</v>
      </c>
      <c r="D199" s="39" t="s">
        <v>434</v>
      </c>
    </row>
    <row r="200" spans="1:4" x14ac:dyDescent="0.2">
      <c r="A200" s="103"/>
      <c r="B200" s="52"/>
      <c r="C200" s="39" t="s">
        <v>314</v>
      </c>
      <c r="D200" s="39" t="s">
        <v>314</v>
      </c>
    </row>
    <row r="201" spans="1:4" x14ac:dyDescent="0.2">
      <c r="A201" s="105"/>
      <c r="B201" s="53"/>
      <c r="C201" s="39" t="s">
        <v>410</v>
      </c>
      <c r="D201" s="39" t="s">
        <v>435</v>
      </c>
    </row>
    <row r="202" spans="1:4" x14ac:dyDescent="0.2">
      <c r="A202" s="107"/>
      <c r="B202" s="107" t="s">
        <v>83</v>
      </c>
      <c r="C202" s="17" t="s">
        <v>436</v>
      </c>
      <c r="D202" s="17"/>
    </row>
    <row r="203" spans="1:4" x14ac:dyDescent="0.2">
      <c r="A203" s="108"/>
      <c r="B203" s="108"/>
      <c r="C203" s="17" t="s">
        <v>437</v>
      </c>
      <c r="D203" s="17"/>
    </row>
    <row r="204" spans="1:4" x14ac:dyDescent="0.2">
      <c r="A204" s="108"/>
      <c r="B204" s="108"/>
      <c r="C204" s="17" t="s">
        <v>438</v>
      </c>
      <c r="D204" s="17"/>
    </row>
    <row r="205" spans="1:4" x14ac:dyDescent="0.2">
      <c r="A205" s="108"/>
      <c r="B205" s="108"/>
      <c r="C205" s="17" t="s">
        <v>439</v>
      </c>
      <c r="D205" s="17"/>
    </row>
    <row r="206" spans="1:4" x14ac:dyDescent="0.2">
      <c r="A206" s="108"/>
      <c r="B206" s="108"/>
      <c r="C206" s="17" t="s">
        <v>440</v>
      </c>
      <c r="D206" s="17"/>
    </row>
    <row r="207" spans="1:4" x14ac:dyDescent="0.2">
      <c r="A207" s="108"/>
      <c r="B207" s="108"/>
      <c r="C207" s="17" t="s">
        <v>441</v>
      </c>
      <c r="D207" s="17"/>
    </row>
    <row r="208" spans="1:4" x14ac:dyDescent="0.2">
      <c r="A208" s="108"/>
      <c r="B208" s="108"/>
      <c r="C208" s="17" t="s">
        <v>442</v>
      </c>
      <c r="D208" s="17"/>
    </row>
    <row r="209" spans="1:5" x14ac:dyDescent="0.2">
      <c r="A209" s="108"/>
      <c r="B209" s="108"/>
      <c r="C209" s="17" t="s">
        <v>443</v>
      </c>
      <c r="D209" s="17"/>
    </row>
    <row r="210" spans="1:5" x14ac:dyDescent="0.2">
      <c r="A210" s="108"/>
      <c r="B210" s="108"/>
      <c r="C210" s="17" t="s">
        <v>444</v>
      </c>
      <c r="D210" s="17"/>
    </row>
    <row r="211" spans="1:5" x14ac:dyDescent="0.2">
      <c r="A211" s="108"/>
      <c r="B211" s="108"/>
      <c r="C211" s="17" t="s">
        <v>445</v>
      </c>
      <c r="D211" s="17"/>
    </row>
    <row r="212" spans="1:5" x14ac:dyDescent="0.2">
      <c r="A212" s="108"/>
      <c r="B212" s="108"/>
      <c r="C212" s="17" t="s">
        <v>446</v>
      </c>
      <c r="D212" s="17"/>
    </row>
    <row r="213" spans="1:5" x14ac:dyDescent="0.2">
      <c r="A213" s="108"/>
      <c r="B213" s="108"/>
      <c r="C213" s="17" t="s">
        <v>447</v>
      </c>
      <c r="D213" s="17"/>
    </row>
    <row r="214" spans="1:5" x14ac:dyDescent="0.2">
      <c r="A214" s="108"/>
      <c r="B214" s="108"/>
      <c r="C214" s="17" t="s">
        <v>448</v>
      </c>
      <c r="D214" s="17"/>
    </row>
    <row r="215" spans="1:5" x14ac:dyDescent="0.2">
      <c r="A215" s="108"/>
      <c r="B215" s="108"/>
      <c r="C215" s="17" t="s">
        <v>449</v>
      </c>
      <c r="D215" s="17"/>
    </row>
    <row r="216" spans="1:5" x14ac:dyDescent="0.2">
      <c r="A216" s="108"/>
      <c r="B216" s="108"/>
      <c r="C216" s="17" t="s">
        <v>450</v>
      </c>
      <c r="D216" s="17"/>
    </row>
    <row r="217" spans="1:5" x14ac:dyDescent="0.2">
      <c r="A217" s="108"/>
      <c r="B217" s="108"/>
      <c r="C217" s="17" t="s">
        <v>451</v>
      </c>
      <c r="D217" s="17"/>
    </row>
    <row r="218" spans="1:5" x14ac:dyDescent="0.2">
      <c r="A218" s="108"/>
      <c r="B218" s="108"/>
      <c r="C218" s="17" t="s">
        <v>452</v>
      </c>
      <c r="D218" s="17" t="s">
        <v>453</v>
      </c>
      <c r="E218" t="s">
        <v>214</v>
      </c>
    </row>
    <row r="219" spans="1:5" x14ac:dyDescent="0.2">
      <c r="A219" s="108"/>
      <c r="B219" s="108"/>
      <c r="C219" s="17" t="s">
        <v>454</v>
      </c>
      <c r="D219" s="17"/>
    </row>
    <row r="220" spans="1:5" x14ac:dyDescent="0.2">
      <c r="A220" s="108"/>
      <c r="B220" s="108"/>
      <c r="C220" s="17" t="s">
        <v>455</v>
      </c>
      <c r="D220" s="17"/>
    </row>
    <row r="221" spans="1:5" x14ac:dyDescent="0.2">
      <c r="A221" s="108"/>
      <c r="B221" s="108"/>
      <c r="C221" s="17" t="s">
        <v>456</v>
      </c>
      <c r="D221" s="17"/>
    </row>
    <row r="222" spans="1:5" x14ac:dyDescent="0.2">
      <c r="A222" s="108"/>
      <c r="B222" s="108"/>
      <c r="C222" s="17" t="s">
        <v>457</v>
      </c>
      <c r="D222" s="17"/>
    </row>
    <row r="223" spans="1:5" x14ac:dyDescent="0.2">
      <c r="A223" s="108"/>
      <c r="B223" s="108"/>
      <c r="C223" s="17" t="s">
        <v>458</v>
      </c>
      <c r="D223" s="17"/>
    </row>
    <row r="224" spans="1:5" x14ac:dyDescent="0.2">
      <c r="A224" s="108"/>
      <c r="B224" s="108"/>
      <c r="C224" s="17" t="s">
        <v>459</v>
      </c>
      <c r="D224" s="17"/>
    </row>
    <row r="225" spans="1:4" x14ac:dyDescent="0.2">
      <c r="A225" s="108"/>
      <c r="B225" s="108"/>
      <c r="C225" s="17" t="s">
        <v>460</v>
      </c>
      <c r="D225" s="17"/>
    </row>
    <row r="226" spans="1:4" x14ac:dyDescent="0.2">
      <c r="A226" s="108"/>
      <c r="B226" s="108"/>
      <c r="C226" s="17" t="s">
        <v>461</v>
      </c>
      <c r="D226" s="17"/>
    </row>
    <row r="227" spans="1:4" x14ac:dyDescent="0.2">
      <c r="A227" s="108"/>
      <c r="B227" s="108"/>
      <c r="C227" s="17" t="s">
        <v>462</v>
      </c>
      <c r="D227" s="17"/>
    </row>
    <row r="228" spans="1:4" x14ac:dyDescent="0.2">
      <c r="A228" s="108"/>
      <c r="B228" s="108"/>
      <c r="C228" s="17" t="s">
        <v>463</v>
      </c>
      <c r="D228" s="17"/>
    </row>
    <row r="229" spans="1:4" x14ac:dyDescent="0.2">
      <c r="A229" s="108"/>
      <c r="B229" s="108"/>
      <c r="C229" s="17" t="s">
        <v>464</v>
      </c>
      <c r="D229" s="17"/>
    </row>
    <row r="230" spans="1:4" x14ac:dyDescent="0.2">
      <c r="A230" s="108"/>
      <c r="B230" s="108"/>
      <c r="C230" s="17" t="s">
        <v>465</v>
      </c>
      <c r="D230" s="17"/>
    </row>
    <row r="231" spans="1:4" x14ac:dyDescent="0.2">
      <c r="A231" s="108"/>
      <c r="B231" s="108"/>
      <c r="C231" s="17" t="s">
        <v>466</v>
      </c>
      <c r="D231" s="17"/>
    </row>
    <row r="232" spans="1:4" x14ac:dyDescent="0.2">
      <c r="A232" s="108"/>
      <c r="B232" s="108"/>
      <c r="C232" s="17" t="s">
        <v>467</v>
      </c>
      <c r="D232" s="17"/>
    </row>
    <row r="233" spans="1:4" x14ac:dyDescent="0.2">
      <c r="A233" s="108"/>
      <c r="B233" s="108"/>
      <c r="C233" s="17" t="s">
        <v>468</v>
      </c>
      <c r="D233" s="17"/>
    </row>
    <row r="234" spans="1:4" x14ac:dyDescent="0.2">
      <c r="A234" s="108"/>
      <c r="B234" s="108"/>
      <c r="C234" s="17" t="s">
        <v>469</v>
      </c>
      <c r="D234" s="17"/>
    </row>
    <row r="235" spans="1:4" x14ac:dyDescent="0.2">
      <c r="A235" s="108"/>
      <c r="B235" s="108"/>
      <c r="C235" s="17" t="s">
        <v>470</v>
      </c>
      <c r="D235" s="17"/>
    </row>
    <row r="236" spans="1:4" x14ac:dyDescent="0.2">
      <c r="A236" s="108"/>
      <c r="B236" s="108"/>
      <c r="C236" s="17" t="s">
        <v>471</v>
      </c>
      <c r="D236" s="17"/>
    </row>
    <row r="237" spans="1:4" x14ac:dyDescent="0.2">
      <c r="A237" s="108"/>
      <c r="B237" s="108"/>
      <c r="C237" s="17" t="s">
        <v>472</v>
      </c>
      <c r="D237" s="17"/>
    </row>
    <row r="238" spans="1:4" x14ac:dyDescent="0.2">
      <c r="A238" s="108"/>
      <c r="B238" s="108"/>
      <c r="C238" s="17" t="s">
        <v>24</v>
      </c>
      <c r="D238" s="17"/>
    </row>
    <row r="239" spans="1:4" x14ac:dyDescent="0.2">
      <c r="A239" s="108"/>
      <c r="B239" s="108"/>
      <c r="C239" s="17" t="s">
        <v>473</v>
      </c>
      <c r="D239" s="17"/>
    </row>
    <row r="240" spans="1:4" x14ac:dyDescent="0.2">
      <c r="A240" s="108"/>
      <c r="B240" s="108"/>
      <c r="C240" s="17" t="s">
        <v>474</v>
      </c>
      <c r="D240" s="17"/>
    </row>
    <row r="241" spans="1:4" x14ac:dyDescent="0.2">
      <c r="A241" s="108"/>
      <c r="B241" s="108"/>
      <c r="C241" s="17" t="s">
        <v>475</v>
      </c>
      <c r="D241" s="17"/>
    </row>
    <row r="242" spans="1:4" x14ac:dyDescent="0.2">
      <c r="A242" s="108"/>
      <c r="B242" s="108"/>
      <c r="C242" s="17" t="s">
        <v>476</v>
      </c>
      <c r="D242" s="17"/>
    </row>
    <row r="243" spans="1:4" x14ac:dyDescent="0.2">
      <c r="A243" s="108"/>
      <c r="B243" s="108"/>
      <c r="C243" s="17" t="s">
        <v>477</v>
      </c>
      <c r="D243" s="17"/>
    </row>
    <row r="244" spans="1:4" x14ac:dyDescent="0.2">
      <c r="A244" s="108"/>
      <c r="B244" s="108"/>
      <c r="C244" s="17" t="s">
        <v>478</v>
      </c>
      <c r="D244" s="17"/>
    </row>
    <row r="245" spans="1:4" x14ac:dyDescent="0.2">
      <c r="A245" s="108"/>
      <c r="B245" s="108"/>
      <c r="C245" s="17" t="s">
        <v>479</v>
      </c>
      <c r="D245" s="17"/>
    </row>
    <row r="246" spans="1:4" x14ac:dyDescent="0.2">
      <c r="A246" s="108"/>
      <c r="B246" s="108"/>
      <c r="C246" s="17" t="s">
        <v>480</v>
      </c>
      <c r="D246" s="17"/>
    </row>
    <row r="247" spans="1:4" x14ac:dyDescent="0.2">
      <c r="A247" s="108"/>
      <c r="B247" s="108"/>
      <c r="C247" s="17" t="s">
        <v>481</v>
      </c>
      <c r="D247" s="17"/>
    </row>
    <row r="248" spans="1:4" x14ac:dyDescent="0.2">
      <c r="A248" s="108"/>
      <c r="B248" s="108"/>
      <c r="C248" s="17" t="s">
        <v>482</v>
      </c>
      <c r="D248" s="17"/>
    </row>
    <row r="249" spans="1:4" x14ac:dyDescent="0.2">
      <c r="A249" s="108"/>
      <c r="B249" s="108"/>
      <c r="C249" s="17" t="s">
        <v>483</v>
      </c>
      <c r="D249" s="17"/>
    </row>
    <row r="250" spans="1:4" x14ac:dyDescent="0.2">
      <c r="A250" s="108"/>
      <c r="B250" s="108"/>
      <c r="C250" s="17" t="s">
        <v>484</v>
      </c>
      <c r="D250" s="17"/>
    </row>
    <row r="251" spans="1:4" x14ac:dyDescent="0.2">
      <c r="A251" s="108"/>
      <c r="B251" s="108"/>
      <c r="C251" s="17" t="s">
        <v>485</v>
      </c>
      <c r="D251" s="17"/>
    </row>
    <row r="252" spans="1:4" x14ac:dyDescent="0.2">
      <c r="A252" s="108"/>
      <c r="B252" s="108"/>
      <c r="C252" s="17" t="s">
        <v>314</v>
      </c>
      <c r="D252" s="17"/>
    </row>
    <row r="253" spans="1:4" x14ac:dyDescent="0.2">
      <c r="A253" s="108"/>
      <c r="B253" s="108"/>
      <c r="C253" s="17" t="s">
        <v>486</v>
      </c>
      <c r="D253" s="17"/>
    </row>
    <row r="254" spans="1:4" x14ac:dyDescent="0.2">
      <c r="A254" s="108"/>
      <c r="B254" s="108"/>
      <c r="C254" s="17" t="s">
        <v>487</v>
      </c>
      <c r="D254" s="17"/>
    </row>
    <row r="255" spans="1:4" x14ac:dyDescent="0.2">
      <c r="A255" s="108"/>
      <c r="B255" s="108"/>
      <c r="C255" s="17" t="s">
        <v>488</v>
      </c>
      <c r="D255" s="17"/>
    </row>
    <row r="256" spans="1:4" x14ac:dyDescent="0.2">
      <c r="A256" s="108"/>
      <c r="B256" s="108"/>
      <c r="C256" s="17" t="s">
        <v>489</v>
      </c>
      <c r="D256" s="17"/>
    </row>
    <row r="257" spans="1:5" x14ac:dyDescent="0.2">
      <c r="A257" s="108"/>
      <c r="B257" s="108"/>
      <c r="C257" s="17" t="s">
        <v>490</v>
      </c>
      <c r="D257" s="17"/>
    </row>
    <row r="258" spans="1:5" x14ac:dyDescent="0.2">
      <c r="A258" s="108"/>
      <c r="B258" s="108"/>
      <c r="C258" s="17" t="s">
        <v>491</v>
      </c>
      <c r="D258" s="17"/>
    </row>
    <row r="259" spans="1:5" x14ac:dyDescent="0.2">
      <c r="A259" s="108"/>
      <c r="B259" s="108"/>
      <c r="C259" s="17" t="s">
        <v>492</v>
      </c>
      <c r="D259" s="17"/>
    </row>
    <row r="260" spans="1:5" x14ac:dyDescent="0.2">
      <c r="A260" s="108"/>
      <c r="B260" s="108"/>
      <c r="C260" s="17" t="s">
        <v>493</v>
      </c>
      <c r="D260" s="17"/>
    </row>
    <row r="261" spans="1:5" x14ac:dyDescent="0.2">
      <c r="A261" s="108"/>
      <c r="B261" s="108"/>
      <c r="C261" s="17" t="s">
        <v>494</v>
      </c>
      <c r="D261" s="17"/>
    </row>
    <row r="262" spans="1:5" x14ac:dyDescent="0.2">
      <c r="A262" s="108"/>
      <c r="B262" s="108"/>
      <c r="C262" s="17" t="s">
        <v>495</v>
      </c>
      <c r="D262" s="17"/>
    </row>
    <row r="263" spans="1:5" x14ac:dyDescent="0.2">
      <c r="A263" s="108"/>
      <c r="B263" s="108"/>
      <c r="C263" s="17" t="s">
        <v>496</v>
      </c>
      <c r="D263" s="17"/>
    </row>
    <row r="264" spans="1:5" x14ac:dyDescent="0.2">
      <c r="A264" s="108"/>
      <c r="B264" s="108"/>
      <c r="C264" s="17" t="s">
        <v>497</v>
      </c>
      <c r="D264" s="17"/>
    </row>
    <row r="265" spans="1:5" x14ac:dyDescent="0.2">
      <c r="A265" s="108"/>
      <c r="B265" s="108"/>
      <c r="C265" s="17" t="s">
        <v>498</v>
      </c>
      <c r="D265" s="17"/>
    </row>
    <row r="266" spans="1:5" x14ac:dyDescent="0.2">
      <c r="A266" s="108"/>
      <c r="B266" s="108"/>
      <c r="C266" s="17" t="s">
        <v>499</v>
      </c>
      <c r="D266" s="17"/>
    </row>
    <row r="267" spans="1:5" x14ac:dyDescent="0.2">
      <c r="A267" s="108"/>
      <c r="B267" s="108"/>
      <c r="C267" s="17" t="s">
        <v>500</v>
      </c>
      <c r="D267" s="17"/>
    </row>
    <row r="268" spans="1:5" x14ac:dyDescent="0.2">
      <c r="A268" s="108"/>
      <c r="B268" s="108"/>
      <c r="C268" s="17" t="s">
        <v>501</v>
      </c>
      <c r="D268" s="17"/>
    </row>
    <row r="269" spans="1:5" x14ac:dyDescent="0.2">
      <c r="A269" s="108"/>
      <c r="B269" s="108"/>
      <c r="C269" s="17" t="s">
        <v>502</v>
      </c>
      <c r="D269" s="17"/>
    </row>
    <row r="270" spans="1:5" x14ac:dyDescent="0.2">
      <c r="A270" s="108"/>
      <c r="B270" s="108"/>
      <c r="C270" s="17" t="s">
        <v>503</v>
      </c>
      <c r="D270" s="17" t="s">
        <v>504</v>
      </c>
      <c r="E270" t="s">
        <v>214</v>
      </c>
    </row>
    <row r="271" spans="1:5" x14ac:dyDescent="0.2">
      <c r="A271" s="108"/>
      <c r="B271" s="108"/>
      <c r="C271" s="17" t="s">
        <v>505</v>
      </c>
      <c r="D271" s="17" t="s">
        <v>506</v>
      </c>
      <c r="E271" t="s">
        <v>214</v>
      </c>
    </row>
    <row r="272" spans="1:5" x14ac:dyDescent="0.2">
      <c r="A272" s="108"/>
      <c r="B272" s="108"/>
      <c r="C272" s="17" t="s">
        <v>507</v>
      </c>
      <c r="D272" s="17" t="s">
        <v>508</v>
      </c>
      <c r="E272" t="s">
        <v>214</v>
      </c>
    </row>
    <row r="273" spans="1:5" x14ac:dyDescent="0.2">
      <c r="A273" s="108"/>
      <c r="B273" s="108"/>
      <c r="C273" s="17" t="s">
        <v>509</v>
      </c>
      <c r="D273" s="17"/>
    </row>
    <row r="274" spans="1:5" x14ac:dyDescent="0.2">
      <c r="A274" s="108"/>
      <c r="B274" s="108"/>
      <c r="C274" s="17" t="s">
        <v>510</v>
      </c>
      <c r="D274" s="17" t="s">
        <v>511</v>
      </c>
      <c r="E274" t="s">
        <v>214</v>
      </c>
    </row>
    <row r="275" spans="1:5" x14ac:dyDescent="0.2">
      <c r="A275" s="108"/>
      <c r="B275" s="108"/>
      <c r="C275" s="17" t="s">
        <v>512</v>
      </c>
      <c r="D275" s="17"/>
    </row>
    <row r="276" spans="1:5" x14ac:dyDescent="0.2">
      <c r="A276" s="108"/>
      <c r="B276" s="108"/>
      <c r="C276" s="17" t="s">
        <v>513</v>
      </c>
      <c r="D276" s="17"/>
    </row>
    <row r="277" spans="1:5" x14ac:dyDescent="0.2">
      <c r="A277" s="108"/>
      <c r="B277" s="108"/>
      <c r="C277" s="17" t="s">
        <v>514</v>
      </c>
      <c r="D277" s="17"/>
    </row>
    <row r="278" spans="1:5" x14ac:dyDescent="0.2">
      <c r="A278" s="108"/>
      <c r="B278" s="108"/>
      <c r="C278" s="17" t="s">
        <v>515</v>
      </c>
      <c r="D278" s="17"/>
    </row>
    <row r="279" spans="1:5" x14ac:dyDescent="0.2">
      <c r="A279" s="108"/>
      <c r="B279" s="108"/>
      <c r="C279" s="17" t="s">
        <v>516</v>
      </c>
      <c r="D279" s="17"/>
    </row>
    <row r="280" spans="1:5" x14ac:dyDescent="0.2">
      <c r="A280" s="108"/>
      <c r="B280" s="108"/>
      <c r="C280" s="17" t="s">
        <v>517</v>
      </c>
      <c r="D280" s="17"/>
    </row>
    <row r="281" spans="1:5" x14ac:dyDescent="0.2">
      <c r="A281" s="108"/>
      <c r="B281" s="108"/>
      <c r="C281" s="17" t="s">
        <v>518</v>
      </c>
      <c r="D281" s="17"/>
    </row>
    <row r="282" spans="1:5" x14ac:dyDescent="0.2">
      <c r="A282" s="108"/>
      <c r="B282" s="108"/>
      <c r="C282" s="17" t="s">
        <v>519</v>
      </c>
      <c r="D282" s="17" t="s">
        <v>520</v>
      </c>
      <c r="E282" t="s">
        <v>214</v>
      </c>
    </row>
    <row r="283" spans="1:5" x14ac:dyDescent="0.2">
      <c r="A283" s="108"/>
      <c r="B283" s="108"/>
      <c r="C283" s="17" t="s">
        <v>521</v>
      </c>
      <c r="D283" s="17"/>
    </row>
    <row r="284" spans="1:5" x14ac:dyDescent="0.2">
      <c r="A284" s="108"/>
      <c r="B284" s="108"/>
      <c r="C284" s="17" t="s">
        <v>522</v>
      </c>
      <c r="D284" s="17" t="s">
        <v>523</v>
      </c>
      <c r="E284" t="s">
        <v>214</v>
      </c>
    </row>
    <row r="285" spans="1:5" x14ac:dyDescent="0.2">
      <c r="A285" s="108"/>
      <c r="B285" s="108"/>
      <c r="C285" s="17" t="s">
        <v>524</v>
      </c>
      <c r="D285" s="17"/>
    </row>
    <row r="286" spans="1:5" x14ac:dyDescent="0.2">
      <c r="A286" s="108"/>
      <c r="B286" s="108"/>
      <c r="C286" s="17" t="s">
        <v>525</v>
      </c>
      <c r="D286" s="17"/>
    </row>
    <row r="287" spans="1:5" x14ac:dyDescent="0.2">
      <c r="A287" s="108"/>
      <c r="B287" s="108"/>
      <c r="C287" s="17" t="s">
        <v>526</v>
      </c>
      <c r="D287" s="17"/>
    </row>
    <row r="288" spans="1:5" x14ac:dyDescent="0.2">
      <c r="A288" s="108"/>
      <c r="B288" s="108"/>
      <c r="C288" s="17" t="s">
        <v>527</v>
      </c>
      <c r="D288" s="17"/>
    </row>
    <row r="289" spans="1:5" x14ac:dyDescent="0.2">
      <c r="A289" s="108"/>
      <c r="B289" s="108"/>
      <c r="C289" s="17" t="s">
        <v>528</v>
      </c>
      <c r="D289" s="17" t="s">
        <v>529</v>
      </c>
      <c r="E289" t="s">
        <v>214</v>
      </c>
    </row>
    <row r="290" spans="1:5" x14ac:dyDescent="0.2">
      <c r="A290" s="108"/>
      <c r="B290" s="108"/>
      <c r="C290" s="17" t="s">
        <v>530</v>
      </c>
      <c r="D290" s="17"/>
    </row>
    <row r="291" spans="1:5" x14ac:dyDescent="0.2">
      <c r="A291" s="108"/>
      <c r="B291" s="108"/>
      <c r="C291" s="17" t="s">
        <v>531</v>
      </c>
      <c r="D291" s="17"/>
    </row>
    <row r="292" spans="1:5" x14ac:dyDescent="0.2">
      <c r="A292" s="108"/>
      <c r="B292" s="108"/>
      <c r="C292" s="17" t="s">
        <v>532</v>
      </c>
      <c r="D292" s="17"/>
    </row>
    <row r="293" spans="1:5" x14ac:dyDescent="0.2">
      <c r="A293" s="108"/>
      <c r="B293" s="108"/>
      <c r="C293" s="17" t="s">
        <v>533</v>
      </c>
      <c r="D293" s="17"/>
    </row>
    <row r="294" spans="1:5" x14ac:dyDescent="0.2">
      <c r="A294" s="108"/>
      <c r="B294" s="108"/>
      <c r="C294" s="17" t="s">
        <v>534</v>
      </c>
      <c r="D294" s="17"/>
    </row>
    <row r="295" spans="1:5" x14ac:dyDescent="0.2">
      <c r="A295" s="108"/>
      <c r="B295" s="108"/>
      <c r="C295" s="17" t="s">
        <v>535</v>
      </c>
      <c r="D295" s="17"/>
    </row>
    <row r="296" spans="1:5" x14ac:dyDescent="0.2">
      <c r="A296" s="108"/>
      <c r="B296" s="108"/>
      <c r="C296" s="17" t="s">
        <v>536</v>
      </c>
      <c r="D296" s="17"/>
    </row>
    <row r="297" spans="1:5" x14ac:dyDescent="0.2">
      <c r="A297" s="108"/>
      <c r="B297" s="108"/>
      <c r="C297" s="17" t="s">
        <v>537</v>
      </c>
      <c r="D297" s="17" t="s">
        <v>538</v>
      </c>
      <c r="E297" t="s">
        <v>214</v>
      </c>
    </row>
    <row r="298" spans="1:5" x14ac:dyDescent="0.2">
      <c r="A298" s="108"/>
      <c r="B298" s="108"/>
      <c r="C298" s="17" t="s">
        <v>539</v>
      </c>
      <c r="D298" s="17"/>
    </row>
    <row r="299" spans="1:5" x14ac:dyDescent="0.2">
      <c r="A299" s="108"/>
      <c r="B299" s="108"/>
      <c r="C299" s="17" t="s">
        <v>540</v>
      </c>
      <c r="D299" s="17"/>
    </row>
    <row r="300" spans="1:5" x14ac:dyDescent="0.2">
      <c r="A300" s="108"/>
      <c r="B300" s="108"/>
      <c r="C300" s="17" t="s">
        <v>541</v>
      </c>
      <c r="D300" s="17"/>
      <c r="E300" t="s">
        <v>214</v>
      </c>
    </row>
    <row r="301" spans="1:5" x14ac:dyDescent="0.2">
      <c r="A301" s="108"/>
      <c r="B301" s="108"/>
      <c r="C301" s="17" t="s">
        <v>542</v>
      </c>
      <c r="D301" s="17"/>
    </row>
    <row r="302" spans="1:5" x14ac:dyDescent="0.2">
      <c r="A302" s="108"/>
      <c r="B302" s="108"/>
      <c r="C302" s="17" t="s">
        <v>543</v>
      </c>
      <c r="D302" s="17"/>
    </row>
    <row r="303" spans="1:5" x14ac:dyDescent="0.2">
      <c r="A303" s="108"/>
      <c r="B303" s="108"/>
      <c r="C303" s="17" t="s">
        <v>544</v>
      </c>
      <c r="D303" s="17"/>
    </row>
    <row r="304" spans="1:5" x14ac:dyDescent="0.2">
      <c r="A304" s="108"/>
      <c r="B304" s="108"/>
      <c r="C304" s="17" t="s">
        <v>545</v>
      </c>
      <c r="D304" s="17"/>
    </row>
    <row r="305" spans="1:5" x14ac:dyDescent="0.2">
      <c r="A305" s="108"/>
      <c r="B305" s="108"/>
      <c r="C305" s="17" t="s">
        <v>546</v>
      </c>
      <c r="D305" s="17"/>
    </row>
    <row r="306" spans="1:5" x14ac:dyDescent="0.2">
      <c r="A306" s="108"/>
      <c r="B306" s="108"/>
      <c r="C306" s="17" t="s">
        <v>547</v>
      </c>
      <c r="D306" s="17"/>
    </row>
    <row r="307" spans="1:5" x14ac:dyDescent="0.2">
      <c r="A307" s="108"/>
      <c r="B307" s="108"/>
      <c r="C307" s="17" t="s">
        <v>548</v>
      </c>
      <c r="D307" s="17"/>
    </row>
    <row r="308" spans="1:5" x14ac:dyDescent="0.2">
      <c r="A308" s="108"/>
      <c r="B308" s="108"/>
      <c r="C308" s="17" t="s">
        <v>549</v>
      </c>
      <c r="D308" s="17"/>
    </row>
    <row r="309" spans="1:5" x14ac:dyDescent="0.2">
      <c r="A309" s="108"/>
      <c r="B309" s="108"/>
      <c r="C309" s="17" t="s">
        <v>550</v>
      </c>
      <c r="D309" s="17"/>
    </row>
    <row r="310" spans="1:5" x14ac:dyDescent="0.2">
      <c r="A310" s="108"/>
      <c r="B310" s="108"/>
      <c r="C310" s="17" t="s">
        <v>551</v>
      </c>
      <c r="D310" s="17"/>
      <c r="E310" t="s">
        <v>214</v>
      </c>
    </row>
    <row r="311" spans="1:5" x14ac:dyDescent="0.2">
      <c r="A311" s="108"/>
      <c r="B311" s="108"/>
      <c r="C311" s="17" t="s">
        <v>552</v>
      </c>
      <c r="D311" s="17"/>
      <c r="E311" t="s">
        <v>214</v>
      </c>
    </row>
    <row r="312" spans="1:5" x14ac:dyDescent="0.2">
      <c r="A312" s="108"/>
      <c r="B312" s="108"/>
      <c r="C312" s="17" t="s">
        <v>553</v>
      </c>
      <c r="D312" s="17"/>
      <c r="E312" t="s">
        <v>214</v>
      </c>
    </row>
    <row r="313" spans="1:5" x14ac:dyDescent="0.2">
      <c r="A313" s="108"/>
      <c r="B313" s="108"/>
      <c r="C313" s="17" t="s">
        <v>554</v>
      </c>
      <c r="D313" s="17"/>
    </row>
    <row r="314" spans="1:5" x14ac:dyDescent="0.2">
      <c r="A314" s="108"/>
      <c r="B314" s="108"/>
      <c r="C314" s="17" t="s">
        <v>555</v>
      </c>
      <c r="D314" s="17"/>
    </row>
    <row r="315" spans="1:5" x14ac:dyDescent="0.2">
      <c r="A315" s="108"/>
      <c r="B315" s="108"/>
      <c r="C315" s="17" t="s">
        <v>556</v>
      </c>
      <c r="D315" s="17"/>
    </row>
    <row r="316" spans="1:5" x14ac:dyDescent="0.2">
      <c r="A316" s="108"/>
      <c r="B316" s="108"/>
      <c r="C316" s="17" t="s">
        <v>557</v>
      </c>
      <c r="D316" s="17"/>
    </row>
    <row r="317" spans="1:5" x14ac:dyDescent="0.2">
      <c r="A317" s="108"/>
      <c r="B317" s="108"/>
      <c r="C317" s="17" t="s">
        <v>558</v>
      </c>
      <c r="D317" s="17"/>
    </row>
    <row r="318" spans="1:5" x14ac:dyDescent="0.2">
      <c r="A318" s="108"/>
      <c r="B318" s="108"/>
      <c r="C318" s="17" t="s">
        <v>559</v>
      </c>
      <c r="D318" s="93" t="s">
        <v>560</v>
      </c>
      <c r="E318" t="s">
        <v>214</v>
      </c>
    </row>
    <row r="319" spans="1:5" x14ac:dyDescent="0.2">
      <c r="A319" s="108"/>
      <c r="B319" s="108"/>
      <c r="C319" s="17" t="s">
        <v>561</v>
      </c>
      <c r="D319" s="17"/>
    </row>
    <row r="320" spans="1:5" x14ac:dyDescent="0.2">
      <c r="A320" s="108"/>
      <c r="B320" s="108"/>
      <c r="C320" s="17" t="s">
        <v>562</v>
      </c>
      <c r="D320" s="17"/>
    </row>
    <row r="321" spans="1:5" x14ac:dyDescent="0.2">
      <c r="A321" s="108"/>
      <c r="B321" s="108"/>
      <c r="C321" s="17" t="s">
        <v>563</v>
      </c>
      <c r="D321" s="17"/>
    </row>
    <row r="322" spans="1:5" x14ac:dyDescent="0.2">
      <c r="A322" s="108"/>
      <c r="B322" s="108"/>
      <c r="C322" s="17" t="s">
        <v>564</v>
      </c>
      <c r="D322" s="17"/>
    </row>
    <row r="323" spans="1:5" x14ac:dyDescent="0.2">
      <c r="A323" s="108"/>
      <c r="B323" s="108"/>
      <c r="C323" s="17" t="s">
        <v>565</v>
      </c>
      <c r="D323" s="17"/>
    </row>
    <row r="324" spans="1:5" x14ac:dyDescent="0.2">
      <c r="A324" s="108"/>
      <c r="B324" s="108"/>
      <c r="C324" s="17" t="s">
        <v>566</v>
      </c>
      <c r="D324" s="17"/>
    </row>
    <row r="325" spans="1:5" x14ac:dyDescent="0.2">
      <c r="A325" s="108"/>
      <c r="B325" s="108"/>
      <c r="C325" s="17" t="s">
        <v>567</v>
      </c>
      <c r="D325" s="17"/>
    </row>
    <row r="326" spans="1:5" x14ac:dyDescent="0.2">
      <c r="A326" s="108"/>
      <c r="B326" s="108"/>
      <c r="C326" s="17" t="s">
        <v>568</v>
      </c>
      <c r="D326" s="17"/>
    </row>
    <row r="327" spans="1:5" x14ac:dyDescent="0.2">
      <c r="A327" s="108"/>
      <c r="B327" s="108"/>
      <c r="C327" s="17" t="s">
        <v>569</v>
      </c>
      <c r="D327" s="17"/>
    </row>
    <row r="328" spans="1:5" x14ac:dyDescent="0.2">
      <c r="A328" s="102"/>
      <c r="B328" s="109" t="s">
        <v>90</v>
      </c>
      <c r="C328" s="39" t="s">
        <v>570</v>
      </c>
      <c r="D328" s="39"/>
      <c r="E328" t="s">
        <v>214</v>
      </c>
    </row>
    <row r="329" spans="1:5" x14ac:dyDescent="0.2">
      <c r="A329" s="103"/>
      <c r="B329" s="110"/>
      <c r="C329" s="39" t="s">
        <v>571</v>
      </c>
      <c r="D329" s="39"/>
      <c r="E329" t="s">
        <v>214</v>
      </c>
    </row>
    <row r="330" spans="1:5" x14ac:dyDescent="0.2">
      <c r="A330" s="103"/>
      <c r="B330" s="110"/>
      <c r="C330" s="95" t="s">
        <v>572</v>
      </c>
      <c r="D330" s="39"/>
      <c r="E330" t="s">
        <v>214</v>
      </c>
    </row>
    <row r="331" spans="1:5" x14ac:dyDescent="0.2">
      <c r="A331" s="103"/>
      <c r="B331" s="110"/>
      <c r="C331" s="94" t="s">
        <v>573</v>
      </c>
      <c r="D331" s="39"/>
      <c r="E331" t="s">
        <v>214</v>
      </c>
    </row>
    <row r="332" spans="1:5" x14ac:dyDescent="0.2">
      <c r="A332" s="103"/>
      <c r="B332" s="110"/>
      <c r="C332" s="94" t="s">
        <v>574</v>
      </c>
      <c r="D332" s="39"/>
      <c r="E332" t="s">
        <v>214</v>
      </c>
    </row>
    <row r="333" spans="1:5" x14ac:dyDescent="0.2">
      <c r="A333" s="103"/>
      <c r="B333" s="110"/>
      <c r="C333" s="94" t="s">
        <v>575</v>
      </c>
      <c r="D333" s="39"/>
      <c r="E333" t="s">
        <v>214</v>
      </c>
    </row>
    <row r="334" spans="1:5" x14ac:dyDescent="0.2">
      <c r="A334" s="103"/>
      <c r="B334" s="110"/>
      <c r="C334" s="94" t="s">
        <v>576</v>
      </c>
      <c r="D334" s="39"/>
      <c r="E334" t="s">
        <v>214</v>
      </c>
    </row>
    <row r="335" spans="1:5" x14ac:dyDescent="0.2">
      <c r="A335" s="103"/>
      <c r="B335" s="110"/>
      <c r="C335" s="39" t="s">
        <v>577</v>
      </c>
      <c r="D335" s="39"/>
      <c r="E335" t="s">
        <v>214</v>
      </c>
    </row>
    <row r="336" spans="1:5" x14ac:dyDescent="0.2">
      <c r="A336" s="103"/>
      <c r="B336" s="110"/>
      <c r="C336" s="39" t="s">
        <v>578</v>
      </c>
      <c r="D336" s="39"/>
      <c r="E336" t="s">
        <v>214</v>
      </c>
    </row>
    <row r="337" spans="1:5" x14ac:dyDescent="0.2">
      <c r="A337" s="103"/>
      <c r="B337" s="110"/>
      <c r="C337" s="39" t="s">
        <v>579</v>
      </c>
      <c r="D337" s="39"/>
      <c r="E337" t="s">
        <v>214</v>
      </c>
    </row>
    <row r="338" spans="1:5" x14ac:dyDescent="0.2">
      <c r="A338" s="103"/>
      <c r="B338" s="110"/>
      <c r="C338" s="39" t="s">
        <v>580</v>
      </c>
      <c r="D338" s="39"/>
      <c r="E338" t="s">
        <v>214</v>
      </c>
    </row>
    <row r="339" spans="1:5" x14ac:dyDescent="0.2">
      <c r="A339" s="103"/>
      <c r="B339" s="110"/>
      <c r="C339" s="39" t="s">
        <v>581</v>
      </c>
      <c r="D339" s="39"/>
      <c r="E339" t="s">
        <v>214</v>
      </c>
    </row>
    <row r="340" spans="1:5" x14ac:dyDescent="0.2">
      <c r="A340" s="103"/>
      <c r="B340" s="110"/>
      <c r="C340" s="39" t="s">
        <v>582</v>
      </c>
      <c r="D340" s="39"/>
      <c r="E340" t="s">
        <v>214</v>
      </c>
    </row>
    <row r="341" spans="1:5" x14ac:dyDescent="0.2">
      <c r="A341" s="103"/>
      <c r="B341" s="110"/>
      <c r="C341" s="39" t="s">
        <v>583</v>
      </c>
      <c r="D341" s="39"/>
      <c r="E341" t="s">
        <v>214</v>
      </c>
    </row>
    <row r="342" spans="1:5" x14ac:dyDescent="0.2">
      <c r="A342" s="103"/>
      <c r="B342" s="110"/>
      <c r="C342" s="39" t="s">
        <v>584</v>
      </c>
      <c r="D342" s="39"/>
      <c r="E342" t="s">
        <v>214</v>
      </c>
    </row>
    <row r="343" spans="1:5" x14ac:dyDescent="0.2">
      <c r="A343" s="103"/>
      <c r="B343" s="110"/>
      <c r="C343" s="39" t="s">
        <v>585</v>
      </c>
      <c r="D343" s="39"/>
      <c r="E343" t="s">
        <v>214</v>
      </c>
    </row>
    <row r="344" spans="1:5" x14ac:dyDescent="0.2">
      <c r="A344" s="103"/>
      <c r="B344" s="110"/>
      <c r="C344" s="39" t="s">
        <v>586</v>
      </c>
      <c r="D344" s="39"/>
      <c r="E344" t="s">
        <v>214</v>
      </c>
    </row>
    <row r="345" spans="1:5" x14ac:dyDescent="0.2">
      <c r="A345" s="103"/>
      <c r="B345" s="110"/>
      <c r="C345" s="39" t="s">
        <v>587</v>
      </c>
      <c r="D345" s="39"/>
      <c r="E345" t="s">
        <v>214</v>
      </c>
    </row>
    <row r="346" spans="1:5" x14ac:dyDescent="0.2">
      <c r="A346" s="103"/>
      <c r="B346" s="110"/>
      <c r="C346" s="39" t="s">
        <v>588</v>
      </c>
      <c r="D346" s="39"/>
      <c r="E346" t="s">
        <v>214</v>
      </c>
    </row>
    <row r="347" spans="1:5" x14ac:dyDescent="0.2">
      <c r="A347" s="103"/>
      <c r="B347" s="110"/>
      <c r="C347" s="39" t="s">
        <v>589</v>
      </c>
      <c r="D347" s="39"/>
      <c r="E347" t="s">
        <v>214</v>
      </c>
    </row>
    <row r="348" spans="1:5" x14ac:dyDescent="0.2">
      <c r="A348" s="103"/>
      <c r="B348" s="110"/>
      <c r="C348" s="39" t="s">
        <v>590</v>
      </c>
      <c r="D348" s="39"/>
      <c r="E348" t="s">
        <v>214</v>
      </c>
    </row>
    <row r="349" spans="1:5" x14ac:dyDescent="0.2">
      <c r="A349" s="103"/>
      <c r="B349" s="110"/>
      <c r="C349" s="39" t="s">
        <v>591</v>
      </c>
      <c r="D349" s="39"/>
      <c r="E349" t="s">
        <v>214</v>
      </c>
    </row>
    <row r="350" spans="1:5" x14ac:dyDescent="0.2">
      <c r="A350" s="103"/>
      <c r="B350" s="110"/>
      <c r="C350" s="39" t="s">
        <v>592</v>
      </c>
      <c r="D350" s="39"/>
      <c r="E350" t="s">
        <v>214</v>
      </c>
    </row>
    <row r="351" spans="1:5" x14ac:dyDescent="0.2">
      <c r="A351" s="103"/>
      <c r="B351" s="110"/>
      <c r="C351" s="39" t="s">
        <v>593</v>
      </c>
      <c r="D351" s="39"/>
      <c r="E351" t="s">
        <v>214</v>
      </c>
    </row>
    <row r="352" spans="1:5" x14ac:dyDescent="0.2">
      <c r="A352" s="103"/>
      <c r="B352" s="110"/>
      <c r="C352" s="39" t="s">
        <v>594</v>
      </c>
      <c r="D352" s="39"/>
      <c r="E352" t="s">
        <v>214</v>
      </c>
    </row>
    <row r="353" spans="1:5" x14ac:dyDescent="0.2">
      <c r="A353" s="103"/>
      <c r="B353" s="110"/>
      <c r="C353" s="39" t="s">
        <v>595</v>
      </c>
      <c r="D353" s="39"/>
      <c r="E353" t="s">
        <v>214</v>
      </c>
    </row>
    <row r="354" spans="1:5" x14ac:dyDescent="0.2">
      <c r="A354" s="103"/>
      <c r="B354" s="110"/>
      <c r="C354" s="39" t="s">
        <v>596</v>
      </c>
      <c r="D354" s="39"/>
      <c r="E354" t="s">
        <v>214</v>
      </c>
    </row>
    <row r="355" spans="1:5" x14ac:dyDescent="0.2">
      <c r="A355" s="103"/>
      <c r="B355" s="110"/>
      <c r="C355" s="39" t="s">
        <v>597</v>
      </c>
      <c r="D355" s="39"/>
      <c r="E355" t="s">
        <v>214</v>
      </c>
    </row>
    <row r="356" spans="1:5" x14ac:dyDescent="0.2">
      <c r="A356" s="103"/>
      <c r="B356" s="110"/>
      <c r="C356" s="39" t="s">
        <v>598</v>
      </c>
      <c r="D356" s="39"/>
      <c r="E356" t="s">
        <v>214</v>
      </c>
    </row>
    <row r="357" spans="1:5" x14ac:dyDescent="0.2">
      <c r="A357" s="103"/>
      <c r="B357" s="110"/>
      <c r="C357" s="39" t="s">
        <v>599</v>
      </c>
      <c r="D357" s="39"/>
      <c r="E357" t="s">
        <v>214</v>
      </c>
    </row>
    <row r="358" spans="1:5" x14ac:dyDescent="0.2">
      <c r="A358" s="103"/>
      <c r="B358" s="110"/>
      <c r="C358" s="39" t="s">
        <v>600</v>
      </c>
      <c r="D358" s="39"/>
      <c r="E358" t="s">
        <v>214</v>
      </c>
    </row>
    <row r="359" spans="1:5" x14ac:dyDescent="0.2">
      <c r="A359" s="103"/>
      <c r="B359" s="110"/>
      <c r="C359" s="39" t="s">
        <v>601</v>
      </c>
      <c r="D359" s="39"/>
      <c r="E359" t="s">
        <v>214</v>
      </c>
    </row>
    <row r="360" spans="1:5" x14ac:dyDescent="0.2">
      <c r="A360" s="103"/>
      <c r="B360" s="110"/>
      <c r="C360" s="39" t="s">
        <v>602</v>
      </c>
      <c r="D360" s="39"/>
      <c r="E360" t="s">
        <v>214</v>
      </c>
    </row>
    <row r="361" spans="1:5" x14ac:dyDescent="0.2">
      <c r="A361" s="103"/>
      <c r="B361" s="110"/>
      <c r="C361" s="39" t="s">
        <v>603</v>
      </c>
      <c r="D361" s="39"/>
      <c r="E361" t="s">
        <v>214</v>
      </c>
    </row>
    <row r="362" spans="1:5" x14ac:dyDescent="0.2">
      <c r="A362" s="103"/>
      <c r="B362" s="110"/>
      <c r="C362" s="39" t="s">
        <v>604</v>
      </c>
      <c r="D362" s="39"/>
      <c r="E362" t="s">
        <v>214</v>
      </c>
    </row>
    <row r="363" spans="1:5" x14ac:dyDescent="0.2">
      <c r="A363" s="103"/>
      <c r="B363" s="110"/>
      <c r="C363" s="39" t="s">
        <v>605</v>
      </c>
      <c r="D363" s="39"/>
      <c r="E363" t="s">
        <v>214</v>
      </c>
    </row>
    <row r="364" spans="1:5" x14ac:dyDescent="0.2">
      <c r="A364" s="103"/>
      <c r="B364" s="110"/>
      <c r="C364" s="39" t="s">
        <v>606</v>
      </c>
      <c r="D364" s="39"/>
      <c r="E364" t="s">
        <v>214</v>
      </c>
    </row>
    <row r="365" spans="1:5" x14ac:dyDescent="0.2">
      <c r="A365" s="103"/>
      <c r="B365" s="110"/>
      <c r="C365" s="39" t="s">
        <v>607</v>
      </c>
      <c r="D365" s="39"/>
      <c r="E365" t="s">
        <v>214</v>
      </c>
    </row>
    <row r="366" spans="1:5" x14ac:dyDescent="0.2">
      <c r="A366" s="103"/>
      <c r="B366" s="110"/>
      <c r="C366" s="39" t="s">
        <v>608</v>
      </c>
      <c r="D366" s="39"/>
      <c r="E366" t="s">
        <v>214</v>
      </c>
    </row>
    <row r="367" spans="1:5" x14ac:dyDescent="0.2">
      <c r="A367" s="103"/>
      <c r="B367" s="110"/>
      <c r="C367" s="39" t="s">
        <v>609</v>
      </c>
      <c r="D367" s="39"/>
      <c r="E367" t="s">
        <v>214</v>
      </c>
    </row>
    <row r="368" spans="1:5" x14ac:dyDescent="0.2">
      <c r="A368" s="103"/>
      <c r="B368" s="110"/>
      <c r="C368" s="39" t="s">
        <v>610</v>
      </c>
      <c r="D368" s="39"/>
      <c r="E368" t="s">
        <v>214</v>
      </c>
    </row>
    <row r="369" spans="1:5" x14ac:dyDescent="0.2">
      <c r="A369" s="103"/>
      <c r="B369" s="110"/>
      <c r="C369" s="39" t="s">
        <v>611</v>
      </c>
      <c r="D369" s="39"/>
      <c r="E369" t="s">
        <v>214</v>
      </c>
    </row>
    <row r="370" spans="1:5" x14ac:dyDescent="0.2">
      <c r="A370" s="103"/>
      <c r="B370" s="110"/>
      <c r="C370" s="39" t="s">
        <v>612</v>
      </c>
      <c r="D370" s="39"/>
      <c r="E370" t="s">
        <v>214</v>
      </c>
    </row>
    <row r="371" spans="1:5" x14ac:dyDescent="0.2">
      <c r="A371" s="103"/>
      <c r="B371" s="110"/>
      <c r="C371" s="39" t="s">
        <v>613</v>
      </c>
      <c r="D371" s="39"/>
      <c r="E371" t="s">
        <v>214</v>
      </c>
    </row>
    <row r="372" spans="1:5" x14ac:dyDescent="0.2">
      <c r="A372" s="103"/>
      <c r="B372" s="110"/>
      <c r="C372" s="39" t="s">
        <v>614</v>
      </c>
      <c r="D372" s="39"/>
      <c r="E372" t="s">
        <v>214</v>
      </c>
    </row>
    <row r="373" spans="1:5" x14ac:dyDescent="0.2">
      <c r="A373" s="103"/>
      <c r="B373" s="110"/>
      <c r="C373" s="39" t="s">
        <v>615</v>
      </c>
      <c r="D373" s="39"/>
      <c r="E373" t="s">
        <v>214</v>
      </c>
    </row>
    <row r="374" spans="1:5" x14ac:dyDescent="0.2">
      <c r="A374" s="103"/>
      <c r="B374" s="110"/>
      <c r="C374" s="39" t="s">
        <v>616</v>
      </c>
      <c r="D374" s="39"/>
      <c r="E374" t="s">
        <v>214</v>
      </c>
    </row>
    <row r="375" spans="1:5" x14ac:dyDescent="0.2">
      <c r="A375" s="103"/>
      <c r="B375" s="110"/>
      <c r="C375" s="39" t="s">
        <v>617</v>
      </c>
      <c r="D375" s="39"/>
      <c r="E375" t="s">
        <v>214</v>
      </c>
    </row>
    <row r="376" spans="1:5" x14ac:dyDescent="0.2">
      <c r="A376" s="103"/>
      <c r="B376" s="110"/>
      <c r="C376" s="39" t="s">
        <v>618</v>
      </c>
      <c r="D376" s="39"/>
      <c r="E376" t="s">
        <v>214</v>
      </c>
    </row>
    <row r="377" spans="1:5" x14ac:dyDescent="0.2">
      <c r="A377" s="103"/>
      <c r="B377" s="110"/>
      <c r="C377" s="39" t="s">
        <v>619</v>
      </c>
      <c r="D377" s="39"/>
      <c r="E377" t="s">
        <v>214</v>
      </c>
    </row>
    <row r="378" spans="1:5" x14ac:dyDescent="0.2">
      <c r="A378" s="103"/>
      <c r="B378" s="110"/>
      <c r="C378" s="39" t="s">
        <v>620</v>
      </c>
      <c r="D378" s="39"/>
      <c r="E378" t="s">
        <v>214</v>
      </c>
    </row>
    <row r="379" spans="1:5" x14ac:dyDescent="0.2">
      <c r="A379" s="103"/>
      <c r="B379" s="110"/>
      <c r="C379" s="39" t="s">
        <v>621</v>
      </c>
      <c r="D379" s="39"/>
      <c r="E379" t="s">
        <v>214</v>
      </c>
    </row>
    <row r="380" spans="1:5" x14ac:dyDescent="0.2">
      <c r="A380" s="103"/>
      <c r="B380" s="110"/>
      <c r="C380" s="39" t="s">
        <v>622</v>
      </c>
      <c r="D380" s="39"/>
      <c r="E380" t="s">
        <v>214</v>
      </c>
    </row>
    <row r="381" spans="1:5" x14ac:dyDescent="0.2">
      <c r="A381" s="103"/>
      <c r="B381" s="110"/>
      <c r="C381" s="39" t="s">
        <v>623</v>
      </c>
      <c r="D381" s="39"/>
      <c r="E381" t="s">
        <v>214</v>
      </c>
    </row>
    <row r="382" spans="1:5" x14ac:dyDescent="0.2">
      <c r="A382" s="103"/>
      <c r="B382" s="110"/>
      <c r="C382" s="39" t="s">
        <v>624</v>
      </c>
      <c r="D382" s="39"/>
      <c r="E382" t="s">
        <v>214</v>
      </c>
    </row>
    <row r="383" spans="1:5" x14ac:dyDescent="0.2">
      <c r="A383" s="103"/>
      <c r="B383" s="110"/>
      <c r="C383" s="39" t="s">
        <v>625</v>
      </c>
      <c r="D383" s="39"/>
      <c r="E383" t="s">
        <v>214</v>
      </c>
    </row>
    <row r="384" spans="1:5" x14ac:dyDescent="0.2">
      <c r="A384" s="103"/>
      <c r="B384" s="110"/>
      <c r="C384" s="39" t="s">
        <v>626</v>
      </c>
      <c r="D384" s="39"/>
      <c r="E384" t="s">
        <v>214</v>
      </c>
    </row>
    <row r="385" spans="1:5" x14ac:dyDescent="0.2">
      <c r="A385" s="103"/>
      <c r="B385" s="110"/>
      <c r="C385" s="39" t="s">
        <v>627</v>
      </c>
      <c r="D385" s="39"/>
      <c r="E385" t="s">
        <v>214</v>
      </c>
    </row>
    <row r="386" spans="1:5" x14ac:dyDescent="0.2">
      <c r="A386" s="103"/>
      <c r="B386" s="110"/>
      <c r="C386" s="39" t="s">
        <v>628</v>
      </c>
      <c r="D386" s="39"/>
      <c r="E386" t="s">
        <v>214</v>
      </c>
    </row>
    <row r="387" spans="1:5" x14ac:dyDescent="0.2">
      <c r="A387" s="103"/>
      <c r="B387" s="110"/>
      <c r="C387" s="39" t="s">
        <v>629</v>
      </c>
      <c r="D387" s="39"/>
      <c r="E387" t="s">
        <v>214</v>
      </c>
    </row>
    <row r="388" spans="1:5" x14ac:dyDescent="0.2">
      <c r="A388" s="103"/>
      <c r="B388" s="110"/>
      <c r="C388" s="39" t="s">
        <v>630</v>
      </c>
      <c r="D388" s="39"/>
      <c r="E388" t="s">
        <v>214</v>
      </c>
    </row>
    <row r="389" spans="1:5" x14ac:dyDescent="0.2">
      <c r="A389" s="103"/>
      <c r="B389" s="110"/>
      <c r="C389" s="39" t="s">
        <v>631</v>
      </c>
      <c r="D389" s="39"/>
      <c r="E389" t="s">
        <v>214</v>
      </c>
    </row>
    <row r="390" spans="1:5" x14ac:dyDescent="0.2">
      <c r="A390" s="103"/>
      <c r="B390" s="110"/>
      <c r="C390" s="39" t="s">
        <v>632</v>
      </c>
      <c r="D390" s="39"/>
      <c r="E390" t="s">
        <v>214</v>
      </c>
    </row>
    <row r="391" spans="1:5" x14ac:dyDescent="0.2">
      <c r="A391" s="103"/>
      <c r="B391" s="110"/>
      <c r="C391" s="39" t="s">
        <v>633</v>
      </c>
      <c r="D391" s="39"/>
      <c r="E391" t="s">
        <v>214</v>
      </c>
    </row>
    <row r="392" spans="1:5" x14ac:dyDescent="0.2">
      <c r="A392" s="103"/>
      <c r="B392" s="110"/>
      <c r="C392" s="39" t="s">
        <v>634</v>
      </c>
      <c r="D392" s="39"/>
      <c r="E392" t="s">
        <v>214</v>
      </c>
    </row>
    <row r="393" spans="1:5" x14ac:dyDescent="0.2">
      <c r="A393" s="103"/>
      <c r="B393" s="110"/>
      <c r="C393" s="39" t="s">
        <v>635</v>
      </c>
      <c r="D393" s="39"/>
      <c r="E393" t="s">
        <v>214</v>
      </c>
    </row>
    <row r="394" spans="1:5" x14ac:dyDescent="0.2">
      <c r="A394" s="103"/>
      <c r="B394" s="110"/>
      <c r="C394" s="39" t="s">
        <v>636</v>
      </c>
      <c r="D394" s="39"/>
      <c r="E394" t="s">
        <v>214</v>
      </c>
    </row>
    <row r="395" spans="1:5" x14ac:dyDescent="0.2">
      <c r="A395" s="103"/>
      <c r="B395" s="110"/>
      <c r="C395" s="39" t="s">
        <v>637</v>
      </c>
      <c r="D395" s="39"/>
      <c r="E395" t="s">
        <v>214</v>
      </c>
    </row>
    <row r="396" spans="1:5" x14ac:dyDescent="0.2">
      <c r="A396" s="103"/>
      <c r="B396" s="110"/>
      <c r="C396" s="39" t="s">
        <v>638</v>
      </c>
      <c r="D396" s="39"/>
      <c r="E396" t="s">
        <v>214</v>
      </c>
    </row>
    <row r="397" spans="1:5" x14ac:dyDescent="0.2">
      <c r="A397" s="103"/>
      <c r="B397" s="110"/>
      <c r="C397" s="39" t="s">
        <v>639</v>
      </c>
      <c r="D397" s="39"/>
      <c r="E397" t="s">
        <v>214</v>
      </c>
    </row>
    <row r="398" spans="1:5" x14ac:dyDescent="0.2">
      <c r="A398" s="103"/>
      <c r="B398" s="110"/>
      <c r="C398" s="39" t="s">
        <v>640</v>
      </c>
      <c r="D398" s="39"/>
      <c r="E398" t="s">
        <v>214</v>
      </c>
    </row>
    <row r="399" spans="1:5" x14ac:dyDescent="0.2">
      <c r="A399" s="103"/>
      <c r="B399" s="110"/>
      <c r="C399" s="39" t="s">
        <v>641</v>
      </c>
      <c r="D399" s="39"/>
      <c r="E399" t="s">
        <v>214</v>
      </c>
    </row>
    <row r="400" spans="1:5" x14ac:dyDescent="0.2">
      <c r="A400" s="103"/>
      <c r="B400" s="110"/>
      <c r="C400" s="39" t="s">
        <v>642</v>
      </c>
      <c r="D400" s="39"/>
      <c r="E400" t="s">
        <v>214</v>
      </c>
    </row>
    <row r="401" spans="1:5" x14ac:dyDescent="0.2">
      <c r="A401" s="103"/>
      <c r="B401" s="110"/>
      <c r="C401" s="39" t="s">
        <v>643</v>
      </c>
      <c r="D401" s="39"/>
      <c r="E401" t="s">
        <v>214</v>
      </c>
    </row>
    <row r="402" spans="1:5" x14ac:dyDescent="0.2">
      <c r="A402" s="103"/>
      <c r="B402" s="110"/>
      <c r="C402" s="39" t="s">
        <v>644</v>
      </c>
      <c r="D402" s="39"/>
      <c r="E402" t="s">
        <v>214</v>
      </c>
    </row>
    <row r="403" spans="1:5" x14ac:dyDescent="0.2">
      <c r="A403" s="103"/>
      <c r="B403" s="110"/>
      <c r="C403" s="39" t="s">
        <v>645</v>
      </c>
      <c r="D403" s="39"/>
      <c r="E403" t="s">
        <v>214</v>
      </c>
    </row>
    <row r="404" spans="1:5" x14ac:dyDescent="0.2">
      <c r="A404" s="103"/>
      <c r="B404" s="110"/>
      <c r="C404" s="39" t="s">
        <v>646</v>
      </c>
      <c r="D404" s="39"/>
      <c r="E404" t="s">
        <v>214</v>
      </c>
    </row>
    <row r="405" spans="1:5" x14ac:dyDescent="0.2">
      <c r="A405" s="103"/>
      <c r="B405" s="110"/>
      <c r="C405" s="39" t="s">
        <v>647</v>
      </c>
      <c r="D405" s="39"/>
      <c r="E405" t="s">
        <v>214</v>
      </c>
    </row>
    <row r="406" spans="1:5" x14ac:dyDescent="0.2">
      <c r="A406" s="103"/>
      <c r="B406" s="110"/>
      <c r="C406" s="39" t="s">
        <v>648</v>
      </c>
      <c r="D406" s="39"/>
      <c r="E406" t="s">
        <v>214</v>
      </c>
    </row>
    <row r="407" spans="1:5" x14ac:dyDescent="0.2">
      <c r="A407" s="103"/>
      <c r="B407" s="110"/>
      <c r="C407" s="39" t="s">
        <v>649</v>
      </c>
      <c r="D407" s="39"/>
      <c r="E407" t="s">
        <v>214</v>
      </c>
    </row>
    <row r="408" spans="1:5" x14ac:dyDescent="0.2">
      <c r="A408" s="103"/>
      <c r="B408" s="110"/>
      <c r="C408" s="39" t="s">
        <v>650</v>
      </c>
      <c r="D408" s="39"/>
      <c r="E408" t="s">
        <v>214</v>
      </c>
    </row>
    <row r="409" spans="1:5" x14ac:dyDescent="0.2">
      <c r="A409" s="103"/>
      <c r="B409" s="110"/>
      <c r="C409" s="39" t="s">
        <v>651</v>
      </c>
      <c r="D409" s="39"/>
      <c r="E409" t="s">
        <v>214</v>
      </c>
    </row>
    <row r="410" spans="1:5" x14ac:dyDescent="0.2">
      <c r="A410" s="103"/>
      <c r="B410" s="110"/>
      <c r="C410" s="39" t="s">
        <v>652</v>
      </c>
      <c r="D410" s="39"/>
      <c r="E410" t="s">
        <v>214</v>
      </c>
    </row>
    <row r="411" spans="1:5" x14ac:dyDescent="0.2">
      <c r="A411" s="103"/>
      <c r="B411" s="110"/>
      <c r="C411" s="39" t="s">
        <v>653</v>
      </c>
      <c r="D411" s="39"/>
      <c r="E411" t="s">
        <v>214</v>
      </c>
    </row>
    <row r="412" spans="1:5" x14ac:dyDescent="0.2">
      <c r="A412" s="103"/>
      <c r="B412" s="110"/>
      <c r="C412" s="39" t="s">
        <v>654</v>
      </c>
      <c r="D412" s="39"/>
      <c r="E412" t="s">
        <v>214</v>
      </c>
    </row>
    <row r="413" spans="1:5" x14ac:dyDescent="0.2">
      <c r="A413" s="103"/>
      <c r="B413" s="110"/>
      <c r="C413" s="39" t="s">
        <v>655</v>
      </c>
      <c r="D413" s="39"/>
      <c r="E413" t="s">
        <v>214</v>
      </c>
    </row>
    <row r="414" spans="1:5" x14ac:dyDescent="0.2">
      <c r="A414" s="103"/>
      <c r="B414" s="110"/>
      <c r="C414" s="39" t="s">
        <v>656</v>
      </c>
      <c r="D414" s="39"/>
      <c r="E414" t="s">
        <v>214</v>
      </c>
    </row>
    <row r="415" spans="1:5" x14ac:dyDescent="0.2">
      <c r="A415" s="103"/>
      <c r="B415" s="110"/>
      <c r="C415" s="39" t="s">
        <v>657</v>
      </c>
      <c r="D415" s="39"/>
      <c r="E415" t="s">
        <v>214</v>
      </c>
    </row>
    <row r="416" spans="1:5" x14ac:dyDescent="0.2">
      <c r="A416" s="103"/>
      <c r="B416" s="110"/>
      <c r="C416" s="39" t="s">
        <v>658</v>
      </c>
      <c r="D416" s="39"/>
      <c r="E416" t="s">
        <v>214</v>
      </c>
    </row>
    <row r="417" spans="1:5" x14ac:dyDescent="0.2">
      <c r="A417" s="103"/>
      <c r="B417" s="110"/>
      <c r="C417" s="39" t="s">
        <v>659</v>
      </c>
      <c r="D417" s="39"/>
      <c r="E417" t="s">
        <v>214</v>
      </c>
    </row>
    <row r="418" spans="1:5" x14ac:dyDescent="0.2">
      <c r="A418" s="103"/>
      <c r="B418" s="110"/>
      <c r="C418" s="39" t="s">
        <v>660</v>
      </c>
      <c r="D418" s="39"/>
      <c r="E418" t="s">
        <v>214</v>
      </c>
    </row>
    <row r="419" spans="1:5" x14ac:dyDescent="0.2">
      <c r="A419" s="103"/>
      <c r="B419" s="110"/>
      <c r="C419" s="39" t="s">
        <v>661</v>
      </c>
      <c r="D419" s="39"/>
      <c r="E419" t="s">
        <v>214</v>
      </c>
    </row>
    <row r="420" spans="1:5" x14ac:dyDescent="0.2">
      <c r="A420" s="103"/>
      <c r="B420" s="110"/>
      <c r="C420" s="39" t="s">
        <v>662</v>
      </c>
      <c r="D420" s="39"/>
      <c r="E420" t="s">
        <v>214</v>
      </c>
    </row>
    <row r="421" spans="1:5" x14ac:dyDescent="0.2">
      <c r="A421" s="103"/>
      <c r="B421" s="110"/>
      <c r="C421" s="39" t="s">
        <v>663</v>
      </c>
      <c r="D421" s="39"/>
      <c r="E421" t="s">
        <v>214</v>
      </c>
    </row>
    <row r="422" spans="1:5" x14ac:dyDescent="0.2">
      <c r="A422" s="103"/>
      <c r="B422" s="110"/>
      <c r="C422" s="39" t="s">
        <v>664</v>
      </c>
      <c r="D422" s="39"/>
      <c r="E422" t="s">
        <v>214</v>
      </c>
    </row>
    <row r="423" spans="1:5" x14ac:dyDescent="0.2">
      <c r="A423" s="103"/>
      <c r="B423" s="110"/>
      <c r="C423" s="39" t="s">
        <v>665</v>
      </c>
      <c r="D423" s="39"/>
      <c r="E423" t="s">
        <v>214</v>
      </c>
    </row>
    <row r="424" spans="1:5" x14ac:dyDescent="0.2">
      <c r="A424" s="103"/>
      <c r="B424" s="110"/>
      <c r="C424" s="39" t="s">
        <v>666</v>
      </c>
      <c r="D424" s="39"/>
      <c r="E424" t="s">
        <v>214</v>
      </c>
    </row>
    <row r="425" spans="1:5" x14ac:dyDescent="0.2">
      <c r="A425" s="103"/>
      <c r="B425" s="110"/>
      <c r="C425" s="39" t="s">
        <v>667</v>
      </c>
      <c r="D425" s="39"/>
      <c r="E425" t="s">
        <v>214</v>
      </c>
    </row>
    <row r="426" spans="1:5" x14ac:dyDescent="0.2">
      <c r="A426" s="103"/>
      <c r="B426" s="110"/>
      <c r="C426" s="39" t="s">
        <v>668</v>
      </c>
      <c r="D426" s="39"/>
      <c r="E426" t="s">
        <v>214</v>
      </c>
    </row>
    <row r="427" spans="1:5" x14ac:dyDescent="0.2">
      <c r="A427" s="103"/>
      <c r="B427" s="110"/>
      <c r="C427" s="39" t="s">
        <v>669</v>
      </c>
      <c r="D427" s="39"/>
      <c r="E427" t="s">
        <v>214</v>
      </c>
    </row>
    <row r="428" spans="1:5" x14ac:dyDescent="0.2">
      <c r="A428" s="103"/>
      <c r="B428" s="110"/>
      <c r="C428" s="39" t="s">
        <v>670</v>
      </c>
      <c r="D428" s="39"/>
      <c r="E428" t="s">
        <v>214</v>
      </c>
    </row>
    <row r="429" spans="1:5" x14ac:dyDescent="0.2">
      <c r="A429" s="103"/>
      <c r="B429" s="110"/>
      <c r="C429" s="39" t="s">
        <v>671</v>
      </c>
      <c r="D429" s="39"/>
      <c r="E429" t="s">
        <v>214</v>
      </c>
    </row>
    <row r="430" spans="1:5" x14ac:dyDescent="0.2">
      <c r="A430" s="103"/>
      <c r="B430" s="110"/>
      <c r="C430" s="39" t="s">
        <v>672</v>
      </c>
      <c r="D430" s="39"/>
      <c r="E430" t="s">
        <v>214</v>
      </c>
    </row>
    <row r="431" spans="1:5" x14ac:dyDescent="0.2">
      <c r="A431" s="103"/>
      <c r="B431" s="110"/>
      <c r="C431" s="39" t="s">
        <v>673</v>
      </c>
      <c r="D431" s="39"/>
      <c r="E431" t="s">
        <v>214</v>
      </c>
    </row>
    <row r="432" spans="1:5" x14ac:dyDescent="0.2">
      <c r="A432" s="103"/>
      <c r="B432" s="110"/>
      <c r="C432" s="39" t="s">
        <v>674</v>
      </c>
      <c r="D432" s="39"/>
      <c r="E432" t="s">
        <v>214</v>
      </c>
    </row>
    <row r="433" spans="1:5" x14ac:dyDescent="0.2">
      <c r="A433" s="103"/>
      <c r="B433" s="110"/>
      <c r="C433" s="39" t="s">
        <v>675</v>
      </c>
      <c r="D433" s="39"/>
      <c r="E433" t="s">
        <v>214</v>
      </c>
    </row>
    <row r="434" spans="1:5" x14ac:dyDescent="0.2">
      <c r="A434" s="103"/>
      <c r="B434" s="110"/>
      <c r="C434" s="39" t="s">
        <v>676</v>
      </c>
      <c r="D434" s="39"/>
      <c r="E434" t="s">
        <v>214</v>
      </c>
    </row>
    <row r="435" spans="1:5" x14ac:dyDescent="0.2">
      <c r="A435" s="103"/>
      <c r="B435" s="110"/>
      <c r="C435" s="39" t="s">
        <v>677</v>
      </c>
      <c r="D435" s="39"/>
      <c r="E435" t="s">
        <v>214</v>
      </c>
    </row>
    <row r="436" spans="1:5" x14ac:dyDescent="0.2">
      <c r="A436" s="103"/>
      <c r="B436" s="110"/>
      <c r="C436" s="39" t="s">
        <v>678</v>
      </c>
      <c r="D436" s="39"/>
      <c r="E436" t="s">
        <v>214</v>
      </c>
    </row>
    <row r="437" spans="1:5" x14ac:dyDescent="0.2">
      <c r="A437" s="103"/>
      <c r="B437" s="110"/>
      <c r="C437" s="39" t="s">
        <v>679</v>
      </c>
      <c r="D437" s="39"/>
      <c r="E437" t="s">
        <v>214</v>
      </c>
    </row>
    <row r="438" spans="1:5" x14ac:dyDescent="0.2">
      <c r="A438" s="103"/>
      <c r="B438" s="110"/>
      <c r="C438" s="39" t="s">
        <v>680</v>
      </c>
      <c r="D438" s="39"/>
      <c r="E438" t="s">
        <v>214</v>
      </c>
    </row>
    <row r="439" spans="1:5" x14ac:dyDescent="0.2">
      <c r="A439" s="103"/>
      <c r="B439" s="110"/>
      <c r="C439" s="39" t="s">
        <v>681</v>
      </c>
      <c r="D439" s="39"/>
      <c r="E439" t="s">
        <v>214</v>
      </c>
    </row>
    <row r="440" spans="1:5" x14ac:dyDescent="0.2">
      <c r="A440" s="103"/>
      <c r="B440" s="110"/>
      <c r="C440" s="39" t="s">
        <v>682</v>
      </c>
      <c r="D440" s="39"/>
      <c r="E440" t="s">
        <v>214</v>
      </c>
    </row>
    <row r="441" spans="1:5" x14ac:dyDescent="0.2">
      <c r="A441" s="103"/>
      <c r="B441" s="110"/>
      <c r="C441" s="39" t="s">
        <v>683</v>
      </c>
      <c r="D441" s="39"/>
      <c r="E441" t="s">
        <v>214</v>
      </c>
    </row>
    <row r="442" spans="1:5" x14ac:dyDescent="0.2">
      <c r="A442" s="103"/>
      <c r="B442" s="110"/>
      <c r="C442" s="39" t="s">
        <v>684</v>
      </c>
      <c r="D442" s="39"/>
      <c r="E442" t="s">
        <v>214</v>
      </c>
    </row>
    <row r="443" spans="1:5" x14ac:dyDescent="0.2">
      <c r="A443" s="103"/>
      <c r="B443" s="110"/>
      <c r="C443" s="39" t="s">
        <v>685</v>
      </c>
      <c r="D443" s="39"/>
      <c r="E443" t="s">
        <v>214</v>
      </c>
    </row>
    <row r="444" spans="1:5" x14ac:dyDescent="0.2">
      <c r="A444" s="103"/>
      <c r="B444" s="110"/>
      <c r="C444" s="39" t="s">
        <v>686</v>
      </c>
      <c r="D444" s="39"/>
      <c r="E444" t="s">
        <v>214</v>
      </c>
    </row>
    <row r="445" spans="1:5" x14ac:dyDescent="0.2">
      <c r="A445" s="103"/>
      <c r="B445" s="110"/>
      <c r="C445" s="39" t="s">
        <v>687</v>
      </c>
      <c r="D445" s="39"/>
      <c r="E445" t="s">
        <v>214</v>
      </c>
    </row>
    <row r="446" spans="1:5" x14ac:dyDescent="0.2">
      <c r="A446" s="103"/>
      <c r="B446" s="110"/>
      <c r="C446" s="39" t="s">
        <v>688</v>
      </c>
      <c r="D446" s="39"/>
      <c r="E446" t="s">
        <v>214</v>
      </c>
    </row>
    <row r="447" spans="1:5" x14ac:dyDescent="0.2">
      <c r="A447" s="103"/>
      <c r="B447" s="110"/>
      <c r="C447" s="39" t="s">
        <v>689</v>
      </c>
      <c r="D447" s="39"/>
      <c r="E447" t="s">
        <v>214</v>
      </c>
    </row>
    <row r="448" spans="1:5" x14ac:dyDescent="0.2">
      <c r="A448" s="103"/>
      <c r="B448" s="110"/>
      <c r="C448" s="39" t="s">
        <v>690</v>
      </c>
      <c r="D448" s="39"/>
      <c r="E448" t="s">
        <v>214</v>
      </c>
    </row>
    <row r="449" spans="1:5" x14ac:dyDescent="0.2">
      <c r="A449" s="103"/>
      <c r="B449" s="110"/>
      <c r="C449" s="39" t="s">
        <v>691</v>
      </c>
      <c r="D449" s="39"/>
      <c r="E449" t="s">
        <v>214</v>
      </c>
    </row>
    <row r="450" spans="1:5" x14ac:dyDescent="0.2">
      <c r="A450" s="103"/>
      <c r="B450" s="110"/>
      <c r="C450" s="39" t="s">
        <v>692</v>
      </c>
      <c r="D450" s="39"/>
      <c r="E450" t="s">
        <v>214</v>
      </c>
    </row>
    <row r="451" spans="1:5" x14ac:dyDescent="0.2">
      <c r="A451" s="103"/>
      <c r="B451" s="110"/>
      <c r="C451" s="39" t="s">
        <v>693</v>
      </c>
      <c r="D451" s="39"/>
      <c r="E451" t="s">
        <v>214</v>
      </c>
    </row>
    <row r="452" spans="1:5" x14ac:dyDescent="0.2">
      <c r="A452" s="103"/>
      <c r="B452" s="110"/>
      <c r="C452" s="39" t="s">
        <v>694</v>
      </c>
      <c r="D452" s="39"/>
      <c r="E452" t="s">
        <v>214</v>
      </c>
    </row>
    <row r="453" spans="1:5" x14ac:dyDescent="0.2">
      <c r="A453" s="103"/>
      <c r="B453" s="110"/>
      <c r="C453" s="39" t="s">
        <v>695</v>
      </c>
      <c r="D453" s="39"/>
      <c r="E453" t="s">
        <v>214</v>
      </c>
    </row>
    <row r="454" spans="1:5" x14ac:dyDescent="0.2">
      <c r="A454" s="103"/>
      <c r="B454" s="110"/>
      <c r="C454" s="39" t="s">
        <v>696</v>
      </c>
      <c r="D454" s="39"/>
      <c r="E454" t="s">
        <v>214</v>
      </c>
    </row>
    <row r="455" spans="1:5" x14ac:dyDescent="0.2">
      <c r="A455" s="103"/>
      <c r="B455" s="110"/>
      <c r="C455" s="39" t="s">
        <v>697</v>
      </c>
      <c r="D455" s="39"/>
      <c r="E455" t="s">
        <v>214</v>
      </c>
    </row>
    <row r="456" spans="1:5" x14ac:dyDescent="0.2">
      <c r="A456" s="103"/>
      <c r="B456" s="110"/>
      <c r="C456" s="39" t="s">
        <v>698</v>
      </c>
      <c r="D456" s="39"/>
      <c r="E456" t="s">
        <v>214</v>
      </c>
    </row>
    <row r="457" spans="1:5" x14ac:dyDescent="0.2">
      <c r="A457" s="103"/>
      <c r="B457" s="110"/>
      <c r="C457" s="39" t="s">
        <v>699</v>
      </c>
      <c r="D457" s="39"/>
      <c r="E457" t="s">
        <v>214</v>
      </c>
    </row>
    <row r="458" spans="1:5" x14ac:dyDescent="0.2">
      <c r="A458" s="103"/>
      <c r="B458" s="110"/>
      <c r="C458" s="39" t="s">
        <v>700</v>
      </c>
      <c r="D458" s="39"/>
      <c r="E458" t="s">
        <v>214</v>
      </c>
    </row>
    <row r="459" spans="1:5" x14ac:dyDescent="0.2">
      <c r="A459" s="103"/>
      <c r="B459" s="110"/>
      <c r="C459" s="39" t="s">
        <v>701</v>
      </c>
      <c r="D459" s="39"/>
      <c r="E459" t="s">
        <v>214</v>
      </c>
    </row>
    <row r="460" spans="1:5" x14ac:dyDescent="0.2">
      <c r="A460" s="103"/>
      <c r="B460" s="110"/>
      <c r="C460" s="39" t="s">
        <v>702</v>
      </c>
      <c r="D460" s="39"/>
      <c r="E460" t="s">
        <v>214</v>
      </c>
    </row>
    <row r="461" spans="1:5" x14ac:dyDescent="0.2">
      <c r="A461" s="103"/>
      <c r="B461" s="110"/>
      <c r="C461" s="39" t="s">
        <v>703</v>
      </c>
      <c r="D461" s="39"/>
      <c r="E461" t="s">
        <v>214</v>
      </c>
    </row>
    <row r="462" spans="1:5" x14ac:dyDescent="0.2">
      <c r="A462" s="103"/>
      <c r="B462" s="110"/>
      <c r="C462" s="39" t="s">
        <v>704</v>
      </c>
      <c r="D462" s="39"/>
      <c r="E462" t="s">
        <v>214</v>
      </c>
    </row>
    <row r="463" spans="1:5" x14ac:dyDescent="0.2">
      <c r="A463" s="103"/>
      <c r="B463" s="110"/>
      <c r="C463" s="39" t="s">
        <v>705</v>
      </c>
      <c r="D463" s="39"/>
      <c r="E463" t="s">
        <v>214</v>
      </c>
    </row>
    <row r="464" spans="1:5" x14ac:dyDescent="0.2">
      <c r="A464" s="103"/>
      <c r="B464" s="110"/>
      <c r="C464" s="39" t="s">
        <v>706</v>
      </c>
      <c r="D464" s="39"/>
      <c r="E464" t="s">
        <v>214</v>
      </c>
    </row>
    <row r="465" spans="1:5" x14ac:dyDescent="0.2">
      <c r="A465" s="103"/>
      <c r="B465" s="110"/>
      <c r="C465" s="39" t="s">
        <v>707</v>
      </c>
      <c r="D465" s="39"/>
      <c r="E465" t="s">
        <v>214</v>
      </c>
    </row>
    <row r="466" spans="1:5" x14ac:dyDescent="0.2">
      <c r="A466" s="103"/>
      <c r="B466" s="110"/>
      <c r="C466" s="39" t="s">
        <v>708</v>
      </c>
      <c r="D466" s="39"/>
      <c r="E466" t="s">
        <v>214</v>
      </c>
    </row>
    <row r="467" spans="1:5" x14ac:dyDescent="0.2">
      <c r="A467" s="103"/>
      <c r="B467" s="110"/>
      <c r="C467" s="39" t="s">
        <v>709</v>
      </c>
      <c r="D467" s="39"/>
      <c r="E467" t="s">
        <v>214</v>
      </c>
    </row>
    <row r="468" spans="1:5" x14ac:dyDescent="0.2">
      <c r="A468" s="103"/>
      <c r="B468" s="110"/>
      <c r="C468" s="39" t="s">
        <v>710</v>
      </c>
      <c r="D468" s="39"/>
      <c r="E468" t="s">
        <v>214</v>
      </c>
    </row>
    <row r="469" spans="1:5" x14ac:dyDescent="0.2">
      <c r="A469" s="103"/>
      <c r="B469" s="110"/>
      <c r="C469" s="39" t="s">
        <v>711</v>
      </c>
      <c r="D469" s="39"/>
      <c r="E469" t="s">
        <v>214</v>
      </c>
    </row>
    <row r="470" spans="1:5" x14ac:dyDescent="0.2">
      <c r="A470" s="103"/>
      <c r="B470" s="110"/>
      <c r="C470" s="39" t="s">
        <v>712</v>
      </c>
      <c r="D470" s="39"/>
      <c r="E470" t="s">
        <v>214</v>
      </c>
    </row>
    <row r="471" spans="1:5" x14ac:dyDescent="0.2">
      <c r="A471" s="103"/>
      <c r="B471" s="110"/>
      <c r="C471" s="39" t="s">
        <v>713</v>
      </c>
      <c r="D471" s="39"/>
      <c r="E471" t="s">
        <v>214</v>
      </c>
    </row>
    <row r="472" spans="1:5" x14ac:dyDescent="0.2">
      <c r="A472" s="103"/>
      <c r="B472" s="110"/>
      <c r="C472" s="39" t="s">
        <v>714</v>
      </c>
      <c r="D472" s="39"/>
      <c r="E472" t="s">
        <v>214</v>
      </c>
    </row>
    <row r="473" spans="1:5" x14ac:dyDescent="0.2">
      <c r="A473" s="103"/>
      <c r="B473" s="110"/>
      <c r="C473" s="39" t="s">
        <v>715</v>
      </c>
      <c r="D473" s="39"/>
      <c r="E473" t="s">
        <v>214</v>
      </c>
    </row>
    <row r="474" spans="1:5" x14ac:dyDescent="0.2">
      <c r="A474" s="103"/>
      <c r="B474" s="110"/>
      <c r="C474" s="39" t="s">
        <v>716</v>
      </c>
      <c r="D474" s="39"/>
      <c r="E474" t="s">
        <v>214</v>
      </c>
    </row>
    <row r="475" spans="1:5" x14ac:dyDescent="0.2">
      <c r="A475" s="103"/>
      <c r="B475" s="110"/>
      <c r="C475" s="39" t="s">
        <v>717</v>
      </c>
      <c r="D475" s="39"/>
      <c r="E475" t="s">
        <v>214</v>
      </c>
    </row>
    <row r="476" spans="1:5" x14ac:dyDescent="0.2">
      <c r="A476" s="103"/>
      <c r="B476" s="110"/>
      <c r="C476" s="39" t="s">
        <v>718</v>
      </c>
      <c r="D476" s="39"/>
      <c r="E476" t="s">
        <v>214</v>
      </c>
    </row>
    <row r="477" spans="1:5" x14ac:dyDescent="0.2">
      <c r="A477" s="103"/>
      <c r="B477" s="110"/>
      <c r="C477" s="39" t="s">
        <v>719</v>
      </c>
      <c r="D477" s="39"/>
      <c r="E477" t="s">
        <v>214</v>
      </c>
    </row>
    <row r="478" spans="1:5" x14ac:dyDescent="0.2">
      <c r="A478" s="103"/>
      <c r="B478" s="110"/>
      <c r="C478" s="39" t="s">
        <v>720</v>
      </c>
      <c r="D478" s="39"/>
      <c r="E478" t="s">
        <v>214</v>
      </c>
    </row>
    <row r="479" spans="1:5" x14ac:dyDescent="0.2">
      <c r="A479" s="103"/>
      <c r="B479" s="110"/>
      <c r="C479" s="39" t="s">
        <v>721</v>
      </c>
      <c r="D479" s="39"/>
      <c r="E479" t="s">
        <v>214</v>
      </c>
    </row>
    <row r="480" spans="1:5" x14ac:dyDescent="0.2">
      <c r="A480" s="103"/>
      <c r="B480" s="110"/>
      <c r="C480" s="39" t="s">
        <v>722</v>
      </c>
      <c r="D480" s="39"/>
      <c r="E480" t="s">
        <v>214</v>
      </c>
    </row>
    <row r="481" spans="1:5" x14ac:dyDescent="0.2">
      <c r="A481" s="103"/>
      <c r="B481" s="110"/>
      <c r="C481" s="39" t="s">
        <v>723</v>
      </c>
      <c r="D481" s="39"/>
      <c r="E481" t="s">
        <v>214</v>
      </c>
    </row>
    <row r="482" spans="1:5" x14ac:dyDescent="0.2">
      <c r="A482" s="103"/>
      <c r="B482" s="110"/>
      <c r="C482" s="39" t="s">
        <v>724</v>
      </c>
      <c r="D482" s="39"/>
      <c r="E482" t="s">
        <v>214</v>
      </c>
    </row>
    <row r="483" spans="1:5" x14ac:dyDescent="0.2">
      <c r="A483" s="103"/>
      <c r="B483" s="110"/>
      <c r="C483" s="39" t="s">
        <v>725</v>
      </c>
      <c r="D483" s="39"/>
      <c r="E483" t="s">
        <v>214</v>
      </c>
    </row>
    <row r="484" spans="1:5" x14ac:dyDescent="0.2">
      <c r="A484" s="103"/>
      <c r="B484" s="110"/>
      <c r="C484" s="39" t="s">
        <v>726</v>
      </c>
      <c r="D484" s="39"/>
      <c r="E484" t="s">
        <v>214</v>
      </c>
    </row>
    <row r="485" spans="1:5" x14ac:dyDescent="0.2">
      <c r="A485" s="103"/>
      <c r="B485" s="110"/>
      <c r="C485" s="39" t="s">
        <v>727</v>
      </c>
      <c r="D485" s="39"/>
      <c r="E485" t="s">
        <v>214</v>
      </c>
    </row>
    <row r="486" spans="1:5" x14ac:dyDescent="0.2">
      <c r="A486" s="103"/>
      <c r="B486" s="110"/>
      <c r="C486" s="39" t="s">
        <v>728</v>
      </c>
      <c r="D486" s="39"/>
      <c r="E486" t="s">
        <v>214</v>
      </c>
    </row>
    <row r="487" spans="1:5" x14ac:dyDescent="0.2">
      <c r="A487" s="103"/>
      <c r="B487" s="110"/>
      <c r="C487" s="39" t="s">
        <v>729</v>
      </c>
      <c r="D487" s="39"/>
      <c r="E487" t="s">
        <v>214</v>
      </c>
    </row>
    <row r="488" spans="1:5" x14ac:dyDescent="0.2">
      <c r="A488" s="103"/>
      <c r="B488" s="110"/>
      <c r="C488" s="39" t="s">
        <v>730</v>
      </c>
      <c r="D488" s="39"/>
      <c r="E488" t="s">
        <v>214</v>
      </c>
    </row>
    <row r="489" spans="1:5" x14ac:dyDescent="0.2">
      <c r="A489" s="103"/>
      <c r="B489" s="110"/>
      <c r="C489" s="39" t="s">
        <v>314</v>
      </c>
      <c r="D489" s="39"/>
    </row>
    <row r="490" spans="1:5" x14ac:dyDescent="0.2">
      <c r="A490" s="103"/>
      <c r="B490" s="110"/>
      <c r="C490" s="39" t="s">
        <v>731</v>
      </c>
      <c r="D490" s="39"/>
    </row>
    <row r="491" spans="1:5" x14ac:dyDescent="0.2">
      <c r="A491" s="103"/>
      <c r="B491" s="110"/>
      <c r="C491" s="39" t="s">
        <v>732</v>
      </c>
      <c r="D491" s="39"/>
    </row>
    <row r="492" spans="1:5" x14ac:dyDescent="0.2">
      <c r="A492" s="103"/>
      <c r="B492" s="110"/>
      <c r="C492" s="39" t="s">
        <v>733</v>
      </c>
      <c r="D492" s="39"/>
    </row>
    <row r="493" spans="1:5" x14ac:dyDescent="0.2">
      <c r="A493" s="103"/>
      <c r="B493" s="110"/>
      <c r="C493" s="39" t="s">
        <v>734</v>
      </c>
      <c r="D493" s="39"/>
    </row>
    <row r="494" spans="1:5" x14ac:dyDescent="0.2">
      <c r="A494" s="103"/>
      <c r="B494" s="110"/>
      <c r="C494" s="39" t="s">
        <v>735</v>
      </c>
      <c r="D494" s="39"/>
    </row>
    <row r="495" spans="1:5" x14ac:dyDescent="0.2">
      <c r="A495" s="103"/>
      <c r="B495" s="110"/>
      <c r="C495" s="39" t="s">
        <v>736</v>
      </c>
      <c r="D495" s="39"/>
    </row>
    <row r="496" spans="1:5" x14ac:dyDescent="0.2">
      <c r="A496" s="103"/>
      <c r="B496" s="110"/>
      <c r="C496" s="39" t="s">
        <v>737</v>
      </c>
      <c r="D496" s="39"/>
    </row>
    <row r="497" spans="1:4" x14ac:dyDescent="0.2">
      <c r="A497" s="103"/>
      <c r="B497" s="110"/>
      <c r="C497" s="39" t="s">
        <v>738</v>
      </c>
      <c r="D497" s="39"/>
    </row>
    <row r="498" spans="1:4" x14ac:dyDescent="0.2">
      <c r="A498" s="105"/>
      <c r="B498" s="111"/>
      <c r="C498" s="39" t="s">
        <v>569</v>
      </c>
      <c r="D498" s="39"/>
    </row>
    <row r="499" spans="1:4" x14ac:dyDescent="0.2">
      <c r="A499" s="107"/>
      <c r="B499" s="112" t="s">
        <v>739</v>
      </c>
      <c r="C499" s="37" t="s">
        <v>440</v>
      </c>
      <c r="D499" s="37"/>
    </row>
    <row r="500" spans="1:4" x14ac:dyDescent="0.2">
      <c r="A500" s="108"/>
      <c r="B500" s="112"/>
      <c r="C500" s="37" t="s">
        <v>740</v>
      </c>
      <c r="D500" s="37"/>
    </row>
    <row r="501" spans="1:4" x14ac:dyDescent="0.2">
      <c r="A501" s="108"/>
      <c r="B501" s="112"/>
      <c r="C501" s="37" t="s">
        <v>741</v>
      </c>
      <c r="D501" s="37"/>
    </row>
    <row r="502" spans="1:4" x14ac:dyDescent="0.2">
      <c r="A502" s="108"/>
      <c r="B502" s="112"/>
      <c r="C502" s="37" t="s">
        <v>742</v>
      </c>
      <c r="D502" s="37"/>
    </row>
    <row r="503" spans="1:4" x14ac:dyDescent="0.2">
      <c r="A503" s="108"/>
      <c r="B503" s="112"/>
      <c r="C503" s="37" t="s">
        <v>743</v>
      </c>
      <c r="D503" s="37"/>
    </row>
    <row r="504" spans="1:4" x14ac:dyDescent="0.2">
      <c r="A504" s="108"/>
      <c r="B504" s="112"/>
      <c r="C504" s="37" t="s">
        <v>744</v>
      </c>
      <c r="D504" s="37"/>
    </row>
    <row r="505" spans="1:4" x14ac:dyDescent="0.2">
      <c r="A505" s="108"/>
      <c r="B505" s="112"/>
      <c r="C505" s="37" t="s">
        <v>745</v>
      </c>
      <c r="D505" s="37"/>
    </row>
    <row r="506" spans="1:4" x14ac:dyDescent="0.2">
      <c r="A506" s="108"/>
      <c r="B506" s="112"/>
      <c r="C506" s="37" t="s">
        <v>746</v>
      </c>
      <c r="D506" s="37"/>
    </row>
    <row r="507" spans="1:4" x14ac:dyDescent="0.2">
      <c r="A507" s="108"/>
      <c r="B507" s="112"/>
      <c r="C507" s="37" t="s">
        <v>747</v>
      </c>
      <c r="D507" s="37"/>
    </row>
    <row r="508" spans="1:4" x14ac:dyDescent="0.2">
      <c r="A508" s="108"/>
      <c r="B508" s="112"/>
      <c r="C508" s="37" t="s">
        <v>748</v>
      </c>
      <c r="D508" s="37"/>
    </row>
    <row r="509" spans="1:4" x14ac:dyDescent="0.2">
      <c r="A509" s="108"/>
      <c r="B509" s="112"/>
      <c r="C509" s="37" t="s">
        <v>749</v>
      </c>
      <c r="D509" s="37"/>
    </row>
    <row r="510" spans="1:4" x14ac:dyDescent="0.2">
      <c r="A510" s="108"/>
      <c r="B510" s="112"/>
      <c r="C510" s="37" t="s">
        <v>750</v>
      </c>
      <c r="D510" s="37"/>
    </row>
    <row r="511" spans="1:4" x14ac:dyDescent="0.2">
      <c r="A511" s="108"/>
      <c r="B511" s="112"/>
      <c r="C511" s="37" t="s">
        <v>751</v>
      </c>
      <c r="D511" s="37"/>
    </row>
    <row r="512" spans="1:4" x14ac:dyDescent="0.2">
      <c r="A512" s="108"/>
      <c r="B512" s="112"/>
      <c r="C512" s="37" t="s">
        <v>485</v>
      </c>
      <c r="D512" s="37"/>
    </row>
    <row r="513" spans="1:4" x14ac:dyDescent="0.2">
      <c r="A513" s="108"/>
      <c r="B513" s="112"/>
      <c r="C513" s="37" t="s">
        <v>314</v>
      </c>
      <c r="D513" s="37"/>
    </row>
    <row r="514" spans="1:4" x14ac:dyDescent="0.2">
      <c r="A514" s="103"/>
      <c r="B514" s="48" t="s">
        <v>752</v>
      </c>
      <c r="C514" s="39" t="s">
        <v>338</v>
      </c>
      <c r="D514" s="39"/>
    </row>
    <row r="515" spans="1:4" x14ac:dyDescent="0.2">
      <c r="A515" s="105"/>
      <c r="B515" s="50"/>
      <c r="C515" s="39" t="s">
        <v>339</v>
      </c>
      <c r="D515" s="39"/>
    </row>
    <row r="516" spans="1:4" x14ac:dyDescent="0.2">
      <c r="A516" s="108"/>
      <c r="B516" s="112" t="s">
        <v>98</v>
      </c>
      <c r="C516" s="37" t="s">
        <v>753</v>
      </c>
      <c r="D516" s="37"/>
    </row>
    <row r="517" spans="1:4" x14ac:dyDescent="0.2">
      <c r="A517" s="108"/>
      <c r="B517" s="112"/>
      <c r="C517" s="37" t="s">
        <v>754</v>
      </c>
      <c r="D517" s="37"/>
    </row>
    <row r="518" spans="1:4" x14ac:dyDescent="0.2">
      <c r="A518" s="108"/>
      <c r="B518" s="112"/>
      <c r="C518" s="37" t="s">
        <v>755</v>
      </c>
      <c r="D518" s="37"/>
    </row>
    <row r="519" spans="1:4" x14ac:dyDescent="0.2">
      <c r="A519" s="108"/>
      <c r="B519" s="112"/>
      <c r="C519" s="37" t="s">
        <v>756</v>
      </c>
      <c r="D519" s="37"/>
    </row>
    <row r="520" spans="1:4" x14ac:dyDescent="0.2">
      <c r="A520" s="84"/>
      <c r="B520" s="48" t="s">
        <v>161</v>
      </c>
      <c r="C520" s="39" t="s">
        <v>757</v>
      </c>
      <c r="D520" s="39"/>
    </row>
    <row r="521" spans="1:4" x14ac:dyDescent="0.2">
      <c r="A521" s="57"/>
      <c r="B521" s="49"/>
      <c r="C521" s="39" t="s">
        <v>758</v>
      </c>
      <c r="D521" s="39"/>
    </row>
    <row r="522" spans="1:4" x14ac:dyDescent="0.2">
      <c r="A522" s="57"/>
      <c r="B522" s="49"/>
      <c r="C522" s="39" t="s">
        <v>759</v>
      </c>
      <c r="D522" s="39"/>
    </row>
    <row r="523" spans="1:4" x14ac:dyDescent="0.2">
      <c r="A523" s="57"/>
      <c r="B523" s="49"/>
      <c r="C523" s="39" t="s">
        <v>760</v>
      </c>
      <c r="D523" s="39"/>
    </row>
    <row r="524" spans="1:4" x14ac:dyDescent="0.2">
      <c r="A524" s="57"/>
      <c r="B524" s="49"/>
      <c r="C524" s="39" t="s">
        <v>761</v>
      </c>
      <c r="D524" s="39"/>
    </row>
    <row r="525" spans="1:4" x14ac:dyDescent="0.2">
      <c r="A525" s="57"/>
      <c r="B525" s="49"/>
      <c r="C525" s="39" t="s">
        <v>762</v>
      </c>
      <c r="D525" s="39"/>
    </row>
    <row r="526" spans="1:4" x14ac:dyDescent="0.2">
      <c r="A526" s="57"/>
      <c r="B526" s="49"/>
      <c r="C526" s="39" t="s">
        <v>763</v>
      </c>
      <c r="D526" s="39"/>
    </row>
    <row r="527" spans="1:4" x14ac:dyDescent="0.2">
      <c r="A527" s="57"/>
      <c r="B527" s="49"/>
      <c r="C527" s="39" t="s">
        <v>764</v>
      </c>
      <c r="D527" s="39"/>
    </row>
    <row r="528" spans="1:4" x14ac:dyDescent="0.2">
      <c r="A528" s="57"/>
      <c r="B528" s="49"/>
      <c r="C528" s="39" t="s">
        <v>765</v>
      </c>
      <c r="D528" s="39"/>
    </row>
    <row r="529" spans="1:4" x14ac:dyDescent="0.2">
      <c r="A529" s="57"/>
      <c r="B529" s="49"/>
      <c r="C529" s="39" t="s">
        <v>748</v>
      </c>
      <c r="D529" s="39"/>
    </row>
    <row r="530" spans="1:4" x14ac:dyDescent="0.2">
      <c r="A530" s="98"/>
      <c r="B530" s="49"/>
      <c r="C530" s="39" t="s">
        <v>766</v>
      </c>
      <c r="D530" s="39"/>
    </row>
    <row r="531" spans="1:4" ht="15" x14ac:dyDescent="0.25">
      <c r="A531" s="57"/>
      <c r="B531" s="49"/>
      <c r="C531" s="39" t="s">
        <v>767</v>
      </c>
      <c r="D531" s="39" t="s">
        <v>768</v>
      </c>
    </row>
    <row r="532" spans="1:4" ht="15" x14ac:dyDescent="0.25">
      <c r="A532" s="57"/>
      <c r="B532" s="49"/>
      <c r="C532" s="39" t="s">
        <v>769</v>
      </c>
      <c r="D532" s="39" t="s">
        <v>768</v>
      </c>
    </row>
    <row r="533" spans="1:4" ht="15" x14ac:dyDescent="0.25">
      <c r="A533" s="57"/>
      <c r="B533" s="49"/>
      <c r="C533" s="39" t="s">
        <v>770</v>
      </c>
      <c r="D533" s="39" t="s">
        <v>768</v>
      </c>
    </row>
    <row r="534" spans="1:4" x14ac:dyDescent="0.2">
      <c r="A534" s="57"/>
      <c r="B534" s="49"/>
      <c r="C534" s="39" t="s">
        <v>771</v>
      </c>
      <c r="D534" s="39"/>
    </row>
    <row r="535" spans="1:4" x14ac:dyDescent="0.2">
      <c r="A535" s="57"/>
      <c r="B535" s="49"/>
      <c r="C535" s="39" t="s">
        <v>772</v>
      </c>
      <c r="D535" s="39"/>
    </row>
    <row r="536" spans="1:4" x14ac:dyDescent="0.2">
      <c r="A536" s="57"/>
      <c r="B536" s="49"/>
      <c r="C536" s="39" t="s">
        <v>36</v>
      </c>
      <c r="D536" s="39"/>
    </row>
    <row r="537" spans="1:4" x14ac:dyDescent="0.2">
      <c r="A537" s="57"/>
      <c r="B537" s="49"/>
      <c r="C537" s="39" t="s">
        <v>773</v>
      </c>
      <c r="D537" s="39"/>
    </row>
    <row r="538" spans="1:4" x14ac:dyDescent="0.2">
      <c r="A538" s="57"/>
      <c r="B538" s="49"/>
      <c r="C538" s="39" t="s">
        <v>774</v>
      </c>
      <c r="D538" s="39"/>
    </row>
    <row r="539" spans="1:4" x14ac:dyDescent="0.2">
      <c r="A539" s="57"/>
      <c r="B539" s="49"/>
      <c r="C539" s="39" t="s">
        <v>775</v>
      </c>
      <c r="D539" s="39"/>
    </row>
    <row r="540" spans="1:4" x14ac:dyDescent="0.2">
      <c r="A540" s="57"/>
      <c r="B540" s="49"/>
      <c r="C540" s="39" t="s">
        <v>776</v>
      </c>
      <c r="D540" s="39"/>
    </row>
    <row r="541" spans="1:4" x14ac:dyDescent="0.2">
      <c r="A541" s="57"/>
      <c r="B541" s="49"/>
      <c r="C541" s="39" t="s">
        <v>777</v>
      </c>
      <c r="D541" s="39"/>
    </row>
    <row r="542" spans="1:4" x14ac:dyDescent="0.2">
      <c r="A542" s="57"/>
      <c r="B542" s="49"/>
      <c r="C542" s="39" t="s">
        <v>485</v>
      </c>
      <c r="D542" s="39"/>
    </row>
    <row r="543" spans="1:4" x14ac:dyDescent="0.2">
      <c r="A543" s="57"/>
      <c r="B543" s="49"/>
      <c r="C543" s="39" t="s">
        <v>314</v>
      </c>
      <c r="D543" s="40"/>
    </row>
    <row r="544" spans="1:4" x14ac:dyDescent="0.2">
      <c r="A544" s="60"/>
      <c r="B544" s="41" t="s">
        <v>165</v>
      </c>
      <c r="C544" s="37" t="s">
        <v>338</v>
      </c>
      <c r="D544" s="37"/>
    </row>
    <row r="545" spans="1:4" x14ac:dyDescent="0.2">
      <c r="A545" s="61"/>
      <c r="B545" s="85"/>
      <c r="C545" s="37" t="s">
        <v>339</v>
      </c>
      <c r="D545" s="37"/>
    </row>
    <row r="546" spans="1:4" x14ac:dyDescent="0.2">
      <c r="A546" s="57"/>
      <c r="B546" s="48" t="s">
        <v>166</v>
      </c>
      <c r="C546" s="39" t="s">
        <v>778</v>
      </c>
      <c r="D546" s="39"/>
    </row>
    <row r="547" spans="1:4" x14ac:dyDescent="0.2">
      <c r="A547" s="57"/>
      <c r="B547" s="49"/>
      <c r="C547" s="39" t="s">
        <v>779</v>
      </c>
      <c r="D547" s="39"/>
    </row>
    <row r="548" spans="1:4" x14ac:dyDescent="0.2">
      <c r="A548" s="57"/>
      <c r="B548" s="49"/>
      <c r="C548" s="39" t="s">
        <v>780</v>
      </c>
      <c r="D548" s="39"/>
    </row>
    <row r="549" spans="1:4" x14ac:dyDescent="0.2">
      <c r="A549" s="57"/>
      <c r="B549" s="49"/>
      <c r="C549" s="39" t="s">
        <v>781</v>
      </c>
      <c r="D549" s="39"/>
    </row>
    <row r="550" spans="1:4" x14ac:dyDescent="0.2">
      <c r="A550" s="57"/>
      <c r="B550" s="49"/>
      <c r="C550" s="39" t="s">
        <v>782</v>
      </c>
      <c r="D550" s="39"/>
    </row>
    <row r="551" spans="1:4" x14ac:dyDescent="0.2">
      <c r="A551" s="60"/>
      <c r="B551" s="41" t="s">
        <v>168</v>
      </c>
      <c r="C551" s="37" t="s">
        <v>338</v>
      </c>
      <c r="D551" s="37"/>
    </row>
    <row r="552" spans="1:4" x14ac:dyDescent="0.2">
      <c r="A552" s="61"/>
      <c r="B552" s="85"/>
      <c r="C552" s="37" t="s">
        <v>339</v>
      </c>
      <c r="D552" s="37"/>
    </row>
    <row r="553" spans="1:4" x14ac:dyDescent="0.2">
      <c r="A553" s="45"/>
      <c r="B553" s="48" t="s">
        <v>783</v>
      </c>
      <c r="C553" s="39" t="s">
        <v>784</v>
      </c>
      <c r="D553" s="39"/>
    </row>
    <row r="554" spans="1:4" x14ac:dyDescent="0.2">
      <c r="A554" s="46"/>
      <c r="B554" s="46"/>
      <c r="C554" s="39" t="s">
        <v>785</v>
      </c>
      <c r="D554" s="39"/>
    </row>
    <row r="555" spans="1:4" x14ac:dyDescent="0.2">
      <c r="A555" s="46"/>
      <c r="B555" s="46"/>
      <c r="C555" s="39" t="s">
        <v>786</v>
      </c>
      <c r="D555" s="39"/>
    </row>
    <row r="556" spans="1:4" x14ac:dyDescent="0.2">
      <c r="A556" s="46"/>
      <c r="B556" s="46"/>
      <c r="C556" s="39" t="s">
        <v>787</v>
      </c>
      <c r="D556" s="39"/>
    </row>
    <row r="557" spans="1:4" x14ac:dyDescent="0.2">
      <c r="A557" s="46"/>
      <c r="B557" s="46"/>
      <c r="C557" s="39" t="s">
        <v>788</v>
      </c>
      <c r="D557" s="39"/>
    </row>
    <row r="558" spans="1:4" x14ac:dyDescent="0.2">
      <c r="A558" s="46"/>
      <c r="B558" s="46"/>
      <c r="C558" s="39" t="s">
        <v>789</v>
      </c>
      <c r="D558" s="39"/>
    </row>
    <row r="559" spans="1:4" x14ac:dyDescent="0.2">
      <c r="A559" s="46"/>
      <c r="B559" s="46"/>
      <c r="C559" s="39" t="s">
        <v>790</v>
      </c>
      <c r="D559" s="39"/>
    </row>
    <row r="560" spans="1:4" x14ac:dyDescent="0.2">
      <c r="A560" s="46"/>
      <c r="B560" s="46"/>
      <c r="C560" s="39" t="s">
        <v>791</v>
      </c>
      <c r="D560" s="39"/>
    </row>
    <row r="561" spans="1:4" x14ac:dyDescent="0.2">
      <c r="A561" s="46"/>
      <c r="B561" s="46"/>
      <c r="C561" s="39" t="s">
        <v>792</v>
      </c>
      <c r="D561" s="39"/>
    </row>
    <row r="562" spans="1:4" x14ac:dyDescent="0.2">
      <c r="A562" s="46"/>
      <c r="B562" s="46"/>
      <c r="C562" s="39" t="s">
        <v>793</v>
      </c>
      <c r="D562" s="39"/>
    </row>
    <row r="563" spans="1:4" x14ac:dyDescent="0.2">
      <c r="A563" s="46"/>
      <c r="B563" s="46"/>
      <c r="C563" s="39" t="s">
        <v>794</v>
      </c>
      <c r="D563" s="39"/>
    </row>
    <row r="564" spans="1:4" x14ac:dyDescent="0.2">
      <c r="A564" s="46"/>
      <c r="B564" s="46"/>
      <c r="C564" s="39" t="s">
        <v>795</v>
      </c>
      <c r="D564" s="39"/>
    </row>
    <row r="565" spans="1:4" x14ac:dyDescent="0.2">
      <c r="A565" s="46"/>
      <c r="B565" s="46"/>
      <c r="C565" s="39" t="s">
        <v>796</v>
      </c>
      <c r="D565" s="39"/>
    </row>
    <row r="566" spans="1:4" x14ac:dyDescent="0.2">
      <c r="A566" s="46"/>
      <c r="B566" s="46"/>
      <c r="C566" s="39" t="s">
        <v>797</v>
      </c>
      <c r="D566" s="39"/>
    </row>
    <row r="567" spans="1:4" x14ac:dyDescent="0.2">
      <c r="A567" s="46"/>
      <c r="B567" s="46"/>
      <c r="C567" s="39" t="s">
        <v>798</v>
      </c>
      <c r="D567" s="39"/>
    </row>
    <row r="568" spans="1:4" x14ac:dyDescent="0.2">
      <c r="A568" s="46"/>
      <c r="B568" s="46"/>
      <c r="C568" s="39" t="s">
        <v>799</v>
      </c>
      <c r="D568" s="39"/>
    </row>
    <row r="569" spans="1:4" x14ac:dyDescent="0.2">
      <c r="A569" s="46"/>
      <c r="B569" s="46"/>
      <c r="C569" s="39" t="s">
        <v>800</v>
      </c>
      <c r="D569" s="39"/>
    </row>
    <row r="570" spans="1:4" x14ac:dyDescent="0.2">
      <c r="A570" s="46"/>
      <c r="B570" s="46"/>
      <c r="C570" s="39" t="s">
        <v>801</v>
      </c>
      <c r="D570" s="39"/>
    </row>
    <row r="571" spans="1:4" x14ac:dyDescent="0.2">
      <c r="A571" s="46"/>
      <c r="B571" s="46"/>
      <c r="C571" s="39" t="s">
        <v>802</v>
      </c>
      <c r="D571" s="39"/>
    </row>
    <row r="572" spans="1:4" x14ac:dyDescent="0.2">
      <c r="A572" s="46"/>
      <c r="B572" s="46"/>
      <c r="C572" s="39" t="s">
        <v>803</v>
      </c>
      <c r="D572" s="39"/>
    </row>
    <row r="573" spans="1:4" x14ac:dyDescent="0.2">
      <c r="A573" s="46"/>
      <c r="B573" s="46"/>
      <c r="C573" s="39" t="s">
        <v>804</v>
      </c>
      <c r="D573" s="39"/>
    </row>
    <row r="574" spans="1:4" x14ac:dyDescent="0.2">
      <c r="A574" s="46"/>
      <c r="B574" s="46"/>
      <c r="C574" s="39" t="s">
        <v>805</v>
      </c>
      <c r="D574" s="39"/>
    </row>
    <row r="575" spans="1:4" x14ac:dyDescent="0.2">
      <c r="A575" s="46"/>
      <c r="B575" s="46"/>
      <c r="C575" s="39" t="s">
        <v>806</v>
      </c>
      <c r="D575" s="39"/>
    </row>
    <row r="576" spans="1:4" x14ac:dyDescent="0.2">
      <c r="A576" s="46"/>
      <c r="B576" s="46"/>
      <c r="C576" s="39" t="s">
        <v>807</v>
      </c>
      <c r="D576" s="39"/>
    </row>
    <row r="577" spans="1:5" x14ac:dyDescent="0.2">
      <c r="A577" s="46"/>
      <c r="B577" s="46"/>
      <c r="C577" s="39" t="s">
        <v>808</v>
      </c>
      <c r="D577" s="39"/>
    </row>
    <row r="578" spans="1:5" x14ac:dyDescent="0.2">
      <c r="A578" s="46"/>
      <c r="B578" s="46"/>
      <c r="C578" s="39" t="s">
        <v>809</v>
      </c>
      <c r="D578" s="39"/>
    </row>
    <row r="579" spans="1:5" x14ac:dyDescent="0.2">
      <c r="A579" s="46"/>
      <c r="B579" s="46"/>
      <c r="C579" s="39" t="s">
        <v>810</v>
      </c>
      <c r="D579" s="39"/>
    </row>
    <row r="580" spans="1:5" x14ac:dyDescent="0.2">
      <c r="A580" s="46"/>
      <c r="B580" s="46"/>
      <c r="C580" s="39" t="s">
        <v>811</v>
      </c>
      <c r="D580" s="39"/>
      <c r="E580" t="s">
        <v>214</v>
      </c>
    </row>
    <row r="581" spans="1:5" x14ac:dyDescent="0.2">
      <c r="A581" s="46"/>
      <c r="B581" s="46"/>
      <c r="C581" s="39" t="s">
        <v>812</v>
      </c>
      <c r="D581" s="39"/>
      <c r="E581" t="s">
        <v>214</v>
      </c>
    </row>
    <row r="582" spans="1:5" x14ac:dyDescent="0.2">
      <c r="A582" s="46"/>
      <c r="B582" s="46"/>
      <c r="C582" s="39" t="s">
        <v>813</v>
      </c>
      <c r="D582" s="39"/>
    </row>
    <row r="583" spans="1:5" x14ac:dyDescent="0.2">
      <c r="A583" s="46"/>
      <c r="B583" s="46"/>
      <c r="C583" s="39" t="s">
        <v>814</v>
      </c>
      <c r="D583" s="39"/>
    </row>
    <row r="584" spans="1:5" x14ac:dyDescent="0.2">
      <c r="A584" s="46"/>
      <c r="B584" s="46"/>
      <c r="C584" s="39" t="s">
        <v>815</v>
      </c>
      <c r="D584" s="39"/>
    </row>
    <row r="585" spans="1:5" x14ac:dyDescent="0.2">
      <c r="A585" s="46"/>
      <c r="B585" s="46"/>
      <c r="C585" s="39" t="s">
        <v>816</v>
      </c>
      <c r="D585" s="39"/>
    </row>
    <row r="586" spans="1:5" x14ac:dyDescent="0.2">
      <c r="A586" s="46"/>
      <c r="B586" s="46"/>
      <c r="C586" s="39" t="s">
        <v>817</v>
      </c>
      <c r="D586" s="39"/>
    </row>
    <row r="587" spans="1:5" x14ac:dyDescent="0.2">
      <c r="A587" s="46"/>
      <c r="B587" s="46"/>
      <c r="C587" s="39" t="s">
        <v>818</v>
      </c>
      <c r="D587" s="39"/>
    </row>
    <row r="588" spans="1:5" x14ac:dyDescent="0.2">
      <c r="A588" s="46"/>
      <c r="B588" s="46"/>
      <c r="C588" s="39" t="s">
        <v>819</v>
      </c>
      <c r="D588" s="39"/>
    </row>
    <row r="589" spans="1:5" x14ac:dyDescent="0.2">
      <c r="A589" s="46"/>
      <c r="B589" s="46"/>
      <c r="C589" s="39" t="s">
        <v>820</v>
      </c>
      <c r="D589" s="39"/>
    </row>
    <row r="590" spans="1:5" x14ac:dyDescent="0.2">
      <c r="A590" s="46"/>
      <c r="B590" s="46"/>
      <c r="C590" s="39" t="s">
        <v>821</v>
      </c>
      <c r="D590" s="39"/>
    </row>
    <row r="591" spans="1:5" x14ac:dyDescent="0.2">
      <c r="A591" s="47"/>
      <c r="B591" s="47"/>
      <c r="C591" s="39" t="s">
        <v>822</v>
      </c>
      <c r="D591" s="39"/>
    </row>
    <row r="592" spans="1:5" x14ac:dyDescent="0.2">
      <c r="A592" s="108"/>
      <c r="B592" s="112" t="s">
        <v>159</v>
      </c>
      <c r="C592" s="37" t="s">
        <v>823</v>
      </c>
      <c r="D592" s="37"/>
    </row>
    <row r="593" spans="1:4" x14ac:dyDescent="0.2">
      <c r="A593" s="108"/>
      <c r="B593" s="112"/>
      <c r="C593" s="37" t="s">
        <v>824</v>
      </c>
      <c r="D593" s="37"/>
    </row>
    <row r="594" spans="1:4" x14ac:dyDescent="0.2">
      <c r="A594" s="108"/>
      <c r="B594" s="112"/>
      <c r="C594" s="37" t="s">
        <v>314</v>
      </c>
      <c r="D594" s="37"/>
    </row>
    <row r="595" spans="1:4" x14ac:dyDescent="0.2">
      <c r="A595" s="48"/>
      <c r="B595" s="51" t="s">
        <v>87</v>
      </c>
      <c r="C595" s="39" t="s">
        <v>338</v>
      </c>
      <c r="D595" s="39"/>
    </row>
    <row r="596" spans="1:4" x14ac:dyDescent="0.2">
      <c r="A596" s="86"/>
      <c r="B596" s="88"/>
      <c r="C596" s="87" t="s">
        <v>339</v>
      </c>
      <c r="D596" s="39"/>
    </row>
    <row r="597" spans="1:4" x14ac:dyDescent="0.2">
      <c r="A597" s="107"/>
      <c r="B597" s="107" t="s">
        <v>114</v>
      </c>
      <c r="C597" s="37" t="s">
        <v>825</v>
      </c>
      <c r="D597" s="37"/>
    </row>
    <row r="598" spans="1:4" x14ac:dyDescent="0.2">
      <c r="A598" s="108"/>
      <c r="B598" s="108"/>
      <c r="C598" s="37" t="s">
        <v>826</v>
      </c>
      <c r="D598" s="37"/>
    </row>
    <row r="599" spans="1:4" x14ac:dyDescent="0.2">
      <c r="A599" s="108"/>
      <c r="B599" s="108"/>
      <c r="C599" s="37" t="s">
        <v>827</v>
      </c>
      <c r="D599" s="37"/>
    </row>
    <row r="600" spans="1:4" x14ac:dyDescent="0.2">
      <c r="A600" s="108"/>
      <c r="B600" s="108"/>
      <c r="C600" s="37" t="s">
        <v>828</v>
      </c>
      <c r="D600" s="37"/>
    </row>
    <row r="601" spans="1:4" x14ac:dyDescent="0.2">
      <c r="A601" s="108"/>
      <c r="B601" s="108"/>
      <c r="C601" s="37" t="s">
        <v>829</v>
      </c>
      <c r="D601" s="37"/>
    </row>
    <row r="602" spans="1:4" x14ac:dyDescent="0.2">
      <c r="A602" s="108"/>
      <c r="B602" s="108"/>
      <c r="C602" s="37" t="s">
        <v>830</v>
      </c>
      <c r="D602" s="37"/>
    </row>
    <row r="603" spans="1:4" x14ac:dyDescent="0.2">
      <c r="A603" s="108"/>
      <c r="B603" s="108"/>
      <c r="C603" s="37" t="s">
        <v>831</v>
      </c>
      <c r="D603" s="37"/>
    </row>
    <row r="604" spans="1:4" x14ac:dyDescent="0.2">
      <c r="A604" s="108"/>
      <c r="B604" s="108"/>
      <c r="C604" s="37" t="s">
        <v>832</v>
      </c>
      <c r="D604" s="37"/>
    </row>
    <row r="605" spans="1:4" x14ac:dyDescent="0.2">
      <c r="A605" s="108"/>
      <c r="B605" s="108"/>
      <c r="C605" s="37" t="s">
        <v>833</v>
      </c>
      <c r="D605" s="37"/>
    </row>
    <row r="606" spans="1:4" x14ac:dyDescent="0.2">
      <c r="A606" s="108"/>
      <c r="B606" s="108"/>
      <c r="C606" s="37" t="s">
        <v>834</v>
      </c>
      <c r="D606" s="37"/>
    </row>
    <row r="607" spans="1:4" x14ac:dyDescent="0.2">
      <c r="A607" s="108"/>
      <c r="B607" s="108"/>
      <c r="C607" s="37" t="s">
        <v>835</v>
      </c>
      <c r="D607" s="37"/>
    </row>
    <row r="608" spans="1:4" x14ac:dyDescent="0.2">
      <c r="A608" s="108"/>
      <c r="B608" s="108"/>
      <c r="C608" s="37" t="s">
        <v>836</v>
      </c>
      <c r="D608" s="37"/>
    </row>
    <row r="609" spans="1:5" x14ac:dyDescent="0.2">
      <c r="A609" s="108"/>
      <c r="B609" s="108"/>
      <c r="C609" s="37" t="s">
        <v>837</v>
      </c>
      <c r="D609" s="37"/>
    </row>
    <row r="610" spans="1:5" x14ac:dyDescent="0.2">
      <c r="A610" s="108"/>
      <c r="B610" s="108"/>
      <c r="C610" s="37" t="s">
        <v>838</v>
      </c>
      <c r="D610" s="37"/>
    </row>
    <row r="611" spans="1:5" x14ac:dyDescent="0.2">
      <c r="A611" s="108"/>
      <c r="B611" s="108"/>
      <c r="C611" s="37" t="s">
        <v>839</v>
      </c>
      <c r="D611" s="37"/>
    </row>
    <row r="612" spans="1:5" x14ac:dyDescent="0.2">
      <c r="A612" s="108"/>
      <c r="B612" s="108"/>
      <c r="C612" s="37" t="s">
        <v>840</v>
      </c>
      <c r="D612" s="37"/>
    </row>
    <row r="613" spans="1:5" x14ac:dyDescent="0.2">
      <c r="A613" s="108"/>
      <c r="B613" s="108"/>
      <c r="C613" s="37" t="s">
        <v>841</v>
      </c>
      <c r="D613" s="37"/>
    </row>
    <row r="614" spans="1:5" x14ac:dyDescent="0.2">
      <c r="A614" s="108"/>
      <c r="B614" s="108"/>
      <c r="C614" s="37" t="s">
        <v>842</v>
      </c>
      <c r="D614" s="37"/>
    </row>
    <row r="615" spans="1:5" x14ac:dyDescent="0.2">
      <c r="A615" s="108"/>
      <c r="B615" s="108"/>
      <c r="C615" s="37" t="s">
        <v>843</v>
      </c>
      <c r="D615" s="37"/>
    </row>
    <row r="616" spans="1:5" x14ac:dyDescent="0.2">
      <c r="A616" s="108"/>
      <c r="B616" s="108"/>
      <c r="C616" s="37" t="s">
        <v>844</v>
      </c>
      <c r="D616" s="37"/>
    </row>
    <row r="617" spans="1:5" x14ac:dyDescent="0.2">
      <c r="A617" s="108"/>
      <c r="B617" s="108"/>
      <c r="C617" s="37" t="s">
        <v>845</v>
      </c>
      <c r="D617" s="37"/>
    </row>
    <row r="618" spans="1:5" x14ac:dyDescent="0.2">
      <c r="A618" s="108"/>
      <c r="B618" s="108"/>
      <c r="C618" s="37" t="s">
        <v>846</v>
      </c>
      <c r="D618" s="37"/>
    </row>
    <row r="619" spans="1:5" x14ac:dyDescent="0.2">
      <c r="A619" s="108"/>
      <c r="B619" s="108"/>
      <c r="C619" s="37" t="s">
        <v>847</v>
      </c>
      <c r="D619" s="37"/>
    </row>
    <row r="620" spans="1:5" x14ac:dyDescent="0.2">
      <c r="A620" s="108"/>
      <c r="B620" s="108"/>
      <c r="C620" s="37" t="s">
        <v>569</v>
      </c>
      <c r="D620" s="37"/>
    </row>
    <row r="621" spans="1:5" x14ac:dyDescent="0.2">
      <c r="A621" s="108"/>
      <c r="B621" s="108"/>
      <c r="C621" s="37" t="s">
        <v>848</v>
      </c>
      <c r="D621" s="37"/>
      <c r="E621" t="s">
        <v>214</v>
      </c>
    </row>
    <row r="622" spans="1:5" x14ac:dyDescent="0.2">
      <c r="A622" s="48"/>
      <c r="B622" s="48" t="s">
        <v>177</v>
      </c>
      <c r="C622" s="39" t="s">
        <v>849</v>
      </c>
      <c r="D622" s="39"/>
    </row>
    <row r="623" spans="1:5" x14ac:dyDescent="0.2">
      <c r="A623" s="49"/>
      <c r="B623" s="49"/>
      <c r="C623" s="39" t="s">
        <v>850</v>
      </c>
      <c r="D623" s="39"/>
    </row>
    <row r="624" spans="1:5" x14ac:dyDescent="0.2">
      <c r="A624" s="49"/>
      <c r="B624" s="49"/>
      <c r="C624" s="39" t="s">
        <v>851</v>
      </c>
      <c r="D624" s="39"/>
    </row>
    <row r="625" spans="1:5" x14ac:dyDescent="0.2">
      <c r="A625" s="49"/>
      <c r="B625" s="49"/>
      <c r="C625" s="39" t="s">
        <v>852</v>
      </c>
      <c r="D625" s="39"/>
    </row>
    <row r="626" spans="1:5" x14ac:dyDescent="0.2">
      <c r="A626" s="49"/>
      <c r="B626" s="49"/>
      <c r="C626" s="39" t="s">
        <v>853</v>
      </c>
      <c r="D626" s="39"/>
      <c r="E626" t="s">
        <v>214</v>
      </c>
    </row>
    <row r="627" spans="1:5" x14ac:dyDescent="0.2">
      <c r="A627" s="49"/>
      <c r="B627" s="49"/>
      <c r="C627" s="39" t="s">
        <v>854</v>
      </c>
      <c r="D627" s="39"/>
    </row>
    <row r="628" spans="1:5" x14ac:dyDescent="0.2">
      <c r="A628" s="49"/>
      <c r="B628" s="49"/>
      <c r="C628" s="39" t="s">
        <v>855</v>
      </c>
      <c r="D628" s="39"/>
    </row>
    <row r="629" spans="1:5" x14ac:dyDescent="0.2">
      <c r="A629" s="49"/>
      <c r="B629" s="49"/>
      <c r="C629" s="39" t="s">
        <v>462</v>
      </c>
      <c r="D629" s="39"/>
    </row>
    <row r="630" spans="1:5" x14ac:dyDescent="0.2">
      <c r="A630" s="49"/>
      <c r="B630" s="49"/>
      <c r="C630" s="39" t="s">
        <v>856</v>
      </c>
      <c r="D630" s="39"/>
    </row>
    <row r="631" spans="1:5" x14ac:dyDescent="0.2">
      <c r="A631" s="49"/>
      <c r="B631" s="49"/>
      <c r="C631" s="39" t="s">
        <v>857</v>
      </c>
      <c r="D631" s="39"/>
    </row>
    <row r="632" spans="1:5" x14ac:dyDescent="0.2">
      <c r="A632" s="49"/>
      <c r="B632" s="49"/>
      <c r="C632" s="39" t="s">
        <v>858</v>
      </c>
      <c r="D632" s="39"/>
    </row>
    <row r="633" spans="1:5" x14ac:dyDescent="0.2">
      <c r="A633" s="50"/>
      <c r="B633" s="50"/>
      <c r="C633" s="39" t="s">
        <v>314</v>
      </c>
      <c r="D633" s="39"/>
    </row>
    <row r="634" spans="1:5" x14ac:dyDescent="0.2">
      <c r="A634" s="108"/>
      <c r="B634" s="112" t="s">
        <v>178</v>
      </c>
      <c r="C634" s="37" t="s">
        <v>859</v>
      </c>
      <c r="D634" s="37" t="s">
        <v>860</v>
      </c>
    </row>
    <row r="635" spans="1:5" x14ac:dyDescent="0.2">
      <c r="A635" s="108"/>
      <c r="B635" s="112"/>
      <c r="C635" s="37" t="s">
        <v>861</v>
      </c>
      <c r="D635" s="37" t="s">
        <v>862</v>
      </c>
    </row>
    <row r="636" spans="1:5" x14ac:dyDescent="0.2">
      <c r="A636" s="108"/>
      <c r="B636" s="112"/>
      <c r="C636" s="37" t="s">
        <v>863</v>
      </c>
      <c r="D636" s="37" t="s">
        <v>864</v>
      </c>
    </row>
    <row r="637" spans="1:5" x14ac:dyDescent="0.2">
      <c r="A637" s="108"/>
      <c r="B637" s="112"/>
      <c r="C637" s="37" t="s">
        <v>865</v>
      </c>
      <c r="D637" s="37" t="s">
        <v>866</v>
      </c>
    </row>
    <row r="638" spans="1:5" x14ac:dyDescent="0.2">
      <c r="A638" s="108"/>
      <c r="B638" s="112"/>
      <c r="C638" s="37" t="s">
        <v>867</v>
      </c>
      <c r="D638" s="37" t="s">
        <v>868</v>
      </c>
    </row>
    <row r="639" spans="1:5" x14ac:dyDescent="0.2">
      <c r="A639" s="108"/>
      <c r="B639" s="112"/>
      <c r="C639" s="37" t="s">
        <v>869</v>
      </c>
      <c r="D639" s="37" t="s">
        <v>870</v>
      </c>
    </row>
    <row r="640" spans="1:5" x14ac:dyDescent="0.2">
      <c r="A640" s="108"/>
      <c r="B640" s="112"/>
      <c r="C640" s="37" t="s">
        <v>871</v>
      </c>
      <c r="D640" s="37" t="s">
        <v>872</v>
      </c>
    </row>
    <row r="641" spans="1:4" x14ac:dyDescent="0.2">
      <c r="A641" s="108"/>
      <c r="B641" s="112"/>
      <c r="C641" s="37" t="s">
        <v>873</v>
      </c>
      <c r="D641" s="37" t="s">
        <v>873</v>
      </c>
    </row>
    <row r="642" spans="1:4" x14ac:dyDescent="0.2">
      <c r="A642" s="108"/>
      <c r="B642" s="112"/>
      <c r="C642" s="37" t="s">
        <v>314</v>
      </c>
      <c r="D642" s="37"/>
    </row>
    <row r="643" spans="1:4" x14ac:dyDescent="0.2">
      <c r="A643" s="109"/>
      <c r="B643" s="109" t="s">
        <v>874</v>
      </c>
      <c r="C643" s="39" t="s">
        <v>875</v>
      </c>
      <c r="D643" s="39" t="s">
        <v>876</v>
      </c>
    </row>
    <row r="644" spans="1:4" x14ac:dyDescent="0.2">
      <c r="A644" s="110"/>
      <c r="B644" s="110"/>
      <c r="C644" s="39" t="s">
        <v>877</v>
      </c>
      <c r="D644" s="39" t="s">
        <v>878</v>
      </c>
    </row>
    <row r="645" spans="1:4" x14ac:dyDescent="0.2">
      <c r="A645" s="110"/>
      <c r="B645" s="110"/>
      <c r="C645" s="39" t="s">
        <v>879</v>
      </c>
      <c r="D645" s="39" t="s">
        <v>880</v>
      </c>
    </row>
    <row r="646" spans="1:4" x14ac:dyDescent="0.2">
      <c r="A646" s="110"/>
      <c r="B646" s="110"/>
      <c r="C646" s="39" t="s">
        <v>881</v>
      </c>
      <c r="D646" s="39" t="s">
        <v>882</v>
      </c>
    </row>
    <row r="647" spans="1:4" x14ac:dyDescent="0.2">
      <c r="A647" s="110"/>
      <c r="B647" s="110"/>
      <c r="C647" s="39" t="s">
        <v>883</v>
      </c>
      <c r="D647" s="39"/>
    </row>
    <row r="648" spans="1:4" x14ac:dyDescent="0.2">
      <c r="A648" s="111"/>
      <c r="B648" s="111"/>
      <c r="C648" s="39" t="s">
        <v>314</v>
      </c>
      <c r="D648" s="39"/>
    </row>
    <row r="649" spans="1:4" x14ac:dyDescent="0.2">
      <c r="A649" s="108"/>
      <c r="B649" s="112" t="s">
        <v>103</v>
      </c>
      <c r="C649" s="37" t="s">
        <v>884</v>
      </c>
      <c r="D649" s="37"/>
    </row>
    <row r="650" spans="1:4" x14ac:dyDescent="0.2">
      <c r="A650" s="108"/>
      <c r="B650" s="112"/>
      <c r="C650" s="37" t="s">
        <v>885</v>
      </c>
      <c r="D650" s="37"/>
    </row>
    <row r="651" spans="1:4" x14ac:dyDescent="0.2">
      <c r="A651" s="108"/>
      <c r="B651" s="112"/>
      <c r="C651" s="37" t="s">
        <v>886</v>
      </c>
      <c r="D651" s="37"/>
    </row>
    <row r="652" spans="1:4" x14ac:dyDescent="0.2">
      <c r="A652" s="108"/>
      <c r="B652" s="112"/>
      <c r="C652" s="37" t="s">
        <v>887</v>
      </c>
      <c r="D652" s="37"/>
    </row>
    <row r="653" spans="1:4" x14ac:dyDescent="0.2">
      <c r="A653" s="108"/>
      <c r="B653" s="112"/>
      <c r="C653" s="37" t="s">
        <v>314</v>
      </c>
      <c r="D653" s="37"/>
    </row>
    <row r="654" spans="1:4" x14ac:dyDescent="0.2">
      <c r="A654" s="109"/>
      <c r="B654" s="109" t="s">
        <v>104</v>
      </c>
      <c r="C654" s="39" t="s">
        <v>888</v>
      </c>
      <c r="D654" s="39"/>
    </row>
    <row r="655" spans="1:4" x14ac:dyDescent="0.2">
      <c r="A655" s="110"/>
      <c r="B655" s="110"/>
      <c r="C655" s="39" t="s">
        <v>889</v>
      </c>
      <c r="D655" s="39"/>
    </row>
    <row r="656" spans="1:4" x14ac:dyDescent="0.2">
      <c r="A656" s="108"/>
      <c r="B656" s="112" t="s">
        <v>17</v>
      </c>
      <c r="C656" s="37" t="s">
        <v>15</v>
      </c>
      <c r="D656" s="37"/>
    </row>
    <row r="657" spans="1:6" x14ac:dyDescent="0.2">
      <c r="A657" s="108"/>
      <c r="B657" s="112"/>
      <c r="C657" s="37" t="s">
        <v>16</v>
      </c>
      <c r="D657" s="37"/>
    </row>
    <row r="658" spans="1:6" x14ac:dyDescent="0.2">
      <c r="A658" s="109"/>
      <c r="B658" s="109" t="s">
        <v>139</v>
      </c>
      <c r="C658" s="39" t="s">
        <v>890</v>
      </c>
      <c r="D658" s="39"/>
    </row>
    <row r="659" spans="1:6" x14ac:dyDescent="0.2">
      <c r="A659" s="110"/>
      <c r="B659" s="110"/>
      <c r="C659" s="39" t="s">
        <v>891</v>
      </c>
      <c r="D659" s="39"/>
    </row>
    <row r="660" spans="1:6" x14ac:dyDescent="0.2">
      <c r="A660" s="110"/>
      <c r="B660" s="110"/>
      <c r="C660" s="39" t="s">
        <v>892</v>
      </c>
      <c r="D660" s="39"/>
    </row>
    <row r="661" spans="1:6" x14ac:dyDescent="0.2">
      <c r="A661" s="110"/>
      <c r="B661" s="110"/>
      <c r="C661" s="39" t="s">
        <v>893</v>
      </c>
      <c r="D661" s="39"/>
    </row>
    <row r="662" spans="1:6" x14ac:dyDescent="0.2">
      <c r="A662" s="110"/>
      <c r="B662" s="110"/>
      <c r="C662" s="39" t="s">
        <v>894</v>
      </c>
      <c r="D662" s="39"/>
    </row>
    <row r="663" spans="1:6" x14ac:dyDescent="0.2">
      <c r="A663" s="110"/>
      <c r="B663" s="110"/>
      <c r="C663" s="39" t="s">
        <v>895</v>
      </c>
      <c r="D663" s="39"/>
    </row>
    <row r="664" spans="1:6" x14ac:dyDescent="0.2">
      <c r="A664" s="110"/>
      <c r="B664" s="110"/>
      <c r="C664" s="39" t="s">
        <v>314</v>
      </c>
      <c r="D664" s="39"/>
    </row>
    <row r="665" spans="1:6" x14ac:dyDescent="0.2">
      <c r="A665" s="111"/>
      <c r="B665" s="111"/>
      <c r="C665" s="39" t="s">
        <v>896</v>
      </c>
      <c r="D665" s="39"/>
    </row>
    <row r="666" spans="1:6" x14ac:dyDescent="0.2">
      <c r="A666" s="108"/>
      <c r="B666" s="112" t="s">
        <v>140</v>
      </c>
      <c r="C666" s="37" t="s">
        <v>897</v>
      </c>
      <c r="D666" s="37"/>
    </row>
    <row r="667" spans="1:6" x14ac:dyDescent="0.2">
      <c r="A667" s="108"/>
      <c r="B667" s="112"/>
      <c r="C667" s="37" t="s">
        <v>898</v>
      </c>
      <c r="D667" s="37"/>
      <c r="F667" s="7"/>
    </row>
    <row r="668" spans="1:6" x14ac:dyDescent="0.2">
      <c r="A668" s="109"/>
      <c r="B668" s="109" t="s">
        <v>85</v>
      </c>
      <c r="C668" s="39" t="s">
        <v>899</v>
      </c>
      <c r="D668" s="39"/>
    </row>
    <row r="669" spans="1:6" x14ac:dyDescent="0.2">
      <c r="A669" s="110"/>
      <c r="B669" s="110"/>
      <c r="C669" s="39" t="s">
        <v>900</v>
      </c>
      <c r="D669" s="39"/>
    </row>
    <row r="670" spans="1:6" x14ac:dyDescent="0.2">
      <c r="A670" s="110"/>
      <c r="B670" s="110"/>
      <c r="C670" s="39" t="s">
        <v>901</v>
      </c>
      <c r="D670" s="39"/>
    </row>
    <row r="671" spans="1:6" x14ac:dyDescent="0.2">
      <c r="A671" s="110"/>
      <c r="B671" s="110"/>
      <c r="C671" s="39" t="s">
        <v>902</v>
      </c>
      <c r="D671" s="39"/>
    </row>
    <row r="672" spans="1:6" x14ac:dyDescent="0.2">
      <c r="A672" s="110"/>
      <c r="B672" s="110"/>
      <c r="C672" s="39" t="s">
        <v>903</v>
      </c>
      <c r="D672" s="39"/>
    </row>
    <row r="673" spans="1:4" x14ac:dyDescent="0.2">
      <c r="A673" s="110"/>
      <c r="B673" s="110"/>
      <c r="C673" s="39" t="s">
        <v>904</v>
      </c>
      <c r="D673" s="39"/>
    </row>
    <row r="674" spans="1:4" x14ac:dyDescent="0.2">
      <c r="A674" s="110"/>
      <c r="B674" s="110"/>
      <c r="C674" s="39" t="s">
        <v>905</v>
      </c>
      <c r="D674" s="39"/>
    </row>
    <row r="675" spans="1:4" x14ac:dyDescent="0.2">
      <c r="A675" s="110"/>
      <c r="B675" s="110"/>
      <c r="C675" s="39" t="s">
        <v>906</v>
      </c>
      <c r="D675" s="39"/>
    </row>
    <row r="676" spans="1:4" x14ac:dyDescent="0.2">
      <c r="A676" s="110"/>
      <c r="B676" s="110"/>
      <c r="C676" s="39" t="s">
        <v>907</v>
      </c>
      <c r="D676" s="39"/>
    </row>
    <row r="677" spans="1:4" x14ac:dyDescent="0.2">
      <c r="A677" s="110"/>
      <c r="B677" s="110"/>
      <c r="C677" s="39" t="s">
        <v>908</v>
      </c>
      <c r="D677" s="39"/>
    </row>
    <row r="678" spans="1:4" x14ac:dyDescent="0.2">
      <c r="A678" s="110"/>
      <c r="B678" s="110"/>
      <c r="C678" s="39" t="s">
        <v>569</v>
      </c>
      <c r="D678" s="39"/>
    </row>
    <row r="679" spans="1:4" x14ac:dyDescent="0.2">
      <c r="A679" s="111"/>
      <c r="B679" s="111"/>
      <c r="C679" s="39" t="s">
        <v>896</v>
      </c>
      <c r="D679" s="39"/>
    </row>
    <row r="680" spans="1:4" x14ac:dyDescent="0.2">
      <c r="A680" s="113"/>
      <c r="B680" s="113" t="s">
        <v>143</v>
      </c>
      <c r="C680" s="37" t="s">
        <v>890</v>
      </c>
      <c r="D680" s="37"/>
    </row>
    <row r="681" spans="1:4" x14ac:dyDescent="0.2">
      <c r="A681" s="104"/>
      <c r="B681" s="104"/>
      <c r="C681" s="37" t="s">
        <v>891</v>
      </c>
      <c r="D681" s="37"/>
    </row>
    <row r="682" spans="1:4" x14ac:dyDescent="0.2">
      <c r="A682" s="104"/>
      <c r="B682" s="104"/>
      <c r="C682" s="37" t="s">
        <v>892</v>
      </c>
      <c r="D682" s="37"/>
    </row>
    <row r="683" spans="1:4" x14ac:dyDescent="0.2">
      <c r="A683" s="104"/>
      <c r="B683" s="104"/>
      <c r="C683" s="37" t="s">
        <v>893</v>
      </c>
      <c r="D683" s="37"/>
    </row>
    <row r="684" spans="1:4" x14ac:dyDescent="0.2">
      <c r="A684" s="104"/>
      <c r="B684" s="104"/>
      <c r="C684" s="37" t="s">
        <v>894</v>
      </c>
      <c r="D684" s="37"/>
    </row>
    <row r="685" spans="1:4" x14ac:dyDescent="0.2">
      <c r="A685" s="104"/>
      <c r="B685" s="104"/>
      <c r="C685" s="37" t="s">
        <v>895</v>
      </c>
      <c r="D685" s="37"/>
    </row>
    <row r="686" spans="1:4" x14ac:dyDescent="0.2">
      <c r="A686" s="104"/>
      <c r="B686" s="104"/>
      <c r="C686" s="37" t="s">
        <v>314</v>
      </c>
      <c r="D686" s="37"/>
    </row>
    <row r="687" spans="1:4" x14ac:dyDescent="0.2">
      <c r="A687" s="104"/>
      <c r="B687" s="104"/>
      <c r="C687" s="37" t="s">
        <v>896</v>
      </c>
      <c r="D687" s="37"/>
    </row>
    <row r="688" spans="1:4" x14ac:dyDescent="0.2">
      <c r="A688" s="109"/>
      <c r="B688" s="48" t="s">
        <v>909</v>
      </c>
      <c r="C688" s="39" t="s">
        <v>910</v>
      </c>
      <c r="D688" s="39"/>
    </row>
    <row r="689" spans="1:4" x14ac:dyDescent="0.2">
      <c r="A689" s="110"/>
      <c r="B689" s="50"/>
      <c r="C689" s="39" t="s">
        <v>911</v>
      </c>
      <c r="D689" s="39"/>
    </row>
    <row r="690" spans="1:4" x14ac:dyDescent="0.2">
      <c r="A690" s="113"/>
      <c r="B690" s="113" t="s">
        <v>142</v>
      </c>
      <c r="C690" s="37" t="s">
        <v>912</v>
      </c>
      <c r="D690" s="37"/>
    </row>
    <row r="691" spans="1:4" x14ac:dyDescent="0.2">
      <c r="A691" s="104"/>
      <c r="B691" s="104"/>
      <c r="C691" s="37" t="s">
        <v>913</v>
      </c>
      <c r="D691" s="37"/>
    </row>
    <row r="692" spans="1:4" x14ac:dyDescent="0.2">
      <c r="A692" s="109"/>
      <c r="B692" s="109" t="s">
        <v>134</v>
      </c>
      <c r="C692" s="39" t="s">
        <v>914</v>
      </c>
      <c r="D692" s="39"/>
    </row>
    <row r="693" spans="1:4" x14ac:dyDescent="0.2">
      <c r="A693" s="110"/>
      <c r="B693" s="110"/>
      <c r="C693" s="39" t="s">
        <v>745</v>
      </c>
      <c r="D693" s="39"/>
    </row>
    <row r="694" spans="1:4" x14ac:dyDescent="0.2">
      <c r="A694" s="110"/>
      <c r="B694" s="110"/>
      <c r="C694" s="39" t="s">
        <v>915</v>
      </c>
      <c r="D694" s="39"/>
    </row>
    <row r="695" spans="1:4" x14ac:dyDescent="0.2">
      <c r="A695" s="110"/>
      <c r="B695" s="110"/>
      <c r="C695" s="39" t="s">
        <v>916</v>
      </c>
      <c r="D695" s="39"/>
    </row>
    <row r="696" spans="1:4" x14ac:dyDescent="0.2">
      <c r="A696" s="110"/>
      <c r="B696" s="110"/>
      <c r="C696" s="39" t="s">
        <v>917</v>
      </c>
      <c r="D696" s="39"/>
    </row>
    <row r="697" spans="1:4" x14ac:dyDescent="0.2">
      <c r="A697" s="110"/>
      <c r="B697" s="110"/>
      <c r="C697" s="39" t="s">
        <v>83</v>
      </c>
      <c r="D697" s="39"/>
    </row>
    <row r="698" spans="1:4" x14ac:dyDescent="0.2">
      <c r="A698" s="110"/>
      <c r="B698" s="110"/>
      <c r="C698" s="39" t="s">
        <v>918</v>
      </c>
      <c r="D698" s="39"/>
    </row>
    <row r="699" spans="1:4" x14ac:dyDescent="0.2">
      <c r="A699" s="110"/>
      <c r="B699" s="110"/>
      <c r="C699" s="39" t="s">
        <v>919</v>
      </c>
      <c r="D699" s="39"/>
    </row>
    <row r="700" spans="1:4" x14ac:dyDescent="0.2">
      <c r="A700" s="110"/>
      <c r="B700" s="110"/>
      <c r="C700" s="39" t="s">
        <v>314</v>
      </c>
      <c r="D700" s="39"/>
    </row>
    <row r="701" spans="1:4" x14ac:dyDescent="0.2">
      <c r="A701" s="113"/>
      <c r="B701" s="113" t="s">
        <v>135</v>
      </c>
      <c r="C701" s="37" t="s">
        <v>436</v>
      </c>
      <c r="D701" s="37"/>
    </row>
    <row r="702" spans="1:4" x14ac:dyDescent="0.2">
      <c r="A702" s="104"/>
      <c r="B702" s="104"/>
      <c r="C702" s="37" t="s">
        <v>437</v>
      </c>
      <c r="D702" s="37"/>
    </row>
    <row r="703" spans="1:4" x14ac:dyDescent="0.2">
      <c r="A703" s="104"/>
      <c r="B703" s="104"/>
      <c r="C703" s="37" t="s">
        <v>438</v>
      </c>
      <c r="D703" s="37"/>
    </row>
    <row r="704" spans="1:4" x14ac:dyDescent="0.2">
      <c r="A704" s="104"/>
      <c r="B704" s="104"/>
      <c r="C704" s="37" t="s">
        <v>439</v>
      </c>
      <c r="D704" s="37"/>
    </row>
    <row r="705" spans="1:5" x14ac:dyDescent="0.2">
      <c r="A705" s="104"/>
      <c r="B705" s="104"/>
      <c r="C705" s="37" t="s">
        <v>440</v>
      </c>
      <c r="D705" s="37"/>
    </row>
    <row r="706" spans="1:5" x14ac:dyDescent="0.2">
      <c r="A706" s="104"/>
      <c r="B706" s="104"/>
      <c r="C706" s="37" t="s">
        <v>441</v>
      </c>
      <c r="D706" s="37"/>
    </row>
    <row r="707" spans="1:5" x14ac:dyDescent="0.2">
      <c r="A707" s="104"/>
      <c r="B707" s="104"/>
      <c r="C707" s="37" t="s">
        <v>443</v>
      </c>
      <c r="D707" s="37"/>
    </row>
    <row r="708" spans="1:5" x14ac:dyDescent="0.2">
      <c r="A708" s="104"/>
      <c r="B708" s="104"/>
      <c r="C708" s="37" t="s">
        <v>444</v>
      </c>
      <c r="D708" s="37"/>
    </row>
    <row r="709" spans="1:5" x14ac:dyDescent="0.2">
      <c r="A709" s="104"/>
      <c r="B709" s="104"/>
      <c r="C709" s="37" t="s">
        <v>445</v>
      </c>
      <c r="D709" s="37"/>
    </row>
    <row r="710" spans="1:5" x14ac:dyDescent="0.2">
      <c r="A710" s="104"/>
      <c r="B710" s="104"/>
      <c r="C710" s="37" t="s">
        <v>446</v>
      </c>
      <c r="D710" s="37"/>
    </row>
    <row r="711" spans="1:5" x14ac:dyDescent="0.2">
      <c r="A711" s="104"/>
      <c r="B711" s="104"/>
      <c r="C711" s="37" t="s">
        <v>447</v>
      </c>
      <c r="D711" s="37"/>
    </row>
    <row r="712" spans="1:5" x14ac:dyDescent="0.2">
      <c r="A712" s="104"/>
      <c r="B712" s="104"/>
      <c r="C712" s="37" t="s">
        <v>448</v>
      </c>
      <c r="D712" s="37"/>
    </row>
    <row r="713" spans="1:5" x14ac:dyDescent="0.2">
      <c r="A713" s="104"/>
      <c r="B713" s="104"/>
      <c r="C713" s="37" t="s">
        <v>449</v>
      </c>
      <c r="D713" s="37"/>
    </row>
    <row r="714" spans="1:5" x14ac:dyDescent="0.2">
      <c r="A714" s="104"/>
      <c r="B714" s="104"/>
      <c r="C714" s="37" t="s">
        <v>450</v>
      </c>
      <c r="D714" s="37"/>
    </row>
    <row r="715" spans="1:5" x14ac:dyDescent="0.2">
      <c r="A715" s="104"/>
      <c r="B715" s="104"/>
      <c r="C715" s="37" t="s">
        <v>451</v>
      </c>
      <c r="D715" s="37"/>
    </row>
    <row r="716" spans="1:5" x14ac:dyDescent="0.2">
      <c r="A716" s="104"/>
      <c r="B716" s="104"/>
      <c r="C716" s="37" t="s">
        <v>452</v>
      </c>
      <c r="D716" s="37" t="s">
        <v>453</v>
      </c>
      <c r="E716" t="s">
        <v>214</v>
      </c>
    </row>
    <row r="717" spans="1:5" x14ac:dyDescent="0.2">
      <c r="A717" s="104"/>
      <c r="B717" s="104"/>
      <c r="C717" s="37" t="s">
        <v>454</v>
      </c>
      <c r="D717" s="37"/>
    </row>
    <row r="718" spans="1:5" x14ac:dyDescent="0.2">
      <c r="A718" s="104"/>
      <c r="B718" s="104"/>
      <c r="C718" s="37" t="s">
        <v>455</v>
      </c>
      <c r="D718" s="37"/>
    </row>
    <row r="719" spans="1:5" x14ac:dyDescent="0.2">
      <c r="A719" s="104"/>
      <c r="B719" s="104"/>
      <c r="C719" s="37" t="s">
        <v>456</v>
      </c>
      <c r="D719" s="37"/>
    </row>
    <row r="720" spans="1:5" x14ac:dyDescent="0.2">
      <c r="A720" s="104"/>
      <c r="B720" s="104"/>
      <c r="C720" s="37" t="s">
        <v>457</v>
      </c>
      <c r="D720" s="37"/>
    </row>
    <row r="721" spans="1:4" x14ac:dyDescent="0.2">
      <c r="A721" s="104"/>
      <c r="B721" s="104"/>
      <c r="C721" s="37" t="s">
        <v>458</v>
      </c>
      <c r="D721" s="37"/>
    </row>
    <row r="722" spans="1:4" x14ac:dyDescent="0.2">
      <c r="A722" s="104"/>
      <c r="B722" s="104"/>
      <c r="C722" s="37" t="s">
        <v>459</v>
      </c>
      <c r="D722" s="37"/>
    </row>
    <row r="723" spans="1:4" x14ac:dyDescent="0.2">
      <c r="A723" s="104"/>
      <c r="B723" s="104"/>
      <c r="C723" s="37" t="s">
        <v>460</v>
      </c>
      <c r="D723" s="37"/>
    </row>
    <row r="724" spans="1:4" x14ac:dyDescent="0.2">
      <c r="A724" s="104"/>
      <c r="B724" s="104"/>
      <c r="C724" s="37" t="s">
        <v>461</v>
      </c>
      <c r="D724" s="37"/>
    </row>
    <row r="725" spans="1:4" x14ac:dyDescent="0.2">
      <c r="A725" s="104"/>
      <c r="B725" s="104"/>
      <c r="C725" s="37" t="s">
        <v>462</v>
      </c>
      <c r="D725" s="37"/>
    </row>
    <row r="726" spans="1:4" x14ac:dyDescent="0.2">
      <c r="A726" s="104"/>
      <c r="B726" s="104"/>
      <c r="C726" s="37" t="s">
        <v>463</v>
      </c>
      <c r="D726" s="37"/>
    </row>
    <row r="727" spans="1:4" x14ac:dyDescent="0.2">
      <c r="A727" s="104"/>
      <c r="B727" s="104"/>
      <c r="C727" s="37" t="s">
        <v>464</v>
      </c>
      <c r="D727" s="37"/>
    </row>
    <row r="728" spans="1:4" x14ac:dyDescent="0.2">
      <c r="A728" s="104"/>
      <c r="B728" s="104"/>
      <c r="C728" s="37" t="s">
        <v>465</v>
      </c>
      <c r="D728" s="37"/>
    </row>
    <row r="729" spans="1:4" x14ac:dyDescent="0.2">
      <c r="A729" s="104"/>
      <c r="B729" s="104"/>
      <c r="C729" s="37" t="s">
        <v>466</v>
      </c>
      <c r="D729" s="37"/>
    </row>
    <row r="730" spans="1:4" x14ac:dyDescent="0.2">
      <c r="A730" s="104"/>
      <c r="B730" s="104"/>
      <c r="C730" s="37" t="s">
        <v>467</v>
      </c>
      <c r="D730" s="37"/>
    </row>
    <row r="731" spans="1:4" x14ac:dyDescent="0.2">
      <c r="A731" s="104"/>
      <c r="B731" s="104"/>
      <c r="C731" s="37" t="s">
        <v>468</v>
      </c>
      <c r="D731" s="37"/>
    </row>
    <row r="732" spans="1:4" x14ac:dyDescent="0.2">
      <c r="A732" s="104"/>
      <c r="B732" s="104"/>
      <c r="C732" s="37" t="s">
        <v>469</v>
      </c>
      <c r="D732" s="37"/>
    </row>
    <row r="733" spans="1:4" x14ac:dyDescent="0.2">
      <c r="A733" s="104"/>
      <c r="B733" s="104"/>
      <c r="C733" s="37" t="s">
        <v>470</v>
      </c>
      <c r="D733" s="37"/>
    </row>
    <row r="734" spans="1:4" x14ac:dyDescent="0.2">
      <c r="A734" s="104"/>
      <c r="B734" s="104"/>
      <c r="C734" s="37" t="s">
        <v>471</v>
      </c>
      <c r="D734" s="37"/>
    </row>
    <row r="735" spans="1:4" x14ac:dyDescent="0.2">
      <c r="A735" s="104"/>
      <c r="B735" s="104"/>
      <c r="C735" s="37" t="s">
        <v>472</v>
      </c>
      <c r="D735" s="37"/>
    </row>
    <row r="736" spans="1:4" x14ac:dyDescent="0.2">
      <c r="A736" s="104"/>
      <c r="B736" s="104"/>
      <c r="C736" s="37" t="s">
        <v>24</v>
      </c>
      <c r="D736" s="37"/>
    </row>
    <row r="737" spans="1:4" x14ac:dyDescent="0.2">
      <c r="A737" s="104"/>
      <c r="B737" s="104"/>
      <c r="C737" s="37" t="s">
        <v>473</v>
      </c>
      <c r="D737" s="37"/>
    </row>
    <row r="738" spans="1:4" x14ac:dyDescent="0.2">
      <c r="A738" s="104"/>
      <c r="B738" s="104"/>
      <c r="C738" s="37" t="s">
        <v>474</v>
      </c>
      <c r="D738" s="37"/>
    </row>
    <row r="739" spans="1:4" x14ac:dyDescent="0.2">
      <c r="A739" s="104"/>
      <c r="B739" s="104"/>
      <c r="C739" s="37" t="s">
        <v>475</v>
      </c>
      <c r="D739" s="37"/>
    </row>
    <row r="740" spans="1:4" x14ac:dyDescent="0.2">
      <c r="A740" s="104"/>
      <c r="B740" s="104"/>
      <c r="C740" s="37" t="s">
        <v>476</v>
      </c>
      <c r="D740" s="37"/>
    </row>
    <row r="741" spans="1:4" x14ac:dyDescent="0.2">
      <c r="A741" s="104"/>
      <c r="B741" s="104"/>
      <c r="C741" s="37" t="s">
        <v>477</v>
      </c>
      <c r="D741" s="37"/>
    </row>
    <row r="742" spans="1:4" x14ac:dyDescent="0.2">
      <c r="A742" s="104"/>
      <c r="B742" s="104"/>
      <c r="C742" s="37" t="s">
        <v>478</v>
      </c>
      <c r="D742" s="37"/>
    </row>
    <row r="743" spans="1:4" x14ac:dyDescent="0.2">
      <c r="A743" s="104"/>
      <c r="B743" s="104"/>
      <c r="C743" s="37" t="s">
        <v>479</v>
      </c>
      <c r="D743" s="37"/>
    </row>
    <row r="744" spans="1:4" x14ac:dyDescent="0.2">
      <c r="A744" s="104"/>
      <c r="B744" s="104"/>
      <c r="C744" s="37" t="s">
        <v>480</v>
      </c>
      <c r="D744" s="37"/>
    </row>
    <row r="745" spans="1:4" x14ac:dyDescent="0.2">
      <c r="A745" s="104"/>
      <c r="B745" s="104"/>
      <c r="C745" s="37" t="s">
        <v>481</v>
      </c>
      <c r="D745" s="37"/>
    </row>
    <row r="746" spans="1:4" x14ac:dyDescent="0.2">
      <c r="A746" s="104"/>
      <c r="B746" s="104"/>
      <c r="C746" s="37" t="s">
        <v>482</v>
      </c>
      <c r="D746" s="37"/>
    </row>
    <row r="747" spans="1:4" x14ac:dyDescent="0.2">
      <c r="A747" s="104"/>
      <c r="B747" s="104"/>
      <c r="C747" s="37" t="s">
        <v>483</v>
      </c>
      <c r="D747" s="37"/>
    </row>
    <row r="748" spans="1:4" x14ac:dyDescent="0.2">
      <c r="A748" s="104"/>
      <c r="B748" s="104"/>
      <c r="C748" s="37" t="s">
        <v>484</v>
      </c>
      <c r="D748" s="37"/>
    </row>
    <row r="749" spans="1:4" x14ac:dyDescent="0.2">
      <c r="A749" s="104"/>
      <c r="B749" s="104"/>
      <c r="C749" s="37" t="s">
        <v>485</v>
      </c>
      <c r="D749" s="37"/>
    </row>
    <row r="750" spans="1:4" x14ac:dyDescent="0.2">
      <c r="A750" s="104"/>
      <c r="B750" s="104"/>
      <c r="C750" s="37" t="s">
        <v>204</v>
      </c>
      <c r="D750" s="37"/>
    </row>
    <row r="751" spans="1:4" x14ac:dyDescent="0.2">
      <c r="A751" s="104"/>
      <c r="B751" s="104"/>
      <c r="C751" s="37" t="s">
        <v>207</v>
      </c>
      <c r="D751" s="37"/>
    </row>
    <row r="752" spans="1:4" x14ac:dyDescent="0.2">
      <c r="A752" s="104"/>
      <c r="B752" s="104"/>
      <c r="C752" s="37" t="s">
        <v>208</v>
      </c>
      <c r="D752" s="37"/>
    </row>
    <row r="753" spans="1:4" x14ac:dyDescent="0.2">
      <c r="A753" s="104"/>
      <c r="B753" s="104"/>
      <c r="C753" s="37" t="s">
        <v>209</v>
      </c>
      <c r="D753" s="37"/>
    </row>
    <row r="754" spans="1:4" x14ac:dyDescent="0.2">
      <c r="A754" s="104"/>
      <c r="B754" s="104"/>
      <c r="C754" s="37" t="s">
        <v>210</v>
      </c>
      <c r="D754" s="37"/>
    </row>
    <row r="755" spans="1:4" x14ac:dyDescent="0.2">
      <c r="A755" s="104"/>
      <c r="B755" s="104"/>
      <c r="C755" s="37" t="s">
        <v>211</v>
      </c>
      <c r="D755" s="37"/>
    </row>
    <row r="756" spans="1:4" x14ac:dyDescent="0.2">
      <c r="A756" s="104"/>
      <c r="B756" s="104"/>
      <c r="C756" s="37" t="s">
        <v>212</v>
      </c>
      <c r="D756" s="37"/>
    </row>
    <row r="757" spans="1:4" x14ac:dyDescent="0.2">
      <c r="A757" s="104"/>
      <c r="B757" s="104"/>
      <c r="C757" s="37" t="s">
        <v>213</v>
      </c>
      <c r="D757" s="37"/>
    </row>
    <row r="758" spans="1:4" x14ac:dyDescent="0.2">
      <c r="A758" s="104"/>
      <c r="B758" s="104"/>
      <c r="C758" s="37" t="s">
        <v>215</v>
      </c>
      <c r="D758" s="37"/>
    </row>
    <row r="759" spans="1:4" x14ac:dyDescent="0.2">
      <c r="A759" s="104"/>
      <c r="B759" s="104"/>
      <c r="C759" s="37" t="s">
        <v>216</v>
      </c>
      <c r="D759" s="37"/>
    </row>
    <row r="760" spans="1:4" x14ac:dyDescent="0.2">
      <c r="A760" s="104"/>
      <c r="B760" s="104"/>
      <c r="C760" s="37" t="s">
        <v>217</v>
      </c>
      <c r="D760" s="37"/>
    </row>
    <row r="761" spans="1:4" x14ac:dyDescent="0.2">
      <c r="A761" s="104"/>
      <c r="B761" s="104"/>
      <c r="C761" s="37" t="s">
        <v>218</v>
      </c>
      <c r="D761" s="37"/>
    </row>
    <row r="762" spans="1:4" x14ac:dyDescent="0.2">
      <c r="A762" s="104"/>
      <c r="B762" s="104"/>
      <c r="C762" s="37" t="s">
        <v>219</v>
      </c>
      <c r="D762" s="37"/>
    </row>
    <row r="763" spans="1:4" x14ac:dyDescent="0.2">
      <c r="A763" s="104"/>
      <c r="B763" s="104"/>
      <c r="C763" s="37" t="s">
        <v>220</v>
      </c>
      <c r="D763" s="37"/>
    </row>
    <row r="764" spans="1:4" x14ac:dyDescent="0.2">
      <c r="A764" s="104"/>
      <c r="B764" s="104"/>
      <c r="C764" s="37" t="s">
        <v>221</v>
      </c>
      <c r="D764" s="37"/>
    </row>
    <row r="765" spans="1:4" x14ac:dyDescent="0.2">
      <c r="A765" s="104"/>
      <c r="B765" s="104"/>
      <c r="C765" s="37" t="s">
        <v>222</v>
      </c>
      <c r="D765" s="37"/>
    </row>
    <row r="766" spans="1:4" x14ac:dyDescent="0.2">
      <c r="A766" s="104"/>
      <c r="B766" s="104"/>
      <c r="C766" s="37" t="s">
        <v>223</v>
      </c>
      <c r="D766" s="37"/>
    </row>
    <row r="767" spans="1:4" x14ac:dyDescent="0.2">
      <c r="A767" s="104"/>
      <c r="B767" s="104"/>
      <c r="C767" s="37" t="s">
        <v>224</v>
      </c>
      <c r="D767" s="37"/>
    </row>
    <row r="768" spans="1:4" x14ac:dyDescent="0.2">
      <c r="A768" s="104"/>
      <c r="B768" s="104"/>
      <c r="C768" s="37" t="s">
        <v>225</v>
      </c>
      <c r="D768" s="37"/>
    </row>
    <row r="769" spans="1:5" x14ac:dyDescent="0.2">
      <c r="A769" s="104"/>
      <c r="B769" s="104"/>
      <c r="C769" s="37" t="s">
        <v>226</v>
      </c>
      <c r="D769" s="37"/>
    </row>
    <row r="770" spans="1:5" x14ac:dyDescent="0.2">
      <c r="A770" s="104"/>
      <c r="B770" s="104"/>
      <c r="C770" s="37" t="s">
        <v>227</v>
      </c>
      <c r="D770" s="37"/>
    </row>
    <row r="771" spans="1:5" x14ac:dyDescent="0.2">
      <c r="A771" s="104"/>
      <c r="B771" s="104"/>
      <c r="C771" s="37" t="s">
        <v>228</v>
      </c>
      <c r="D771" s="37"/>
    </row>
    <row r="772" spans="1:5" x14ac:dyDescent="0.2">
      <c r="A772" s="104"/>
      <c r="B772" s="104"/>
      <c r="C772" s="37" t="s">
        <v>229</v>
      </c>
      <c r="D772" s="37"/>
    </row>
    <row r="773" spans="1:5" x14ac:dyDescent="0.2">
      <c r="A773" s="104"/>
      <c r="B773" s="104"/>
      <c r="C773" s="37" t="s">
        <v>230</v>
      </c>
      <c r="D773" s="37"/>
    </row>
    <row r="774" spans="1:5" x14ac:dyDescent="0.2">
      <c r="A774" s="104"/>
      <c r="B774" s="104"/>
      <c r="C774" s="37" t="s">
        <v>231</v>
      </c>
      <c r="D774" s="37"/>
    </row>
    <row r="775" spans="1:5" x14ac:dyDescent="0.2">
      <c r="A775" s="104"/>
      <c r="B775" s="104"/>
      <c r="C775" s="37" t="s">
        <v>232</v>
      </c>
      <c r="D775" s="37"/>
    </row>
    <row r="776" spans="1:5" x14ac:dyDescent="0.2">
      <c r="A776" s="104"/>
      <c r="B776" s="104"/>
      <c r="C776" s="37" t="s">
        <v>233</v>
      </c>
      <c r="D776" s="37"/>
    </row>
    <row r="777" spans="1:5" x14ac:dyDescent="0.2">
      <c r="A777" s="104"/>
      <c r="B777" s="104"/>
      <c r="C777" s="37" t="s">
        <v>234</v>
      </c>
      <c r="D777" s="37"/>
    </row>
    <row r="778" spans="1:5" x14ac:dyDescent="0.2">
      <c r="A778" s="104"/>
      <c r="B778" s="104"/>
      <c r="C778" s="37" t="s">
        <v>235</v>
      </c>
      <c r="D778" s="37"/>
    </row>
    <row r="779" spans="1:5" x14ac:dyDescent="0.2">
      <c r="A779" s="104"/>
      <c r="B779" s="104"/>
      <c r="C779" s="37" t="s">
        <v>236</v>
      </c>
      <c r="D779" s="37"/>
    </row>
    <row r="780" spans="1:5" x14ac:dyDescent="0.2">
      <c r="A780" s="104"/>
      <c r="B780" s="104"/>
      <c r="C780" s="37" t="s">
        <v>237</v>
      </c>
      <c r="D780" s="37"/>
    </row>
    <row r="781" spans="1:5" x14ac:dyDescent="0.2">
      <c r="A781" s="104"/>
      <c r="B781" s="104"/>
      <c r="C781" s="37" t="s">
        <v>238</v>
      </c>
      <c r="D781" s="37"/>
    </row>
    <row r="782" spans="1:5" x14ac:dyDescent="0.2">
      <c r="A782" s="104"/>
      <c r="B782" s="104"/>
      <c r="C782" s="37" t="s">
        <v>239</v>
      </c>
      <c r="D782" s="37"/>
      <c r="E782" t="s">
        <v>214</v>
      </c>
    </row>
    <row r="783" spans="1:5" x14ac:dyDescent="0.2">
      <c r="A783" s="104"/>
      <c r="B783" s="104"/>
      <c r="C783" s="37" t="s">
        <v>240</v>
      </c>
      <c r="D783" s="37"/>
      <c r="E783" t="s">
        <v>214</v>
      </c>
    </row>
    <row r="784" spans="1:5" x14ac:dyDescent="0.2">
      <c r="A784" s="104"/>
      <c r="B784" s="104"/>
      <c r="C784" s="37" t="s">
        <v>243</v>
      </c>
      <c r="D784" s="37"/>
      <c r="E784" t="s">
        <v>214</v>
      </c>
    </row>
    <row r="785" spans="1:5" x14ac:dyDescent="0.2">
      <c r="A785" s="104"/>
      <c r="B785" s="104"/>
      <c r="C785" s="37" t="s">
        <v>244</v>
      </c>
      <c r="D785" s="37"/>
    </row>
    <row r="786" spans="1:5" x14ac:dyDescent="0.2">
      <c r="A786" s="104"/>
      <c r="B786" s="104"/>
      <c r="C786" s="37" t="s">
        <v>245</v>
      </c>
      <c r="D786" s="37"/>
    </row>
    <row r="787" spans="1:5" x14ac:dyDescent="0.2">
      <c r="A787" s="104"/>
      <c r="B787" s="104"/>
      <c r="C787" s="37" t="s">
        <v>246</v>
      </c>
      <c r="D787" s="37"/>
    </row>
    <row r="788" spans="1:5" x14ac:dyDescent="0.2">
      <c r="A788" s="104"/>
      <c r="B788" s="104"/>
      <c r="C788" s="37" t="s">
        <v>247</v>
      </c>
      <c r="D788" s="37"/>
    </row>
    <row r="789" spans="1:5" x14ac:dyDescent="0.2">
      <c r="A789" s="104"/>
      <c r="B789" s="104"/>
      <c r="C789" s="37" t="s">
        <v>248</v>
      </c>
      <c r="D789" s="37"/>
    </row>
    <row r="790" spans="1:5" x14ac:dyDescent="0.2">
      <c r="A790" s="104"/>
      <c r="B790" s="104"/>
      <c r="C790" s="37" t="s">
        <v>249</v>
      </c>
      <c r="D790" s="37"/>
      <c r="E790" t="s">
        <v>214</v>
      </c>
    </row>
    <row r="791" spans="1:5" x14ac:dyDescent="0.2">
      <c r="A791" s="104"/>
      <c r="B791" s="104"/>
      <c r="C791" s="37" t="s">
        <v>250</v>
      </c>
      <c r="D791" s="37"/>
    </row>
    <row r="792" spans="1:5" x14ac:dyDescent="0.2">
      <c r="A792" s="104"/>
      <c r="B792" s="104"/>
      <c r="C792" s="37" t="s">
        <v>251</v>
      </c>
      <c r="D792" s="37"/>
    </row>
    <row r="793" spans="1:5" x14ac:dyDescent="0.2">
      <c r="A793" s="104"/>
      <c r="B793" s="104"/>
      <c r="C793" s="37" t="s">
        <v>252</v>
      </c>
      <c r="D793" s="37"/>
    </row>
    <row r="794" spans="1:5" x14ac:dyDescent="0.2">
      <c r="A794" s="104"/>
      <c r="B794" s="104"/>
      <c r="C794" s="37" t="s">
        <v>920</v>
      </c>
      <c r="D794" s="37"/>
    </row>
    <row r="795" spans="1:5" x14ac:dyDescent="0.2">
      <c r="A795" s="104"/>
      <c r="B795" s="104"/>
      <c r="C795" s="37" t="s">
        <v>253</v>
      </c>
      <c r="D795" s="37"/>
    </row>
    <row r="796" spans="1:5" x14ac:dyDescent="0.2">
      <c r="A796" s="104"/>
      <c r="B796" s="104"/>
      <c r="C796" s="37" t="s">
        <v>254</v>
      </c>
      <c r="D796" s="37"/>
    </row>
    <row r="797" spans="1:5" x14ac:dyDescent="0.2">
      <c r="A797" s="104"/>
      <c r="B797" s="104"/>
      <c r="C797" s="37" t="s">
        <v>255</v>
      </c>
      <c r="D797" s="37"/>
    </row>
    <row r="798" spans="1:5" x14ac:dyDescent="0.2">
      <c r="A798" s="104"/>
      <c r="B798" s="104"/>
      <c r="C798" s="37" t="s">
        <v>256</v>
      </c>
      <c r="D798" s="37"/>
    </row>
    <row r="799" spans="1:5" x14ac:dyDescent="0.2">
      <c r="A799" s="104"/>
      <c r="B799" s="104"/>
      <c r="C799" s="37" t="s">
        <v>257</v>
      </c>
      <c r="D799" s="37"/>
    </row>
    <row r="800" spans="1:5" x14ac:dyDescent="0.2">
      <c r="A800" s="104"/>
      <c r="B800" s="104"/>
      <c r="C800" s="37" t="s">
        <v>258</v>
      </c>
      <c r="D800" s="37"/>
    </row>
    <row r="801" spans="1:5" x14ac:dyDescent="0.2">
      <c r="A801" s="104"/>
      <c r="B801" s="104"/>
      <c r="C801" s="37" t="s">
        <v>259</v>
      </c>
      <c r="D801" s="37"/>
    </row>
    <row r="802" spans="1:5" x14ac:dyDescent="0.2">
      <c r="A802" s="104"/>
      <c r="B802" s="104"/>
      <c r="C802" s="37" t="s">
        <v>260</v>
      </c>
      <c r="D802" s="37"/>
    </row>
    <row r="803" spans="1:5" x14ac:dyDescent="0.2">
      <c r="A803" s="104"/>
      <c r="B803" s="104"/>
      <c r="C803" s="37" t="s">
        <v>261</v>
      </c>
      <c r="D803" s="37"/>
    </row>
    <row r="804" spans="1:5" x14ac:dyDescent="0.2">
      <c r="A804" s="104"/>
      <c r="B804" s="104"/>
      <c r="C804" s="37" t="s">
        <v>262</v>
      </c>
      <c r="D804" s="37"/>
    </row>
    <row r="805" spans="1:5" x14ac:dyDescent="0.2">
      <c r="A805" s="104"/>
      <c r="B805" s="104"/>
      <c r="C805" s="37" t="s">
        <v>263</v>
      </c>
      <c r="D805" s="37"/>
    </row>
    <row r="806" spans="1:5" x14ac:dyDescent="0.2">
      <c r="A806" s="104"/>
      <c r="B806" s="104"/>
      <c r="C806" s="37" t="s">
        <v>264</v>
      </c>
      <c r="D806" s="37"/>
    </row>
    <row r="807" spans="1:5" x14ac:dyDescent="0.2">
      <c r="A807" s="104"/>
      <c r="B807" s="104"/>
      <c r="C807" s="37" t="s">
        <v>265</v>
      </c>
      <c r="D807" s="37"/>
    </row>
    <row r="808" spans="1:5" x14ac:dyDescent="0.2">
      <c r="A808" s="104"/>
      <c r="B808" s="104"/>
      <c r="C808" s="37" t="s">
        <v>267</v>
      </c>
      <c r="D808" s="37"/>
    </row>
    <row r="809" spans="1:5" x14ac:dyDescent="0.2">
      <c r="A809" s="104"/>
      <c r="B809" s="104"/>
      <c r="C809" s="37" t="s">
        <v>266</v>
      </c>
      <c r="D809" s="37"/>
      <c r="E809" t="s">
        <v>214</v>
      </c>
    </row>
    <row r="810" spans="1:5" x14ac:dyDescent="0.2">
      <c r="A810" s="104"/>
      <c r="B810" s="104"/>
      <c r="C810" s="37" t="s">
        <v>268</v>
      </c>
      <c r="D810" s="37"/>
    </row>
    <row r="811" spans="1:5" x14ac:dyDescent="0.2">
      <c r="A811" s="104"/>
      <c r="B811" s="104"/>
      <c r="C811" s="37" t="s">
        <v>269</v>
      </c>
      <c r="D811" s="37"/>
    </row>
    <row r="812" spans="1:5" x14ac:dyDescent="0.2">
      <c r="A812" s="104"/>
      <c r="B812" s="104"/>
      <c r="C812" s="37" t="s">
        <v>270</v>
      </c>
      <c r="D812" s="37"/>
    </row>
    <row r="813" spans="1:5" x14ac:dyDescent="0.2">
      <c r="A813" s="104"/>
      <c r="B813" s="104"/>
      <c r="C813" s="37" t="s">
        <v>271</v>
      </c>
      <c r="D813" s="37"/>
    </row>
    <row r="814" spans="1:5" x14ac:dyDescent="0.2">
      <c r="A814" s="104"/>
      <c r="B814" s="104"/>
      <c r="C814" s="37" t="s">
        <v>272</v>
      </c>
      <c r="D814" s="37"/>
    </row>
    <row r="815" spans="1:5" x14ac:dyDescent="0.2">
      <c r="A815" s="104"/>
      <c r="B815" s="104"/>
      <c r="C815" s="37" t="s">
        <v>273</v>
      </c>
      <c r="D815" s="37"/>
    </row>
    <row r="816" spans="1:5" x14ac:dyDescent="0.2">
      <c r="A816" s="104"/>
      <c r="B816" s="104"/>
      <c r="C816" s="37" t="s">
        <v>274</v>
      </c>
      <c r="D816" s="37"/>
    </row>
    <row r="817" spans="1:4" x14ac:dyDescent="0.2">
      <c r="A817" s="104"/>
      <c r="B817" s="104"/>
      <c r="C817" s="37" t="s">
        <v>275</v>
      </c>
      <c r="D817" s="37"/>
    </row>
    <row r="818" spans="1:4" x14ac:dyDescent="0.2">
      <c r="A818" s="104"/>
      <c r="B818" s="104"/>
      <c r="C818" s="37" t="s">
        <v>276</v>
      </c>
      <c r="D818" s="37"/>
    </row>
    <row r="819" spans="1:4" x14ac:dyDescent="0.2">
      <c r="A819" s="104"/>
      <c r="B819" s="104"/>
      <c r="C819" s="37" t="s">
        <v>277</v>
      </c>
      <c r="D819" s="37"/>
    </row>
    <row r="820" spans="1:4" x14ac:dyDescent="0.2">
      <c r="A820" s="104"/>
      <c r="B820" s="104"/>
      <c r="C820" s="37" t="s">
        <v>278</v>
      </c>
      <c r="D820" s="37"/>
    </row>
    <row r="821" spans="1:4" x14ac:dyDescent="0.2">
      <c r="A821" s="104"/>
      <c r="B821" s="104"/>
      <c r="C821" s="37" t="s">
        <v>279</v>
      </c>
      <c r="D821" s="37"/>
    </row>
    <row r="822" spans="1:4" x14ac:dyDescent="0.2">
      <c r="A822" s="104"/>
      <c r="B822" s="104"/>
      <c r="C822" s="37" t="s">
        <v>280</v>
      </c>
      <c r="D822" s="37"/>
    </row>
    <row r="823" spans="1:4" x14ac:dyDescent="0.2">
      <c r="A823" s="104"/>
      <c r="B823" s="104"/>
      <c r="C823" s="37" t="s">
        <v>281</v>
      </c>
      <c r="D823" s="37"/>
    </row>
    <row r="824" spans="1:4" x14ac:dyDescent="0.2">
      <c r="A824" s="104"/>
      <c r="B824" s="104"/>
      <c r="C824" s="37" t="s">
        <v>282</v>
      </c>
      <c r="D824" s="37"/>
    </row>
    <row r="825" spans="1:4" x14ac:dyDescent="0.2">
      <c r="A825" s="104"/>
      <c r="B825" s="104"/>
      <c r="C825" s="37" t="s">
        <v>283</v>
      </c>
      <c r="D825" s="37"/>
    </row>
    <row r="826" spans="1:4" x14ac:dyDescent="0.2">
      <c r="A826" s="104"/>
      <c r="B826" s="104"/>
      <c r="C826" s="37" t="s">
        <v>284</v>
      </c>
      <c r="D826" s="37"/>
    </row>
    <row r="827" spans="1:4" x14ac:dyDescent="0.2">
      <c r="A827" s="104"/>
      <c r="B827" s="104"/>
      <c r="C827" s="37" t="s">
        <v>285</v>
      </c>
      <c r="D827" s="37"/>
    </row>
    <row r="828" spans="1:4" x14ac:dyDescent="0.2">
      <c r="A828" s="104"/>
      <c r="B828" s="104"/>
      <c r="C828" s="37" t="s">
        <v>286</v>
      </c>
      <c r="D828" s="37"/>
    </row>
    <row r="829" spans="1:4" x14ac:dyDescent="0.2">
      <c r="A829" s="104"/>
      <c r="B829" s="104"/>
      <c r="C829" s="37" t="s">
        <v>287</v>
      </c>
      <c r="D829" s="37"/>
    </row>
    <row r="830" spans="1:4" x14ac:dyDescent="0.2">
      <c r="A830" s="104"/>
      <c r="B830" s="104"/>
      <c r="C830" s="37" t="s">
        <v>288</v>
      </c>
      <c r="D830" s="37"/>
    </row>
    <row r="831" spans="1:4" x14ac:dyDescent="0.2">
      <c r="A831" s="104"/>
      <c r="B831" s="104"/>
      <c r="C831" s="37" t="s">
        <v>921</v>
      </c>
      <c r="D831" s="114" t="s">
        <v>922</v>
      </c>
    </row>
    <row r="832" spans="1:4" x14ac:dyDescent="0.2">
      <c r="A832" s="104"/>
      <c r="B832" s="104"/>
      <c r="C832" s="37" t="s">
        <v>923</v>
      </c>
      <c r="D832" s="114" t="s">
        <v>300</v>
      </c>
    </row>
    <row r="833" spans="1:4" x14ac:dyDescent="0.2">
      <c r="A833" s="104"/>
      <c r="B833" s="104"/>
      <c r="C833" s="37" t="s">
        <v>924</v>
      </c>
      <c r="D833" s="114" t="s">
        <v>300</v>
      </c>
    </row>
    <row r="834" spans="1:4" ht="15" x14ac:dyDescent="0.25">
      <c r="A834" s="104"/>
      <c r="B834" s="104"/>
      <c r="C834" s="37" t="s">
        <v>925</v>
      </c>
      <c r="D834" s="91"/>
    </row>
    <row r="835" spans="1:4" x14ac:dyDescent="0.2">
      <c r="A835" s="104"/>
      <c r="B835" s="104"/>
      <c r="C835" s="37" t="s">
        <v>296</v>
      </c>
      <c r="D835" s="37"/>
    </row>
    <row r="836" spans="1:4" x14ac:dyDescent="0.2">
      <c r="A836" s="104"/>
      <c r="B836" s="104"/>
      <c r="C836" s="37" t="s">
        <v>291</v>
      </c>
      <c r="D836" s="37"/>
    </row>
    <row r="837" spans="1:4" x14ac:dyDescent="0.2">
      <c r="A837" s="104"/>
      <c r="B837" s="104"/>
      <c r="C837" s="37" t="s">
        <v>292</v>
      </c>
      <c r="D837" s="37"/>
    </row>
    <row r="838" spans="1:4" x14ac:dyDescent="0.2">
      <c r="A838" s="104"/>
      <c r="B838" s="104"/>
      <c r="C838" s="37" t="s">
        <v>289</v>
      </c>
      <c r="D838" s="37"/>
    </row>
    <row r="839" spans="1:4" x14ac:dyDescent="0.2">
      <c r="A839" s="104"/>
      <c r="B839" s="104"/>
      <c r="C839" s="37" t="s">
        <v>293</v>
      </c>
      <c r="D839" s="37"/>
    </row>
    <row r="840" spans="1:4" x14ac:dyDescent="0.2">
      <c r="A840" s="104"/>
      <c r="B840" s="104"/>
      <c r="C840" s="37" t="s">
        <v>290</v>
      </c>
      <c r="D840" s="37"/>
    </row>
    <row r="841" spans="1:4" x14ac:dyDescent="0.2">
      <c r="A841" s="104"/>
      <c r="B841" s="104"/>
      <c r="C841" s="37" t="s">
        <v>294</v>
      </c>
      <c r="D841" s="37"/>
    </row>
    <row r="842" spans="1:4" x14ac:dyDescent="0.2">
      <c r="A842" s="104"/>
      <c r="B842" s="104"/>
      <c r="C842" s="37" t="s">
        <v>926</v>
      </c>
      <c r="D842" s="37"/>
    </row>
    <row r="843" spans="1:4" x14ac:dyDescent="0.2">
      <c r="A843" s="104"/>
      <c r="B843" s="104"/>
      <c r="C843" s="37" t="s">
        <v>927</v>
      </c>
      <c r="D843" s="37"/>
    </row>
    <row r="844" spans="1:4" x14ac:dyDescent="0.2">
      <c r="A844" s="104"/>
      <c r="B844" s="104"/>
      <c r="C844" s="37" t="s">
        <v>928</v>
      </c>
      <c r="D844" s="37"/>
    </row>
    <row r="845" spans="1:4" x14ac:dyDescent="0.2">
      <c r="A845" s="104"/>
      <c r="B845" s="104"/>
      <c r="C845" s="37" t="s">
        <v>929</v>
      </c>
      <c r="D845" s="37"/>
    </row>
    <row r="846" spans="1:4" x14ac:dyDescent="0.2">
      <c r="A846" s="104"/>
      <c r="B846" s="104"/>
      <c r="C846" s="37" t="s">
        <v>930</v>
      </c>
      <c r="D846" s="37"/>
    </row>
    <row r="847" spans="1:4" x14ac:dyDescent="0.2">
      <c r="A847" s="104"/>
      <c r="B847" s="104"/>
      <c r="C847" s="37" t="s">
        <v>931</v>
      </c>
      <c r="D847" s="37"/>
    </row>
    <row r="848" spans="1:4" x14ac:dyDescent="0.2">
      <c r="A848" s="104"/>
      <c r="B848" s="104"/>
      <c r="C848" s="37" t="s">
        <v>932</v>
      </c>
      <c r="D848" s="37"/>
    </row>
    <row r="849" spans="1:4" x14ac:dyDescent="0.2">
      <c r="A849" s="104"/>
      <c r="B849" s="104"/>
      <c r="C849" s="37" t="s">
        <v>933</v>
      </c>
      <c r="D849" s="37"/>
    </row>
    <row r="850" spans="1:4" x14ac:dyDescent="0.2">
      <c r="A850" s="104"/>
      <c r="B850" s="104"/>
      <c r="C850" s="37" t="s">
        <v>314</v>
      </c>
      <c r="D850" s="37"/>
    </row>
    <row r="851" spans="1:4" x14ac:dyDescent="0.2">
      <c r="A851" s="48" t="s">
        <v>147</v>
      </c>
      <c r="B851" s="48"/>
      <c r="C851" s="39" t="s">
        <v>338</v>
      </c>
      <c r="D851" s="39"/>
    </row>
    <row r="852" spans="1:4" x14ac:dyDescent="0.2">
      <c r="A852" s="49"/>
      <c r="B852" s="49"/>
      <c r="C852" s="39" t="s">
        <v>339</v>
      </c>
      <c r="D852" s="39"/>
    </row>
    <row r="853" spans="1:4" x14ac:dyDescent="0.2">
      <c r="A853" s="104" t="s">
        <v>19</v>
      </c>
      <c r="B853" s="104" t="s">
        <v>54</v>
      </c>
      <c r="C853" s="37" t="s">
        <v>934</v>
      </c>
      <c r="D853" s="37"/>
    </row>
    <row r="854" spans="1:4" x14ac:dyDescent="0.2">
      <c r="A854" s="104"/>
      <c r="B854" s="104"/>
      <c r="C854" s="37" t="s">
        <v>935</v>
      </c>
      <c r="D854" s="37"/>
    </row>
    <row r="855" spans="1:4" x14ac:dyDescent="0.2">
      <c r="A855" s="104"/>
      <c r="B855" s="104"/>
      <c r="C855" s="37" t="s">
        <v>936</v>
      </c>
      <c r="D855" s="37"/>
    </row>
    <row r="856" spans="1:4" x14ac:dyDescent="0.2">
      <c r="A856" s="104"/>
      <c r="B856" s="104"/>
      <c r="C856" s="37" t="s">
        <v>937</v>
      </c>
      <c r="D856" s="37"/>
    </row>
    <row r="857" spans="1:4" x14ac:dyDescent="0.2">
      <c r="A857" s="104"/>
      <c r="B857" s="104"/>
      <c r="C857" s="37" t="s">
        <v>938</v>
      </c>
      <c r="D857" s="37"/>
    </row>
    <row r="858" spans="1:4" x14ac:dyDescent="0.2">
      <c r="A858" s="104"/>
      <c r="B858" s="104"/>
      <c r="C858" s="37" t="s">
        <v>939</v>
      </c>
      <c r="D858" s="37"/>
    </row>
    <row r="859" spans="1:4" x14ac:dyDescent="0.2">
      <c r="A859" s="104"/>
      <c r="B859" s="104"/>
      <c r="C859" s="37" t="s">
        <v>940</v>
      </c>
      <c r="D859" s="37"/>
    </row>
    <row r="860" spans="1:4" x14ac:dyDescent="0.2">
      <c r="A860" s="104"/>
      <c r="B860" s="104"/>
      <c r="C860" s="37" t="s">
        <v>941</v>
      </c>
      <c r="D860" s="37"/>
    </row>
    <row r="861" spans="1:4" x14ac:dyDescent="0.2">
      <c r="A861" s="104"/>
      <c r="B861" s="104"/>
      <c r="C861" s="37" t="s">
        <v>942</v>
      </c>
      <c r="D861" s="37"/>
    </row>
    <row r="862" spans="1:4" x14ac:dyDescent="0.2">
      <c r="A862" s="48" t="s">
        <v>20</v>
      </c>
      <c r="B862" s="48" t="s">
        <v>54</v>
      </c>
      <c r="C862" s="39" t="s">
        <v>943</v>
      </c>
      <c r="D862" s="39"/>
    </row>
    <row r="863" spans="1:4" x14ac:dyDescent="0.2">
      <c r="A863" s="49"/>
      <c r="B863" s="49"/>
      <c r="C863" s="39" t="s">
        <v>944</v>
      </c>
      <c r="D863" s="39"/>
    </row>
    <row r="864" spans="1:4" x14ac:dyDescent="0.2">
      <c r="A864" s="49"/>
      <c r="B864" s="49"/>
      <c r="C864" s="39" t="s">
        <v>945</v>
      </c>
      <c r="D864" s="39"/>
    </row>
    <row r="865" spans="1:4" x14ac:dyDescent="0.2">
      <c r="A865" s="49"/>
      <c r="B865" s="49"/>
      <c r="C865" s="39" t="s">
        <v>946</v>
      </c>
      <c r="D865" s="39"/>
    </row>
    <row r="866" spans="1:4" x14ac:dyDescent="0.2">
      <c r="A866" s="49"/>
      <c r="B866" s="49"/>
      <c r="C866" s="39" t="s">
        <v>947</v>
      </c>
      <c r="D866" s="39"/>
    </row>
    <row r="867" spans="1:4" x14ac:dyDescent="0.2">
      <c r="A867" s="49"/>
      <c r="B867" s="49"/>
      <c r="C867" s="39" t="s">
        <v>948</v>
      </c>
      <c r="D867" s="39"/>
    </row>
    <row r="868" spans="1:4" x14ac:dyDescent="0.2">
      <c r="A868" s="49"/>
      <c r="B868" s="49"/>
      <c r="C868" s="39" t="s">
        <v>949</v>
      </c>
      <c r="D868" s="39"/>
    </row>
    <row r="869" spans="1:4" x14ac:dyDescent="0.2">
      <c r="A869" s="49"/>
      <c r="B869" s="49"/>
      <c r="C869" s="39" t="s">
        <v>950</v>
      </c>
      <c r="D869" s="39"/>
    </row>
    <row r="870" spans="1:4" x14ac:dyDescent="0.2">
      <c r="A870" s="104" t="s">
        <v>21</v>
      </c>
      <c r="B870" s="104" t="s">
        <v>54</v>
      </c>
      <c r="C870" s="37" t="s">
        <v>943</v>
      </c>
      <c r="D870" s="37"/>
    </row>
    <row r="871" spans="1:4" x14ac:dyDescent="0.2">
      <c r="A871" s="104"/>
      <c r="B871" s="104"/>
      <c r="C871" s="37" t="s">
        <v>945</v>
      </c>
      <c r="D871" s="37"/>
    </row>
    <row r="872" spans="1:4" x14ac:dyDescent="0.2">
      <c r="A872" s="104"/>
      <c r="B872" s="104"/>
      <c r="C872" s="37" t="s">
        <v>947</v>
      </c>
      <c r="D872" s="37"/>
    </row>
    <row r="873" spans="1:4" x14ac:dyDescent="0.2">
      <c r="A873" s="104"/>
      <c r="B873" s="104"/>
      <c r="C873" s="37" t="s">
        <v>314</v>
      </c>
      <c r="D873" s="37"/>
    </row>
    <row r="874" spans="1:4" x14ac:dyDescent="0.2">
      <c r="A874" s="48" t="s">
        <v>22</v>
      </c>
      <c r="B874" s="48" t="s">
        <v>54</v>
      </c>
      <c r="C874" s="39" t="s">
        <v>951</v>
      </c>
      <c r="D874" s="39"/>
    </row>
    <row r="875" spans="1:4" x14ac:dyDescent="0.2">
      <c r="A875" s="49"/>
      <c r="B875" s="49"/>
      <c r="C875" s="39" t="s">
        <v>754</v>
      </c>
      <c r="D875" s="39"/>
    </row>
    <row r="876" spans="1:4" x14ac:dyDescent="0.2">
      <c r="A876" s="49"/>
      <c r="B876" s="49"/>
      <c r="C876" s="39" t="s">
        <v>755</v>
      </c>
      <c r="D876" s="39"/>
    </row>
    <row r="877" spans="1:4" x14ac:dyDescent="0.2">
      <c r="A877" s="49"/>
      <c r="B877" s="49"/>
      <c r="C877" s="39" t="s">
        <v>756</v>
      </c>
      <c r="D877" s="39"/>
    </row>
    <row r="878" spans="1:4" x14ac:dyDescent="0.2">
      <c r="A878" s="49"/>
      <c r="B878" s="49"/>
      <c r="C878" s="39" t="s">
        <v>952</v>
      </c>
      <c r="D878" s="39"/>
    </row>
    <row r="879" spans="1:4" x14ac:dyDescent="0.2">
      <c r="A879" s="49"/>
      <c r="B879" s="49"/>
      <c r="C879" s="39" t="s">
        <v>953</v>
      </c>
      <c r="D879" s="39"/>
    </row>
    <row r="880" spans="1:4" x14ac:dyDescent="0.2">
      <c r="A880" s="49"/>
      <c r="B880" s="49"/>
      <c r="C880" s="39" t="s">
        <v>954</v>
      </c>
      <c r="D880" s="39"/>
    </row>
    <row r="881" spans="1:5" x14ac:dyDescent="0.2">
      <c r="A881" s="49"/>
      <c r="B881" s="49"/>
      <c r="C881" s="39" t="s">
        <v>955</v>
      </c>
      <c r="D881" s="39"/>
    </row>
    <row r="882" spans="1:5" x14ac:dyDescent="0.2">
      <c r="A882" s="49"/>
      <c r="B882" s="49"/>
      <c r="C882" s="39" t="s">
        <v>956</v>
      </c>
      <c r="D882" s="39" t="s">
        <v>956</v>
      </c>
      <c r="E882" t="s">
        <v>214</v>
      </c>
    </row>
    <row r="883" spans="1:5" x14ac:dyDescent="0.2">
      <c r="A883" s="50"/>
      <c r="B883" s="50"/>
      <c r="C883" s="39" t="s">
        <v>314</v>
      </c>
      <c r="D883" s="39"/>
    </row>
    <row r="884" spans="1:5" x14ac:dyDescent="0.2">
      <c r="A884" s="58" t="s">
        <v>23</v>
      </c>
      <c r="B884" s="58" t="s">
        <v>54</v>
      </c>
      <c r="C884" s="37" t="s">
        <v>917</v>
      </c>
      <c r="D884" s="37"/>
    </row>
    <row r="885" spans="1:5" x14ac:dyDescent="0.2">
      <c r="A885" s="59"/>
      <c r="B885" s="59"/>
      <c r="C885" s="37" t="s">
        <v>957</v>
      </c>
      <c r="D885" s="37"/>
    </row>
    <row r="886" spans="1:5" x14ac:dyDescent="0.2">
      <c r="A886" s="59"/>
      <c r="B886" s="59"/>
      <c r="C886" s="37" t="s">
        <v>958</v>
      </c>
      <c r="D886" s="37"/>
    </row>
    <row r="887" spans="1:5" x14ac:dyDescent="0.2">
      <c r="A887" s="59"/>
      <c r="B887" s="59"/>
      <c r="C887" s="37" t="s">
        <v>959</v>
      </c>
      <c r="D887" s="37"/>
    </row>
    <row r="888" spans="1:5" x14ac:dyDescent="0.2">
      <c r="A888" s="59"/>
      <c r="B888" s="59"/>
      <c r="C888" s="37" t="s">
        <v>960</v>
      </c>
      <c r="D888" s="37"/>
    </row>
    <row r="889" spans="1:5" x14ac:dyDescent="0.2">
      <c r="A889" s="59"/>
      <c r="B889" s="59"/>
      <c r="C889" s="37" t="s">
        <v>961</v>
      </c>
      <c r="D889" s="37" t="s">
        <v>962</v>
      </c>
    </row>
    <row r="890" spans="1:5" x14ac:dyDescent="0.2">
      <c r="A890" s="59"/>
      <c r="B890" s="59"/>
      <c r="C890" s="37" t="s">
        <v>963</v>
      </c>
      <c r="D890" s="37"/>
    </row>
    <row r="891" spans="1:5" x14ac:dyDescent="0.2">
      <c r="A891" s="48" t="s">
        <v>24</v>
      </c>
      <c r="B891" s="48" t="s">
        <v>54</v>
      </c>
      <c r="C891" s="39" t="s">
        <v>964</v>
      </c>
      <c r="D891" s="39"/>
    </row>
    <row r="892" spans="1:5" x14ac:dyDescent="0.2">
      <c r="A892" s="49"/>
      <c r="B892" s="49"/>
      <c r="C892" s="39" t="s">
        <v>965</v>
      </c>
      <c r="D892" s="39"/>
    </row>
    <row r="893" spans="1:5" x14ac:dyDescent="0.2">
      <c r="A893" s="49"/>
      <c r="B893" s="49"/>
      <c r="C893" s="39" t="s">
        <v>966</v>
      </c>
      <c r="D893" s="39"/>
    </row>
    <row r="894" spans="1:5" x14ac:dyDescent="0.2">
      <c r="A894" s="49"/>
      <c r="B894" s="49"/>
      <c r="C894" s="39" t="s">
        <v>967</v>
      </c>
      <c r="D894" s="39"/>
    </row>
    <row r="895" spans="1:5" x14ac:dyDescent="0.2">
      <c r="A895" s="49"/>
      <c r="B895" s="49"/>
      <c r="C895" s="39" t="s">
        <v>968</v>
      </c>
      <c r="D895" s="39"/>
    </row>
    <row r="896" spans="1:5" x14ac:dyDescent="0.2">
      <c r="A896" s="49"/>
      <c r="B896" s="49"/>
      <c r="C896" s="39" t="s">
        <v>314</v>
      </c>
      <c r="D896" s="39"/>
    </row>
    <row r="897" spans="1:4" x14ac:dyDescent="0.2">
      <c r="A897" s="58" t="s">
        <v>25</v>
      </c>
      <c r="B897" s="58" t="s">
        <v>54</v>
      </c>
      <c r="C897" s="37" t="s">
        <v>969</v>
      </c>
      <c r="D897" s="37"/>
    </row>
    <row r="898" spans="1:4" x14ac:dyDescent="0.2">
      <c r="A898" s="59"/>
      <c r="B898" s="59"/>
      <c r="C898" s="37" t="s">
        <v>970</v>
      </c>
      <c r="D898" s="37"/>
    </row>
    <row r="899" spans="1:4" x14ac:dyDescent="0.2">
      <c r="A899" s="59"/>
      <c r="B899" s="59"/>
      <c r="C899" s="37" t="s">
        <v>917</v>
      </c>
      <c r="D899" s="37"/>
    </row>
    <row r="900" spans="1:4" x14ac:dyDescent="0.2">
      <c r="A900" s="59"/>
      <c r="B900" s="59"/>
      <c r="C900" s="37" t="s">
        <v>314</v>
      </c>
      <c r="D900" s="37"/>
    </row>
    <row r="901" spans="1:4" x14ac:dyDescent="0.2">
      <c r="A901" s="48" t="s">
        <v>27</v>
      </c>
      <c r="B901" s="48" t="s">
        <v>54</v>
      </c>
      <c r="C901" s="39" t="s">
        <v>971</v>
      </c>
      <c r="D901" s="39"/>
    </row>
    <row r="902" spans="1:4" x14ac:dyDescent="0.2">
      <c r="A902" s="49"/>
      <c r="B902" s="49"/>
      <c r="C902" s="39" t="s">
        <v>972</v>
      </c>
      <c r="D902" s="39"/>
    </row>
    <row r="903" spans="1:4" x14ac:dyDescent="0.2">
      <c r="A903" s="49"/>
      <c r="B903" s="49"/>
      <c r="C903" s="39" t="s">
        <v>746</v>
      </c>
      <c r="D903" s="39"/>
    </row>
    <row r="904" spans="1:4" x14ac:dyDescent="0.2">
      <c r="A904" s="49"/>
      <c r="B904" s="49"/>
      <c r="C904" s="39" t="s">
        <v>973</v>
      </c>
      <c r="D904" s="39"/>
    </row>
    <row r="905" spans="1:4" x14ac:dyDescent="0.2">
      <c r="A905" s="49"/>
      <c r="B905" s="49"/>
      <c r="C905" s="39" t="s">
        <v>974</v>
      </c>
      <c r="D905" s="39"/>
    </row>
    <row r="906" spans="1:4" x14ac:dyDescent="0.2">
      <c r="A906" s="115" t="s">
        <v>29</v>
      </c>
      <c r="B906" s="115" t="s">
        <v>54</v>
      </c>
      <c r="C906" s="42" t="s">
        <v>975</v>
      </c>
      <c r="D906" s="42"/>
    </row>
    <row r="907" spans="1:4" x14ac:dyDescent="0.2">
      <c r="A907" s="104"/>
      <c r="B907" s="104"/>
      <c r="C907" s="42" t="s">
        <v>976</v>
      </c>
      <c r="D907" s="42"/>
    </row>
    <row r="908" spans="1:4" x14ac:dyDescent="0.2">
      <c r="A908" s="104"/>
      <c r="B908" s="104"/>
      <c r="C908" s="37" t="s">
        <v>977</v>
      </c>
      <c r="D908" s="37"/>
    </row>
    <row r="909" spans="1:4" x14ac:dyDescent="0.2">
      <c r="A909" s="104"/>
      <c r="B909" s="104"/>
      <c r="C909" s="37" t="s">
        <v>978</v>
      </c>
      <c r="D909" s="37"/>
    </row>
    <row r="910" spans="1:4" x14ac:dyDescent="0.2">
      <c r="A910" s="104"/>
      <c r="B910" s="104"/>
      <c r="C910" s="37" t="s">
        <v>979</v>
      </c>
      <c r="D910" s="37"/>
    </row>
    <row r="911" spans="1:4" x14ac:dyDescent="0.2">
      <c r="A911" s="104"/>
      <c r="B911" s="104"/>
      <c r="C911" s="37" t="s">
        <v>980</v>
      </c>
      <c r="D911" s="37"/>
    </row>
    <row r="912" spans="1:4" x14ac:dyDescent="0.2">
      <c r="A912" s="116" t="s">
        <v>30</v>
      </c>
      <c r="B912" s="116" t="s">
        <v>54</v>
      </c>
      <c r="C912" s="44" t="s">
        <v>943</v>
      </c>
      <c r="D912" s="44"/>
    </row>
    <row r="913" spans="1:5" x14ac:dyDescent="0.2">
      <c r="A913" s="110"/>
      <c r="B913" s="110"/>
      <c r="C913" s="44" t="s">
        <v>944</v>
      </c>
      <c r="D913" s="44"/>
    </row>
    <row r="914" spans="1:5" x14ac:dyDescent="0.2">
      <c r="A914" s="110"/>
      <c r="B914" s="110"/>
      <c r="C914" s="39" t="s">
        <v>945</v>
      </c>
      <c r="D914" s="39"/>
    </row>
    <row r="915" spans="1:5" x14ac:dyDescent="0.2">
      <c r="A915" s="110"/>
      <c r="B915" s="110"/>
      <c r="C915" s="39" t="s">
        <v>946</v>
      </c>
      <c r="D915" s="39"/>
    </row>
    <row r="916" spans="1:5" x14ac:dyDescent="0.2">
      <c r="A916" s="110"/>
      <c r="B916" s="110"/>
      <c r="C916" s="39" t="s">
        <v>947</v>
      </c>
      <c r="D916" s="39"/>
    </row>
    <row r="917" spans="1:5" x14ac:dyDescent="0.2">
      <c r="A917" s="110"/>
      <c r="B917" s="110"/>
      <c r="C917" s="39" t="s">
        <v>948</v>
      </c>
      <c r="D917" s="39"/>
    </row>
    <row r="918" spans="1:5" x14ac:dyDescent="0.2">
      <c r="A918" s="110"/>
      <c r="B918" s="110"/>
      <c r="C918" s="44" t="s">
        <v>949</v>
      </c>
      <c r="D918" s="44"/>
    </row>
    <row r="919" spans="1:5" x14ac:dyDescent="0.2">
      <c r="A919" s="110"/>
      <c r="B919" s="110"/>
      <c r="C919" s="44" t="s">
        <v>950</v>
      </c>
      <c r="D919" s="44"/>
    </row>
    <row r="920" spans="1:5" ht="15" x14ac:dyDescent="0.25">
      <c r="A920" s="115" t="s">
        <v>31</v>
      </c>
      <c r="B920" s="115" t="s">
        <v>54</v>
      </c>
      <c r="C920" s="42" t="s">
        <v>981</v>
      </c>
      <c r="D920" s="42"/>
      <c r="E920" s="43"/>
    </row>
    <row r="921" spans="1:5" ht="15" x14ac:dyDescent="0.25">
      <c r="A921" s="104"/>
      <c r="B921" s="104"/>
      <c r="C921" s="42" t="s">
        <v>982</v>
      </c>
      <c r="D921" s="42"/>
      <c r="E921" s="43"/>
    </row>
    <row r="922" spans="1:5" ht="15" x14ac:dyDescent="0.25">
      <c r="A922" s="104"/>
      <c r="B922" s="104"/>
      <c r="C922" s="37" t="s">
        <v>983</v>
      </c>
      <c r="D922" s="37"/>
      <c r="E922" s="43"/>
    </row>
    <row r="923" spans="1:5" ht="15" x14ac:dyDescent="0.25">
      <c r="A923" s="104"/>
      <c r="B923" s="104"/>
      <c r="C923" s="37" t="s">
        <v>984</v>
      </c>
      <c r="D923" s="37"/>
      <c r="E923" s="43"/>
    </row>
    <row r="924" spans="1:5" ht="15" x14ac:dyDescent="0.25">
      <c r="A924" s="104"/>
      <c r="B924" s="104"/>
      <c r="C924" s="37" t="s">
        <v>985</v>
      </c>
      <c r="D924" s="37"/>
      <c r="E924" s="43"/>
    </row>
    <row r="925" spans="1:5" x14ac:dyDescent="0.2">
      <c r="A925" s="104"/>
      <c r="B925" s="104"/>
      <c r="C925" s="37" t="s">
        <v>314</v>
      </c>
      <c r="D925" s="37"/>
    </row>
    <row r="926" spans="1:5" x14ac:dyDescent="0.2">
      <c r="A926" s="116" t="s">
        <v>32</v>
      </c>
      <c r="B926" s="116" t="s">
        <v>54</v>
      </c>
      <c r="C926" s="39" t="s">
        <v>986</v>
      </c>
      <c r="D926" s="39"/>
    </row>
    <row r="927" spans="1:5" x14ac:dyDescent="0.2">
      <c r="A927" s="110"/>
      <c r="B927" s="110"/>
      <c r="C927" s="39" t="s">
        <v>987</v>
      </c>
      <c r="D927" s="39"/>
    </row>
    <row r="928" spans="1:5" x14ac:dyDescent="0.2">
      <c r="A928" s="110"/>
      <c r="B928" s="110"/>
      <c r="C928" s="39" t="s">
        <v>988</v>
      </c>
      <c r="D928" s="39"/>
    </row>
    <row r="929" spans="1:5" x14ac:dyDescent="0.2">
      <c r="A929" s="64" t="s">
        <v>33</v>
      </c>
      <c r="B929" s="64" t="s">
        <v>54</v>
      </c>
      <c r="C929" s="42" t="s">
        <v>989</v>
      </c>
      <c r="D929" s="42"/>
    </row>
    <row r="930" spans="1:5" x14ac:dyDescent="0.2">
      <c r="A930" s="65"/>
      <c r="B930" s="65"/>
      <c r="C930" s="42" t="s">
        <v>754</v>
      </c>
      <c r="D930" s="42"/>
    </row>
    <row r="931" spans="1:5" x14ac:dyDescent="0.2">
      <c r="A931" s="65"/>
      <c r="B931" s="65"/>
      <c r="C931" s="37" t="s">
        <v>951</v>
      </c>
      <c r="D931" s="37"/>
    </row>
    <row r="932" spans="1:5" x14ac:dyDescent="0.2">
      <c r="A932" s="65"/>
      <c r="B932" s="65"/>
      <c r="C932" s="37" t="s">
        <v>755</v>
      </c>
      <c r="D932" s="37"/>
    </row>
    <row r="933" spans="1:5" x14ac:dyDescent="0.2">
      <c r="A933" s="65"/>
      <c r="B933" s="65"/>
      <c r="C933" s="37" t="s">
        <v>314</v>
      </c>
      <c r="D933" s="37"/>
    </row>
    <row r="934" spans="1:5" x14ac:dyDescent="0.2">
      <c r="A934" s="68" t="s">
        <v>34</v>
      </c>
      <c r="B934" s="68" t="s">
        <v>54</v>
      </c>
      <c r="C934" s="44" t="s">
        <v>951</v>
      </c>
      <c r="D934" s="44"/>
    </row>
    <row r="935" spans="1:5" x14ac:dyDescent="0.2">
      <c r="A935" s="69"/>
      <c r="B935" s="69"/>
      <c r="C935" s="44" t="s">
        <v>754</v>
      </c>
      <c r="D935" s="44"/>
    </row>
    <row r="936" spans="1:5" x14ac:dyDescent="0.2">
      <c r="A936" s="69"/>
      <c r="B936" s="69"/>
      <c r="C936" s="39" t="s">
        <v>755</v>
      </c>
      <c r="D936" s="39"/>
    </row>
    <row r="937" spans="1:5" x14ac:dyDescent="0.2">
      <c r="A937" s="69"/>
      <c r="B937" s="69"/>
      <c r="C937" s="39" t="s">
        <v>756</v>
      </c>
      <c r="D937" s="39"/>
    </row>
    <row r="938" spans="1:5" x14ac:dyDescent="0.2">
      <c r="A938" s="69"/>
      <c r="B938" s="69"/>
      <c r="C938" s="39" t="s">
        <v>990</v>
      </c>
      <c r="D938" s="39"/>
    </row>
    <row r="939" spans="1:5" x14ac:dyDescent="0.2">
      <c r="A939" s="69"/>
      <c r="B939" s="69"/>
      <c r="C939" s="44" t="s">
        <v>990</v>
      </c>
      <c r="D939" s="44"/>
    </row>
    <row r="940" spans="1:5" x14ac:dyDescent="0.2">
      <c r="A940" s="69"/>
      <c r="B940" s="69"/>
      <c r="C940" s="44" t="s">
        <v>953</v>
      </c>
      <c r="D940" s="44"/>
    </row>
    <row r="941" spans="1:5" x14ac:dyDescent="0.2">
      <c r="A941" s="69"/>
      <c r="B941" s="69"/>
      <c r="C941" s="39" t="s">
        <v>954</v>
      </c>
      <c r="D941" s="39"/>
    </row>
    <row r="942" spans="1:5" x14ac:dyDescent="0.2">
      <c r="A942" s="69"/>
      <c r="B942" s="69"/>
      <c r="C942" s="44" t="s">
        <v>955</v>
      </c>
      <c r="D942" s="44"/>
    </row>
    <row r="943" spans="1:5" x14ac:dyDescent="0.2">
      <c r="A943" s="69"/>
      <c r="B943" s="69"/>
      <c r="C943" s="44" t="s">
        <v>989</v>
      </c>
      <c r="D943" s="44"/>
    </row>
    <row r="944" spans="1:5" x14ac:dyDescent="0.2">
      <c r="A944" s="69"/>
      <c r="B944" s="69"/>
      <c r="C944" s="39" t="s">
        <v>991</v>
      </c>
      <c r="D944" s="39" t="s">
        <v>991</v>
      </c>
      <c r="E944" t="s">
        <v>214</v>
      </c>
    </row>
    <row r="945" spans="1:4" x14ac:dyDescent="0.2">
      <c r="A945" s="89"/>
      <c r="B945" s="89"/>
      <c r="C945" s="39" t="s">
        <v>314</v>
      </c>
      <c r="D945" s="39"/>
    </row>
    <row r="946" spans="1:4" ht="14.25" customHeight="1" x14ac:dyDescent="0.2">
      <c r="A946" s="64" t="s">
        <v>35</v>
      </c>
      <c r="B946" s="64" t="s">
        <v>54</v>
      </c>
      <c r="C946" s="42" t="s">
        <v>992</v>
      </c>
      <c r="D946" s="42"/>
    </row>
    <row r="947" spans="1:4" x14ac:dyDescent="0.2">
      <c r="A947" s="65"/>
      <c r="B947" s="65"/>
      <c r="C947" s="42" t="s">
        <v>993</v>
      </c>
      <c r="D947" s="42"/>
    </row>
    <row r="948" spans="1:4" x14ac:dyDescent="0.2">
      <c r="A948" s="65"/>
      <c r="B948" s="65"/>
      <c r="C948" s="37" t="s">
        <v>994</v>
      </c>
      <c r="D948" s="37"/>
    </row>
    <row r="949" spans="1:4" x14ac:dyDescent="0.2">
      <c r="A949" s="65"/>
      <c r="B949" s="65"/>
      <c r="C949" s="37" t="s">
        <v>995</v>
      </c>
      <c r="D949" s="37"/>
    </row>
    <row r="950" spans="1:4" x14ac:dyDescent="0.2">
      <c r="A950" s="65"/>
      <c r="B950" s="65"/>
      <c r="C950" s="37" t="s">
        <v>996</v>
      </c>
      <c r="D950" s="37"/>
    </row>
    <row r="951" spans="1:4" x14ac:dyDescent="0.2">
      <c r="A951" s="65"/>
      <c r="B951" s="65"/>
      <c r="C951" s="42" t="s">
        <v>765</v>
      </c>
      <c r="D951" s="42"/>
    </row>
    <row r="952" spans="1:4" x14ac:dyDescent="0.2">
      <c r="A952" s="65"/>
      <c r="B952" s="65"/>
      <c r="C952" s="42" t="s">
        <v>989</v>
      </c>
      <c r="D952" s="42"/>
    </row>
    <row r="953" spans="1:4" x14ac:dyDescent="0.2">
      <c r="A953" s="65"/>
      <c r="B953" s="65"/>
      <c r="C953" s="37" t="s">
        <v>997</v>
      </c>
      <c r="D953" s="37" t="s">
        <v>998</v>
      </c>
    </row>
    <row r="954" spans="1:4" x14ac:dyDescent="0.2">
      <c r="A954" s="65"/>
      <c r="B954" s="65"/>
      <c r="C954" s="37" t="s">
        <v>961</v>
      </c>
      <c r="D954" s="37" t="s">
        <v>962</v>
      </c>
    </row>
    <row r="955" spans="1:4" x14ac:dyDescent="0.2">
      <c r="A955" s="65"/>
      <c r="B955" s="65"/>
      <c r="C955" s="37" t="s">
        <v>314</v>
      </c>
      <c r="D955" s="37"/>
    </row>
    <row r="956" spans="1:4" x14ac:dyDescent="0.2">
      <c r="A956" s="68" t="s">
        <v>36</v>
      </c>
      <c r="B956" s="68" t="s">
        <v>54</v>
      </c>
      <c r="C956" s="39" t="s">
        <v>999</v>
      </c>
      <c r="D956" s="39"/>
    </row>
    <row r="957" spans="1:4" x14ac:dyDescent="0.2">
      <c r="A957" s="69"/>
      <c r="B957" s="69"/>
      <c r="C957" s="39" t="s">
        <v>1000</v>
      </c>
      <c r="D957" s="39"/>
    </row>
    <row r="958" spans="1:4" x14ac:dyDescent="0.2">
      <c r="A958" s="69"/>
      <c r="B958" s="69"/>
      <c r="C958" s="39" t="s">
        <v>1001</v>
      </c>
      <c r="D958" s="39"/>
    </row>
    <row r="959" spans="1:4" x14ac:dyDescent="0.2">
      <c r="A959" s="69"/>
      <c r="B959" s="69"/>
      <c r="C959" s="39" t="s">
        <v>1002</v>
      </c>
      <c r="D959" s="39"/>
    </row>
    <row r="960" spans="1:4" x14ac:dyDescent="0.2">
      <c r="A960" s="69"/>
      <c r="B960" s="69"/>
      <c r="C960" s="39" t="s">
        <v>1003</v>
      </c>
      <c r="D960" s="39"/>
    </row>
    <row r="961" spans="1:5" x14ac:dyDescent="0.2">
      <c r="A961" s="69"/>
      <c r="B961" s="69"/>
      <c r="C961" s="39" t="s">
        <v>1004</v>
      </c>
      <c r="D961" s="39"/>
    </row>
    <row r="962" spans="1:5" x14ac:dyDescent="0.2">
      <c r="A962" s="69"/>
      <c r="B962" s="69"/>
      <c r="C962" s="39" t="s">
        <v>1005</v>
      </c>
      <c r="D962" s="39"/>
    </row>
    <row r="963" spans="1:5" x14ac:dyDescent="0.2">
      <c r="A963" s="69"/>
      <c r="B963" s="69"/>
      <c r="C963" s="39" t="s">
        <v>848</v>
      </c>
      <c r="D963" s="39"/>
      <c r="E963" t="s">
        <v>214</v>
      </c>
    </row>
    <row r="964" spans="1:5" x14ac:dyDescent="0.2">
      <c r="A964" s="70" t="s">
        <v>38</v>
      </c>
      <c r="B964" s="64" t="s">
        <v>54</v>
      </c>
      <c r="C964" s="37" t="s">
        <v>971</v>
      </c>
      <c r="D964" s="37"/>
    </row>
    <row r="965" spans="1:5" x14ac:dyDescent="0.2">
      <c r="A965" s="71"/>
      <c r="B965" s="65"/>
      <c r="C965" s="37" t="s">
        <v>972</v>
      </c>
      <c r="D965" s="37"/>
    </row>
    <row r="966" spans="1:5" x14ac:dyDescent="0.2">
      <c r="A966" s="71"/>
      <c r="B966" s="65"/>
      <c r="C966" s="37" t="s">
        <v>746</v>
      </c>
      <c r="D966" s="37"/>
    </row>
    <row r="967" spans="1:5" x14ac:dyDescent="0.2">
      <c r="A967" s="71"/>
      <c r="B967" s="65"/>
      <c r="C967" s="37" t="s">
        <v>973</v>
      </c>
      <c r="D967" s="37"/>
    </row>
    <row r="968" spans="1:5" x14ac:dyDescent="0.2">
      <c r="A968" s="71"/>
      <c r="B968" s="65"/>
      <c r="C968" s="37" t="s">
        <v>974</v>
      </c>
      <c r="D968" s="37"/>
    </row>
    <row r="969" spans="1:5" x14ac:dyDescent="0.2">
      <c r="A969" s="71"/>
      <c r="B969" s="65"/>
      <c r="C969" s="37" t="s">
        <v>1006</v>
      </c>
      <c r="D969" s="37"/>
      <c r="E969" t="s">
        <v>214</v>
      </c>
    </row>
    <row r="970" spans="1:5" x14ac:dyDescent="0.2">
      <c r="A970" s="72" t="s">
        <v>40</v>
      </c>
      <c r="B970" s="68" t="s">
        <v>54</v>
      </c>
      <c r="C970" s="39" t="s">
        <v>1007</v>
      </c>
      <c r="D970" s="39"/>
    </row>
    <row r="971" spans="1:5" x14ac:dyDescent="0.2">
      <c r="A971" s="73"/>
      <c r="B971" s="69"/>
      <c r="C971" s="39" t="s">
        <v>1008</v>
      </c>
      <c r="D971" s="39"/>
    </row>
    <row r="972" spans="1:5" x14ac:dyDescent="0.2">
      <c r="A972" s="73"/>
      <c r="B972" s="69"/>
      <c r="C972" s="39" t="s">
        <v>1009</v>
      </c>
      <c r="D972" s="39"/>
    </row>
    <row r="973" spans="1:5" x14ac:dyDescent="0.2">
      <c r="A973" s="73"/>
      <c r="B973" s="69"/>
      <c r="C973" s="39" t="s">
        <v>1010</v>
      </c>
      <c r="D973" s="39"/>
    </row>
    <row r="974" spans="1:5" x14ac:dyDescent="0.2">
      <c r="A974" s="73"/>
      <c r="B974" s="69"/>
      <c r="C974" s="39" t="s">
        <v>1011</v>
      </c>
      <c r="D974" s="39"/>
    </row>
    <row r="975" spans="1:5" x14ac:dyDescent="0.2">
      <c r="A975" s="73"/>
      <c r="B975" s="69"/>
      <c r="C975" s="39" t="s">
        <v>1012</v>
      </c>
      <c r="D975" s="39"/>
    </row>
    <row r="976" spans="1:5" x14ac:dyDescent="0.2">
      <c r="A976" s="90"/>
      <c r="B976" s="89"/>
      <c r="C976" s="39" t="s">
        <v>314</v>
      </c>
      <c r="D976" s="39"/>
    </row>
    <row r="977" spans="1:5" x14ac:dyDescent="0.2">
      <c r="A977" s="64" t="s">
        <v>39</v>
      </c>
      <c r="B977" s="64" t="s">
        <v>54</v>
      </c>
      <c r="C977" s="37" t="s">
        <v>1013</v>
      </c>
      <c r="D977" s="37"/>
      <c r="E977" t="s">
        <v>1014</v>
      </c>
    </row>
    <row r="978" spans="1:5" x14ac:dyDescent="0.2">
      <c r="A978" s="65"/>
      <c r="B978" s="65"/>
      <c r="C978" s="37" t="s">
        <v>1015</v>
      </c>
      <c r="D978" s="37"/>
    </row>
    <row r="979" spans="1:5" x14ac:dyDescent="0.2">
      <c r="A979" s="65"/>
      <c r="B979" s="65"/>
      <c r="C979" s="37" t="s">
        <v>1016</v>
      </c>
      <c r="D979" s="37"/>
    </row>
    <row r="980" spans="1:5" x14ac:dyDescent="0.2">
      <c r="A980" s="65"/>
      <c r="B980" s="65"/>
      <c r="C980" s="37" t="s">
        <v>1017</v>
      </c>
      <c r="D980" s="37"/>
    </row>
    <row r="981" spans="1:5" x14ac:dyDescent="0.2">
      <c r="A981" s="65"/>
      <c r="B981" s="65"/>
      <c r="C981" s="37" t="s">
        <v>1018</v>
      </c>
      <c r="D981" s="37"/>
    </row>
    <row r="982" spans="1:5" x14ac:dyDescent="0.2">
      <c r="A982" s="65"/>
      <c r="B982" s="65"/>
      <c r="C982" s="37" t="s">
        <v>1019</v>
      </c>
      <c r="D982" s="37"/>
    </row>
    <row r="983" spans="1:5" x14ac:dyDescent="0.2">
      <c r="A983" s="65"/>
      <c r="B983" s="65"/>
      <c r="C983" s="37" t="s">
        <v>1020</v>
      </c>
      <c r="D983" s="37"/>
    </row>
    <row r="984" spans="1:5" x14ac:dyDescent="0.2">
      <c r="A984" s="65"/>
      <c r="B984" s="65"/>
      <c r="C984" s="37" t="s">
        <v>1021</v>
      </c>
      <c r="D984" s="37"/>
    </row>
    <row r="985" spans="1:5" x14ac:dyDescent="0.2">
      <c r="A985" s="65"/>
      <c r="B985" s="65"/>
      <c r="C985" s="37" t="s">
        <v>1022</v>
      </c>
      <c r="D985" s="37" t="s">
        <v>1023</v>
      </c>
      <c r="E985" t="s">
        <v>214</v>
      </c>
    </row>
    <row r="986" spans="1:5" x14ac:dyDescent="0.2">
      <c r="A986" s="72" t="s">
        <v>41</v>
      </c>
      <c r="B986" s="68" t="s">
        <v>54</v>
      </c>
      <c r="C986" s="39" t="s">
        <v>975</v>
      </c>
      <c r="D986" s="39"/>
    </row>
    <row r="987" spans="1:5" x14ac:dyDescent="0.2">
      <c r="A987" s="73"/>
      <c r="B987" s="69"/>
      <c r="C987" s="39" t="s">
        <v>976</v>
      </c>
      <c r="D987" s="39"/>
    </row>
    <row r="988" spans="1:5" x14ac:dyDescent="0.2">
      <c r="A988" s="73"/>
      <c r="B988" s="69"/>
      <c r="C988" s="39" t="s">
        <v>1024</v>
      </c>
      <c r="D988" s="39"/>
    </row>
    <row r="989" spans="1:5" x14ac:dyDescent="0.2">
      <c r="A989" s="73"/>
      <c r="B989" s="69"/>
      <c r="C989" s="39" t="s">
        <v>1025</v>
      </c>
      <c r="D989" s="39"/>
    </row>
    <row r="990" spans="1:5" x14ac:dyDescent="0.2">
      <c r="A990" s="73"/>
      <c r="B990" s="69"/>
      <c r="C990" s="39" t="s">
        <v>1026</v>
      </c>
      <c r="D990" s="39"/>
    </row>
    <row r="991" spans="1:5" x14ac:dyDescent="0.2">
      <c r="A991" s="73"/>
      <c r="B991" s="69"/>
      <c r="C991" s="39" t="s">
        <v>1027</v>
      </c>
      <c r="D991" s="39"/>
    </row>
    <row r="992" spans="1:5" x14ac:dyDescent="0.2">
      <c r="A992" s="64" t="s">
        <v>42</v>
      </c>
      <c r="B992" s="64" t="s">
        <v>54</v>
      </c>
      <c r="C992" s="37" t="s">
        <v>754</v>
      </c>
      <c r="D992" s="37"/>
    </row>
    <row r="993" spans="1:5" x14ac:dyDescent="0.2">
      <c r="A993" s="65"/>
      <c r="B993" s="65"/>
      <c r="C993" s="37" t="s">
        <v>951</v>
      </c>
      <c r="D993" s="37"/>
    </row>
    <row r="994" spans="1:5" x14ac:dyDescent="0.2">
      <c r="A994" s="65"/>
      <c r="B994" s="65"/>
      <c r="C994" s="37" t="s">
        <v>950</v>
      </c>
      <c r="D994" s="37"/>
    </row>
    <row r="995" spans="1:5" x14ac:dyDescent="0.2">
      <c r="A995" s="65"/>
      <c r="B995" s="65"/>
      <c r="C995" s="37" t="s">
        <v>755</v>
      </c>
      <c r="D995" s="37"/>
    </row>
    <row r="996" spans="1:5" x14ac:dyDescent="0.2">
      <c r="A996" s="65"/>
      <c r="B996" s="65"/>
      <c r="C996" s="37" t="s">
        <v>1028</v>
      </c>
      <c r="D996" s="37" t="s">
        <v>1029</v>
      </c>
    </row>
    <row r="997" spans="1:5" x14ac:dyDescent="0.2">
      <c r="A997" s="65"/>
      <c r="B997" s="65"/>
      <c r="C997" s="37" t="s">
        <v>314</v>
      </c>
      <c r="D997" s="37"/>
    </row>
    <row r="998" spans="1:5" x14ac:dyDescent="0.2">
      <c r="A998" s="68" t="s">
        <v>43</v>
      </c>
      <c r="B998" s="68" t="s">
        <v>54</v>
      </c>
      <c r="C998" s="39" t="s">
        <v>1030</v>
      </c>
      <c r="D998" s="39"/>
      <c r="E998" t="s">
        <v>1014</v>
      </c>
    </row>
    <row r="999" spans="1:5" x14ac:dyDescent="0.2">
      <c r="A999" s="69"/>
      <c r="B999" s="69"/>
      <c r="C999" s="39" t="s">
        <v>1031</v>
      </c>
      <c r="D999" s="39"/>
    </row>
    <row r="1000" spans="1:5" x14ac:dyDescent="0.2">
      <c r="A1000" s="64" t="s">
        <v>45</v>
      </c>
      <c r="B1000" s="64" t="s">
        <v>54</v>
      </c>
      <c r="C1000" s="37" t="s">
        <v>1032</v>
      </c>
      <c r="D1000" s="37"/>
    </row>
    <row r="1001" spans="1:5" x14ac:dyDescent="0.2">
      <c r="A1001" s="65"/>
      <c r="B1001" s="65"/>
      <c r="C1001" s="37" t="s">
        <v>1033</v>
      </c>
      <c r="D1001" s="37"/>
    </row>
    <row r="1002" spans="1:5" x14ac:dyDescent="0.2">
      <c r="A1002" s="65"/>
      <c r="B1002" s="65"/>
      <c r="C1002" s="37" t="s">
        <v>1034</v>
      </c>
      <c r="D1002" s="37"/>
    </row>
    <row r="1003" spans="1:5" x14ac:dyDescent="0.2">
      <c r="A1003" s="65"/>
      <c r="B1003" s="65"/>
      <c r="C1003" s="37" t="s">
        <v>1035</v>
      </c>
      <c r="D1003" s="37"/>
      <c r="E1003" t="s">
        <v>214</v>
      </c>
    </row>
    <row r="1004" spans="1:5" x14ac:dyDescent="0.2">
      <c r="A1004" s="65"/>
      <c r="B1004" s="65"/>
      <c r="C1004" s="37" t="s">
        <v>1036</v>
      </c>
      <c r="D1004" s="37"/>
    </row>
    <row r="1005" spans="1:5" x14ac:dyDescent="0.2">
      <c r="A1005" s="65"/>
      <c r="B1005" s="65"/>
      <c r="C1005" s="37" t="s">
        <v>1037</v>
      </c>
      <c r="D1005" s="37"/>
    </row>
    <row r="1006" spans="1:5" x14ac:dyDescent="0.2">
      <c r="A1006" s="65"/>
      <c r="B1006" s="65"/>
      <c r="C1006" s="37" t="s">
        <v>1038</v>
      </c>
      <c r="D1006" s="37"/>
      <c r="E1006" t="s">
        <v>214</v>
      </c>
    </row>
    <row r="1007" spans="1:5" x14ac:dyDescent="0.2">
      <c r="A1007" s="65"/>
      <c r="B1007" s="65"/>
      <c r="C1007" s="37" t="s">
        <v>1039</v>
      </c>
      <c r="D1007" s="37"/>
    </row>
    <row r="1008" spans="1:5" x14ac:dyDescent="0.2">
      <c r="A1008" s="65"/>
      <c r="B1008" s="65"/>
      <c r="C1008" s="37" t="s">
        <v>1040</v>
      </c>
      <c r="D1008" s="37"/>
    </row>
    <row r="1009" spans="1:4" x14ac:dyDescent="0.2">
      <c r="A1009" s="65"/>
      <c r="B1009" s="65"/>
      <c r="C1009" s="37" t="s">
        <v>1041</v>
      </c>
      <c r="D1009" s="37"/>
    </row>
    <row r="1010" spans="1:4" x14ac:dyDescent="0.2">
      <c r="A1010" s="65"/>
      <c r="B1010" s="65"/>
      <c r="C1010" s="37" t="s">
        <v>1042</v>
      </c>
      <c r="D1010" s="37"/>
    </row>
    <row r="1011" spans="1:4" x14ac:dyDescent="0.2">
      <c r="A1011" s="65"/>
      <c r="B1011" s="65"/>
      <c r="C1011" s="37" t="s">
        <v>1043</v>
      </c>
      <c r="D1011" s="37"/>
    </row>
    <row r="1012" spans="1:4" x14ac:dyDescent="0.2">
      <c r="A1012" s="65"/>
      <c r="B1012" s="65"/>
      <c r="C1012" s="37" t="s">
        <v>1044</v>
      </c>
      <c r="D1012" s="37"/>
    </row>
    <row r="1013" spans="1:4" x14ac:dyDescent="0.2">
      <c r="A1013" s="65"/>
      <c r="B1013" s="65"/>
      <c r="C1013" s="37" t="s">
        <v>1045</v>
      </c>
      <c r="D1013" s="37"/>
    </row>
    <row r="1014" spans="1:4" x14ac:dyDescent="0.2">
      <c r="A1014" s="65"/>
      <c r="B1014" s="65"/>
      <c r="C1014" s="37" t="s">
        <v>1046</v>
      </c>
      <c r="D1014" s="37"/>
    </row>
    <row r="1015" spans="1:4" x14ac:dyDescent="0.2">
      <c r="A1015" s="65"/>
      <c r="B1015" s="65"/>
      <c r="C1015" s="37" t="s">
        <v>1047</v>
      </c>
      <c r="D1015" s="37"/>
    </row>
    <row r="1016" spans="1:4" x14ac:dyDescent="0.2">
      <c r="A1016" s="65"/>
      <c r="B1016" s="65"/>
      <c r="C1016" s="37" t="s">
        <v>1048</v>
      </c>
      <c r="D1016" s="37"/>
    </row>
    <row r="1017" spans="1:4" x14ac:dyDescent="0.2">
      <c r="A1017" s="65"/>
      <c r="B1017" s="65"/>
      <c r="C1017" s="37" t="s">
        <v>1049</v>
      </c>
      <c r="D1017" s="37"/>
    </row>
    <row r="1018" spans="1:4" x14ac:dyDescent="0.2">
      <c r="A1018" s="65"/>
      <c r="B1018" s="65"/>
      <c r="C1018" s="37" t="s">
        <v>1050</v>
      </c>
      <c r="D1018" s="37"/>
    </row>
    <row r="1019" spans="1:4" x14ac:dyDescent="0.2">
      <c r="A1019" s="65"/>
      <c r="B1019" s="65"/>
      <c r="C1019" s="37" t="s">
        <v>1051</v>
      </c>
      <c r="D1019" s="37"/>
    </row>
    <row r="1020" spans="1:4" x14ac:dyDescent="0.2">
      <c r="A1020" s="65"/>
      <c r="B1020" s="65"/>
      <c r="C1020" s="37" t="s">
        <v>1052</v>
      </c>
      <c r="D1020" s="37"/>
    </row>
    <row r="1021" spans="1:4" x14ac:dyDescent="0.2">
      <c r="A1021" s="65"/>
      <c r="B1021" s="65"/>
      <c r="C1021" s="37" t="s">
        <v>1053</v>
      </c>
      <c r="D1021" s="37"/>
    </row>
    <row r="1022" spans="1:4" x14ac:dyDescent="0.2">
      <c r="A1022" s="65"/>
      <c r="B1022" s="65"/>
      <c r="C1022" s="37" t="s">
        <v>1054</v>
      </c>
      <c r="D1022" s="37"/>
    </row>
    <row r="1023" spans="1:4" x14ac:dyDescent="0.2">
      <c r="A1023" s="65"/>
      <c r="B1023" s="65"/>
      <c r="C1023" s="37" t="s">
        <v>1055</v>
      </c>
      <c r="D1023" s="37"/>
    </row>
    <row r="1024" spans="1:4" x14ac:dyDescent="0.2">
      <c r="A1024" s="65"/>
      <c r="B1024" s="65"/>
      <c r="C1024" s="37" t="s">
        <v>1056</v>
      </c>
      <c r="D1024" s="37"/>
    </row>
    <row r="1025" spans="1:5" x14ac:dyDescent="0.2">
      <c r="A1025" s="65"/>
      <c r="B1025" s="65"/>
      <c r="C1025" s="37" t="s">
        <v>1057</v>
      </c>
      <c r="D1025" s="37"/>
    </row>
    <row r="1026" spans="1:5" x14ac:dyDescent="0.2">
      <c r="A1026" s="65"/>
      <c r="B1026" s="65"/>
      <c r="C1026" s="37" t="s">
        <v>1058</v>
      </c>
      <c r="D1026" s="37"/>
    </row>
    <row r="1027" spans="1:5" x14ac:dyDescent="0.2">
      <c r="A1027" s="65"/>
      <c r="B1027" s="65"/>
      <c r="C1027" s="37" t="s">
        <v>1059</v>
      </c>
      <c r="D1027" s="37"/>
    </row>
    <row r="1028" spans="1:5" x14ac:dyDescent="0.2">
      <c r="A1028" s="65"/>
      <c r="B1028" s="65"/>
      <c r="C1028" s="37" t="s">
        <v>1060</v>
      </c>
      <c r="D1028" s="37"/>
    </row>
    <row r="1029" spans="1:5" x14ac:dyDescent="0.2">
      <c r="A1029" s="65"/>
      <c r="B1029" s="65"/>
      <c r="C1029" s="37" t="s">
        <v>1061</v>
      </c>
      <c r="D1029" s="37"/>
    </row>
    <row r="1030" spans="1:5" x14ac:dyDescent="0.2">
      <c r="A1030" s="65"/>
      <c r="B1030" s="65"/>
      <c r="C1030" s="37" t="s">
        <v>1062</v>
      </c>
      <c r="D1030" s="37"/>
    </row>
    <row r="1031" spans="1:5" x14ac:dyDescent="0.2">
      <c r="A1031" s="65"/>
      <c r="B1031" s="65"/>
      <c r="C1031" s="96" t="s">
        <v>1063</v>
      </c>
      <c r="D1031" s="37"/>
      <c r="E1031" t="s">
        <v>214</v>
      </c>
    </row>
    <row r="1032" spans="1:5" x14ac:dyDescent="0.2">
      <c r="A1032" s="65"/>
      <c r="B1032" s="65"/>
      <c r="C1032" s="37" t="s">
        <v>1064</v>
      </c>
      <c r="D1032" s="37"/>
    </row>
    <row r="1033" spans="1:5" x14ac:dyDescent="0.2">
      <c r="A1033" s="65"/>
      <c r="B1033" s="65"/>
      <c r="C1033" s="37" t="s">
        <v>314</v>
      </c>
      <c r="D1033" s="37"/>
    </row>
    <row r="1034" spans="1:5" x14ac:dyDescent="0.2">
      <c r="A1034" s="48" t="s">
        <v>44</v>
      </c>
      <c r="B1034" s="48" t="s">
        <v>54</v>
      </c>
      <c r="C1034" s="39" t="s">
        <v>1065</v>
      </c>
      <c r="D1034" s="39"/>
      <c r="E1034" t="s">
        <v>1014</v>
      </c>
    </row>
    <row r="1035" spans="1:5" x14ac:dyDescent="0.2">
      <c r="A1035" s="49"/>
      <c r="B1035" s="49"/>
      <c r="C1035" s="39" t="s">
        <v>1066</v>
      </c>
      <c r="D1035" s="39"/>
    </row>
    <row r="1036" spans="1:5" x14ac:dyDescent="0.2">
      <c r="A1036" s="49"/>
      <c r="B1036" s="49"/>
      <c r="C1036" s="39" t="s">
        <v>314</v>
      </c>
      <c r="D1036" s="39"/>
    </row>
    <row r="1037" spans="1:5" x14ac:dyDescent="0.2">
      <c r="A1037" s="64" t="s">
        <v>1067</v>
      </c>
      <c r="B1037" s="64" t="s">
        <v>54</v>
      </c>
      <c r="C1037" s="37" t="s">
        <v>1068</v>
      </c>
      <c r="D1037" s="37"/>
    </row>
    <row r="1038" spans="1:5" x14ac:dyDescent="0.2">
      <c r="A1038" s="65"/>
      <c r="B1038" s="65"/>
      <c r="C1038" s="37" t="s">
        <v>1069</v>
      </c>
      <c r="D1038" s="37" t="s">
        <v>1070</v>
      </c>
    </row>
    <row r="1039" spans="1:5" x14ac:dyDescent="0.2">
      <c r="A1039" s="65"/>
      <c r="B1039" s="65"/>
      <c r="C1039" s="37" t="s">
        <v>1071</v>
      </c>
      <c r="D1039" s="37" t="s">
        <v>1072</v>
      </c>
    </row>
    <row r="1040" spans="1:5" x14ac:dyDescent="0.2">
      <c r="A1040" s="65"/>
      <c r="B1040" s="65"/>
      <c r="C1040" s="37" t="s">
        <v>1073</v>
      </c>
      <c r="D1040" s="37" t="s">
        <v>1074</v>
      </c>
    </row>
    <row r="1044" spans="4:4" x14ac:dyDescent="0.2">
      <c r="D1044" s="13"/>
    </row>
    <row r="1045" spans="4:4" x14ac:dyDescent="0.2">
      <c r="D1045" s="13"/>
    </row>
    <row r="1046" spans="4:4" x14ac:dyDescent="0.2">
      <c r="D1046" s="13"/>
    </row>
    <row r="1047" spans="4:4" x14ac:dyDescent="0.2">
      <c r="D1047" s="13"/>
    </row>
    <row r="1072" spans="3:3" x14ac:dyDescent="0.2">
      <c r="C1072"/>
    </row>
    <row r="1073" spans="1:8" s="10" customFormat="1" x14ac:dyDescent="0.2">
      <c r="A1073" s="98"/>
      <c r="B1073"/>
      <c r="C1073"/>
      <c r="D1073" s="98"/>
      <c r="E1073"/>
      <c r="F1073"/>
      <c r="G1073"/>
      <c r="H1073"/>
    </row>
    <row r="1074" spans="1:8" s="10" customFormat="1" x14ac:dyDescent="0.2">
      <c r="A1074" s="117"/>
      <c r="B1074"/>
      <c r="C1074"/>
      <c r="D1074" s="98"/>
      <c r="E1074"/>
      <c r="F1074"/>
      <c r="G1074"/>
      <c r="H1074"/>
    </row>
    <row r="1075" spans="1:8" s="10" customFormat="1" x14ac:dyDescent="0.2">
      <c r="A1075" s="98"/>
      <c r="B1075"/>
      <c r="C1075" s="13"/>
      <c r="D1075" s="98"/>
      <c r="E1075"/>
      <c r="F1075"/>
      <c r="G1075"/>
      <c r="H1075"/>
    </row>
    <row r="1076" spans="1:8" s="10" customFormat="1" x14ac:dyDescent="0.2">
      <c r="A1076" s="98"/>
      <c r="B1076"/>
      <c r="C1076" s="13" t="s">
        <v>309</v>
      </c>
      <c r="D1076" s="98"/>
      <c r="E1076"/>
      <c r="F1076"/>
      <c r="G1076"/>
      <c r="H1076"/>
    </row>
    <row r="1077" spans="1:8" s="10" customFormat="1" x14ac:dyDescent="0.2">
      <c r="A1077" s="98"/>
      <c r="B1077"/>
      <c r="C1077" s="13" t="s">
        <v>80</v>
      </c>
      <c r="D1077" s="98"/>
      <c r="E1077"/>
      <c r="F1077"/>
      <c r="G1077"/>
      <c r="H1077"/>
    </row>
    <row r="1078" spans="1:8" s="10" customFormat="1" x14ac:dyDescent="0.2">
      <c r="A1078" s="98"/>
      <c r="B1078"/>
      <c r="C1078" s="13" t="s">
        <v>310</v>
      </c>
      <c r="D1078" s="98"/>
      <c r="E1078"/>
      <c r="F1078"/>
      <c r="G1078"/>
      <c r="H1078"/>
    </row>
    <row r="1079" spans="1:8" s="10" customFormat="1" x14ac:dyDescent="0.2">
      <c r="A1079" s="98"/>
      <c r="B1079"/>
      <c r="C1079" s="13" t="s">
        <v>313</v>
      </c>
      <c r="D1079" s="98"/>
      <c r="E1079"/>
      <c r="F1079"/>
      <c r="G1079"/>
      <c r="H1079"/>
    </row>
    <row r="1080" spans="1:8" s="10" customFormat="1" x14ac:dyDescent="0.2">
      <c r="A1080" s="98"/>
      <c r="B1080"/>
      <c r="C1080" s="13"/>
      <c r="D1080" s="98"/>
      <c r="E1080"/>
      <c r="F1080"/>
      <c r="G1080"/>
      <c r="H1080"/>
    </row>
    <row r="1081" spans="1:8" s="10" customFormat="1" x14ac:dyDescent="0.2">
      <c r="A1081" s="98"/>
      <c r="B1081"/>
      <c r="C1081" s="13" t="s">
        <v>309</v>
      </c>
      <c r="D1081" s="98"/>
      <c r="E1081"/>
      <c r="F1081"/>
      <c r="G1081"/>
      <c r="H1081"/>
    </row>
    <row r="1082" spans="1:8" s="10" customFormat="1" x14ac:dyDescent="0.2">
      <c r="A1082" s="98"/>
      <c r="B1082"/>
      <c r="C1082" s="13" t="s">
        <v>80</v>
      </c>
      <c r="D1082" s="98"/>
      <c r="E1082"/>
      <c r="F1082"/>
      <c r="G1082"/>
      <c r="H1082"/>
    </row>
    <row r="1083" spans="1:8" s="10" customFormat="1" x14ac:dyDescent="0.2">
      <c r="A1083" s="98"/>
      <c r="B1083"/>
      <c r="C1083" s="13" t="s">
        <v>310</v>
      </c>
      <c r="D1083" s="98"/>
      <c r="E1083"/>
      <c r="F1083"/>
      <c r="G1083"/>
      <c r="H1083"/>
    </row>
    <row r="1084" spans="1:8" s="10" customFormat="1" x14ac:dyDescent="0.2">
      <c r="A1084" s="98"/>
      <c r="B1084"/>
      <c r="C1084" s="13" t="s">
        <v>313</v>
      </c>
      <c r="D1084" s="98"/>
      <c r="E1084"/>
      <c r="F1084"/>
      <c r="G1084"/>
      <c r="H1084"/>
    </row>
    <row r="1085" spans="1:8" s="10" customFormat="1" x14ac:dyDescent="0.2">
      <c r="A1085" s="98"/>
      <c r="B1085"/>
      <c r="C1085" s="13" t="s">
        <v>311</v>
      </c>
      <c r="D1085" s="98"/>
      <c r="E1085"/>
      <c r="F1085"/>
      <c r="G1085"/>
      <c r="H1085"/>
    </row>
    <row r="1086" spans="1:8" s="10" customFormat="1" x14ac:dyDescent="0.2">
      <c r="A1086" s="98"/>
      <c r="B1086"/>
      <c r="C1086" s="13"/>
      <c r="D1086" s="98"/>
      <c r="E1086"/>
      <c r="F1086"/>
      <c r="G1086"/>
      <c r="H1086"/>
    </row>
    <row r="1087" spans="1:8" s="10" customFormat="1" x14ac:dyDescent="0.2">
      <c r="A1087" s="98"/>
      <c r="B1087"/>
      <c r="C1087" s="13" t="s">
        <v>309</v>
      </c>
      <c r="D1087" s="98"/>
      <c r="E1087"/>
      <c r="F1087"/>
      <c r="G1087"/>
      <c r="H1087"/>
    </row>
    <row r="1088" spans="1:8" s="10" customFormat="1" x14ac:dyDescent="0.2">
      <c r="A1088" s="98"/>
      <c r="B1088"/>
      <c r="C1088" s="13" t="s">
        <v>80</v>
      </c>
      <c r="D1088" s="98"/>
      <c r="E1088"/>
      <c r="F1088"/>
      <c r="G1088"/>
      <c r="H1088"/>
    </row>
    <row r="1089" spans="2:8" s="10" customFormat="1" x14ac:dyDescent="0.2">
      <c r="B1089"/>
      <c r="C1089" s="13" t="s">
        <v>313</v>
      </c>
      <c r="D1089" s="98"/>
      <c r="E1089"/>
      <c r="F1089"/>
      <c r="G1089"/>
      <c r="H1089"/>
    </row>
    <row r="1090" spans="2:8" s="10" customFormat="1" x14ac:dyDescent="0.2">
      <c r="B1090"/>
      <c r="C1090" s="13"/>
      <c r="D1090" s="98"/>
      <c r="E1090"/>
      <c r="F1090"/>
      <c r="G1090"/>
      <c r="H1090"/>
    </row>
    <row r="1091" spans="2:8" s="10" customFormat="1" x14ac:dyDescent="0.2">
      <c r="B1091"/>
      <c r="C1091" s="13" t="s">
        <v>886</v>
      </c>
      <c r="D1091" s="98"/>
      <c r="E1091"/>
      <c r="F1091"/>
      <c r="G1091"/>
      <c r="H1091"/>
    </row>
    <row r="1092" spans="2:8" s="10" customFormat="1" x14ac:dyDescent="0.2">
      <c r="B1092"/>
      <c r="C1092" s="13" t="s">
        <v>314</v>
      </c>
      <c r="D1092" s="98"/>
      <c r="E1092"/>
      <c r="F1092"/>
      <c r="G1092"/>
      <c r="H1092"/>
    </row>
    <row r="1093" spans="2:8" s="10" customFormat="1" x14ac:dyDescent="0.2">
      <c r="B1093"/>
      <c r="C1093" s="13"/>
      <c r="D1093" s="98"/>
      <c r="E1093"/>
      <c r="F1093"/>
      <c r="G1093"/>
      <c r="H1093"/>
    </row>
    <row r="1094" spans="2:8" s="10" customFormat="1" x14ac:dyDescent="0.2">
      <c r="B1094"/>
      <c r="C1094" s="13" t="s">
        <v>440</v>
      </c>
      <c r="D1094" s="98"/>
      <c r="E1094"/>
      <c r="F1094"/>
      <c r="G1094"/>
      <c r="H1094"/>
    </row>
    <row r="1095" spans="2:8" s="10" customFormat="1" x14ac:dyDescent="0.2">
      <c r="B1095"/>
      <c r="C1095" s="13" t="s">
        <v>740</v>
      </c>
      <c r="D1095" s="98"/>
      <c r="E1095"/>
      <c r="F1095"/>
      <c r="G1095"/>
      <c r="H1095"/>
    </row>
    <row r="1096" spans="2:8" s="10" customFormat="1" x14ac:dyDescent="0.2">
      <c r="B1096"/>
      <c r="C1096" s="13" t="s">
        <v>741</v>
      </c>
      <c r="D1096" s="98"/>
      <c r="E1096"/>
      <c r="F1096"/>
      <c r="G1096"/>
      <c r="H1096"/>
    </row>
    <row r="1097" spans="2:8" s="10" customFormat="1" x14ac:dyDescent="0.2">
      <c r="B1097"/>
      <c r="C1097" s="13" t="s">
        <v>744</v>
      </c>
      <c r="D1097" s="98"/>
      <c r="E1097"/>
      <c r="F1097"/>
      <c r="G1097"/>
      <c r="H1097"/>
    </row>
    <row r="1098" spans="2:8" s="10" customFormat="1" x14ac:dyDescent="0.2">
      <c r="B1098"/>
      <c r="C1098" s="13" t="s">
        <v>745</v>
      </c>
      <c r="D1098" s="98"/>
      <c r="E1098"/>
      <c r="F1098"/>
      <c r="G1098"/>
      <c r="H1098"/>
    </row>
    <row r="1099" spans="2:8" s="10" customFormat="1" x14ac:dyDescent="0.2">
      <c r="B1099"/>
      <c r="C1099" s="13" t="s">
        <v>746</v>
      </c>
      <c r="D1099" s="98"/>
      <c r="E1099"/>
      <c r="F1099"/>
      <c r="G1099"/>
      <c r="H1099"/>
    </row>
    <row r="1100" spans="2:8" s="10" customFormat="1" x14ac:dyDescent="0.2">
      <c r="B1100"/>
      <c r="C1100" s="13" t="s">
        <v>747</v>
      </c>
      <c r="D1100" s="98"/>
      <c r="E1100"/>
      <c r="F1100"/>
      <c r="G1100"/>
      <c r="H1100"/>
    </row>
    <row r="1101" spans="2:8" s="10" customFormat="1" x14ac:dyDescent="0.2">
      <c r="B1101"/>
      <c r="C1101" s="13" t="s">
        <v>748</v>
      </c>
      <c r="D1101" s="98"/>
      <c r="E1101"/>
      <c r="F1101"/>
      <c r="G1101"/>
      <c r="H1101"/>
    </row>
    <row r="1102" spans="2:8" s="10" customFormat="1" x14ac:dyDescent="0.2">
      <c r="B1102"/>
      <c r="C1102" s="13" t="s">
        <v>749</v>
      </c>
      <c r="D1102" s="98"/>
      <c r="E1102"/>
      <c r="F1102"/>
      <c r="G1102"/>
      <c r="H1102"/>
    </row>
    <row r="1103" spans="2:8" s="10" customFormat="1" x14ac:dyDescent="0.2">
      <c r="B1103"/>
      <c r="C1103" s="13" t="s">
        <v>751</v>
      </c>
      <c r="D1103" s="98"/>
      <c r="E1103"/>
      <c r="F1103"/>
      <c r="G1103"/>
      <c r="H1103"/>
    </row>
    <row r="1104" spans="2:8" s="10" customFormat="1" x14ac:dyDescent="0.2">
      <c r="B1104"/>
      <c r="C1104" s="13" t="s">
        <v>485</v>
      </c>
      <c r="D1104" s="98"/>
      <c r="E1104"/>
      <c r="F1104"/>
      <c r="G1104"/>
      <c r="H1104"/>
    </row>
    <row r="1105" spans="2:8" s="10" customFormat="1" x14ac:dyDescent="0.2">
      <c r="B1105"/>
      <c r="C1105" s="13" t="s">
        <v>314</v>
      </c>
      <c r="D1105" s="98"/>
      <c r="E1105"/>
      <c r="F1105"/>
      <c r="G1105"/>
      <c r="H1105"/>
    </row>
    <row r="1106" spans="2:8" s="10" customFormat="1" x14ac:dyDescent="0.2">
      <c r="B1106"/>
      <c r="C1106" s="13"/>
      <c r="D1106" s="98"/>
      <c r="E1106"/>
      <c r="F1106"/>
      <c r="G1106"/>
      <c r="H1106"/>
    </row>
    <row r="1107" spans="2:8" s="10" customFormat="1" x14ac:dyDescent="0.2">
      <c r="B1107"/>
      <c r="C1107" s="13"/>
      <c r="D1107" s="98"/>
      <c r="E1107"/>
      <c r="F1107"/>
      <c r="G1107"/>
      <c r="H1107"/>
    </row>
    <row r="1108" spans="2:8" x14ac:dyDescent="0.2">
      <c r="C1108" s="13" t="s">
        <v>884</v>
      </c>
      <c r="D1108" s="98"/>
    </row>
    <row r="1109" spans="2:8" s="10" customFormat="1" x14ac:dyDescent="0.2">
      <c r="B1109"/>
      <c r="C1109" s="13" t="s">
        <v>885</v>
      </c>
      <c r="D1109" s="98"/>
      <c r="E1109"/>
      <c r="F1109"/>
      <c r="G1109"/>
      <c r="H1109"/>
    </row>
    <row r="1110" spans="2:8" s="10" customFormat="1" x14ac:dyDescent="0.2">
      <c r="B1110"/>
      <c r="C1110" s="13" t="s">
        <v>887</v>
      </c>
      <c r="D1110" s="98"/>
      <c r="E1110"/>
      <c r="F1110"/>
      <c r="G1110"/>
      <c r="H1110"/>
    </row>
    <row r="1111" spans="2:8" s="10" customFormat="1" x14ac:dyDescent="0.2">
      <c r="B1111"/>
      <c r="C1111" s="13" t="s">
        <v>314</v>
      </c>
      <c r="D1111" s="98"/>
      <c r="E1111"/>
      <c r="F1111"/>
      <c r="G1111"/>
      <c r="H1111"/>
    </row>
    <row r="1112" spans="2:8" s="10" customFormat="1" x14ac:dyDescent="0.2">
      <c r="B1112"/>
      <c r="C1112" s="13"/>
      <c r="D1112" s="98"/>
      <c r="E1112"/>
      <c r="F1112"/>
      <c r="G1112"/>
      <c r="H1112"/>
    </row>
    <row r="1113" spans="2:8" s="10" customFormat="1" x14ac:dyDescent="0.2">
      <c r="B1113"/>
      <c r="C1113" s="13" t="s">
        <v>321</v>
      </c>
      <c r="D1113" s="98"/>
      <c r="E1113"/>
      <c r="F1113"/>
      <c r="G1113"/>
      <c r="H1113"/>
    </row>
    <row r="1114" spans="2:8" s="10" customFormat="1" x14ac:dyDescent="0.2">
      <c r="B1114"/>
      <c r="C1114" s="13" t="s">
        <v>322</v>
      </c>
      <c r="D1114" s="98"/>
      <c r="E1114"/>
      <c r="F1114"/>
      <c r="G1114"/>
      <c r="H1114"/>
    </row>
    <row r="1115" spans="2:8" s="10" customFormat="1" x14ac:dyDescent="0.2">
      <c r="B1115"/>
      <c r="C1115" s="13" t="s">
        <v>312</v>
      </c>
      <c r="D1115" s="98"/>
      <c r="E1115"/>
      <c r="F1115"/>
      <c r="G1115"/>
      <c r="H1115"/>
    </row>
    <row r="1116" spans="2:8" s="10" customFormat="1" x14ac:dyDescent="0.2">
      <c r="B1116"/>
      <c r="C1116" s="13" t="s">
        <v>314</v>
      </c>
      <c r="D1116" s="98"/>
      <c r="E1116"/>
      <c r="F1116"/>
      <c r="G1116"/>
      <c r="H1116"/>
    </row>
    <row r="1117" spans="2:8" s="10" customFormat="1" x14ac:dyDescent="0.2">
      <c r="B1117"/>
      <c r="C1117" s="13"/>
      <c r="D1117" s="98"/>
      <c r="E1117"/>
      <c r="F1117"/>
      <c r="G1117"/>
      <c r="H1117"/>
    </row>
    <row r="1118" spans="2:8" s="10" customFormat="1" x14ac:dyDescent="0.2">
      <c r="B1118"/>
      <c r="C1118" s="13" t="s">
        <v>325</v>
      </c>
      <c r="D1118" s="98"/>
      <c r="E1118"/>
      <c r="F1118"/>
      <c r="G1118"/>
      <c r="H1118"/>
    </row>
    <row r="1119" spans="2:8" s="10" customFormat="1" x14ac:dyDescent="0.2">
      <c r="B1119"/>
      <c r="C1119" s="13" t="s">
        <v>1075</v>
      </c>
      <c r="D1119" s="98"/>
      <c r="E1119"/>
      <c r="F1119"/>
      <c r="G1119"/>
      <c r="H1119"/>
    </row>
    <row r="1120" spans="2:8" s="10" customFormat="1" x14ac:dyDescent="0.2">
      <c r="B1120"/>
      <c r="C1120" s="13"/>
      <c r="D1120" s="98"/>
      <c r="E1120"/>
      <c r="F1120"/>
      <c r="G1120"/>
      <c r="H1120"/>
    </row>
    <row r="1121" spans="2:8" x14ac:dyDescent="0.2">
      <c r="C1121" s="13" t="s">
        <v>325</v>
      </c>
      <c r="D1121" s="98"/>
    </row>
    <row r="1122" spans="2:8" s="10" customFormat="1" x14ac:dyDescent="0.2">
      <c r="B1122"/>
      <c r="C1122" s="13" t="s">
        <v>327</v>
      </c>
      <c r="D1122" s="98"/>
      <c r="E1122"/>
      <c r="F1122"/>
      <c r="G1122"/>
      <c r="H1122"/>
    </row>
    <row r="1123" spans="2:8" s="10" customFormat="1" x14ac:dyDescent="0.2">
      <c r="B1123"/>
      <c r="C1123" s="13" t="s">
        <v>329</v>
      </c>
      <c r="D1123" s="98"/>
      <c r="E1123"/>
      <c r="F1123"/>
      <c r="G1123"/>
      <c r="H1123"/>
    </row>
    <row r="1124" spans="2:8" s="10" customFormat="1" x14ac:dyDescent="0.2">
      <c r="B1124"/>
      <c r="C1124" s="13" t="s">
        <v>331</v>
      </c>
      <c r="D1124" s="98"/>
      <c r="E1124"/>
      <c r="F1124"/>
      <c r="G1124"/>
      <c r="H1124"/>
    </row>
    <row r="1125" spans="2:8" x14ac:dyDescent="0.2">
      <c r="C1125" s="13" t="s">
        <v>336</v>
      </c>
      <c r="D1125" s="98"/>
    </row>
    <row r="1126" spans="2:8" x14ac:dyDescent="0.2">
      <c r="C1126" s="13" t="s">
        <v>314</v>
      </c>
      <c r="D1126" s="98"/>
    </row>
    <row r="1129" spans="2:8" x14ac:dyDescent="0.2">
      <c r="C1129" s="13" t="s">
        <v>436</v>
      </c>
      <c r="D1129" s="98"/>
    </row>
    <row r="1130" spans="2:8" x14ac:dyDescent="0.2">
      <c r="C1130" s="13" t="s">
        <v>437</v>
      </c>
      <c r="D1130" s="98"/>
    </row>
    <row r="1131" spans="2:8" x14ac:dyDescent="0.2">
      <c r="C1131" s="13" t="s">
        <v>439</v>
      </c>
      <c r="D1131" s="98"/>
    </row>
    <row r="1132" spans="2:8" x14ac:dyDescent="0.2">
      <c r="C1132" s="13" t="s">
        <v>440</v>
      </c>
      <c r="D1132" s="98"/>
    </row>
    <row r="1133" spans="2:8" x14ac:dyDescent="0.2">
      <c r="C1133" s="13" t="s">
        <v>441</v>
      </c>
      <c r="D1133" s="98"/>
    </row>
    <row r="1134" spans="2:8" x14ac:dyDescent="0.2">
      <c r="C1134" s="13" t="s">
        <v>443</v>
      </c>
      <c r="D1134" s="98"/>
    </row>
    <row r="1135" spans="2:8" x14ac:dyDescent="0.2">
      <c r="C1135" s="13" t="s">
        <v>444</v>
      </c>
      <c r="D1135" s="98"/>
    </row>
    <row r="1136" spans="2:8" x14ac:dyDescent="0.2">
      <c r="C1136" s="13" t="s">
        <v>445</v>
      </c>
      <c r="D1136" s="98"/>
    </row>
    <row r="1137" spans="3:3" x14ac:dyDescent="0.2">
      <c r="C1137" s="13" t="s">
        <v>446</v>
      </c>
    </row>
    <row r="1138" spans="3:3" x14ac:dyDescent="0.2">
      <c r="C1138" s="13" t="s">
        <v>447</v>
      </c>
    </row>
    <row r="1139" spans="3:3" x14ac:dyDescent="0.2">
      <c r="C1139" s="13" t="s">
        <v>448</v>
      </c>
    </row>
    <row r="1140" spans="3:3" x14ac:dyDescent="0.2">
      <c r="C1140" s="13" t="s">
        <v>449</v>
      </c>
    </row>
    <row r="1141" spans="3:3" x14ac:dyDescent="0.2">
      <c r="C1141" s="13" t="s">
        <v>450</v>
      </c>
    </row>
    <row r="1142" spans="3:3" x14ac:dyDescent="0.2">
      <c r="C1142" s="13" t="s">
        <v>451</v>
      </c>
    </row>
    <row r="1143" spans="3:3" x14ac:dyDescent="0.2">
      <c r="C1143" s="13" t="s">
        <v>452</v>
      </c>
    </row>
    <row r="1144" spans="3:3" x14ac:dyDescent="0.2">
      <c r="C1144" s="13" t="s">
        <v>454</v>
      </c>
    </row>
    <row r="1145" spans="3:3" x14ac:dyDescent="0.2">
      <c r="C1145" s="13" t="s">
        <v>455</v>
      </c>
    </row>
    <row r="1146" spans="3:3" x14ac:dyDescent="0.2">
      <c r="C1146" s="13" t="s">
        <v>456</v>
      </c>
    </row>
    <row r="1147" spans="3:3" x14ac:dyDescent="0.2">
      <c r="C1147" s="13" t="s">
        <v>458</v>
      </c>
    </row>
    <row r="1148" spans="3:3" x14ac:dyDescent="0.2">
      <c r="C1148" s="13" t="s">
        <v>459</v>
      </c>
    </row>
    <row r="1149" spans="3:3" x14ac:dyDescent="0.2">
      <c r="C1149" s="13" t="s">
        <v>460</v>
      </c>
    </row>
    <row r="1150" spans="3:3" x14ac:dyDescent="0.2">
      <c r="C1150" s="13" t="s">
        <v>461</v>
      </c>
    </row>
    <row r="1151" spans="3:3" x14ac:dyDescent="0.2">
      <c r="C1151" s="13" t="s">
        <v>462</v>
      </c>
    </row>
    <row r="1152" spans="3:3" x14ac:dyDescent="0.2">
      <c r="C1152" s="13" t="s">
        <v>463</v>
      </c>
    </row>
    <row r="1153" spans="3:3" x14ac:dyDescent="0.2">
      <c r="C1153" s="13" t="s">
        <v>464</v>
      </c>
    </row>
    <row r="1154" spans="3:3" x14ac:dyDescent="0.2">
      <c r="C1154" s="13" t="s">
        <v>465</v>
      </c>
    </row>
    <row r="1155" spans="3:3" x14ac:dyDescent="0.2">
      <c r="C1155" s="13" t="s">
        <v>466</v>
      </c>
    </row>
    <row r="1156" spans="3:3" x14ac:dyDescent="0.2">
      <c r="C1156" s="13" t="s">
        <v>467</v>
      </c>
    </row>
    <row r="1157" spans="3:3" x14ac:dyDescent="0.2">
      <c r="C1157" s="13" t="s">
        <v>468</v>
      </c>
    </row>
    <row r="1158" spans="3:3" x14ac:dyDescent="0.2">
      <c r="C1158" s="13" t="s">
        <v>469</v>
      </c>
    </row>
    <row r="1159" spans="3:3" x14ac:dyDescent="0.2">
      <c r="C1159" s="13" t="s">
        <v>470</v>
      </c>
    </row>
    <row r="1160" spans="3:3" x14ac:dyDescent="0.2">
      <c r="C1160" s="13" t="s">
        <v>471</v>
      </c>
    </row>
    <row r="1161" spans="3:3" x14ac:dyDescent="0.2">
      <c r="C1161" s="13" t="s">
        <v>472</v>
      </c>
    </row>
    <row r="1162" spans="3:3" x14ac:dyDescent="0.2">
      <c r="C1162" s="13" t="s">
        <v>24</v>
      </c>
    </row>
    <row r="1163" spans="3:3" ht="14.45" customHeight="1" x14ac:dyDescent="0.2">
      <c r="C1163" s="13" t="s">
        <v>473</v>
      </c>
    </row>
    <row r="1164" spans="3:3" x14ac:dyDescent="0.2">
      <c r="C1164" s="13" t="s">
        <v>475</v>
      </c>
    </row>
    <row r="1165" spans="3:3" x14ac:dyDescent="0.2">
      <c r="C1165" s="13" t="s">
        <v>476</v>
      </c>
    </row>
    <row r="1166" spans="3:3" x14ac:dyDescent="0.2">
      <c r="C1166" s="13" t="s">
        <v>477</v>
      </c>
    </row>
    <row r="1167" spans="3:3" x14ac:dyDescent="0.2">
      <c r="C1167" s="13" t="s">
        <v>478</v>
      </c>
    </row>
    <row r="1168" spans="3:3" x14ac:dyDescent="0.2">
      <c r="C1168" s="13" t="s">
        <v>480</v>
      </c>
    </row>
    <row r="1169" spans="3:3" x14ac:dyDescent="0.2">
      <c r="C1169" s="13" t="s">
        <v>484</v>
      </c>
    </row>
    <row r="1170" spans="3:3" x14ac:dyDescent="0.2">
      <c r="C1170" s="13" t="s">
        <v>314</v>
      </c>
    </row>
    <row r="1171" spans="3:3" x14ac:dyDescent="0.2">
      <c r="C1171" s="13" t="s">
        <v>486</v>
      </c>
    </row>
    <row r="1172" spans="3:3" x14ac:dyDescent="0.2">
      <c r="C1172" s="13" t="s">
        <v>487</v>
      </c>
    </row>
    <row r="1173" spans="3:3" x14ac:dyDescent="0.2">
      <c r="C1173" s="13" t="s">
        <v>488</v>
      </c>
    </row>
    <row r="1174" spans="3:3" x14ac:dyDescent="0.2">
      <c r="C1174" s="13" t="s">
        <v>489</v>
      </c>
    </row>
    <row r="1175" spans="3:3" x14ac:dyDescent="0.2">
      <c r="C1175" s="13" t="s">
        <v>490</v>
      </c>
    </row>
    <row r="1176" spans="3:3" x14ac:dyDescent="0.2">
      <c r="C1176" s="13" t="s">
        <v>491</v>
      </c>
    </row>
    <row r="1177" spans="3:3" x14ac:dyDescent="0.2">
      <c r="C1177" s="13" t="s">
        <v>492</v>
      </c>
    </row>
    <row r="1178" spans="3:3" x14ac:dyDescent="0.2">
      <c r="C1178" s="13" t="s">
        <v>493</v>
      </c>
    </row>
    <row r="1179" spans="3:3" x14ac:dyDescent="0.2">
      <c r="C1179" s="13" t="s">
        <v>494</v>
      </c>
    </row>
    <row r="1180" spans="3:3" x14ac:dyDescent="0.2">
      <c r="C1180" s="13" t="s">
        <v>495</v>
      </c>
    </row>
    <row r="1181" spans="3:3" x14ac:dyDescent="0.2">
      <c r="C1181" s="13" t="s">
        <v>496</v>
      </c>
    </row>
    <row r="1182" spans="3:3" x14ac:dyDescent="0.2">
      <c r="C1182" s="13" t="s">
        <v>497</v>
      </c>
    </row>
    <row r="1183" spans="3:3" x14ac:dyDescent="0.2">
      <c r="C1183" s="13" t="s">
        <v>498</v>
      </c>
    </row>
    <row r="1184" spans="3:3" x14ac:dyDescent="0.2">
      <c r="C1184" s="13" t="s">
        <v>499</v>
      </c>
    </row>
    <row r="1185" spans="3:3" x14ac:dyDescent="0.2">
      <c r="C1185" s="13" t="s">
        <v>500</v>
      </c>
    </row>
    <row r="1186" spans="3:3" x14ac:dyDescent="0.2">
      <c r="C1186" s="13" t="s">
        <v>501</v>
      </c>
    </row>
    <row r="1187" spans="3:3" x14ac:dyDescent="0.2">
      <c r="C1187" s="13" t="s">
        <v>502</v>
      </c>
    </row>
    <row r="1188" spans="3:3" x14ac:dyDescent="0.2">
      <c r="C1188" s="13" t="s">
        <v>503</v>
      </c>
    </row>
    <row r="1189" spans="3:3" x14ac:dyDescent="0.2">
      <c r="C1189" s="13" t="s">
        <v>505</v>
      </c>
    </row>
    <row r="1190" spans="3:3" x14ac:dyDescent="0.2">
      <c r="C1190" s="13" t="s">
        <v>507</v>
      </c>
    </row>
    <row r="1191" spans="3:3" x14ac:dyDescent="0.2">
      <c r="C1191" s="13" t="s">
        <v>509</v>
      </c>
    </row>
    <row r="1192" spans="3:3" x14ac:dyDescent="0.2">
      <c r="C1192" s="118" t="s">
        <v>510</v>
      </c>
    </row>
    <row r="1193" spans="3:3" x14ac:dyDescent="0.2">
      <c r="C1193" s="13" t="s">
        <v>512</v>
      </c>
    </row>
    <row r="1194" spans="3:3" x14ac:dyDescent="0.2">
      <c r="C1194" s="13" t="s">
        <v>513</v>
      </c>
    </row>
    <row r="1195" spans="3:3" x14ac:dyDescent="0.2">
      <c r="C1195" s="13" t="s">
        <v>514</v>
      </c>
    </row>
    <row r="1196" spans="3:3" x14ac:dyDescent="0.2">
      <c r="C1196" s="13" t="s">
        <v>515</v>
      </c>
    </row>
    <row r="1197" spans="3:3" x14ac:dyDescent="0.2">
      <c r="C1197" s="13" t="s">
        <v>516</v>
      </c>
    </row>
    <row r="1198" spans="3:3" x14ac:dyDescent="0.2">
      <c r="C1198" s="13" t="s">
        <v>517</v>
      </c>
    </row>
    <row r="1199" spans="3:3" x14ac:dyDescent="0.2">
      <c r="C1199" s="13" t="s">
        <v>518</v>
      </c>
    </row>
    <row r="1200" spans="3:3" x14ac:dyDescent="0.2">
      <c r="C1200" s="13" t="s">
        <v>519</v>
      </c>
    </row>
    <row r="1201" spans="3:3" x14ac:dyDescent="0.2">
      <c r="C1201" s="13" t="s">
        <v>521</v>
      </c>
    </row>
    <row r="1202" spans="3:3" x14ac:dyDescent="0.2">
      <c r="C1202" s="13" t="s">
        <v>522</v>
      </c>
    </row>
    <row r="1203" spans="3:3" x14ac:dyDescent="0.2">
      <c r="C1203" s="13" t="s">
        <v>524</v>
      </c>
    </row>
    <row r="1204" spans="3:3" x14ac:dyDescent="0.2">
      <c r="C1204" s="13" t="s">
        <v>525</v>
      </c>
    </row>
    <row r="1205" spans="3:3" x14ac:dyDescent="0.2">
      <c r="C1205" s="13" t="s">
        <v>526</v>
      </c>
    </row>
    <row r="1206" spans="3:3" x14ac:dyDescent="0.2">
      <c r="C1206" s="13" t="s">
        <v>527</v>
      </c>
    </row>
    <row r="1207" spans="3:3" x14ac:dyDescent="0.2">
      <c r="C1207" s="13" t="s">
        <v>528</v>
      </c>
    </row>
    <row r="1208" spans="3:3" x14ac:dyDescent="0.2">
      <c r="C1208" s="13" t="s">
        <v>530</v>
      </c>
    </row>
    <row r="1209" spans="3:3" x14ac:dyDescent="0.2">
      <c r="C1209" s="13" t="s">
        <v>531</v>
      </c>
    </row>
    <row r="1210" spans="3:3" x14ac:dyDescent="0.2">
      <c r="C1210" s="13" t="s">
        <v>532</v>
      </c>
    </row>
    <row r="1211" spans="3:3" x14ac:dyDescent="0.2">
      <c r="C1211" s="13" t="s">
        <v>533</v>
      </c>
    </row>
    <row r="1212" spans="3:3" x14ac:dyDescent="0.2">
      <c r="C1212" s="13" t="s">
        <v>534</v>
      </c>
    </row>
    <row r="1213" spans="3:3" x14ac:dyDescent="0.2">
      <c r="C1213" s="13" t="s">
        <v>535</v>
      </c>
    </row>
    <row r="1214" spans="3:3" x14ac:dyDescent="0.2">
      <c r="C1214" s="13" t="s">
        <v>536</v>
      </c>
    </row>
    <row r="1215" spans="3:3" x14ac:dyDescent="0.2">
      <c r="C1215" s="13" t="s">
        <v>537</v>
      </c>
    </row>
    <row r="1216" spans="3:3" x14ac:dyDescent="0.2">
      <c r="C1216" s="13" t="s">
        <v>539</v>
      </c>
    </row>
    <row r="1217" spans="3:3" x14ac:dyDescent="0.2">
      <c r="C1217" s="13" t="s">
        <v>540</v>
      </c>
    </row>
    <row r="1218" spans="3:3" x14ac:dyDescent="0.2">
      <c r="C1218" s="13" t="s">
        <v>541</v>
      </c>
    </row>
    <row r="1219" spans="3:3" x14ac:dyDescent="0.2">
      <c r="C1219" s="13" t="s">
        <v>542</v>
      </c>
    </row>
    <row r="1220" spans="3:3" x14ac:dyDescent="0.2">
      <c r="C1220" s="13" t="s">
        <v>543</v>
      </c>
    </row>
    <row r="1221" spans="3:3" x14ac:dyDescent="0.2">
      <c r="C1221" s="13" t="s">
        <v>544</v>
      </c>
    </row>
    <row r="1222" spans="3:3" x14ac:dyDescent="0.2">
      <c r="C1222" s="13" t="s">
        <v>545</v>
      </c>
    </row>
    <row r="1223" spans="3:3" x14ac:dyDescent="0.2">
      <c r="C1223" s="13" t="s">
        <v>546</v>
      </c>
    </row>
    <row r="1224" spans="3:3" x14ac:dyDescent="0.2">
      <c r="C1224" s="13" t="s">
        <v>547</v>
      </c>
    </row>
    <row r="1225" spans="3:3" x14ac:dyDescent="0.2">
      <c r="C1225" s="13" t="s">
        <v>548</v>
      </c>
    </row>
    <row r="1226" spans="3:3" x14ac:dyDescent="0.2">
      <c r="C1226" s="13" t="s">
        <v>549</v>
      </c>
    </row>
    <row r="1227" spans="3:3" x14ac:dyDescent="0.2">
      <c r="C1227" s="13" t="s">
        <v>550</v>
      </c>
    </row>
    <row r="1228" spans="3:3" x14ac:dyDescent="0.2">
      <c r="C1228" s="13" t="s">
        <v>551</v>
      </c>
    </row>
    <row r="1229" spans="3:3" x14ac:dyDescent="0.2">
      <c r="C1229" s="13" t="s">
        <v>552</v>
      </c>
    </row>
    <row r="1230" spans="3:3" x14ac:dyDescent="0.2">
      <c r="C1230" s="13" t="s">
        <v>553</v>
      </c>
    </row>
    <row r="1231" spans="3:3" x14ac:dyDescent="0.2">
      <c r="C1231" s="13" t="s">
        <v>554</v>
      </c>
    </row>
    <row r="1232" spans="3:3" x14ac:dyDescent="0.2">
      <c r="C1232" s="13" t="s">
        <v>555</v>
      </c>
    </row>
    <row r="1233" spans="3:3" x14ac:dyDescent="0.2">
      <c r="C1233" s="13" t="s">
        <v>556</v>
      </c>
    </row>
    <row r="1234" spans="3:3" x14ac:dyDescent="0.2">
      <c r="C1234" s="13" t="s">
        <v>557</v>
      </c>
    </row>
    <row r="1235" spans="3:3" x14ac:dyDescent="0.2">
      <c r="C1235" s="13" t="s">
        <v>558</v>
      </c>
    </row>
    <row r="1236" spans="3:3" x14ac:dyDescent="0.2">
      <c r="C1236" s="13" t="s">
        <v>559</v>
      </c>
    </row>
    <row r="1237" spans="3:3" x14ac:dyDescent="0.2">
      <c r="C1237" s="13" t="s">
        <v>561</v>
      </c>
    </row>
    <row r="1238" spans="3:3" x14ac:dyDescent="0.2">
      <c r="C1238" s="13" t="s">
        <v>562</v>
      </c>
    </row>
    <row r="1239" spans="3:3" x14ac:dyDescent="0.2">
      <c r="C1239" s="13" t="s">
        <v>563</v>
      </c>
    </row>
    <row r="1240" spans="3:3" x14ac:dyDescent="0.2">
      <c r="C1240" s="13" t="s">
        <v>564</v>
      </c>
    </row>
    <row r="1241" spans="3:3" x14ac:dyDescent="0.2">
      <c r="C1241" s="13" t="s">
        <v>565</v>
      </c>
    </row>
    <row r="1242" spans="3:3" x14ac:dyDescent="0.2">
      <c r="C1242" s="13" t="s">
        <v>566</v>
      </c>
    </row>
    <row r="1243" spans="3:3" x14ac:dyDescent="0.2">
      <c r="C1243" s="13" t="s">
        <v>567</v>
      </c>
    </row>
    <row r="1244" spans="3:3" x14ac:dyDescent="0.2">
      <c r="C1244" s="13" t="s">
        <v>568</v>
      </c>
    </row>
    <row r="1245" spans="3:3" x14ac:dyDescent="0.2">
      <c r="C1245" s="13" t="s">
        <v>569</v>
      </c>
    </row>
    <row r="1248" spans="3:3" x14ac:dyDescent="0.2">
      <c r="C1248" s="13" t="s">
        <v>326</v>
      </c>
    </row>
    <row r="1249" spans="3:3" x14ac:dyDescent="0.2">
      <c r="C1249" s="13" t="s">
        <v>327</v>
      </c>
    </row>
    <row r="1250" spans="3:3" x14ac:dyDescent="0.2">
      <c r="C1250" s="13" t="s">
        <v>329</v>
      </c>
    </row>
    <row r="1251" spans="3:3" x14ac:dyDescent="0.2">
      <c r="C1251" s="13" t="s">
        <v>332</v>
      </c>
    </row>
    <row r="1252" spans="3:3" x14ac:dyDescent="0.2">
      <c r="C1252" s="13" t="s">
        <v>334</v>
      </c>
    </row>
    <row r="1253" spans="3:3" x14ac:dyDescent="0.2">
      <c r="C1253" s="13" t="s">
        <v>314</v>
      </c>
    </row>
    <row r="1255" spans="3:3" x14ac:dyDescent="0.2">
      <c r="C1255" s="13" t="s">
        <v>326</v>
      </c>
    </row>
    <row r="1256" spans="3:3" x14ac:dyDescent="0.2">
      <c r="C1256" s="13" t="s">
        <v>331</v>
      </c>
    </row>
    <row r="1257" spans="3:3" x14ac:dyDescent="0.2">
      <c r="C1257" s="13" t="s">
        <v>336</v>
      </c>
    </row>
    <row r="1258" spans="3:3" x14ac:dyDescent="0.2">
      <c r="C1258" s="13" t="s">
        <v>327</v>
      </c>
    </row>
    <row r="1259" spans="3:3" x14ac:dyDescent="0.2">
      <c r="C1259" s="13" t="s">
        <v>314</v>
      </c>
    </row>
    <row r="1261" spans="3:3" x14ac:dyDescent="0.2">
      <c r="C1261" s="13" t="s">
        <v>325</v>
      </c>
    </row>
    <row r="1262" spans="3:3" x14ac:dyDescent="0.2">
      <c r="C1262" s="13" t="s">
        <v>327</v>
      </c>
    </row>
    <row r="1263" spans="3:3" x14ac:dyDescent="0.2">
      <c r="C1263" s="13" t="s">
        <v>334</v>
      </c>
    </row>
    <row r="1264" spans="3:3" x14ac:dyDescent="0.2">
      <c r="C1264" s="13" t="s">
        <v>332</v>
      </c>
    </row>
    <row r="1265" spans="3:3" x14ac:dyDescent="0.2">
      <c r="C1265" s="13" t="s">
        <v>314</v>
      </c>
    </row>
    <row r="1267" spans="3:3" x14ac:dyDescent="0.2">
      <c r="C1267" s="13" t="s">
        <v>326</v>
      </c>
    </row>
    <row r="1268" spans="3:3" x14ac:dyDescent="0.2">
      <c r="C1268" s="13" t="s">
        <v>327</v>
      </c>
    </row>
    <row r="1269" spans="3:3" x14ac:dyDescent="0.2">
      <c r="C1269" s="13" t="s">
        <v>314</v>
      </c>
    </row>
    <row r="1272" spans="3:3" x14ac:dyDescent="0.2">
      <c r="C1272" s="13" t="s">
        <v>325</v>
      </c>
    </row>
    <row r="1273" spans="3:3" x14ac:dyDescent="0.2">
      <c r="C1273" s="13" t="s">
        <v>327</v>
      </c>
    </row>
    <row r="1274" spans="3:3" x14ac:dyDescent="0.2">
      <c r="C1274" s="13" t="s">
        <v>329</v>
      </c>
    </row>
    <row r="1275" spans="3:3" x14ac:dyDescent="0.2">
      <c r="C1275" s="13" t="s">
        <v>331</v>
      </c>
    </row>
    <row r="1276" spans="3:3" x14ac:dyDescent="0.2">
      <c r="C1276" s="13" t="s">
        <v>332</v>
      </c>
    </row>
    <row r="1277" spans="3:3" x14ac:dyDescent="0.2">
      <c r="C1277" s="13" t="s">
        <v>333</v>
      </c>
    </row>
    <row r="1278" spans="3:3" x14ac:dyDescent="0.2">
      <c r="C1278" s="13" t="s">
        <v>334</v>
      </c>
    </row>
    <row r="1279" spans="3:3" x14ac:dyDescent="0.2">
      <c r="C1279" s="13" t="s">
        <v>335</v>
      </c>
    </row>
    <row r="1280" spans="3:3" x14ac:dyDescent="0.2">
      <c r="C1280" s="13" t="s">
        <v>336</v>
      </c>
    </row>
    <row r="1281" spans="3:3" x14ac:dyDescent="0.2">
      <c r="C1281" s="13" t="s">
        <v>314</v>
      </c>
    </row>
    <row r="1283" spans="3:3" x14ac:dyDescent="0.2">
      <c r="C1283" s="13" t="s">
        <v>340</v>
      </c>
    </row>
    <row r="1284" spans="3:3" x14ac:dyDescent="0.2">
      <c r="C1284" s="13" t="s">
        <v>342</v>
      </c>
    </row>
    <row r="1285" spans="3:3" x14ac:dyDescent="0.2">
      <c r="C1285" s="13" t="s">
        <v>344</v>
      </c>
    </row>
    <row r="1286" spans="3:3" x14ac:dyDescent="0.2">
      <c r="C1286" s="13" t="s">
        <v>346</v>
      </c>
    </row>
    <row r="1287" spans="3:3" x14ac:dyDescent="0.2">
      <c r="C1287" s="13" t="s">
        <v>348</v>
      </c>
    </row>
    <row r="1288" spans="3:3" x14ac:dyDescent="0.2">
      <c r="C1288" s="13" t="s">
        <v>350</v>
      </c>
    </row>
    <row r="1289" spans="3:3" x14ac:dyDescent="0.2">
      <c r="C1289" s="13" t="s">
        <v>352</v>
      </c>
    </row>
    <row r="1290" spans="3:3" x14ac:dyDescent="0.2">
      <c r="C1290" s="13" t="s">
        <v>354</v>
      </c>
    </row>
    <row r="1291" spans="3:3" x14ac:dyDescent="0.2">
      <c r="C1291" s="13" t="s">
        <v>356</v>
      </c>
    </row>
    <row r="1292" spans="3:3" x14ac:dyDescent="0.2">
      <c r="C1292" s="13" t="s">
        <v>358</v>
      </c>
    </row>
    <row r="1293" spans="3:3" x14ac:dyDescent="0.2">
      <c r="C1293" s="13" t="s">
        <v>360</v>
      </c>
    </row>
    <row r="1294" spans="3:3" x14ac:dyDescent="0.2">
      <c r="C1294" s="13" t="s">
        <v>362</v>
      </c>
    </row>
    <row r="1295" spans="3:3" x14ac:dyDescent="0.2">
      <c r="C1295" s="13" t="s">
        <v>364</v>
      </c>
    </row>
    <row r="1296" spans="3:3" x14ac:dyDescent="0.2">
      <c r="C1296" s="13" t="s">
        <v>366</v>
      </c>
    </row>
    <row r="1297" spans="3:3" x14ac:dyDescent="0.2">
      <c r="C1297" s="13" t="s">
        <v>368</v>
      </c>
    </row>
    <row r="1298" spans="3:3" x14ac:dyDescent="0.2">
      <c r="C1298" s="13" t="s">
        <v>370</v>
      </c>
    </row>
    <row r="1299" spans="3:3" x14ac:dyDescent="0.2">
      <c r="C1299" s="13" t="s">
        <v>372</v>
      </c>
    </row>
    <row r="1300" spans="3:3" x14ac:dyDescent="0.2">
      <c r="C1300" s="13" t="s">
        <v>374</v>
      </c>
    </row>
    <row r="1301" spans="3:3" x14ac:dyDescent="0.2">
      <c r="C1301" s="13" t="s">
        <v>376</v>
      </c>
    </row>
    <row r="1302" spans="3:3" x14ac:dyDescent="0.2">
      <c r="C1302" s="13" t="s">
        <v>378</v>
      </c>
    </row>
    <row r="1303" spans="3:3" x14ac:dyDescent="0.2">
      <c r="C1303" s="13" t="s">
        <v>380</v>
      </c>
    </row>
    <row r="1304" spans="3:3" x14ac:dyDescent="0.2">
      <c r="C1304" s="13" t="s">
        <v>382</v>
      </c>
    </row>
    <row r="1305" spans="3:3" x14ac:dyDescent="0.2">
      <c r="C1305" s="13" t="s">
        <v>384</v>
      </c>
    </row>
    <row r="1306" spans="3:3" x14ac:dyDescent="0.2">
      <c r="C1306" s="13" t="s">
        <v>386</v>
      </c>
    </row>
    <row r="1307" spans="3:3" x14ac:dyDescent="0.2">
      <c r="C1307" s="13" t="s">
        <v>388</v>
      </c>
    </row>
    <row r="1308" spans="3:3" x14ac:dyDescent="0.2">
      <c r="C1308" s="13" t="s">
        <v>390</v>
      </c>
    </row>
    <row r="1309" spans="3:3" x14ac:dyDescent="0.2">
      <c r="C1309" s="13" t="s">
        <v>392</v>
      </c>
    </row>
    <row r="1310" spans="3:3" x14ac:dyDescent="0.2">
      <c r="C1310" s="13" t="s">
        <v>394</v>
      </c>
    </row>
    <row r="1311" spans="3:3" x14ac:dyDescent="0.2">
      <c r="C1311" s="13" t="s">
        <v>396</v>
      </c>
    </row>
    <row r="1312" spans="3:3" x14ac:dyDescent="0.2">
      <c r="C1312" s="13" t="s">
        <v>398</v>
      </c>
    </row>
    <row r="1313" spans="3:3" x14ac:dyDescent="0.2">
      <c r="C1313" s="13" t="s">
        <v>400</v>
      </c>
    </row>
    <row r="1314" spans="3:3" x14ac:dyDescent="0.2">
      <c r="C1314" s="13" t="s">
        <v>402</v>
      </c>
    </row>
    <row r="1315" spans="3:3" x14ac:dyDescent="0.2">
      <c r="C1315" s="13" t="s">
        <v>314</v>
      </c>
    </row>
  </sheetData>
  <autoFilter ref="A1:E1040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 x14ac:dyDescent="0.25"/>
  <cols>
    <col min="1" max="1" width="25.625" style="43" customWidth="1"/>
    <col min="2" max="2" width="48.75" style="43" customWidth="1"/>
    <col min="3" max="3" width="12" customWidth="1"/>
    <col min="4" max="4" width="23.375" style="1" customWidth="1"/>
    <col min="5" max="5" width="14.25" customWidth="1"/>
  </cols>
  <sheetData>
    <row r="1" spans="1:5" ht="15.75" x14ac:dyDescent="0.25">
      <c r="A1" s="78" t="s">
        <v>1076</v>
      </c>
      <c r="B1" s="79" t="s">
        <v>1077</v>
      </c>
      <c r="C1" s="79" t="s">
        <v>1078</v>
      </c>
      <c r="D1" s="80" t="s">
        <v>1079</v>
      </c>
      <c r="E1" s="92"/>
    </row>
    <row r="2" spans="1:5" ht="15.75" outlineLevel="1" x14ac:dyDescent="0.2">
      <c r="A2" s="28" t="s">
        <v>19</v>
      </c>
      <c r="B2" s="29" t="s">
        <v>49</v>
      </c>
      <c r="C2" s="28">
        <v>5.0999999999999996</v>
      </c>
      <c r="D2" s="82"/>
    </row>
    <row r="3" spans="1:5" ht="15.75" outlineLevel="1" x14ac:dyDescent="0.2">
      <c r="A3" s="28" t="s">
        <v>19</v>
      </c>
      <c r="B3" s="29" t="s">
        <v>50</v>
      </c>
      <c r="C3" s="28">
        <v>5.2</v>
      </c>
      <c r="D3" s="82"/>
    </row>
    <row r="4" spans="1:5" ht="15.75" outlineLevel="1" x14ac:dyDescent="0.2">
      <c r="A4" s="28" t="s">
        <v>19</v>
      </c>
      <c r="B4" s="29" t="s">
        <v>51</v>
      </c>
      <c r="C4" s="28">
        <v>5.4</v>
      </c>
      <c r="D4" s="82"/>
    </row>
    <row r="5" spans="1:5" ht="15.75" outlineLevel="1" x14ac:dyDescent="0.2">
      <c r="A5" s="28" t="s">
        <v>19</v>
      </c>
      <c r="B5" s="29" t="s">
        <v>52</v>
      </c>
      <c r="C5" s="28">
        <v>5.7</v>
      </c>
      <c r="D5" s="82"/>
    </row>
    <row r="6" spans="1:5" ht="15.75" outlineLevel="1" x14ac:dyDescent="0.2">
      <c r="A6" s="28" t="s">
        <v>19</v>
      </c>
      <c r="B6" s="29" t="s">
        <v>53</v>
      </c>
      <c r="C6" s="28">
        <v>5.1100000000000003</v>
      </c>
      <c r="D6" s="82"/>
    </row>
    <row r="7" spans="1:5" ht="15.75" outlineLevel="1" x14ac:dyDescent="0.2">
      <c r="A7" s="28" t="s">
        <v>19</v>
      </c>
      <c r="B7" s="29" t="s">
        <v>54</v>
      </c>
      <c r="C7" s="28">
        <v>5.26</v>
      </c>
      <c r="D7" s="82"/>
    </row>
    <row r="8" spans="1:5" ht="15.75" outlineLevel="1" x14ac:dyDescent="0.2">
      <c r="A8" s="28" t="s">
        <v>19</v>
      </c>
      <c r="B8" s="29" t="s">
        <v>55</v>
      </c>
      <c r="C8" s="28">
        <v>5.27</v>
      </c>
      <c r="D8" s="82"/>
    </row>
    <row r="9" spans="1:5" ht="15.75" outlineLevel="1" x14ac:dyDescent="0.2">
      <c r="A9" s="28" t="s">
        <v>19</v>
      </c>
      <c r="B9" s="29" t="s">
        <v>56</v>
      </c>
      <c r="C9" s="28">
        <v>5.36</v>
      </c>
      <c r="D9" s="82"/>
    </row>
    <row r="10" spans="1:5" ht="15.75" outlineLevel="1" x14ac:dyDescent="0.2">
      <c r="A10" s="28" t="s">
        <v>19</v>
      </c>
      <c r="B10" s="29" t="s">
        <v>57</v>
      </c>
      <c r="C10" s="30">
        <v>5.5</v>
      </c>
      <c r="D10" s="82"/>
    </row>
    <row r="11" spans="1:5" ht="15.75" outlineLevel="1" x14ac:dyDescent="0.2">
      <c r="A11" s="28" t="s">
        <v>19</v>
      </c>
      <c r="B11" s="29" t="s">
        <v>58</v>
      </c>
      <c r="C11" s="28">
        <v>5.51</v>
      </c>
      <c r="D11" s="82"/>
    </row>
    <row r="12" spans="1:5" ht="15.75" outlineLevel="1" x14ac:dyDescent="0.2">
      <c r="A12" s="28" t="s">
        <v>19</v>
      </c>
      <c r="B12" s="29" t="s">
        <v>59</v>
      </c>
      <c r="C12" s="28">
        <v>5.53</v>
      </c>
      <c r="D12" s="82"/>
    </row>
    <row r="13" spans="1:5" ht="15.75" outlineLevel="1" x14ac:dyDescent="0.2">
      <c r="A13" s="28" t="s">
        <v>19</v>
      </c>
      <c r="B13" s="29" t="s">
        <v>60</v>
      </c>
      <c r="C13" s="28">
        <v>5.59</v>
      </c>
      <c r="D13" s="82"/>
    </row>
    <row r="14" spans="1:5" ht="15.75" outlineLevel="1" x14ac:dyDescent="0.2">
      <c r="A14" s="28" t="s">
        <v>19</v>
      </c>
      <c r="B14" s="29" t="s">
        <v>61</v>
      </c>
      <c r="C14" s="28">
        <v>5.54</v>
      </c>
      <c r="D14" s="82"/>
    </row>
    <row r="15" spans="1:5" ht="15.75" outlineLevel="1" x14ac:dyDescent="0.2">
      <c r="A15" s="28" t="s">
        <v>19</v>
      </c>
      <c r="B15" s="29" t="s">
        <v>62</v>
      </c>
      <c r="C15" s="30">
        <v>5.7</v>
      </c>
      <c r="D15" s="81" t="s">
        <v>1080</v>
      </c>
    </row>
    <row r="16" spans="1:5" ht="15.75" outlineLevel="1" x14ac:dyDescent="0.2">
      <c r="A16" s="28" t="s">
        <v>19</v>
      </c>
      <c r="B16" s="29" t="s">
        <v>63</v>
      </c>
      <c r="C16" s="28">
        <v>5.63</v>
      </c>
      <c r="D16" s="82"/>
    </row>
    <row r="17" spans="1:4" ht="15.75" outlineLevel="1" x14ac:dyDescent="0.2">
      <c r="A17" s="28" t="s">
        <v>19</v>
      </c>
      <c r="B17" s="29" t="s">
        <v>64</v>
      </c>
      <c r="C17" s="28">
        <v>5.47</v>
      </c>
      <c r="D17" s="82"/>
    </row>
    <row r="18" spans="1:4" ht="15.75" outlineLevel="1" x14ac:dyDescent="0.2">
      <c r="A18" s="28" t="s">
        <v>19</v>
      </c>
      <c r="B18" s="29" t="s">
        <v>65</v>
      </c>
      <c r="C18" s="28">
        <v>5.48</v>
      </c>
      <c r="D18" s="82"/>
    </row>
    <row r="19" spans="1:4" ht="15.75" x14ac:dyDescent="0.2">
      <c r="A19" s="33" t="s">
        <v>19</v>
      </c>
      <c r="B19" s="29"/>
      <c r="C19" s="28"/>
      <c r="D19" s="82"/>
    </row>
    <row r="20" spans="1:4" ht="15.75" outlineLevel="1" x14ac:dyDescent="0.2">
      <c r="A20" s="28" t="s">
        <v>20</v>
      </c>
      <c r="B20" s="29" t="s">
        <v>49</v>
      </c>
      <c r="C20" s="28">
        <v>5.0999999999999996</v>
      </c>
      <c r="D20" s="82"/>
    </row>
    <row r="21" spans="1:4" ht="15.75" outlineLevel="1" x14ac:dyDescent="0.2">
      <c r="A21" s="28" t="s">
        <v>20</v>
      </c>
      <c r="B21" s="29" t="s">
        <v>50</v>
      </c>
      <c r="C21" s="28">
        <v>5.2</v>
      </c>
      <c r="D21" s="82"/>
    </row>
    <row r="22" spans="1:4" ht="15.75" outlineLevel="1" x14ac:dyDescent="0.2">
      <c r="A22" s="28" t="s">
        <v>20</v>
      </c>
      <c r="B22" s="29" t="s">
        <v>66</v>
      </c>
      <c r="C22" s="28">
        <v>5.3</v>
      </c>
      <c r="D22" s="82"/>
    </row>
    <row r="23" spans="1:4" ht="15.75" outlineLevel="1" x14ac:dyDescent="0.2">
      <c r="A23" s="28" t="s">
        <v>20</v>
      </c>
      <c r="B23" s="29" t="s">
        <v>91</v>
      </c>
      <c r="C23" s="28">
        <v>5.14</v>
      </c>
      <c r="D23" s="82"/>
    </row>
    <row r="24" spans="1:4" ht="15.75" outlineLevel="1" x14ac:dyDescent="0.2">
      <c r="A24" s="28" t="s">
        <v>20</v>
      </c>
      <c r="B24" s="29" t="s">
        <v>68</v>
      </c>
      <c r="C24" s="28">
        <v>5.19</v>
      </c>
      <c r="D24" s="82"/>
    </row>
    <row r="25" spans="1:4" ht="15.75" outlineLevel="1" x14ac:dyDescent="0.2">
      <c r="A25" s="28" t="s">
        <v>20</v>
      </c>
      <c r="B25" s="29" t="s">
        <v>54</v>
      </c>
      <c r="C25" s="28">
        <v>5.26</v>
      </c>
      <c r="D25" s="82"/>
    </row>
    <row r="26" spans="1:4" ht="15.75" outlineLevel="1" x14ac:dyDescent="0.2">
      <c r="A26" s="28" t="s">
        <v>20</v>
      </c>
      <c r="B26" s="29" t="s">
        <v>55</v>
      </c>
      <c r="C26" s="28">
        <v>5.27</v>
      </c>
      <c r="D26" s="82"/>
    </row>
    <row r="27" spans="1:4" ht="15.75" outlineLevel="1" x14ac:dyDescent="0.2">
      <c r="A27" s="28" t="s">
        <v>20</v>
      </c>
      <c r="B27" s="29" t="s">
        <v>69</v>
      </c>
      <c r="C27" s="28">
        <v>5.28</v>
      </c>
      <c r="D27" s="82"/>
    </row>
    <row r="28" spans="1:4" ht="15.75" outlineLevel="1" x14ac:dyDescent="0.2">
      <c r="A28" s="28" t="s">
        <v>20</v>
      </c>
      <c r="B28" s="29" t="s">
        <v>70</v>
      </c>
      <c r="C28" s="30">
        <v>5.3</v>
      </c>
      <c r="D28" s="82"/>
    </row>
    <row r="29" spans="1:4" ht="15.75" outlineLevel="1" x14ac:dyDescent="0.2">
      <c r="A29" s="28" t="s">
        <v>20</v>
      </c>
      <c r="B29" s="29" t="s">
        <v>71</v>
      </c>
      <c r="C29" s="28">
        <v>5.49</v>
      </c>
      <c r="D29" s="82"/>
    </row>
    <row r="30" spans="1:4" ht="15.75" outlineLevel="1" x14ac:dyDescent="0.2">
      <c r="A30" s="28" t="s">
        <v>20</v>
      </c>
      <c r="B30" s="29" t="s">
        <v>58</v>
      </c>
      <c r="C30" s="28">
        <v>5.51</v>
      </c>
      <c r="D30" s="82"/>
    </row>
    <row r="31" spans="1:4" ht="15.75" outlineLevel="1" x14ac:dyDescent="0.2">
      <c r="A31" s="28" t="s">
        <v>20</v>
      </c>
      <c r="B31" s="29" t="s">
        <v>59</v>
      </c>
      <c r="C31" s="28">
        <v>5.53</v>
      </c>
      <c r="D31" s="82"/>
    </row>
    <row r="32" spans="1:4" ht="15.75" outlineLevel="1" x14ac:dyDescent="0.2">
      <c r="A32" s="28" t="s">
        <v>20</v>
      </c>
      <c r="B32" s="29" t="s">
        <v>72</v>
      </c>
      <c r="C32" s="28">
        <v>5.69</v>
      </c>
      <c r="D32" s="82"/>
    </row>
    <row r="33" spans="1:4" ht="15.75" outlineLevel="1" x14ac:dyDescent="0.2">
      <c r="A33" s="28" t="s">
        <v>20</v>
      </c>
      <c r="B33" s="29" t="s">
        <v>73</v>
      </c>
      <c r="C33" s="28">
        <v>5.75</v>
      </c>
      <c r="D33" s="82"/>
    </row>
    <row r="34" spans="1:4" ht="15.75" outlineLevel="1" x14ac:dyDescent="0.2">
      <c r="A34" s="28" t="s">
        <v>20</v>
      </c>
      <c r="B34" s="29" t="s">
        <v>62</v>
      </c>
      <c r="C34" s="30">
        <v>5.7</v>
      </c>
      <c r="D34" s="82"/>
    </row>
    <row r="35" spans="1:4" ht="15.75" outlineLevel="1" x14ac:dyDescent="0.2">
      <c r="A35" s="28" t="s">
        <v>20</v>
      </c>
      <c r="B35" s="29" t="s">
        <v>74</v>
      </c>
      <c r="C35" s="28">
        <v>5.74</v>
      </c>
      <c r="D35" s="82"/>
    </row>
    <row r="36" spans="1:4" ht="15.75" outlineLevel="1" x14ac:dyDescent="0.2">
      <c r="A36" s="28" t="s">
        <v>20</v>
      </c>
      <c r="B36" s="29" t="s">
        <v>75</v>
      </c>
      <c r="C36" s="28">
        <v>5.62</v>
      </c>
      <c r="D36" s="82"/>
    </row>
    <row r="37" spans="1:4" ht="15.75" outlineLevel="1" x14ac:dyDescent="0.2">
      <c r="A37" s="28" t="s">
        <v>20</v>
      </c>
      <c r="B37" s="29" t="s">
        <v>76</v>
      </c>
      <c r="C37" s="28">
        <v>5.58</v>
      </c>
      <c r="D37" s="82"/>
    </row>
    <row r="38" spans="1:4" ht="15.75" outlineLevel="1" x14ac:dyDescent="0.2">
      <c r="A38" s="28" t="s">
        <v>20</v>
      </c>
      <c r="B38" s="29" t="s">
        <v>61</v>
      </c>
      <c r="C38" s="28">
        <v>5.54</v>
      </c>
      <c r="D38" s="82"/>
    </row>
    <row r="39" spans="1:4" ht="15.75" outlineLevel="1" x14ac:dyDescent="0.2">
      <c r="A39" s="28" t="s">
        <v>20</v>
      </c>
      <c r="B39" s="29" t="s">
        <v>77</v>
      </c>
      <c r="C39" s="28">
        <v>5.55</v>
      </c>
      <c r="D39" s="82"/>
    </row>
    <row r="40" spans="1:4" ht="15.75" outlineLevel="1" x14ac:dyDescent="0.2">
      <c r="A40" s="28" t="s">
        <v>20</v>
      </c>
      <c r="B40" s="29" t="s">
        <v>63</v>
      </c>
      <c r="C40" s="28">
        <v>5.63</v>
      </c>
      <c r="D40" s="82"/>
    </row>
    <row r="41" spans="1:4" ht="15.75" outlineLevel="1" x14ac:dyDescent="0.2">
      <c r="A41" s="28" t="s">
        <v>20</v>
      </c>
      <c r="B41" s="29" t="s">
        <v>78</v>
      </c>
      <c r="C41" s="28">
        <v>5.65</v>
      </c>
      <c r="D41" s="82"/>
    </row>
    <row r="42" spans="1:4" ht="15.75" outlineLevel="1" x14ac:dyDescent="0.2">
      <c r="A42" s="28" t="s">
        <v>20</v>
      </c>
      <c r="B42" s="29" t="s">
        <v>17</v>
      </c>
      <c r="C42" s="28">
        <v>5.68</v>
      </c>
      <c r="D42" s="82"/>
    </row>
    <row r="43" spans="1:4" ht="15.75" outlineLevel="1" x14ac:dyDescent="0.2">
      <c r="A43" s="28" t="s">
        <v>20</v>
      </c>
      <c r="B43" s="29" t="s">
        <v>79</v>
      </c>
      <c r="C43" s="28">
        <v>5.45</v>
      </c>
      <c r="D43" s="82"/>
    </row>
    <row r="44" spans="1:4" ht="15.75" outlineLevel="1" x14ac:dyDescent="0.2">
      <c r="A44" s="28" t="s">
        <v>20</v>
      </c>
      <c r="B44" s="29" t="s">
        <v>64</v>
      </c>
      <c r="C44" s="28">
        <v>5.47</v>
      </c>
      <c r="D44" s="82"/>
    </row>
    <row r="45" spans="1:4" ht="15.75" outlineLevel="1" x14ac:dyDescent="0.2">
      <c r="A45" s="28" t="s">
        <v>20</v>
      </c>
      <c r="B45" s="29" t="s">
        <v>65</v>
      </c>
      <c r="C45" s="28">
        <v>5.48</v>
      </c>
      <c r="D45" s="82"/>
    </row>
    <row r="46" spans="1:4" ht="15.75" x14ac:dyDescent="0.2">
      <c r="A46" s="33" t="s">
        <v>20</v>
      </c>
      <c r="B46" s="29"/>
      <c r="C46" s="28"/>
      <c r="D46" s="82"/>
    </row>
    <row r="47" spans="1:4" ht="15.75" outlineLevel="1" x14ac:dyDescent="0.2">
      <c r="A47" s="28" t="s">
        <v>21</v>
      </c>
      <c r="B47" s="29" t="s">
        <v>49</v>
      </c>
      <c r="C47" s="28">
        <v>5.0999999999999996</v>
      </c>
      <c r="D47" s="82"/>
    </row>
    <row r="48" spans="1:4" ht="15.75" outlineLevel="1" x14ac:dyDescent="0.2">
      <c r="A48" s="28" t="s">
        <v>21</v>
      </c>
      <c r="B48" s="29" t="s">
        <v>50</v>
      </c>
      <c r="C48" s="28">
        <v>5.2</v>
      </c>
      <c r="D48" s="82"/>
    </row>
    <row r="49" spans="1:4" ht="15.75" outlineLevel="1" x14ac:dyDescent="0.2">
      <c r="A49" s="28" t="s">
        <v>21</v>
      </c>
      <c r="B49" s="29" t="s">
        <v>66</v>
      </c>
      <c r="C49" s="28">
        <v>5.3</v>
      </c>
      <c r="D49" s="82"/>
    </row>
    <row r="50" spans="1:4" ht="15.75" outlineLevel="1" x14ac:dyDescent="0.2">
      <c r="A50" s="28" t="s">
        <v>21</v>
      </c>
      <c r="B50" s="29" t="s">
        <v>80</v>
      </c>
      <c r="C50" s="28">
        <v>5.6</v>
      </c>
      <c r="D50" s="82"/>
    </row>
    <row r="51" spans="1:4" ht="15.75" outlineLevel="1" x14ac:dyDescent="0.2">
      <c r="A51" s="28" t="s">
        <v>21</v>
      </c>
      <c r="B51" s="29" t="s">
        <v>1081</v>
      </c>
      <c r="C51" s="30">
        <v>5.0999999999999996</v>
      </c>
      <c r="D51" s="82"/>
    </row>
    <row r="52" spans="1:4" ht="15.75" outlineLevel="1" x14ac:dyDescent="0.2">
      <c r="A52" s="28" t="s">
        <v>21</v>
      </c>
      <c r="B52" s="29" t="s">
        <v>91</v>
      </c>
      <c r="C52" s="28">
        <v>5.14</v>
      </c>
      <c r="D52" s="82"/>
    </row>
    <row r="53" spans="1:4" ht="15.75" outlineLevel="1" x14ac:dyDescent="0.2">
      <c r="A53" s="28" t="s">
        <v>21</v>
      </c>
      <c r="B53" s="29" t="s">
        <v>68</v>
      </c>
      <c r="C53" s="28">
        <v>5.19</v>
      </c>
      <c r="D53" s="82"/>
    </row>
    <row r="54" spans="1:4" ht="15.75" outlineLevel="1" x14ac:dyDescent="0.2">
      <c r="A54" s="28" t="s">
        <v>21</v>
      </c>
      <c r="B54" s="29" t="s">
        <v>82</v>
      </c>
      <c r="C54" s="28">
        <v>5.24</v>
      </c>
      <c r="D54" s="82"/>
    </row>
    <row r="55" spans="1:4" ht="15.75" outlineLevel="1" x14ac:dyDescent="0.2">
      <c r="A55" s="28" t="s">
        <v>21</v>
      </c>
      <c r="B55" s="29" t="s">
        <v>54</v>
      </c>
      <c r="C55" s="28">
        <v>5.26</v>
      </c>
      <c r="D55" s="82"/>
    </row>
    <row r="56" spans="1:4" ht="15.75" outlineLevel="1" x14ac:dyDescent="0.2">
      <c r="A56" s="28" t="s">
        <v>21</v>
      </c>
      <c r="B56" s="29" t="s">
        <v>55</v>
      </c>
      <c r="C56" s="28">
        <v>5.27</v>
      </c>
      <c r="D56" s="82"/>
    </row>
    <row r="57" spans="1:4" ht="15.75" outlineLevel="1" x14ac:dyDescent="0.2">
      <c r="A57" s="28" t="s">
        <v>21</v>
      </c>
      <c r="B57" s="29" t="s">
        <v>69</v>
      </c>
      <c r="C57" s="28">
        <v>5.28</v>
      </c>
      <c r="D57" s="82"/>
    </row>
    <row r="58" spans="1:4" ht="15.75" outlineLevel="1" x14ac:dyDescent="0.2">
      <c r="A58" s="28" t="s">
        <v>21</v>
      </c>
      <c r="B58" s="29" t="s">
        <v>70</v>
      </c>
      <c r="C58" s="30">
        <v>5.3</v>
      </c>
      <c r="D58" s="82"/>
    </row>
    <row r="59" spans="1:4" ht="15.75" outlineLevel="1" x14ac:dyDescent="0.2">
      <c r="A59" s="28" t="s">
        <v>21</v>
      </c>
      <c r="B59" s="29" t="s">
        <v>83</v>
      </c>
      <c r="C59" s="28">
        <v>5.31</v>
      </c>
      <c r="D59" s="82"/>
    </row>
    <row r="60" spans="1:4" ht="15.75" outlineLevel="1" x14ac:dyDescent="0.2">
      <c r="A60" s="28" t="s">
        <v>21</v>
      </c>
      <c r="B60" s="29" t="s">
        <v>56</v>
      </c>
      <c r="C60" s="28">
        <v>5.36</v>
      </c>
      <c r="D60" s="82"/>
    </row>
    <row r="61" spans="1:4" ht="15.75" outlineLevel="1" x14ac:dyDescent="0.2">
      <c r="A61" s="28" t="s">
        <v>21</v>
      </c>
      <c r="B61" s="29" t="s">
        <v>71</v>
      </c>
      <c r="C61" s="28">
        <v>5.49</v>
      </c>
      <c r="D61" s="82"/>
    </row>
    <row r="62" spans="1:4" ht="15.75" outlineLevel="1" x14ac:dyDescent="0.2">
      <c r="A62" s="28" t="s">
        <v>21</v>
      </c>
      <c r="B62" s="29" t="s">
        <v>58</v>
      </c>
      <c r="C62" s="28">
        <v>5.51</v>
      </c>
      <c r="D62" s="82"/>
    </row>
    <row r="63" spans="1:4" ht="15.75" outlineLevel="1" x14ac:dyDescent="0.2">
      <c r="A63" s="28" t="s">
        <v>21</v>
      </c>
      <c r="B63" s="29" t="s">
        <v>1082</v>
      </c>
      <c r="C63" s="28">
        <v>5.52</v>
      </c>
      <c r="D63" s="82"/>
    </row>
    <row r="64" spans="1:4" ht="15.75" outlineLevel="1" x14ac:dyDescent="0.2">
      <c r="A64" s="28" t="s">
        <v>21</v>
      </c>
      <c r="B64" s="29" t="s">
        <v>59</v>
      </c>
      <c r="C64" s="28">
        <v>5.53</v>
      </c>
      <c r="D64" s="82"/>
    </row>
    <row r="65" spans="1:4" ht="15.75" outlineLevel="1" x14ac:dyDescent="0.2">
      <c r="A65" s="28" t="s">
        <v>21</v>
      </c>
      <c r="B65" s="29" t="s">
        <v>72</v>
      </c>
      <c r="C65" s="28">
        <v>5.69</v>
      </c>
      <c r="D65" s="82"/>
    </row>
    <row r="66" spans="1:4" ht="15.75" outlineLevel="1" x14ac:dyDescent="0.2">
      <c r="A66" s="28" t="s">
        <v>21</v>
      </c>
      <c r="B66" s="29" t="s">
        <v>85</v>
      </c>
      <c r="C66" s="30">
        <v>5.72</v>
      </c>
      <c r="D66" s="82"/>
    </row>
    <row r="67" spans="1:4" ht="15.75" outlineLevel="1" x14ac:dyDescent="0.2">
      <c r="A67" s="28" t="s">
        <v>21</v>
      </c>
      <c r="B67" s="29" t="s">
        <v>73</v>
      </c>
      <c r="C67" s="28">
        <v>5.75</v>
      </c>
      <c r="D67" s="82"/>
    </row>
    <row r="68" spans="1:4" ht="15.75" outlineLevel="1" x14ac:dyDescent="0.2">
      <c r="A68" s="28" t="s">
        <v>21</v>
      </c>
      <c r="B68" s="29" t="s">
        <v>62</v>
      </c>
      <c r="C68" s="30">
        <v>5.7</v>
      </c>
      <c r="D68" s="82"/>
    </row>
    <row r="69" spans="1:4" ht="15.75" outlineLevel="1" x14ac:dyDescent="0.2">
      <c r="A69" s="28" t="s">
        <v>21</v>
      </c>
      <c r="B69" s="29" t="s">
        <v>74</v>
      </c>
      <c r="C69" s="28">
        <v>5.74</v>
      </c>
      <c r="D69" s="82"/>
    </row>
    <row r="70" spans="1:4" ht="15.75" outlineLevel="1" x14ac:dyDescent="0.2">
      <c r="A70" s="28" t="s">
        <v>21</v>
      </c>
      <c r="B70" s="29" t="s">
        <v>86</v>
      </c>
      <c r="C70" s="28">
        <v>5.76</v>
      </c>
      <c r="D70" s="82"/>
    </row>
    <row r="71" spans="1:4" ht="15.75" outlineLevel="1" x14ac:dyDescent="0.2">
      <c r="A71" s="28" t="s">
        <v>21</v>
      </c>
      <c r="B71" s="29" t="s">
        <v>87</v>
      </c>
      <c r="C71" s="28">
        <v>5.89</v>
      </c>
      <c r="D71" s="81" t="s">
        <v>1080</v>
      </c>
    </row>
    <row r="72" spans="1:4" ht="15.75" outlineLevel="1" x14ac:dyDescent="0.2">
      <c r="A72" s="28" t="s">
        <v>21</v>
      </c>
      <c r="B72" s="29" t="s">
        <v>76</v>
      </c>
      <c r="C72" s="28">
        <v>5.58</v>
      </c>
      <c r="D72" s="82"/>
    </row>
    <row r="73" spans="1:4" ht="15.75" outlineLevel="1" x14ac:dyDescent="0.2">
      <c r="A73" s="28" t="s">
        <v>21</v>
      </c>
      <c r="B73" s="29" t="s">
        <v>75</v>
      </c>
      <c r="C73" s="28">
        <v>5.62</v>
      </c>
      <c r="D73" s="82"/>
    </row>
    <row r="74" spans="1:4" ht="15.75" outlineLevel="1" x14ac:dyDescent="0.2">
      <c r="A74" s="28" t="s">
        <v>21</v>
      </c>
      <c r="B74" s="29" t="s">
        <v>61</v>
      </c>
      <c r="C74" s="28">
        <v>5.54</v>
      </c>
      <c r="D74" s="82"/>
    </row>
    <row r="75" spans="1:4" ht="15.75" outlineLevel="1" x14ac:dyDescent="0.2">
      <c r="A75" s="28" t="s">
        <v>21</v>
      </c>
      <c r="B75" s="29" t="s">
        <v>77</v>
      </c>
      <c r="C75" s="28">
        <v>5.55</v>
      </c>
      <c r="D75" s="82"/>
    </row>
    <row r="76" spans="1:4" ht="15.75" outlineLevel="1" x14ac:dyDescent="0.2">
      <c r="A76" s="28" t="s">
        <v>21</v>
      </c>
      <c r="B76" s="29" t="s">
        <v>63</v>
      </c>
      <c r="C76" s="28">
        <v>5.63</v>
      </c>
      <c r="D76" s="82"/>
    </row>
    <row r="77" spans="1:4" ht="15.75" outlineLevel="1" x14ac:dyDescent="0.2">
      <c r="A77" s="28" t="s">
        <v>21</v>
      </c>
      <c r="B77" s="29" t="s">
        <v>78</v>
      </c>
      <c r="C77" s="28">
        <v>5.65</v>
      </c>
      <c r="D77" s="82"/>
    </row>
    <row r="78" spans="1:4" ht="15.75" outlineLevel="1" x14ac:dyDescent="0.2">
      <c r="A78" s="28" t="s">
        <v>21</v>
      </c>
      <c r="B78" s="29" t="s">
        <v>88</v>
      </c>
      <c r="C78" s="28">
        <v>5.66</v>
      </c>
      <c r="D78" s="82"/>
    </row>
    <row r="79" spans="1:4" ht="15.75" outlineLevel="1" x14ac:dyDescent="0.2">
      <c r="A79" s="28" t="s">
        <v>21</v>
      </c>
      <c r="B79" s="29" t="s">
        <v>17</v>
      </c>
      <c r="C79" s="28">
        <v>5.68</v>
      </c>
      <c r="D79" s="82"/>
    </row>
    <row r="80" spans="1:4" ht="15.75" outlineLevel="1" x14ac:dyDescent="0.2">
      <c r="A80" s="28" t="s">
        <v>21</v>
      </c>
      <c r="B80" s="29" t="s">
        <v>79</v>
      </c>
      <c r="C80" s="28">
        <v>5.45</v>
      </c>
      <c r="D80" s="82"/>
    </row>
    <row r="81" spans="1:4" ht="15.75" outlineLevel="1" x14ac:dyDescent="0.2">
      <c r="A81" s="28" t="s">
        <v>21</v>
      </c>
      <c r="B81" s="29" t="s">
        <v>64</v>
      </c>
      <c r="C81" s="28">
        <v>5.47</v>
      </c>
      <c r="D81" s="82"/>
    </row>
    <row r="82" spans="1:4" ht="15.75" outlineLevel="1" x14ac:dyDescent="0.2">
      <c r="A82" s="28" t="s">
        <v>21</v>
      </c>
      <c r="B82" s="29" t="s">
        <v>65</v>
      </c>
      <c r="C82" s="28">
        <v>5.48</v>
      </c>
      <c r="D82" s="82"/>
    </row>
    <row r="83" spans="1:4" ht="15.75" x14ac:dyDescent="0.2">
      <c r="A83" s="33" t="s">
        <v>21</v>
      </c>
      <c r="B83" s="29"/>
      <c r="C83" s="28"/>
      <c r="D83" s="82"/>
    </row>
    <row r="84" spans="1:4" ht="15.75" outlineLevel="1" x14ac:dyDescent="0.2">
      <c r="A84" s="28" t="s">
        <v>22</v>
      </c>
      <c r="B84" s="29" t="s">
        <v>49</v>
      </c>
      <c r="C84" s="28">
        <v>5.0999999999999996</v>
      </c>
      <c r="D84" s="82"/>
    </row>
    <row r="85" spans="1:4" ht="15.75" outlineLevel="1" x14ac:dyDescent="0.2">
      <c r="A85" s="28" t="s">
        <v>22</v>
      </c>
      <c r="B85" s="29" t="s">
        <v>50</v>
      </c>
      <c r="C85" s="28">
        <v>5.2</v>
      </c>
      <c r="D85" s="82"/>
    </row>
    <row r="86" spans="1:4" ht="15.75" outlineLevel="1" x14ac:dyDescent="0.2">
      <c r="A86" s="28" t="s">
        <v>22</v>
      </c>
      <c r="B86" s="29" t="s">
        <v>66</v>
      </c>
      <c r="C86" s="28">
        <v>5.3</v>
      </c>
      <c r="D86" s="82"/>
    </row>
    <row r="87" spans="1:4" ht="15.75" outlineLevel="1" x14ac:dyDescent="0.2">
      <c r="A87" s="28" t="s">
        <v>22</v>
      </c>
      <c r="B87" s="29" t="s">
        <v>80</v>
      </c>
      <c r="C87" s="28">
        <v>5.6</v>
      </c>
      <c r="D87" s="82"/>
    </row>
    <row r="88" spans="1:4" ht="15.75" outlineLevel="1" x14ac:dyDescent="0.2">
      <c r="A88" s="28" t="s">
        <v>22</v>
      </c>
      <c r="B88" s="29" t="s">
        <v>1081</v>
      </c>
      <c r="C88" s="30">
        <v>5.0999999999999996</v>
      </c>
      <c r="D88" s="82"/>
    </row>
    <row r="89" spans="1:4" ht="15.75" outlineLevel="1" x14ac:dyDescent="0.2">
      <c r="A89" s="28" t="s">
        <v>22</v>
      </c>
      <c r="B89" s="29" t="s">
        <v>91</v>
      </c>
      <c r="C89" s="28">
        <v>5.14</v>
      </c>
      <c r="D89" s="82"/>
    </row>
    <row r="90" spans="1:4" ht="15.75" outlineLevel="1" x14ac:dyDescent="0.2">
      <c r="A90" s="28" t="s">
        <v>22</v>
      </c>
      <c r="B90" s="29" t="s">
        <v>68</v>
      </c>
      <c r="C90" s="28">
        <v>5.19</v>
      </c>
      <c r="D90" s="82"/>
    </row>
    <row r="91" spans="1:4" ht="15.75" outlineLevel="1" x14ac:dyDescent="0.2">
      <c r="A91" s="28" t="s">
        <v>22</v>
      </c>
      <c r="B91" s="29" t="s">
        <v>82</v>
      </c>
      <c r="C91" s="28">
        <v>5.24</v>
      </c>
      <c r="D91" s="82"/>
    </row>
    <row r="92" spans="1:4" ht="15.75" outlineLevel="1" x14ac:dyDescent="0.2">
      <c r="A92" s="28" t="s">
        <v>22</v>
      </c>
      <c r="B92" s="29" t="s">
        <v>54</v>
      </c>
      <c r="C92" s="28">
        <v>5.26</v>
      </c>
      <c r="D92" s="82"/>
    </row>
    <row r="93" spans="1:4" ht="15.75" outlineLevel="1" x14ac:dyDescent="0.2">
      <c r="A93" s="28" t="s">
        <v>22</v>
      </c>
      <c r="B93" s="29" t="s">
        <v>55</v>
      </c>
      <c r="C93" s="28">
        <v>5.27</v>
      </c>
      <c r="D93" s="82"/>
    </row>
    <row r="94" spans="1:4" ht="15.75" outlineLevel="1" x14ac:dyDescent="0.2">
      <c r="A94" s="28" t="s">
        <v>22</v>
      </c>
      <c r="B94" s="29" t="s">
        <v>69</v>
      </c>
      <c r="C94" s="28">
        <v>5.28</v>
      </c>
      <c r="D94" s="82"/>
    </row>
    <row r="95" spans="1:4" ht="15.75" outlineLevel="1" x14ac:dyDescent="0.2">
      <c r="A95" s="28" t="s">
        <v>22</v>
      </c>
      <c r="B95" s="29" t="s">
        <v>89</v>
      </c>
      <c r="C95" s="28">
        <v>5.29</v>
      </c>
      <c r="D95" s="82"/>
    </row>
    <row r="96" spans="1:4" ht="15.75" outlineLevel="1" x14ac:dyDescent="0.2">
      <c r="A96" s="28" t="s">
        <v>22</v>
      </c>
      <c r="B96" s="29" t="s">
        <v>70</v>
      </c>
      <c r="C96" s="30">
        <v>5.3</v>
      </c>
      <c r="D96" s="82"/>
    </row>
    <row r="97" spans="1:4" ht="15.75" outlineLevel="1" x14ac:dyDescent="0.2">
      <c r="A97" s="28" t="s">
        <v>22</v>
      </c>
      <c r="B97" s="29" t="s">
        <v>83</v>
      </c>
      <c r="C97" s="28">
        <v>5.31</v>
      </c>
      <c r="D97" s="82"/>
    </row>
    <row r="98" spans="1:4" ht="15.75" outlineLevel="1" x14ac:dyDescent="0.2">
      <c r="A98" s="28" t="s">
        <v>22</v>
      </c>
      <c r="B98" s="29" t="s">
        <v>56</v>
      </c>
      <c r="C98" s="28">
        <v>5.36</v>
      </c>
      <c r="D98" s="82"/>
    </row>
    <row r="99" spans="1:4" ht="15.75" outlineLevel="1" x14ac:dyDescent="0.2">
      <c r="A99" s="28" t="s">
        <v>22</v>
      </c>
      <c r="B99" s="29" t="s">
        <v>71</v>
      </c>
      <c r="C99" s="28">
        <v>5.49</v>
      </c>
      <c r="D99" s="82"/>
    </row>
    <row r="100" spans="1:4" ht="15.75" outlineLevel="1" x14ac:dyDescent="0.2">
      <c r="A100" s="28" t="s">
        <v>22</v>
      </c>
      <c r="B100" s="29" t="s">
        <v>58</v>
      </c>
      <c r="C100" s="28">
        <v>5.51</v>
      </c>
      <c r="D100" s="82"/>
    </row>
    <row r="101" spans="1:4" ht="15.75" outlineLevel="1" x14ac:dyDescent="0.2">
      <c r="A101" s="28" t="s">
        <v>22</v>
      </c>
      <c r="B101" s="29" t="s">
        <v>1082</v>
      </c>
      <c r="C101" s="28">
        <v>5.52</v>
      </c>
      <c r="D101" s="82"/>
    </row>
    <row r="102" spans="1:4" ht="15.75" outlineLevel="1" x14ac:dyDescent="0.2">
      <c r="A102" s="28" t="s">
        <v>22</v>
      </c>
      <c r="B102" s="29" t="s">
        <v>59</v>
      </c>
      <c r="C102" s="28">
        <v>5.53</v>
      </c>
      <c r="D102" s="82"/>
    </row>
    <row r="103" spans="1:4" ht="15.75" outlineLevel="1" x14ac:dyDescent="0.2">
      <c r="A103" s="28" t="s">
        <v>22</v>
      </c>
      <c r="B103" s="29" t="s">
        <v>72</v>
      </c>
      <c r="C103" s="28">
        <v>5.69</v>
      </c>
      <c r="D103" s="82"/>
    </row>
    <row r="104" spans="1:4" ht="15.75" outlineLevel="1" x14ac:dyDescent="0.2">
      <c r="A104" s="28" t="s">
        <v>22</v>
      </c>
      <c r="B104" s="29" t="s">
        <v>73</v>
      </c>
      <c r="C104" s="28">
        <v>5.75</v>
      </c>
      <c r="D104" s="82"/>
    </row>
    <row r="105" spans="1:4" ht="15.75" outlineLevel="1" x14ac:dyDescent="0.2">
      <c r="A105" s="28" t="s">
        <v>22</v>
      </c>
      <c r="B105" s="29" t="s">
        <v>62</v>
      </c>
      <c r="C105" s="30">
        <v>5.7</v>
      </c>
      <c r="D105" s="82"/>
    </row>
    <row r="106" spans="1:4" ht="15.75" outlineLevel="1" x14ac:dyDescent="0.2">
      <c r="A106" s="28" t="s">
        <v>22</v>
      </c>
      <c r="B106" s="29" t="s">
        <v>74</v>
      </c>
      <c r="C106" s="28">
        <v>5.74</v>
      </c>
      <c r="D106" s="82"/>
    </row>
    <row r="107" spans="1:4" ht="15.75" outlineLevel="1" x14ac:dyDescent="0.2">
      <c r="A107" s="28" t="s">
        <v>22</v>
      </c>
      <c r="B107" s="29" t="s">
        <v>86</v>
      </c>
      <c r="C107" s="28">
        <v>5.76</v>
      </c>
      <c r="D107" s="82"/>
    </row>
    <row r="108" spans="1:4" ht="15.75" outlineLevel="1" x14ac:dyDescent="0.2">
      <c r="A108" s="28" t="s">
        <v>22</v>
      </c>
      <c r="B108" s="29" t="s">
        <v>87</v>
      </c>
      <c r="C108" s="28">
        <v>5.89</v>
      </c>
      <c r="D108" s="81" t="s">
        <v>1080</v>
      </c>
    </row>
    <row r="109" spans="1:4" ht="15.75" outlineLevel="1" x14ac:dyDescent="0.2">
      <c r="A109" s="28" t="s">
        <v>22</v>
      </c>
      <c r="B109" s="29" t="s">
        <v>76</v>
      </c>
      <c r="C109" s="28">
        <v>5.58</v>
      </c>
      <c r="D109" s="82"/>
    </row>
    <row r="110" spans="1:4" ht="15.75" outlineLevel="1" x14ac:dyDescent="0.2">
      <c r="A110" s="28" t="s">
        <v>22</v>
      </c>
      <c r="B110" s="29" t="s">
        <v>75</v>
      </c>
      <c r="C110" s="28">
        <v>5.62</v>
      </c>
      <c r="D110" s="82"/>
    </row>
    <row r="111" spans="1:4" ht="15.75" outlineLevel="1" x14ac:dyDescent="0.2">
      <c r="A111" s="28" t="s">
        <v>22</v>
      </c>
      <c r="B111" s="29" t="s">
        <v>61</v>
      </c>
      <c r="C111" s="28">
        <v>5.54</v>
      </c>
      <c r="D111" s="82"/>
    </row>
    <row r="112" spans="1:4" ht="15.75" outlineLevel="1" x14ac:dyDescent="0.2">
      <c r="A112" s="28" t="s">
        <v>22</v>
      </c>
      <c r="B112" s="29" t="s">
        <v>77</v>
      </c>
      <c r="C112" s="28">
        <v>5.55</v>
      </c>
      <c r="D112" s="82"/>
    </row>
    <row r="113" spans="1:4" ht="15.75" outlineLevel="1" x14ac:dyDescent="0.2">
      <c r="A113" s="28" t="s">
        <v>22</v>
      </c>
      <c r="B113" s="29" t="s">
        <v>78</v>
      </c>
      <c r="C113" s="28">
        <v>5.65</v>
      </c>
      <c r="D113" s="82"/>
    </row>
    <row r="114" spans="1:4" ht="15.75" outlineLevel="1" x14ac:dyDescent="0.2">
      <c r="A114" s="28" t="s">
        <v>22</v>
      </c>
      <c r="B114" s="29" t="s">
        <v>88</v>
      </c>
      <c r="C114" s="28">
        <v>5.66</v>
      </c>
      <c r="D114" s="82"/>
    </row>
    <row r="115" spans="1:4" ht="15.75" outlineLevel="1" x14ac:dyDescent="0.2">
      <c r="A115" s="28" t="s">
        <v>22</v>
      </c>
      <c r="B115" s="29" t="s">
        <v>17</v>
      </c>
      <c r="C115" s="28">
        <v>5.68</v>
      </c>
      <c r="D115" s="82"/>
    </row>
    <row r="116" spans="1:4" ht="15.75" outlineLevel="1" x14ac:dyDescent="0.2">
      <c r="A116" s="28" t="s">
        <v>22</v>
      </c>
      <c r="B116" s="29" t="s">
        <v>79</v>
      </c>
      <c r="C116" s="28">
        <v>5.45</v>
      </c>
      <c r="D116" s="82"/>
    </row>
    <row r="117" spans="1:4" ht="15.75" outlineLevel="1" x14ac:dyDescent="0.2">
      <c r="A117" s="28" t="s">
        <v>22</v>
      </c>
      <c r="B117" s="29" t="s">
        <v>64</v>
      </c>
      <c r="C117" s="28">
        <v>5.47</v>
      </c>
      <c r="D117" s="82"/>
    </row>
    <row r="118" spans="1:4" ht="15.75" outlineLevel="1" x14ac:dyDescent="0.2">
      <c r="A118" s="28" t="s">
        <v>22</v>
      </c>
      <c r="B118" s="29" t="s">
        <v>65</v>
      </c>
      <c r="C118" s="28">
        <v>5.48</v>
      </c>
      <c r="D118" s="82"/>
    </row>
    <row r="119" spans="1:4" ht="15.75" x14ac:dyDescent="0.2">
      <c r="A119" s="33" t="s">
        <v>22</v>
      </c>
      <c r="B119" s="29"/>
      <c r="C119" s="28"/>
      <c r="D119" s="82"/>
    </row>
    <row r="120" spans="1:4" ht="15.75" outlineLevel="1" x14ac:dyDescent="0.2">
      <c r="A120" s="28" t="s">
        <v>1083</v>
      </c>
      <c r="B120" s="29" t="s">
        <v>49</v>
      </c>
      <c r="C120" s="28">
        <v>5.0999999999999996</v>
      </c>
      <c r="D120" s="82"/>
    </row>
    <row r="121" spans="1:4" ht="15.75" outlineLevel="1" x14ac:dyDescent="0.2">
      <c r="A121" s="28" t="s">
        <v>1083</v>
      </c>
      <c r="B121" s="29" t="s">
        <v>50</v>
      </c>
      <c r="C121" s="28">
        <v>5.2</v>
      </c>
      <c r="D121" s="82"/>
    </row>
    <row r="122" spans="1:4" ht="15.75" outlineLevel="1" x14ac:dyDescent="0.2">
      <c r="A122" s="28" t="s">
        <v>1083</v>
      </c>
      <c r="B122" s="29" t="s">
        <v>66</v>
      </c>
      <c r="C122" s="28">
        <v>5.3</v>
      </c>
      <c r="D122" s="82"/>
    </row>
    <row r="123" spans="1:4" ht="15.75" outlineLevel="1" x14ac:dyDescent="0.2">
      <c r="A123" s="28" t="s">
        <v>1083</v>
      </c>
      <c r="B123" s="29" t="s">
        <v>80</v>
      </c>
      <c r="C123" s="28">
        <v>5.6</v>
      </c>
      <c r="D123" s="82"/>
    </row>
    <row r="124" spans="1:4" ht="15.75" outlineLevel="1" x14ac:dyDescent="0.2">
      <c r="A124" s="28" t="s">
        <v>1083</v>
      </c>
      <c r="B124" s="29" t="s">
        <v>1081</v>
      </c>
      <c r="C124" s="30">
        <v>5.0999999999999996</v>
      </c>
      <c r="D124" s="82"/>
    </row>
    <row r="125" spans="1:4" ht="15.75" outlineLevel="1" x14ac:dyDescent="0.2">
      <c r="A125" s="28" t="s">
        <v>1083</v>
      </c>
      <c r="B125" s="29" t="s">
        <v>91</v>
      </c>
      <c r="C125" s="28">
        <v>5.14</v>
      </c>
      <c r="D125" s="82"/>
    </row>
    <row r="126" spans="1:4" ht="15.75" outlineLevel="1" x14ac:dyDescent="0.2">
      <c r="A126" s="28" t="s">
        <v>1083</v>
      </c>
      <c r="B126" s="29" t="s">
        <v>68</v>
      </c>
      <c r="C126" s="28">
        <v>5.19</v>
      </c>
      <c r="D126" s="82"/>
    </row>
    <row r="127" spans="1:4" ht="15.75" outlineLevel="1" x14ac:dyDescent="0.2">
      <c r="A127" s="28" t="s">
        <v>1083</v>
      </c>
      <c r="B127" s="29" t="s">
        <v>82</v>
      </c>
      <c r="C127" s="28">
        <v>5.24</v>
      </c>
      <c r="D127" s="82"/>
    </row>
    <row r="128" spans="1:4" ht="15.75" outlineLevel="1" x14ac:dyDescent="0.2">
      <c r="A128" s="28" t="s">
        <v>1083</v>
      </c>
      <c r="B128" s="29" t="s">
        <v>54</v>
      </c>
      <c r="C128" s="28">
        <v>5.26</v>
      </c>
      <c r="D128" s="82"/>
    </row>
    <row r="129" spans="1:4" ht="15.75" outlineLevel="1" x14ac:dyDescent="0.2">
      <c r="A129" s="28" t="s">
        <v>1083</v>
      </c>
      <c r="B129" s="29" t="s">
        <v>55</v>
      </c>
      <c r="C129" s="28">
        <v>5.27</v>
      </c>
      <c r="D129" s="82"/>
    </row>
    <row r="130" spans="1:4" ht="15.75" outlineLevel="1" x14ac:dyDescent="0.2">
      <c r="A130" s="28" t="s">
        <v>1083</v>
      </c>
      <c r="B130" s="29" t="s">
        <v>69</v>
      </c>
      <c r="C130" s="28">
        <v>5.28</v>
      </c>
      <c r="D130" s="82"/>
    </row>
    <row r="131" spans="1:4" ht="15.75" outlineLevel="1" x14ac:dyDescent="0.2">
      <c r="A131" s="28" t="s">
        <v>1083</v>
      </c>
      <c r="B131" s="29" t="s">
        <v>89</v>
      </c>
      <c r="C131" s="28">
        <v>5.29</v>
      </c>
      <c r="D131" s="82"/>
    </row>
    <row r="132" spans="1:4" ht="15.75" outlineLevel="1" x14ac:dyDescent="0.2">
      <c r="A132" s="28" t="s">
        <v>1083</v>
      </c>
      <c r="B132" s="29" t="s">
        <v>70</v>
      </c>
      <c r="C132" s="30">
        <v>5.3</v>
      </c>
      <c r="D132" s="82"/>
    </row>
    <row r="133" spans="1:4" ht="15.75" outlineLevel="1" x14ac:dyDescent="0.2">
      <c r="A133" s="28" t="s">
        <v>1083</v>
      </c>
      <c r="B133" s="29" t="s">
        <v>83</v>
      </c>
      <c r="C133" s="28">
        <v>5.31</v>
      </c>
      <c r="D133" s="82"/>
    </row>
    <row r="134" spans="1:4" ht="15.75" outlineLevel="1" x14ac:dyDescent="0.2">
      <c r="A134" s="28" t="s">
        <v>1083</v>
      </c>
      <c r="B134" s="29" t="s">
        <v>56</v>
      </c>
      <c r="C134" s="28">
        <v>5.36</v>
      </c>
      <c r="D134" s="82"/>
    </row>
    <row r="135" spans="1:4" ht="15.75" outlineLevel="1" x14ac:dyDescent="0.2">
      <c r="A135" s="28" t="s">
        <v>1083</v>
      </c>
      <c r="B135" s="29" t="s">
        <v>59</v>
      </c>
      <c r="C135" s="28">
        <v>5.53</v>
      </c>
      <c r="D135" s="82"/>
    </row>
    <row r="136" spans="1:4" ht="15.75" outlineLevel="1" x14ac:dyDescent="0.2">
      <c r="A136" s="28" t="s">
        <v>1083</v>
      </c>
      <c r="B136" s="29" t="s">
        <v>76</v>
      </c>
      <c r="C136" s="28">
        <v>5.58</v>
      </c>
      <c r="D136" s="82"/>
    </row>
    <row r="137" spans="1:4" ht="15.75" outlineLevel="1" x14ac:dyDescent="0.2">
      <c r="A137" s="28" t="s">
        <v>1083</v>
      </c>
      <c r="B137" s="29" t="s">
        <v>75</v>
      </c>
      <c r="C137" s="28">
        <v>5.62</v>
      </c>
      <c r="D137" s="82"/>
    </row>
    <row r="138" spans="1:4" ht="15.75" outlineLevel="1" x14ac:dyDescent="0.2">
      <c r="A138" s="28" t="s">
        <v>1083</v>
      </c>
      <c r="B138" s="29" t="s">
        <v>61</v>
      </c>
      <c r="C138" s="28">
        <v>5.54</v>
      </c>
      <c r="D138" s="82"/>
    </row>
    <row r="139" spans="1:4" ht="15.75" outlineLevel="1" x14ac:dyDescent="0.2">
      <c r="A139" s="28" t="s">
        <v>1083</v>
      </c>
      <c r="B139" s="29" t="s">
        <v>77</v>
      </c>
      <c r="C139" s="28">
        <v>5.55</v>
      </c>
      <c r="D139" s="82"/>
    </row>
    <row r="140" spans="1:4" ht="15.75" outlineLevel="1" x14ac:dyDescent="0.2">
      <c r="A140" s="28" t="s">
        <v>1083</v>
      </c>
      <c r="B140" s="29" t="s">
        <v>63</v>
      </c>
      <c r="C140" s="28">
        <v>5.63</v>
      </c>
      <c r="D140" s="82"/>
    </row>
    <row r="141" spans="1:4" ht="15.75" outlineLevel="1" x14ac:dyDescent="0.2">
      <c r="A141" s="28" t="s">
        <v>1083</v>
      </c>
      <c r="B141" s="29" t="s">
        <v>79</v>
      </c>
      <c r="C141" s="28">
        <v>5.45</v>
      </c>
      <c r="D141" s="82"/>
    </row>
    <row r="142" spans="1:4" ht="15.75" outlineLevel="1" x14ac:dyDescent="0.2">
      <c r="A142" s="28" t="s">
        <v>1083</v>
      </c>
      <c r="B142" s="29" t="s">
        <v>64</v>
      </c>
      <c r="C142" s="28">
        <v>5.47</v>
      </c>
      <c r="D142" s="82"/>
    </row>
    <row r="143" spans="1:4" ht="15.75" outlineLevel="1" x14ac:dyDescent="0.2">
      <c r="A143" s="28" t="s">
        <v>1083</v>
      </c>
      <c r="B143" s="29" t="s">
        <v>65</v>
      </c>
      <c r="C143" s="28">
        <v>5.48</v>
      </c>
      <c r="D143" s="82"/>
    </row>
    <row r="144" spans="1:4" ht="15.75" x14ac:dyDescent="0.2">
      <c r="A144" s="33" t="s">
        <v>1083</v>
      </c>
      <c r="B144" s="29"/>
      <c r="C144" s="28"/>
      <c r="D144" s="82"/>
    </row>
    <row r="145" spans="1:4" ht="15.75" outlineLevel="1" x14ac:dyDescent="0.2">
      <c r="A145" s="28" t="s">
        <v>24</v>
      </c>
      <c r="B145" s="29" t="s">
        <v>49</v>
      </c>
      <c r="C145" s="28">
        <v>5.0999999999999996</v>
      </c>
      <c r="D145" s="82"/>
    </row>
    <row r="146" spans="1:4" ht="15.75" outlineLevel="1" x14ac:dyDescent="0.2">
      <c r="A146" s="28" t="s">
        <v>24</v>
      </c>
      <c r="B146" s="29" t="s">
        <v>50</v>
      </c>
      <c r="C146" s="28">
        <v>5.2</v>
      </c>
      <c r="D146" s="82"/>
    </row>
    <row r="147" spans="1:4" ht="15.75" outlineLevel="1" x14ac:dyDescent="0.2">
      <c r="A147" s="28" t="s">
        <v>24</v>
      </c>
      <c r="B147" s="29" t="s">
        <v>66</v>
      </c>
      <c r="C147" s="28">
        <v>5.3</v>
      </c>
      <c r="D147" s="82"/>
    </row>
    <row r="148" spans="1:4" ht="15.75" outlineLevel="1" x14ac:dyDescent="0.2">
      <c r="A148" s="28" t="s">
        <v>24</v>
      </c>
      <c r="B148" s="29" t="s">
        <v>80</v>
      </c>
      <c r="C148" s="28">
        <v>5.6</v>
      </c>
      <c r="D148" s="82"/>
    </row>
    <row r="149" spans="1:4" ht="15.75" outlineLevel="1" x14ac:dyDescent="0.2">
      <c r="A149" s="28" t="s">
        <v>24</v>
      </c>
      <c r="B149" s="29" t="s">
        <v>1081</v>
      </c>
      <c r="C149" s="30">
        <v>5.0999999999999996</v>
      </c>
      <c r="D149" s="82"/>
    </row>
    <row r="150" spans="1:4" ht="15.75" outlineLevel="1" x14ac:dyDescent="0.2">
      <c r="A150" s="28" t="s">
        <v>24</v>
      </c>
      <c r="B150" s="29" t="s">
        <v>91</v>
      </c>
      <c r="C150" s="28">
        <v>5.14</v>
      </c>
      <c r="D150" s="82"/>
    </row>
    <row r="151" spans="1:4" ht="15.75" outlineLevel="1" x14ac:dyDescent="0.2">
      <c r="A151" s="28" t="s">
        <v>24</v>
      </c>
      <c r="B151" s="29" t="s">
        <v>68</v>
      </c>
      <c r="C151" s="28">
        <v>5.19</v>
      </c>
      <c r="D151" s="82"/>
    </row>
    <row r="152" spans="1:4" ht="15.75" outlineLevel="1" x14ac:dyDescent="0.2">
      <c r="A152" s="28" t="s">
        <v>24</v>
      </c>
      <c r="B152" s="29" t="s">
        <v>82</v>
      </c>
      <c r="C152" s="28">
        <v>5.24</v>
      </c>
      <c r="D152" s="82"/>
    </row>
    <row r="153" spans="1:4" ht="15.75" outlineLevel="1" x14ac:dyDescent="0.2">
      <c r="A153" s="28" t="s">
        <v>24</v>
      </c>
      <c r="B153" s="29" t="s">
        <v>54</v>
      </c>
      <c r="C153" s="28">
        <v>5.26</v>
      </c>
      <c r="D153" s="82"/>
    </row>
    <row r="154" spans="1:4" ht="15.75" outlineLevel="1" x14ac:dyDescent="0.2">
      <c r="A154" s="28" t="s">
        <v>24</v>
      </c>
      <c r="B154" s="29" t="s">
        <v>55</v>
      </c>
      <c r="C154" s="28">
        <v>5.27</v>
      </c>
      <c r="D154" s="82"/>
    </row>
    <row r="155" spans="1:4" ht="15.75" outlineLevel="1" x14ac:dyDescent="0.2">
      <c r="A155" s="28" t="s">
        <v>24</v>
      </c>
      <c r="B155" s="29" t="s">
        <v>69</v>
      </c>
      <c r="C155" s="28">
        <v>5.28</v>
      </c>
      <c r="D155" s="82"/>
    </row>
    <row r="156" spans="1:4" ht="15.75" outlineLevel="1" x14ac:dyDescent="0.2">
      <c r="A156" s="28" t="s">
        <v>24</v>
      </c>
      <c r="B156" s="29" t="s">
        <v>70</v>
      </c>
      <c r="C156" s="30">
        <v>5.3</v>
      </c>
      <c r="D156" s="82"/>
    </row>
    <row r="157" spans="1:4" ht="15.75" outlineLevel="1" x14ac:dyDescent="0.2">
      <c r="A157" s="28" t="s">
        <v>24</v>
      </c>
      <c r="B157" s="29" t="s">
        <v>90</v>
      </c>
      <c r="C157" s="28">
        <v>5.32</v>
      </c>
      <c r="D157" s="82"/>
    </row>
    <row r="158" spans="1:4" ht="15.75" outlineLevel="1" x14ac:dyDescent="0.2">
      <c r="A158" s="28" t="s">
        <v>24</v>
      </c>
      <c r="B158" s="29" t="s">
        <v>56</v>
      </c>
      <c r="C158" s="28">
        <v>5.36</v>
      </c>
      <c r="D158" s="82"/>
    </row>
    <row r="159" spans="1:4" ht="15.75" outlineLevel="1" x14ac:dyDescent="0.2">
      <c r="A159" s="28" t="s">
        <v>24</v>
      </c>
      <c r="B159" s="29" t="s">
        <v>59</v>
      </c>
      <c r="C159" s="28">
        <v>5.53</v>
      </c>
      <c r="D159" s="82"/>
    </row>
    <row r="160" spans="1:4" ht="15.75" outlineLevel="1" x14ac:dyDescent="0.2">
      <c r="A160" s="28" t="s">
        <v>24</v>
      </c>
      <c r="B160" s="29" t="s">
        <v>76</v>
      </c>
      <c r="C160" s="28">
        <v>5.58</v>
      </c>
      <c r="D160" s="82"/>
    </row>
    <row r="161" spans="1:5" ht="15.75" outlineLevel="1" x14ac:dyDescent="0.2">
      <c r="A161" s="28" t="s">
        <v>24</v>
      </c>
      <c r="B161" s="29" t="s">
        <v>61</v>
      </c>
      <c r="C161" s="28">
        <v>5.54</v>
      </c>
      <c r="D161" s="82"/>
    </row>
    <row r="162" spans="1:5" ht="15.75" outlineLevel="1" x14ac:dyDescent="0.2">
      <c r="A162" s="28" t="s">
        <v>24</v>
      </c>
      <c r="B162" s="29" t="s">
        <v>77</v>
      </c>
      <c r="C162" s="28">
        <v>5.55</v>
      </c>
      <c r="D162" s="82"/>
    </row>
    <row r="163" spans="1:5" ht="15.75" outlineLevel="1" x14ac:dyDescent="0.2">
      <c r="A163" s="28" t="s">
        <v>24</v>
      </c>
      <c r="B163" s="29" t="s">
        <v>75</v>
      </c>
      <c r="C163" s="28">
        <v>5.62</v>
      </c>
      <c r="D163" s="82"/>
      <c r="E163" t="s">
        <v>1084</v>
      </c>
    </row>
    <row r="164" spans="1:5" ht="15.75" outlineLevel="1" x14ac:dyDescent="0.2">
      <c r="A164" s="28" t="s">
        <v>24</v>
      </c>
      <c r="B164" s="29" t="s">
        <v>63</v>
      </c>
      <c r="C164" s="28">
        <v>5.63</v>
      </c>
      <c r="D164" s="82"/>
    </row>
    <row r="165" spans="1:5" ht="15.75" outlineLevel="1" x14ac:dyDescent="0.2">
      <c r="A165" s="28" t="s">
        <v>24</v>
      </c>
      <c r="B165" s="29" t="s">
        <v>79</v>
      </c>
      <c r="C165" s="28">
        <v>5.45</v>
      </c>
      <c r="D165" s="82"/>
    </row>
    <row r="166" spans="1:5" ht="15.75" outlineLevel="1" x14ac:dyDescent="0.2">
      <c r="A166" s="28" t="s">
        <v>24</v>
      </c>
      <c r="B166" s="29" t="s">
        <v>64</v>
      </c>
      <c r="C166" s="28">
        <v>5.47</v>
      </c>
      <c r="D166" s="82"/>
    </row>
    <row r="167" spans="1:5" ht="15.75" outlineLevel="1" x14ac:dyDescent="0.2">
      <c r="A167" s="28" t="s">
        <v>24</v>
      </c>
      <c r="B167" s="29" t="s">
        <v>65</v>
      </c>
      <c r="C167" s="28">
        <v>5.48</v>
      </c>
      <c r="D167" s="82"/>
    </row>
    <row r="168" spans="1:5" ht="15.75" x14ac:dyDescent="0.2">
      <c r="A168" s="33" t="s">
        <v>24</v>
      </c>
      <c r="B168" s="29"/>
      <c r="C168" s="28"/>
      <c r="D168" s="82"/>
    </row>
    <row r="169" spans="1:5" ht="15.75" outlineLevel="1" x14ac:dyDescent="0.2">
      <c r="A169" s="28" t="s">
        <v>25</v>
      </c>
      <c r="B169" s="29" t="s">
        <v>49</v>
      </c>
      <c r="C169" s="28">
        <v>5.0999999999999996</v>
      </c>
      <c r="D169" s="82"/>
    </row>
    <row r="170" spans="1:5" ht="15.75" outlineLevel="1" x14ac:dyDescent="0.2">
      <c r="A170" s="28" t="s">
        <v>25</v>
      </c>
      <c r="B170" s="29" t="s">
        <v>50</v>
      </c>
      <c r="C170" s="28">
        <v>5.2</v>
      </c>
      <c r="D170" s="82"/>
    </row>
    <row r="171" spans="1:5" ht="15.75" outlineLevel="1" x14ac:dyDescent="0.2">
      <c r="A171" s="28" t="s">
        <v>25</v>
      </c>
      <c r="B171" s="29" t="s">
        <v>66</v>
      </c>
      <c r="C171" s="28">
        <v>5.3</v>
      </c>
      <c r="D171" s="82"/>
    </row>
    <row r="172" spans="1:5" ht="15.75" outlineLevel="1" x14ac:dyDescent="0.2">
      <c r="A172" s="28" t="s">
        <v>25</v>
      </c>
      <c r="B172" s="29" t="s">
        <v>80</v>
      </c>
      <c r="C172" s="28">
        <v>5.6</v>
      </c>
      <c r="D172" s="82"/>
    </row>
    <row r="173" spans="1:5" ht="15.75" outlineLevel="1" x14ac:dyDescent="0.2">
      <c r="A173" s="28" t="s">
        <v>25</v>
      </c>
      <c r="B173" s="29" t="s">
        <v>1081</v>
      </c>
      <c r="C173" s="30">
        <v>5.0999999999999996</v>
      </c>
      <c r="D173" s="82"/>
    </row>
    <row r="174" spans="1:5" ht="15.75" outlineLevel="1" x14ac:dyDescent="0.2">
      <c r="A174" s="28" t="s">
        <v>25</v>
      </c>
      <c r="B174" s="29" t="s">
        <v>91</v>
      </c>
      <c r="C174" s="28">
        <v>5.14</v>
      </c>
      <c r="D174" s="82"/>
    </row>
    <row r="175" spans="1:5" ht="15.75" outlineLevel="1" x14ac:dyDescent="0.2">
      <c r="A175" s="28" t="s">
        <v>25</v>
      </c>
      <c r="B175" s="29" t="s">
        <v>68</v>
      </c>
      <c r="C175" s="28">
        <v>5.19</v>
      </c>
      <c r="D175" s="82"/>
    </row>
    <row r="176" spans="1:5" ht="15.75" outlineLevel="1" x14ac:dyDescent="0.2">
      <c r="A176" s="28" t="s">
        <v>25</v>
      </c>
      <c r="B176" s="29" t="s">
        <v>82</v>
      </c>
      <c r="C176" s="28">
        <v>5.24</v>
      </c>
      <c r="D176" s="82"/>
    </row>
    <row r="177" spans="1:4" ht="15.75" outlineLevel="1" x14ac:dyDescent="0.2">
      <c r="A177" s="28" t="s">
        <v>25</v>
      </c>
      <c r="B177" s="29" t="s">
        <v>54</v>
      </c>
      <c r="C177" s="28">
        <v>5.26</v>
      </c>
      <c r="D177" s="82"/>
    </row>
    <row r="178" spans="1:4" ht="15.75" outlineLevel="1" x14ac:dyDescent="0.2">
      <c r="A178" s="28" t="s">
        <v>25</v>
      </c>
      <c r="B178" s="29" t="s">
        <v>55</v>
      </c>
      <c r="C178" s="28">
        <v>5.27</v>
      </c>
      <c r="D178" s="82"/>
    </row>
    <row r="179" spans="1:4" ht="15.75" outlineLevel="1" x14ac:dyDescent="0.2">
      <c r="A179" s="28" t="s">
        <v>25</v>
      </c>
      <c r="B179" s="29" t="s">
        <v>69</v>
      </c>
      <c r="C179" s="28">
        <v>5.28</v>
      </c>
      <c r="D179" s="82"/>
    </row>
    <row r="180" spans="1:4" ht="15.75" outlineLevel="1" x14ac:dyDescent="0.2">
      <c r="A180" s="28" t="s">
        <v>25</v>
      </c>
      <c r="B180" s="29" t="s">
        <v>89</v>
      </c>
      <c r="C180" s="28">
        <v>5.29</v>
      </c>
      <c r="D180" s="82"/>
    </row>
    <row r="181" spans="1:4" ht="15.75" outlineLevel="1" x14ac:dyDescent="0.2">
      <c r="A181" s="28" t="s">
        <v>25</v>
      </c>
      <c r="B181" s="29" t="s">
        <v>70</v>
      </c>
      <c r="C181" s="30">
        <v>5.3</v>
      </c>
      <c r="D181" s="82"/>
    </row>
    <row r="182" spans="1:4" ht="15.75" outlineLevel="1" x14ac:dyDescent="0.2">
      <c r="A182" s="28" t="s">
        <v>25</v>
      </c>
      <c r="B182" s="29" t="s">
        <v>90</v>
      </c>
      <c r="C182" s="28">
        <v>5.32</v>
      </c>
      <c r="D182" s="82"/>
    </row>
    <row r="183" spans="1:4" ht="15.75" outlineLevel="1" x14ac:dyDescent="0.2">
      <c r="A183" s="28" t="s">
        <v>25</v>
      </c>
      <c r="B183" s="29" t="s">
        <v>56</v>
      </c>
      <c r="C183" s="28">
        <v>5.36</v>
      </c>
      <c r="D183" s="82"/>
    </row>
    <row r="184" spans="1:4" ht="15.75" outlineLevel="1" x14ac:dyDescent="0.2">
      <c r="A184" s="28" t="s">
        <v>25</v>
      </c>
      <c r="B184" s="29" t="s">
        <v>59</v>
      </c>
      <c r="C184" s="28">
        <v>5.53</v>
      </c>
      <c r="D184" s="82"/>
    </row>
    <row r="185" spans="1:4" ht="15.75" outlineLevel="1" x14ac:dyDescent="0.2">
      <c r="A185" s="28" t="s">
        <v>25</v>
      </c>
      <c r="B185" s="29" t="s">
        <v>76</v>
      </c>
      <c r="C185" s="28">
        <v>5.58</v>
      </c>
      <c r="D185" s="82"/>
    </row>
    <row r="186" spans="1:4" ht="15.75" outlineLevel="1" x14ac:dyDescent="0.2">
      <c r="A186" s="28" t="s">
        <v>25</v>
      </c>
      <c r="B186" s="29" t="s">
        <v>61</v>
      </c>
      <c r="C186" s="28">
        <v>5.54</v>
      </c>
      <c r="D186" s="82"/>
    </row>
    <row r="187" spans="1:4" ht="15.75" outlineLevel="1" x14ac:dyDescent="0.2">
      <c r="A187" s="28" t="s">
        <v>25</v>
      </c>
      <c r="B187" s="29" t="s">
        <v>77</v>
      </c>
      <c r="C187" s="28">
        <v>5.55</v>
      </c>
      <c r="D187" s="82"/>
    </row>
    <row r="188" spans="1:4" ht="15.75" outlineLevel="1" x14ac:dyDescent="0.2">
      <c r="A188" s="28" t="s">
        <v>25</v>
      </c>
      <c r="B188" s="29" t="s">
        <v>63</v>
      </c>
      <c r="C188" s="28">
        <v>5.63</v>
      </c>
      <c r="D188" s="82"/>
    </row>
    <row r="189" spans="1:4" ht="15.75" outlineLevel="1" x14ac:dyDescent="0.2">
      <c r="A189" s="28" t="s">
        <v>25</v>
      </c>
      <c r="B189" s="29" t="s">
        <v>79</v>
      </c>
      <c r="C189" s="28">
        <v>5.45</v>
      </c>
      <c r="D189" s="82"/>
    </row>
    <row r="190" spans="1:4" ht="15.75" outlineLevel="1" x14ac:dyDescent="0.2">
      <c r="A190" s="28" t="s">
        <v>25</v>
      </c>
      <c r="B190" s="29" t="s">
        <v>64</v>
      </c>
      <c r="C190" s="28">
        <v>5.47</v>
      </c>
      <c r="D190" s="82"/>
    </row>
    <row r="191" spans="1:4" ht="15.75" outlineLevel="1" x14ac:dyDescent="0.2">
      <c r="A191" s="28" t="s">
        <v>25</v>
      </c>
      <c r="B191" s="29" t="s">
        <v>65</v>
      </c>
      <c r="C191" s="28">
        <v>5.48</v>
      </c>
      <c r="D191" s="82"/>
    </row>
    <row r="192" spans="1:4" ht="15.75" x14ac:dyDescent="0.2">
      <c r="A192" s="33" t="s">
        <v>25</v>
      </c>
      <c r="B192" s="29"/>
      <c r="C192" s="28"/>
      <c r="D192" s="82"/>
    </row>
    <row r="193" spans="1:4" ht="15.75" outlineLevel="1" x14ac:dyDescent="0.2">
      <c r="A193" s="28" t="s">
        <v>26</v>
      </c>
      <c r="B193" s="29" t="s">
        <v>49</v>
      </c>
      <c r="C193" s="28">
        <v>5.0999999999999996</v>
      </c>
      <c r="D193" s="82"/>
    </row>
    <row r="194" spans="1:4" ht="15.75" outlineLevel="1" x14ac:dyDescent="0.2">
      <c r="A194" s="28" t="s">
        <v>26</v>
      </c>
      <c r="B194" s="29" t="s">
        <v>50</v>
      </c>
      <c r="C194" s="28">
        <v>5.2</v>
      </c>
      <c r="D194" s="82"/>
    </row>
    <row r="195" spans="1:4" ht="15.75" outlineLevel="1" x14ac:dyDescent="0.2">
      <c r="A195" s="28" t="s">
        <v>26</v>
      </c>
      <c r="B195" s="29" t="s">
        <v>66</v>
      </c>
      <c r="C195" s="28">
        <v>5.3</v>
      </c>
      <c r="D195" s="82"/>
    </row>
    <row r="196" spans="1:4" ht="15.75" outlineLevel="1" x14ac:dyDescent="0.2">
      <c r="A196" s="28" t="s">
        <v>26</v>
      </c>
      <c r="B196" s="29" t="s">
        <v>80</v>
      </c>
      <c r="C196" s="28">
        <v>5.6</v>
      </c>
      <c r="D196" s="82"/>
    </row>
    <row r="197" spans="1:4" ht="15.75" outlineLevel="1" x14ac:dyDescent="0.2">
      <c r="A197" s="28" t="s">
        <v>26</v>
      </c>
      <c r="B197" s="29" t="s">
        <v>1081</v>
      </c>
      <c r="C197" s="30">
        <v>5.0999999999999996</v>
      </c>
      <c r="D197" s="82"/>
    </row>
    <row r="198" spans="1:4" ht="15.75" outlineLevel="1" x14ac:dyDescent="0.2">
      <c r="A198" s="28" t="s">
        <v>26</v>
      </c>
      <c r="B198" s="29" t="s">
        <v>91</v>
      </c>
      <c r="C198" s="28">
        <v>5.14</v>
      </c>
      <c r="D198" s="82"/>
    </row>
    <row r="199" spans="1:4" ht="15.75" outlineLevel="1" x14ac:dyDescent="0.2">
      <c r="A199" s="28" t="s">
        <v>26</v>
      </c>
      <c r="B199" s="29" t="s">
        <v>68</v>
      </c>
      <c r="C199" s="28">
        <v>5.19</v>
      </c>
      <c r="D199" s="82"/>
    </row>
    <row r="200" spans="1:4" ht="15.75" outlineLevel="1" x14ac:dyDescent="0.2">
      <c r="A200" s="28" t="s">
        <v>26</v>
      </c>
      <c r="B200" s="29" t="s">
        <v>82</v>
      </c>
      <c r="C200" s="28">
        <v>5.24</v>
      </c>
      <c r="D200" s="82"/>
    </row>
    <row r="201" spans="1:4" ht="15.75" outlineLevel="1" x14ac:dyDescent="0.2">
      <c r="A201" s="28" t="s">
        <v>26</v>
      </c>
      <c r="B201" s="29" t="s">
        <v>55</v>
      </c>
      <c r="C201" s="28">
        <v>5.27</v>
      </c>
      <c r="D201" s="82"/>
    </row>
    <row r="202" spans="1:4" ht="15.75" outlineLevel="1" x14ac:dyDescent="0.2">
      <c r="A202" s="28" t="s">
        <v>26</v>
      </c>
      <c r="B202" s="29" t="s">
        <v>69</v>
      </c>
      <c r="C202" s="28">
        <v>5.28</v>
      </c>
      <c r="D202" s="82"/>
    </row>
    <row r="203" spans="1:4" ht="15.75" outlineLevel="1" x14ac:dyDescent="0.2">
      <c r="A203" s="28" t="s">
        <v>26</v>
      </c>
      <c r="B203" s="29" t="s">
        <v>89</v>
      </c>
      <c r="C203" s="28">
        <v>5.29</v>
      </c>
      <c r="D203" s="82"/>
    </row>
    <row r="204" spans="1:4" ht="15.75" outlineLevel="1" x14ac:dyDescent="0.2">
      <c r="A204" s="28" t="s">
        <v>26</v>
      </c>
      <c r="B204" s="29" t="s">
        <v>70</v>
      </c>
      <c r="C204" s="30">
        <v>5.3</v>
      </c>
      <c r="D204" s="82"/>
    </row>
    <row r="205" spans="1:4" ht="15.75" outlineLevel="1" x14ac:dyDescent="0.2">
      <c r="A205" s="28" t="s">
        <v>26</v>
      </c>
      <c r="B205" s="29" t="s">
        <v>92</v>
      </c>
      <c r="C205" s="28">
        <v>5.34</v>
      </c>
      <c r="D205" s="82"/>
    </row>
    <row r="206" spans="1:4" ht="15.75" outlineLevel="1" x14ac:dyDescent="0.2">
      <c r="A206" s="28" t="s">
        <v>26</v>
      </c>
      <c r="B206" s="29" t="s">
        <v>83</v>
      </c>
      <c r="C206" s="28">
        <v>5.31</v>
      </c>
      <c r="D206" s="82"/>
    </row>
    <row r="207" spans="1:4" ht="15.75" outlineLevel="1" x14ac:dyDescent="0.2">
      <c r="A207" s="28" t="s">
        <v>26</v>
      </c>
      <c r="B207" s="29" t="s">
        <v>93</v>
      </c>
      <c r="C207" s="28">
        <v>5.101</v>
      </c>
      <c r="D207" s="82"/>
    </row>
    <row r="208" spans="1:4" ht="15.75" outlineLevel="1" x14ac:dyDescent="0.2">
      <c r="A208" s="28" t="s">
        <v>26</v>
      </c>
      <c r="B208" s="29" t="s">
        <v>56</v>
      </c>
      <c r="C208" s="28">
        <v>5.36</v>
      </c>
      <c r="D208" s="82"/>
    </row>
    <row r="209" spans="1:4" ht="15.75" outlineLevel="1" x14ac:dyDescent="0.2">
      <c r="A209" s="28" t="s">
        <v>26</v>
      </c>
      <c r="B209" s="29" t="s">
        <v>59</v>
      </c>
      <c r="C209" s="28">
        <v>5.53</v>
      </c>
      <c r="D209" s="82"/>
    </row>
    <row r="210" spans="1:4" ht="15.75" outlineLevel="1" x14ac:dyDescent="0.2">
      <c r="A210" s="28" t="s">
        <v>26</v>
      </c>
      <c r="B210" s="29" t="s">
        <v>94</v>
      </c>
      <c r="C210" s="28">
        <v>5.1020000000000003</v>
      </c>
      <c r="D210" s="82"/>
    </row>
    <row r="211" spans="1:4" ht="15.75" outlineLevel="1" x14ac:dyDescent="0.2">
      <c r="A211" s="28" t="s">
        <v>26</v>
      </c>
      <c r="B211" s="29" t="s">
        <v>95</v>
      </c>
      <c r="C211" s="31">
        <v>5.0999999999999996</v>
      </c>
      <c r="D211" s="82"/>
    </row>
    <row r="212" spans="1:4" ht="15.75" outlineLevel="1" x14ac:dyDescent="0.2">
      <c r="A212" s="28" t="s">
        <v>26</v>
      </c>
      <c r="B212" s="29" t="s">
        <v>76</v>
      </c>
      <c r="C212" s="28">
        <v>5.58</v>
      </c>
      <c r="D212" s="82"/>
    </row>
    <row r="213" spans="1:4" ht="15.75" outlineLevel="1" x14ac:dyDescent="0.2">
      <c r="A213" s="28" t="s">
        <v>26</v>
      </c>
      <c r="B213" s="29" t="s">
        <v>61</v>
      </c>
      <c r="C213" s="28">
        <v>5.54</v>
      </c>
      <c r="D213" s="82"/>
    </row>
    <row r="214" spans="1:4" ht="15.75" outlineLevel="1" x14ac:dyDescent="0.2">
      <c r="A214" s="28" t="s">
        <v>26</v>
      </c>
      <c r="B214" s="29" t="s">
        <v>77</v>
      </c>
      <c r="C214" s="28">
        <v>5.55</v>
      </c>
      <c r="D214" s="82"/>
    </row>
    <row r="215" spans="1:4" ht="15.75" outlineLevel="1" x14ac:dyDescent="0.2">
      <c r="A215" s="28" t="s">
        <v>26</v>
      </c>
      <c r="B215" s="29" t="s">
        <v>63</v>
      </c>
      <c r="C215" s="28">
        <v>5.63</v>
      </c>
      <c r="D215" s="82"/>
    </row>
    <row r="216" spans="1:4" ht="15.75" outlineLevel="1" x14ac:dyDescent="0.2">
      <c r="A216" s="28" t="s">
        <v>26</v>
      </c>
      <c r="B216" s="29" t="s">
        <v>64</v>
      </c>
      <c r="C216" s="28">
        <v>5.47</v>
      </c>
      <c r="D216" s="82"/>
    </row>
    <row r="217" spans="1:4" ht="15.75" outlineLevel="1" x14ac:dyDescent="0.2">
      <c r="A217" s="28" t="s">
        <v>26</v>
      </c>
      <c r="B217" s="29" t="s">
        <v>65</v>
      </c>
      <c r="C217" s="28">
        <v>5.48</v>
      </c>
      <c r="D217" s="82"/>
    </row>
    <row r="218" spans="1:4" ht="15.75" x14ac:dyDescent="0.2">
      <c r="A218" s="33" t="s">
        <v>26</v>
      </c>
      <c r="B218" s="29"/>
      <c r="C218" s="28"/>
      <c r="D218" s="82"/>
    </row>
    <row r="219" spans="1:4" ht="15.75" outlineLevel="1" x14ac:dyDescent="0.2">
      <c r="A219" s="28" t="s">
        <v>27</v>
      </c>
      <c r="B219" s="29" t="s">
        <v>49</v>
      </c>
      <c r="C219" s="28">
        <v>5.0999999999999996</v>
      </c>
      <c r="D219" s="82"/>
    </row>
    <row r="220" spans="1:4" ht="15.75" outlineLevel="1" x14ac:dyDescent="0.2">
      <c r="A220" s="28" t="s">
        <v>27</v>
      </c>
      <c r="B220" s="29" t="s">
        <v>50</v>
      </c>
      <c r="C220" s="28">
        <v>5.2</v>
      </c>
      <c r="D220" s="82"/>
    </row>
    <row r="221" spans="1:4" ht="15.75" outlineLevel="1" x14ac:dyDescent="0.2">
      <c r="A221" s="28" t="s">
        <v>27</v>
      </c>
      <c r="B221" s="29" t="s">
        <v>66</v>
      </c>
      <c r="C221" s="28">
        <v>5.3</v>
      </c>
      <c r="D221" s="82"/>
    </row>
    <row r="222" spans="1:4" ht="15.75" outlineLevel="1" x14ac:dyDescent="0.2">
      <c r="A222" s="28" t="s">
        <v>27</v>
      </c>
      <c r="B222" s="29" t="s">
        <v>80</v>
      </c>
      <c r="C222" s="28">
        <v>5.6</v>
      </c>
      <c r="D222" s="82"/>
    </row>
    <row r="223" spans="1:4" ht="15.75" outlineLevel="1" x14ac:dyDescent="0.2">
      <c r="A223" s="28" t="s">
        <v>27</v>
      </c>
      <c r="B223" s="29" t="s">
        <v>1081</v>
      </c>
      <c r="C223" s="30">
        <v>5.0999999999999996</v>
      </c>
      <c r="D223" s="82"/>
    </row>
    <row r="224" spans="1:4" ht="15.75" outlineLevel="1" x14ac:dyDescent="0.2">
      <c r="A224" s="28" t="s">
        <v>27</v>
      </c>
      <c r="B224" s="29" t="s">
        <v>91</v>
      </c>
      <c r="C224" s="28">
        <v>5.14</v>
      </c>
      <c r="D224" s="82"/>
    </row>
    <row r="225" spans="1:4" ht="15.75" outlineLevel="1" x14ac:dyDescent="0.2">
      <c r="A225" s="28" t="s">
        <v>27</v>
      </c>
      <c r="B225" s="29" t="s">
        <v>68</v>
      </c>
      <c r="C225" s="28">
        <v>5.19</v>
      </c>
      <c r="D225" s="82"/>
    </row>
    <row r="226" spans="1:4" ht="15.75" outlineLevel="1" x14ac:dyDescent="0.2">
      <c r="A226" s="28" t="s">
        <v>27</v>
      </c>
      <c r="B226" s="29" t="s">
        <v>82</v>
      </c>
      <c r="C226" s="28">
        <v>5.24</v>
      </c>
      <c r="D226" s="82"/>
    </row>
    <row r="227" spans="1:4" ht="15.75" outlineLevel="1" x14ac:dyDescent="0.2">
      <c r="A227" s="28" t="s">
        <v>27</v>
      </c>
      <c r="B227" s="29" t="s">
        <v>54</v>
      </c>
      <c r="C227" s="28">
        <v>5.26</v>
      </c>
      <c r="D227" s="82"/>
    </row>
    <row r="228" spans="1:4" ht="15.75" outlineLevel="1" x14ac:dyDescent="0.2">
      <c r="A228" s="28" t="s">
        <v>27</v>
      </c>
      <c r="B228" s="29" t="s">
        <v>55</v>
      </c>
      <c r="C228" s="28">
        <v>5.27</v>
      </c>
      <c r="D228" s="82"/>
    </row>
    <row r="229" spans="1:4" ht="15.75" outlineLevel="1" x14ac:dyDescent="0.2">
      <c r="A229" s="28" t="s">
        <v>27</v>
      </c>
      <c r="B229" s="29" t="s">
        <v>69</v>
      </c>
      <c r="C229" s="28">
        <v>5.28</v>
      </c>
      <c r="D229" s="82"/>
    </row>
    <row r="230" spans="1:4" ht="15.75" outlineLevel="1" x14ac:dyDescent="0.2">
      <c r="A230" s="28" t="s">
        <v>27</v>
      </c>
      <c r="B230" s="29" t="s">
        <v>89</v>
      </c>
      <c r="C230" s="28">
        <v>5.29</v>
      </c>
      <c r="D230" s="82"/>
    </row>
    <row r="231" spans="1:4" ht="15.75" outlineLevel="1" x14ac:dyDescent="0.2">
      <c r="A231" s="28" t="s">
        <v>27</v>
      </c>
      <c r="B231" s="29" t="s">
        <v>70</v>
      </c>
      <c r="C231" s="30">
        <v>5.3</v>
      </c>
      <c r="D231" s="82"/>
    </row>
    <row r="232" spans="1:4" ht="15.75" outlineLevel="1" x14ac:dyDescent="0.2">
      <c r="A232" s="28" t="s">
        <v>27</v>
      </c>
      <c r="B232" s="29" t="s">
        <v>83</v>
      </c>
      <c r="C232" s="28">
        <v>5.31</v>
      </c>
      <c r="D232" s="82"/>
    </row>
    <row r="233" spans="1:4" ht="15.75" outlineLevel="1" x14ac:dyDescent="0.2">
      <c r="A233" s="28" t="s">
        <v>27</v>
      </c>
      <c r="B233" s="29" t="s">
        <v>96</v>
      </c>
      <c r="C233" s="28">
        <v>5.33</v>
      </c>
      <c r="D233" s="82"/>
    </row>
    <row r="234" spans="1:4" ht="15.75" outlineLevel="1" x14ac:dyDescent="0.2">
      <c r="A234" s="28" t="s">
        <v>27</v>
      </c>
      <c r="B234" s="29" t="s">
        <v>93</v>
      </c>
      <c r="C234" s="28">
        <v>5.101</v>
      </c>
      <c r="D234" s="82"/>
    </row>
    <row r="235" spans="1:4" ht="15.75" outlineLevel="1" x14ac:dyDescent="0.2">
      <c r="A235" s="28" t="s">
        <v>27</v>
      </c>
      <c r="B235" s="29" t="s">
        <v>56</v>
      </c>
      <c r="C235" s="28">
        <v>5.36</v>
      </c>
      <c r="D235" s="82"/>
    </row>
    <row r="236" spans="1:4" ht="15.75" outlineLevel="1" x14ac:dyDescent="0.2">
      <c r="A236" s="28" t="s">
        <v>27</v>
      </c>
      <c r="B236" s="29" t="s">
        <v>59</v>
      </c>
      <c r="C236" s="28">
        <v>5.53</v>
      </c>
      <c r="D236" s="82"/>
    </row>
    <row r="237" spans="1:4" ht="15.75" outlineLevel="1" x14ac:dyDescent="0.2">
      <c r="A237" s="28" t="s">
        <v>27</v>
      </c>
      <c r="B237" s="29" t="s">
        <v>94</v>
      </c>
      <c r="C237" s="28">
        <v>5.1020000000000003</v>
      </c>
      <c r="D237" s="82"/>
    </row>
    <row r="238" spans="1:4" ht="15.75" outlineLevel="1" x14ac:dyDescent="0.2">
      <c r="A238" s="28" t="s">
        <v>27</v>
      </c>
      <c r="B238" s="29" t="s">
        <v>76</v>
      </c>
      <c r="C238" s="28">
        <v>5.58</v>
      </c>
      <c r="D238" s="82"/>
    </row>
    <row r="239" spans="1:4" ht="15.75" outlineLevel="1" x14ac:dyDescent="0.2">
      <c r="A239" s="28" t="s">
        <v>27</v>
      </c>
      <c r="B239" s="29" t="s">
        <v>61</v>
      </c>
      <c r="C239" s="28">
        <v>5.54</v>
      </c>
      <c r="D239" s="82"/>
    </row>
    <row r="240" spans="1:4" ht="15.75" outlineLevel="1" x14ac:dyDescent="0.2">
      <c r="A240" s="28" t="s">
        <v>27</v>
      </c>
      <c r="B240" s="29" t="s">
        <v>77</v>
      </c>
      <c r="C240" s="28">
        <v>5.55</v>
      </c>
      <c r="D240" s="82"/>
    </row>
    <row r="241" spans="1:4" ht="15.75" outlineLevel="1" x14ac:dyDescent="0.2">
      <c r="A241" s="28" t="s">
        <v>27</v>
      </c>
      <c r="B241" s="29" t="s">
        <v>63</v>
      </c>
      <c r="C241" s="28">
        <v>5.63</v>
      </c>
      <c r="D241" s="82"/>
    </row>
    <row r="242" spans="1:4" ht="15.75" outlineLevel="1" x14ac:dyDescent="0.2">
      <c r="A242" s="28" t="s">
        <v>27</v>
      </c>
      <c r="B242" s="29" t="s">
        <v>64</v>
      </c>
      <c r="C242" s="28">
        <v>5.47</v>
      </c>
      <c r="D242" s="82"/>
    </row>
    <row r="243" spans="1:4" ht="15.75" outlineLevel="1" x14ac:dyDescent="0.2">
      <c r="A243" s="28" t="s">
        <v>27</v>
      </c>
      <c r="B243" s="29" t="s">
        <v>65</v>
      </c>
      <c r="C243" s="28">
        <v>5.48</v>
      </c>
      <c r="D243" s="82"/>
    </row>
    <row r="244" spans="1:4" ht="15.75" x14ac:dyDescent="0.2">
      <c r="A244" s="33" t="s">
        <v>27</v>
      </c>
      <c r="B244" s="29"/>
      <c r="C244" s="28"/>
      <c r="D244" s="82"/>
    </row>
    <row r="245" spans="1:4" ht="15.75" outlineLevel="1" x14ac:dyDescent="0.2">
      <c r="A245" s="28" t="s">
        <v>28</v>
      </c>
      <c r="B245" s="29" t="s">
        <v>49</v>
      </c>
      <c r="C245" s="28">
        <v>5.0999999999999996</v>
      </c>
      <c r="D245" s="82"/>
    </row>
    <row r="246" spans="1:4" ht="15.75" outlineLevel="1" x14ac:dyDescent="0.2">
      <c r="A246" s="28" t="s">
        <v>28</v>
      </c>
      <c r="B246" s="29" t="s">
        <v>50</v>
      </c>
      <c r="C246" s="28">
        <v>5.2</v>
      </c>
      <c r="D246" s="82"/>
    </row>
    <row r="247" spans="1:4" ht="15.75" outlineLevel="1" x14ac:dyDescent="0.2">
      <c r="A247" s="28" t="s">
        <v>28</v>
      </c>
      <c r="B247" s="29" t="s">
        <v>66</v>
      </c>
      <c r="C247" s="28">
        <v>5.3</v>
      </c>
      <c r="D247" s="82"/>
    </row>
    <row r="248" spans="1:4" ht="15.75" outlineLevel="1" x14ac:dyDescent="0.2">
      <c r="A248" s="28" t="s">
        <v>28</v>
      </c>
      <c r="B248" s="29" t="s">
        <v>80</v>
      </c>
      <c r="C248" s="28">
        <v>5.6</v>
      </c>
      <c r="D248" s="82"/>
    </row>
    <row r="249" spans="1:4" ht="15.75" outlineLevel="1" x14ac:dyDescent="0.2">
      <c r="A249" s="28" t="s">
        <v>28</v>
      </c>
      <c r="B249" s="29" t="s">
        <v>1081</v>
      </c>
      <c r="C249" s="30">
        <v>5.0999999999999996</v>
      </c>
      <c r="D249" s="82"/>
    </row>
    <row r="250" spans="1:4" ht="15.75" outlineLevel="1" x14ac:dyDescent="0.2">
      <c r="A250" s="28" t="s">
        <v>28</v>
      </c>
      <c r="B250" s="29" t="s">
        <v>91</v>
      </c>
      <c r="C250" s="28">
        <v>5.14</v>
      </c>
      <c r="D250" s="82"/>
    </row>
    <row r="251" spans="1:4" ht="15.75" outlineLevel="1" x14ac:dyDescent="0.2">
      <c r="A251" s="28" t="s">
        <v>28</v>
      </c>
      <c r="B251" s="29" t="s">
        <v>68</v>
      </c>
      <c r="C251" s="28">
        <v>5.19</v>
      </c>
      <c r="D251" s="82"/>
    </row>
    <row r="252" spans="1:4" ht="15.75" outlineLevel="1" x14ac:dyDescent="0.2">
      <c r="A252" s="28" t="s">
        <v>28</v>
      </c>
      <c r="B252" s="29" t="s">
        <v>82</v>
      </c>
      <c r="C252" s="28">
        <v>5.24</v>
      </c>
      <c r="D252" s="82"/>
    </row>
    <row r="253" spans="1:4" ht="15.75" outlineLevel="1" x14ac:dyDescent="0.2">
      <c r="A253" s="28" t="s">
        <v>28</v>
      </c>
      <c r="B253" s="29" t="s">
        <v>55</v>
      </c>
      <c r="C253" s="28">
        <v>5.27</v>
      </c>
      <c r="D253" s="82"/>
    </row>
    <row r="254" spans="1:4" ht="15.75" outlineLevel="1" x14ac:dyDescent="0.2">
      <c r="A254" s="28" t="s">
        <v>28</v>
      </c>
      <c r="B254" s="29" t="s">
        <v>69</v>
      </c>
      <c r="C254" s="28">
        <v>5.28</v>
      </c>
      <c r="D254" s="82"/>
    </row>
    <row r="255" spans="1:4" ht="15.75" outlineLevel="1" x14ac:dyDescent="0.2">
      <c r="A255" s="28" t="s">
        <v>28</v>
      </c>
      <c r="B255" s="29" t="s">
        <v>70</v>
      </c>
      <c r="C255" s="30">
        <v>5.3</v>
      </c>
      <c r="D255" s="82"/>
    </row>
    <row r="256" spans="1:4" ht="15.75" outlineLevel="1" x14ac:dyDescent="0.2">
      <c r="A256" s="28" t="s">
        <v>28</v>
      </c>
      <c r="B256" s="29" t="s">
        <v>96</v>
      </c>
      <c r="C256" s="28">
        <v>5.33</v>
      </c>
      <c r="D256" s="82"/>
    </row>
    <row r="257" spans="1:4" ht="15.75" outlineLevel="1" x14ac:dyDescent="0.2">
      <c r="A257" s="28" t="s">
        <v>28</v>
      </c>
      <c r="B257" s="29" t="s">
        <v>56</v>
      </c>
      <c r="C257" s="28">
        <v>5.36</v>
      </c>
      <c r="D257" s="82"/>
    </row>
    <row r="258" spans="1:4" ht="15.75" outlineLevel="1" x14ac:dyDescent="0.2">
      <c r="A258" s="28" t="s">
        <v>28</v>
      </c>
      <c r="B258" s="29" t="s">
        <v>59</v>
      </c>
      <c r="C258" s="28">
        <v>5.53</v>
      </c>
      <c r="D258" s="82"/>
    </row>
    <row r="259" spans="1:4" ht="15.75" outlineLevel="1" x14ac:dyDescent="0.2">
      <c r="A259" s="28" t="s">
        <v>28</v>
      </c>
      <c r="B259" s="29" t="s">
        <v>76</v>
      </c>
      <c r="C259" s="28">
        <v>5.58</v>
      </c>
      <c r="D259" s="82"/>
    </row>
    <row r="260" spans="1:4" ht="15.75" outlineLevel="1" x14ac:dyDescent="0.2">
      <c r="A260" s="28" t="s">
        <v>28</v>
      </c>
      <c r="B260" s="29" t="s">
        <v>61</v>
      </c>
      <c r="C260" s="28">
        <v>5.54</v>
      </c>
      <c r="D260" s="82"/>
    </row>
    <row r="261" spans="1:4" ht="15.75" outlineLevel="1" x14ac:dyDescent="0.2">
      <c r="A261" s="28" t="s">
        <v>28</v>
      </c>
      <c r="B261" s="29" t="s">
        <v>77</v>
      </c>
      <c r="C261" s="28">
        <v>5.55</v>
      </c>
      <c r="D261" s="82"/>
    </row>
    <row r="262" spans="1:4" ht="15.75" outlineLevel="1" x14ac:dyDescent="0.2">
      <c r="A262" s="28" t="s">
        <v>28</v>
      </c>
      <c r="B262" s="29" t="s">
        <v>63</v>
      </c>
      <c r="C262" s="28">
        <v>5.63</v>
      </c>
      <c r="D262" s="82"/>
    </row>
    <row r="263" spans="1:4" ht="15.75" outlineLevel="1" x14ac:dyDescent="0.2">
      <c r="A263" s="28" t="s">
        <v>28</v>
      </c>
      <c r="B263" s="29" t="s">
        <v>64</v>
      </c>
      <c r="C263" s="28">
        <v>5.47</v>
      </c>
      <c r="D263" s="82"/>
    </row>
    <row r="264" spans="1:4" ht="15.75" outlineLevel="1" x14ac:dyDescent="0.2">
      <c r="A264" s="28" t="s">
        <v>28</v>
      </c>
      <c r="B264" s="29" t="s">
        <v>65</v>
      </c>
      <c r="C264" s="28">
        <v>5.48</v>
      </c>
      <c r="D264" s="82"/>
    </row>
    <row r="265" spans="1:4" ht="15.75" x14ac:dyDescent="0.2">
      <c r="A265" s="33" t="s">
        <v>28</v>
      </c>
      <c r="B265" s="29"/>
      <c r="C265" s="28"/>
      <c r="D265" s="82"/>
    </row>
    <row r="266" spans="1:4" ht="15.75" outlineLevel="1" x14ac:dyDescent="0.2">
      <c r="A266" s="28" t="s">
        <v>29</v>
      </c>
      <c r="B266" s="29" t="s">
        <v>49</v>
      </c>
      <c r="C266" s="28">
        <v>5.0999999999999996</v>
      </c>
      <c r="D266" s="82"/>
    </row>
    <row r="267" spans="1:4" ht="15.75" outlineLevel="1" x14ac:dyDescent="0.2">
      <c r="A267" s="28" t="s">
        <v>29</v>
      </c>
      <c r="B267" s="29" t="s">
        <v>50</v>
      </c>
      <c r="C267" s="28">
        <v>5.2</v>
      </c>
      <c r="D267" s="82"/>
    </row>
    <row r="268" spans="1:4" ht="15.75" outlineLevel="1" x14ac:dyDescent="0.2">
      <c r="A268" s="28" t="s">
        <v>29</v>
      </c>
      <c r="B268" s="29" t="s">
        <v>66</v>
      </c>
      <c r="C268" s="28">
        <v>5.3</v>
      </c>
      <c r="D268" s="82"/>
    </row>
    <row r="269" spans="1:4" ht="15.75" outlineLevel="1" x14ac:dyDescent="0.2">
      <c r="A269" s="28" t="s">
        <v>29</v>
      </c>
      <c r="B269" s="29" t="s">
        <v>80</v>
      </c>
      <c r="C269" s="28">
        <v>5.6</v>
      </c>
      <c r="D269" s="82"/>
    </row>
    <row r="270" spans="1:4" ht="15.75" outlineLevel="1" x14ac:dyDescent="0.2">
      <c r="A270" s="28" t="s">
        <v>29</v>
      </c>
      <c r="B270" s="29" t="s">
        <v>1081</v>
      </c>
      <c r="C270" s="30">
        <v>5.0999999999999996</v>
      </c>
      <c r="D270" s="82"/>
    </row>
    <row r="271" spans="1:4" ht="15.75" outlineLevel="1" x14ac:dyDescent="0.2">
      <c r="A271" s="28" t="s">
        <v>29</v>
      </c>
      <c r="B271" s="29" t="s">
        <v>91</v>
      </c>
      <c r="C271" s="28">
        <v>5.14</v>
      </c>
      <c r="D271" s="82"/>
    </row>
    <row r="272" spans="1:4" ht="15.75" outlineLevel="1" x14ac:dyDescent="0.2">
      <c r="A272" s="28" t="s">
        <v>29</v>
      </c>
      <c r="B272" s="29" t="s">
        <v>68</v>
      </c>
      <c r="C272" s="28">
        <v>5.19</v>
      </c>
      <c r="D272" s="82"/>
    </row>
    <row r="273" spans="1:4" ht="15.75" outlineLevel="1" x14ac:dyDescent="0.2">
      <c r="A273" s="28" t="s">
        <v>29</v>
      </c>
      <c r="B273" s="29" t="s">
        <v>82</v>
      </c>
      <c r="C273" s="28">
        <v>5.24</v>
      </c>
      <c r="D273" s="82"/>
    </row>
    <row r="274" spans="1:4" ht="15.75" outlineLevel="1" x14ac:dyDescent="0.2">
      <c r="A274" s="28" t="s">
        <v>29</v>
      </c>
      <c r="B274" s="29" t="s">
        <v>54</v>
      </c>
      <c r="C274" s="28">
        <v>5.26</v>
      </c>
      <c r="D274" s="82"/>
    </row>
    <row r="275" spans="1:4" ht="15.75" outlineLevel="1" x14ac:dyDescent="0.2">
      <c r="A275" s="28" t="s">
        <v>29</v>
      </c>
      <c r="B275" s="29" t="s">
        <v>55</v>
      </c>
      <c r="C275" s="28">
        <v>5.27</v>
      </c>
      <c r="D275" s="82"/>
    </row>
    <row r="276" spans="1:4" ht="15.75" outlineLevel="1" x14ac:dyDescent="0.2">
      <c r="A276" s="28" t="s">
        <v>29</v>
      </c>
      <c r="B276" s="29" t="s">
        <v>69</v>
      </c>
      <c r="C276" s="28">
        <v>5.28</v>
      </c>
      <c r="D276" s="82"/>
    </row>
    <row r="277" spans="1:4" ht="15.75" outlineLevel="1" x14ac:dyDescent="0.2">
      <c r="A277" s="28" t="s">
        <v>29</v>
      </c>
      <c r="B277" s="29" t="s">
        <v>89</v>
      </c>
      <c r="C277" s="28">
        <v>5.29</v>
      </c>
      <c r="D277" s="82"/>
    </row>
    <row r="278" spans="1:4" ht="15.75" outlineLevel="1" x14ac:dyDescent="0.2">
      <c r="A278" s="28" t="s">
        <v>29</v>
      </c>
      <c r="B278" s="29" t="s">
        <v>70</v>
      </c>
      <c r="C278" s="30">
        <v>5.3</v>
      </c>
      <c r="D278" s="82"/>
    </row>
    <row r="279" spans="1:4" ht="15.75" outlineLevel="1" x14ac:dyDescent="0.2">
      <c r="A279" s="28" t="s">
        <v>29</v>
      </c>
      <c r="B279" s="29" t="s">
        <v>96</v>
      </c>
      <c r="C279" s="28">
        <v>5.33</v>
      </c>
      <c r="D279" s="82"/>
    </row>
    <row r="280" spans="1:4" ht="15.75" outlineLevel="1" x14ac:dyDescent="0.2">
      <c r="A280" s="28" t="s">
        <v>29</v>
      </c>
      <c r="B280" s="29" t="s">
        <v>56</v>
      </c>
      <c r="C280" s="28">
        <v>5.36</v>
      </c>
      <c r="D280" s="82"/>
    </row>
    <row r="281" spans="1:4" ht="15.75" outlineLevel="1" x14ac:dyDescent="0.2">
      <c r="A281" s="28" t="s">
        <v>29</v>
      </c>
      <c r="B281" s="29" t="s">
        <v>72</v>
      </c>
      <c r="C281" s="28">
        <v>5.69</v>
      </c>
      <c r="D281" s="82"/>
    </row>
    <row r="282" spans="1:4" ht="15.75" outlineLevel="1" x14ac:dyDescent="0.2">
      <c r="A282" s="28" t="s">
        <v>29</v>
      </c>
      <c r="B282" s="29" t="s">
        <v>62</v>
      </c>
      <c r="C282" s="30">
        <v>5.7</v>
      </c>
      <c r="D282" s="82"/>
    </row>
    <row r="283" spans="1:4" ht="15.75" outlineLevel="1" x14ac:dyDescent="0.2">
      <c r="A283" s="28" t="s">
        <v>29</v>
      </c>
      <c r="B283" s="29" t="s">
        <v>74</v>
      </c>
      <c r="C283" s="28">
        <v>5.74</v>
      </c>
      <c r="D283" s="82"/>
    </row>
    <row r="284" spans="1:4" ht="15.75" outlineLevel="1" x14ac:dyDescent="0.2">
      <c r="A284" s="28" t="s">
        <v>29</v>
      </c>
      <c r="B284" s="29" t="s">
        <v>71</v>
      </c>
      <c r="C284" s="28">
        <v>5.49</v>
      </c>
      <c r="D284" s="82"/>
    </row>
    <row r="285" spans="1:4" ht="15.75" outlineLevel="1" x14ac:dyDescent="0.2">
      <c r="A285" s="28" t="s">
        <v>29</v>
      </c>
      <c r="B285" s="29" t="s">
        <v>58</v>
      </c>
      <c r="C285" s="28">
        <v>5.51</v>
      </c>
      <c r="D285" s="82"/>
    </row>
    <row r="286" spans="1:4" ht="15.75" outlineLevel="1" x14ac:dyDescent="0.2">
      <c r="A286" s="28" t="s">
        <v>29</v>
      </c>
      <c r="B286" s="29" t="s">
        <v>1082</v>
      </c>
      <c r="C286" s="28">
        <v>5.52</v>
      </c>
      <c r="D286" s="82"/>
    </row>
    <row r="287" spans="1:4" ht="15.75" outlineLevel="1" x14ac:dyDescent="0.2">
      <c r="A287" s="28" t="s">
        <v>29</v>
      </c>
      <c r="B287" s="29" t="s">
        <v>59</v>
      </c>
      <c r="C287" s="28">
        <v>5.53</v>
      </c>
      <c r="D287" s="82"/>
    </row>
    <row r="288" spans="1:4" ht="15.75" outlineLevel="1" x14ac:dyDescent="0.2">
      <c r="A288" s="28" t="s">
        <v>29</v>
      </c>
      <c r="B288" s="29" t="s">
        <v>76</v>
      </c>
      <c r="C288" s="28">
        <v>5.58</v>
      </c>
      <c r="D288" s="82"/>
    </row>
    <row r="289" spans="1:4" ht="15.75" outlineLevel="1" x14ac:dyDescent="0.2">
      <c r="A289" s="28" t="s">
        <v>29</v>
      </c>
      <c r="B289" s="29" t="s">
        <v>61</v>
      </c>
      <c r="C289" s="28">
        <v>5.54</v>
      </c>
      <c r="D289" s="82"/>
    </row>
    <row r="290" spans="1:4" ht="15.75" outlineLevel="1" x14ac:dyDescent="0.2">
      <c r="A290" s="28" t="s">
        <v>29</v>
      </c>
      <c r="B290" s="29" t="s">
        <v>77</v>
      </c>
      <c r="C290" s="28">
        <v>5.55</v>
      </c>
      <c r="D290" s="82"/>
    </row>
    <row r="291" spans="1:4" ht="15.75" outlineLevel="1" x14ac:dyDescent="0.2">
      <c r="A291" s="28" t="s">
        <v>29</v>
      </c>
      <c r="B291" s="29" t="s">
        <v>63</v>
      </c>
      <c r="C291" s="28">
        <v>5.63</v>
      </c>
      <c r="D291" s="82"/>
    </row>
    <row r="292" spans="1:4" ht="15.75" outlineLevel="1" x14ac:dyDescent="0.2">
      <c r="A292" s="28" t="s">
        <v>29</v>
      </c>
      <c r="B292" s="29" t="s">
        <v>64</v>
      </c>
      <c r="C292" s="28">
        <v>5.47</v>
      </c>
      <c r="D292" s="82"/>
    </row>
    <row r="293" spans="1:4" ht="15.75" outlineLevel="1" x14ac:dyDescent="0.2">
      <c r="A293" s="28" t="s">
        <v>29</v>
      </c>
      <c r="B293" s="29" t="s">
        <v>65</v>
      </c>
      <c r="C293" s="28">
        <v>5.48</v>
      </c>
      <c r="D293" s="82"/>
    </row>
    <row r="294" spans="1:4" ht="15.75" x14ac:dyDescent="0.2">
      <c r="A294" s="33" t="s">
        <v>29</v>
      </c>
      <c r="B294" s="29"/>
      <c r="C294" s="28"/>
      <c r="D294" s="82"/>
    </row>
    <row r="295" spans="1:4" ht="15.75" outlineLevel="1" x14ac:dyDescent="0.2">
      <c r="A295" s="28" t="s">
        <v>30</v>
      </c>
      <c r="B295" s="29" t="s">
        <v>49</v>
      </c>
      <c r="C295" s="28">
        <v>5.0999999999999996</v>
      </c>
      <c r="D295" s="82"/>
    </row>
    <row r="296" spans="1:4" ht="15.75" outlineLevel="1" x14ac:dyDescent="0.2">
      <c r="A296" s="28" t="s">
        <v>30</v>
      </c>
      <c r="B296" s="29" t="s">
        <v>50</v>
      </c>
      <c r="C296" s="28">
        <v>5.2</v>
      </c>
      <c r="D296" s="82"/>
    </row>
    <row r="297" spans="1:4" ht="15.75" outlineLevel="1" x14ac:dyDescent="0.2">
      <c r="A297" s="28" t="s">
        <v>30</v>
      </c>
      <c r="B297" s="29" t="s">
        <v>66</v>
      </c>
      <c r="C297" s="28">
        <v>5.3</v>
      </c>
      <c r="D297" s="82"/>
    </row>
    <row r="298" spans="1:4" ht="15.75" outlineLevel="1" x14ac:dyDescent="0.2">
      <c r="A298" s="28" t="s">
        <v>30</v>
      </c>
      <c r="B298" s="29" t="s">
        <v>91</v>
      </c>
      <c r="C298" s="28">
        <v>5.14</v>
      </c>
      <c r="D298" s="82"/>
    </row>
    <row r="299" spans="1:4" ht="15.75" outlineLevel="1" x14ac:dyDescent="0.2">
      <c r="A299" s="28" t="s">
        <v>30</v>
      </c>
      <c r="B299" s="29" t="s">
        <v>68</v>
      </c>
      <c r="C299" s="28">
        <v>5.19</v>
      </c>
      <c r="D299" s="82"/>
    </row>
    <row r="300" spans="1:4" ht="15.75" outlineLevel="1" x14ac:dyDescent="0.2">
      <c r="A300" s="28" t="s">
        <v>30</v>
      </c>
      <c r="B300" s="29" t="s">
        <v>82</v>
      </c>
      <c r="C300" s="28">
        <v>5.24</v>
      </c>
      <c r="D300" s="82"/>
    </row>
    <row r="301" spans="1:4" ht="15.75" outlineLevel="1" x14ac:dyDescent="0.2">
      <c r="A301" s="28" t="s">
        <v>30</v>
      </c>
      <c r="B301" s="29" t="s">
        <v>54</v>
      </c>
      <c r="C301" s="28">
        <v>5.26</v>
      </c>
      <c r="D301" s="82"/>
    </row>
    <row r="302" spans="1:4" ht="15.75" outlineLevel="1" x14ac:dyDescent="0.2">
      <c r="A302" s="28" t="s">
        <v>30</v>
      </c>
      <c r="B302" s="29" t="s">
        <v>55</v>
      </c>
      <c r="C302" s="28">
        <v>5.27</v>
      </c>
      <c r="D302" s="82"/>
    </row>
    <row r="303" spans="1:4" ht="15.75" outlineLevel="1" x14ac:dyDescent="0.2">
      <c r="A303" s="28" t="s">
        <v>30</v>
      </c>
      <c r="B303" s="29" t="s">
        <v>69</v>
      </c>
      <c r="C303" s="28">
        <v>5.28</v>
      </c>
      <c r="D303" s="82"/>
    </row>
    <row r="304" spans="1:4" ht="15.75" outlineLevel="1" x14ac:dyDescent="0.2">
      <c r="A304" s="28" t="s">
        <v>30</v>
      </c>
      <c r="B304" s="29" t="s">
        <v>97</v>
      </c>
      <c r="C304" s="28">
        <v>5.37</v>
      </c>
      <c r="D304" s="82"/>
    </row>
    <row r="305" spans="1:4" ht="15.75" outlineLevel="1" x14ac:dyDescent="0.2">
      <c r="A305" s="28" t="s">
        <v>30</v>
      </c>
      <c r="B305" s="29" t="s">
        <v>71</v>
      </c>
      <c r="C305" s="28">
        <v>5.49</v>
      </c>
      <c r="D305" s="82"/>
    </row>
    <row r="306" spans="1:4" ht="15.75" outlineLevel="1" x14ac:dyDescent="0.2">
      <c r="A306" s="28" t="s">
        <v>30</v>
      </c>
      <c r="B306" s="29" t="s">
        <v>58</v>
      </c>
      <c r="C306" s="28">
        <v>5.51</v>
      </c>
      <c r="D306" s="82"/>
    </row>
    <row r="307" spans="1:4" ht="15.75" outlineLevel="1" x14ac:dyDescent="0.2">
      <c r="A307" s="28" t="s">
        <v>30</v>
      </c>
      <c r="B307" s="29" t="s">
        <v>59</v>
      </c>
      <c r="C307" s="28">
        <v>5.53</v>
      </c>
      <c r="D307" s="82"/>
    </row>
    <row r="308" spans="1:4" ht="15.75" outlineLevel="1" x14ac:dyDescent="0.2">
      <c r="A308" s="28" t="s">
        <v>30</v>
      </c>
      <c r="B308" s="29" t="s">
        <v>72</v>
      </c>
      <c r="C308" s="28">
        <v>5.69</v>
      </c>
      <c r="D308" s="82"/>
    </row>
    <row r="309" spans="1:4" ht="15.75" outlineLevel="1" x14ac:dyDescent="0.2">
      <c r="A309" s="28" t="s">
        <v>30</v>
      </c>
      <c r="B309" s="29" t="s">
        <v>73</v>
      </c>
      <c r="C309" s="28">
        <v>5.75</v>
      </c>
      <c r="D309" s="82"/>
    </row>
    <row r="310" spans="1:4" ht="15.75" outlineLevel="1" x14ac:dyDescent="0.2">
      <c r="A310" s="28" t="s">
        <v>30</v>
      </c>
      <c r="B310" s="29" t="s">
        <v>62</v>
      </c>
      <c r="C310" s="30">
        <v>5.7</v>
      </c>
      <c r="D310" s="82"/>
    </row>
    <row r="311" spans="1:4" ht="15.75" outlineLevel="1" x14ac:dyDescent="0.2">
      <c r="A311" s="28" t="s">
        <v>30</v>
      </c>
      <c r="B311" s="29" t="s">
        <v>74</v>
      </c>
      <c r="C311" s="28">
        <v>5.74</v>
      </c>
      <c r="D311" s="82"/>
    </row>
    <row r="312" spans="1:4" ht="15.75" outlineLevel="1" x14ac:dyDescent="0.2">
      <c r="A312" s="28" t="s">
        <v>30</v>
      </c>
      <c r="B312" s="29" t="s">
        <v>76</v>
      </c>
      <c r="C312" s="28">
        <v>5.58</v>
      </c>
      <c r="D312" s="82"/>
    </row>
    <row r="313" spans="1:4" ht="15.75" outlineLevel="1" x14ac:dyDescent="0.2">
      <c r="A313" s="28" t="s">
        <v>30</v>
      </c>
      <c r="B313" s="29" t="s">
        <v>61</v>
      </c>
      <c r="C313" s="28">
        <v>5.54</v>
      </c>
      <c r="D313" s="82"/>
    </row>
    <row r="314" spans="1:4" ht="15.75" outlineLevel="1" x14ac:dyDescent="0.2">
      <c r="A314" s="28" t="s">
        <v>30</v>
      </c>
      <c r="B314" s="29" t="s">
        <v>77</v>
      </c>
      <c r="C314" s="28">
        <v>5.55</v>
      </c>
      <c r="D314" s="82"/>
    </row>
    <row r="315" spans="1:4" ht="15.75" outlineLevel="1" x14ac:dyDescent="0.2">
      <c r="A315" s="28" t="s">
        <v>30</v>
      </c>
      <c r="B315" s="29" t="s">
        <v>63</v>
      </c>
      <c r="C315" s="28">
        <v>5.63</v>
      </c>
      <c r="D315" s="82"/>
    </row>
    <row r="316" spans="1:4" ht="15.75" outlineLevel="1" x14ac:dyDescent="0.2">
      <c r="A316" s="28" t="s">
        <v>30</v>
      </c>
      <c r="B316" s="29" t="s">
        <v>78</v>
      </c>
      <c r="C316" s="28">
        <v>5.65</v>
      </c>
      <c r="D316" s="82"/>
    </row>
    <row r="317" spans="1:4" ht="15.75" outlineLevel="1" x14ac:dyDescent="0.2">
      <c r="A317" s="28" t="s">
        <v>30</v>
      </c>
      <c r="B317" s="29" t="s">
        <v>17</v>
      </c>
      <c r="C317" s="28">
        <v>5.68</v>
      </c>
      <c r="D317" s="82"/>
    </row>
    <row r="318" spans="1:4" ht="15.75" outlineLevel="1" x14ac:dyDescent="0.2">
      <c r="A318" s="28" t="s">
        <v>30</v>
      </c>
      <c r="B318" s="29" t="s">
        <v>64</v>
      </c>
      <c r="C318" s="28">
        <v>5.47</v>
      </c>
      <c r="D318" s="82"/>
    </row>
    <row r="319" spans="1:4" ht="15.75" outlineLevel="1" x14ac:dyDescent="0.2">
      <c r="A319" s="28" t="s">
        <v>30</v>
      </c>
      <c r="B319" s="29" t="s">
        <v>65</v>
      </c>
      <c r="C319" s="28">
        <v>5.48</v>
      </c>
      <c r="D319" s="82"/>
    </row>
    <row r="320" spans="1:4" ht="15.75" x14ac:dyDescent="0.2">
      <c r="A320" s="33" t="s">
        <v>30</v>
      </c>
      <c r="B320" s="29"/>
      <c r="C320" s="28"/>
      <c r="D320" s="82"/>
    </row>
    <row r="321" spans="1:4" ht="15.75" outlineLevel="1" x14ac:dyDescent="0.2">
      <c r="A321" s="28" t="s">
        <v>31</v>
      </c>
      <c r="B321" s="29" t="s">
        <v>49</v>
      </c>
      <c r="C321" s="28">
        <v>5.0999999999999996</v>
      </c>
      <c r="D321" s="82"/>
    </row>
    <row r="322" spans="1:4" ht="15.75" outlineLevel="1" x14ac:dyDescent="0.2">
      <c r="A322" s="28" t="s">
        <v>31</v>
      </c>
      <c r="B322" s="29" t="s">
        <v>50</v>
      </c>
      <c r="C322" s="28">
        <v>5.2</v>
      </c>
      <c r="D322" s="82"/>
    </row>
    <row r="323" spans="1:4" ht="15.75" outlineLevel="1" x14ac:dyDescent="0.2">
      <c r="A323" s="28" t="s">
        <v>31</v>
      </c>
      <c r="B323" s="29" t="s">
        <v>54</v>
      </c>
      <c r="C323" s="28">
        <v>5.26</v>
      </c>
      <c r="D323" s="82"/>
    </row>
    <row r="324" spans="1:4" ht="15.75" outlineLevel="1" x14ac:dyDescent="0.2">
      <c r="A324" s="28" t="s">
        <v>31</v>
      </c>
      <c r="B324" s="29" t="s">
        <v>91</v>
      </c>
      <c r="C324" s="28">
        <v>5.14</v>
      </c>
      <c r="D324" s="82"/>
    </row>
    <row r="325" spans="1:4" ht="15.75" outlineLevel="1" x14ac:dyDescent="0.2">
      <c r="A325" s="28" t="s">
        <v>31</v>
      </c>
      <c r="B325" s="29" t="s">
        <v>68</v>
      </c>
      <c r="C325" s="28">
        <v>5.19</v>
      </c>
      <c r="D325" s="82"/>
    </row>
    <row r="326" spans="1:4" ht="15.75" outlineLevel="1" x14ac:dyDescent="0.2">
      <c r="A326" s="28" t="s">
        <v>31</v>
      </c>
      <c r="B326" s="29" t="s">
        <v>97</v>
      </c>
      <c r="C326" s="28">
        <v>5.37</v>
      </c>
      <c r="D326" s="82"/>
    </row>
    <row r="327" spans="1:4" ht="15.75" outlineLevel="1" x14ac:dyDescent="0.2">
      <c r="A327" s="28" t="s">
        <v>31</v>
      </c>
      <c r="B327" s="29" t="s">
        <v>72</v>
      </c>
      <c r="C327" s="28">
        <v>5.69</v>
      </c>
      <c r="D327" s="82"/>
    </row>
    <row r="328" spans="1:4" ht="15.75" outlineLevel="1" x14ac:dyDescent="0.2">
      <c r="A328" s="28" t="s">
        <v>31</v>
      </c>
      <c r="B328" s="29" t="s">
        <v>98</v>
      </c>
      <c r="C328" s="30">
        <v>5.8</v>
      </c>
      <c r="D328" s="82"/>
    </row>
    <row r="329" spans="1:4" ht="15.75" outlineLevel="1" x14ac:dyDescent="0.2">
      <c r="A329" s="28" t="s">
        <v>31</v>
      </c>
      <c r="B329" s="29" t="s">
        <v>73</v>
      </c>
      <c r="C329" s="28">
        <v>5.75</v>
      </c>
      <c r="D329" s="82"/>
    </row>
    <row r="330" spans="1:4" ht="15.75" outlineLevel="1" x14ac:dyDescent="0.2">
      <c r="A330" s="28" t="s">
        <v>31</v>
      </c>
      <c r="B330" s="29" t="s">
        <v>62</v>
      </c>
      <c r="C330" s="30">
        <v>5.7</v>
      </c>
      <c r="D330" s="82"/>
    </row>
    <row r="331" spans="1:4" ht="15.75" outlineLevel="1" x14ac:dyDescent="0.2">
      <c r="A331" s="28" t="s">
        <v>31</v>
      </c>
      <c r="B331" s="29" t="s">
        <v>74</v>
      </c>
      <c r="C331" s="28">
        <v>5.74</v>
      </c>
      <c r="D331" s="82"/>
    </row>
    <row r="332" spans="1:4" ht="15.75" outlineLevel="1" x14ac:dyDescent="0.2">
      <c r="A332" s="28" t="s">
        <v>31</v>
      </c>
      <c r="B332" s="29" t="s">
        <v>76</v>
      </c>
      <c r="C332" s="28">
        <v>5.58</v>
      </c>
      <c r="D332" s="82"/>
    </row>
    <row r="333" spans="1:4" ht="15.75" outlineLevel="1" x14ac:dyDescent="0.2">
      <c r="A333" s="28" t="s">
        <v>31</v>
      </c>
      <c r="B333" s="29" t="s">
        <v>77</v>
      </c>
      <c r="C333" s="28">
        <v>5.55</v>
      </c>
      <c r="D333" s="82"/>
    </row>
    <row r="334" spans="1:4" ht="15.75" outlineLevel="1" x14ac:dyDescent="0.2">
      <c r="A334" s="28" t="s">
        <v>31</v>
      </c>
      <c r="B334" s="29" t="s">
        <v>63</v>
      </c>
      <c r="C334" s="28">
        <v>5.63</v>
      </c>
      <c r="D334" s="82"/>
    </row>
    <row r="335" spans="1:4" ht="15.75" outlineLevel="1" x14ac:dyDescent="0.2">
      <c r="A335" s="28" t="s">
        <v>31</v>
      </c>
      <c r="B335" s="29" t="s">
        <v>78</v>
      </c>
      <c r="C335" s="28">
        <v>5.65</v>
      </c>
      <c r="D335" s="82"/>
    </row>
    <row r="336" spans="1:4" ht="15.75" outlineLevel="1" x14ac:dyDescent="0.2">
      <c r="A336" s="28" t="s">
        <v>31</v>
      </c>
      <c r="B336" s="29" t="s">
        <v>17</v>
      </c>
      <c r="C336" s="28">
        <v>5.68</v>
      </c>
      <c r="D336" s="82"/>
    </row>
    <row r="337" spans="1:4" ht="15.75" outlineLevel="1" x14ac:dyDescent="0.2">
      <c r="A337" s="28" t="s">
        <v>31</v>
      </c>
      <c r="B337" s="29" t="s">
        <v>64</v>
      </c>
      <c r="C337" s="28">
        <v>5.47</v>
      </c>
      <c r="D337" s="82"/>
    </row>
    <row r="338" spans="1:4" ht="15.75" outlineLevel="1" x14ac:dyDescent="0.2">
      <c r="A338" s="28" t="s">
        <v>31</v>
      </c>
      <c r="B338" s="29" t="s">
        <v>65</v>
      </c>
      <c r="C338" s="28">
        <v>5.48</v>
      </c>
      <c r="D338" s="82"/>
    </row>
    <row r="339" spans="1:4" ht="15.75" x14ac:dyDescent="0.2">
      <c r="A339" s="33" t="s">
        <v>31</v>
      </c>
      <c r="B339" s="29"/>
      <c r="C339" s="28"/>
      <c r="D339" s="82"/>
    </row>
    <row r="340" spans="1:4" ht="15.75" outlineLevel="1" x14ac:dyDescent="0.2">
      <c r="A340" s="28" t="s">
        <v>32</v>
      </c>
      <c r="B340" s="29" t="s">
        <v>99</v>
      </c>
      <c r="C340" s="28">
        <v>5.0999999999999996</v>
      </c>
      <c r="D340" s="82"/>
    </row>
    <row r="341" spans="1:4" ht="15.75" outlineLevel="1" x14ac:dyDescent="0.2">
      <c r="A341" s="28" t="s">
        <v>32</v>
      </c>
      <c r="B341" s="29" t="s">
        <v>50</v>
      </c>
      <c r="C341" s="28">
        <v>5.2</v>
      </c>
      <c r="D341" s="82"/>
    </row>
    <row r="342" spans="1:4" ht="15.75" outlineLevel="1" x14ac:dyDescent="0.2">
      <c r="A342" s="28" t="s">
        <v>32</v>
      </c>
      <c r="B342" s="29" t="s">
        <v>54</v>
      </c>
      <c r="C342" s="28">
        <v>5.26</v>
      </c>
      <c r="D342" s="82"/>
    </row>
    <row r="343" spans="1:4" ht="15.75" outlineLevel="1" x14ac:dyDescent="0.2">
      <c r="A343" s="28" t="s">
        <v>32</v>
      </c>
      <c r="B343" s="29" t="s">
        <v>100</v>
      </c>
      <c r="C343" s="28">
        <v>5.38</v>
      </c>
      <c r="D343" s="82"/>
    </row>
    <row r="344" spans="1:4" ht="15.75" outlineLevel="1" x14ac:dyDescent="0.2">
      <c r="A344" s="28" t="s">
        <v>32</v>
      </c>
      <c r="B344" s="29" t="s">
        <v>101</v>
      </c>
      <c r="C344" s="28">
        <v>5.39</v>
      </c>
      <c r="D344" s="82"/>
    </row>
    <row r="345" spans="1:4" ht="15.75" outlineLevel="1" x14ac:dyDescent="0.2">
      <c r="A345" s="28" t="s">
        <v>32</v>
      </c>
      <c r="B345" s="29" t="s">
        <v>102</v>
      </c>
      <c r="C345" s="30">
        <v>5.6</v>
      </c>
      <c r="D345" s="82"/>
    </row>
    <row r="346" spans="1:4" ht="15.75" outlineLevel="1" x14ac:dyDescent="0.2">
      <c r="A346" s="28" t="s">
        <v>32</v>
      </c>
      <c r="B346" s="29" t="s">
        <v>65</v>
      </c>
      <c r="C346" s="28">
        <v>5.48</v>
      </c>
      <c r="D346" s="82"/>
    </row>
    <row r="347" spans="1:4" ht="15.75" x14ac:dyDescent="0.2">
      <c r="A347" s="33" t="s">
        <v>32</v>
      </c>
      <c r="B347" s="29"/>
      <c r="C347" s="28"/>
      <c r="D347" s="82"/>
    </row>
    <row r="348" spans="1:4" ht="15.75" outlineLevel="1" x14ac:dyDescent="0.2">
      <c r="A348" s="28" t="s">
        <v>33</v>
      </c>
      <c r="B348" s="29" t="s">
        <v>49</v>
      </c>
      <c r="C348" s="28">
        <v>5.0999999999999996</v>
      </c>
      <c r="D348" s="82"/>
    </row>
    <row r="349" spans="1:4" ht="15.75" outlineLevel="1" x14ac:dyDescent="0.2">
      <c r="A349" s="28" t="s">
        <v>33</v>
      </c>
      <c r="B349" s="29" t="s">
        <v>50</v>
      </c>
      <c r="C349" s="28">
        <v>5.2</v>
      </c>
      <c r="D349" s="82"/>
    </row>
    <row r="350" spans="1:4" ht="15.75" outlineLevel="1" x14ac:dyDescent="0.2">
      <c r="A350" s="28" t="s">
        <v>33</v>
      </c>
      <c r="B350" s="29" t="s">
        <v>66</v>
      </c>
      <c r="C350" s="28">
        <v>5.3</v>
      </c>
      <c r="D350" s="82"/>
    </row>
    <row r="351" spans="1:4" ht="15.75" outlineLevel="1" x14ac:dyDescent="0.2">
      <c r="A351" s="28" t="s">
        <v>33</v>
      </c>
      <c r="B351" s="29" t="s">
        <v>80</v>
      </c>
      <c r="C351" s="28">
        <v>5.6</v>
      </c>
      <c r="D351" s="82"/>
    </row>
    <row r="352" spans="1:4" ht="15.75" outlineLevel="1" x14ac:dyDescent="0.2">
      <c r="A352" s="28" t="s">
        <v>33</v>
      </c>
      <c r="B352" s="29" t="s">
        <v>1081</v>
      </c>
      <c r="C352" s="30">
        <v>5.0999999999999996</v>
      </c>
      <c r="D352" s="82"/>
    </row>
    <row r="353" spans="1:4" ht="15.75" outlineLevel="1" x14ac:dyDescent="0.2">
      <c r="A353" s="28" t="s">
        <v>33</v>
      </c>
      <c r="B353" s="29" t="s">
        <v>91</v>
      </c>
      <c r="C353" s="28">
        <v>5.14</v>
      </c>
      <c r="D353" s="82"/>
    </row>
    <row r="354" spans="1:4" ht="15.75" outlineLevel="1" x14ac:dyDescent="0.2">
      <c r="A354" s="28" t="s">
        <v>33</v>
      </c>
      <c r="B354" s="29" t="s">
        <v>68</v>
      </c>
      <c r="C354" s="28">
        <v>5.19</v>
      </c>
      <c r="D354" s="82"/>
    </row>
    <row r="355" spans="1:4" ht="15.75" outlineLevel="1" x14ac:dyDescent="0.2">
      <c r="A355" s="28" t="s">
        <v>33</v>
      </c>
      <c r="B355" s="29" t="s">
        <v>82</v>
      </c>
      <c r="C355" s="28">
        <v>5.24</v>
      </c>
      <c r="D355" s="82"/>
    </row>
    <row r="356" spans="1:4" ht="15.75" outlineLevel="1" x14ac:dyDescent="0.2">
      <c r="A356" s="28" t="s">
        <v>33</v>
      </c>
      <c r="B356" s="29" t="s">
        <v>54</v>
      </c>
      <c r="C356" s="28">
        <v>5.26</v>
      </c>
      <c r="D356" s="82"/>
    </row>
    <row r="357" spans="1:4" ht="15.75" outlineLevel="1" x14ac:dyDescent="0.2">
      <c r="A357" s="28" t="s">
        <v>33</v>
      </c>
      <c r="B357" s="29" t="s">
        <v>55</v>
      </c>
      <c r="C357" s="28">
        <v>5.27</v>
      </c>
      <c r="D357" s="82"/>
    </row>
    <row r="358" spans="1:4" ht="15.75" outlineLevel="1" x14ac:dyDescent="0.2">
      <c r="A358" s="28" t="s">
        <v>33</v>
      </c>
      <c r="B358" s="29" t="s">
        <v>69</v>
      </c>
      <c r="C358" s="28">
        <v>5.28</v>
      </c>
      <c r="D358" s="82"/>
    </row>
    <row r="359" spans="1:4" ht="15.75" outlineLevel="1" x14ac:dyDescent="0.2">
      <c r="A359" s="28" t="s">
        <v>33</v>
      </c>
      <c r="B359" s="29" t="s">
        <v>83</v>
      </c>
      <c r="C359" s="28">
        <v>5.31</v>
      </c>
      <c r="D359" s="82"/>
    </row>
    <row r="360" spans="1:4" ht="15.75" outlineLevel="1" x14ac:dyDescent="0.2">
      <c r="A360" s="28" t="s">
        <v>33</v>
      </c>
      <c r="B360" s="29" t="s">
        <v>56</v>
      </c>
      <c r="C360" s="28">
        <v>5.36</v>
      </c>
      <c r="D360" s="82"/>
    </row>
    <row r="361" spans="1:4" ht="15.75" outlineLevel="1" x14ac:dyDescent="0.2">
      <c r="A361" s="28" t="s">
        <v>33</v>
      </c>
      <c r="B361" s="29" t="s">
        <v>97</v>
      </c>
      <c r="C361" s="28">
        <v>5.37</v>
      </c>
      <c r="D361" s="82"/>
    </row>
    <row r="362" spans="1:4" ht="15.75" outlineLevel="1" x14ac:dyDescent="0.2">
      <c r="A362" s="28" t="s">
        <v>33</v>
      </c>
      <c r="B362" s="29" t="s">
        <v>71</v>
      </c>
      <c r="C362" s="28">
        <v>5.49</v>
      </c>
      <c r="D362" s="82"/>
    </row>
    <row r="363" spans="1:4" ht="15.75" outlineLevel="1" x14ac:dyDescent="0.2">
      <c r="A363" s="28" t="s">
        <v>33</v>
      </c>
      <c r="B363" s="29" t="s">
        <v>58</v>
      </c>
      <c r="C363" s="28">
        <v>5.51</v>
      </c>
      <c r="D363" s="82"/>
    </row>
    <row r="364" spans="1:4" ht="15.75" outlineLevel="1" x14ac:dyDescent="0.2">
      <c r="A364" s="28" t="s">
        <v>33</v>
      </c>
      <c r="B364" s="29" t="s">
        <v>1082</v>
      </c>
      <c r="C364" s="28">
        <v>5.52</v>
      </c>
      <c r="D364" s="82"/>
    </row>
    <row r="365" spans="1:4" ht="15.75" outlineLevel="1" x14ac:dyDescent="0.2">
      <c r="A365" s="28" t="s">
        <v>33</v>
      </c>
      <c r="B365" s="29" t="s">
        <v>59</v>
      </c>
      <c r="C365" s="28">
        <v>5.53</v>
      </c>
      <c r="D365" s="82"/>
    </row>
    <row r="366" spans="1:4" ht="15.75" outlineLevel="1" x14ac:dyDescent="0.2">
      <c r="A366" s="28" t="s">
        <v>33</v>
      </c>
      <c r="B366" s="29" t="s">
        <v>72</v>
      </c>
      <c r="C366" s="28">
        <v>5.69</v>
      </c>
      <c r="D366" s="82"/>
    </row>
    <row r="367" spans="1:4" ht="15.75" outlineLevel="1" x14ac:dyDescent="0.2">
      <c r="A367" s="28" t="s">
        <v>33</v>
      </c>
      <c r="B367" s="29" t="s">
        <v>98</v>
      </c>
      <c r="C367" s="30">
        <v>5.8</v>
      </c>
      <c r="D367" s="82"/>
    </row>
    <row r="368" spans="1:4" ht="15.75" outlineLevel="1" x14ac:dyDescent="0.2">
      <c r="A368" s="28" t="s">
        <v>33</v>
      </c>
      <c r="B368" s="29" t="s">
        <v>85</v>
      </c>
      <c r="C368" s="30">
        <v>5.72</v>
      </c>
      <c r="D368" s="82"/>
    </row>
    <row r="369" spans="1:4" ht="15.75" outlineLevel="1" x14ac:dyDescent="0.2">
      <c r="A369" s="28" t="s">
        <v>33</v>
      </c>
      <c r="B369" s="29" t="s">
        <v>73</v>
      </c>
      <c r="C369" s="28">
        <v>5.75</v>
      </c>
      <c r="D369" s="82"/>
    </row>
    <row r="370" spans="1:4" ht="15.75" outlineLevel="1" x14ac:dyDescent="0.2">
      <c r="A370" s="28" t="s">
        <v>33</v>
      </c>
      <c r="B370" s="29" t="s">
        <v>62</v>
      </c>
      <c r="C370" s="30">
        <v>5.7</v>
      </c>
      <c r="D370" s="82"/>
    </row>
    <row r="371" spans="1:4" ht="15.75" outlineLevel="1" x14ac:dyDescent="0.2">
      <c r="A371" s="28" t="s">
        <v>33</v>
      </c>
      <c r="B371" s="29" t="s">
        <v>74</v>
      </c>
      <c r="C371" s="28">
        <v>5.74</v>
      </c>
      <c r="D371" s="82"/>
    </row>
    <row r="372" spans="1:4" ht="15.75" outlineLevel="1" x14ac:dyDescent="0.2">
      <c r="A372" s="28" t="s">
        <v>33</v>
      </c>
      <c r="B372" s="29" t="s">
        <v>86</v>
      </c>
      <c r="C372" s="28">
        <v>5.76</v>
      </c>
      <c r="D372" s="82"/>
    </row>
    <row r="373" spans="1:4" ht="15.75" outlineLevel="1" x14ac:dyDescent="0.2">
      <c r="A373" s="28" t="s">
        <v>33</v>
      </c>
      <c r="B373" s="29" t="s">
        <v>87</v>
      </c>
      <c r="C373" s="28">
        <v>5.89</v>
      </c>
      <c r="D373" s="81" t="s">
        <v>1080</v>
      </c>
    </row>
    <row r="374" spans="1:4" ht="15.75" outlineLevel="1" x14ac:dyDescent="0.2">
      <c r="A374" s="28" t="s">
        <v>33</v>
      </c>
      <c r="B374" s="29" t="s">
        <v>103</v>
      </c>
      <c r="C374" s="28">
        <v>5.109</v>
      </c>
      <c r="D374" s="81"/>
    </row>
    <row r="375" spans="1:4" ht="15.75" outlineLevel="1" x14ac:dyDescent="0.2">
      <c r="A375" s="28" t="s">
        <v>33</v>
      </c>
      <c r="B375" s="29" t="s">
        <v>104</v>
      </c>
      <c r="C375" s="28">
        <v>5.1109999999999998</v>
      </c>
      <c r="D375" s="82"/>
    </row>
    <row r="376" spans="1:4" ht="15.75" outlineLevel="1" x14ac:dyDescent="0.2">
      <c r="A376" s="28" t="s">
        <v>33</v>
      </c>
      <c r="B376" s="29" t="s">
        <v>106</v>
      </c>
      <c r="C376" s="28">
        <v>5.1120000000000001</v>
      </c>
      <c r="D376" s="82"/>
    </row>
    <row r="377" spans="1:4" ht="15.75" outlineLevel="1" x14ac:dyDescent="0.2">
      <c r="A377" s="28" t="s">
        <v>33</v>
      </c>
      <c r="B377" s="29" t="s">
        <v>1085</v>
      </c>
      <c r="C377" s="28">
        <v>5.1130000000000004</v>
      </c>
      <c r="D377" s="82"/>
    </row>
    <row r="378" spans="1:4" ht="15.75" outlineLevel="1" x14ac:dyDescent="0.2">
      <c r="A378" s="28" t="s">
        <v>33</v>
      </c>
      <c r="B378" s="29" t="s">
        <v>76</v>
      </c>
      <c r="C378" s="28">
        <v>5.58</v>
      </c>
      <c r="D378" s="82"/>
    </row>
    <row r="379" spans="1:4" ht="15.75" outlineLevel="1" x14ac:dyDescent="0.2">
      <c r="A379" s="28" t="s">
        <v>33</v>
      </c>
      <c r="B379" s="29" t="s">
        <v>61</v>
      </c>
      <c r="C379" s="28">
        <v>5.54</v>
      </c>
      <c r="D379" s="82"/>
    </row>
    <row r="380" spans="1:4" ht="15.75" outlineLevel="1" x14ac:dyDescent="0.2">
      <c r="A380" s="28" t="s">
        <v>33</v>
      </c>
      <c r="B380" s="29" t="s">
        <v>77</v>
      </c>
      <c r="C380" s="28">
        <v>5.55</v>
      </c>
      <c r="D380" s="82"/>
    </row>
    <row r="381" spans="1:4" ht="15.75" outlineLevel="1" x14ac:dyDescent="0.2">
      <c r="A381" s="28" t="s">
        <v>33</v>
      </c>
      <c r="B381" s="29" t="s">
        <v>63</v>
      </c>
      <c r="C381" s="28">
        <v>5.63</v>
      </c>
      <c r="D381" s="82"/>
    </row>
    <row r="382" spans="1:4" ht="15.75" outlineLevel="1" x14ac:dyDescent="0.2">
      <c r="A382" s="28" t="s">
        <v>33</v>
      </c>
      <c r="B382" s="29" t="s">
        <v>78</v>
      </c>
      <c r="C382" s="28">
        <v>5.65</v>
      </c>
      <c r="D382" s="82"/>
    </row>
    <row r="383" spans="1:4" ht="15.75" outlineLevel="1" x14ac:dyDescent="0.2">
      <c r="A383" s="28" t="s">
        <v>33</v>
      </c>
      <c r="B383" s="29" t="s">
        <v>88</v>
      </c>
      <c r="C383" s="28">
        <v>5.66</v>
      </c>
      <c r="D383" s="82"/>
    </row>
    <row r="384" spans="1:4" ht="15.75" outlineLevel="1" x14ac:dyDescent="0.2">
      <c r="A384" s="28" t="s">
        <v>33</v>
      </c>
      <c r="B384" s="29" t="s">
        <v>17</v>
      </c>
      <c r="C384" s="28">
        <v>5.68</v>
      </c>
      <c r="D384" s="82"/>
    </row>
    <row r="385" spans="1:4" ht="15.75" outlineLevel="1" x14ac:dyDescent="0.2">
      <c r="A385" s="28" t="s">
        <v>33</v>
      </c>
      <c r="B385" s="29" t="s">
        <v>64</v>
      </c>
      <c r="C385" s="28">
        <v>5.47</v>
      </c>
      <c r="D385" s="82"/>
    </row>
    <row r="386" spans="1:4" ht="15.75" outlineLevel="1" x14ac:dyDescent="0.2">
      <c r="A386" s="28" t="s">
        <v>33</v>
      </c>
      <c r="B386" s="29" t="s">
        <v>65</v>
      </c>
      <c r="C386" s="28">
        <v>5.48</v>
      </c>
      <c r="D386" s="82"/>
    </row>
    <row r="387" spans="1:4" ht="15.75" x14ac:dyDescent="0.2">
      <c r="A387" s="33" t="s">
        <v>33</v>
      </c>
      <c r="B387" s="29"/>
      <c r="C387" s="28"/>
      <c r="D387" s="82"/>
    </row>
    <row r="388" spans="1:4" ht="15.75" outlineLevel="1" x14ac:dyDescent="0.2">
      <c r="A388" s="28" t="s">
        <v>34</v>
      </c>
      <c r="B388" s="29" t="s">
        <v>49</v>
      </c>
      <c r="C388" s="28">
        <v>5.0999999999999996</v>
      </c>
      <c r="D388" s="82"/>
    </row>
    <row r="389" spans="1:4" ht="15.75" outlineLevel="1" x14ac:dyDescent="0.2">
      <c r="A389" s="28" t="s">
        <v>34</v>
      </c>
      <c r="B389" s="29" t="s">
        <v>50</v>
      </c>
      <c r="C389" s="28">
        <v>5.2</v>
      </c>
      <c r="D389" s="82"/>
    </row>
    <row r="390" spans="1:4" ht="15.75" outlineLevel="1" x14ac:dyDescent="0.2">
      <c r="A390" s="28" t="s">
        <v>34</v>
      </c>
      <c r="B390" s="29" t="s">
        <v>66</v>
      </c>
      <c r="C390" s="28">
        <v>5.3</v>
      </c>
      <c r="D390" s="82"/>
    </row>
    <row r="391" spans="1:4" ht="15.75" outlineLevel="1" x14ac:dyDescent="0.2">
      <c r="A391" s="28" t="s">
        <v>34</v>
      </c>
      <c r="B391" s="29" t="s">
        <v>80</v>
      </c>
      <c r="C391" s="28">
        <v>5.6</v>
      </c>
      <c r="D391" s="82"/>
    </row>
    <row r="392" spans="1:4" ht="15.75" outlineLevel="1" x14ac:dyDescent="0.2">
      <c r="A392" s="28" t="s">
        <v>34</v>
      </c>
      <c r="B392" s="29" t="s">
        <v>1081</v>
      </c>
      <c r="C392" s="30">
        <v>5.0999999999999996</v>
      </c>
      <c r="D392" s="82"/>
    </row>
    <row r="393" spans="1:4" ht="15.75" outlineLevel="1" x14ac:dyDescent="0.2">
      <c r="A393" s="28" t="s">
        <v>34</v>
      </c>
      <c r="B393" s="29" t="s">
        <v>91</v>
      </c>
      <c r="C393" s="28">
        <v>5.14</v>
      </c>
      <c r="D393" s="82"/>
    </row>
    <row r="394" spans="1:4" ht="15.75" outlineLevel="1" x14ac:dyDescent="0.2">
      <c r="A394" s="28" t="s">
        <v>34</v>
      </c>
      <c r="B394" s="29" t="s">
        <v>68</v>
      </c>
      <c r="C394" s="28">
        <v>5.19</v>
      </c>
      <c r="D394" s="82"/>
    </row>
    <row r="395" spans="1:4" ht="15.75" outlineLevel="1" x14ac:dyDescent="0.2">
      <c r="A395" s="28" t="s">
        <v>34</v>
      </c>
      <c r="B395" s="29" t="s">
        <v>82</v>
      </c>
      <c r="C395" s="28">
        <v>5.24</v>
      </c>
      <c r="D395" s="82"/>
    </row>
    <row r="396" spans="1:4" ht="15.75" outlineLevel="1" x14ac:dyDescent="0.2">
      <c r="A396" s="28" t="s">
        <v>34</v>
      </c>
      <c r="B396" s="29" t="s">
        <v>54</v>
      </c>
      <c r="C396" s="28">
        <v>5.26</v>
      </c>
      <c r="D396" s="82"/>
    </row>
    <row r="397" spans="1:4" ht="15.75" outlineLevel="1" x14ac:dyDescent="0.2">
      <c r="A397" s="28" t="s">
        <v>34</v>
      </c>
      <c r="B397" s="29" t="s">
        <v>55</v>
      </c>
      <c r="C397" s="28">
        <v>5.27</v>
      </c>
      <c r="D397" s="82"/>
    </row>
    <row r="398" spans="1:4" ht="15.75" outlineLevel="1" x14ac:dyDescent="0.2">
      <c r="A398" s="28" t="s">
        <v>34</v>
      </c>
      <c r="B398" s="29" t="s">
        <v>69</v>
      </c>
      <c r="C398" s="28">
        <v>5.28</v>
      </c>
      <c r="D398" s="82"/>
    </row>
    <row r="399" spans="1:4" ht="15.75" outlineLevel="1" x14ac:dyDescent="0.2">
      <c r="A399" s="28" t="s">
        <v>34</v>
      </c>
      <c r="B399" s="29" t="s">
        <v>89</v>
      </c>
      <c r="C399" s="28">
        <v>5.29</v>
      </c>
      <c r="D399" s="82"/>
    </row>
    <row r="400" spans="1:4" ht="15.75" outlineLevel="1" x14ac:dyDescent="0.2">
      <c r="A400" s="28" t="s">
        <v>34</v>
      </c>
      <c r="B400" s="29" t="s">
        <v>83</v>
      </c>
      <c r="C400" s="28">
        <v>5.31</v>
      </c>
      <c r="D400" s="82"/>
    </row>
    <row r="401" spans="1:4" ht="15.75" outlineLevel="1" x14ac:dyDescent="0.2">
      <c r="A401" s="28" t="s">
        <v>34</v>
      </c>
      <c r="B401" s="29" t="s">
        <v>56</v>
      </c>
      <c r="C401" s="28">
        <v>5.36</v>
      </c>
      <c r="D401" s="82"/>
    </row>
    <row r="402" spans="1:4" ht="15.75" outlineLevel="1" x14ac:dyDescent="0.2">
      <c r="A402" s="28" t="s">
        <v>34</v>
      </c>
      <c r="B402" s="29" t="s">
        <v>97</v>
      </c>
      <c r="C402" s="28">
        <v>5.37</v>
      </c>
      <c r="D402" s="82"/>
    </row>
    <row r="403" spans="1:4" ht="15.75" outlineLevel="1" x14ac:dyDescent="0.2">
      <c r="A403" s="28" t="s">
        <v>34</v>
      </c>
      <c r="B403" s="29" t="s">
        <v>71</v>
      </c>
      <c r="C403" s="28">
        <v>5.49</v>
      </c>
      <c r="D403" s="82"/>
    </row>
    <row r="404" spans="1:4" ht="15.75" outlineLevel="1" x14ac:dyDescent="0.2">
      <c r="A404" s="28" t="s">
        <v>34</v>
      </c>
      <c r="B404" s="29" t="s">
        <v>58</v>
      </c>
      <c r="C404" s="28">
        <v>5.51</v>
      </c>
      <c r="D404" s="82"/>
    </row>
    <row r="405" spans="1:4" ht="15.75" outlineLevel="1" x14ac:dyDescent="0.2">
      <c r="A405" s="28" t="s">
        <v>34</v>
      </c>
      <c r="B405" s="29" t="s">
        <v>1082</v>
      </c>
      <c r="C405" s="28">
        <v>5.52</v>
      </c>
      <c r="D405" s="82"/>
    </row>
    <row r="406" spans="1:4" ht="15.75" outlineLevel="1" x14ac:dyDescent="0.2">
      <c r="A406" s="28" t="s">
        <v>34</v>
      </c>
      <c r="B406" s="29" t="s">
        <v>59</v>
      </c>
      <c r="C406" s="28">
        <v>5.53</v>
      </c>
      <c r="D406" s="82"/>
    </row>
    <row r="407" spans="1:4" ht="15.75" outlineLevel="1" x14ac:dyDescent="0.2">
      <c r="A407" s="28" t="s">
        <v>34</v>
      </c>
      <c r="B407" s="29" t="s">
        <v>72</v>
      </c>
      <c r="C407" s="28">
        <v>5.69</v>
      </c>
      <c r="D407" s="82"/>
    </row>
    <row r="408" spans="1:4" ht="15.75" outlineLevel="1" x14ac:dyDescent="0.2">
      <c r="A408" s="28" t="s">
        <v>34</v>
      </c>
      <c r="B408" s="29" t="s">
        <v>73</v>
      </c>
      <c r="C408" s="28">
        <v>5.75</v>
      </c>
      <c r="D408" s="82"/>
    </row>
    <row r="409" spans="1:4" ht="15.75" outlineLevel="1" x14ac:dyDescent="0.2">
      <c r="A409" s="28" t="s">
        <v>34</v>
      </c>
      <c r="B409" s="29" t="s">
        <v>74</v>
      </c>
      <c r="C409" s="28">
        <v>5.74</v>
      </c>
      <c r="D409" s="82"/>
    </row>
    <row r="410" spans="1:4" ht="15.75" outlineLevel="1" x14ac:dyDescent="0.2">
      <c r="A410" s="28" t="s">
        <v>34</v>
      </c>
      <c r="B410" s="29" t="s">
        <v>62</v>
      </c>
      <c r="C410" s="30">
        <v>5.7</v>
      </c>
      <c r="D410" s="82"/>
    </row>
    <row r="411" spans="1:4" ht="15.75" outlineLevel="1" x14ac:dyDescent="0.2">
      <c r="A411" s="28" t="s">
        <v>34</v>
      </c>
      <c r="B411" s="29" t="s">
        <v>86</v>
      </c>
      <c r="C411" s="28">
        <v>5.76</v>
      </c>
      <c r="D411" s="82"/>
    </row>
    <row r="412" spans="1:4" ht="15.75" outlineLevel="1" x14ac:dyDescent="0.2">
      <c r="A412" s="28" t="s">
        <v>34</v>
      </c>
      <c r="B412" s="29" t="s">
        <v>87</v>
      </c>
      <c r="C412" s="28">
        <v>5.89</v>
      </c>
      <c r="D412" s="81" t="s">
        <v>1080</v>
      </c>
    </row>
    <row r="413" spans="1:4" ht="15.75" outlineLevel="1" x14ac:dyDescent="0.2">
      <c r="A413" s="28" t="s">
        <v>34</v>
      </c>
      <c r="B413" s="29" t="s">
        <v>103</v>
      </c>
      <c r="C413" s="28">
        <v>5.109</v>
      </c>
      <c r="D413" s="82"/>
    </row>
    <row r="414" spans="1:4" ht="15.75" outlineLevel="1" x14ac:dyDescent="0.2">
      <c r="A414" s="28" t="s">
        <v>34</v>
      </c>
      <c r="B414" s="29" t="s">
        <v>104</v>
      </c>
      <c r="C414" s="28">
        <v>5.1109999999999998</v>
      </c>
      <c r="D414" s="82"/>
    </row>
    <row r="415" spans="1:4" ht="15.75" outlineLevel="1" x14ac:dyDescent="0.2">
      <c r="A415" s="28" t="s">
        <v>34</v>
      </c>
      <c r="B415" s="29" t="s">
        <v>106</v>
      </c>
      <c r="C415" s="28">
        <v>5.1120000000000001</v>
      </c>
      <c r="D415" s="82"/>
    </row>
    <row r="416" spans="1:4" ht="15.75" outlineLevel="1" x14ac:dyDescent="0.2">
      <c r="A416" s="28" t="s">
        <v>34</v>
      </c>
      <c r="B416" s="29" t="s">
        <v>1085</v>
      </c>
      <c r="C416" s="28">
        <v>5.1130000000000004</v>
      </c>
      <c r="D416" s="82"/>
    </row>
    <row r="417" spans="1:4" ht="15.75" outlineLevel="1" x14ac:dyDescent="0.2">
      <c r="A417" s="28" t="s">
        <v>34</v>
      </c>
      <c r="B417" s="29" t="s">
        <v>76</v>
      </c>
      <c r="C417" s="28">
        <v>5.58</v>
      </c>
      <c r="D417" s="82"/>
    </row>
    <row r="418" spans="1:4" ht="15.75" outlineLevel="1" x14ac:dyDescent="0.2">
      <c r="A418" s="28" t="s">
        <v>34</v>
      </c>
      <c r="B418" s="29" t="s">
        <v>61</v>
      </c>
      <c r="C418" s="28">
        <v>5.54</v>
      </c>
      <c r="D418" s="82"/>
    </row>
    <row r="419" spans="1:4" ht="15.75" outlineLevel="1" x14ac:dyDescent="0.2">
      <c r="A419" s="28" t="s">
        <v>34</v>
      </c>
      <c r="B419" s="29" t="s">
        <v>77</v>
      </c>
      <c r="C419" s="28">
        <v>5.55</v>
      </c>
      <c r="D419" s="82"/>
    </row>
    <row r="420" spans="1:4" ht="15.75" outlineLevel="1" x14ac:dyDescent="0.2">
      <c r="A420" s="28" t="s">
        <v>34</v>
      </c>
      <c r="B420" s="29" t="s">
        <v>63</v>
      </c>
      <c r="C420" s="28">
        <v>5.63</v>
      </c>
      <c r="D420" s="82"/>
    </row>
    <row r="421" spans="1:4" ht="15.75" outlineLevel="1" x14ac:dyDescent="0.2">
      <c r="A421" s="28" t="s">
        <v>34</v>
      </c>
      <c r="B421" s="29" t="s">
        <v>78</v>
      </c>
      <c r="C421" s="28">
        <v>5.65</v>
      </c>
      <c r="D421" s="82"/>
    </row>
    <row r="422" spans="1:4" ht="15.75" outlineLevel="1" x14ac:dyDescent="0.2">
      <c r="A422" s="28" t="s">
        <v>34</v>
      </c>
      <c r="B422" s="29" t="s">
        <v>88</v>
      </c>
      <c r="C422" s="28">
        <v>5.66</v>
      </c>
      <c r="D422" s="82"/>
    </row>
    <row r="423" spans="1:4" ht="15.75" outlineLevel="1" x14ac:dyDescent="0.2">
      <c r="A423" s="28" t="s">
        <v>34</v>
      </c>
      <c r="B423" s="29" t="s">
        <v>17</v>
      </c>
      <c r="C423" s="28">
        <v>5.68</v>
      </c>
      <c r="D423" s="82"/>
    </row>
    <row r="424" spans="1:4" ht="15.75" outlineLevel="1" x14ac:dyDescent="0.2">
      <c r="A424" s="28" t="s">
        <v>34</v>
      </c>
      <c r="B424" s="29" t="s">
        <v>64</v>
      </c>
      <c r="C424" s="28">
        <v>5.47</v>
      </c>
      <c r="D424" s="82"/>
    </row>
    <row r="425" spans="1:4" ht="15.75" outlineLevel="1" x14ac:dyDescent="0.2">
      <c r="A425" s="28" t="s">
        <v>34</v>
      </c>
      <c r="B425" s="29" t="s">
        <v>65</v>
      </c>
      <c r="C425" s="28">
        <v>5.48</v>
      </c>
      <c r="D425" s="82"/>
    </row>
    <row r="426" spans="1:4" ht="15.75" x14ac:dyDescent="0.2">
      <c r="A426" s="33" t="s">
        <v>34</v>
      </c>
      <c r="B426" s="29"/>
      <c r="C426" s="28"/>
      <c r="D426" s="82"/>
    </row>
    <row r="427" spans="1:4" ht="15.75" outlineLevel="1" x14ac:dyDescent="0.2">
      <c r="A427" s="28" t="s">
        <v>1086</v>
      </c>
      <c r="B427" s="29" t="s">
        <v>49</v>
      </c>
      <c r="C427" s="28">
        <v>5.0999999999999996</v>
      </c>
      <c r="D427" s="82"/>
    </row>
    <row r="428" spans="1:4" ht="15.75" outlineLevel="1" x14ac:dyDescent="0.2">
      <c r="A428" s="28" t="s">
        <v>1086</v>
      </c>
      <c r="B428" s="29" t="s">
        <v>50</v>
      </c>
      <c r="C428" s="28">
        <v>5.2</v>
      </c>
      <c r="D428" s="82"/>
    </row>
    <row r="429" spans="1:4" ht="15.75" outlineLevel="1" x14ac:dyDescent="0.2">
      <c r="A429" s="28" t="s">
        <v>1086</v>
      </c>
      <c r="B429" s="29" t="s">
        <v>66</v>
      </c>
      <c r="C429" s="28">
        <v>5.3</v>
      </c>
      <c r="D429" s="82"/>
    </row>
    <row r="430" spans="1:4" ht="15.75" outlineLevel="1" x14ac:dyDescent="0.2">
      <c r="A430" s="28" t="s">
        <v>1086</v>
      </c>
      <c r="B430" s="29" t="s">
        <v>80</v>
      </c>
      <c r="C430" s="28">
        <v>5.6</v>
      </c>
      <c r="D430" s="82"/>
    </row>
    <row r="431" spans="1:4" ht="15.75" outlineLevel="1" x14ac:dyDescent="0.2">
      <c r="A431" s="28" t="s">
        <v>1086</v>
      </c>
      <c r="B431" s="29" t="s">
        <v>1081</v>
      </c>
      <c r="C431" s="30">
        <v>5.0999999999999996</v>
      </c>
      <c r="D431" s="82"/>
    </row>
    <row r="432" spans="1:4" ht="15.75" outlineLevel="1" x14ac:dyDescent="0.2">
      <c r="A432" s="28" t="s">
        <v>1086</v>
      </c>
      <c r="B432" s="29" t="s">
        <v>91</v>
      </c>
      <c r="C432" s="28">
        <v>5.14</v>
      </c>
      <c r="D432" s="82"/>
    </row>
    <row r="433" spans="1:4" ht="15.75" outlineLevel="1" x14ac:dyDescent="0.2">
      <c r="A433" s="28" t="s">
        <v>1086</v>
      </c>
      <c r="B433" s="29" t="s">
        <v>68</v>
      </c>
      <c r="C433" s="28">
        <v>5.19</v>
      </c>
      <c r="D433" s="82"/>
    </row>
    <row r="434" spans="1:4" ht="15.75" outlineLevel="1" x14ac:dyDescent="0.2">
      <c r="A434" s="28" t="s">
        <v>1086</v>
      </c>
      <c r="B434" s="29" t="s">
        <v>82</v>
      </c>
      <c r="C434" s="28">
        <v>5.24</v>
      </c>
      <c r="D434" s="82"/>
    </row>
    <row r="435" spans="1:4" ht="15.75" outlineLevel="1" x14ac:dyDescent="0.2">
      <c r="A435" s="28" t="s">
        <v>1086</v>
      </c>
      <c r="B435" s="29" t="s">
        <v>54</v>
      </c>
      <c r="C435" s="28">
        <v>5.26</v>
      </c>
      <c r="D435" s="82"/>
    </row>
    <row r="436" spans="1:4" ht="15.75" outlineLevel="1" x14ac:dyDescent="0.2">
      <c r="A436" s="28" t="s">
        <v>1086</v>
      </c>
      <c r="B436" s="29" t="s">
        <v>55</v>
      </c>
      <c r="C436" s="28">
        <v>5.27</v>
      </c>
      <c r="D436" s="82"/>
    </row>
    <row r="437" spans="1:4" ht="15.75" outlineLevel="1" x14ac:dyDescent="0.2">
      <c r="A437" s="28" t="s">
        <v>1086</v>
      </c>
      <c r="B437" s="29" t="s">
        <v>69</v>
      </c>
      <c r="C437" s="28">
        <v>5.28</v>
      </c>
      <c r="D437" s="82"/>
    </row>
    <row r="438" spans="1:4" ht="15.75" outlineLevel="1" x14ac:dyDescent="0.2">
      <c r="A438" s="28" t="s">
        <v>1086</v>
      </c>
      <c r="B438" s="29" t="s">
        <v>89</v>
      </c>
      <c r="C438" s="28">
        <v>5.29</v>
      </c>
      <c r="D438" s="82"/>
    </row>
    <row r="439" spans="1:4" ht="15.75" outlineLevel="1" x14ac:dyDescent="0.2">
      <c r="A439" s="28" t="s">
        <v>1086</v>
      </c>
      <c r="B439" s="29" t="s">
        <v>83</v>
      </c>
      <c r="C439" s="28">
        <v>5.31</v>
      </c>
      <c r="D439" s="82"/>
    </row>
    <row r="440" spans="1:4" ht="15.75" outlineLevel="1" x14ac:dyDescent="0.2">
      <c r="A440" s="28" t="s">
        <v>1086</v>
      </c>
      <c r="B440" s="29" t="s">
        <v>56</v>
      </c>
      <c r="C440" s="28">
        <v>5.36</v>
      </c>
      <c r="D440" s="82"/>
    </row>
    <row r="441" spans="1:4" ht="15.75" outlineLevel="1" x14ac:dyDescent="0.2">
      <c r="A441" s="28" t="s">
        <v>1086</v>
      </c>
      <c r="B441" s="29" t="s">
        <v>97</v>
      </c>
      <c r="C441" s="28">
        <v>5.37</v>
      </c>
      <c r="D441" s="82"/>
    </row>
    <row r="442" spans="1:4" ht="15.75" outlineLevel="1" x14ac:dyDescent="0.2">
      <c r="A442" s="28" t="s">
        <v>1086</v>
      </c>
      <c r="B442" s="29" t="s">
        <v>59</v>
      </c>
      <c r="C442" s="28">
        <v>5.53</v>
      </c>
      <c r="D442" s="82"/>
    </row>
    <row r="443" spans="1:4" ht="15.75" outlineLevel="1" x14ac:dyDescent="0.2">
      <c r="A443" s="28" t="s">
        <v>1086</v>
      </c>
      <c r="B443" s="29" t="s">
        <v>103</v>
      </c>
      <c r="C443" s="28">
        <v>5.109</v>
      </c>
      <c r="D443" s="82"/>
    </row>
    <row r="444" spans="1:4" ht="15.75" outlineLevel="1" x14ac:dyDescent="0.2">
      <c r="A444" s="28" t="s">
        <v>1086</v>
      </c>
      <c r="B444" s="29" t="s">
        <v>104</v>
      </c>
      <c r="C444" s="28">
        <v>5.1109999999999998</v>
      </c>
      <c r="D444" s="82"/>
    </row>
    <row r="445" spans="1:4" ht="15.75" outlineLevel="1" x14ac:dyDescent="0.2">
      <c r="A445" s="28" t="s">
        <v>1086</v>
      </c>
      <c r="B445" s="29" t="s">
        <v>106</v>
      </c>
      <c r="C445" s="28">
        <v>5.1120000000000001</v>
      </c>
      <c r="D445" s="82"/>
    </row>
    <row r="446" spans="1:4" ht="15.75" outlineLevel="1" x14ac:dyDescent="0.2">
      <c r="A446" s="28" t="s">
        <v>1086</v>
      </c>
      <c r="B446" s="29" t="s">
        <v>1085</v>
      </c>
      <c r="C446" s="28">
        <v>5.1130000000000004</v>
      </c>
      <c r="D446" s="82"/>
    </row>
    <row r="447" spans="1:4" ht="15.75" outlineLevel="1" x14ac:dyDescent="0.2">
      <c r="A447" s="28" t="s">
        <v>1086</v>
      </c>
      <c r="B447" s="29" t="s">
        <v>76</v>
      </c>
      <c r="C447" s="28">
        <v>5.58</v>
      </c>
      <c r="D447" s="82"/>
    </row>
    <row r="448" spans="1:4" ht="15.75" outlineLevel="1" x14ac:dyDescent="0.2">
      <c r="A448" s="28" t="s">
        <v>1086</v>
      </c>
      <c r="B448" s="29" t="s">
        <v>61</v>
      </c>
      <c r="C448" s="28">
        <v>5.54</v>
      </c>
      <c r="D448" s="82"/>
    </row>
    <row r="449" spans="1:4" ht="15.75" outlineLevel="1" x14ac:dyDescent="0.2">
      <c r="A449" s="28" t="s">
        <v>1086</v>
      </c>
      <c r="B449" s="29" t="s">
        <v>77</v>
      </c>
      <c r="C449" s="28">
        <v>5.55</v>
      </c>
      <c r="D449" s="82"/>
    </row>
    <row r="450" spans="1:4" ht="15.75" outlineLevel="1" x14ac:dyDescent="0.2">
      <c r="A450" s="28" t="s">
        <v>1086</v>
      </c>
      <c r="B450" s="29" t="s">
        <v>63</v>
      </c>
      <c r="C450" s="28">
        <v>5.63</v>
      </c>
      <c r="D450" s="82"/>
    </row>
    <row r="451" spans="1:4" ht="15.75" outlineLevel="1" x14ac:dyDescent="0.2">
      <c r="A451" s="28" t="s">
        <v>1086</v>
      </c>
      <c r="B451" s="29" t="s">
        <v>64</v>
      </c>
      <c r="C451" s="28">
        <v>5.47</v>
      </c>
      <c r="D451" s="82"/>
    </row>
    <row r="452" spans="1:4" ht="15.75" outlineLevel="1" x14ac:dyDescent="0.2">
      <c r="A452" s="28" t="s">
        <v>1086</v>
      </c>
      <c r="B452" s="29" t="s">
        <v>65</v>
      </c>
      <c r="C452" s="28">
        <v>5.48</v>
      </c>
      <c r="D452" s="82"/>
    </row>
    <row r="453" spans="1:4" ht="15.75" x14ac:dyDescent="0.2">
      <c r="A453" s="33" t="s">
        <v>1086</v>
      </c>
      <c r="B453" s="29"/>
      <c r="C453" s="28"/>
      <c r="D453" s="82"/>
    </row>
    <row r="454" spans="1:4" ht="15.75" outlineLevel="1" x14ac:dyDescent="0.2">
      <c r="A454" s="28" t="s">
        <v>36</v>
      </c>
      <c r="B454" s="29" t="s">
        <v>49</v>
      </c>
      <c r="C454" s="28">
        <v>5.0999999999999996</v>
      </c>
      <c r="D454" s="82"/>
    </row>
    <row r="455" spans="1:4" ht="15.75" outlineLevel="1" x14ac:dyDescent="0.2">
      <c r="A455" s="28" t="s">
        <v>36</v>
      </c>
      <c r="B455" s="29" t="s">
        <v>50</v>
      </c>
      <c r="C455" s="28">
        <v>5.2</v>
      </c>
      <c r="D455" s="82"/>
    </row>
    <row r="456" spans="1:4" ht="15.75" outlineLevel="1" x14ac:dyDescent="0.2">
      <c r="A456" s="28" t="s">
        <v>36</v>
      </c>
      <c r="B456" s="29" t="s">
        <v>108</v>
      </c>
      <c r="C456" s="28">
        <v>5.5</v>
      </c>
      <c r="D456" s="82"/>
    </row>
    <row r="457" spans="1:4" ht="15.75" outlineLevel="1" x14ac:dyDescent="0.2">
      <c r="A457" s="28" t="s">
        <v>36</v>
      </c>
      <c r="B457" s="29" t="s">
        <v>109</v>
      </c>
      <c r="C457" s="28">
        <v>5.8</v>
      </c>
      <c r="D457" s="81" t="s">
        <v>1080</v>
      </c>
    </row>
    <row r="458" spans="1:4" ht="15.75" outlineLevel="1" x14ac:dyDescent="0.2">
      <c r="A458" s="28" t="s">
        <v>36</v>
      </c>
      <c r="B458" s="29" t="s">
        <v>110</v>
      </c>
      <c r="C458" s="28">
        <v>5.12</v>
      </c>
      <c r="D458" s="81" t="s">
        <v>1080</v>
      </c>
    </row>
    <row r="459" spans="1:4" ht="15.75" outlineLevel="1" x14ac:dyDescent="0.2">
      <c r="A459" s="28" t="s">
        <v>36</v>
      </c>
      <c r="B459" s="29" t="s">
        <v>111</v>
      </c>
      <c r="C459" s="28">
        <v>5.15</v>
      </c>
      <c r="D459" s="82"/>
    </row>
    <row r="460" spans="1:4" ht="15.75" outlineLevel="1" x14ac:dyDescent="0.2">
      <c r="A460" s="28" t="s">
        <v>36</v>
      </c>
      <c r="B460" s="29" t="s">
        <v>112</v>
      </c>
      <c r="C460" s="30">
        <v>5.2</v>
      </c>
      <c r="D460" s="81"/>
    </row>
    <row r="461" spans="1:4" ht="15.75" outlineLevel="1" x14ac:dyDescent="0.2">
      <c r="A461" s="28" t="s">
        <v>36</v>
      </c>
      <c r="B461" s="29" t="s">
        <v>113</v>
      </c>
      <c r="C461" s="28">
        <v>5.25</v>
      </c>
      <c r="D461" s="82"/>
    </row>
    <row r="462" spans="1:4" ht="15.75" outlineLevel="1" x14ac:dyDescent="0.2">
      <c r="A462" s="28" t="s">
        <v>36</v>
      </c>
      <c r="B462" s="29" t="s">
        <v>54</v>
      </c>
      <c r="C462" s="28">
        <v>5.26</v>
      </c>
      <c r="D462" s="82"/>
    </row>
    <row r="463" spans="1:4" ht="15.75" outlineLevel="1" x14ac:dyDescent="0.2">
      <c r="A463" s="28" t="s">
        <v>36</v>
      </c>
      <c r="B463" s="29" t="s">
        <v>114</v>
      </c>
      <c r="C463" s="28">
        <v>5.1139999999999999</v>
      </c>
      <c r="D463" s="81" t="s">
        <v>1080</v>
      </c>
    </row>
    <row r="464" spans="1:4" ht="15.75" outlineLevel="1" x14ac:dyDescent="0.2">
      <c r="A464" s="28" t="s">
        <v>36</v>
      </c>
      <c r="B464" s="29" t="s">
        <v>55</v>
      </c>
      <c r="C464" s="28">
        <v>5.27</v>
      </c>
      <c r="D464" s="82"/>
    </row>
    <row r="465" spans="1:4" ht="15.75" outlineLevel="1" x14ac:dyDescent="0.2">
      <c r="A465" s="28" t="s">
        <v>36</v>
      </c>
      <c r="B465" s="29" t="s">
        <v>115</v>
      </c>
      <c r="C465" s="28">
        <v>5.1150000000000002</v>
      </c>
      <c r="D465" s="81" t="s">
        <v>1080</v>
      </c>
    </row>
    <row r="466" spans="1:4" ht="15.75" outlineLevel="1" x14ac:dyDescent="0.2">
      <c r="A466" s="28" t="s">
        <v>36</v>
      </c>
      <c r="B466" s="29" t="s">
        <v>116</v>
      </c>
      <c r="C466" s="28">
        <v>5.1159999999999997</v>
      </c>
      <c r="D466" s="81" t="s">
        <v>1080</v>
      </c>
    </row>
    <row r="467" spans="1:4" ht="15.75" outlineLevel="1" x14ac:dyDescent="0.2">
      <c r="A467" s="28" t="s">
        <v>36</v>
      </c>
      <c r="B467" s="29" t="s">
        <v>69</v>
      </c>
      <c r="C467" s="28">
        <v>5.28</v>
      </c>
      <c r="D467" s="82"/>
    </row>
    <row r="468" spans="1:4" ht="15.75" outlineLevel="1" x14ac:dyDescent="0.2">
      <c r="A468" s="28" t="s">
        <v>36</v>
      </c>
      <c r="B468" s="29" t="s">
        <v>56</v>
      </c>
      <c r="C468" s="28">
        <v>5.36</v>
      </c>
      <c r="D468" s="82"/>
    </row>
    <row r="469" spans="1:4" ht="15.75" outlineLevel="1" x14ac:dyDescent="0.2">
      <c r="A469" s="28" t="s">
        <v>36</v>
      </c>
      <c r="B469" s="29" t="s">
        <v>97</v>
      </c>
      <c r="C469" s="28">
        <v>5.37</v>
      </c>
      <c r="D469" s="82"/>
    </row>
    <row r="470" spans="1:4" ht="15.75" outlineLevel="1" x14ac:dyDescent="0.2">
      <c r="A470" s="28" t="s">
        <v>36</v>
      </c>
      <c r="B470" s="29" t="s">
        <v>59</v>
      </c>
      <c r="C470" s="28">
        <v>5.53</v>
      </c>
      <c r="D470" s="82"/>
    </row>
    <row r="471" spans="1:4" ht="15.75" outlineLevel="1" x14ac:dyDescent="0.2">
      <c r="A471" s="28" t="s">
        <v>36</v>
      </c>
      <c r="B471" s="29" t="s">
        <v>103</v>
      </c>
      <c r="C471" s="28">
        <v>5.109</v>
      </c>
      <c r="D471" s="82"/>
    </row>
    <row r="472" spans="1:4" ht="15.75" outlineLevel="1" x14ac:dyDescent="0.2">
      <c r="A472" s="28" t="s">
        <v>36</v>
      </c>
      <c r="B472" s="29" t="s">
        <v>104</v>
      </c>
      <c r="C472" s="28">
        <v>5.1109999999999998</v>
      </c>
      <c r="D472" s="82"/>
    </row>
    <row r="473" spans="1:4" ht="15.75" outlineLevel="1" x14ac:dyDescent="0.2">
      <c r="A473" s="28" t="s">
        <v>36</v>
      </c>
      <c r="B473" s="29" t="s">
        <v>106</v>
      </c>
      <c r="C473" s="28">
        <v>5.1120000000000001</v>
      </c>
      <c r="D473" s="82"/>
    </row>
    <row r="474" spans="1:4" ht="15.75" outlineLevel="1" x14ac:dyDescent="0.2">
      <c r="A474" s="28" t="s">
        <v>36</v>
      </c>
      <c r="B474" s="29" t="s">
        <v>61</v>
      </c>
      <c r="C474" s="28">
        <v>5.54</v>
      </c>
      <c r="D474" s="82"/>
    </row>
    <row r="475" spans="1:4" ht="15.75" outlineLevel="1" x14ac:dyDescent="0.2">
      <c r="A475" s="28" t="s">
        <v>36</v>
      </c>
      <c r="B475" s="29" t="s">
        <v>1087</v>
      </c>
      <c r="C475" s="28">
        <v>5.61</v>
      </c>
      <c r="D475" s="82"/>
    </row>
    <row r="476" spans="1:4" ht="15.75" outlineLevel="1" x14ac:dyDescent="0.2">
      <c r="A476" s="28" t="s">
        <v>36</v>
      </c>
      <c r="B476" s="29" t="s">
        <v>63</v>
      </c>
      <c r="C476" s="28">
        <v>5.63</v>
      </c>
      <c r="D476" s="82"/>
    </row>
    <row r="477" spans="1:4" ht="15.75" outlineLevel="1" x14ac:dyDescent="0.2">
      <c r="A477" s="28" t="s">
        <v>36</v>
      </c>
      <c r="B477" s="29" t="s">
        <v>118</v>
      </c>
      <c r="C477" s="28">
        <v>5.46</v>
      </c>
      <c r="D477" s="82"/>
    </row>
    <row r="478" spans="1:4" ht="15.75" outlineLevel="1" x14ac:dyDescent="0.2">
      <c r="A478" s="28" t="s">
        <v>36</v>
      </c>
      <c r="B478" s="29" t="s">
        <v>64</v>
      </c>
      <c r="C478" s="28">
        <v>5.47</v>
      </c>
      <c r="D478" s="82"/>
    </row>
    <row r="479" spans="1:4" ht="15.75" outlineLevel="1" x14ac:dyDescent="0.2">
      <c r="A479" s="28" t="s">
        <v>36</v>
      </c>
      <c r="B479" s="29" t="s">
        <v>65</v>
      </c>
      <c r="C479" s="28">
        <v>5.48</v>
      </c>
      <c r="D479" s="82"/>
    </row>
    <row r="480" spans="1:4" ht="15.75" x14ac:dyDescent="0.2">
      <c r="A480" s="33" t="s">
        <v>36</v>
      </c>
      <c r="B480" s="29"/>
      <c r="C480" s="28"/>
      <c r="D480" s="82"/>
    </row>
    <row r="481" spans="1:4" ht="15.75" outlineLevel="1" x14ac:dyDescent="0.2">
      <c r="A481" s="28" t="s">
        <v>37</v>
      </c>
      <c r="B481" s="29" t="s">
        <v>49</v>
      </c>
      <c r="C481" s="28">
        <v>5.0999999999999996</v>
      </c>
      <c r="D481" s="82"/>
    </row>
    <row r="482" spans="1:4" ht="15.75" outlineLevel="1" x14ac:dyDescent="0.2">
      <c r="A482" s="28" t="s">
        <v>37</v>
      </c>
      <c r="B482" s="29" t="s">
        <v>50</v>
      </c>
      <c r="C482" s="28">
        <v>5.2</v>
      </c>
      <c r="D482" s="82"/>
    </row>
    <row r="483" spans="1:4" ht="15.75" outlineLevel="1" x14ac:dyDescent="0.2">
      <c r="A483" s="28" t="s">
        <v>37</v>
      </c>
      <c r="B483" s="29" t="s">
        <v>66</v>
      </c>
      <c r="C483" s="28">
        <v>5.3</v>
      </c>
      <c r="D483" s="82"/>
    </row>
    <row r="484" spans="1:4" ht="15.75" outlineLevel="1" x14ac:dyDescent="0.2">
      <c r="A484" s="28" t="s">
        <v>37</v>
      </c>
      <c r="B484" s="29" t="s">
        <v>80</v>
      </c>
      <c r="C484" s="28">
        <v>5.6</v>
      </c>
      <c r="D484" s="82"/>
    </row>
    <row r="485" spans="1:4" ht="15.75" outlineLevel="1" x14ac:dyDescent="0.2">
      <c r="A485" s="28" t="s">
        <v>37</v>
      </c>
      <c r="B485" s="29" t="s">
        <v>1081</v>
      </c>
      <c r="C485" s="30">
        <v>5.0999999999999996</v>
      </c>
      <c r="D485" s="82"/>
    </row>
    <row r="486" spans="1:4" ht="15.75" outlineLevel="1" x14ac:dyDescent="0.2">
      <c r="A486" s="28" t="s">
        <v>37</v>
      </c>
      <c r="B486" s="29" t="s">
        <v>91</v>
      </c>
      <c r="C486" s="28">
        <v>5.14</v>
      </c>
      <c r="D486" s="82"/>
    </row>
    <row r="487" spans="1:4" ht="15.75" outlineLevel="1" x14ac:dyDescent="0.2">
      <c r="A487" s="28" t="s">
        <v>37</v>
      </c>
      <c r="B487" s="29" t="s">
        <v>68</v>
      </c>
      <c r="C487" s="28">
        <v>5.19</v>
      </c>
      <c r="D487" s="82"/>
    </row>
    <row r="488" spans="1:4" ht="15.75" outlineLevel="1" x14ac:dyDescent="0.2">
      <c r="A488" s="28" t="s">
        <v>37</v>
      </c>
      <c r="B488" s="29" t="s">
        <v>82</v>
      </c>
      <c r="C488" s="28">
        <v>5.24</v>
      </c>
      <c r="D488" s="82"/>
    </row>
    <row r="489" spans="1:4" ht="15.75" outlineLevel="1" x14ac:dyDescent="0.2">
      <c r="A489" s="28" t="s">
        <v>37</v>
      </c>
      <c r="B489" s="29" t="s">
        <v>55</v>
      </c>
      <c r="C489" s="28">
        <v>5.27</v>
      </c>
      <c r="D489" s="82"/>
    </row>
    <row r="490" spans="1:4" ht="15.75" outlineLevel="1" x14ac:dyDescent="0.2">
      <c r="A490" s="28" t="s">
        <v>37</v>
      </c>
      <c r="B490" s="29" t="s">
        <v>69</v>
      </c>
      <c r="C490" s="28">
        <v>5.28</v>
      </c>
      <c r="D490" s="82"/>
    </row>
    <row r="491" spans="1:4" ht="15.75" outlineLevel="1" x14ac:dyDescent="0.2">
      <c r="A491" s="28" t="s">
        <v>37</v>
      </c>
      <c r="B491" s="29" t="s">
        <v>89</v>
      </c>
      <c r="C491" s="28">
        <v>5.29</v>
      </c>
      <c r="D491" s="82"/>
    </row>
    <row r="492" spans="1:4" ht="15.75" outlineLevel="1" x14ac:dyDescent="0.2">
      <c r="A492" s="28" t="s">
        <v>37</v>
      </c>
      <c r="B492" s="29" t="s">
        <v>92</v>
      </c>
      <c r="C492" s="28">
        <v>5.34</v>
      </c>
      <c r="D492" s="82"/>
    </row>
    <row r="493" spans="1:4" ht="15.75" outlineLevel="1" x14ac:dyDescent="0.2">
      <c r="A493" s="28" t="s">
        <v>37</v>
      </c>
      <c r="B493" s="29" t="s">
        <v>83</v>
      </c>
      <c r="C493" s="28">
        <v>5.31</v>
      </c>
      <c r="D493" s="82"/>
    </row>
    <row r="494" spans="1:4" ht="15.75" outlineLevel="1" x14ac:dyDescent="0.2">
      <c r="A494" s="28" t="s">
        <v>37</v>
      </c>
      <c r="B494" s="29" t="s">
        <v>93</v>
      </c>
      <c r="C494" s="28">
        <v>5.101</v>
      </c>
      <c r="D494" s="82"/>
    </row>
    <row r="495" spans="1:4" ht="15.75" outlineLevel="1" x14ac:dyDescent="0.2">
      <c r="A495" s="28" t="s">
        <v>37</v>
      </c>
      <c r="B495" s="29" t="s">
        <v>56</v>
      </c>
      <c r="C495" s="28">
        <v>5.36</v>
      </c>
      <c r="D495" s="82"/>
    </row>
    <row r="496" spans="1:4" ht="15.75" outlineLevel="1" x14ac:dyDescent="0.2">
      <c r="A496" s="28" t="s">
        <v>37</v>
      </c>
      <c r="B496" s="29" t="s">
        <v>97</v>
      </c>
      <c r="C496" s="28">
        <v>5.37</v>
      </c>
      <c r="D496" s="82"/>
    </row>
    <row r="497" spans="1:4" ht="15.75" outlineLevel="1" x14ac:dyDescent="0.2">
      <c r="A497" s="28" t="s">
        <v>37</v>
      </c>
      <c r="B497" s="29" t="s">
        <v>59</v>
      </c>
      <c r="C497" s="28">
        <v>5.53</v>
      </c>
      <c r="D497" s="82"/>
    </row>
    <row r="498" spans="1:4" ht="15.75" outlineLevel="1" x14ac:dyDescent="0.2">
      <c r="A498" s="28" t="s">
        <v>37</v>
      </c>
      <c r="B498" s="29" t="s">
        <v>103</v>
      </c>
      <c r="C498" s="28">
        <v>5.109</v>
      </c>
      <c r="D498" s="82"/>
    </row>
    <row r="499" spans="1:4" ht="15.75" outlineLevel="1" x14ac:dyDescent="0.2">
      <c r="A499" s="28" t="s">
        <v>37</v>
      </c>
      <c r="B499" s="29" t="s">
        <v>104</v>
      </c>
      <c r="C499" s="28">
        <v>5.1109999999999998</v>
      </c>
      <c r="D499" s="82"/>
    </row>
    <row r="500" spans="1:4" ht="15.75" outlineLevel="1" x14ac:dyDescent="0.2">
      <c r="A500" s="28" t="s">
        <v>37</v>
      </c>
      <c r="B500" s="29" t="s">
        <v>106</v>
      </c>
      <c r="C500" s="28">
        <v>5.1120000000000001</v>
      </c>
      <c r="D500" s="82"/>
    </row>
    <row r="501" spans="1:4" ht="15.75" outlineLevel="1" x14ac:dyDescent="0.2">
      <c r="A501" s="28" t="s">
        <v>37</v>
      </c>
      <c r="B501" s="29" t="s">
        <v>94</v>
      </c>
      <c r="C501" s="28">
        <v>5.1020000000000003</v>
      </c>
      <c r="D501" s="82"/>
    </row>
    <row r="502" spans="1:4" ht="15.75" outlineLevel="1" x14ac:dyDescent="0.2">
      <c r="A502" s="28" t="s">
        <v>37</v>
      </c>
      <c r="B502" s="29" t="s">
        <v>95</v>
      </c>
      <c r="C502" s="31">
        <v>5.0999999999999996</v>
      </c>
      <c r="D502" s="82"/>
    </row>
    <row r="503" spans="1:4" ht="15.75" outlineLevel="1" x14ac:dyDescent="0.2">
      <c r="A503" s="28" t="s">
        <v>37</v>
      </c>
      <c r="B503" s="29" t="s">
        <v>76</v>
      </c>
      <c r="C503" s="28">
        <v>5.58</v>
      </c>
      <c r="D503" s="82"/>
    </row>
    <row r="504" spans="1:4" ht="15.75" outlineLevel="1" x14ac:dyDescent="0.2">
      <c r="A504" s="28" t="s">
        <v>37</v>
      </c>
      <c r="B504" s="29" t="s">
        <v>77</v>
      </c>
      <c r="C504" s="28">
        <v>5.55</v>
      </c>
      <c r="D504" s="82"/>
    </row>
    <row r="505" spans="1:4" ht="15.75" outlineLevel="1" x14ac:dyDescent="0.2">
      <c r="A505" s="28" t="s">
        <v>37</v>
      </c>
      <c r="B505" s="29" t="s">
        <v>61</v>
      </c>
      <c r="C505" s="28">
        <v>5.54</v>
      </c>
      <c r="D505" s="82"/>
    </row>
    <row r="506" spans="1:4" ht="15.75" outlineLevel="1" x14ac:dyDescent="0.2">
      <c r="A506" s="28" t="s">
        <v>37</v>
      </c>
      <c r="B506" s="29" t="s">
        <v>63</v>
      </c>
      <c r="C506" s="28">
        <v>5.63</v>
      </c>
      <c r="D506" s="82"/>
    </row>
    <row r="507" spans="1:4" ht="15.75" outlineLevel="1" x14ac:dyDescent="0.2">
      <c r="A507" s="28" t="s">
        <v>37</v>
      </c>
      <c r="B507" s="29" t="s">
        <v>64</v>
      </c>
      <c r="C507" s="28">
        <v>5.47</v>
      </c>
      <c r="D507" s="82"/>
    </row>
    <row r="508" spans="1:4" ht="15.75" outlineLevel="1" x14ac:dyDescent="0.2">
      <c r="A508" s="28" t="s">
        <v>37</v>
      </c>
      <c r="B508" s="29" t="s">
        <v>65</v>
      </c>
      <c r="C508" s="28">
        <v>5.48</v>
      </c>
      <c r="D508" s="82"/>
    </row>
    <row r="509" spans="1:4" ht="15.75" x14ac:dyDescent="0.2">
      <c r="A509" s="33" t="s">
        <v>37</v>
      </c>
      <c r="B509" s="29"/>
      <c r="C509" s="28"/>
      <c r="D509" s="82"/>
    </row>
    <row r="510" spans="1:4" ht="15.75" outlineLevel="1" x14ac:dyDescent="0.2">
      <c r="A510" s="28" t="s">
        <v>38</v>
      </c>
      <c r="B510" s="29" t="s">
        <v>49</v>
      </c>
      <c r="C510" s="28">
        <v>5.0999999999999996</v>
      </c>
      <c r="D510" s="82"/>
    </row>
    <row r="511" spans="1:4" ht="15.75" outlineLevel="1" x14ac:dyDescent="0.2">
      <c r="A511" s="28" t="s">
        <v>38</v>
      </c>
      <c r="B511" s="29" t="s">
        <v>50</v>
      </c>
      <c r="C511" s="28">
        <v>5.2</v>
      </c>
      <c r="D511" s="82"/>
    </row>
    <row r="512" spans="1:4" ht="15.75" outlineLevel="1" x14ac:dyDescent="0.2">
      <c r="A512" s="28" t="s">
        <v>38</v>
      </c>
      <c r="B512" s="29" t="s">
        <v>66</v>
      </c>
      <c r="C512" s="28">
        <v>5.3</v>
      </c>
      <c r="D512" s="82"/>
    </row>
    <row r="513" spans="1:4" ht="15.75" outlineLevel="1" x14ac:dyDescent="0.2">
      <c r="A513" s="28" t="s">
        <v>38</v>
      </c>
      <c r="B513" s="29" t="s">
        <v>80</v>
      </c>
      <c r="C513" s="28">
        <v>5.6</v>
      </c>
      <c r="D513" s="82"/>
    </row>
    <row r="514" spans="1:4" ht="15.75" outlineLevel="1" x14ac:dyDescent="0.2">
      <c r="A514" s="28" t="s">
        <v>38</v>
      </c>
      <c r="B514" s="29" t="s">
        <v>1081</v>
      </c>
      <c r="C514" s="30">
        <v>5.0999999999999996</v>
      </c>
      <c r="D514" s="82"/>
    </row>
    <row r="515" spans="1:4" ht="15.75" outlineLevel="1" x14ac:dyDescent="0.2">
      <c r="A515" s="28" t="s">
        <v>38</v>
      </c>
      <c r="B515" s="29" t="s">
        <v>91</v>
      </c>
      <c r="C515" s="28">
        <v>5.14</v>
      </c>
      <c r="D515" s="82"/>
    </row>
    <row r="516" spans="1:4" ht="15.75" outlineLevel="1" x14ac:dyDescent="0.2">
      <c r="A516" s="28" t="s">
        <v>38</v>
      </c>
      <c r="B516" s="29" t="s">
        <v>68</v>
      </c>
      <c r="C516" s="28">
        <v>5.19</v>
      </c>
      <c r="D516" s="82"/>
    </row>
    <row r="517" spans="1:4" ht="15.75" outlineLevel="1" x14ac:dyDescent="0.2">
      <c r="A517" s="28" t="s">
        <v>38</v>
      </c>
      <c r="B517" s="29" t="s">
        <v>82</v>
      </c>
      <c r="C517" s="28">
        <v>5.24</v>
      </c>
      <c r="D517" s="82"/>
    </row>
    <row r="518" spans="1:4" ht="15.75" outlineLevel="1" x14ac:dyDescent="0.2">
      <c r="A518" s="28" t="s">
        <v>38</v>
      </c>
      <c r="B518" s="29" t="s">
        <v>54</v>
      </c>
      <c r="C518" s="28">
        <v>5.26</v>
      </c>
      <c r="D518" s="82"/>
    </row>
    <row r="519" spans="1:4" ht="15.75" outlineLevel="1" x14ac:dyDescent="0.2">
      <c r="A519" s="28" t="s">
        <v>38</v>
      </c>
      <c r="B519" s="29" t="s">
        <v>55</v>
      </c>
      <c r="C519" s="28">
        <v>5.27</v>
      </c>
      <c r="D519" s="82"/>
    </row>
    <row r="520" spans="1:4" ht="15.75" outlineLevel="1" x14ac:dyDescent="0.2">
      <c r="A520" s="28" t="s">
        <v>38</v>
      </c>
      <c r="B520" s="29" t="s">
        <v>69</v>
      </c>
      <c r="C520" s="28">
        <v>5.28</v>
      </c>
      <c r="D520" s="82"/>
    </row>
    <row r="521" spans="1:4" ht="15.75" outlineLevel="1" x14ac:dyDescent="0.2">
      <c r="A521" s="28" t="s">
        <v>38</v>
      </c>
      <c r="B521" s="29" t="s">
        <v>83</v>
      </c>
      <c r="C521" s="28">
        <v>5.31</v>
      </c>
      <c r="D521" s="82"/>
    </row>
    <row r="522" spans="1:4" ht="15.75" outlineLevel="1" x14ac:dyDescent="0.2">
      <c r="A522" s="28" t="s">
        <v>38</v>
      </c>
      <c r="B522" s="29" t="s">
        <v>96</v>
      </c>
      <c r="C522" s="28">
        <v>5.33</v>
      </c>
      <c r="D522" s="82"/>
    </row>
    <row r="523" spans="1:4" ht="15.75" outlineLevel="1" x14ac:dyDescent="0.2">
      <c r="A523" s="28" t="s">
        <v>38</v>
      </c>
      <c r="B523" s="29" t="s">
        <v>93</v>
      </c>
      <c r="C523" s="28">
        <v>5.101</v>
      </c>
      <c r="D523" s="82"/>
    </row>
    <row r="524" spans="1:4" ht="15.75" outlineLevel="1" x14ac:dyDescent="0.2">
      <c r="A524" s="28" t="s">
        <v>38</v>
      </c>
      <c r="B524" s="29" t="s">
        <v>56</v>
      </c>
      <c r="C524" s="28">
        <v>5.36</v>
      </c>
      <c r="D524" s="82"/>
    </row>
    <row r="525" spans="1:4" ht="15.75" outlineLevel="1" x14ac:dyDescent="0.2">
      <c r="A525" s="28" t="s">
        <v>38</v>
      </c>
      <c r="B525" s="29" t="s">
        <v>97</v>
      </c>
      <c r="C525" s="28">
        <v>5.37</v>
      </c>
      <c r="D525" s="82"/>
    </row>
    <row r="526" spans="1:4" ht="15.75" outlineLevel="1" x14ac:dyDescent="0.2">
      <c r="A526" s="28" t="s">
        <v>38</v>
      </c>
      <c r="B526" s="29" t="s">
        <v>59</v>
      </c>
      <c r="C526" s="28">
        <v>5.53</v>
      </c>
      <c r="D526" s="82"/>
    </row>
    <row r="527" spans="1:4" ht="15.75" outlineLevel="1" x14ac:dyDescent="0.2">
      <c r="A527" s="28" t="s">
        <v>38</v>
      </c>
      <c r="B527" s="29" t="s">
        <v>103</v>
      </c>
      <c r="C527" s="28">
        <v>5.109</v>
      </c>
      <c r="D527" s="82"/>
    </row>
    <row r="528" spans="1:4" ht="15.75" outlineLevel="1" x14ac:dyDescent="0.2">
      <c r="A528" s="28" t="s">
        <v>38</v>
      </c>
      <c r="B528" s="29" t="s">
        <v>104</v>
      </c>
      <c r="C528" s="28">
        <v>5.1109999999999998</v>
      </c>
      <c r="D528" s="82"/>
    </row>
    <row r="529" spans="1:4" ht="15.75" outlineLevel="1" x14ac:dyDescent="0.2">
      <c r="A529" s="28" t="s">
        <v>38</v>
      </c>
      <c r="B529" s="29" t="s">
        <v>106</v>
      </c>
      <c r="C529" s="28">
        <v>5.1120000000000001</v>
      </c>
      <c r="D529" s="82"/>
    </row>
    <row r="530" spans="1:4" ht="15.75" outlineLevel="1" x14ac:dyDescent="0.2">
      <c r="A530" s="28" t="s">
        <v>38</v>
      </c>
      <c r="B530" s="29" t="s">
        <v>94</v>
      </c>
      <c r="C530" s="28">
        <v>5.1020000000000003</v>
      </c>
      <c r="D530" s="82"/>
    </row>
    <row r="531" spans="1:4" ht="15.75" outlineLevel="1" x14ac:dyDescent="0.2">
      <c r="A531" s="28" t="s">
        <v>38</v>
      </c>
      <c r="B531" s="29" t="s">
        <v>95</v>
      </c>
      <c r="C531" s="31">
        <v>5.0999999999999996</v>
      </c>
      <c r="D531" s="82"/>
    </row>
    <row r="532" spans="1:4" ht="15.75" outlineLevel="1" x14ac:dyDescent="0.2">
      <c r="A532" s="28" t="s">
        <v>38</v>
      </c>
      <c r="B532" s="29" t="s">
        <v>76</v>
      </c>
      <c r="C532" s="28">
        <v>5.58</v>
      </c>
      <c r="D532" s="82"/>
    </row>
    <row r="533" spans="1:4" ht="15.75" outlineLevel="1" x14ac:dyDescent="0.2">
      <c r="A533" s="28" t="s">
        <v>38</v>
      </c>
      <c r="B533" s="29" t="s">
        <v>77</v>
      </c>
      <c r="C533" s="28">
        <v>5.55</v>
      </c>
      <c r="D533" s="82"/>
    </row>
    <row r="534" spans="1:4" ht="15.75" outlineLevel="1" x14ac:dyDescent="0.2">
      <c r="A534" s="28" t="s">
        <v>38</v>
      </c>
      <c r="B534" s="29" t="s">
        <v>61</v>
      </c>
      <c r="C534" s="28">
        <v>5.54</v>
      </c>
      <c r="D534" s="82"/>
    </row>
    <row r="535" spans="1:4" ht="15.75" outlineLevel="1" x14ac:dyDescent="0.2">
      <c r="A535" s="28" t="s">
        <v>38</v>
      </c>
      <c r="B535" s="29" t="s">
        <v>63</v>
      </c>
      <c r="C535" s="28">
        <v>5.63</v>
      </c>
      <c r="D535" s="82"/>
    </row>
    <row r="536" spans="1:4" ht="15.75" outlineLevel="1" x14ac:dyDescent="0.2">
      <c r="A536" s="28" t="s">
        <v>38</v>
      </c>
      <c r="B536" s="29" t="s">
        <v>64</v>
      </c>
      <c r="C536" s="28">
        <v>5.47</v>
      </c>
      <c r="D536" s="82"/>
    </row>
    <row r="537" spans="1:4" ht="15.75" outlineLevel="1" x14ac:dyDescent="0.2">
      <c r="A537" s="28" t="s">
        <v>38</v>
      </c>
      <c r="B537" s="29" t="s">
        <v>65</v>
      </c>
      <c r="C537" s="28">
        <v>5.48</v>
      </c>
      <c r="D537" s="82"/>
    </row>
    <row r="538" spans="1:4" ht="15.75" x14ac:dyDescent="0.2">
      <c r="A538" s="33" t="s">
        <v>38</v>
      </c>
      <c r="B538" s="29"/>
      <c r="C538" s="28"/>
      <c r="D538" s="82"/>
    </row>
    <row r="539" spans="1:4" ht="15.75" outlineLevel="1" x14ac:dyDescent="0.2">
      <c r="A539" s="28" t="s">
        <v>39</v>
      </c>
      <c r="B539" s="29" t="s">
        <v>49</v>
      </c>
      <c r="C539" s="28">
        <v>5.0999999999999996</v>
      </c>
      <c r="D539" s="82"/>
    </row>
    <row r="540" spans="1:4" ht="15.75" outlineLevel="1" x14ac:dyDescent="0.2">
      <c r="A540" s="28" t="s">
        <v>39</v>
      </c>
      <c r="B540" s="29" t="s">
        <v>50</v>
      </c>
      <c r="C540" s="28">
        <v>5.2</v>
      </c>
      <c r="D540" s="82"/>
    </row>
    <row r="541" spans="1:4" ht="15.75" outlineLevel="1" x14ac:dyDescent="0.2">
      <c r="A541" s="28" t="s">
        <v>39</v>
      </c>
      <c r="B541" s="29" t="s">
        <v>54</v>
      </c>
      <c r="C541" s="28">
        <v>5.26</v>
      </c>
      <c r="D541" s="82"/>
    </row>
    <row r="542" spans="1:4" ht="15.75" outlineLevel="1" x14ac:dyDescent="0.2">
      <c r="A542" s="28" t="s">
        <v>39</v>
      </c>
      <c r="B542" s="29" t="s">
        <v>120</v>
      </c>
      <c r="C542" s="28">
        <v>5.21</v>
      </c>
      <c r="D542" s="82"/>
    </row>
    <row r="543" spans="1:4" ht="15.75" outlineLevel="1" x14ac:dyDescent="0.2">
      <c r="A543" s="28" t="s">
        <v>39</v>
      </c>
      <c r="B543" s="29" t="s">
        <v>121</v>
      </c>
      <c r="C543" s="28">
        <v>5.53</v>
      </c>
      <c r="D543" s="82"/>
    </row>
    <row r="544" spans="1:4" ht="15.75" outlineLevel="1" x14ac:dyDescent="0.2">
      <c r="A544" s="28" t="s">
        <v>39</v>
      </c>
      <c r="B544" s="29" t="s">
        <v>61</v>
      </c>
      <c r="C544" s="28">
        <v>5.54</v>
      </c>
      <c r="D544" s="82"/>
    </row>
    <row r="545" spans="1:4" ht="15.75" outlineLevel="1" x14ac:dyDescent="0.2">
      <c r="A545" s="28" t="s">
        <v>39</v>
      </c>
      <c r="B545" s="29" t="s">
        <v>122</v>
      </c>
      <c r="C545" s="28">
        <v>5.58</v>
      </c>
      <c r="D545" s="82"/>
    </row>
    <row r="546" spans="1:4" ht="15.75" outlineLevel="1" x14ac:dyDescent="0.2">
      <c r="A546" s="28" t="s">
        <v>39</v>
      </c>
      <c r="B546" s="29" t="s">
        <v>123</v>
      </c>
      <c r="C546" s="28">
        <v>5.1180000000000003</v>
      </c>
      <c r="D546" s="82"/>
    </row>
    <row r="547" spans="1:4" ht="15.75" outlineLevel="1" x14ac:dyDescent="0.2">
      <c r="A547" s="28" t="s">
        <v>39</v>
      </c>
      <c r="B547" s="29" t="s">
        <v>124</v>
      </c>
      <c r="C547" s="28">
        <v>5.47</v>
      </c>
      <c r="D547" s="82"/>
    </row>
    <row r="548" spans="1:4" ht="15.75" outlineLevel="1" x14ac:dyDescent="0.2">
      <c r="A548" s="28" t="s">
        <v>39</v>
      </c>
      <c r="B548" s="29" t="s">
        <v>125</v>
      </c>
      <c r="C548" s="28">
        <v>5.48</v>
      </c>
      <c r="D548" s="82"/>
    </row>
    <row r="549" spans="1:4" ht="15.75" outlineLevel="1" x14ac:dyDescent="0.2">
      <c r="A549" s="28" t="s">
        <v>39</v>
      </c>
      <c r="B549" s="29" t="s">
        <v>126</v>
      </c>
      <c r="C549" s="28">
        <v>5.21</v>
      </c>
      <c r="D549" s="82"/>
    </row>
    <row r="550" spans="1:4" ht="15.75" outlineLevel="1" x14ac:dyDescent="0.2">
      <c r="A550" s="28" t="s">
        <v>39</v>
      </c>
      <c r="B550" s="29" t="s">
        <v>127</v>
      </c>
      <c r="C550" s="28">
        <v>5.53</v>
      </c>
      <c r="D550" s="82"/>
    </row>
    <row r="551" spans="1:4" ht="15.75" outlineLevel="1" x14ac:dyDescent="0.2">
      <c r="A551" s="28" t="s">
        <v>39</v>
      </c>
      <c r="B551" s="29" t="s">
        <v>61</v>
      </c>
      <c r="C551" s="28">
        <v>5.54</v>
      </c>
      <c r="D551" s="82"/>
    </row>
    <row r="552" spans="1:4" ht="15.75" outlineLevel="1" x14ac:dyDescent="0.2">
      <c r="A552" s="28" t="s">
        <v>39</v>
      </c>
      <c r="B552" s="29" t="s">
        <v>128</v>
      </c>
      <c r="C552" s="28">
        <v>5.58</v>
      </c>
      <c r="D552" s="82"/>
    </row>
    <row r="553" spans="1:4" ht="15.75" outlineLevel="1" x14ac:dyDescent="0.2">
      <c r="A553" s="28" t="s">
        <v>39</v>
      </c>
      <c r="B553" s="29" t="s">
        <v>129</v>
      </c>
      <c r="C553" s="28">
        <v>5.1180000000000003</v>
      </c>
      <c r="D553" s="82"/>
    </row>
    <row r="554" spans="1:4" ht="15.75" outlineLevel="1" x14ac:dyDescent="0.2">
      <c r="A554" s="28" t="s">
        <v>39</v>
      </c>
      <c r="B554" s="29" t="s">
        <v>1088</v>
      </c>
      <c r="C554" s="28">
        <v>5.47</v>
      </c>
      <c r="D554" s="82"/>
    </row>
    <row r="555" spans="1:4" ht="15.75" outlineLevel="1" x14ac:dyDescent="0.2">
      <c r="A555" s="28" t="s">
        <v>39</v>
      </c>
      <c r="B555" s="29" t="s">
        <v>1089</v>
      </c>
      <c r="C555" s="28">
        <v>5.48</v>
      </c>
      <c r="D555" s="82"/>
    </row>
    <row r="556" spans="1:4" ht="15.75" outlineLevel="1" x14ac:dyDescent="0.2">
      <c r="A556" s="28" t="s">
        <v>39</v>
      </c>
      <c r="B556" s="29" t="s">
        <v>1090</v>
      </c>
      <c r="C556" s="28">
        <v>5.63</v>
      </c>
      <c r="D556" s="82"/>
    </row>
    <row r="557" spans="1:4" ht="15.75" outlineLevel="1" x14ac:dyDescent="0.2">
      <c r="A557" s="28" t="s">
        <v>39</v>
      </c>
      <c r="B557" s="29" t="s">
        <v>55</v>
      </c>
      <c r="C557" s="28">
        <v>5.27</v>
      </c>
      <c r="D557" s="82"/>
    </row>
    <row r="558" spans="1:4" ht="15.75" outlineLevel="1" x14ac:dyDescent="0.2">
      <c r="A558" s="28" t="s">
        <v>39</v>
      </c>
      <c r="B558" s="29" t="s">
        <v>69</v>
      </c>
      <c r="C558" s="28">
        <v>5.28</v>
      </c>
      <c r="D558" s="82"/>
    </row>
    <row r="559" spans="1:4" ht="15.75" outlineLevel="1" x14ac:dyDescent="0.2">
      <c r="A559" s="28" t="s">
        <v>39</v>
      </c>
      <c r="B559" s="29" t="s">
        <v>133</v>
      </c>
      <c r="C559" s="28">
        <v>5.35</v>
      </c>
      <c r="D559" s="82"/>
    </row>
    <row r="560" spans="1:4" ht="15.75" outlineLevel="1" x14ac:dyDescent="0.2">
      <c r="A560" s="28" t="s">
        <v>39</v>
      </c>
      <c r="B560" s="29" t="s">
        <v>134</v>
      </c>
      <c r="C560" s="28">
        <v>5.1189999999999998</v>
      </c>
      <c r="D560" s="82"/>
    </row>
    <row r="561" spans="1:4" ht="15.75" outlineLevel="1" x14ac:dyDescent="0.2">
      <c r="A561" s="28" t="s">
        <v>39</v>
      </c>
      <c r="B561" s="29" t="s">
        <v>135</v>
      </c>
      <c r="C561" s="31">
        <v>5.12</v>
      </c>
      <c r="D561" s="82"/>
    </row>
    <row r="562" spans="1:4" ht="15.75" outlineLevel="1" x14ac:dyDescent="0.2">
      <c r="A562" s="28" t="s">
        <v>39</v>
      </c>
      <c r="B562" s="29" t="s">
        <v>136</v>
      </c>
      <c r="C562" s="28">
        <v>5.1210000000000004</v>
      </c>
      <c r="D562" s="82"/>
    </row>
    <row r="563" spans="1:4" ht="15.75" outlineLevel="1" x14ac:dyDescent="0.2">
      <c r="A563" s="28" t="s">
        <v>39</v>
      </c>
      <c r="B563" s="29" t="s">
        <v>56</v>
      </c>
      <c r="C563" s="28">
        <v>5.36</v>
      </c>
      <c r="D563" s="82"/>
    </row>
    <row r="564" spans="1:4" ht="15.75" outlineLevel="1" x14ac:dyDescent="0.2">
      <c r="A564" s="28" t="s">
        <v>39</v>
      </c>
      <c r="B564" s="29" t="s">
        <v>137</v>
      </c>
      <c r="C564" s="28">
        <v>5.1219999999999999</v>
      </c>
      <c r="D564" s="82"/>
    </row>
    <row r="565" spans="1:4" ht="15.75" outlineLevel="1" x14ac:dyDescent="0.2">
      <c r="A565" s="28" t="s">
        <v>39</v>
      </c>
      <c r="B565" s="29" t="s">
        <v>138</v>
      </c>
      <c r="C565" s="28">
        <v>5.1230000000000002</v>
      </c>
      <c r="D565" s="82"/>
    </row>
    <row r="566" spans="1:4" ht="15.75" outlineLevel="1" x14ac:dyDescent="0.2">
      <c r="A566" s="28" t="s">
        <v>39</v>
      </c>
      <c r="B566" s="29" t="s">
        <v>139</v>
      </c>
      <c r="C566" s="28">
        <v>5.1239999999999997</v>
      </c>
      <c r="D566" s="82"/>
    </row>
    <row r="567" spans="1:4" ht="15.75" outlineLevel="1" x14ac:dyDescent="0.2">
      <c r="A567" s="28" t="s">
        <v>39</v>
      </c>
      <c r="B567" s="29" t="s">
        <v>140</v>
      </c>
      <c r="C567" s="28">
        <v>5.125</v>
      </c>
      <c r="D567" s="82"/>
    </row>
    <row r="568" spans="1:4" ht="15.75" outlineLevel="1" x14ac:dyDescent="0.2">
      <c r="A568" s="28" t="s">
        <v>39</v>
      </c>
      <c r="B568" s="29" t="s">
        <v>141</v>
      </c>
      <c r="C568" s="28">
        <v>5.1260000000000003</v>
      </c>
      <c r="D568" s="82"/>
    </row>
    <row r="569" spans="1:4" ht="15.75" outlineLevel="1" x14ac:dyDescent="0.2">
      <c r="A569" s="28" t="s">
        <v>39</v>
      </c>
      <c r="B569" s="29" t="s">
        <v>142</v>
      </c>
      <c r="C569" s="28">
        <v>5.1269999999999998</v>
      </c>
      <c r="D569" s="82"/>
    </row>
    <row r="570" spans="1:4" ht="15.75" outlineLevel="1" x14ac:dyDescent="0.2">
      <c r="A570" s="28" t="s">
        <v>39</v>
      </c>
      <c r="B570" s="29" t="s">
        <v>85</v>
      </c>
      <c r="C570" s="30">
        <v>5.72</v>
      </c>
      <c r="D570" s="82"/>
    </row>
    <row r="571" spans="1:4" ht="15.75" outlineLevel="1" x14ac:dyDescent="0.2">
      <c r="A571" s="28" t="s">
        <v>39</v>
      </c>
      <c r="B571" s="29" t="s">
        <v>143</v>
      </c>
      <c r="C571" s="28">
        <v>5.1280000000000001</v>
      </c>
      <c r="D571" s="82"/>
    </row>
    <row r="572" spans="1:4" ht="15.75" outlineLevel="1" x14ac:dyDescent="0.2">
      <c r="A572" s="28" t="s">
        <v>39</v>
      </c>
      <c r="B572" s="29" t="s">
        <v>144</v>
      </c>
      <c r="C572" s="28">
        <v>5.1289999999999996</v>
      </c>
      <c r="D572" s="81" t="s">
        <v>1080</v>
      </c>
    </row>
    <row r="573" spans="1:4" ht="15.75" outlineLevel="1" x14ac:dyDescent="0.2">
      <c r="A573" s="28" t="s">
        <v>39</v>
      </c>
      <c r="B573" s="29" t="s">
        <v>145</v>
      </c>
      <c r="C573" s="28">
        <v>5.1310000000000002</v>
      </c>
      <c r="D573" s="82"/>
    </row>
    <row r="574" spans="1:4" ht="15.75" outlineLevel="1" x14ac:dyDescent="0.2">
      <c r="A574" s="28" t="s">
        <v>39</v>
      </c>
      <c r="B574" s="29" t="s">
        <v>146</v>
      </c>
      <c r="C574" s="28">
        <v>5.1319999999999997</v>
      </c>
      <c r="D574" s="81" t="s">
        <v>1080</v>
      </c>
    </row>
    <row r="575" spans="1:4" ht="15.75" outlineLevel="1" x14ac:dyDescent="0.2">
      <c r="A575" s="28" t="s">
        <v>39</v>
      </c>
      <c r="B575" s="29" t="s">
        <v>147</v>
      </c>
      <c r="C575" s="28">
        <v>5.133</v>
      </c>
      <c r="D575" s="81" t="s">
        <v>1080</v>
      </c>
    </row>
    <row r="576" spans="1:4" ht="15.75" outlineLevel="1" x14ac:dyDescent="0.2">
      <c r="A576" s="28" t="s">
        <v>39</v>
      </c>
      <c r="B576" s="29" t="s">
        <v>148</v>
      </c>
      <c r="C576" s="28">
        <v>5.1340000000000003</v>
      </c>
      <c r="D576" s="81" t="s">
        <v>1080</v>
      </c>
    </row>
    <row r="577" spans="1:4" ht="15.75" outlineLevel="1" x14ac:dyDescent="0.2">
      <c r="A577" s="28" t="s">
        <v>39</v>
      </c>
      <c r="B577" s="29" t="s">
        <v>149</v>
      </c>
      <c r="C577" s="31">
        <v>5.13</v>
      </c>
      <c r="D577" s="82"/>
    </row>
    <row r="578" spans="1:4" ht="15.75" outlineLevel="1" x14ac:dyDescent="0.2">
      <c r="A578" s="28" t="s">
        <v>39</v>
      </c>
      <c r="B578" s="29" t="s">
        <v>64</v>
      </c>
      <c r="C578" s="28">
        <v>5.47</v>
      </c>
      <c r="D578" s="82"/>
    </row>
    <row r="579" spans="1:4" ht="15.75" outlineLevel="1" x14ac:dyDescent="0.2">
      <c r="A579" s="28" t="s">
        <v>39</v>
      </c>
      <c r="B579" s="29" t="s">
        <v>65</v>
      </c>
      <c r="C579" s="28">
        <v>5.48</v>
      </c>
      <c r="D579" s="82"/>
    </row>
    <row r="580" spans="1:4" ht="15.75" x14ac:dyDescent="0.2">
      <c r="A580" s="33" t="s">
        <v>39</v>
      </c>
      <c r="B580" s="29"/>
      <c r="C580" s="28"/>
      <c r="D580" s="82"/>
    </row>
    <row r="581" spans="1:4" ht="15.75" outlineLevel="1" x14ac:dyDescent="0.2">
      <c r="A581" s="28" t="s">
        <v>40</v>
      </c>
      <c r="B581" s="29" t="s">
        <v>49</v>
      </c>
      <c r="C581" s="28">
        <v>5.0999999999999996</v>
      </c>
      <c r="D581" s="82"/>
    </row>
    <row r="582" spans="1:4" ht="15.75" outlineLevel="1" x14ac:dyDescent="0.2">
      <c r="A582" s="28" t="s">
        <v>40</v>
      </c>
      <c r="B582" s="29" t="s">
        <v>50</v>
      </c>
      <c r="C582" s="28">
        <v>5.2</v>
      </c>
      <c r="D582" s="82"/>
    </row>
    <row r="583" spans="1:4" ht="15.75" outlineLevel="1" x14ac:dyDescent="0.2">
      <c r="A583" s="28" t="s">
        <v>40</v>
      </c>
      <c r="B583" s="29" t="s">
        <v>150</v>
      </c>
      <c r="C583" s="28">
        <v>5.9</v>
      </c>
      <c r="D583" s="81" t="s">
        <v>1080</v>
      </c>
    </row>
    <row r="584" spans="1:4" ht="15.75" outlineLevel="1" x14ac:dyDescent="0.2">
      <c r="A584" s="28" t="s">
        <v>40</v>
      </c>
      <c r="B584" s="29" t="s">
        <v>151</v>
      </c>
      <c r="C584" s="28">
        <v>5.13</v>
      </c>
      <c r="D584" s="81" t="s">
        <v>1080</v>
      </c>
    </row>
    <row r="585" spans="1:4" ht="15.75" outlineLevel="1" x14ac:dyDescent="0.2">
      <c r="A585" s="28" t="s">
        <v>40</v>
      </c>
      <c r="B585" s="29" t="s">
        <v>152</v>
      </c>
      <c r="C585" s="28">
        <v>5.16</v>
      </c>
      <c r="D585" s="81" t="s">
        <v>1080</v>
      </c>
    </row>
    <row r="586" spans="1:4" ht="15.75" outlineLevel="1" x14ac:dyDescent="0.2">
      <c r="A586" s="28" t="s">
        <v>40</v>
      </c>
      <c r="B586" s="29" t="s">
        <v>153</v>
      </c>
      <c r="C586" s="28">
        <v>5.22</v>
      </c>
      <c r="D586" s="81"/>
    </row>
    <row r="587" spans="1:4" ht="15.75" outlineLevel="1" x14ac:dyDescent="0.2">
      <c r="A587" s="28" t="s">
        <v>40</v>
      </c>
      <c r="B587" s="29" t="s">
        <v>54</v>
      </c>
      <c r="C587" s="28">
        <v>5.26</v>
      </c>
      <c r="D587" s="82"/>
    </row>
    <row r="588" spans="1:4" ht="15.75" outlineLevel="1" x14ac:dyDescent="0.2">
      <c r="A588" s="28" t="s">
        <v>40</v>
      </c>
      <c r="B588" s="29" t="s">
        <v>154</v>
      </c>
      <c r="C588" s="28">
        <v>5.77</v>
      </c>
      <c r="D588" s="82"/>
    </row>
    <row r="589" spans="1:4" ht="15.75" outlineLevel="1" x14ac:dyDescent="0.2">
      <c r="A589" s="28" t="s">
        <v>40</v>
      </c>
      <c r="B589" s="29" t="s">
        <v>55</v>
      </c>
      <c r="C589" s="28">
        <v>5.27</v>
      </c>
      <c r="D589" s="82"/>
    </row>
    <row r="590" spans="1:4" ht="15.75" outlineLevel="1" x14ac:dyDescent="0.2">
      <c r="A590" s="28" t="s">
        <v>40</v>
      </c>
      <c r="B590" s="29" t="s">
        <v>69</v>
      </c>
      <c r="C590" s="28">
        <v>5.28</v>
      </c>
      <c r="D590" s="81" t="s">
        <v>1080</v>
      </c>
    </row>
    <row r="591" spans="1:4" ht="15.75" outlineLevel="1" x14ac:dyDescent="0.2">
      <c r="A591" s="28" t="s">
        <v>40</v>
      </c>
      <c r="B591" s="29" t="s">
        <v>83</v>
      </c>
      <c r="C591" s="28">
        <v>5.31</v>
      </c>
      <c r="D591" s="82"/>
    </row>
    <row r="592" spans="1:4" ht="15.75" outlineLevel="1" x14ac:dyDescent="0.2">
      <c r="A592" s="28" t="s">
        <v>40</v>
      </c>
      <c r="B592" s="29" t="s">
        <v>56</v>
      </c>
      <c r="C592" s="28">
        <v>5.36</v>
      </c>
      <c r="D592" s="82"/>
    </row>
    <row r="593" spans="1:4" ht="15.75" outlineLevel="1" x14ac:dyDescent="0.2">
      <c r="A593" s="28" t="s">
        <v>40</v>
      </c>
      <c r="B593" s="29" t="s">
        <v>155</v>
      </c>
      <c r="C593" s="28">
        <v>5.78</v>
      </c>
      <c r="D593" s="82"/>
    </row>
    <row r="594" spans="1:4" ht="15.75" outlineLevel="1" x14ac:dyDescent="0.2">
      <c r="A594" s="28" t="s">
        <v>40</v>
      </c>
      <c r="B594" s="29" t="s">
        <v>156</v>
      </c>
      <c r="C594" s="28">
        <v>5.79</v>
      </c>
      <c r="D594" s="81" t="s">
        <v>1080</v>
      </c>
    </row>
    <row r="595" spans="1:4" ht="15.75" outlineLevel="1" x14ac:dyDescent="0.2">
      <c r="A595" s="28" t="s">
        <v>40</v>
      </c>
      <c r="B595" s="29" t="s">
        <v>157</v>
      </c>
      <c r="C595" s="28">
        <v>5.41</v>
      </c>
      <c r="D595" s="82"/>
    </row>
    <row r="596" spans="1:4" ht="15.75" outlineLevel="1" x14ac:dyDescent="0.2">
      <c r="A596" s="28" t="s">
        <v>40</v>
      </c>
      <c r="B596" s="29" t="s">
        <v>71</v>
      </c>
      <c r="C596" s="28">
        <v>5.49</v>
      </c>
      <c r="D596" s="82"/>
    </row>
    <row r="597" spans="1:4" ht="15.75" outlineLevel="1" x14ac:dyDescent="0.2">
      <c r="A597" s="28" t="s">
        <v>40</v>
      </c>
      <c r="B597" s="29" t="s">
        <v>58</v>
      </c>
      <c r="C597" s="28">
        <v>5.51</v>
      </c>
      <c r="D597" s="82"/>
    </row>
    <row r="598" spans="1:4" ht="15.75" outlineLevel="1" x14ac:dyDescent="0.2">
      <c r="A598" s="28" t="s">
        <v>40</v>
      </c>
      <c r="B598" s="29" t="s">
        <v>1091</v>
      </c>
      <c r="C598" s="28">
        <v>5.52</v>
      </c>
      <c r="D598" s="82"/>
    </row>
    <row r="599" spans="1:4" ht="15.75" outlineLevel="1" x14ac:dyDescent="0.2">
      <c r="A599" s="28" t="s">
        <v>40</v>
      </c>
      <c r="B599" s="29" t="s">
        <v>59</v>
      </c>
      <c r="C599" s="28">
        <v>5.53</v>
      </c>
      <c r="D599" s="82"/>
    </row>
    <row r="600" spans="1:4" ht="15.75" outlineLevel="1" x14ac:dyDescent="0.2">
      <c r="A600" s="28" t="s">
        <v>40</v>
      </c>
      <c r="B600" s="29" t="s">
        <v>72</v>
      </c>
      <c r="C600" s="28">
        <v>5.69</v>
      </c>
      <c r="D600" s="82"/>
    </row>
    <row r="601" spans="1:4" ht="15.75" outlineLevel="1" x14ac:dyDescent="0.2">
      <c r="A601" s="28" t="s">
        <v>40</v>
      </c>
      <c r="B601" s="29" t="s">
        <v>159</v>
      </c>
      <c r="C601" s="28">
        <v>5.71</v>
      </c>
      <c r="D601" s="82"/>
    </row>
    <row r="602" spans="1:4" ht="15.75" outlineLevel="1" x14ac:dyDescent="0.2">
      <c r="A602" s="28" t="s">
        <v>40</v>
      </c>
      <c r="B602" s="29" t="s">
        <v>62</v>
      </c>
      <c r="C602" s="30">
        <v>5.7</v>
      </c>
      <c r="D602" s="82"/>
    </row>
    <row r="603" spans="1:4" ht="15.75" outlineLevel="1" x14ac:dyDescent="0.2">
      <c r="A603" s="28" t="s">
        <v>40</v>
      </c>
      <c r="B603" s="29" t="s">
        <v>98</v>
      </c>
      <c r="C603" s="30">
        <v>5.8</v>
      </c>
      <c r="D603" s="81" t="s">
        <v>1080</v>
      </c>
    </row>
    <row r="604" spans="1:4" ht="15.75" outlineLevel="1" x14ac:dyDescent="0.2">
      <c r="A604" s="28" t="s">
        <v>40</v>
      </c>
      <c r="B604" s="29" t="s">
        <v>85</v>
      </c>
      <c r="C604" s="30">
        <v>5.72</v>
      </c>
      <c r="D604" s="81" t="s">
        <v>1080</v>
      </c>
    </row>
    <row r="605" spans="1:4" ht="15.75" outlineLevel="1" x14ac:dyDescent="0.2">
      <c r="A605" s="28" t="s">
        <v>40</v>
      </c>
      <c r="B605" s="29" t="s">
        <v>160</v>
      </c>
      <c r="C605" s="28">
        <v>5.73</v>
      </c>
      <c r="D605" s="81" t="s">
        <v>1080</v>
      </c>
    </row>
    <row r="606" spans="1:4" ht="15.75" outlineLevel="1" x14ac:dyDescent="0.2">
      <c r="A606" s="28" t="s">
        <v>40</v>
      </c>
      <c r="B606" s="29" t="s">
        <v>74</v>
      </c>
      <c r="C606" s="28">
        <v>5.74</v>
      </c>
      <c r="D606" s="82"/>
    </row>
    <row r="607" spans="1:4" ht="15.75" outlineLevel="1" x14ac:dyDescent="0.2">
      <c r="A607" s="28" t="s">
        <v>40</v>
      </c>
      <c r="B607" s="29" t="s">
        <v>73</v>
      </c>
      <c r="C607" s="28">
        <v>5.75</v>
      </c>
      <c r="D607" s="82"/>
    </row>
    <row r="608" spans="1:4" ht="15.75" outlineLevel="1" x14ac:dyDescent="0.2">
      <c r="A608" s="28" t="s">
        <v>40</v>
      </c>
      <c r="B608" s="29" t="s">
        <v>86</v>
      </c>
      <c r="C608" s="28">
        <v>5.76</v>
      </c>
      <c r="D608" s="82"/>
    </row>
    <row r="609" spans="1:4" ht="15.75" outlineLevel="1" x14ac:dyDescent="0.2">
      <c r="A609" s="28" t="s">
        <v>40</v>
      </c>
      <c r="B609" s="29" t="s">
        <v>161</v>
      </c>
      <c r="C609" s="28">
        <v>5.81</v>
      </c>
      <c r="D609" s="81" t="s">
        <v>1080</v>
      </c>
    </row>
    <row r="610" spans="1:4" ht="15.75" outlineLevel="1" x14ac:dyDescent="0.2">
      <c r="A610" s="28" t="s">
        <v>40</v>
      </c>
      <c r="B610" s="29" t="s">
        <v>162</v>
      </c>
      <c r="C610" s="28">
        <v>5.82</v>
      </c>
      <c r="D610" s="81" t="s">
        <v>1080</v>
      </c>
    </row>
    <row r="611" spans="1:4" ht="15.75" outlineLevel="1" x14ac:dyDescent="0.2">
      <c r="A611" s="28" t="s">
        <v>40</v>
      </c>
      <c r="B611" s="29" t="s">
        <v>163</v>
      </c>
      <c r="C611" s="28">
        <v>5.83</v>
      </c>
      <c r="D611" s="81" t="s">
        <v>1080</v>
      </c>
    </row>
    <row r="612" spans="1:4" ht="15.75" outlineLevel="1" x14ac:dyDescent="0.2">
      <c r="A612" s="28" t="s">
        <v>40</v>
      </c>
      <c r="B612" s="29" t="s">
        <v>164</v>
      </c>
      <c r="C612" s="28">
        <v>5.84</v>
      </c>
      <c r="D612" s="82"/>
    </row>
    <row r="613" spans="1:4" ht="15.75" outlineLevel="1" x14ac:dyDescent="0.2">
      <c r="A613" s="28" t="s">
        <v>40</v>
      </c>
      <c r="B613" s="29" t="s">
        <v>165</v>
      </c>
      <c r="C613" s="28">
        <v>5.85</v>
      </c>
      <c r="D613" s="81" t="s">
        <v>1080</v>
      </c>
    </row>
    <row r="614" spans="1:4" ht="15.75" outlineLevel="1" x14ac:dyDescent="0.2">
      <c r="A614" s="28" t="s">
        <v>40</v>
      </c>
      <c r="B614" s="29" t="s">
        <v>166</v>
      </c>
      <c r="C614" s="28">
        <v>5.86</v>
      </c>
      <c r="D614" s="81" t="s">
        <v>1080</v>
      </c>
    </row>
    <row r="615" spans="1:4" ht="15.75" outlineLevel="1" x14ac:dyDescent="0.2">
      <c r="A615" s="28" t="s">
        <v>40</v>
      </c>
      <c r="B615" s="29" t="s">
        <v>167</v>
      </c>
      <c r="C615" s="28">
        <v>5.88</v>
      </c>
      <c r="D615" s="81" t="s">
        <v>1080</v>
      </c>
    </row>
    <row r="616" spans="1:4" ht="15.75" outlineLevel="1" x14ac:dyDescent="0.2">
      <c r="A616" s="28" t="s">
        <v>40</v>
      </c>
      <c r="B616" s="29" t="s">
        <v>168</v>
      </c>
      <c r="C616" s="28">
        <v>5.87</v>
      </c>
      <c r="D616" s="82"/>
    </row>
    <row r="617" spans="1:4" ht="15.75" outlineLevel="1" x14ac:dyDescent="0.2">
      <c r="A617" s="28" t="s">
        <v>40</v>
      </c>
      <c r="B617" s="29" t="s">
        <v>103</v>
      </c>
      <c r="C617" s="28">
        <v>5.109</v>
      </c>
      <c r="D617" s="82"/>
    </row>
    <row r="618" spans="1:4" ht="15.75" outlineLevel="1" x14ac:dyDescent="0.2">
      <c r="A618" s="28" t="s">
        <v>40</v>
      </c>
      <c r="B618" s="29" t="s">
        <v>105</v>
      </c>
      <c r="C618" s="31">
        <v>5.1100000000000003</v>
      </c>
      <c r="D618" s="81" t="s">
        <v>1080</v>
      </c>
    </row>
    <row r="619" spans="1:4" ht="15.75" outlineLevel="1" x14ac:dyDescent="0.2">
      <c r="A619" s="28" t="s">
        <v>40</v>
      </c>
      <c r="B619" s="29" t="s">
        <v>104</v>
      </c>
      <c r="C619" s="28">
        <v>5.1109999999999998</v>
      </c>
      <c r="D619" s="82"/>
    </row>
    <row r="620" spans="1:4" ht="15.75" outlineLevel="1" x14ac:dyDescent="0.2">
      <c r="A620" s="28" t="s">
        <v>40</v>
      </c>
      <c r="B620" s="29" t="s">
        <v>106</v>
      </c>
      <c r="C620" s="28">
        <v>5.1120000000000001</v>
      </c>
      <c r="D620" s="82"/>
    </row>
    <row r="621" spans="1:4" ht="15.75" outlineLevel="1" x14ac:dyDescent="0.2">
      <c r="A621" s="28" t="s">
        <v>40</v>
      </c>
      <c r="B621" s="29" t="s">
        <v>1085</v>
      </c>
      <c r="C621" s="28">
        <v>5.1130000000000004</v>
      </c>
      <c r="D621" s="82"/>
    </row>
    <row r="622" spans="1:4" ht="15.75" outlineLevel="1" x14ac:dyDescent="0.2">
      <c r="A622" s="28" t="s">
        <v>40</v>
      </c>
      <c r="B622" s="29" t="s">
        <v>169</v>
      </c>
      <c r="C622" s="28">
        <v>5.99</v>
      </c>
      <c r="D622" s="81" t="s">
        <v>1080</v>
      </c>
    </row>
    <row r="623" spans="1:4" ht="15.75" outlineLevel="1" x14ac:dyDescent="0.2">
      <c r="A623" s="28" t="s">
        <v>40</v>
      </c>
      <c r="B623" s="29" t="s">
        <v>170</v>
      </c>
      <c r="C623" s="28">
        <v>5.58</v>
      </c>
      <c r="D623" s="81"/>
    </row>
    <row r="624" spans="1:4" ht="15.75" outlineLevel="1" x14ac:dyDescent="0.2">
      <c r="A624" s="28" t="s">
        <v>40</v>
      </c>
      <c r="B624" s="29" t="s">
        <v>61</v>
      </c>
      <c r="C624" s="28">
        <v>5.54</v>
      </c>
      <c r="D624" s="82"/>
    </row>
    <row r="625" spans="1:4" ht="15.75" outlineLevel="1" x14ac:dyDescent="0.2">
      <c r="A625" s="28" t="s">
        <v>40</v>
      </c>
      <c r="B625" s="29" t="s">
        <v>171</v>
      </c>
      <c r="C625" s="28">
        <v>5.56</v>
      </c>
      <c r="D625" s="82"/>
    </row>
    <row r="626" spans="1:4" ht="15.75" outlineLevel="1" x14ac:dyDescent="0.2">
      <c r="A626" s="28" t="s">
        <v>40</v>
      </c>
      <c r="B626" s="29" t="s">
        <v>63</v>
      </c>
      <c r="C626" s="28">
        <v>5.63</v>
      </c>
      <c r="D626" s="82"/>
    </row>
    <row r="627" spans="1:4" ht="15.75" outlineLevel="1" x14ac:dyDescent="0.2">
      <c r="A627" s="28" t="s">
        <v>40</v>
      </c>
      <c r="B627" s="29" t="s">
        <v>172</v>
      </c>
      <c r="C627" s="28">
        <v>5.64</v>
      </c>
      <c r="D627" s="82"/>
    </row>
    <row r="628" spans="1:4" ht="15.75" outlineLevel="1" x14ac:dyDescent="0.2">
      <c r="A628" s="28" t="s">
        <v>40</v>
      </c>
      <c r="B628" s="29" t="s">
        <v>78</v>
      </c>
      <c r="C628" s="28">
        <v>5.65</v>
      </c>
      <c r="D628" s="82"/>
    </row>
    <row r="629" spans="1:4" ht="15.75" outlineLevel="1" x14ac:dyDescent="0.2">
      <c r="A629" s="28" t="s">
        <v>40</v>
      </c>
      <c r="B629" s="29" t="s">
        <v>88</v>
      </c>
      <c r="C629" s="28">
        <v>5.66</v>
      </c>
      <c r="D629" s="82"/>
    </row>
    <row r="630" spans="1:4" ht="15.75" outlineLevel="1" x14ac:dyDescent="0.2">
      <c r="A630" s="28" t="s">
        <v>40</v>
      </c>
      <c r="B630" s="29" t="s">
        <v>87</v>
      </c>
      <c r="C630" s="28">
        <v>5.89</v>
      </c>
      <c r="D630" s="81" t="s">
        <v>1080</v>
      </c>
    </row>
    <row r="631" spans="1:4" ht="15.75" outlineLevel="1" x14ac:dyDescent="0.2">
      <c r="A631" s="28" t="s">
        <v>40</v>
      </c>
      <c r="B631" s="29" t="s">
        <v>17</v>
      </c>
      <c r="C631" s="28">
        <v>5.68</v>
      </c>
      <c r="D631" s="82"/>
    </row>
    <row r="632" spans="1:4" ht="15.75" outlineLevel="1" x14ac:dyDescent="0.2">
      <c r="A632" s="28" t="s">
        <v>40</v>
      </c>
      <c r="B632" s="29" t="s">
        <v>64</v>
      </c>
      <c r="C632" s="28">
        <v>5.47</v>
      </c>
      <c r="D632" s="82"/>
    </row>
    <row r="633" spans="1:4" ht="15.75" outlineLevel="1" x14ac:dyDescent="0.2">
      <c r="A633" s="28" t="s">
        <v>40</v>
      </c>
      <c r="B633" s="29" t="s">
        <v>65</v>
      </c>
      <c r="C633" s="28">
        <v>5.48</v>
      </c>
      <c r="D633" s="82"/>
    </row>
    <row r="634" spans="1:4" ht="15.75" x14ac:dyDescent="0.2">
      <c r="A634" s="33" t="s">
        <v>40</v>
      </c>
      <c r="B634" s="29"/>
      <c r="C634" s="28"/>
      <c r="D634" s="82"/>
    </row>
    <row r="635" spans="1:4" ht="15.75" outlineLevel="1" x14ac:dyDescent="0.2">
      <c r="A635" s="28" t="s">
        <v>41</v>
      </c>
      <c r="B635" s="29" t="s">
        <v>49</v>
      </c>
      <c r="C635" s="28">
        <v>5.0999999999999996</v>
      </c>
      <c r="D635" s="82"/>
    </row>
    <row r="636" spans="1:4" ht="15.75" outlineLevel="1" x14ac:dyDescent="0.2">
      <c r="A636" s="28" t="s">
        <v>41</v>
      </c>
      <c r="B636" s="29" t="s">
        <v>50</v>
      </c>
      <c r="C636" s="28">
        <v>5.2</v>
      </c>
      <c r="D636" s="82"/>
    </row>
    <row r="637" spans="1:4" ht="15.75" outlineLevel="1" x14ac:dyDescent="0.2">
      <c r="A637" s="28" t="s">
        <v>41</v>
      </c>
      <c r="B637" s="29" t="s">
        <v>66</v>
      </c>
      <c r="C637" s="28">
        <v>5.3</v>
      </c>
      <c r="D637" s="82"/>
    </row>
    <row r="638" spans="1:4" ht="15.75" outlineLevel="1" x14ac:dyDescent="0.2">
      <c r="A638" s="28" t="s">
        <v>41</v>
      </c>
      <c r="B638" s="29" t="s">
        <v>80</v>
      </c>
      <c r="C638" s="28">
        <v>5.6</v>
      </c>
      <c r="D638" s="82"/>
    </row>
    <row r="639" spans="1:4" ht="15.75" outlineLevel="1" x14ac:dyDescent="0.2">
      <c r="A639" s="28" t="s">
        <v>41</v>
      </c>
      <c r="B639" s="29" t="s">
        <v>1081</v>
      </c>
      <c r="C639" s="30">
        <v>5.0999999999999996</v>
      </c>
      <c r="D639" s="82"/>
    </row>
    <row r="640" spans="1:4" ht="15.75" outlineLevel="1" x14ac:dyDescent="0.2">
      <c r="A640" s="28" t="s">
        <v>41</v>
      </c>
      <c r="B640" s="29" t="s">
        <v>91</v>
      </c>
      <c r="C640" s="28">
        <v>5.14</v>
      </c>
      <c r="D640" s="82"/>
    </row>
    <row r="641" spans="1:4" ht="15.75" outlineLevel="1" x14ac:dyDescent="0.2">
      <c r="A641" s="28" t="s">
        <v>41</v>
      </c>
      <c r="B641" s="29" t="s">
        <v>68</v>
      </c>
      <c r="C641" s="28">
        <v>5.19</v>
      </c>
      <c r="D641" s="82"/>
    </row>
    <row r="642" spans="1:4" ht="15.75" outlineLevel="1" x14ac:dyDescent="0.2">
      <c r="A642" s="28" t="s">
        <v>41</v>
      </c>
      <c r="B642" s="29" t="s">
        <v>82</v>
      </c>
      <c r="C642" s="28">
        <v>5.24</v>
      </c>
      <c r="D642" s="82"/>
    </row>
    <row r="643" spans="1:4" ht="15.75" outlineLevel="1" x14ac:dyDescent="0.2">
      <c r="A643" s="28" t="s">
        <v>41</v>
      </c>
      <c r="B643" s="29" t="s">
        <v>54</v>
      </c>
      <c r="C643" s="28">
        <v>5.26</v>
      </c>
      <c r="D643" s="82"/>
    </row>
    <row r="644" spans="1:4" ht="15.75" outlineLevel="1" x14ac:dyDescent="0.2">
      <c r="A644" s="28" t="s">
        <v>41</v>
      </c>
      <c r="B644" s="29" t="s">
        <v>55</v>
      </c>
      <c r="C644" s="28">
        <v>5.27</v>
      </c>
      <c r="D644" s="82"/>
    </row>
    <row r="645" spans="1:4" ht="15.75" outlineLevel="1" x14ac:dyDescent="0.2">
      <c r="A645" s="28" t="s">
        <v>41</v>
      </c>
      <c r="B645" s="29" t="s">
        <v>69</v>
      </c>
      <c r="C645" s="28">
        <v>5.28</v>
      </c>
      <c r="D645" s="82"/>
    </row>
    <row r="646" spans="1:4" ht="15.75" outlineLevel="1" x14ac:dyDescent="0.2">
      <c r="A646" s="28" t="s">
        <v>41</v>
      </c>
      <c r="B646" s="29" t="s">
        <v>56</v>
      </c>
      <c r="C646" s="28">
        <v>5.36</v>
      </c>
      <c r="D646" s="82"/>
    </row>
    <row r="647" spans="1:4" ht="15.75" outlineLevel="1" x14ac:dyDescent="0.2">
      <c r="A647" s="28" t="s">
        <v>41</v>
      </c>
      <c r="B647" s="29" t="s">
        <v>96</v>
      </c>
      <c r="C647" s="28">
        <v>5.33</v>
      </c>
      <c r="D647" s="82"/>
    </row>
    <row r="648" spans="1:4" ht="15.75" outlineLevel="1" x14ac:dyDescent="0.2">
      <c r="A648" s="28" t="s">
        <v>41</v>
      </c>
      <c r="B648" s="29" t="s">
        <v>97</v>
      </c>
      <c r="C648" s="28">
        <v>5.37</v>
      </c>
      <c r="D648" s="82"/>
    </row>
    <row r="649" spans="1:4" ht="15.75" outlineLevel="1" x14ac:dyDescent="0.2">
      <c r="A649" s="28" t="s">
        <v>41</v>
      </c>
      <c r="B649" s="29" t="s">
        <v>71</v>
      </c>
      <c r="C649" s="28">
        <v>5.49</v>
      </c>
      <c r="D649" s="82"/>
    </row>
    <row r="650" spans="1:4" ht="15.75" outlineLevel="1" x14ac:dyDescent="0.2">
      <c r="A650" s="28" t="s">
        <v>41</v>
      </c>
      <c r="B650" s="29" t="s">
        <v>58</v>
      </c>
      <c r="C650" s="28">
        <v>5.51</v>
      </c>
      <c r="D650" s="82"/>
    </row>
    <row r="651" spans="1:4" ht="15.75" outlineLevel="1" x14ac:dyDescent="0.2">
      <c r="A651" s="28" t="s">
        <v>41</v>
      </c>
      <c r="B651" s="29" t="s">
        <v>1082</v>
      </c>
      <c r="C651" s="28">
        <v>5.52</v>
      </c>
      <c r="D651" s="82"/>
    </row>
    <row r="652" spans="1:4" ht="15.75" outlineLevel="1" x14ac:dyDescent="0.2">
      <c r="A652" s="28" t="s">
        <v>41</v>
      </c>
      <c r="B652" s="29" t="s">
        <v>59</v>
      </c>
      <c r="C652" s="28">
        <v>5.53</v>
      </c>
      <c r="D652" s="82"/>
    </row>
    <row r="653" spans="1:4" ht="15.75" outlineLevel="1" x14ac:dyDescent="0.2">
      <c r="A653" s="28" t="s">
        <v>41</v>
      </c>
      <c r="B653" s="29" t="s">
        <v>72</v>
      </c>
      <c r="C653" s="28">
        <v>5.69</v>
      </c>
      <c r="D653" s="82"/>
    </row>
    <row r="654" spans="1:4" ht="15.75" outlineLevel="1" x14ac:dyDescent="0.2">
      <c r="A654" s="28" t="s">
        <v>41</v>
      </c>
      <c r="B654" s="29" t="s">
        <v>62</v>
      </c>
      <c r="C654" s="30">
        <v>5.7</v>
      </c>
      <c r="D654" s="82"/>
    </row>
    <row r="655" spans="1:4" ht="15.75" outlineLevel="1" x14ac:dyDescent="0.2">
      <c r="A655" s="28" t="s">
        <v>41</v>
      </c>
      <c r="B655" s="29" t="s">
        <v>74</v>
      </c>
      <c r="C655" s="28">
        <v>5.74</v>
      </c>
      <c r="D655" s="82"/>
    </row>
    <row r="656" spans="1:4" ht="15.75" outlineLevel="1" x14ac:dyDescent="0.2">
      <c r="A656" s="28" t="s">
        <v>41</v>
      </c>
      <c r="B656" s="29" t="s">
        <v>103</v>
      </c>
      <c r="C656" s="28">
        <v>5.109</v>
      </c>
      <c r="D656" s="82"/>
    </row>
    <row r="657" spans="1:4" ht="15.75" outlineLevel="1" x14ac:dyDescent="0.2">
      <c r="A657" s="28" t="s">
        <v>41</v>
      </c>
      <c r="B657" s="29" t="s">
        <v>104</v>
      </c>
      <c r="C657" s="28">
        <v>5.1109999999999998</v>
      </c>
      <c r="D657" s="82"/>
    </row>
    <row r="658" spans="1:4" ht="15.75" outlineLevel="1" x14ac:dyDescent="0.2">
      <c r="A658" s="28" t="s">
        <v>41</v>
      </c>
      <c r="B658" s="29" t="s">
        <v>106</v>
      </c>
      <c r="C658" s="28">
        <v>5.1120000000000001</v>
      </c>
      <c r="D658" s="82"/>
    </row>
    <row r="659" spans="1:4" ht="15.75" outlineLevel="1" x14ac:dyDescent="0.2">
      <c r="A659" s="28" t="s">
        <v>41</v>
      </c>
      <c r="B659" s="29" t="s">
        <v>76</v>
      </c>
      <c r="C659" s="28">
        <v>5.58</v>
      </c>
      <c r="D659" s="82"/>
    </row>
    <row r="660" spans="1:4" ht="15.75" outlineLevel="1" x14ac:dyDescent="0.2">
      <c r="A660" s="28" t="s">
        <v>41</v>
      </c>
      <c r="B660" s="29" t="s">
        <v>61</v>
      </c>
      <c r="C660" s="28">
        <v>5.54</v>
      </c>
      <c r="D660" s="82"/>
    </row>
    <row r="661" spans="1:4" ht="15.75" outlineLevel="1" x14ac:dyDescent="0.2">
      <c r="A661" s="28" t="s">
        <v>41</v>
      </c>
      <c r="B661" s="29" t="s">
        <v>77</v>
      </c>
      <c r="C661" s="28">
        <v>5.55</v>
      </c>
      <c r="D661" s="82"/>
    </row>
    <row r="662" spans="1:4" ht="15.75" outlineLevel="1" x14ac:dyDescent="0.2">
      <c r="A662" s="28" t="s">
        <v>41</v>
      </c>
      <c r="B662" s="29" t="s">
        <v>63</v>
      </c>
      <c r="C662" s="28">
        <v>5.63</v>
      </c>
      <c r="D662" s="82"/>
    </row>
    <row r="663" spans="1:4" ht="15.75" outlineLevel="1" x14ac:dyDescent="0.2">
      <c r="A663" s="28" t="s">
        <v>41</v>
      </c>
      <c r="B663" s="29" t="s">
        <v>64</v>
      </c>
      <c r="C663" s="28">
        <v>5.47</v>
      </c>
      <c r="D663" s="82"/>
    </row>
    <row r="664" spans="1:4" ht="15.75" outlineLevel="1" x14ac:dyDescent="0.2">
      <c r="A664" s="28" t="s">
        <v>41</v>
      </c>
      <c r="B664" s="29" t="s">
        <v>65</v>
      </c>
      <c r="C664" s="28">
        <v>5.48</v>
      </c>
      <c r="D664" s="82"/>
    </row>
    <row r="665" spans="1:4" ht="15.75" x14ac:dyDescent="0.2">
      <c r="A665" s="33" t="s">
        <v>41</v>
      </c>
      <c r="B665" s="29"/>
      <c r="C665" s="28"/>
      <c r="D665" s="82"/>
    </row>
    <row r="666" spans="1:4" ht="15.75" outlineLevel="1" x14ac:dyDescent="0.2">
      <c r="A666" s="28" t="s">
        <v>42</v>
      </c>
      <c r="B666" s="29" t="s">
        <v>49</v>
      </c>
      <c r="C666" s="28">
        <v>5.0999999999999996</v>
      </c>
      <c r="D666" s="82"/>
    </row>
    <row r="667" spans="1:4" ht="15.75" outlineLevel="1" x14ac:dyDescent="0.2">
      <c r="A667" s="28" t="s">
        <v>42</v>
      </c>
      <c r="B667" s="29" t="s">
        <v>50</v>
      </c>
      <c r="C667" s="28">
        <v>5.2</v>
      </c>
      <c r="D667" s="82"/>
    </row>
    <row r="668" spans="1:4" ht="15.75" outlineLevel="1" x14ac:dyDescent="0.2">
      <c r="A668" s="28" t="s">
        <v>42</v>
      </c>
      <c r="B668" s="29" t="s">
        <v>51</v>
      </c>
      <c r="C668" s="28">
        <v>5.4</v>
      </c>
      <c r="D668" s="82"/>
    </row>
    <row r="669" spans="1:4" ht="15.75" outlineLevel="1" x14ac:dyDescent="0.2">
      <c r="A669" s="28" t="s">
        <v>42</v>
      </c>
      <c r="B669" s="29" t="s">
        <v>52</v>
      </c>
      <c r="C669" s="28">
        <v>5.7</v>
      </c>
      <c r="D669" s="82"/>
    </row>
    <row r="670" spans="1:4" ht="15.75" outlineLevel="1" x14ac:dyDescent="0.2">
      <c r="A670" s="28" t="s">
        <v>42</v>
      </c>
      <c r="B670" s="29" t="s">
        <v>53</v>
      </c>
      <c r="C670" s="28">
        <v>5.1100000000000003</v>
      </c>
      <c r="D670" s="82"/>
    </row>
    <row r="671" spans="1:4" ht="15.75" outlineLevel="1" x14ac:dyDescent="0.2">
      <c r="A671" s="28" t="s">
        <v>42</v>
      </c>
      <c r="B671" s="29" t="s">
        <v>54</v>
      </c>
      <c r="C671" s="28">
        <v>5.26</v>
      </c>
      <c r="D671" s="82"/>
    </row>
    <row r="672" spans="1:4" ht="15.75" outlineLevel="1" x14ac:dyDescent="0.2">
      <c r="A672" s="28" t="s">
        <v>42</v>
      </c>
      <c r="B672" s="29" t="s">
        <v>173</v>
      </c>
      <c r="C672" s="28">
        <v>5.43</v>
      </c>
      <c r="D672" s="82"/>
    </row>
    <row r="673" spans="1:4" ht="15.75" outlineLevel="1" x14ac:dyDescent="0.2">
      <c r="A673" s="28" t="s">
        <v>42</v>
      </c>
      <c r="B673" s="29" t="s">
        <v>55</v>
      </c>
      <c r="C673" s="28">
        <v>5.27</v>
      </c>
      <c r="D673" s="82"/>
    </row>
    <row r="674" spans="1:4" ht="15.75" outlineLevel="1" x14ac:dyDescent="0.2">
      <c r="A674" s="28" t="s">
        <v>42</v>
      </c>
      <c r="B674" s="29" t="s">
        <v>69</v>
      </c>
      <c r="C674" s="28">
        <v>5.28</v>
      </c>
      <c r="D674" s="82"/>
    </row>
    <row r="675" spans="1:4" ht="15.75" outlineLevel="1" x14ac:dyDescent="0.2">
      <c r="A675" s="28" t="s">
        <v>42</v>
      </c>
      <c r="B675" s="29" t="s">
        <v>56</v>
      </c>
      <c r="C675" s="28">
        <v>5.36</v>
      </c>
      <c r="D675" s="82"/>
    </row>
    <row r="676" spans="1:4" ht="15.75" outlineLevel="1" x14ac:dyDescent="0.2">
      <c r="A676" s="28" t="s">
        <v>42</v>
      </c>
      <c r="B676" s="29" t="s">
        <v>57</v>
      </c>
      <c r="C676" s="30">
        <v>5.5</v>
      </c>
      <c r="D676" s="82"/>
    </row>
    <row r="677" spans="1:4" ht="15.75" outlineLevel="1" x14ac:dyDescent="0.2">
      <c r="A677" s="28" t="s">
        <v>42</v>
      </c>
      <c r="B677" s="29" t="s">
        <v>58</v>
      </c>
      <c r="C677" s="28">
        <v>5.51</v>
      </c>
      <c r="D677" s="82"/>
    </row>
    <row r="678" spans="1:4" ht="15.75" outlineLevel="1" x14ac:dyDescent="0.2">
      <c r="A678" s="28" t="s">
        <v>42</v>
      </c>
      <c r="B678" s="29" t="s">
        <v>59</v>
      </c>
      <c r="C678" s="28">
        <v>5.53</v>
      </c>
      <c r="D678" s="82"/>
    </row>
    <row r="679" spans="1:4" ht="15.75" outlineLevel="1" x14ac:dyDescent="0.2">
      <c r="A679" s="28" t="s">
        <v>42</v>
      </c>
      <c r="B679" s="29" t="s">
        <v>72</v>
      </c>
      <c r="C679" s="28">
        <v>5.69</v>
      </c>
      <c r="D679" s="82"/>
    </row>
    <row r="680" spans="1:4" ht="15.75" outlineLevel="1" x14ac:dyDescent="0.2">
      <c r="A680" s="28" t="s">
        <v>42</v>
      </c>
      <c r="B680" s="29" t="s">
        <v>62</v>
      </c>
      <c r="C680" s="30">
        <v>5.7</v>
      </c>
      <c r="D680" s="81" t="s">
        <v>1080</v>
      </c>
    </row>
    <row r="681" spans="1:4" ht="15.75" outlineLevel="1" x14ac:dyDescent="0.2">
      <c r="A681" s="28" t="s">
        <v>42</v>
      </c>
      <c r="B681" s="29" t="s">
        <v>74</v>
      </c>
      <c r="C681" s="28">
        <v>5.74</v>
      </c>
      <c r="D681" s="82"/>
    </row>
    <row r="682" spans="1:4" ht="15.75" outlineLevel="1" x14ac:dyDescent="0.2">
      <c r="A682" s="28" t="s">
        <v>42</v>
      </c>
      <c r="B682" s="29" t="s">
        <v>60</v>
      </c>
      <c r="C682" s="28">
        <v>5.59</v>
      </c>
      <c r="D682" s="82"/>
    </row>
    <row r="683" spans="1:4" ht="15.75" outlineLevel="1" x14ac:dyDescent="0.2">
      <c r="A683" s="28" t="s">
        <v>42</v>
      </c>
      <c r="B683" s="29" t="s">
        <v>61</v>
      </c>
      <c r="C683" s="28">
        <v>5.54</v>
      </c>
      <c r="D683" s="82"/>
    </row>
    <row r="684" spans="1:4" ht="15.75" outlineLevel="1" x14ac:dyDescent="0.2">
      <c r="A684" s="28" t="s">
        <v>42</v>
      </c>
      <c r="B684" s="29" t="s">
        <v>174</v>
      </c>
      <c r="C684" s="28">
        <v>5.57</v>
      </c>
      <c r="D684" s="82"/>
    </row>
    <row r="685" spans="1:4" ht="15.75" outlineLevel="1" x14ac:dyDescent="0.2">
      <c r="A685" s="28" t="s">
        <v>42</v>
      </c>
      <c r="B685" s="29" t="s">
        <v>63</v>
      </c>
      <c r="C685" s="28">
        <v>5.63</v>
      </c>
      <c r="D685" s="82"/>
    </row>
    <row r="686" spans="1:4" ht="15.75" outlineLevel="1" x14ac:dyDescent="0.2">
      <c r="A686" s="28" t="s">
        <v>42</v>
      </c>
      <c r="B686" s="29" t="s">
        <v>64</v>
      </c>
      <c r="C686" s="28">
        <v>5.47</v>
      </c>
      <c r="D686" s="82"/>
    </row>
    <row r="687" spans="1:4" ht="15.75" outlineLevel="1" x14ac:dyDescent="0.2">
      <c r="A687" s="28" t="s">
        <v>42</v>
      </c>
      <c r="B687" s="29" t="s">
        <v>65</v>
      </c>
      <c r="C687" s="28">
        <v>5.48</v>
      </c>
      <c r="D687" s="82"/>
    </row>
    <row r="688" spans="1:4" ht="15.75" x14ac:dyDescent="0.2">
      <c r="A688" s="33" t="s">
        <v>42</v>
      </c>
      <c r="B688" s="29"/>
      <c r="C688" s="28"/>
      <c r="D688" s="82"/>
    </row>
    <row r="689" spans="1:4" ht="15.75" outlineLevel="1" x14ac:dyDescent="0.2">
      <c r="A689" s="28" t="s">
        <v>43</v>
      </c>
      <c r="B689" s="29" t="s">
        <v>49</v>
      </c>
      <c r="C689" s="28">
        <v>5.0999999999999996</v>
      </c>
      <c r="D689" s="82"/>
    </row>
    <row r="690" spans="1:4" ht="15.75" outlineLevel="1" x14ac:dyDescent="0.2">
      <c r="A690" s="28" t="s">
        <v>43</v>
      </c>
      <c r="B690" s="29" t="s">
        <v>50</v>
      </c>
      <c r="C690" s="28">
        <v>5.2</v>
      </c>
      <c r="D690" s="82"/>
    </row>
    <row r="691" spans="1:4" ht="15.75" outlineLevel="1" x14ac:dyDescent="0.2">
      <c r="A691" s="28" t="s">
        <v>43</v>
      </c>
      <c r="B691" s="29" t="s">
        <v>175</v>
      </c>
      <c r="C691" s="28">
        <v>5.17</v>
      </c>
      <c r="D691" s="82"/>
    </row>
    <row r="692" spans="1:4" ht="15.75" outlineLevel="1" x14ac:dyDescent="0.2">
      <c r="A692" s="28" t="s">
        <v>43</v>
      </c>
      <c r="B692" s="29" t="s">
        <v>54</v>
      </c>
      <c r="C692" s="28">
        <v>5.26</v>
      </c>
      <c r="D692" s="82"/>
    </row>
    <row r="693" spans="1:4" ht="15.75" outlineLevel="1" x14ac:dyDescent="0.2">
      <c r="A693" s="28" t="s">
        <v>43</v>
      </c>
      <c r="B693" s="29" t="s">
        <v>176</v>
      </c>
      <c r="C693" s="28">
        <v>5.1029999999999998</v>
      </c>
      <c r="D693" s="82"/>
    </row>
    <row r="694" spans="1:4" ht="15.75" outlineLevel="1" x14ac:dyDescent="0.2">
      <c r="A694" s="28" t="s">
        <v>43</v>
      </c>
      <c r="B694" s="29" t="s">
        <v>56</v>
      </c>
      <c r="C694" s="28">
        <v>5.36</v>
      </c>
      <c r="D694" s="82"/>
    </row>
    <row r="695" spans="1:4" ht="15.75" outlineLevel="1" x14ac:dyDescent="0.2">
      <c r="A695" s="28" t="s">
        <v>43</v>
      </c>
      <c r="B695" s="29" t="s">
        <v>97</v>
      </c>
      <c r="C695" s="28">
        <v>5.37</v>
      </c>
      <c r="D695" s="82"/>
    </row>
    <row r="696" spans="1:4" ht="15.75" outlineLevel="1" x14ac:dyDescent="0.2">
      <c r="A696" s="28" t="s">
        <v>43</v>
      </c>
      <c r="B696" s="29" t="s">
        <v>177</v>
      </c>
      <c r="C696" s="28">
        <v>5.1040000000000001</v>
      </c>
      <c r="D696" s="82"/>
    </row>
    <row r="697" spans="1:4" ht="15.75" outlineLevel="1" x14ac:dyDescent="0.2">
      <c r="A697" s="28" t="s">
        <v>43</v>
      </c>
      <c r="B697" s="29" t="s">
        <v>178</v>
      </c>
      <c r="C697" s="28">
        <v>5.1050000000000004</v>
      </c>
      <c r="D697" s="82"/>
    </row>
    <row r="698" spans="1:4" ht="15.75" outlineLevel="1" x14ac:dyDescent="0.2">
      <c r="A698" s="28" t="s">
        <v>43</v>
      </c>
      <c r="B698" s="29" t="s">
        <v>179</v>
      </c>
      <c r="C698" s="28">
        <v>5.1059999999999999</v>
      </c>
      <c r="D698" s="82"/>
    </row>
    <row r="699" spans="1:4" ht="15.75" outlineLevel="1" x14ac:dyDescent="0.2">
      <c r="A699" s="28" t="s">
        <v>43</v>
      </c>
      <c r="B699" s="29" t="s">
        <v>180</v>
      </c>
      <c r="C699" s="28">
        <v>5.1070000000000002</v>
      </c>
      <c r="D699" s="82"/>
    </row>
    <row r="700" spans="1:4" ht="15.75" outlineLevel="1" x14ac:dyDescent="0.2">
      <c r="A700" s="28" t="s">
        <v>43</v>
      </c>
      <c r="B700" s="29" t="s">
        <v>874</v>
      </c>
      <c r="C700" s="28">
        <v>5.1079999999999997</v>
      </c>
      <c r="D700" s="81" t="s">
        <v>1080</v>
      </c>
    </row>
    <row r="701" spans="1:4" ht="15.75" outlineLevel="1" x14ac:dyDescent="0.2">
      <c r="A701" s="28" t="s">
        <v>43</v>
      </c>
      <c r="B701" s="29" t="s">
        <v>103</v>
      </c>
      <c r="C701" s="28">
        <v>5.109</v>
      </c>
      <c r="D701" s="82"/>
    </row>
    <row r="702" spans="1:4" ht="15.75" outlineLevel="1" x14ac:dyDescent="0.2">
      <c r="A702" s="28" t="s">
        <v>43</v>
      </c>
      <c r="B702" s="29" t="s">
        <v>105</v>
      </c>
      <c r="C702" s="31">
        <v>5.1100000000000003</v>
      </c>
      <c r="D702" s="81" t="s">
        <v>1080</v>
      </c>
    </row>
    <row r="703" spans="1:4" ht="15.75" outlineLevel="1" x14ac:dyDescent="0.2">
      <c r="A703" s="28" t="s">
        <v>43</v>
      </c>
      <c r="B703" s="29" t="s">
        <v>104</v>
      </c>
      <c r="C703" s="28">
        <v>5.1109999999999998</v>
      </c>
      <c r="D703" s="82"/>
    </row>
    <row r="704" spans="1:4" ht="15.75" outlineLevel="1" x14ac:dyDescent="0.2">
      <c r="A704" s="28" t="s">
        <v>43</v>
      </c>
      <c r="B704" s="29" t="s">
        <v>106</v>
      </c>
      <c r="C704" s="28">
        <v>5.1120000000000001</v>
      </c>
      <c r="D704" s="82"/>
    </row>
    <row r="705" spans="1:4" ht="15.75" outlineLevel="1" x14ac:dyDescent="0.2">
      <c r="A705" s="28" t="s">
        <v>43</v>
      </c>
      <c r="B705" s="29" t="s">
        <v>59</v>
      </c>
      <c r="C705" s="28">
        <v>5.53</v>
      </c>
      <c r="D705" s="82"/>
    </row>
    <row r="706" spans="1:4" ht="15.75" outlineLevel="1" x14ac:dyDescent="0.2">
      <c r="A706" s="28" t="s">
        <v>43</v>
      </c>
      <c r="B706" s="29" t="s">
        <v>172</v>
      </c>
      <c r="C706" s="28">
        <v>5.64</v>
      </c>
      <c r="D706" s="82"/>
    </row>
    <row r="707" spans="1:4" ht="15.75" outlineLevel="1" x14ac:dyDescent="0.2">
      <c r="A707" s="28" t="s">
        <v>43</v>
      </c>
      <c r="B707" s="29" t="s">
        <v>63</v>
      </c>
      <c r="C707" s="28">
        <v>5.63</v>
      </c>
      <c r="D707" s="82"/>
    </row>
    <row r="708" spans="1:4" ht="15.75" outlineLevel="1" x14ac:dyDescent="0.2">
      <c r="A708" s="28" t="s">
        <v>43</v>
      </c>
      <c r="B708" s="29" t="s">
        <v>78</v>
      </c>
      <c r="C708" s="28">
        <v>5.65</v>
      </c>
      <c r="D708" s="82"/>
    </row>
    <row r="709" spans="1:4" ht="15.75" outlineLevel="1" x14ac:dyDescent="0.2">
      <c r="A709" s="28" t="s">
        <v>43</v>
      </c>
      <c r="B709" s="29" t="s">
        <v>88</v>
      </c>
      <c r="C709" s="28">
        <v>5.66</v>
      </c>
      <c r="D709" s="82"/>
    </row>
    <row r="710" spans="1:4" ht="15.75" outlineLevel="1" x14ac:dyDescent="0.2">
      <c r="A710" s="28" t="s">
        <v>43</v>
      </c>
      <c r="B710" s="29" t="s">
        <v>17</v>
      </c>
      <c r="C710" s="28">
        <v>5.68</v>
      </c>
      <c r="D710" s="82"/>
    </row>
    <row r="711" spans="1:4" ht="15.75" outlineLevel="1" x14ac:dyDescent="0.2">
      <c r="A711" s="28" t="s">
        <v>43</v>
      </c>
      <c r="B711" s="29" t="s">
        <v>64</v>
      </c>
      <c r="C711" s="28">
        <v>5.47</v>
      </c>
      <c r="D711" s="82"/>
    </row>
    <row r="712" spans="1:4" ht="15.75" outlineLevel="1" x14ac:dyDescent="0.2">
      <c r="A712" s="28" t="s">
        <v>43</v>
      </c>
      <c r="B712" s="29" t="s">
        <v>65</v>
      </c>
      <c r="C712" s="28">
        <v>5.48</v>
      </c>
      <c r="D712" s="82"/>
    </row>
    <row r="713" spans="1:4" ht="15.75" x14ac:dyDescent="0.2">
      <c r="A713" s="33" t="s">
        <v>43</v>
      </c>
      <c r="B713" s="29"/>
      <c r="C713" s="28"/>
      <c r="D713" s="82"/>
    </row>
    <row r="714" spans="1:4" ht="15.75" outlineLevel="1" x14ac:dyDescent="0.2">
      <c r="A714" s="28" t="s">
        <v>1092</v>
      </c>
      <c r="B714" s="29" t="s">
        <v>49</v>
      </c>
      <c r="C714" s="28">
        <v>5.0999999999999996</v>
      </c>
      <c r="D714" s="82"/>
    </row>
    <row r="715" spans="1:4" ht="15.75" outlineLevel="1" x14ac:dyDescent="0.2">
      <c r="A715" s="28" t="s">
        <v>1092</v>
      </c>
      <c r="B715" s="29" t="s">
        <v>50</v>
      </c>
      <c r="C715" s="28">
        <v>5.2</v>
      </c>
      <c r="D715" s="82"/>
    </row>
    <row r="716" spans="1:4" ht="15.75" outlineLevel="1" x14ac:dyDescent="0.2">
      <c r="A716" s="28" t="s">
        <v>1092</v>
      </c>
      <c r="B716" s="29" t="s">
        <v>66</v>
      </c>
      <c r="C716" s="28">
        <v>5.3</v>
      </c>
      <c r="D716" s="82"/>
    </row>
    <row r="717" spans="1:4" ht="15.75" outlineLevel="1" x14ac:dyDescent="0.2">
      <c r="A717" s="28" t="s">
        <v>1092</v>
      </c>
      <c r="B717" s="29" t="s">
        <v>80</v>
      </c>
      <c r="C717" s="28">
        <v>5.6</v>
      </c>
      <c r="D717" s="82"/>
    </row>
    <row r="718" spans="1:4" ht="15.75" outlineLevel="1" x14ac:dyDescent="0.2">
      <c r="A718" s="28" t="s">
        <v>1092</v>
      </c>
      <c r="B718" s="29" t="s">
        <v>1081</v>
      </c>
      <c r="C718" s="30">
        <v>5.0999999999999996</v>
      </c>
      <c r="D718" s="82"/>
    </row>
    <row r="719" spans="1:4" ht="15.75" outlineLevel="1" x14ac:dyDescent="0.2">
      <c r="A719" s="28" t="s">
        <v>1092</v>
      </c>
      <c r="B719" s="29" t="s">
        <v>91</v>
      </c>
      <c r="C719" s="28">
        <v>5.14</v>
      </c>
      <c r="D719" s="82"/>
    </row>
    <row r="720" spans="1:4" ht="15.75" outlineLevel="1" x14ac:dyDescent="0.2">
      <c r="A720" s="28" t="s">
        <v>1092</v>
      </c>
      <c r="B720" s="29" t="s">
        <v>68</v>
      </c>
      <c r="C720" s="28">
        <v>5.19</v>
      </c>
      <c r="D720" s="82"/>
    </row>
    <row r="721" spans="1:4" ht="15.75" outlineLevel="1" x14ac:dyDescent="0.2">
      <c r="A721" s="28" t="s">
        <v>1092</v>
      </c>
      <c r="B721" s="29" t="s">
        <v>82</v>
      </c>
      <c r="C721" s="28">
        <v>5.24</v>
      </c>
      <c r="D721" s="82"/>
    </row>
    <row r="722" spans="1:4" ht="15.75" outlineLevel="1" x14ac:dyDescent="0.2">
      <c r="A722" s="28" t="s">
        <v>1092</v>
      </c>
      <c r="B722" s="29" t="s">
        <v>54</v>
      </c>
      <c r="C722" s="28">
        <v>5.26</v>
      </c>
      <c r="D722" s="82"/>
    </row>
    <row r="723" spans="1:4" ht="15.75" outlineLevel="1" x14ac:dyDescent="0.2">
      <c r="A723" s="28" t="s">
        <v>1092</v>
      </c>
      <c r="B723" s="29" t="s">
        <v>55</v>
      </c>
      <c r="C723" s="28">
        <v>5.27</v>
      </c>
      <c r="D723" s="82"/>
    </row>
    <row r="724" spans="1:4" ht="15.75" outlineLevel="1" x14ac:dyDescent="0.2">
      <c r="A724" s="28" t="s">
        <v>1092</v>
      </c>
      <c r="B724" s="29" t="s">
        <v>69</v>
      </c>
      <c r="C724" s="28">
        <v>5.28</v>
      </c>
      <c r="D724" s="82"/>
    </row>
    <row r="725" spans="1:4" ht="15.75" outlineLevel="1" x14ac:dyDescent="0.2">
      <c r="A725" s="28" t="s">
        <v>1092</v>
      </c>
      <c r="B725" s="29" t="s">
        <v>83</v>
      </c>
      <c r="C725" s="28">
        <v>5.31</v>
      </c>
      <c r="D725" s="82"/>
    </row>
    <row r="726" spans="1:4" ht="15.75" outlineLevel="1" x14ac:dyDescent="0.2">
      <c r="A726" s="28" t="s">
        <v>1092</v>
      </c>
      <c r="B726" s="29" t="s">
        <v>56</v>
      </c>
      <c r="C726" s="28">
        <v>5.36</v>
      </c>
      <c r="D726" s="82"/>
    </row>
    <row r="727" spans="1:4" ht="15.75" outlineLevel="1" x14ac:dyDescent="0.2">
      <c r="A727" s="28" t="s">
        <v>1092</v>
      </c>
      <c r="B727" s="29" t="s">
        <v>59</v>
      </c>
      <c r="C727" s="28">
        <v>5.53</v>
      </c>
      <c r="D727" s="82"/>
    </row>
    <row r="728" spans="1:4" ht="15.75" outlineLevel="1" x14ac:dyDescent="0.2">
      <c r="A728" s="28" t="s">
        <v>1092</v>
      </c>
      <c r="B728" s="29" t="s">
        <v>103</v>
      </c>
      <c r="C728" s="28">
        <v>5.109</v>
      </c>
      <c r="D728" s="82"/>
    </row>
    <row r="729" spans="1:4" ht="15.75" outlineLevel="1" x14ac:dyDescent="0.2">
      <c r="A729" s="28" t="s">
        <v>1092</v>
      </c>
      <c r="B729" s="29" t="s">
        <v>104</v>
      </c>
      <c r="C729" s="28">
        <v>5.1109999999999998</v>
      </c>
      <c r="D729" s="82"/>
    </row>
    <row r="730" spans="1:4" ht="15.75" outlineLevel="1" x14ac:dyDescent="0.2">
      <c r="A730" s="28" t="s">
        <v>1092</v>
      </c>
      <c r="B730" s="29" t="s">
        <v>106</v>
      </c>
      <c r="C730" s="28">
        <v>5.1120000000000001</v>
      </c>
      <c r="D730" s="82"/>
    </row>
    <row r="731" spans="1:4" ht="15.75" outlineLevel="1" x14ac:dyDescent="0.2">
      <c r="A731" s="28" t="s">
        <v>1092</v>
      </c>
      <c r="B731" s="29" t="s">
        <v>1085</v>
      </c>
      <c r="C731" s="28">
        <v>5.1130000000000004</v>
      </c>
      <c r="D731" s="82"/>
    </row>
    <row r="732" spans="1:4" ht="15.75" outlineLevel="1" x14ac:dyDescent="0.2">
      <c r="A732" s="28" t="s">
        <v>1092</v>
      </c>
      <c r="B732" s="29" t="s">
        <v>182</v>
      </c>
      <c r="C732" s="28">
        <v>5.117</v>
      </c>
      <c r="D732" s="82"/>
    </row>
    <row r="733" spans="1:4" ht="15.75" outlineLevel="1" x14ac:dyDescent="0.2">
      <c r="A733" s="28" t="s">
        <v>1092</v>
      </c>
      <c r="B733" s="29" t="s">
        <v>183</v>
      </c>
      <c r="C733" s="28">
        <v>5.67</v>
      </c>
      <c r="D733" s="82"/>
    </row>
    <row r="734" spans="1:4" ht="15.75" outlineLevel="1" x14ac:dyDescent="0.2">
      <c r="A734" s="28" t="s">
        <v>1092</v>
      </c>
      <c r="B734" s="29" t="s">
        <v>63</v>
      </c>
      <c r="C734" s="28">
        <v>5.63</v>
      </c>
      <c r="D734" s="82"/>
    </row>
    <row r="735" spans="1:4" ht="15.75" outlineLevel="1" x14ac:dyDescent="0.2">
      <c r="A735" s="28" t="s">
        <v>1092</v>
      </c>
      <c r="B735" s="29" t="s">
        <v>64</v>
      </c>
      <c r="C735" s="28">
        <v>5.47</v>
      </c>
      <c r="D735" s="82"/>
    </row>
    <row r="736" spans="1:4" ht="15.75" outlineLevel="1" x14ac:dyDescent="0.2">
      <c r="A736" s="28" t="s">
        <v>1092</v>
      </c>
      <c r="B736" s="29" t="s">
        <v>65</v>
      </c>
      <c r="C736" s="28">
        <v>5.48</v>
      </c>
      <c r="D736" s="82"/>
    </row>
    <row r="737" spans="1:4" ht="15.75" x14ac:dyDescent="0.2">
      <c r="A737" s="33" t="s">
        <v>1093</v>
      </c>
      <c r="B737" s="29"/>
      <c r="C737" s="28"/>
      <c r="D737" s="82"/>
    </row>
    <row r="738" spans="1:4" ht="15.75" outlineLevel="1" x14ac:dyDescent="0.2">
      <c r="A738" s="28" t="s">
        <v>45</v>
      </c>
      <c r="B738" s="29" t="s">
        <v>49</v>
      </c>
      <c r="C738" s="28">
        <v>5.0999999999999996</v>
      </c>
      <c r="D738" s="82"/>
    </row>
    <row r="739" spans="1:4" ht="15.75" outlineLevel="1" x14ac:dyDescent="0.2">
      <c r="A739" s="28" t="s">
        <v>45</v>
      </c>
      <c r="B739" s="29" t="s">
        <v>50</v>
      </c>
      <c r="C739" s="28">
        <v>5.2</v>
      </c>
      <c r="D739" s="82"/>
    </row>
    <row r="740" spans="1:4" ht="15.75" outlineLevel="1" x14ac:dyDescent="0.2">
      <c r="A740" s="28" t="s">
        <v>45</v>
      </c>
      <c r="B740" s="29" t="s">
        <v>184</v>
      </c>
      <c r="C740" s="28">
        <v>5.18</v>
      </c>
      <c r="D740" s="82"/>
    </row>
    <row r="741" spans="1:4" ht="15.75" outlineLevel="1" x14ac:dyDescent="0.2">
      <c r="A741" s="28" t="s">
        <v>45</v>
      </c>
      <c r="B741" s="29" t="s">
        <v>185</v>
      </c>
      <c r="C741" s="28">
        <v>5.23</v>
      </c>
      <c r="D741" s="82"/>
    </row>
    <row r="742" spans="1:4" ht="15.75" outlineLevel="1" x14ac:dyDescent="0.2">
      <c r="A742" s="28" t="s">
        <v>45</v>
      </c>
      <c r="B742" s="29" t="s">
        <v>54</v>
      </c>
      <c r="C742" s="28">
        <v>5.26</v>
      </c>
      <c r="D742" s="82"/>
    </row>
    <row r="743" spans="1:4" ht="15.75" outlineLevel="1" x14ac:dyDescent="0.2">
      <c r="A743" s="28" t="s">
        <v>45</v>
      </c>
      <c r="B743" s="29" t="s">
        <v>55</v>
      </c>
      <c r="C743" s="28">
        <v>5.27</v>
      </c>
      <c r="D743" s="82"/>
    </row>
    <row r="744" spans="1:4" ht="15.75" outlineLevel="1" x14ac:dyDescent="0.2">
      <c r="A744" s="28" t="s">
        <v>45</v>
      </c>
      <c r="B744" s="29" t="s">
        <v>69</v>
      </c>
      <c r="C744" s="28">
        <v>5.28</v>
      </c>
      <c r="D744" s="82"/>
    </row>
    <row r="745" spans="1:4" ht="15.75" outlineLevel="1" x14ac:dyDescent="0.2">
      <c r="A745" s="28" t="s">
        <v>45</v>
      </c>
      <c r="B745" s="29" t="s">
        <v>56</v>
      </c>
      <c r="C745" s="28">
        <v>5.36</v>
      </c>
      <c r="D745" s="82"/>
    </row>
    <row r="746" spans="1:4" ht="15.75" outlineLevel="1" x14ac:dyDescent="0.2">
      <c r="A746" s="28" t="s">
        <v>45</v>
      </c>
      <c r="B746" s="29" t="s">
        <v>186</v>
      </c>
      <c r="C746" s="28">
        <v>5.44</v>
      </c>
      <c r="D746" s="82"/>
    </row>
    <row r="747" spans="1:4" ht="15.75" outlineLevel="1" x14ac:dyDescent="0.2">
      <c r="A747" s="28" t="s">
        <v>45</v>
      </c>
      <c r="B747" s="29" t="s">
        <v>59</v>
      </c>
      <c r="C747" s="28">
        <v>5.53</v>
      </c>
      <c r="D747" s="82"/>
    </row>
    <row r="748" spans="1:4" ht="15.75" outlineLevel="1" x14ac:dyDescent="0.2">
      <c r="A748" s="28" t="s">
        <v>45</v>
      </c>
      <c r="B748" s="29" t="s">
        <v>106</v>
      </c>
      <c r="C748" s="28">
        <v>5.1120000000000001</v>
      </c>
      <c r="D748" s="82"/>
    </row>
    <row r="749" spans="1:4" ht="15.75" outlineLevel="1" x14ac:dyDescent="0.2">
      <c r="A749" s="28" t="s">
        <v>45</v>
      </c>
      <c r="B749" s="29" t="s">
        <v>60</v>
      </c>
      <c r="C749" s="28">
        <v>5.59</v>
      </c>
      <c r="D749" s="82"/>
    </row>
    <row r="750" spans="1:4" ht="15.75" outlineLevel="1" x14ac:dyDescent="0.2">
      <c r="A750" s="28" t="s">
        <v>45</v>
      </c>
      <c r="B750" s="29" t="s">
        <v>61</v>
      </c>
      <c r="C750" s="28">
        <v>5.54</v>
      </c>
      <c r="D750" s="82"/>
    </row>
    <row r="751" spans="1:4" ht="15.75" outlineLevel="1" x14ac:dyDescent="0.2">
      <c r="A751" s="28" t="s">
        <v>45</v>
      </c>
      <c r="B751" s="29" t="s">
        <v>63</v>
      </c>
      <c r="C751" s="28">
        <v>5.63</v>
      </c>
      <c r="D751" s="82"/>
    </row>
    <row r="752" spans="1:4" ht="15.75" outlineLevel="1" x14ac:dyDescent="0.2">
      <c r="A752" s="28" t="s">
        <v>45</v>
      </c>
      <c r="B752" s="29" t="s">
        <v>78</v>
      </c>
      <c r="C752" s="28">
        <v>5.65</v>
      </c>
      <c r="D752" s="82"/>
    </row>
    <row r="753" spans="1:4" ht="15.75" outlineLevel="1" x14ac:dyDescent="0.2">
      <c r="A753" s="28" t="s">
        <v>45</v>
      </c>
      <c r="B753" s="29" t="s">
        <v>17</v>
      </c>
      <c r="C753" s="28">
        <v>5.68</v>
      </c>
      <c r="D753" s="82"/>
    </row>
    <row r="754" spans="1:4" ht="15.75" outlineLevel="1" x14ac:dyDescent="0.2">
      <c r="A754" s="28" t="s">
        <v>45</v>
      </c>
      <c r="B754" s="29" t="s">
        <v>64</v>
      </c>
      <c r="C754" s="28">
        <v>5.47</v>
      </c>
      <c r="D754" s="82"/>
    </row>
    <row r="755" spans="1:4" ht="15.75" outlineLevel="1" x14ac:dyDescent="0.2">
      <c r="A755" s="28" t="s">
        <v>45</v>
      </c>
      <c r="B755" s="29" t="s">
        <v>65</v>
      </c>
      <c r="C755" s="28">
        <v>5.48</v>
      </c>
      <c r="D755" s="82"/>
    </row>
    <row r="756" spans="1:4" ht="15.75" x14ac:dyDescent="0.2">
      <c r="A756" s="33" t="s">
        <v>45</v>
      </c>
      <c r="B756" s="29"/>
      <c r="C756" s="28"/>
      <c r="D756" s="82"/>
    </row>
    <row r="757" spans="1:4" ht="15.75" outlineLevel="1" x14ac:dyDescent="0.2">
      <c r="A757" s="28" t="s">
        <v>47</v>
      </c>
      <c r="B757" s="29" t="s">
        <v>49</v>
      </c>
      <c r="C757" s="28">
        <v>5.0999999999999996</v>
      </c>
      <c r="D757" s="82"/>
    </row>
    <row r="758" spans="1:4" ht="15.75" outlineLevel="1" x14ac:dyDescent="0.2">
      <c r="A758" s="28" t="s">
        <v>47</v>
      </c>
      <c r="B758" s="29" t="s">
        <v>50</v>
      </c>
      <c r="C758" s="28">
        <v>5.2</v>
      </c>
      <c r="D758" s="82"/>
    </row>
    <row r="759" spans="1:4" ht="15.75" outlineLevel="1" x14ac:dyDescent="0.2">
      <c r="A759" s="28" t="s">
        <v>47</v>
      </c>
      <c r="B759" s="29" t="s">
        <v>150</v>
      </c>
      <c r="C759" s="28">
        <v>5.9</v>
      </c>
      <c r="D759" s="81" t="s">
        <v>1080</v>
      </c>
    </row>
    <row r="760" spans="1:4" ht="15.75" outlineLevel="1" x14ac:dyDescent="0.2">
      <c r="A760" s="28" t="s">
        <v>47</v>
      </c>
      <c r="B760" s="29" t="s">
        <v>151</v>
      </c>
      <c r="C760" s="28">
        <v>5.13</v>
      </c>
      <c r="D760" s="82"/>
    </row>
    <row r="761" spans="1:4" ht="15.75" outlineLevel="1" x14ac:dyDescent="0.2">
      <c r="A761" s="28" t="s">
        <v>47</v>
      </c>
      <c r="B761" s="29" t="s">
        <v>152</v>
      </c>
      <c r="C761" s="28">
        <v>5.16</v>
      </c>
      <c r="D761" s="81" t="s">
        <v>1080</v>
      </c>
    </row>
    <row r="762" spans="1:4" ht="15.75" outlineLevel="1" x14ac:dyDescent="0.2">
      <c r="A762" s="28" t="s">
        <v>47</v>
      </c>
      <c r="B762" s="29" t="s">
        <v>153</v>
      </c>
      <c r="C762" s="28">
        <v>5.22</v>
      </c>
      <c r="D762" s="81"/>
    </row>
    <row r="763" spans="1:4" ht="15.75" outlineLevel="1" x14ac:dyDescent="0.2">
      <c r="A763" s="28" t="s">
        <v>47</v>
      </c>
      <c r="B763" s="29" t="s">
        <v>187</v>
      </c>
      <c r="C763" s="28">
        <v>5.42</v>
      </c>
      <c r="D763" s="82"/>
    </row>
    <row r="764" spans="1:4" ht="15.75" outlineLevel="1" x14ac:dyDescent="0.2">
      <c r="A764" s="28" t="s">
        <v>47</v>
      </c>
      <c r="B764" s="29" t="s">
        <v>55</v>
      </c>
      <c r="C764" s="28">
        <v>5.27</v>
      </c>
      <c r="D764" s="82"/>
    </row>
    <row r="765" spans="1:4" ht="15.75" outlineLevel="1" x14ac:dyDescent="0.2">
      <c r="A765" s="28" t="s">
        <v>47</v>
      </c>
      <c r="B765" s="29" t="s">
        <v>69</v>
      </c>
      <c r="C765" s="28">
        <v>5.28</v>
      </c>
      <c r="D765" s="81" t="s">
        <v>1080</v>
      </c>
    </row>
    <row r="766" spans="1:4" ht="15.75" outlineLevel="1" x14ac:dyDescent="0.2">
      <c r="A766" s="28" t="s">
        <v>47</v>
      </c>
      <c r="B766" s="29" t="s">
        <v>56</v>
      </c>
      <c r="C766" s="28">
        <v>5.36</v>
      </c>
      <c r="D766" s="82"/>
    </row>
    <row r="767" spans="1:4" ht="15.75" outlineLevel="1" x14ac:dyDescent="0.2">
      <c r="A767" s="28" t="s">
        <v>47</v>
      </c>
      <c r="B767" s="29" t="s">
        <v>71</v>
      </c>
      <c r="C767" s="28">
        <v>5.49</v>
      </c>
      <c r="D767" s="82"/>
    </row>
    <row r="768" spans="1:4" ht="15.75" outlineLevel="1" x14ac:dyDescent="0.2">
      <c r="A768" s="28" t="s">
        <v>47</v>
      </c>
      <c r="B768" s="29" t="s">
        <v>58</v>
      </c>
      <c r="C768" s="28">
        <v>5.51</v>
      </c>
      <c r="D768" s="82"/>
    </row>
    <row r="769" spans="1:4" ht="15.75" outlineLevel="1" x14ac:dyDescent="0.2">
      <c r="A769" s="28" t="s">
        <v>47</v>
      </c>
      <c r="B769" s="29" t="s">
        <v>1091</v>
      </c>
      <c r="C769" s="28">
        <v>5.52</v>
      </c>
      <c r="D769" s="82"/>
    </row>
    <row r="770" spans="1:4" ht="15.75" outlineLevel="1" x14ac:dyDescent="0.2">
      <c r="A770" s="28" t="s">
        <v>47</v>
      </c>
      <c r="B770" s="29" t="s">
        <v>59</v>
      </c>
      <c r="C770" s="28">
        <v>5.53</v>
      </c>
      <c r="D770" s="82"/>
    </row>
    <row r="771" spans="1:4" ht="15.75" outlineLevel="1" x14ac:dyDescent="0.2">
      <c r="A771" s="28" t="s">
        <v>47</v>
      </c>
      <c r="B771" s="29" t="s">
        <v>61</v>
      </c>
      <c r="C771" s="28">
        <v>5.54</v>
      </c>
      <c r="D771" s="82"/>
    </row>
    <row r="772" spans="1:4" ht="15.75" outlineLevel="1" x14ac:dyDescent="0.2">
      <c r="A772" s="28" t="s">
        <v>47</v>
      </c>
      <c r="B772" s="29" t="s">
        <v>62</v>
      </c>
      <c r="C772" s="30">
        <v>5.7</v>
      </c>
      <c r="D772" s="82"/>
    </row>
    <row r="773" spans="1:4" ht="15.75" outlineLevel="1" x14ac:dyDescent="0.2">
      <c r="A773" s="28" t="s">
        <v>47</v>
      </c>
      <c r="B773" s="29" t="s">
        <v>159</v>
      </c>
      <c r="C773" s="28">
        <v>5.71</v>
      </c>
      <c r="D773" s="82"/>
    </row>
    <row r="774" spans="1:4" ht="15.75" outlineLevel="1" x14ac:dyDescent="0.2">
      <c r="A774" s="28" t="s">
        <v>47</v>
      </c>
      <c r="B774" s="29" t="s">
        <v>188</v>
      </c>
      <c r="C774" s="30">
        <v>5.9</v>
      </c>
      <c r="D774" s="82"/>
    </row>
    <row r="775" spans="1:4" ht="15.75" outlineLevel="1" x14ac:dyDescent="0.2">
      <c r="A775" s="28" t="s">
        <v>47</v>
      </c>
      <c r="B775" s="29" t="s">
        <v>189</v>
      </c>
      <c r="C775" s="28">
        <v>5.91</v>
      </c>
      <c r="D775" s="82"/>
    </row>
    <row r="776" spans="1:4" ht="15.75" outlineLevel="1" x14ac:dyDescent="0.2">
      <c r="A776" s="28" t="s">
        <v>47</v>
      </c>
      <c r="B776" s="29" t="s">
        <v>190</v>
      </c>
      <c r="C776" s="28">
        <v>5.97</v>
      </c>
      <c r="D776" s="82"/>
    </row>
    <row r="777" spans="1:4" ht="15.75" x14ac:dyDescent="0.2">
      <c r="A777" s="33" t="s">
        <v>47</v>
      </c>
      <c r="B777" s="29"/>
      <c r="C777" s="28"/>
      <c r="D777" s="82"/>
    </row>
    <row r="778" spans="1:4" ht="15.75" outlineLevel="1" x14ac:dyDescent="0.2">
      <c r="A778" s="28" t="s">
        <v>1067</v>
      </c>
      <c r="B778" s="29" t="s">
        <v>49</v>
      </c>
      <c r="C778" s="28">
        <v>5.0999999999999996</v>
      </c>
      <c r="D778" s="82"/>
    </row>
    <row r="779" spans="1:4" ht="15.75" outlineLevel="1" x14ac:dyDescent="0.2">
      <c r="A779" s="28" t="s">
        <v>1067</v>
      </c>
      <c r="B779" s="29" t="s">
        <v>50</v>
      </c>
      <c r="C779" s="28">
        <v>5.2</v>
      </c>
      <c r="D779" s="82"/>
    </row>
    <row r="780" spans="1:4" ht="15.75" outlineLevel="1" x14ac:dyDescent="0.2">
      <c r="A780" s="28" t="s">
        <v>1067</v>
      </c>
      <c r="B780" s="29" t="s">
        <v>54</v>
      </c>
      <c r="C780" s="28">
        <v>5.26</v>
      </c>
      <c r="D780" s="82"/>
    </row>
    <row r="781" spans="1:4" ht="15.75" outlineLevel="1" x14ac:dyDescent="0.2">
      <c r="A781" s="28" t="s">
        <v>1067</v>
      </c>
      <c r="B781" s="29" t="s">
        <v>108</v>
      </c>
      <c r="C781" s="28">
        <v>5.5</v>
      </c>
      <c r="D781" s="82"/>
    </row>
    <row r="782" spans="1:4" ht="15.75" outlineLevel="1" x14ac:dyDescent="0.2">
      <c r="A782" s="28" t="s">
        <v>1067</v>
      </c>
      <c r="B782" s="29" t="s">
        <v>109</v>
      </c>
      <c r="C782" s="28">
        <v>5.8</v>
      </c>
      <c r="D782" s="81" t="s">
        <v>1080</v>
      </c>
    </row>
    <row r="783" spans="1:4" ht="15.75" outlineLevel="1" x14ac:dyDescent="0.2">
      <c r="A783" s="28" t="s">
        <v>1067</v>
      </c>
      <c r="B783" s="29" t="s">
        <v>110</v>
      </c>
      <c r="C783" s="28">
        <v>5.12</v>
      </c>
      <c r="D783" s="28"/>
    </row>
    <row r="784" spans="1:4" ht="15.75" outlineLevel="1" x14ac:dyDescent="0.2">
      <c r="A784" s="28" t="s">
        <v>1067</v>
      </c>
      <c r="B784" s="29" t="s">
        <v>111</v>
      </c>
      <c r="C784" s="28">
        <v>5.15</v>
      </c>
      <c r="D784" s="28"/>
    </row>
    <row r="785" spans="1:4" ht="15.75" outlineLevel="1" x14ac:dyDescent="0.2">
      <c r="A785" s="28" t="s">
        <v>1067</v>
      </c>
      <c r="B785" s="29" t="s">
        <v>112</v>
      </c>
      <c r="C785" s="30">
        <v>5.2</v>
      </c>
      <c r="D785" s="81"/>
    </row>
    <row r="786" spans="1:4" ht="15.75" outlineLevel="1" x14ac:dyDescent="0.2">
      <c r="A786" s="28" t="s">
        <v>1067</v>
      </c>
      <c r="B786" s="29" t="s">
        <v>113</v>
      </c>
      <c r="C786" s="28">
        <v>5.25</v>
      </c>
      <c r="D786" s="28"/>
    </row>
    <row r="787" spans="1:4" ht="15.75" outlineLevel="1" x14ac:dyDescent="0.2">
      <c r="A787" s="28" t="s">
        <v>1067</v>
      </c>
      <c r="B787" s="29" t="s">
        <v>59</v>
      </c>
      <c r="C787" s="28">
        <v>5.53</v>
      </c>
      <c r="D787" s="28"/>
    </row>
    <row r="788" spans="1:4" ht="15.75" outlineLevel="1" x14ac:dyDescent="0.2">
      <c r="A788" s="28" t="s">
        <v>1067</v>
      </c>
      <c r="B788" s="29" t="s">
        <v>191</v>
      </c>
      <c r="C788" s="30">
        <v>5.4</v>
      </c>
      <c r="D788" s="28"/>
    </row>
    <row r="789" spans="1:4" ht="15.75" outlineLevel="1" x14ac:dyDescent="0.2">
      <c r="A789" s="28" t="s">
        <v>1067</v>
      </c>
      <c r="B789" s="29" t="s">
        <v>192</v>
      </c>
      <c r="C789" s="28">
        <v>5.92</v>
      </c>
      <c r="D789" s="28"/>
    </row>
    <row r="790" spans="1:4" ht="15.75" outlineLevel="1" x14ac:dyDescent="0.2">
      <c r="A790" s="28" t="s">
        <v>1067</v>
      </c>
      <c r="B790" s="29" t="s">
        <v>193</v>
      </c>
      <c r="C790" s="28">
        <v>5.93</v>
      </c>
      <c r="D790" s="28"/>
    </row>
    <row r="791" spans="1:4" ht="31.5" outlineLevel="1" x14ac:dyDescent="0.2">
      <c r="A791" s="28" t="s">
        <v>1067</v>
      </c>
      <c r="B791" s="29" t="s">
        <v>194</v>
      </c>
      <c r="C791" s="28">
        <v>5.94</v>
      </c>
      <c r="D791" s="28"/>
    </row>
    <row r="792" spans="1:4" ht="15.75" outlineLevel="1" x14ac:dyDescent="0.2">
      <c r="A792" s="28" t="s">
        <v>1067</v>
      </c>
      <c r="B792" s="29" t="s">
        <v>195</v>
      </c>
      <c r="C792" s="28">
        <v>5.95</v>
      </c>
      <c r="D792" s="28"/>
    </row>
    <row r="793" spans="1:4" ht="15.75" outlineLevel="1" x14ac:dyDescent="0.2">
      <c r="A793" s="28" t="s">
        <v>1067</v>
      </c>
      <c r="B793" s="29" t="s">
        <v>196</v>
      </c>
      <c r="C793" s="28">
        <v>5.98</v>
      </c>
      <c r="D793" s="28"/>
    </row>
    <row r="794" spans="1:4" ht="15.75" outlineLevel="1" x14ac:dyDescent="0.2">
      <c r="A794" s="28" t="s">
        <v>1067</v>
      </c>
      <c r="B794" s="29" t="s">
        <v>197</v>
      </c>
      <c r="C794" s="28">
        <v>5.96</v>
      </c>
      <c r="D794" s="28"/>
    </row>
    <row r="795" spans="1:4" ht="15.75" x14ac:dyDescent="0.2">
      <c r="A795" s="33" t="s">
        <v>1067</v>
      </c>
      <c r="B795" s="29"/>
      <c r="C795" s="28"/>
      <c r="D795" s="28"/>
    </row>
  </sheetData>
  <autoFilter ref="A1:D795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9" t="s">
        <v>1094</v>
      </c>
    </row>
    <row r="3" spans="1:2" x14ac:dyDescent="0.2">
      <c r="A3" t="s">
        <v>1095</v>
      </c>
      <c r="B3" t="s">
        <v>1096</v>
      </c>
    </row>
    <row r="4" spans="1:2" x14ac:dyDescent="0.2">
      <c r="A4" t="s">
        <v>1097</v>
      </c>
      <c r="B4" t="s">
        <v>1098</v>
      </c>
    </row>
    <row r="5" spans="1:2" x14ac:dyDescent="0.2">
      <c r="A5" t="s">
        <v>1099</v>
      </c>
      <c r="B5" t="s">
        <v>1100</v>
      </c>
    </row>
    <row r="6" spans="1:2" x14ac:dyDescent="0.2">
      <c r="A6" t="s">
        <v>1101</v>
      </c>
      <c r="B6" t="s">
        <v>1102</v>
      </c>
    </row>
    <row r="7" spans="1:2" x14ac:dyDescent="0.2">
      <c r="A7" t="s">
        <v>1103</v>
      </c>
      <c r="B7" t="s">
        <v>1104</v>
      </c>
    </row>
    <row r="8" spans="1:2" x14ac:dyDescent="0.2">
      <c r="A8" t="s">
        <v>1105</v>
      </c>
      <c r="B8" t="s">
        <v>1106</v>
      </c>
    </row>
    <row r="10" spans="1:2" ht="15" x14ac:dyDescent="0.25">
      <c r="A10" s="19" t="s">
        <v>1107</v>
      </c>
    </row>
    <row r="11" spans="1:2" x14ac:dyDescent="0.2">
      <c r="A11" t="s">
        <v>1108</v>
      </c>
    </row>
    <row r="12" spans="1:2" x14ac:dyDescent="0.2">
      <c r="A12" t="s">
        <v>1109</v>
      </c>
      <c r="B12" t="s">
        <v>1110</v>
      </c>
    </row>
    <row r="14" spans="1:2" x14ac:dyDescent="0.2">
      <c r="A14" s="27"/>
    </row>
    <row r="15" spans="1:2" ht="15" x14ac:dyDescent="0.25">
      <c r="A15" s="19" t="s">
        <v>1111</v>
      </c>
    </row>
    <row r="16" spans="1:2" x14ac:dyDescent="0.2">
      <c r="A16" s="25" t="s">
        <v>1112</v>
      </c>
    </row>
    <row r="17" spans="1:2" x14ac:dyDescent="0.2">
      <c r="A17" s="25" t="s">
        <v>1113</v>
      </c>
    </row>
    <row r="18" spans="1:2" x14ac:dyDescent="0.2">
      <c r="A18" s="25" t="s">
        <v>1114</v>
      </c>
    </row>
    <row r="19" spans="1:2" x14ac:dyDescent="0.2">
      <c r="A19" s="25" t="s">
        <v>1115</v>
      </c>
    </row>
    <row r="21" spans="1:2" ht="15" x14ac:dyDescent="0.25">
      <c r="A21" s="26" t="s">
        <v>1116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9" t="s">
        <v>1117</v>
      </c>
      <c r="B34" s="19" t="s">
        <v>309</v>
      </c>
    </row>
    <row r="35" spans="1:2" x14ac:dyDescent="0.2">
      <c r="A35" s="13" t="s">
        <v>1118</v>
      </c>
      <c r="B35" s="32">
        <v>512310509</v>
      </c>
    </row>
    <row r="36" spans="1:2" x14ac:dyDescent="0.2">
      <c r="A36" t="s">
        <v>1119</v>
      </c>
      <c r="B36" s="32">
        <v>513910703</v>
      </c>
    </row>
    <row r="37" spans="1:2" x14ac:dyDescent="0.2">
      <c r="A37" t="s">
        <v>1120</v>
      </c>
      <c r="B37" s="32">
        <v>512304882</v>
      </c>
    </row>
    <row r="38" spans="1:2" x14ac:dyDescent="0.2">
      <c r="A38" t="s">
        <v>1121</v>
      </c>
      <c r="B38" s="32">
        <v>520030677</v>
      </c>
    </row>
    <row r="39" spans="1:2" x14ac:dyDescent="0.2">
      <c r="A39" t="s">
        <v>1122</v>
      </c>
      <c r="B39" s="32">
        <v>513621110</v>
      </c>
    </row>
    <row r="40" spans="1:2" x14ac:dyDescent="0.2">
      <c r="A40" t="s">
        <v>1123</v>
      </c>
      <c r="B40" s="13">
        <v>513173393</v>
      </c>
    </row>
    <row r="41" spans="1:2" x14ac:dyDescent="0.2">
      <c r="A41" t="s">
        <v>1124</v>
      </c>
      <c r="B41" s="13">
        <v>511880460</v>
      </c>
    </row>
    <row r="42" spans="1:2" x14ac:dyDescent="0.2">
      <c r="A42" t="s">
        <v>1125</v>
      </c>
      <c r="B42" s="13">
        <v>510773922</v>
      </c>
    </row>
    <row r="43" spans="1:2" x14ac:dyDescent="0.2">
      <c r="A43" t="s">
        <v>1126</v>
      </c>
      <c r="B43">
        <v>520021916</v>
      </c>
    </row>
    <row r="44" spans="1:2" x14ac:dyDescent="0.2">
      <c r="A44" t="s">
        <v>1127</v>
      </c>
      <c r="B44">
        <v>520044025</v>
      </c>
    </row>
    <row r="45" spans="1:2" x14ac:dyDescent="0.2">
      <c r="A45" t="s">
        <v>1128</v>
      </c>
      <c r="B45">
        <v>570003152</v>
      </c>
    </row>
    <row r="46" spans="1:2" x14ac:dyDescent="0.2">
      <c r="A46" t="s">
        <v>1129</v>
      </c>
      <c r="B46" s="13">
        <v>520023094</v>
      </c>
    </row>
    <row r="47" spans="1:2" x14ac:dyDescent="0.2">
      <c r="A47" t="s">
        <v>1130</v>
      </c>
      <c r="B47" s="13">
        <v>512711409</v>
      </c>
    </row>
    <row r="48" spans="1:2" x14ac:dyDescent="0.2">
      <c r="A48" t="s">
        <v>1131</v>
      </c>
      <c r="B48">
        <v>515859379</v>
      </c>
    </row>
    <row r="49" spans="1:2" x14ac:dyDescent="0.2">
      <c r="A49" t="s">
        <v>1132</v>
      </c>
      <c r="B49" s="13">
        <v>520030990</v>
      </c>
    </row>
    <row r="50" spans="1:2" x14ac:dyDescent="0.2">
      <c r="A50" t="s">
        <v>1133</v>
      </c>
      <c r="B50" s="13">
        <v>520028812</v>
      </c>
    </row>
    <row r="51" spans="1:2" x14ac:dyDescent="0.2">
      <c r="A51" t="s">
        <v>1134</v>
      </c>
      <c r="B51" s="13">
        <v>520034968</v>
      </c>
    </row>
    <row r="52" spans="1:2" x14ac:dyDescent="0.2">
      <c r="A52" t="s">
        <v>1135</v>
      </c>
      <c r="B52" s="13">
        <v>520031824</v>
      </c>
    </row>
    <row r="53" spans="1:2" x14ac:dyDescent="0.2">
      <c r="A53" t="s">
        <v>1136</v>
      </c>
      <c r="B53" s="13">
        <v>520005497</v>
      </c>
    </row>
    <row r="54" spans="1:2" x14ac:dyDescent="0.2">
      <c r="A54" t="s">
        <v>1137</v>
      </c>
      <c r="B54" s="13">
        <v>520022518</v>
      </c>
    </row>
    <row r="55" spans="1:2" x14ac:dyDescent="0.2">
      <c r="A55" t="s">
        <v>1138</v>
      </c>
      <c r="B55" s="13">
        <v>520028556</v>
      </c>
    </row>
    <row r="56" spans="1:2" x14ac:dyDescent="0.2">
      <c r="A56" t="s">
        <v>1139</v>
      </c>
      <c r="B56" s="13">
        <v>520032269</v>
      </c>
    </row>
    <row r="57" spans="1:2" x14ac:dyDescent="0.2">
      <c r="A57" t="s">
        <v>1140</v>
      </c>
      <c r="B57" s="13">
        <v>520027954</v>
      </c>
    </row>
    <row r="58" spans="1:2" x14ac:dyDescent="0.2">
      <c r="A58" t="s">
        <v>1141</v>
      </c>
      <c r="B58">
        <v>520029620</v>
      </c>
    </row>
    <row r="59" spans="1:2" x14ac:dyDescent="0.2">
      <c r="A59" t="s">
        <v>1142</v>
      </c>
      <c r="B59" s="13">
        <v>520028861</v>
      </c>
    </row>
    <row r="60" spans="1:2" x14ac:dyDescent="0.2">
      <c r="A60" t="s">
        <v>1143</v>
      </c>
      <c r="B60" s="13">
        <v>520030743</v>
      </c>
    </row>
    <row r="61" spans="1:2" x14ac:dyDescent="0.2">
      <c r="A61" t="s">
        <v>1144</v>
      </c>
      <c r="B61">
        <v>520042177</v>
      </c>
    </row>
    <row r="62" spans="1:2" x14ac:dyDescent="0.2">
      <c r="A62" t="s">
        <v>1145</v>
      </c>
      <c r="B62" s="13">
        <v>515447035</v>
      </c>
    </row>
    <row r="63" spans="1:2" x14ac:dyDescent="0.2">
      <c r="A63" t="s">
        <v>1146</v>
      </c>
      <c r="B63" s="13">
        <v>520042607</v>
      </c>
    </row>
    <row r="64" spans="1:2" x14ac:dyDescent="0.2">
      <c r="A64" t="s">
        <v>1147</v>
      </c>
      <c r="B64" s="13">
        <v>513026484</v>
      </c>
    </row>
    <row r="65" spans="1:2" x14ac:dyDescent="0.2">
      <c r="A65" t="s">
        <v>1148</v>
      </c>
      <c r="B65">
        <v>520023185</v>
      </c>
    </row>
    <row r="66" spans="1:2" x14ac:dyDescent="0.2">
      <c r="A66" t="s">
        <v>1149</v>
      </c>
      <c r="B66">
        <v>520004078</v>
      </c>
    </row>
    <row r="67" spans="1:2" x14ac:dyDescent="0.2">
      <c r="A67" t="s">
        <v>1150</v>
      </c>
      <c r="B67" s="13">
        <v>512267592</v>
      </c>
    </row>
    <row r="68" spans="1:2" x14ac:dyDescent="0.2">
      <c r="A68" t="s">
        <v>1151</v>
      </c>
      <c r="B68">
        <v>515764868</v>
      </c>
    </row>
    <row r="69" spans="1:2" x14ac:dyDescent="0.2">
      <c r="A69" t="s">
        <v>1152</v>
      </c>
      <c r="B69" s="13">
        <v>513452003</v>
      </c>
    </row>
    <row r="70" spans="1:2" x14ac:dyDescent="0.2">
      <c r="A70" t="s">
        <v>1153</v>
      </c>
      <c r="B70" s="13">
        <v>510142789</v>
      </c>
    </row>
    <row r="71" spans="1:2" x14ac:dyDescent="0.2">
      <c r="A71" t="s">
        <v>1154</v>
      </c>
      <c r="B71" s="13">
        <v>510960586</v>
      </c>
    </row>
    <row r="72" spans="1:2" x14ac:dyDescent="0.2">
      <c r="A72" t="s">
        <v>1155</v>
      </c>
      <c r="B72" s="13">
        <v>510930670</v>
      </c>
    </row>
    <row r="73" spans="1:2" x14ac:dyDescent="0.2">
      <c r="A73" t="s">
        <v>1156</v>
      </c>
      <c r="B73" s="13">
        <v>510927536</v>
      </c>
    </row>
    <row r="74" spans="1:2" x14ac:dyDescent="0.2">
      <c r="A74" t="s">
        <v>1157</v>
      </c>
      <c r="B74" s="13">
        <v>510930654</v>
      </c>
    </row>
    <row r="75" spans="1:2" x14ac:dyDescent="0.2">
      <c r="A75" t="s">
        <v>1158</v>
      </c>
      <c r="B75" s="13">
        <v>520032566</v>
      </c>
    </row>
    <row r="76" spans="1:2" x14ac:dyDescent="0.2">
      <c r="A76" t="s">
        <v>1159</v>
      </c>
      <c r="B76" s="13">
        <v>513611509</v>
      </c>
    </row>
    <row r="77" spans="1:2" x14ac:dyDescent="0.2">
      <c r="A77" t="s">
        <v>1160</v>
      </c>
      <c r="B77">
        <v>510888985</v>
      </c>
    </row>
    <row r="78" spans="1:2" x14ac:dyDescent="0.2">
      <c r="A78" t="s">
        <v>1161</v>
      </c>
      <c r="B78">
        <v>520024647</v>
      </c>
    </row>
    <row r="79" spans="1:2" x14ac:dyDescent="0.2">
      <c r="A79" t="s">
        <v>1162</v>
      </c>
      <c r="B79" s="13">
        <v>512244146</v>
      </c>
    </row>
    <row r="80" spans="1:2" x14ac:dyDescent="0.2">
      <c r="A80" t="s">
        <v>1163</v>
      </c>
      <c r="B80" s="13">
        <v>510694821</v>
      </c>
    </row>
    <row r="81" spans="1:2" x14ac:dyDescent="0.2">
      <c r="A81" t="s">
        <v>1164</v>
      </c>
      <c r="B81">
        <v>515761625</v>
      </c>
    </row>
    <row r="82" spans="1:2" x14ac:dyDescent="0.2">
      <c r="A82" t="s">
        <v>1165</v>
      </c>
      <c r="B82" s="13">
        <v>511423048</v>
      </c>
    </row>
    <row r="83" spans="1:2" x14ac:dyDescent="0.2">
      <c r="A83" t="s">
        <v>1166</v>
      </c>
      <c r="B83" s="13">
        <v>520019688</v>
      </c>
    </row>
    <row r="84" spans="1:2" x14ac:dyDescent="0.2">
      <c r="A84" t="s">
        <v>1167</v>
      </c>
      <c r="B84">
        <v>520004896</v>
      </c>
    </row>
    <row r="85" spans="1:2" x14ac:dyDescent="0.2">
      <c r="A85" t="s">
        <v>1168</v>
      </c>
      <c r="B85" s="13">
        <v>512237744</v>
      </c>
    </row>
    <row r="86" spans="1:2" x14ac:dyDescent="0.2">
      <c r="A86" t="s">
        <v>1169</v>
      </c>
      <c r="B86" s="13">
        <v>514956465</v>
      </c>
    </row>
    <row r="87" spans="1:2" x14ac:dyDescent="0.2">
      <c r="A87" t="s">
        <v>1170</v>
      </c>
      <c r="B87" s="13">
        <v>512362914</v>
      </c>
    </row>
    <row r="88" spans="1:2" x14ac:dyDescent="0.2">
      <c r="A88" t="s">
        <v>1171</v>
      </c>
      <c r="B88" s="13">
        <v>520042615</v>
      </c>
    </row>
    <row r="89" spans="1:2" x14ac:dyDescent="0.2">
      <c r="A89" t="s">
        <v>1172</v>
      </c>
      <c r="B89" s="13">
        <v>512065202</v>
      </c>
    </row>
    <row r="90" spans="1:2" x14ac:dyDescent="0.2">
      <c r="A90" t="s">
        <v>1173</v>
      </c>
      <c r="B90">
        <v>520042540</v>
      </c>
    </row>
    <row r="91" spans="1:2" x14ac:dyDescent="0.2">
      <c r="A91" t="s">
        <v>1174</v>
      </c>
      <c r="B91" s="13">
        <v>520027715</v>
      </c>
    </row>
    <row r="92" spans="1:2" x14ac:dyDescent="0.2">
      <c r="A92" t="s">
        <v>1175</v>
      </c>
      <c r="B92" s="13">
        <v>512245812</v>
      </c>
    </row>
    <row r="93" spans="1:2" x14ac:dyDescent="0.2">
      <c r="A93" t="s">
        <v>1176</v>
      </c>
      <c r="B93" s="13">
        <v>520022351</v>
      </c>
    </row>
    <row r="94" spans="1:2" x14ac:dyDescent="0.2">
      <c r="A94" t="s">
        <v>1177</v>
      </c>
      <c r="B94" s="13">
        <v>514767490</v>
      </c>
    </row>
    <row r="95" spans="1:2" x14ac:dyDescent="0.2">
      <c r="A95" t="s">
        <v>1178</v>
      </c>
      <c r="B95" s="13">
        <v>520024985</v>
      </c>
    </row>
    <row r="96" spans="1:2" x14ac:dyDescent="0.2">
      <c r="A96" t="s">
        <v>1179</v>
      </c>
      <c r="B96" s="13">
        <v>520042573</v>
      </c>
    </row>
    <row r="97" spans="1:2" x14ac:dyDescent="0.2">
      <c r="A97" t="s">
        <v>1180</v>
      </c>
      <c r="B97" s="13">
        <v>570009449</v>
      </c>
    </row>
    <row r="98" spans="1:2" x14ac:dyDescent="0.2">
      <c r="A98" t="s">
        <v>1181</v>
      </c>
      <c r="B98" s="13">
        <v>520031659</v>
      </c>
    </row>
    <row r="99" spans="1:2" x14ac:dyDescent="0.2">
      <c r="A99" t="s">
        <v>1182</v>
      </c>
      <c r="B99" s="13">
        <v>520042581</v>
      </c>
    </row>
    <row r="100" spans="1:2" x14ac:dyDescent="0.2">
      <c r="A100" t="s">
        <v>1183</v>
      </c>
      <c r="B100">
        <v>520031030</v>
      </c>
    </row>
    <row r="101" spans="1:2" x14ac:dyDescent="0.2">
      <c r="A101" t="s">
        <v>1184</v>
      </c>
      <c r="B101" s="13">
        <v>520030941</v>
      </c>
    </row>
    <row r="102" spans="1:2" x14ac:dyDescent="0.2">
      <c r="A102" t="s">
        <v>1185</v>
      </c>
      <c r="B102" s="13">
        <v>512008335</v>
      </c>
    </row>
    <row r="103" spans="1:2" x14ac:dyDescent="0.2">
      <c r="A103" t="s">
        <v>1186</v>
      </c>
      <c r="B103" s="13">
        <v>520022963</v>
      </c>
    </row>
    <row r="104" spans="1:2" x14ac:dyDescent="0.2">
      <c r="A104" t="s">
        <v>1187</v>
      </c>
      <c r="B104" s="13">
        <v>570011767</v>
      </c>
    </row>
    <row r="105" spans="1:2" x14ac:dyDescent="0.2">
      <c r="A105" t="s">
        <v>1188</v>
      </c>
      <c r="B105" s="13">
        <v>570014928</v>
      </c>
    </row>
    <row r="106" spans="1:2" x14ac:dyDescent="0.2">
      <c r="A106" t="s">
        <v>1189</v>
      </c>
      <c r="B106" s="13">
        <v>570005959</v>
      </c>
    </row>
    <row r="107" spans="1:2" x14ac:dyDescent="0.2">
      <c r="A107" t="s">
        <v>1190</v>
      </c>
      <c r="B107" s="13">
        <v>510800402</v>
      </c>
    </row>
    <row r="108" spans="1:2" x14ac:dyDescent="0.2">
      <c r="A108" t="s">
        <v>1191</v>
      </c>
      <c r="B108" s="13">
        <v>570007476</v>
      </c>
    </row>
    <row r="109" spans="1:2" x14ac:dyDescent="0.2">
      <c r="A109" t="s">
        <v>1192</v>
      </c>
      <c r="B109" s="13">
        <v>570005850</v>
      </c>
    </row>
    <row r="110" spans="1:2" x14ac:dyDescent="0.2">
      <c r="A110" t="s">
        <v>1193</v>
      </c>
      <c r="B110" s="13">
        <v>520020504</v>
      </c>
    </row>
    <row r="111" spans="1:2" x14ac:dyDescent="0.2">
      <c r="A111" t="s">
        <v>1194</v>
      </c>
      <c r="B111" s="13">
        <v>520020447</v>
      </c>
    </row>
    <row r="112" spans="1:2" x14ac:dyDescent="0.2">
      <c r="A112" t="s">
        <v>1195</v>
      </c>
      <c r="B112" s="13">
        <v>511033060</v>
      </c>
    </row>
    <row r="113" spans="1:2" x14ac:dyDescent="0.2">
      <c r="A113" t="s">
        <v>1196</v>
      </c>
      <c r="B113">
        <v>520027848</v>
      </c>
    </row>
    <row r="114" spans="1:2" x14ac:dyDescent="0.2">
      <c r="A114" t="s">
        <v>1197</v>
      </c>
      <c r="B114" s="13">
        <v>570009852</v>
      </c>
    </row>
    <row r="115" spans="1:2" x14ac:dyDescent="0.2">
      <c r="A115" t="s">
        <v>1198</v>
      </c>
      <c r="B115" s="13">
        <v>520027251</v>
      </c>
    </row>
    <row r="116" spans="1:2" x14ac:dyDescent="0.2">
      <c r="A116" t="s">
        <v>1199</v>
      </c>
      <c r="B116" s="13">
        <v>520028390</v>
      </c>
    </row>
    <row r="117" spans="1:2" x14ac:dyDescent="0.2">
      <c r="A117" t="s">
        <v>1200</v>
      </c>
      <c r="B117" s="13">
        <v>510806870</v>
      </c>
    </row>
    <row r="118" spans="1:2" x14ac:dyDescent="0.2">
      <c r="A118" t="s">
        <v>1201</v>
      </c>
      <c r="B118">
        <v>513879189</v>
      </c>
    </row>
    <row r="119" spans="1:2" x14ac:dyDescent="0.2">
      <c r="A119" t="s">
        <v>1202</v>
      </c>
      <c r="B119">
        <v>510015951</v>
      </c>
    </row>
    <row r="120" spans="1:2" x14ac:dyDescent="0.2">
      <c r="A120" t="s">
        <v>1203</v>
      </c>
      <c r="B120" s="13">
        <v>520030693</v>
      </c>
    </row>
    <row r="121" spans="1:2" x14ac:dyDescent="0.2">
      <c r="A121" t="s">
        <v>1204</v>
      </c>
      <c r="B121" s="13">
        <v>570002618</v>
      </c>
    </row>
  </sheetData>
  <sortState ref="A34:B124">
    <sortCondition ref="A34:A124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C4D6AE72AFC954097D96871C7E14B36" ma:contentTypeVersion="18" ma:contentTypeDescription="צור מסמך חדש." ma:contentTypeScope="" ma:versionID="894fbe97534ec45c3f5206518b0bd109">
  <xsd:schema xmlns:xsd="http://www.w3.org/2001/XMLSchema" xmlns:xs="http://www.w3.org/2001/XMLSchema" xmlns:p="http://schemas.microsoft.com/office/2006/metadata/properties" xmlns:ns2="465fa0dd-7072-448d-9b0a-535021520c8b" xmlns:ns3="88c1fb98-5d51-4712-a306-b81b4122503b" targetNamespace="http://schemas.microsoft.com/office/2006/metadata/properties" ma:root="true" ma:fieldsID="0f440fb60107057d2810779fe5016ff8" ns2:_="" ns3:_="">
    <xsd:import namespace="465fa0dd-7072-448d-9b0a-535021520c8b"/>
    <xsd:import namespace="88c1fb98-5d51-4712-a306-b81b412250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fa0dd-7072-448d-9b0a-535021520c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_Flow_SignoffStatus" ma:index="20" nillable="true" ma:displayName="מצב הסכמה" ma:internalName="_x05de__x05e6__x05d1__x0020__x05d4__x05e1__x05db__x05de__x05d4_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תגיות תמונה" ma:readOnly="false" ma:fieldId="{5cf76f15-5ced-4ddc-b409-7134ff3c332f}" ma:taxonomyMulti="true" ma:sspId="b18f1d6e-0df4-43a4-bdb3-2e74ca0227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1fb98-5d51-4712-a306-b81b4122503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e62c8d1-24c4-48b3-97a0-50f00a00c544}" ma:internalName="TaxCatchAll" ma:showField="CatchAllData" ma:web="88c1fb98-5d51-4712-a306-b81b412250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7F6BA5-785E-417E-A183-D7AAEBA71E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99328D-A3FC-46AE-8743-55D18D85AB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5fa0dd-7072-448d-9b0a-535021520c8b"/>
    <ds:schemaRef ds:uri="88c1fb98-5d51-4712-a306-b81b412250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78</vt:i4>
      </vt:variant>
    </vt:vector>
  </HeadingPairs>
  <TitlesOfParts>
    <vt:vector size="113" baseType="lpstr">
      <vt:lpstr>מקרא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'פיקדונות מעל 3 חודשים'!Extract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Manager/>
  <Company>MOF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subject/>
  <dc:creator>נירית שימרון</dc:creator>
  <cp:keywords/>
  <dc:description/>
  <cp:lastModifiedBy>Fibi</cp:lastModifiedBy>
  <cp:revision/>
  <dcterms:created xsi:type="dcterms:W3CDTF">2021-05-03T04:41:48Z</dcterms:created>
  <dcterms:modified xsi:type="dcterms:W3CDTF">2024-08-26T06:38:47Z</dcterms:modified>
  <cp:category/>
  <cp:contentStatus/>
</cp:coreProperties>
</file>